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mateia New\Dropbox\Important Files\Live\"/>
    </mc:Choice>
  </mc:AlternateContent>
  <xr:revisionPtr revIDLastSave="0" documentId="13_ncr:1_{85286815-EAF1-47B1-8E1A-0B4107016A0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023-2024" sheetId="8" r:id="rId1"/>
    <sheet name="2025" sheetId="9" r:id="rId2"/>
    <sheet name="2022-2023" sheetId="4" r:id="rId3"/>
    <sheet name="2021-2022" sheetId="3" r:id="rId4"/>
    <sheet name="2020-2021" sheetId="1" r:id="rId5"/>
    <sheet name="ΡΑΝΤΕΒΟΥ" sheetId="5" r:id="rId6"/>
  </sheets>
  <definedNames>
    <definedName name="_xlnm._FilterDatabase" localSheetId="4" hidden="1">'2020-2021'!$A$3:$PX$3</definedName>
    <definedName name="_xlnm._FilterDatabase" localSheetId="3" hidden="1">'2021-2022'!$A$3:$Q$201</definedName>
    <definedName name="_xlnm._FilterDatabase" localSheetId="2" hidden="1">'2022-2023'!$A$3:$Q$201</definedName>
    <definedName name="_xlnm._FilterDatabase" localSheetId="0" hidden="1">'2023-2024'!$A$3:$Q$180</definedName>
  </definedNames>
  <calcPr calcId="191029"/>
</workbook>
</file>

<file path=xl/calcChain.xml><?xml version="1.0" encoding="utf-8"?>
<calcChain xmlns="http://schemas.openxmlformats.org/spreadsheetml/2006/main">
  <c r="F2" i="9" l="1"/>
  <c r="E2" i="9"/>
  <c r="N4" i="8" l="1"/>
  <c r="O4" i="8" s="1"/>
  <c r="N5" i="8"/>
  <c r="O5" i="8" s="1"/>
  <c r="N6" i="8"/>
  <c r="O6" i="8" s="1"/>
  <c r="N7" i="8"/>
  <c r="O7" i="8" s="1"/>
  <c r="N8" i="8"/>
  <c r="O8" i="8" s="1"/>
  <c r="N9" i="8"/>
  <c r="O9" i="8" s="1"/>
  <c r="N10" i="8"/>
  <c r="O10" i="8" s="1"/>
  <c r="N11" i="8"/>
  <c r="O11" i="8" s="1"/>
  <c r="N12" i="8"/>
  <c r="O12" i="8" s="1"/>
  <c r="N13" i="8"/>
  <c r="O13" i="8" s="1"/>
  <c r="P180" i="8"/>
  <c r="O180" i="8"/>
  <c r="N180" i="8"/>
  <c r="P179" i="8"/>
  <c r="O179" i="8"/>
  <c r="N179" i="8"/>
  <c r="P178" i="8"/>
  <c r="O178" i="8"/>
  <c r="N178" i="8"/>
  <c r="P177" i="8"/>
  <c r="O177" i="8"/>
  <c r="N177" i="8"/>
  <c r="P176" i="8"/>
  <c r="O176" i="8"/>
  <c r="N176" i="8"/>
  <c r="P175" i="8"/>
  <c r="O175" i="8"/>
  <c r="N175" i="8"/>
  <c r="P174" i="8"/>
  <c r="O174" i="8"/>
  <c r="N174" i="8"/>
  <c r="P173" i="8"/>
  <c r="O173" i="8"/>
  <c r="N173" i="8"/>
  <c r="P172" i="8"/>
  <c r="O172" i="8"/>
  <c r="N172" i="8"/>
  <c r="P171" i="8"/>
  <c r="O171" i="8"/>
  <c r="N171" i="8"/>
  <c r="P170" i="8"/>
  <c r="O170" i="8"/>
  <c r="N170" i="8"/>
  <c r="P169" i="8"/>
  <c r="O169" i="8"/>
  <c r="N169" i="8"/>
  <c r="P168" i="8"/>
  <c r="O168" i="8"/>
  <c r="N168" i="8"/>
  <c r="P167" i="8"/>
  <c r="O167" i="8"/>
  <c r="N167" i="8"/>
  <c r="P166" i="8"/>
  <c r="O166" i="8"/>
  <c r="N166" i="8"/>
  <c r="P165" i="8"/>
  <c r="O165" i="8"/>
  <c r="N165" i="8"/>
  <c r="P164" i="8"/>
  <c r="O164" i="8"/>
  <c r="N164" i="8"/>
  <c r="P163" i="8"/>
  <c r="O163" i="8"/>
  <c r="N163" i="8"/>
  <c r="P162" i="8"/>
  <c r="O162" i="8"/>
  <c r="N162" i="8"/>
  <c r="P161" i="8"/>
  <c r="O161" i="8"/>
  <c r="N161" i="8"/>
  <c r="P160" i="8"/>
  <c r="O160" i="8"/>
  <c r="N160" i="8"/>
  <c r="P159" i="8"/>
  <c r="O159" i="8"/>
  <c r="N159" i="8"/>
  <c r="P158" i="8"/>
  <c r="O158" i="8"/>
  <c r="N158" i="8"/>
  <c r="P157" i="8"/>
  <c r="O157" i="8"/>
  <c r="N157" i="8"/>
  <c r="P156" i="8"/>
  <c r="O156" i="8"/>
  <c r="N156" i="8"/>
  <c r="P155" i="8"/>
  <c r="O155" i="8"/>
  <c r="N155" i="8"/>
  <c r="P154" i="8"/>
  <c r="O154" i="8"/>
  <c r="N154" i="8"/>
  <c r="P153" i="8"/>
  <c r="O153" i="8"/>
  <c r="N153" i="8"/>
  <c r="P152" i="8"/>
  <c r="O152" i="8"/>
  <c r="N152" i="8"/>
  <c r="P151" i="8"/>
  <c r="O151" i="8"/>
  <c r="N151" i="8"/>
  <c r="P150" i="8"/>
  <c r="O150" i="8"/>
  <c r="N150" i="8"/>
  <c r="P149" i="8"/>
  <c r="O149" i="8"/>
  <c r="N149" i="8"/>
  <c r="P148" i="8"/>
  <c r="O148" i="8"/>
  <c r="N148" i="8"/>
  <c r="P147" i="8"/>
  <c r="O147" i="8"/>
  <c r="N147" i="8"/>
  <c r="P146" i="8"/>
  <c r="O146" i="8"/>
  <c r="N146" i="8"/>
  <c r="P145" i="8"/>
  <c r="O145" i="8"/>
  <c r="N145" i="8"/>
  <c r="P144" i="8"/>
  <c r="O144" i="8"/>
  <c r="N144" i="8"/>
  <c r="P143" i="8"/>
  <c r="O143" i="8"/>
  <c r="N143" i="8"/>
  <c r="P142" i="8"/>
  <c r="O142" i="8"/>
  <c r="N142" i="8"/>
  <c r="P141" i="8"/>
  <c r="O141" i="8"/>
  <c r="N141" i="8"/>
  <c r="P140" i="8"/>
  <c r="O140" i="8"/>
  <c r="N140" i="8"/>
  <c r="P139" i="8"/>
  <c r="O139" i="8"/>
  <c r="N139" i="8"/>
  <c r="P138" i="8"/>
  <c r="O138" i="8"/>
  <c r="N138" i="8"/>
  <c r="P137" i="8"/>
  <c r="O137" i="8"/>
  <c r="N137" i="8"/>
  <c r="P136" i="8"/>
  <c r="O136" i="8"/>
  <c r="N136" i="8"/>
  <c r="P135" i="8"/>
  <c r="O135" i="8"/>
  <c r="N135" i="8"/>
  <c r="P134" i="8"/>
  <c r="O134" i="8"/>
  <c r="N134" i="8"/>
  <c r="P133" i="8"/>
  <c r="O133" i="8"/>
  <c r="N133" i="8"/>
  <c r="P132" i="8"/>
  <c r="O132" i="8"/>
  <c r="N132" i="8"/>
  <c r="P131" i="8"/>
  <c r="O131" i="8"/>
  <c r="N131" i="8"/>
  <c r="P130" i="8"/>
  <c r="O130" i="8"/>
  <c r="N130" i="8"/>
  <c r="P129" i="8"/>
  <c r="O129" i="8"/>
  <c r="N129" i="8"/>
  <c r="P128" i="8"/>
  <c r="O128" i="8"/>
  <c r="N128" i="8"/>
  <c r="P127" i="8"/>
  <c r="O127" i="8"/>
  <c r="N127" i="8"/>
  <c r="P126" i="8"/>
  <c r="O126" i="8"/>
  <c r="N126" i="8"/>
  <c r="P125" i="8"/>
  <c r="O125" i="8"/>
  <c r="N125" i="8"/>
  <c r="P124" i="8"/>
  <c r="O124" i="8"/>
  <c r="N124" i="8"/>
  <c r="P123" i="8"/>
  <c r="O123" i="8"/>
  <c r="N123" i="8"/>
  <c r="P122" i="8"/>
  <c r="O122" i="8"/>
  <c r="N122" i="8"/>
  <c r="P121" i="8"/>
  <c r="O121" i="8"/>
  <c r="N121" i="8"/>
  <c r="P120" i="8"/>
  <c r="O120" i="8"/>
  <c r="N120" i="8"/>
  <c r="P119" i="8"/>
  <c r="O119" i="8"/>
  <c r="N119" i="8"/>
  <c r="P118" i="8"/>
  <c r="O118" i="8"/>
  <c r="N118" i="8"/>
  <c r="P117" i="8"/>
  <c r="O117" i="8"/>
  <c r="N117" i="8"/>
  <c r="P116" i="8"/>
  <c r="O116" i="8"/>
  <c r="N116" i="8"/>
  <c r="P115" i="8"/>
  <c r="O115" i="8"/>
  <c r="N115" i="8"/>
  <c r="P114" i="8"/>
  <c r="O114" i="8"/>
  <c r="N114" i="8"/>
  <c r="P113" i="8"/>
  <c r="O113" i="8"/>
  <c r="N113" i="8"/>
  <c r="P112" i="8"/>
  <c r="O112" i="8"/>
  <c r="N112" i="8"/>
  <c r="P111" i="8"/>
  <c r="O111" i="8"/>
  <c r="N111" i="8"/>
  <c r="P110" i="8"/>
  <c r="O110" i="8"/>
  <c r="N110" i="8"/>
  <c r="P109" i="8"/>
  <c r="O109" i="8"/>
  <c r="N109" i="8"/>
  <c r="P108" i="8"/>
  <c r="O108" i="8"/>
  <c r="N108" i="8"/>
  <c r="P107" i="8"/>
  <c r="O107" i="8"/>
  <c r="N107" i="8"/>
  <c r="P106" i="8"/>
  <c r="O106" i="8"/>
  <c r="N106" i="8"/>
  <c r="P105" i="8"/>
  <c r="O105" i="8"/>
  <c r="N105" i="8"/>
  <c r="P104" i="8"/>
  <c r="O104" i="8"/>
  <c r="N104" i="8"/>
  <c r="P103" i="8"/>
  <c r="O103" i="8"/>
  <c r="N103" i="8"/>
  <c r="P102" i="8"/>
  <c r="O102" i="8"/>
  <c r="N102" i="8"/>
  <c r="P101" i="8"/>
  <c r="O101" i="8"/>
  <c r="N101" i="8"/>
  <c r="P100" i="8"/>
  <c r="O100" i="8"/>
  <c r="N100" i="8"/>
  <c r="P99" i="8"/>
  <c r="O99" i="8"/>
  <c r="N99" i="8"/>
  <c r="P98" i="8"/>
  <c r="O98" i="8"/>
  <c r="N98" i="8"/>
  <c r="P97" i="8"/>
  <c r="O97" i="8"/>
  <c r="N97" i="8"/>
  <c r="P96" i="8"/>
  <c r="O96" i="8"/>
  <c r="N96" i="8"/>
  <c r="P95" i="8"/>
  <c r="O95" i="8"/>
  <c r="N95" i="8"/>
  <c r="P94" i="8"/>
  <c r="O94" i="8"/>
  <c r="N94" i="8"/>
  <c r="P93" i="8"/>
  <c r="O93" i="8"/>
  <c r="N93" i="8"/>
  <c r="P92" i="8"/>
  <c r="O92" i="8"/>
  <c r="N92" i="8"/>
  <c r="P91" i="8"/>
  <c r="O91" i="8"/>
  <c r="N91" i="8"/>
  <c r="P90" i="8"/>
  <c r="O90" i="8"/>
  <c r="N90" i="8"/>
  <c r="P89" i="8"/>
  <c r="O89" i="8"/>
  <c r="N89" i="8"/>
  <c r="P88" i="8"/>
  <c r="O88" i="8"/>
  <c r="N88" i="8"/>
  <c r="P87" i="8"/>
  <c r="O87" i="8"/>
  <c r="N87" i="8"/>
  <c r="P86" i="8"/>
  <c r="O86" i="8"/>
  <c r="N86" i="8"/>
  <c r="P85" i="8"/>
  <c r="O85" i="8"/>
  <c r="N85" i="8"/>
  <c r="P84" i="8"/>
  <c r="O84" i="8"/>
  <c r="N84" i="8"/>
  <c r="P83" i="8"/>
  <c r="O83" i="8"/>
  <c r="N83" i="8"/>
  <c r="P82" i="8"/>
  <c r="O82" i="8"/>
  <c r="N82" i="8"/>
  <c r="P81" i="8"/>
  <c r="O81" i="8"/>
  <c r="N81" i="8"/>
  <c r="P80" i="8"/>
  <c r="O80" i="8"/>
  <c r="N80" i="8"/>
  <c r="P79" i="8"/>
  <c r="O79" i="8"/>
  <c r="N79" i="8"/>
  <c r="P78" i="8"/>
  <c r="O78" i="8"/>
  <c r="N78" i="8"/>
  <c r="P77" i="8"/>
  <c r="O77" i="8"/>
  <c r="N77" i="8"/>
  <c r="P76" i="8"/>
  <c r="O76" i="8"/>
  <c r="N76" i="8"/>
  <c r="P75" i="8"/>
  <c r="O75" i="8"/>
  <c r="N75" i="8"/>
  <c r="P74" i="8"/>
  <c r="O74" i="8"/>
  <c r="N74" i="8"/>
  <c r="P73" i="8"/>
  <c r="O73" i="8"/>
  <c r="N73" i="8"/>
  <c r="P72" i="8"/>
  <c r="O72" i="8"/>
  <c r="N72" i="8"/>
  <c r="P71" i="8"/>
  <c r="O71" i="8"/>
  <c r="N71" i="8"/>
  <c r="P70" i="8"/>
  <c r="O70" i="8"/>
  <c r="N70" i="8"/>
  <c r="P69" i="8"/>
  <c r="O69" i="8"/>
  <c r="N69" i="8"/>
  <c r="P68" i="8"/>
  <c r="O68" i="8"/>
  <c r="N68" i="8"/>
  <c r="P67" i="8"/>
  <c r="O67" i="8"/>
  <c r="N67" i="8"/>
  <c r="P66" i="8"/>
  <c r="O66" i="8"/>
  <c r="N66" i="8"/>
  <c r="P65" i="8"/>
  <c r="O65" i="8"/>
  <c r="N65" i="8"/>
  <c r="P64" i="8"/>
  <c r="O64" i="8"/>
  <c r="N64" i="8"/>
  <c r="P63" i="8"/>
  <c r="O63" i="8"/>
  <c r="N63" i="8"/>
  <c r="P62" i="8"/>
  <c r="O62" i="8"/>
  <c r="N62" i="8"/>
  <c r="P61" i="8"/>
  <c r="O61" i="8"/>
  <c r="N61" i="8"/>
  <c r="P60" i="8"/>
  <c r="O60" i="8"/>
  <c r="N60" i="8"/>
  <c r="P59" i="8"/>
  <c r="O59" i="8"/>
  <c r="N59" i="8"/>
  <c r="P58" i="8"/>
  <c r="O58" i="8"/>
  <c r="N58" i="8"/>
  <c r="P57" i="8"/>
  <c r="O57" i="8"/>
  <c r="N57" i="8"/>
  <c r="P56" i="8"/>
  <c r="O56" i="8"/>
  <c r="N56" i="8"/>
  <c r="P55" i="8"/>
  <c r="O55" i="8"/>
  <c r="N55" i="8"/>
  <c r="P54" i="8"/>
  <c r="O54" i="8"/>
  <c r="N54" i="8"/>
  <c r="P53" i="8"/>
  <c r="O53" i="8"/>
  <c r="N53" i="8"/>
  <c r="P52" i="8"/>
  <c r="O52" i="8"/>
  <c r="N52" i="8"/>
  <c r="P51" i="8"/>
  <c r="O51" i="8"/>
  <c r="N51" i="8"/>
  <c r="P50" i="8"/>
  <c r="O50" i="8"/>
  <c r="N50" i="8"/>
  <c r="P49" i="8"/>
  <c r="O49" i="8"/>
  <c r="N49" i="8"/>
  <c r="P48" i="8"/>
  <c r="O48" i="8"/>
  <c r="N48" i="8"/>
  <c r="P47" i="8"/>
  <c r="O47" i="8"/>
  <c r="N47" i="8"/>
  <c r="P46" i="8"/>
  <c r="O46" i="8"/>
  <c r="N46" i="8"/>
  <c r="P45" i="8"/>
  <c r="O45" i="8"/>
  <c r="N45" i="8"/>
  <c r="P44" i="8"/>
  <c r="O44" i="8"/>
  <c r="N44" i="8"/>
  <c r="P43" i="8"/>
  <c r="O43" i="8"/>
  <c r="N43" i="8"/>
  <c r="P42" i="8"/>
  <c r="O42" i="8"/>
  <c r="N42" i="8"/>
  <c r="P41" i="8"/>
  <c r="O41" i="8"/>
  <c r="N41" i="8"/>
  <c r="P40" i="8"/>
  <c r="O40" i="8"/>
  <c r="N40" i="8"/>
  <c r="P39" i="8"/>
  <c r="O39" i="8"/>
  <c r="N39" i="8"/>
  <c r="F2" i="8"/>
  <c r="E2" i="8"/>
  <c r="P11" i="8" l="1"/>
  <c r="P7" i="8"/>
  <c r="P10" i="8"/>
  <c r="P6" i="8"/>
  <c r="P13" i="8"/>
  <c r="P9" i="8"/>
  <c r="P5" i="8"/>
  <c r="P12" i="8"/>
  <c r="P8" i="8"/>
  <c r="P4" i="8"/>
  <c r="N2" i="8"/>
  <c r="P2" i="8" s="1"/>
  <c r="E1" i="5"/>
  <c r="O2" i="8" l="1"/>
  <c r="N36" i="3"/>
  <c r="P36" i="3" s="1"/>
  <c r="P36" i="4"/>
  <c r="O36" i="4"/>
  <c r="N36" i="4"/>
  <c r="P201" i="4"/>
  <c r="O201" i="4"/>
  <c r="N201" i="4"/>
  <c r="P200" i="4"/>
  <c r="O200" i="4"/>
  <c r="N200" i="4"/>
  <c r="P199" i="4"/>
  <c r="O199" i="4"/>
  <c r="N199" i="4"/>
  <c r="P198" i="4"/>
  <c r="O198" i="4"/>
  <c r="N198" i="4"/>
  <c r="P197" i="4"/>
  <c r="O197" i="4"/>
  <c r="N197" i="4"/>
  <c r="P196" i="4"/>
  <c r="O196" i="4"/>
  <c r="N196" i="4"/>
  <c r="P195" i="4"/>
  <c r="O195" i="4"/>
  <c r="N195" i="4"/>
  <c r="P194" i="4"/>
  <c r="O194" i="4"/>
  <c r="N194" i="4"/>
  <c r="P193" i="4"/>
  <c r="O193" i="4"/>
  <c r="N193" i="4"/>
  <c r="P192" i="4"/>
  <c r="O192" i="4"/>
  <c r="N192" i="4"/>
  <c r="P191" i="4"/>
  <c r="O191" i="4"/>
  <c r="N191" i="4"/>
  <c r="P190" i="4"/>
  <c r="O190" i="4"/>
  <c r="N190" i="4"/>
  <c r="P189" i="4"/>
  <c r="O189" i="4"/>
  <c r="N189" i="4"/>
  <c r="P188" i="4"/>
  <c r="O188" i="4"/>
  <c r="N188" i="4"/>
  <c r="P187" i="4"/>
  <c r="O187" i="4"/>
  <c r="N187" i="4"/>
  <c r="P186" i="4"/>
  <c r="O186" i="4"/>
  <c r="N186" i="4"/>
  <c r="P185" i="4"/>
  <c r="O185" i="4"/>
  <c r="N185" i="4"/>
  <c r="P184" i="4"/>
  <c r="O184" i="4"/>
  <c r="N184" i="4"/>
  <c r="P183" i="4"/>
  <c r="O183" i="4"/>
  <c r="N183" i="4"/>
  <c r="P182" i="4"/>
  <c r="O182" i="4"/>
  <c r="N182" i="4"/>
  <c r="P181" i="4"/>
  <c r="O181" i="4"/>
  <c r="N181" i="4"/>
  <c r="P180" i="4"/>
  <c r="O180" i="4"/>
  <c r="N180" i="4"/>
  <c r="P179" i="4"/>
  <c r="O179" i="4"/>
  <c r="N179" i="4"/>
  <c r="P178" i="4"/>
  <c r="O178" i="4"/>
  <c r="N178" i="4"/>
  <c r="P177" i="4"/>
  <c r="O177" i="4"/>
  <c r="N177" i="4"/>
  <c r="P176" i="4"/>
  <c r="O176" i="4"/>
  <c r="N176" i="4"/>
  <c r="P175" i="4"/>
  <c r="O175" i="4"/>
  <c r="N175" i="4"/>
  <c r="P174" i="4"/>
  <c r="O174" i="4"/>
  <c r="N174" i="4"/>
  <c r="P173" i="4"/>
  <c r="O173" i="4"/>
  <c r="N173" i="4"/>
  <c r="P172" i="4"/>
  <c r="O172" i="4"/>
  <c r="N172" i="4"/>
  <c r="P171" i="4"/>
  <c r="O171" i="4"/>
  <c r="N171" i="4"/>
  <c r="P170" i="4"/>
  <c r="O170" i="4"/>
  <c r="N170" i="4"/>
  <c r="P169" i="4"/>
  <c r="O169" i="4"/>
  <c r="N169" i="4"/>
  <c r="P168" i="4"/>
  <c r="O168" i="4"/>
  <c r="N168" i="4"/>
  <c r="P167" i="4"/>
  <c r="O167" i="4"/>
  <c r="N167" i="4"/>
  <c r="P166" i="4"/>
  <c r="O166" i="4"/>
  <c r="N166" i="4"/>
  <c r="P165" i="4"/>
  <c r="O165" i="4"/>
  <c r="N165" i="4"/>
  <c r="P164" i="4"/>
  <c r="O164" i="4"/>
  <c r="N164" i="4"/>
  <c r="P163" i="4"/>
  <c r="O163" i="4"/>
  <c r="N163" i="4"/>
  <c r="P162" i="4"/>
  <c r="O162" i="4"/>
  <c r="N162" i="4"/>
  <c r="P161" i="4"/>
  <c r="O161" i="4"/>
  <c r="N161" i="4"/>
  <c r="P160" i="4"/>
  <c r="O160" i="4"/>
  <c r="N160" i="4"/>
  <c r="P159" i="4"/>
  <c r="O159" i="4"/>
  <c r="N159" i="4"/>
  <c r="P158" i="4"/>
  <c r="O158" i="4"/>
  <c r="N158" i="4"/>
  <c r="P157" i="4"/>
  <c r="O157" i="4"/>
  <c r="N157" i="4"/>
  <c r="P156" i="4"/>
  <c r="O156" i="4"/>
  <c r="N156" i="4"/>
  <c r="P155" i="4"/>
  <c r="O155" i="4"/>
  <c r="N155" i="4"/>
  <c r="P154" i="4"/>
  <c r="O154" i="4"/>
  <c r="N154" i="4"/>
  <c r="P153" i="4"/>
  <c r="O153" i="4"/>
  <c r="N153" i="4"/>
  <c r="P152" i="4"/>
  <c r="O152" i="4"/>
  <c r="N152" i="4"/>
  <c r="P151" i="4"/>
  <c r="O151" i="4"/>
  <c r="N151" i="4"/>
  <c r="P150" i="4"/>
  <c r="O150" i="4"/>
  <c r="N150" i="4"/>
  <c r="P149" i="4"/>
  <c r="O149" i="4"/>
  <c r="N149" i="4"/>
  <c r="P148" i="4"/>
  <c r="O148" i="4"/>
  <c r="N148" i="4"/>
  <c r="P147" i="4"/>
  <c r="O147" i="4"/>
  <c r="N147" i="4"/>
  <c r="P146" i="4"/>
  <c r="O146" i="4"/>
  <c r="N146" i="4"/>
  <c r="P145" i="4"/>
  <c r="O145" i="4"/>
  <c r="N145" i="4"/>
  <c r="P144" i="4"/>
  <c r="O144" i="4"/>
  <c r="N144" i="4"/>
  <c r="P143" i="4"/>
  <c r="O143" i="4"/>
  <c r="N143" i="4"/>
  <c r="P142" i="4"/>
  <c r="O142" i="4"/>
  <c r="N142" i="4"/>
  <c r="P141" i="4"/>
  <c r="O141" i="4"/>
  <c r="N141" i="4"/>
  <c r="P140" i="4"/>
  <c r="O140" i="4"/>
  <c r="N140" i="4"/>
  <c r="P139" i="4"/>
  <c r="O139" i="4"/>
  <c r="N139" i="4"/>
  <c r="P138" i="4"/>
  <c r="O138" i="4"/>
  <c r="N138" i="4"/>
  <c r="P137" i="4"/>
  <c r="O137" i="4"/>
  <c r="N137" i="4"/>
  <c r="P136" i="4"/>
  <c r="O136" i="4"/>
  <c r="N136" i="4"/>
  <c r="P135" i="4"/>
  <c r="O135" i="4"/>
  <c r="N135" i="4"/>
  <c r="P134" i="4"/>
  <c r="O134" i="4"/>
  <c r="N134" i="4"/>
  <c r="P133" i="4"/>
  <c r="O133" i="4"/>
  <c r="N133" i="4"/>
  <c r="P132" i="4"/>
  <c r="O132" i="4"/>
  <c r="N132" i="4"/>
  <c r="P131" i="4"/>
  <c r="O131" i="4"/>
  <c r="N131" i="4"/>
  <c r="P130" i="4"/>
  <c r="O130" i="4"/>
  <c r="N130" i="4"/>
  <c r="P129" i="4"/>
  <c r="O129" i="4"/>
  <c r="N129" i="4"/>
  <c r="P128" i="4"/>
  <c r="O128" i="4"/>
  <c r="N128" i="4"/>
  <c r="P127" i="4"/>
  <c r="O127" i="4"/>
  <c r="N127" i="4"/>
  <c r="P126" i="4"/>
  <c r="O126" i="4"/>
  <c r="N126" i="4"/>
  <c r="P125" i="4"/>
  <c r="O125" i="4"/>
  <c r="N125" i="4"/>
  <c r="P124" i="4"/>
  <c r="O124" i="4"/>
  <c r="N124" i="4"/>
  <c r="P123" i="4"/>
  <c r="O123" i="4"/>
  <c r="N123" i="4"/>
  <c r="P122" i="4"/>
  <c r="O122" i="4"/>
  <c r="N122" i="4"/>
  <c r="P121" i="4"/>
  <c r="O121" i="4"/>
  <c r="N121" i="4"/>
  <c r="P120" i="4"/>
  <c r="O120" i="4"/>
  <c r="N120" i="4"/>
  <c r="P119" i="4"/>
  <c r="O119" i="4"/>
  <c r="N119" i="4"/>
  <c r="P118" i="4"/>
  <c r="O118" i="4"/>
  <c r="N118" i="4"/>
  <c r="P117" i="4"/>
  <c r="O117" i="4"/>
  <c r="N117" i="4"/>
  <c r="P116" i="4"/>
  <c r="O116" i="4"/>
  <c r="N116" i="4"/>
  <c r="P115" i="4"/>
  <c r="O115" i="4"/>
  <c r="N115" i="4"/>
  <c r="P114" i="4"/>
  <c r="O114" i="4"/>
  <c r="N114" i="4"/>
  <c r="P113" i="4"/>
  <c r="O113" i="4"/>
  <c r="N113" i="4"/>
  <c r="P112" i="4"/>
  <c r="O112" i="4"/>
  <c r="N112" i="4"/>
  <c r="P111" i="4"/>
  <c r="O111" i="4"/>
  <c r="N111" i="4"/>
  <c r="P110" i="4"/>
  <c r="O110" i="4"/>
  <c r="N110" i="4"/>
  <c r="P109" i="4"/>
  <c r="O109" i="4"/>
  <c r="N109" i="4"/>
  <c r="P108" i="4"/>
  <c r="O108" i="4"/>
  <c r="N108" i="4"/>
  <c r="P107" i="4"/>
  <c r="O107" i="4"/>
  <c r="N107" i="4"/>
  <c r="P106" i="4"/>
  <c r="O106" i="4"/>
  <c r="N106" i="4"/>
  <c r="P105" i="4"/>
  <c r="O105" i="4"/>
  <c r="N105" i="4"/>
  <c r="P104" i="4"/>
  <c r="O104" i="4"/>
  <c r="N104" i="4"/>
  <c r="P103" i="4"/>
  <c r="O103" i="4"/>
  <c r="N103" i="4"/>
  <c r="P102" i="4"/>
  <c r="O102" i="4"/>
  <c r="N102" i="4"/>
  <c r="P101" i="4"/>
  <c r="O101" i="4"/>
  <c r="N101" i="4"/>
  <c r="P100" i="4"/>
  <c r="O100" i="4"/>
  <c r="N100" i="4"/>
  <c r="P99" i="4"/>
  <c r="O99" i="4"/>
  <c r="N99" i="4"/>
  <c r="P98" i="4"/>
  <c r="O98" i="4"/>
  <c r="N98" i="4"/>
  <c r="P97" i="4"/>
  <c r="O97" i="4"/>
  <c r="N97" i="4"/>
  <c r="P96" i="4"/>
  <c r="O96" i="4"/>
  <c r="N96" i="4"/>
  <c r="P95" i="4"/>
  <c r="O95" i="4"/>
  <c r="N95" i="4"/>
  <c r="P94" i="4"/>
  <c r="O94" i="4"/>
  <c r="N94" i="4"/>
  <c r="P93" i="4"/>
  <c r="O93" i="4"/>
  <c r="N93" i="4"/>
  <c r="P92" i="4"/>
  <c r="O92" i="4"/>
  <c r="N92" i="4"/>
  <c r="P91" i="4"/>
  <c r="O91" i="4"/>
  <c r="N91" i="4"/>
  <c r="P90" i="4"/>
  <c r="O90" i="4"/>
  <c r="N90" i="4"/>
  <c r="P89" i="4"/>
  <c r="O89" i="4"/>
  <c r="N89" i="4"/>
  <c r="P88" i="4"/>
  <c r="O88" i="4"/>
  <c r="N88" i="4"/>
  <c r="P87" i="4"/>
  <c r="O87" i="4"/>
  <c r="N87" i="4"/>
  <c r="P86" i="4"/>
  <c r="O86" i="4"/>
  <c r="N86" i="4"/>
  <c r="P85" i="4"/>
  <c r="O85" i="4"/>
  <c r="N85" i="4"/>
  <c r="P84" i="4"/>
  <c r="O84" i="4"/>
  <c r="N84" i="4"/>
  <c r="P83" i="4"/>
  <c r="O83" i="4"/>
  <c r="N83" i="4"/>
  <c r="P82" i="4"/>
  <c r="O82" i="4"/>
  <c r="N82" i="4"/>
  <c r="P81" i="4"/>
  <c r="O81" i="4"/>
  <c r="N81" i="4"/>
  <c r="P80" i="4"/>
  <c r="O80" i="4"/>
  <c r="N80" i="4"/>
  <c r="P79" i="4"/>
  <c r="O79" i="4"/>
  <c r="N79" i="4"/>
  <c r="P78" i="4"/>
  <c r="O78" i="4"/>
  <c r="N78" i="4"/>
  <c r="P77" i="4"/>
  <c r="O77" i="4"/>
  <c r="N77" i="4"/>
  <c r="P76" i="4"/>
  <c r="O76" i="4"/>
  <c r="N76" i="4"/>
  <c r="P75" i="4"/>
  <c r="O75" i="4"/>
  <c r="N75" i="4"/>
  <c r="P74" i="4"/>
  <c r="O74" i="4"/>
  <c r="N74" i="4"/>
  <c r="P73" i="4"/>
  <c r="O73" i="4"/>
  <c r="N73" i="4"/>
  <c r="P72" i="4"/>
  <c r="O72" i="4"/>
  <c r="N72" i="4"/>
  <c r="P71" i="4"/>
  <c r="O71" i="4"/>
  <c r="N71" i="4"/>
  <c r="P70" i="4"/>
  <c r="O70" i="4"/>
  <c r="N70" i="4"/>
  <c r="P69" i="4"/>
  <c r="O69" i="4"/>
  <c r="N69" i="4"/>
  <c r="P68" i="4"/>
  <c r="O68" i="4"/>
  <c r="N68" i="4"/>
  <c r="P67" i="4"/>
  <c r="O67" i="4"/>
  <c r="N67" i="4"/>
  <c r="P66" i="4"/>
  <c r="O66" i="4"/>
  <c r="N66" i="4"/>
  <c r="P65" i="4"/>
  <c r="O65" i="4"/>
  <c r="N65" i="4"/>
  <c r="P64" i="4"/>
  <c r="O64" i="4"/>
  <c r="N64" i="4"/>
  <c r="P63" i="4"/>
  <c r="O63" i="4"/>
  <c r="N63" i="4"/>
  <c r="P62" i="4"/>
  <c r="O62" i="4"/>
  <c r="N62" i="4"/>
  <c r="P61" i="4"/>
  <c r="O61" i="4"/>
  <c r="N61" i="4"/>
  <c r="P60" i="4"/>
  <c r="O60" i="4"/>
  <c r="N60" i="4"/>
  <c r="P59" i="4"/>
  <c r="O59" i="4"/>
  <c r="N59" i="4"/>
  <c r="P58" i="4"/>
  <c r="O58" i="4"/>
  <c r="N58" i="4"/>
  <c r="P57" i="4"/>
  <c r="O57" i="4"/>
  <c r="N57" i="4"/>
  <c r="P56" i="4"/>
  <c r="O56" i="4"/>
  <c r="N56" i="4"/>
  <c r="P55" i="4"/>
  <c r="O55" i="4"/>
  <c r="N55" i="4"/>
  <c r="P54" i="4"/>
  <c r="O54" i="4"/>
  <c r="N54" i="4"/>
  <c r="P53" i="4"/>
  <c r="O53" i="4"/>
  <c r="N53" i="4"/>
  <c r="P52" i="4"/>
  <c r="O52" i="4"/>
  <c r="N52" i="4"/>
  <c r="P51" i="4"/>
  <c r="O51" i="4"/>
  <c r="N51" i="4"/>
  <c r="P50" i="4"/>
  <c r="O50" i="4"/>
  <c r="N50" i="4"/>
  <c r="O49" i="4"/>
  <c r="N49" i="4"/>
  <c r="P49" i="4" s="1"/>
  <c r="P48" i="4"/>
  <c r="O48" i="4"/>
  <c r="N48" i="4"/>
  <c r="P47" i="4"/>
  <c r="O47" i="4"/>
  <c r="N47" i="4"/>
  <c r="P46" i="4"/>
  <c r="O46" i="4"/>
  <c r="N46" i="4"/>
  <c r="O45" i="4"/>
  <c r="N45" i="4"/>
  <c r="P45" i="4" s="1"/>
  <c r="P44" i="4"/>
  <c r="O44" i="4"/>
  <c r="N44" i="4"/>
  <c r="P43" i="4"/>
  <c r="O43" i="4"/>
  <c r="N43" i="4"/>
  <c r="P42" i="4"/>
  <c r="O42" i="4"/>
  <c r="N42" i="4"/>
  <c r="O41" i="4"/>
  <c r="N41" i="4"/>
  <c r="P41" i="4" s="1"/>
  <c r="P40" i="4"/>
  <c r="O40" i="4"/>
  <c r="N40" i="4"/>
  <c r="P39" i="4"/>
  <c r="O39" i="4"/>
  <c r="N39" i="4"/>
  <c r="P38" i="4"/>
  <c r="O38" i="4"/>
  <c r="N38" i="4"/>
  <c r="O37" i="4"/>
  <c r="N37" i="4"/>
  <c r="P37" i="4" s="1"/>
  <c r="N35" i="4"/>
  <c r="P35" i="4" s="1"/>
  <c r="N34" i="4"/>
  <c r="O34" i="4" s="1"/>
  <c r="N33" i="4"/>
  <c r="O33" i="4" s="1"/>
  <c r="N32" i="4"/>
  <c r="P32" i="4" s="1"/>
  <c r="N31" i="4"/>
  <c r="O31" i="4" s="1"/>
  <c r="N30" i="4"/>
  <c r="O30" i="4" s="1"/>
  <c r="N29" i="4"/>
  <c r="P29" i="4" s="1"/>
  <c r="N28" i="4"/>
  <c r="P28" i="4" s="1"/>
  <c r="N27" i="4"/>
  <c r="O27" i="4" s="1"/>
  <c r="N26" i="4"/>
  <c r="O26" i="4" s="1"/>
  <c r="N25" i="4"/>
  <c r="P25" i="4" s="1"/>
  <c r="N24" i="4"/>
  <c r="P24" i="4" s="1"/>
  <c r="N23" i="4"/>
  <c r="P23" i="4" s="1"/>
  <c r="N22" i="4"/>
  <c r="O22" i="4" s="1"/>
  <c r="N21" i="4"/>
  <c r="O21" i="4" s="1"/>
  <c r="N20" i="4"/>
  <c r="P20" i="4" s="1"/>
  <c r="N19" i="4"/>
  <c r="P19" i="4" s="1"/>
  <c r="N18" i="4"/>
  <c r="P18" i="4" s="1"/>
  <c r="N17" i="4"/>
  <c r="P17" i="4" s="1"/>
  <c r="N16" i="4"/>
  <c r="P16" i="4" s="1"/>
  <c r="N15" i="4"/>
  <c r="O15" i="4" s="1"/>
  <c r="N14" i="4"/>
  <c r="P14" i="4" s="1"/>
  <c r="N13" i="4"/>
  <c r="P13" i="4" s="1"/>
  <c r="N12" i="4"/>
  <c r="P12" i="4" s="1"/>
  <c r="N11" i="4"/>
  <c r="P11" i="4" s="1"/>
  <c r="N10" i="4"/>
  <c r="P10" i="4" s="1"/>
  <c r="N9" i="4"/>
  <c r="O9" i="4" s="1"/>
  <c r="N8" i="4"/>
  <c r="P8" i="4" s="1"/>
  <c r="N7" i="4"/>
  <c r="P7" i="4" s="1"/>
  <c r="N6" i="4"/>
  <c r="O6" i="4" s="1"/>
  <c r="N5" i="4"/>
  <c r="P5" i="4" s="1"/>
  <c r="N4" i="4"/>
  <c r="P4" i="4" s="1"/>
  <c r="F2" i="4"/>
  <c r="E2" i="4"/>
  <c r="O14" i="4" l="1"/>
  <c r="O35" i="4"/>
  <c r="O24" i="4"/>
  <c r="O11" i="4"/>
  <c r="P26" i="4"/>
  <c r="O7" i="4"/>
  <c r="P34" i="4"/>
  <c r="P33" i="4"/>
  <c r="O32" i="4"/>
  <c r="P31" i="4"/>
  <c r="P30" i="4"/>
  <c r="O29" i="4"/>
  <c r="O28" i="4"/>
  <c r="P27" i="4"/>
  <c r="O25" i="4"/>
  <c r="O20" i="4"/>
  <c r="O23" i="4"/>
  <c r="P9" i="4"/>
  <c r="P22" i="4"/>
  <c r="P21" i="4"/>
  <c r="P15" i="4"/>
  <c r="O18" i="4"/>
  <c r="O17" i="4"/>
  <c r="O10" i="4"/>
  <c r="O19" i="4"/>
  <c r="O16" i="4"/>
  <c r="O13" i="4"/>
  <c r="O12" i="4"/>
  <c r="O8" i="4"/>
  <c r="P6" i="4"/>
  <c r="O5" i="4"/>
  <c r="O4" i="4"/>
  <c r="O36" i="3"/>
  <c r="N2" i="4"/>
  <c r="P2" i="4" s="1"/>
  <c r="P201" i="3"/>
  <c r="O201" i="3"/>
  <c r="N201" i="3"/>
  <c r="P200" i="3"/>
  <c r="O200" i="3"/>
  <c r="N200" i="3"/>
  <c r="P199" i="3"/>
  <c r="O199" i="3"/>
  <c r="N199" i="3"/>
  <c r="P198" i="3"/>
  <c r="O198" i="3"/>
  <c r="N198" i="3"/>
  <c r="P197" i="3"/>
  <c r="O197" i="3"/>
  <c r="N197" i="3"/>
  <c r="P196" i="3"/>
  <c r="O196" i="3"/>
  <c r="N196" i="3"/>
  <c r="P195" i="3"/>
  <c r="O195" i="3"/>
  <c r="N195" i="3"/>
  <c r="P194" i="3"/>
  <c r="O194" i="3"/>
  <c r="N194" i="3"/>
  <c r="P193" i="3"/>
  <c r="O193" i="3"/>
  <c r="N193" i="3"/>
  <c r="P192" i="3"/>
  <c r="O192" i="3"/>
  <c r="N192" i="3"/>
  <c r="P191" i="3"/>
  <c r="O191" i="3"/>
  <c r="N191" i="3"/>
  <c r="P190" i="3"/>
  <c r="O190" i="3"/>
  <c r="N190" i="3"/>
  <c r="P189" i="3"/>
  <c r="O189" i="3"/>
  <c r="N189" i="3"/>
  <c r="P188" i="3"/>
  <c r="O188" i="3"/>
  <c r="N188" i="3"/>
  <c r="P187" i="3"/>
  <c r="O187" i="3"/>
  <c r="N187" i="3"/>
  <c r="P186" i="3"/>
  <c r="O186" i="3"/>
  <c r="N186" i="3"/>
  <c r="P185" i="3"/>
  <c r="O185" i="3"/>
  <c r="N185" i="3"/>
  <c r="P184" i="3"/>
  <c r="O184" i="3"/>
  <c r="N184" i="3"/>
  <c r="P183" i="3"/>
  <c r="O183" i="3"/>
  <c r="N183" i="3"/>
  <c r="P182" i="3"/>
  <c r="O182" i="3"/>
  <c r="N182" i="3"/>
  <c r="P181" i="3"/>
  <c r="O181" i="3"/>
  <c r="N181" i="3"/>
  <c r="P180" i="3"/>
  <c r="O180" i="3"/>
  <c r="N180" i="3"/>
  <c r="P179" i="3"/>
  <c r="O179" i="3"/>
  <c r="N179" i="3"/>
  <c r="P178" i="3"/>
  <c r="O178" i="3"/>
  <c r="N178" i="3"/>
  <c r="P177" i="3"/>
  <c r="O177" i="3"/>
  <c r="N177" i="3"/>
  <c r="P176" i="3"/>
  <c r="O176" i="3"/>
  <c r="N176" i="3"/>
  <c r="P175" i="3"/>
  <c r="O175" i="3"/>
  <c r="N175" i="3"/>
  <c r="P174" i="3"/>
  <c r="O174" i="3"/>
  <c r="N174" i="3"/>
  <c r="P173" i="3"/>
  <c r="O173" i="3"/>
  <c r="N173" i="3"/>
  <c r="P172" i="3"/>
  <c r="O172" i="3"/>
  <c r="N172" i="3"/>
  <c r="P171" i="3"/>
  <c r="O171" i="3"/>
  <c r="N171" i="3"/>
  <c r="P170" i="3"/>
  <c r="O170" i="3"/>
  <c r="N170" i="3"/>
  <c r="P169" i="3"/>
  <c r="O169" i="3"/>
  <c r="N169" i="3"/>
  <c r="P168" i="3"/>
  <c r="O168" i="3"/>
  <c r="N168" i="3"/>
  <c r="P167" i="3"/>
  <c r="O167" i="3"/>
  <c r="N167" i="3"/>
  <c r="P166" i="3"/>
  <c r="O166" i="3"/>
  <c r="N166" i="3"/>
  <c r="P165" i="3"/>
  <c r="O165" i="3"/>
  <c r="N165" i="3"/>
  <c r="P164" i="3"/>
  <c r="O164" i="3"/>
  <c r="N164" i="3"/>
  <c r="P163" i="3"/>
  <c r="O163" i="3"/>
  <c r="N163" i="3"/>
  <c r="P162" i="3"/>
  <c r="O162" i="3"/>
  <c r="N162" i="3"/>
  <c r="P161" i="3"/>
  <c r="O161" i="3"/>
  <c r="N161" i="3"/>
  <c r="P160" i="3"/>
  <c r="O160" i="3"/>
  <c r="N160" i="3"/>
  <c r="P159" i="3"/>
  <c r="O159" i="3"/>
  <c r="N159" i="3"/>
  <c r="P158" i="3"/>
  <c r="O158" i="3"/>
  <c r="N158" i="3"/>
  <c r="P157" i="3"/>
  <c r="O157" i="3"/>
  <c r="N157" i="3"/>
  <c r="P156" i="3"/>
  <c r="O156" i="3"/>
  <c r="N156" i="3"/>
  <c r="P155" i="3"/>
  <c r="O155" i="3"/>
  <c r="N155" i="3"/>
  <c r="P154" i="3"/>
  <c r="O154" i="3"/>
  <c r="N154" i="3"/>
  <c r="P153" i="3"/>
  <c r="O153" i="3"/>
  <c r="N153" i="3"/>
  <c r="P152" i="3"/>
  <c r="O152" i="3"/>
  <c r="N152" i="3"/>
  <c r="P151" i="3"/>
  <c r="O151" i="3"/>
  <c r="N151" i="3"/>
  <c r="P150" i="3"/>
  <c r="O150" i="3"/>
  <c r="N150" i="3"/>
  <c r="P149" i="3"/>
  <c r="O149" i="3"/>
  <c r="N149" i="3"/>
  <c r="P148" i="3"/>
  <c r="O148" i="3"/>
  <c r="N148" i="3"/>
  <c r="P147" i="3"/>
  <c r="O147" i="3"/>
  <c r="N147" i="3"/>
  <c r="P146" i="3"/>
  <c r="O146" i="3"/>
  <c r="N146" i="3"/>
  <c r="P145" i="3"/>
  <c r="O145" i="3"/>
  <c r="N145" i="3"/>
  <c r="P144" i="3"/>
  <c r="O144" i="3"/>
  <c r="N144" i="3"/>
  <c r="P143" i="3"/>
  <c r="O143" i="3"/>
  <c r="N143" i="3"/>
  <c r="P142" i="3"/>
  <c r="O142" i="3"/>
  <c r="N142" i="3"/>
  <c r="P141" i="3"/>
  <c r="O141" i="3"/>
  <c r="N141" i="3"/>
  <c r="P140" i="3"/>
  <c r="O140" i="3"/>
  <c r="N140" i="3"/>
  <c r="P139" i="3"/>
  <c r="O139" i="3"/>
  <c r="N139" i="3"/>
  <c r="P138" i="3"/>
  <c r="O138" i="3"/>
  <c r="N138" i="3"/>
  <c r="P137" i="3"/>
  <c r="O137" i="3"/>
  <c r="N137" i="3"/>
  <c r="P136" i="3"/>
  <c r="O136" i="3"/>
  <c r="N136" i="3"/>
  <c r="P135" i="3"/>
  <c r="O135" i="3"/>
  <c r="N135" i="3"/>
  <c r="P134" i="3"/>
  <c r="O134" i="3"/>
  <c r="N134" i="3"/>
  <c r="P133" i="3"/>
  <c r="O133" i="3"/>
  <c r="N133" i="3"/>
  <c r="P132" i="3"/>
  <c r="O132" i="3"/>
  <c r="N132" i="3"/>
  <c r="P131" i="3"/>
  <c r="O131" i="3"/>
  <c r="N131" i="3"/>
  <c r="P130" i="3"/>
  <c r="O130" i="3"/>
  <c r="N130" i="3"/>
  <c r="P129" i="3"/>
  <c r="O129" i="3"/>
  <c r="N129" i="3"/>
  <c r="P128" i="3"/>
  <c r="O128" i="3"/>
  <c r="N128" i="3"/>
  <c r="P127" i="3"/>
  <c r="O127" i="3"/>
  <c r="N127" i="3"/>
  <c r="P126" i="3"/>
  <c r="O126" i="3"/>
  <c r="N126" i="3"/>
  <c r="P125" i="3"/>
  <c r="O125" i="3"/>
  <c r="N125" i="3"/>
  <c r="P124" i="3"/>
  <c r="O124" i="3"/>
  <c r="N124" i="3"/>
  <c r="P123" i="3"/>
  <c r="O123" i="3"/>
  <c r="N123" i="3"/>
  <c r="P122" i="3"/>
  <c r="O122" i="3"/>
  <c r="N122" i="3"/>
  <c r="P121" i="3"/>
  <c r="O121" i="3"/>
  <c r="N121" i="3"/>
  <c r="P120" i="3"/>
  <c r="O120" i="3"/>
  <c r="N120" i="3"/>
  <c r="P119" i="3"/>
  <c r="O119" i="3"/>
  <c r="N119" i="3"/>
  <c r="P118" i="3"/>
  <c r="O118" i="3"/>
  <c r="N118" i="3"/>
  <c r="P117" i="3"/>
  <c r="O117" i="3"/>
  <c r="N117" i="3"/>
  <c r="P116" i="3"/>
  <c r="O116" i="3"/>
  <c r="N116" i="3"/>
  <c r="P115" i="3"/>
  <c r="O115" i="3"/>
  <c r="N115" i="3"/>
  <c r="P114" i="3"/>
  <c r="O114" i="3"/>
  <c r="N114" i="3"/>
  <c r="P113" i="3"/>
  <c r="O113" i="3"/>
  <c r="N113" i="3"/>
  <c r="P112" i="3"/>
  <c r="O112" i="3"/>
  <c r="N112" i="3"/>
  <c r="P111" i="3"/>
  <c r="O111" i="3"/>
  <c r="N111" i="3"/>
  <c r="P110" i="3"/>
  <c r="O110" i="3"/>
  <c r="N110" i="3"/>
  <c r="P109" i="3"/>
  <c r="O109" i="3"/>
  <c r="N109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4" i="3"/>
  <c r="O104" i="3"/>
  <c r="N104" i="3"/>
  <c r="P103" i="3"/>
  <c r="O103" i="3"/>
  <c r="N103" i="3"/>
  <c r="P102" i="3"/>
  <c r="O102" i="3"/>
  <c r="N102" i="3"/>
  <c r="P101" i="3"/>
  <c r="O101" i="3"/>
  <c r="N101" i="3"/>
  <c r="P100" i="3"/>
  <c r="O100" i="3"/>
  <c r="N100" i="3"/>
  <c r="P99" i="3"/>
  <c r="O99" i="3"/>
  <c r="N99" i="3"/>
  <c r="P98" i="3"/>
  <c r="O98" i="3"/>
  <c r="N98" i="3"/>
  <c r="P97" i="3"/>
  <c r="O97" i="3"/>
  <c r="N97" i="3"/>
  <c r="P96" i="3"/>
  <c r="O96" i="3"/>
  <c r="N96" i="3"/>
  <c r="P95" i="3"/>
  <c r="O95" i="3"/>
  <c r="N95" i="3"/>
  <c r="P94" i="3"/>
  <c r="O94" i="3"/>
  <c r="N94" i="3"/>
  <c r="P93" i="3"/>
  <c r="O93" i="3"/>
  <c r="N93" i="3"/>
  <c r="P92" i="3"/>
  <c r="O92" i="3"/>
  <c r="N92" i="3"/>
  <c r="P91" i="3"/>
  <c r="O91" i="3"/>
  <c r="N91" i="3"/>
  <c r="P90" i="3"/>
  <c r="O90" i="3"/>
  <c r="N90" i="3"/>
  <c r="P89" i="3"/>
  <c r="O89" i="3"/>
  <c r="N89" i="3"/>
  <c r="P88" i="3"/>
  <c r="O88" i="3"/>
  <c r="N88" i="3"/>
  <c r="P87" i="3"/>
  <c r="O87" i="3"/>
  <c r="N87" i="3"/>
  <c r="P86" i="3"/>
  <c r="O86" i="3"/>
  <c r="N86" i="3"/>
  <c r="P85" i="3"/>
  <c r="O85" i="3"/>
  <c r="N85" i="3"/>
  <c r="P84" i="3"/>
  <c r="O84" i="3"/>
  <c r="N84" i="3"/>
  <c r="P83" i="3"/>
  <c r="O83" i="3"/>
  <c r="N83" i="3"/>
  <c r="P82" i="3"/>
  <c r="O82" i="3"/>
  <c r="N82" i="3"/>
  <c r="P81" i="3"/>
  <c r="O81" i="3"/>
  <c r="N81" i="3"/>
  <c r="P80" i="3"/>
  <c r="O80" i="3"/>
  <c r="N80" i="3"/>
  <c r="P79" i="3"/>
  <c r="O79" i="3"/>
  <c r="N79" i="3"/>
  <c r="P78" i="3"/>
  <c r="O78" i="3"/>
  <c r="N78" i="3"/>
  <c r="P77" i="3"/>
  <c r="O77" i="3"/>
  <c r="N77" i="3"/>
  <c r="P76" i="3"/>
  <c r="O76" i="3"/>
  <c r="N76" i="3"/>
  <c r="P75" i="3"/>
  <c r="O75" i="3"/>
  <c r="N75" i="3"/>
  <c r="P74" i="3"/>
  <c r="O74" i="3"/>
  <c r="N74" i="3"/>
  <c r="P73" i="3"/>
  <c r="O73" i="3"/>
  <c r="N73" i="3"/>
  <c r="P72" i="3"/>
  <c r="O72" i="3"/>
  <c r="N72" i="3"/>
  <c r="P71" i="3"/>
  <c r="O71" i="3"/>
  <c r="N71" i="3"/>
  <c r="P70" i="3"/>
  <c r="O70" i="3"/>
  <c r="N70" i="3"/>
  <c r="P69" i="3"/>
  <c r="O69" i="3"/>
  <c r="N69" i="3"/>
  <c r="P68" i="3"/>
  <c r="O68" i="3"/>
  <c r="N68" i="3"/>
  <c r="P67" i="3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P59" i="3"/>
  <c r="O59" i="3"/>
  <c r="N59" i="3"/>
  <c r="P58" i="3"/>
  <c r="O58" i="3"/>
  <c r="N58" i="3"/>
  <c r="P57" i="3"/>
  <c r="O57" i="3"/>
  <c r="N57" i="3"/>
  <c r="P56" i="3"/>
  <c r="O56" i="3"/>
  <c r="N56" i="3"/>
  <c r="N55" i="3"/>
  <c r="P55" i="3" s="1"/>
  <c r="P54" i="3"/>
  <c r="O54" i="3"/>
  <c r="N54" i="3"/>
  <c r="N53" i="3"/>
  <c r="O53" i="3" s="1"/>
  <c r="N45" i="3"/>
  <c r="O45" i="3" s="1"/>
  <c r="N16" i="3"/>
  <c r="O16" i="3" s="1"/>
  <c r="N38" i="3"/>
  <c r="O38" i="3" s="1"/>
  <c r="N41" i="3"/>
  <c r="P41" i="3" s="1"/>
  <c r="N27" i="3"/>
  <c r="P27" i="3" s="1"/>
  <c r="N33" i="3"/>
  <c r="P33" i="3" s="1"/>
  <c r="N9" i="3"/>
  <c r="P9" i="3" s="1"/>
  <c r="N5" i="3"/>
  <c r="P5" i="3" s="1"/>
  <c r="N10" i="3"/>
  <c r="O10" i="3" s="1"/>
  <c r="N30" i="3"/>
  <c r="O30" i="3" s="1"/>
  <c r="N35" i="3"/>
  <c r="O35" i="3" s="1"/>
  <c r="N39" i="3"/>
  <c r="P39" i="3" s="1"/>
  <c r="N24" i="3"/>
  <c r="P24" i="3" s="1"/>
  <c r="N49" i="3"/>
  <c r="P49" i="3" s="1"/>
  <c r="N50" i="3"/>
  <c r="P50" i="3" s="1"/>
  <c r="N17" i="3"/>
  <c r="P17" i="3" s="1"/>
  <c r="N31" i="3"/>
  <c r="O31" i="3" s="1"/>
  <c r="N11" i="3"/>
  <c r="O11" i="3" s="1"/>
  <c r="N25" i="3"/>
  <c r="P25" i="3" s="1"/>
  <c r="N15" i="3"/>
  <c r="P15" i="3" s="1"/>
  <c r="N32" i="3"/>
  <c r="P32" i="3" s="1"/>
  <c r="N22" i="3"/>
  <c r="P22" i="3" s="1"/>
  <c r="N18" i="3"/>
  <c r="P18" i="3" s="1"/>
  <c r="N42" i="3"/>
  <c r="P42" i="3" s="1"/>
  <c r="N48" i="3"/>
  <c r="O48" i="3" s="1"/>
  <c r="N13" i="3"/>
  <c r="O13" i="3" s="1"/>
  <c r="N6" i="3"/>
  <c r="P6" i="3" s="1"/>
  <c r="N4" i="3"/>
  <c r="P4" i="3" s="1"/>
  <c r="N26" i="3"/>
  <c r="P26" i="3" s="1"/>
  <c r="N52" i="3"/>
  <c r="P52" i="3" s="1"/>
  <c r="N12" i="3"/>
  <c r="P12" i="3" s="1"/>
  <c r="N47" i="3"/>
  <c r="P47" i="3" s="1"/>
  <c r="N19" i="3"/>
  <c r="O19" i="3" s="1"/>
  <c r="N14" i="3"/>
  <c r="O14" i="3" s="1"/>
  <c r="N29" i="3"/>
  <c r="O29" i="3" s="1"/>
  <c r="N23" i="3"/>
  <c r="P23" i="3" s="1"/>
  <c r="N7" i="3"/>
  <c r="P7" i="3" s="1"/>
  <c r="N21" i="3"/>
  <c r="P21" i="3" s="1"/>
  <c r="N40" i="3"/>
  <c r="P40" i="3" s="1"/>
  <c r="N37" i="3"/>
  <c r="O37" i="3" s="1"/>
  <c r="N34" i="3"/>
  <c r="O34" i="3" s="1"/>
  <c r="N46" i="3"/>
  <c r="O46" i="3" s="1"/>
  <c r="N28" i="3"/>
  <c r="P28" i="3" s="1"/>
  <c r="N20" i="3"/>
  <c r="P20" i="3" s="1"/>
  <c r="N8" i="3"/>
  <c r="P8" i="3" s="1"/>
  <c r="N43" i="3"/>
  <c r="P43" i="3" s="1"/>
  <c r="N44" i="3"/>
  <c r="P44" i="3" s="1"/>
  <c r="N51" i="3"/>
  <c r="P51" i="3" s="1"/>
  <c r="F2" i="3"/>
  <c r="E2" i="3"/>
  <c r="F2" i="1"/>
  <c r="E2" i="1"/>
  <c r="P53" i="3" l="1"/>
  <c r="O55" i="3"/>
  <c r="O2" i="4"/>
  <c r="P45" i="3"/>
  <c r="O21" i="3"/>
  <c r="O40" i="3"/>
  <c r="P34" i="3"/>
  <c r="P46" i="3"/>
  <c r="O43" i="3"/>
  <c r="O44" i="3"/>
  <c r="O33" i="3"/>
  <c r="P14" i="3"/>
  <c r="O49" i="3"/>
  <c r="P10" i="3"/>
  <c r="P16" i="3"/>
  <c r="O52" i="3"/>
  <c r="P48" i="3"/>
  <c r="O50" i="3"/>
  <c r="P30" i="3"/>
  <c r="P19" i="3"/>
  <c r="O18" i="3"/>
  <c r="P11" i="3"/>
  <c r="O22" i="3"/>
  <c r="P31" i="3"/>
  <c r="O9" i="3"/>
  <c r="O12" i="3"/>
  <c r="P13" i="3"/>
  <c r="O25" i="3"/>
  <c r="O6" i="3"/>
  <c r="P29" i="3"/>
  <c r="O47" i="3"/>
  <c r="O42" i="3"/>
  <c r="O17" i="3"/>
  <c r="P35" i="3"/>
  <c r="O5" i="3"/>
  <c r="P38" i="3"/>
  <c r="O28" i="3"/>
  <c r="N2" i="3"/>
  <c r="P2" i="3" s="1"/>
  <c r="O8" i="3"/>
  <c r="P37" i="3"/>
  <c r="O7" i="3"/>
  <c r="O26" i="3"/>
  <c r="O32" i="3"/>
  <c r="O24" i="3"/>
  <c r="O27" i="3"/>
  <c r="O51" i="3"/>
  <c r="O23" i="3"/>
  <c r="O4" i="3"/>
  <c r="O15" i="3"/>
  <c r="O39" i="3"/>
  <c r="O41" i="3"/>
  <c r="O20" i="3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" i="3" l="1"/>
  <c r="N7" i="1"/>
  <c r="P7" i="1" s="1"/>
  <c r="N11" i="1"/>
  <c r="N9" i="1"/>
  <c r="P9" i="1" s="1"/>
  <c r="N13" i="1"/>
  <c r="P13" i="1" s="1"/>
  <c r="N5" i="1"/>
  <c r="P5" i="1" s="1"/>
  <c r="N4" i="1"/>
  <c r="P4" i="1" s="1"/>
  <c r="N12" i="1"/>
  <c r="P12" i="1" s="1"/>
  <c r="N8" i="1"/>
  <c r="P8" i="1" s="1"/>
  <c r="N10" i="1"/>
  <c r="P10" i="1" s="1"/>
  <c r="N16" i="1"/>
  <c r="P16" i="1" s="1"/>
  <c r="N15" i="1"/>
  <c r="P15" i="1" s="1"/>
  <c r="N14" i="1"/>
  <c r="P14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6" i="1"/>
  <c r="P6" i="1" s="1"/>
  <c r="O9" i="1"/>
  <c r="O13" i="1"/>
  <c r="O14" i="1"/>
  <c r="O22" i="1"/>
  <c r="O24" i="1"/>
  <c r="O32" i="1"/>
  <c r="O42" i="1"/>
  <c r="O48" i="1"/>
  <c r="O49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5" i="1" l="1"/>
  <c r="O51" i="1"/>
  <c r="O50" i="1"/>
  <c r="O26" i="1"/>
  <c r="O47" i="1"/>
  <c r="O46" i="1"/>
  <c r="O45" i="1"/>
  <c r="O44" i="1"/>
  <c r="O43" i="1"/>
  <c r="O41" i="1"/>
  <c r="O40" i="1"/>
  <c r="O39" i="1"/>
  <c r="O38" i="1"/>
  <c r="O37" i="1"/>
  <c r="O36" i="1"/>
  <c r="O35" i="1"/>
  <c r="O34" i="1"/>
  <c r="O33" i="1"/>
  <c r="O31" i="1"/>
  <c r="O30" i="1"/>
  <c r="O29" i="1"/>
  <c r="O28" i="1"/>
  <c r="O27" i="1"/>
  <c r="O25" i="1"/>
  <c r="O23" i="1"/>
  <c r="O21" i="1"/>
  <c r="O19" i="1"/>
  <c r="O18" i="1"/>
  <c r="O20" i="1"/>
  <c r="O17" i="1"/>
  <c r="O15" i="1"/>
  <c r="O10" i="1"/>
  <c r="O16" i="1"/>
  <c r="O8" i="1"/>
  <c r="O12" i="1"/>
  <c r="O4" i="1"/>
  <c r="N2" i="1"/>
  <c r="P2" i="1" s="1"/>
  <c r="P11" i="1"/>
  <c r="O11" i="1"/>
  <c r="O6" i="1"/>
  <c r="O7" i="1"/>
  <c r="O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GRAMMATEIA</author>
    <author>Eurognosi Nea Ionia</author>
    <author>Foteini Ch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2Η ΔΟΣΗ ΕΩΣ11 ΟΚΤΩΒΡΗ</t>
        </r>
      </text>
    </comment>
    <comment ref="F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11/9/2023 ΠΕΙΡΑΙΩΣ </t>
        </r>
      </text>
    </comment>
    <comment ref="F5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5/10/23</t>
        </r>
      </text>
    </comment>
    <comment ref="F6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13/10/23 ΚΑΡΤΑ ΝΕΑ ΙΩΝΙΑ</t>
        </r>
      </text>
    </comment>
    <comment ref="F7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3/11/23</t>
        </r>
      </text>
    </comment>
    <comment ref="E8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6/12/23 </t>
        </r>
      </text>
    </comment>
    <comment ref="F8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6/12/23</t>
        </r>
      </text>
    </comment>
    <comment ref="F9" authorId="1" shapeId="0" xr:uid="{00000000-0006-0000-0000-000008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5/12/23 ALPHA
</t>
        </r>
      </text>
    </comment>
    <comment ref="E10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14/2/24</t>
        </r>
      </text>
    </comment>
    <comment ref="F10" authorId="1" shapeId="0" xr:uid="{00000000-0006-0000-0000-00000A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24/9/24</t>
        </r>
      </text>
    </comment>
    <comment ref="E13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4/3/24 </t>
        </r>
      </text>
    </comment>
    <comment ref="F14" authorId="1" shapeId="0" xr:uid="{00000000-0006-0000-0000-00000C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21/03/24 </t>
        </r>
      </text>
    </comment>
    <comment ref="F15" authorId="1" shapeId="0" xr:uid="{00000000-0006-0000-0000-00000D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26/04/24 </t>
        </r>
      </text>
    </comment>
    <comment ref="F16" authorId="1" shapeId="0" xr:uid="{00000000-0006-0000-0000-00000E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24/05/24 ΚΑΡΤΑ </t>
        </r>
      </text>
    </comment>
    <comment ref="F17" authorId="1" shapeId="0" xr:uid="{00000000-0006-0000-0000-00000F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2/7/24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Foteini Ch</author>
    <author>Gramateia New</author>
  </authors>
  <commentList>
    <comment ref="F5" authorId="0" shapeId="0" xr:uid="{09E4E354-7B49-4726-990A-A1B2E8A2B949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16/1/2025 ΤΑΜΕΙΟ ΝΙ</t>
        </r>
      </text>
    </comment>
    <comment ref="F6" authorId="0" shapeId="0" xr:uid="{4212C469-58DC-49FA-AB7C-A3A1C05DF595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16/1/2025 ΤΑΜΕΙΟ ΝΙ</t>
        </r>
      </text>
    </comment>
    <comment ref="F7" authorId="0" shapeId="0" xr:uid="{978D1E1E-623C-4F5C-B001-7142B3A7CB8D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14/1/2025 ΤΑΜΕΙΟ ΝΙ </t>
        </r>
      </text>
    </comment>
    <comment ref="F8" authorId="0" shapeId="0" xr:uid="{D7E95C2A-FBAE-432C-9BBD-E5071405A609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ΠΛΗΡΩΜΗ ΤΑΜΕΙΟ ΝΕΑ ΙΩΝΙΑ</t>
        </r>
      </text>
    </comment>
    <comment ref="F9" authorId="0" shapeId="0" xr:uid="{069045E3-232E-4F01-81D4-28474AD9A358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28/1/25 ΚΑΤΑΘΕΣΗ</t>
        </r>
      </text>
    </comment>
    <comment ref="F11" authorId="0" shapeId="0" xr:uid="{FC283AC8-1285-4E54-9FF2-03013F94CDB4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28/1/2024 ΚΑΤΑΘΕΣΗ</t>
        </r>
      </text>
    </comment>
    <comment ref="F12" authorId="1" shapeId="0" xr:uid="{A05435A8-6490-4498-A208-69E164C5E8C0}">
      <text>
        <r>
          <rPr>
            <b/>
            <sz val="9"/>
            <color indexed="81"/>
            <rFont val="Tahoma"/>
            <family val="2"/>
            <charset val="161"/>
          </rPr>
          <t>Gramateia New:</t>
        </r>
        <r>
          <rPr>
            <sz val="9"/>
            <color indexed="81"/>
            <rFont val="Tahoma"/>
            <family val="2"/>
            <charset val="161"/>
          </rPr>
          <t xml:space="preserve">
ΚΑΤΑΘΕΣΗ 5/9/25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Foteini Ch</author>
    <author>Eurognosi Nea Ionia</author>
    <author>GRAMMATEIA</author>
  </authors>
  <commentList>
    <comment ref="A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ΕΩΣ 30/9 ΤΑ ΥΠΟΛΟΙΠΑ 150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KARTA 30/8/22</t>
        </r>
      </text>
    </comment>
    <comment ref="F5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karta filothei 1/9/2022
</t>
        </r>
      </text>
    </comment>
    <comment ref="F6" authorId="1" shapeId="0" xr:uid="{00000000-0006-0000-0100-000004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03/09/22 </t>
        </r>
      </text>
    </comment>
    <comment ref="G6" authorId="1" shapeId="0" xr:uid="{00000000-0006-0000-0100-000005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10/09/22</t>
        </r>
      </text>
    </comment>
    <comment ref="F7" authorId="2" shapeId="0" xr:uid="{00000000-0006-0000-0100-000006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26/9/2022</t>
        </r>
      </text>
    </comment>
    <comment ref="G7" authorId="2" shapeId="0" xr:uid="{00000000-0006-0000-0100-000007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7/10/2023
</t>
        </r>
      </text>
    </comment>
    <comment ref="F8" authorId="2" shapeId="0" xr:uid="{00000000-0006-0000-0100-000008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22/9/2022 ΚΑΤΑΤΗΕΣΙ</t>
        </r>
      </text>
    </comment>
    <comment ref="F9" authorId="2" shapeId="0" xr:uid="{00000000-0006-0000-0100-000009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9/9/2022</t>
        </r>
      </text>
    </comment>
    <comment ref="E10" authorId="2" shapeId="0" xr:uid="{00000000-0006-0000-0100-00000A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9/9/2022</t>
        </r>
      </text>
    </comment>
    <comment ref="F11" authorId="2" shapeId="0" xr:uid="{00000000-0006-0000-0100-00000B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21/10/2022</t>
        </r>
      </text>
    </comment>
    <comment ref="F12" authorId="2" shapeId="0" xr:uid="{00000000-0006-0000-0100-00000C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21/10/2022</t>
        </r>
      </text>
    </comment>
    <comment ref="F14" authorId="2" shapeId="0" xr:uid="{00000000-0006-0000-0100-00000D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24/10/2022 TAMEIO FILOTHEI</t>
        </r>
      </text>
    </comment>
    <comment ref="E15" authorId="1" shapeId="0" xr:uid="{00000000-0006-0000-0100-00000E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07/11/22 </t>
        </r>
      </text>
    </comment>
    <comment ref="F15" authorId="1" shapeId="0" xr:uid="{00000000-0006-0000-0100-00000F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25/12/22 εθνική </t>
        </r>
      </text>
    </comment>
    <comment ref="E16" authorId="1" shapeId="0" xr:uid="{00000000-0006-0000-0100-000010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07/11/22 </t>
        </r>
      </text>
    </comment>
    <comment ref="F16" authorId="1" shapeId="0" xr:uid="{00000000-0006-0000-0100-000011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25/12/22 εθνικη </t>
        </r>
      </text>
    </comment>
    <comment ref="F17" authorId="2" shapeId="0" xr:uid="{00000000-0006-0000-0100-000012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09/12/2022</t>
        </r>
      </text>
    </comment>
    <comment ref="G17" authorId="2" shapeId="0" xr:uid="{00000000-0006-0000-0100-000013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27/12/2023 PEIRAIOS</t>
        </r>
      </text>
    </comment>
    <comment ref="F18" authorId="2" shapeId="0" xr:uid="{00000000-0006-0000-0100-000014000000}">
      <text>
        <r>
          <rPr>
            <b/>
            <sz val="9"/>
            <color indexed="81"/>
            <rFont val="Tahoma"/>
            <family val="2"/>
            <charset val="161"/>
          </rPr>
          <t>GRAMMATERA:</t>
        </r>
        <r>
          <rPr>
            <sz val="9"/>
            <color indexed="81"/>
            <rFont val="Tahoma"/>
            <family val="2"/>
            <charset val="161"/>
          </rPr>
          <t xml:space="preserve">
14/11/2022 ΕURΟΒΑΝΚ</t>
        </r>
      </text>
    </comment>
    <comment ref="F19" authorId="2" shapeId="0" xr:uid="{00000000-0006-0000-0100-000015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14/11/2022 ΕURΟΒΑΝΚ</t>
        </r>
      </text>
    </comment>
    <comment ref="F20" authorId="2" shapeId="0" xr:uid="{00000000-0006-0000-0100-000016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14/11/2022 ΕURΟΒΑΝΚ</t>
        </r>
      </text>
    </comment>
    <comment ref="F21" authorId="2" shapeId="0" xr:uid="{00000000-0006-0000-0100-000017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13/12/2022 ΚΑΡΤΑΤΑΜΕΙΟ ΦΙΛ</t>
        </r>
      </text>
    </comment>
    <comment ref="F22" authorId="1" shapeId="0" xr:uid="{00000000-0006-0000-0100-000018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20/12/22 ΚΑΤΑΘΕΣΗ </t>
        </r>
      </text>
    </comment>
    <comment ref="F23" authorId="2" shapeId="0" xr:uid="{00000000-0006-0000-0100-000019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22/9/2022 EUROBANK</t>
        </r>
      </text>
    </comment>
    <comment ref="F24" authorId="2" shapeId="0" xr:uid="{00000000-0006-0000-0100-00001A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18/1/2023 metrhta tameio filothei
</t>
        </r>
      </text>
    </comment>
    <comment ref="E26" authorId="1" shapeId="0" xr:uid="{00000000-0006-0000-0100-00001B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28/03/23 </t>
        </r>
      </text>
    </comment>
    <comment ref="G29" authorId="2" shapeId="0" xr:uid="{00000000-0006-0000-0100-00001C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25/4/2023 ΤΑΜΕΙΟ ΦΙΛΟΘΕΗ</t>
        </r>
      </text>
    </comment>
    <comment ref="H29" authorId="2" shapeId="0" xr:uid="{00000000-0006-0000-0100-00001D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25/5/2023</t>
        </r>
      </text>
    </comment>
    <comment ref="F30" authorId="1" shapeId="0" xr:uid="{00000000-0006-0000-0100-00001E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15/05/23 </t>
        </r>
      </text>
    </comment>
    <comment ref="G30" authorId="1" shapeId="0" xr:uid="{00000000-0006-0000-0100-00001F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20/05/23 </t>
        </r>
      </text>
    </comment>
    <comment ref="H30" authorId="1" shapeId="0" xr:uid="{00000000-0006-0000-0100-000020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20/10/2023 </t>
        </r>
      </text>
    </comment>
    <comment ref="F31" authorId="1" shapeId="0" xr:uid="{00000000-0006-0000-0100-000021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24/05/23 </t>
        </r>
      </text>
    </comment>
    <comment ref="F33" authorId="2" shapeId="0" xr:uid="{00000000-0006-0000-0100-000022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30/9/22</t>
        </r>
      </text>
    </comment>
    <comment ref="G34" authorId="2" shapeId="0" xr:uid="{00000000-0006-0000-0100-000023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9/6/2023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Foteini Ch</author>
    <author>Eurognosi Nea Ionia</author>
    <author>GRAMMATEIA</author>
  </authors>
  <commentList>
    <comment ref="F4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161"/>
          </rPr>
          <t xml:space="preserve">31/3/22 ΠΕΙΡΑΙΩΣ </t>
        </r>
      </text>
    </comment>
    <comment ref="F1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24/2/22</t>
        </r>
      </text>
    </comment>
    <comment ref="F14" authorId="1" shapeId="0" xr:uid="{00000000-0006-0000-0200-000003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24/10/2020</t>
        </r>
      </text>
    </comment>
    <comment ref="F26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14/3/22 ALPHA</t>
        </r>
      </text>
    </comment>
    <comment ref="G26" authorId="2" shapeId="0" xr:uid="{00000000-0006-0000-0200-000005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ΕΠΑΝΕΞΕΤΑΣΗ</t>
        </r>
      </text>
    </comment>
    <comment ref="F29" authorId="1" shapeId="0" xr:uid="{00000000-0006-0000-0200-000006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30/10/2020</t>
        </r>
      </text>
    </comment>
    <comment ref="F47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2/6/22</t>
        </r>
      </text>
    </comment>
    <comment ref="J47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3/6/22</t>
        </r>
      </text>
    </comment>
    <comment ref="F52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20/5/22 metrita
</t>
        </r>
      </text>
    </comment>
    <comment ref="G52" authorId="2" shapeId="0" xr:uid="{00000000-0006-0000-0200-00000A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21/10/2022</t>
        </r>
      </text>
    </comment>
    <comment ref="F53" authorId="2" shapeId="0" xr:uid="{00000000-0006-0000-0200-00000B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ANANEVSH 12/9/2023 PEIRAIOS</t>
        </r>
      </text>
    </comment>
    <comment ref="F55" authorId="2" shapeId="0" xr:uid="{00000000-0006-0000-0200-00000C000000}">
      <text>
        <r>
          <rPr>
            <b/>
            <sz val="9"/>
            <color indexed="81"/>
            <rFont val="Tahoma"/>
            <family val="2"/>
            <charset val="161"/>
          </rPr>
          <t>GRAMMATEIA:</t>
        </r>
        <r>
          <rPr>
            <sz val="9"/>
            <color indexed="81"/>
            <rFont val="Tahoma"/>
            <family val="2"/>
            <charset val="161"/>
          </rPr>
          <t xml:space="preserve">
18/6/22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Gramateia</author>
    <author>Eurognosi Nea Ionia</author>
    <author>Foteini Ch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17/1/2020</t>
        </r>
      </text>
    </comment>
    <comment ref="H4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27/1/2020</t>
        </r>
      </text>
    </comment>
    <comment ref="I4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13/2/2020</t>
        </r>
      </text>
    </comment>
    <comment ref="J4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28/2/2020</t>
        </r>
      </text>
    </comment>
    <comment ref="F5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8/1/2020</t>
        </r>
      </text>
    </comment>
    <comment ref="F6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9/9/2019</t>
        </r>
      </text>
    </comment>
    <comment ref="H6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6/3/2020</t>
        </r>
      </text>
    </comment>
    <comment ref="F7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26/6/19</t>
        </r>
      </text>
    </comment>
    <comment ref="F8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7/2/2020</t>
        </r>
      </text>
    </comment>
    <comment ref="F9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4/11/2019</t>
        </r>
      </text>
    </comment>
    <comment ref="F10" authorId="0" shapeId="0" xr:uid="{00000000-0006-0000-0300-00000B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10/2/2020</t>
        </r>
      </text>
    </comment>
    <comment ref="H10" authorId="1" shapeId="0" xr:uid="{00000000-0006-0000-0300-00000C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21/9/2020</t>
        </r>
      </text>
    </comment>
    <comment ref="I10" authorId="1" shapeId="0" xr:uid="{00000000-0006-0000-0300-00000D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5/10/20</t>
        </r>
      </text>
    </comment>
    <comment ref="J10" authorId="1" shapeId="0" xr:uid="{00000000-0006-0000-0300-00000E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5/10/2020</t>
        </r>
      </text>
    </comment>
    <comment ref="F11" authorId="0" shapeId="0" xr:uid="{00000000-0006-0000-0300-00000F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2/3/18</t>
        </r>
      </text>
    </comment>
    <comment ref="G11" authorId="0" shapeId="0" xr:uid="{00000000-0006-0000-0300-000010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4/10/19</t>
        </r>
      </text>
    </comment>
    <comment ref="F12" authorId="0" shapeId="0" xr:uid="{00000000-0006-0000-0300-000011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10/1/2020</t>
        </r>
      </text>
    </comment>
    <comment ref="G12" authorId="0" shapeId="0" xr:uid="{00000000-0006-0000-0300-000012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14/1/2020 ΚΑΡΤΑ</t>
        </r>
      </text>
    </comment>
    <comment ref="F13" authorId="0" shapeId="0" xr:uid="{00000000-0006-0000-0300-000013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6/11/2019</t>
        </r>
      </text>
    </comment>
    <comment ref="F14" authorId="1" shapeId="0" xr:uid="{00000000-0006-0000-0300-000014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28/9/2020</t>
        </r>
      </text>
    </comment>
    <comment ref="F15" authorId="1" shapeId="0" xr:uid="{00000000-0006-0000-0300-000015000000}">
      <text>
        <r>
          <rPr>
            <b/>
            <sz val="9"/>
            <color indexed="81"/>
            <rFont val="Tahoma"/>
            <family val="2"/>
            <charset val="161"/>
          </rPr>
          <t>Eurognosi Nea Ionia:</t>
        </r>
        <r>
          <rPr>
            <sz val="9"/>
            <color indexed="81"/>
            <rFont val="Tahoma"/>
            <family val="2"/>
            <charset val="161"/>
          </rPr>
          <t xml:space="preserve">
29/9/2020</t>
        </r>
      </text>
    </comment>
    <comment ref="F16" authorId="0" shapeId="0" xr:uid="{00000000-0006-0000-0300-000016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10/7/2020</t>
        </r>
      </text>
    </comment>
    <comment ref="G16" authorId="0" shapeId="0" xr:uid="{00000000-0006-0000-0300-000017000000}">
      <text>
        <r>
          <rPr>
            <b/>
            <sz val="9"/>
            <color indexed="81"/>
            <rFont val="Tahoma"/>
            <family val="2"/>
            <charset val="161"/>
          </rPr>
          <t>Gramateia:</t>
        </r>
        <r>
          <rPr>
            <sz val="9"/>
            <color indexed="81"/>
            <rFont val="Tahoma"/>
            <family val="2"/>
            <charset val="161"/>
          </rPr>
          <t xml:space="preserve">
15/7/2020</t>
        </r>
      </text>
    </comment>
    <comment ref="K16" authorId="2" shapeId="0" xr:uid="{00000000-0006-0000-0300-000018000000}">
      <text>
        <r>
          <rPr>
            <b/>
            <sz val="9"/>
            <color indexed="81"/>
            <rFont val="Tahoma"/>
            <family val="2"/>
            <charset val="161"/>
          </rPr>
          <t>Foteini Ch:</t>
        </r>
        <r>
          <rPr>
            <sz val="9"/>
            <color indexed="81"/>
            <rFont val="Tahoma"/>
            <family val="2"/>
            <charset val="161"/>
          </rPr>
          <t xml:space="preserve">
30/5/22</t>
        </r>
      </text>
    </comment>
  </commentList>
</comments>
</file>

<file path=xl/sharedStrings.xml><?xml version="1.0" encoding="utf-8"?>
<sst xmlns="http://schemas.openxmlformats.org/spreadsheetml/2006/main" count="451" uniqueCount="261">
  <si>
    <t>ΣΥΜΦΩΝΙΑ</t>
  </si>
  <si>
    <t>ΠΡΟΚ/ΛΗ</t>
  </si>
  <si>
    <t>ΕΙΣΠΡΑΞΗ</t>
  </si>
  <si>
    <t>ΤΗΛΕΦΩΝΟ</t>
  </si>
  <si>
    <t>ΟΝΟΜΑΤ/ΝΥΜΟ</t>
  </si>
  <si>
    <t>WORD</t>
  </si>
  <si>
    <t>EXCEL</t>
  </si>
  <si>
    <t>INTERNET</t>
  </si>
  <si>
    <t>WINDOWS</t>
  </si>
  <si>
    <t>ACCESS</t>
  </si>
  <si>
    <t>P. POINT</t>
  </si>
  <si>
    <t>ΥΠ</t>
  </si>
  <si>
    <t>EMAIL</t>
  </si>
  <si>
    <t>ΕΝΟΤΗΤΕΣ</t>
  </si>
  <si>
    <t>WORD, EXCEL, INTERNET</t>
  </si>
  <si>
    <t>ΠΛΗΡΩΜΗ ΠΑΚΕΤΟΥ</t>
  </si>
  <si>
    <t>ΣΧΟΛΗ</t>
  </si>
  <si>
    <t>ΝΕΑ ΙΩΝΙΑ</t>
  </si>
  <si>
    <t>ΚΛΟΥΔΑ ΑΛΕΞΑΝΔΡΑ</t>
  </si>
  <si>
    <t>ΚΙΤΣΙΟΥ ΜΑΡΙΑ</t>
  </si>
  <si>
    <t>ΕΞΕΛΙΞΗ ΠΛΗΡΩΜΗΣ</t>
  </si>
  <si>
    <t>ΝΤΑΣΗ ΔΗΜΗΤΡΑ</t>
  </si>
  <si>
    <t>WORD, EXCEL, INTERNET, POWER POINT, ACCESS, WINDOWS</t>
  </si>
  <si>
    <t>ΚΟΡΜΑΛΗΣ ΠΑΝΑΓΙΩΤΗΣ</t>
  </si>
  <si>
    <t>WORD,EXCEL,INTERNET</t>
  </si>
  <si>
    <t>ΣΚΕΡΤΣΟΥ ΧΡΥΣΑ</t>
  </si>
  <si>
    <t>ΚΑΡΑΓΚΟΥΝΗ ΒΑΣΙΛΙΚΗ</t>
  </si>
  <si>
    <t>ΗΛΙΟΠΟΥΛΟΥ ΛΙΛΑ</t>
  </si>
  <si>
    <t>ΠΑΥΛΙΔΗΣ ΠΑΥΛΟΣ</t>
  </si>
  <si>
    <t>6942811968/2102750333</t>
  </si>
  <si>
    <t>ΦΙΛΟΘΕΗ</t>
  </si>
  <si>
    <t>pavlos.e.pavlidis@gmail.com</t>
  </si>
  <si>
    <t>6933167337/2102834757</t>
  </si>
  <si>
    <t>vivianne_555@hotmail.com</t>
  </si>
  <si>
    <t>ΚΟΝΤΟΠΟΥΛΟΣ ΓΙΑΝΝΗΣ</t>
  </si>
  <si>
    <t>WORD,EXCEL,INTERNET,POWER POINT,ACCESS,WINDOWS</t>
  </si>
  <si>
    <t>ΛΙΑΓΚΟΣ ΧΡΗΣΤΟΣ</t>
  </si>
  <si>
    <t>ΓΚΡΟΥΣ ΜΑΤΙΝΑ</t>
  </si>
  <si>
    <t>ΧΡΙΣΤΟΠΟΥΛΟΥ ΑΘΗΝΑ</t>
  </si>
  <si>
    <t>napointe@yahoo.com</t>
  </si>
  <si>
    <t xml:space="preserve">ΦΙΛΗΣ ΒΑΓΓΕΛΗΣ </t>
  </si>
  <si>
    <t>ΜΑΡΙΑ ΔΗΜΗΤΡΟΚΑΛΗ</t>
  </si>
  <si>
    <t>ΚΑΤΣΑΝΟΥ ΕΥΑΓΓΕΛΙΑ</t>
  </si>
  <si>
    <t>ΓΕΩΡΓΟΥΔΑΚΗΣ ΓΙΑΝΝΗΣ</t>
  </si>
  <si>
    <t>ΔΙΑΜΑΝΤΑΚΟΥ ΙΟΥΛΙΑ</t>
  </si>
  <si>
    <t xml:space="preserve">ΣΟΦΙΑ ΜΠΟΤΣΑ </t>
  </si>
  <si>
    <t>ΑΡΝΤΙΤΑ ΜΠΡΕΓΚΟΥ</t>
  </si>
  <si>
    <t>ΧΡΙΣΤΙΝΑ ΜΙΤΣΙΟΥ</t>
  </si>
  <si>
    <t>xristinamitsiou2007@outlook.com</t>
  </si>
  <si>
    <t>ΘΕΟΔΩΡΟΣ ΓΟΥΛΑΣ</t>
  </si>
  <si>
    <t>ΑΓΝΗ ΟΜΗΡΟΥ</t>
  </si>
  <si>
    <t>ΑΙΚΑΤΕΡΙΝΗ ΤΟΦΑΝ</t>
  </si>
  <si>
    <t>ΓΕΩΡΓΙΟΣ ΠΟΥΛΟΣ</t>
  </si>
  <si>
    <t>ΣΤΑΥΡΟΥΛΑ ΚΥΠΡΑΙΟΥ</t>
  </si>
  <si>
    <t>WORD,EXCEL,WINDOWS</t>
  </si>
  <si>
    <t>ΜΕΓΚΥ ΚΙΣΤΑ</t>
  </si>
  <si>
    <t>INTERNET,WORD,EXCEL</t>
  </si>
  <si>
    <t>ΔΗΜΗΤΡΑ ΤΙΤΟΠΟΥΛΟΥ</t>
  </si>
  <si>
    <t>ΕΛΕΝΗ-ΑΡΣΙΝΟΗ ΤΕΓΟΥ</t>
  </si>
  <si>
    <t>ΚΩΝΣΤΑΝΤΙΝΟΣ ΤΑΤΣΗΣ</t>
  </si>
  <si>
    <t>ΓΙΩΡΓΟΣ ΤΑΓΑΡΗΣ</t>
  </si>
  <si>
    <t>ΗΡΑΚΛΕΙΤΟΣ ΣΟΥΓΙΟΥΛΤΖΟΓΛΟΥ</t>
  </si>
  <si>
    <t>ΑΝΑΣΤΑΣΙΑ ΡΟΖΗ</t>
  </si>
  <si>
    <t>ΚΩΝΣΤΑΝΤΙΝΟΣ ΠΑΠΑΠΑΝΟΣ</t>
  </si>
  <si>
    <t xml:space="preserve">ΔΗΜΗΤΡΑ ΝΤΑΣΗ </t>
  </si>
  <si>
    <t>ΦΩΤΕΙΝΗ ΝΙΚΟΛΑΚΟΠΟΥΛΟΥ</t>
  </si>
  <si>
    <t>ΣΤΑΥΡΟΥΛΑ ΝΑΚΑ</t>
  </si>
  <si>
    <t>ΕΥΔΟΞΙΑ ΜΠΑΜΠΑΝΗ</t>
  </si>
  <si>
    <t>ΜΑΡΙΑ ΜΑΡΙΝΟΓΛΟΥ</t>
  </si>
  <si>
    <t>ΜΑΚΡΗ ΑΝΑΣΤΑΣΙΑ-ΧΡΙΣΤΙΝΑ</t>
  </si>
  <si>
    <t>ΚΥΡΙΑΚΗ ΛΕΓΑΚΗ</t>
  </si>
  <si>
    <t>ΑΝΑΣΤΑΣΙΑ ΚΡΑΒΑΡΗ</t>
  </si>
  <si>
    <t> 6944344414</t>
  </si>
  <si>
    <t>ΑΘΗΝΑ ΚΟΥΤΣΟΜΥΤΗ</t>
  </si>
  <si>
    <t xml:space="preserve">ΑΝΑΣΤΑΣΙΑ ΚΑΡΑΓΙΑΝΝΙΔΟΥ </t>
  </si>
  <si>
    <t>ΛΗΔΑ ΖΕΡΒΟΥ</t>
  </si>
  <si>
    <t>ΙΩΑΝΝΑ ΓΩΝΙΩΤΑΚΗ</t>
  </si>
  <si>
    <t>ΜΑΡΙΑ-ΣΤΑΜΟΥΛΑ ΒΑΛΣΑΜΗ</t>
  </si>
  <si>
    <t>ΜΑΡΙΑ ΛΥΓΟΥΡΙΑΤΗ</t>
  </si>
  <si>
    <t>INTERNET,WORD,POWER POINT</t>
  </si>
  <si>
    <t>EUROLAB 2021-2022</t>
  </si>
  <si>
    <t>EUROLAB 2020-2021</t>
  </si>
  <si>
    <t>ΧΡΗΣΤΟΣ ΜΙΧΑΛΟΠΟΥΛΟΣ</t>
  </si>
  <si>
    <t>chrisboy409@gmail.com</t>
  </si>
  <si>
    <t>694 578 8811</t>
  </si>
  <si>
    <t>ΝΙΚΟΛΑΟΣ ΚΟΣΜΙΔΗΣ</t>
  </si>
  <si>
    <t>ΝΑΤΑΣΑ ΚΡΑΒΑΡΗ</t>
  </si>
  <si>
    <t>ΑΝΑΣΤΑΣΙΑ ΓΙΑΝΝΟΠΟΥΛΟΥ</t>
  </si>
  <si>
    <t>ΕΙΡΗΝΗ ΒΑΣΙΛΕΙΟΥ</t>
  </si>
  <si>
    <t>ΚΑΛΛΙΑ ΒΑΣΙΛΑΚΗ</t>
  </si>
  <si>
    <t>ΠΗΓΗ ΑΤΤΑΛΙΔΟΥ</t>
  </si>
  <si>
    <t>ΜΑΙΡΗ ΣΤΡΑΤΟΥ</t>
  </si>
  <si>
    <t>ΜΑΡΙΑ ΚΑΤΡΑΔΗ</t>
  </si>
  <si>
    <t>ΜΑΡΙΑ ΤΣΙΓΚΟΥ</t>
  </si>
  <si>
    <t>ΕΛΕΝΗ ΧΑΡΟΚΟΠΟΥ</t>
  </si>
  <si>
    <t>ΑΛΕΞΑΝΔΡΑ ΜΟΛΟΓΟΥΣΗ</t>
  </si>
  <si>
    <t>ΕΛΛΗ ΙΟΡΔΑΝΙΔΟΥ</t>
  </si>
  <si>
    <t>ΟΛΓΑ ΑΝΤΩΝΟΠΟΥΛΟΥ</t>
  </si>
  <si>
    <t>INTERNET,WORD,WINDOWS</t>
  </si>
  <si>
    <t>EUROLAB 2022-2023</t>
  </si>
  <si>
    <t>ΜΑΡΙΑ ΤΣΙΛΙΜΙΔΟΥ</t>
  </si>
  <si>
    <t>mariatsilimidou@yahoo.gr</t>
  </si>
  <si>
    <t>ΘΩΜΑΣ ΚΑΠΡΑΛΟΣ</t>
  </si>
  <si>
    <t>thomas.kapralos@gmail.com</t>
  </si>
  <si>
    <t xml:space="preserve">ΑΖΟΥΚΗ ΜΑΡΙΑ </t>
  </si>
  <si>
    <t>azoukimaria@gmai.com</t>
  </si>
  <si>
    <t>ΤΣΑΚΠΙΝΗ ΑΙΚΑΤΕΡΙΝΗ</t>
  </si>
  <si>
    <t>ΤΑΛΑΙΠΩΡΟΥ ΚΩΝΣΤΑΝΤΙΝΑ</t>
  </si>
  <si>
    <t>skjk27@gmail.com</t>
  </si>
  <si>
    <t>katerina_tsakpini@hotmail.com</t>
  </si>
  <si>
    <t>ΛΕΓΑΚΗ ΣΠΥΡΙΔΟΥΛΑ</t>
  </si>
  <si>
    <t>splegaki20@gmail.com</t>
  </si>
  <si>
    <t>ΡΑΟΥΖΑΙΟΣ ΚΩΝΣΤΑΝΤΙΝΟΣ</t>
  </si>
  <si>
    <t>kraouzaios@yahoo.gr</t>
  </si>
  <si>
    <t>ΚΑΛΟΓΙΑΝΝΗΣ ΔΗΜΗΤΡΙΟΣ</t>
  </si>
  <si>
    <t>dim.kalogiannis@hotmail.gr</t>
  </si>
  <si>
    <t>ΝΙΚΟΛΑΟΥ ΓΕΩΡΓΙΟΣ</t>
  </si>
  <si>
    <t xml:space="preserve">ΚΑΘΡΕΠΤΗ ΧΡΙΣΤΙΝΑ </t>
  </si>
  <si>
    <t>ΖΩΝΚΕ ΚΑΤΕΡΙΝΑ</t>
  </si>
  <si>
    <t>ΜΠΟΛΙΑ ΔΕΣΟΠΟΙΝΑ</t>
  </si>
  <si>
    <t xml:space="preserve">ΜΠΑΡΟΥΜΗΣ ΠΑΝΤΕΛΗΣ </t>
  </si>
  <si>
    <t>ΜΠΑΡΟΥΜΗ ΠΑΡΑΣΚΕΥΗ</t>
  </si>
  <si>
    <t xml:space="preserve">ΠΑΝΑΓΙΩΤΙΔΟΥ ΜΑΡΙΑ </t>
  </si>
  <si>
    <t>mm_maria@windowslive.com</t>
  </si>
  <si>
    <t>ΜΠΕΤΣΗ ΑΝΝΑ-ΜΑΡΙΑ</t>
  </si>
  <si>
    <t>ΜΠΕΤΣΗ ΕΥΑΓΓΕΛΙΑ-ΕΙΡΗΝΗ</t>
  </si>
  <si>
    <t>ΚΟΜΙΑΝΙΔΟΥ ΖΩΗ</t>
  </si>
  <si>
    <t>ΨΩΜΑ ΒΑΣΙΛΙΚΗ</t>
  </si>
  <si>
    <t>ΘΡΑΒΑΛΟΥ ΛΙΑ</t>
  </si>
  <si>
    <t>ΓΕΩΡΓΟΥΛΟΠΟΥΛΟΥ ΕΛΕΝΗ</t>
  </si>
  <si>
    <t xml:space="preserve">ΑΝΕΥΛΑΒΗ ΕΙΡΗΝΗ </t>
  </si>
  <si>
    <t>anevlavi1993@gmail.com</t>
  </si>
  <si>
    <t xml:space="preserve">ΒΑΣΙΛΟΠΟΥΛΟΥ ΜΑΡΙΑ </t>
  </si>
  <si>
    <t>mari-lou41@hotmail.com</t>
  </si>
  <si>
    <t>ΛΕΜΟΝΙΤΣΗ ΔΕΣΠΟΙΝΑ</t>
  </si>
  <si>
    <t>despoinalemo@hotmail.com</t>
  </si>
  <si>
    <t>ΠΟΛΙΤΗ ΑΙΚΑΤΕΡΙΝΗ</t>
  </si>
  <si>
    <t xml:space="preserve">ΚΑΠΑΔΑΗ </t>
  </si>
  <si>
    <t>ΠΑΠΑΣΤΑΥΡΙΔΗΣ</t>
  </si>
  <si>
    <t xml:space="preserve">ΣΤΑΓΙΑΣ ΝΙΚΟΛΑΟΣ </t>
  </si>
  <si>
    <t>ΓΕΡΟΝΤΑΚΗ ΣΤΕΛΛΑ</t>
  </si>
  <si>
    <t>ΤΖΟΒΑΝΗ ΑΓΓΕΛΙ</t>
  </si>
  <si>
    <t xml:space="preserve">ΓΚΛΙΑΤΗ ΣΕΒΗ </t>
  </si>
  <si>
    <t>ΚΑΠΡΑΛΟΣ ΘΩΜΑΣ</t>
  </si>
  <si>
    <t>ΠΟΥΛΟΣ ΓΙΩΡΓΟΣ</t>
  </si>
  <si>
    <t xml:space="preserve">ΣΚΕΥΟΦΥΛΑΚΑ ΜΑΡΙΑ ΖΗΝΟΒΙΑ </t>
  </si>
  <si>
    <t xml:space="preserve">ΦΡΑΓΚΟΠΟΥΛΟΥ ΑΓΓΕΛΙΚΗ </t>
  </si>
  <si>
    <t>ΠΙΚΟΥΛΑΣ ΓΙΩΡΓΟΣ</t>
  </si>
  <si>
    <t xml:space="preserve">ΠΑΠΑΚΩΝΣΤΑΝΤΙΝΟΥ ΕΛΕΝΗ </t>
  </si>
  <si>
    <t>ΚΩΣΤΑΚΟΣ ΒΑΣΙΛΕΙΟΣ</t>
  </si>
  <si>
    <t xml:space="preserve">ΣΚΕΥΟΦΥΛΑΚΑ ΜΑΡΙΑ-ΖΗΝΟΒΙΑ </t>
  </si>
  <si>
    <t>vassiliskostakos@hotmail.com</t>
  </si>
  <si>
    <t xml:space="preserve">ΑΣΕΠ Pack </t>
  </si>
  <si>
    <t>ΜΙΣΑΗΛΙΔΗΣ (ΚΟΡΗ ΤΟΥ)</t>
  </si>
  <si>
    <t xml:space="preserve">ΕΙΔΙΚΗ ΣΥΜΦΩΝΙΑ </t>
  </si>
  <si>
    <t>50/ΑΝΑ ΕΝΟΤΗΤΑ ΕΞΕΤΑΣΗΣ</t>
  </si>
  <si>
    <t xml:space="preserve">ΖΕΠΕΝΟΓΛΟΥ ΒΑΡΒΑΡΑ </t>
  </si>
  <si>
    <t>barbarazepenoglou@gmail.com</t>
  </si>
  <si>
    <t>ΘΕΟΥ ΙΩΑΝΝΑ</t>
  </si>
  <si>
    <t>itheou@yahoo.com</t>
  </si>
  <si>
    <t>ΒΑΣΙΛΙΚΗ ΤΣΟΥΚΑΛΑ</t>
  </si>
  <si>
    <t>vatsoukala88@gmail.com</t>
  </si>
  <si>
    <t>θελει φυσικό μάθημα</t>
  </si>
  <si>
    <t xml:space="preserve">ΙΩΑΝΝΑ ΘΕΟΥ </t>
  </si>
  <si>
    <t>6 ENOTHTEΣ</t>
  </si>
  <si>
    <t>ΣΤΡΑΤΟΣ ΒΑΪΡΑΜΗΣ</t>
  </si>
  <si>
    <t>vairamis.stratos@gmail.com</t>
  </si>
  <si>
    <t>6 ΕΝΟΤΗΤΕΣ</t>
  </si>
  <si>
    <t>ΤΣΙΟΣΤΑ ΜΑΡΙΑ ΕΛΕΝΗ</t>
  </si>
  <si>
    <t>tsiosta.marialena@gmail.com</t>
  </si>
  <si>
    <t>annaftilaki@yahoo.gr</t>
  </si>
  <si>
    <t>ΞΗΡΑΚΗ ΠΑΥΛΙΝΑ</t>
  </si>
  <si>
    <t>paulinaxeraki@gmail.com</t>
  </si>
  <si>
    <t xml:space="preserve">ΜΠΡΑΤΗΣ ΑΓΓΕΛΟΣ </t>
  </si>
  <si>
    <t>aggelosbratis1234@gmail.com</t>
  </si>
  <si>
    <t>ΣΤΑΓΙΑΣ ΝΙΚΟΛΑΟΣ</t>
  </si>
  <si>
    <t>ΠΑΠΑΣΤΑΥΡΙΔΗΣ ΝΙΚΟΛΑΟΣ</t>
  </si>
  <si>
    <t>ΕΚΔΟΣΗ ΚΩΔΙΚΩΝ</t>
  </si>
  <si>
    <t xml:space="preserve">ΜΠΟΥΝΤΑΣ ΑΘΑΝΑΣΙΟΣ </t>
  </si>
  <si>
    <t>mpoyntas_thanos21@hotmail.com</t>
  </si>
  <si>
    <t>EUROLAB 2023-2024</t>
  </si>
  <si>
    <t>3 ΕΝΟΤΗΤΕΣ (ΑΣΕΠ PACK)</t>
  </si>
  <si>
    <t>6 ΕΝΟΤΗΤΕΣ (FULL PACK)</t>
  </si>
  <si>
    <t>WOR</t>
  </si>
  <si>
    <t>EXC</t>
  </si>
  <si>
    <t>INT</t>
  </si>
  <si>
    <t>WIN</t>
  </si>
  <si>
    <t>ACC</t>
  </si>
  <si>
    <t>POW</t>
  </si>
  <si>
    <t>ΠΛ. ΠΑΚΕΤΟΥ</t>
  </si>
  <si>
    <t xml:space="preserve">ΧΑΡΑ ΣΤΑΥΡΙΔΗ-ΚΑΤΩΠΟΔΗ </t>
  </si>
  <si>
    <t>xarastav2000@gmail.com</t>
  </si>
  <si>
    <t>ΤΣΟΥΒΑΛΑ ΒΑΣΙΛΙΚΗ</t>
  </si>
  <si>
    <t>tsouvala.v04@gmail.com</t>
  </si>
  <si>
    <t>ΠΑΡΑΣΚΕΥΟΠΟΥΛΟΥ ΕΛΕΝΗ</t>
  </si>
  <si>
    <t>eleniparaskeuopoulouu@gmail.com</t>
  </si>
  <si>
    <t>ΞΕΝΙΚΑΚΗ ΚΑΤΕΡΙΝΑ</t>
  </si>
  <si>
    <t xml:space="preserve">ΜΙΧΑΣ ΣΠΥΡΟΣ </t>
  </si>
  <si>
    <t>SpirosMichas90@hotmail.com</t>
  </si>
  <si>
    <t>ΝΙΚΟΛΑΔΑΚΗ ΧΡΥΣΗ</t>
  </si>
  <si>
    <t>ΔΑΓΚΛΗ ΠΑΓΚΟΤΟ ΦΩΤΕΙΝΗ</t>
  </si>
  <si>
    <t>ΠΑΝΑΓΟΠΟΥΛΟΣ ΙΩΑΝΝΗΣ</t>
  </si>
  <si>
    <t>ΚΟΡΡΕ ΧΡΙΣΤΙΝΑ</t>
  </si>
  <si>
    <t>ΦΛΩΡΟΥ</t>
  </si>
  <si>
    <t>ΓΕΩΡΓΙΑ</t>
  </si>
  <si>
    <t>ΝΤΡΕΣΑ</t>
  </si>
  <si>
    <t>ΙΜΕΛΝΤΑ</t>
  </si>
  <si>
    <t>ΤΖΑΡΝΤΑ</t>
  </si>
  <si>
    <t>ΣΙΜΟΝΑ</t>
  </si>
  <si>
    <t>ΞΕΝΑΚΗ</t>
  </si>
  <si>
    <t>ΑΙΚΑΤΕΡΙΝΑ</t>
  </si>
  <si>
    <t>ΑΝΑΝΕΩΣΗ ΚΩΔΙΚΩΝ</t>
  </si>
  <si>
    <t>ΦΡΕΡΗ</t>
  </si>
  <si>
    <t>ΕΙΡΗΝΗ</t>
  </si>
  <si>
    <t>ΚΩΤΣΟΓΙΑΝΝΗ</t>
  </si>
  <si>
    <t>ΜΑΡΚΕΛΑ</t>
  </si>
  <si>
    <t>ΚΟΛΥΔΑΣ</t>
  </si>
  <si>
    <t>ΑΝΤΩΝΙΟΣ</t>
  </si>
  <si>
    <t>ΧΟΥΣΟΥ</t>
  </si>
  <si>
    <t>ΛΑΜΠΡΙΝΗ</t>
  </si>
  <si>
    <t>ΣΙΣΜΑΝΙΔΟΥ</t>
  </si>
  <si>
    <t>ΘΕΟΦΑΝΗ ΕΥΦΡΟΣΥΝΗ</t>
  </si>
  <si>
    <t>ΜΙΧΑΣ</t>
  </si>
  <si>
    <t>ΣΠΥΡΙΔΩΝ</t>
  </si>
  <si>
    <t>ΤΣΙΝΤΖΙΦΑ ΕΛΕΝΗ</t>
  </si>
  <si>
    <t>ΤΕΡΕΡΕΣ</t>
  </si>
  <si>
    <t>ΕΥΣΤΑΘΙΟΣ</t>
  </si>
  <si>
    <t>ΓΙΑΝΝΑΚΟΥ</t>
  </si>
  <si>
    <t>ΔΗΜΗΤΡΑ</t>
  </si>
  <si>
    <t>ΠΑΡΑΣΚΕΥΟΠΟΥΛΟΥ</t>
  </si>
  <si>
    <t>ΕΛΕΝΗ</t>
  </si>
  <si>
    <t>EUROLAB 2025-2026</t>
  </si>
  <si>
    <t>ΞΕΝΑΚΗ ΑΙΚΑΤΕΡΙΝΑ</t>
  </si>
  <si>
    <t xml:space="preserve">ΤΖΑΡΝΤΑ ΣΙΜΟΝΑ </t>
  </si>
  <si>
    <t>ΝΤΡΕΣΑ ΙΜΕΛΝΤΑ</t>
  </si>
  <si>
    <t>ΦΛΩΡΟΥ ΓΕΩΡΓΙΑ</t>
  </si>
  <si>
    <t>ΝΙΚΟΛΙΔΑΚΗ ΧΡΥΣΗ</t>
  </si>
  <si>
    <t>daglipagottofotini@gmail.com</t>
  </si>
  <si>
    <t>gpanagopoulos04@gmail.com</t>
  </si>
  <si>
    <t>nikolidakii@hotmail.com</t>
  </si>
  <si>
    <t xml:space="preserve">christina.korre@yahoo.com </t>
  </si>
  <si>
    <t>simona6218@gmail.com</t>
  </si>
  <si>
    <t>imeldandreca04@gmail.com</t>
  </si>
  <si>
    <t>fn22georgia@yahoo.com</t>
  </si>
  <si>
    <t xml:space="preserve">ΑΝΑΝΕΩΣΗ ΚΩΔΙΚΩΝ </t>
  </si>
  <si>
    <t>thanasischrysis89@gmail.com</t>
  </si>
  <si>
    <t>ΧΡΥΣΗΣ ΘΑΝΑΣΗΣ</t>
  </si>
  <si>
    <t>ΚΑΡΑΓΙΑΝΝΗ ΚΛΕΙΩ</t>
  </si>
  <si>
    <t>cleokrg2002@gmail.com</t>
  </si>
  <si>
    <t>ΕΥΗ ΤΣΙΟΥΦΗ</t>
  </si>
  <si>
    <t>tsioufieuh@gmail.com</t>
  </si>
  <si>
    <t>ΣΠΑΘΑΡΗ ΧΑΡΙΣ</t>
  </si>
  <si>
    <t>charisspathari19@gmail.com</t>
  </si>
  <si>
    <t>ΘΕΟΦΥΛΑΚΤΟΥ ΕΥΗ</t>
  </si>
  <si>
    <t>evitheof321@gmail.com</t>
  </si>
  <si>
    <t>ΓΙΑΝΝΑΚΟΥΛΗ ΒΑΣΙΛΙΚΗ</t>
  </si>
  <si>
    <t>bgiannakoule@gmail.com</t>
  </si>
  <si>
    <t>ΤΣΙΟΥΦΗ ΧΡΥΣΑ</t>
  </si>
  <si>
    <t>chrysatsioufi@hotmail.com</t>
  </si>
  <si>
    <t>KHAN SAIF</t>
  </si>
  <si>
    <t>khansaifgr@gmail.com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</si>
</sst>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3"/>
      <color rgb="FFFF0000"/>
      <name val="Calibri"/>
      <family val="2"/>
      <charset val="161"/>
      <scheme val="minor"/>
    </font>
    <font>
      <b/>
      <sz val="13"/>
      <name val="Calibri"/>
      <family val="2"/>
      <charset val="161"/>
      <scheme val="minor"/>
    </font>
    <font>
      <b/>
      <sz val="13"/>
      <color theme="4"/>
      <name val="Calibri"/>
      <family val="2"/>
      <charset val="161"/>
      <scheme val="minor"/>
    </font>
    <font>
      <b/>
      <sz val="12"/>
      <color theme="3"/>
      <name val="Calibri"/>
      <family val="2"/>
      <charset val="161"/>
      <scheme val="minor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u/>
      <sz val="11"/>
      <color theme="10"/>
      <name val="Calibri"/>
      <family val="2"/>
      <charset val="161"/>
    </font>
    <font>
      <sz val="12"/>
      <color theme="1"/>
      <name val="Segoe UI"/>
      <family val="2"/>
      <charset val="161"/>
    </font>
    <font>
      <sz val="12"/>
      <color rgb="FF0000EE"/>
      <name val="Segoe UI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2" xfId="1" applyBorder="1"/>
    <xf numFmtId="0" fontId="1" fillId="2" borderId="2" xfId="1" applyFill="1" applyBorder="1"/>
    <xf numFmtId="0" fontId="1" fillId="3" borderId="2" xfId="1" applyFill="1" applyBorder="1"/>
    <xf numFmtId="0" fontId="1" fillId="4" borderId="2" xfId="1" applyFill="1" applyBorder="1"/>
    <xf numFmtId="0" fontId="1" fillId="5" borderId="2" xfId="1" applyFill="1" applyBorder="1"/>
    <xf numFmtId="0" fontId="3" fillId="3" borderId="2" xfId="1" applyFont="1" applyFill="1" applyBorder="1"/>
    <xf numFmtId="0" fontId="1" fillId="6" borderId="2" xfId="1" applyFill="1" applyBorder="1"/>
    <xf numFmtId="0" fontId="2" fillId="6" borderId="2" xfId="1" applyFont="1" applyFill="1" applyBorder="1"/>
    <xf numFmtId="0" fontId="4" fillId="4" borderId="2" xfId="1" applyFont="1" applyFill="1" applyBorder="1"/>
    <xf numFmtId="0" fontId="3" fillId="6" borderId="2" xfId="1" applyFont="1" applyFill="1" applyBorder="1"/>
    <xf numFmtId="0" fontId="3" fillId="4" borderId="2" xfId="1" applyFont="1" applyFill="1" applyBorder="1"/>
    <xf numFmtId="0" fontId="5" fillId="0" borderId="2" xfId="1" applyFont="1" applyBorder="1"/>
    <xf numFmtId="0" fontId="5" fillId="0" borderId="2" xfId="1" applyFont="1" applyBorder="1" applyProtection="1">
      <protection locked="0"/>
    </xf>
    <xf numFmtId="0" fontId="5" fillId="0" borderId="2" xfId="1" applyFont="1" applyBorder="1" applyAlignment="1" applyProtection="1">
      <alignment horizontal="center"/>
      <protection locked="0"/>
    </xf>
    <xf numFmtId="0" fontId="1" fillId="5" borderId="2" xfId="1" applyFill="1" applyBorder="1" applyAlignment="1" applyProtection="1">
      <alignment horizontal="center"/>
      <protection locked="0"/>
    </xf>
    <xf numFmtId="0" fontId="1" fillId="0" borderId="2" xfId="1" applyBorder="1" applyAlignment="1" applyProtection="1">
      <alignment horizontal="center"/>
      <protection locked="0"/>
    </xf>
    <xf numFmtId="0" fontId="1" fillId="0" borderId="2" xfId="1" applyNumberFormat="1" applyBorder="1" applyAlignment="1" applyProtection="1">
      <alignment horizontal="center"/>
      <protection locked="0"/>
    </xf>
    <xf numFmtId="0" fontId="1" fillId="0" borderId="2" xfId="1" applyBorder="1" applyProtection="1"/>
    <xf numFmtId="0" fontId="1" fillId="0" borderId="2" xfId="1" applyBorder="1" applyAlignment="1" applyProtection="1">
      <alignment horizontal="center"/>
    </xf>
    <xf numFmtId="0" fontId="5" fillId="0" borderId="2" xfId="1" applyFont="1" applyBorder="1" applyAlignment="1" applyProtection="1">
      <alignment horizontal="center"/>
    </xf>
    <xf numFmtId="0" fontId="1" fillId="0" borderId="2" xfId="1" applyNumberFormat="1" applyBorder="1" applyAlignment="1" applyProtection="1">
      <alignment horizontal="center"/>
    </xf>
    <xf numFmtId="0" fontId="5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1" fillId="0" borderId="2" xfId="1" applyNumberFormat="1" applyBorder="1" applyAlignment="1">
      <alignment horizontal="center"/>
    </xf>
    <xf numFmtId="9" fontId="1" fillId="0" borderId="2" xfId="1" applyNumberFormat="1" applyBorder="1" applyAlignment="1" applyProtection="1">
      <alignment horizontal="center"/>
    </xf>
    <xf numFmtId="9" fontId="5" fillId="0" borderId="2" xfId="1" applyNumberFormat="1" applyFont="1" applyBorder="1" applyAlignment="1">
      <alignment horizontal="center"/>
    </xf>
    <xf numFmtId="9" fontId="2" fillId="0" borderId="2" xfId="1" applyNumberFormat="1" applyFont="1" applyBorder="1" applyAlignment="1">
      <alignment horizontal="center"/>
    </xf>
    <xf numFmtId="0" fontId="5" fillId="0" borderId="5" xfId="1" applyFont="1" applyBorder="1"/>
    <xf numFmtId="0" fontId="5" fillId="0" borderId="6" xfId="1" applyFont="1" applyBorder="1" applyProtection="1">
      <protection locked="0"/>
    </xf>
    <xf numFmtId="0" fontId="5" fillId="0" borderId="6" xfId="1" applyFont="1" applyBorder="1" applyAlignment="1" applyProtection="1">
      <alignment horizontal="center"/>
      <protection locked="0"/>
    </xf>
    <xf numFmtId="0" fontId="5" fillId="0" borderId="6" xfId="1" applyNumberFormat="1" applyFont="1" applyBorder="1" applyAlignment="1">
      <alignment horizontal="center"/>
    </xf>
    <xf numFmtId="9" fontId="5" fillId="0" borderId="6" xfId="1" applyNumberFormat="1" applyFont="1" applyBorder="1" applyAlignment="1">
      <alignment horizontal="center"/>
    </xf>
    <xf numFmtId="0" fontId="1" fillId="0" borderId="8" xfId="1" applyBorder="1" applyAlignment="1" applyProtection="1">
      <alignment horizontal="center"/>
    </xf>
    <xf numFmtId="9" fontId="5" fillId="0" borderId="8" xfId="1" applyNumberFormat="1" applyFont="1" applyBorder="1" applyAlignment="1">
      <alignment horizontal="center"/>
    </xf>
    <xf numFmtId="0" fontId="5" fillId="0" borderId="9" xfId="1" applyFont="1" applyBorder="1" applyAlignment="1" applyProtection="1">
      <alignment horizontal="center"/>
    </xf>
    <xf numFmtId="0" fontId="5" fillId="0" borderId="7" xfId="1" applyFont="1" applyBorder="1" applyProtection="1"/>
    <xf numFmtId="0" fontId="8" fillId="0" borderId="6" xfId="2" applyBorder="1" applyAlignment="1" applyProtection="1">
      <alignment horizontal="center"/>
      <protection locked="0"/>
    </xf>
    <xf numFmtId="0" fontId="5" fillId="0" borderId="2" xfId="1" applyNumberFormat="1" applyFont="1" applyBorder="1" applyAlignment="1" applyProtection="1">
      <alignment horizontal="center"/>
      <protection hidden="1"/>
    </xf>
    <xf numFmtId="9" fontId="5" fillId="0" borderId="2" xfId="1" applyNumberFormat="1" applyFont="1" applyBorder="1" applyAlignment="1" applyProtection="1">
      <alignment horizontal="center"/>
      <protection hidden="1"/>
    </xf>
    <xf numFmtId="0" fontId="1" fillId="0" borderId="5" xfId="1" applyBorder="1"/>
    <xf numFmtId="0" fontId="1" fillId="5" borderId="5" xfId="1" applyFill="1" applyBorder="1"/>
    <xf numFmtId="0" fontId="5" fillId="0" borderId="2" xfId="1" applyFont="1" applyBorder="1" applyProtection="1"/>
    <xf numFmtId="0" fontId="1" fillId="0" borderId="2" xfId="1" applyBorder="1" applyAlignment="1" applyProtection="1">
      <alignment horizontal="center"/>
      <protection hidden="1"/>
    </xf>
    <xf numFmtId="0" fontId="0" fillId="0" borderId="2" xfId="0" applyBorder="1"/>
    <xf numFmtId="0" fontId="8" fillId="0" borderId="2" xfId="2" applyBorder="1" applyAlignment="1" applyProtection="1">
      <alignment horizontal="center"/>
      <protection locked="0"/>
    </xf>
    <xf numFmtId="0" fontId="5" fillId="3" borderId="2" xfId="1" applyFont="1" applyFill="1" applyBorder="1" applyProtection="1">
      <protection locked="0"/>
    </xf>
    <xf numFmtId="0" fontId="5" fillId="3" borderId="2" xfId="1" applyFont="1" applyFill="1" applyBorder="1" applyAlignment="1" applyProtection="1">
      <alignment horizontal="center"/>
      <protection locked="0"/>
    </xf>
    <xf numFmtId="0" fontId="5" fillId="3" borderId="2" xfId="1" applyNumberFormat="1" applyFont="1" applyFill="1" applyBorder="1" applyAlignment="1" applyProtection="1">
      <alignment horizontal="center"/>
      <protection hidden="1"/>
    </xf>
    <xf numFmtId="9" fontId="5" fillId="3" borderId="2" xfId="1" applyNumberFormat="1" applyFont="1" applyFill="1" applyBorder="1" applyAlignment="1" applyProtection="1">
      <alignment horizontal="center"/>
      <protection hidden="1"/>
    </xf>
    <xf numFmtId="0" fontId="5" fillId="3" borderId="5" xfId="1" applyFont="1" applyFill="1" applyBorder="1"/>
    <xf numFmtId="0" fontId="5" fillId="3" borderId="2" xfId="1" applyFont="1" applyFill="1" applyBorder="1"/>
    <xf numFmtId="0" fontId="5" fillId="0" borderId="2" xfId="1" applyFont="1" applyBorder="1" applyAlignment="1" applyProtection="1">
      <alignment wrapText="1"/>
      <protection locked="0"/>
    </xf>
    <xf numFmtId="0" fontId="8" fillId="3" borderId="0" xfId="2" applyFill="1" applyAlignment="1" applyProtection="1"/>
    <xf numFmtId="0" fontId="8" fillId="2" borderId="0" xfId="2" applyFill="1" applyBorder="1" applyAlignment="1" applyProtection="1">
      <protection locked="0"/>
    </xf>
    <xf numFmtId="0" fontId="8" fillId="0" borderId="0" xfId="2" applyAlignment="1" applyProtection="1"/>
    <xf numFmtId="0" fontId="0" fillId="6" borderId="0" xfId="0" applyFill="1"/>
    <xf numFmtId="0" fontId="1" fillId="6" borderId="0" xfId="1" applyFill="1" applyBorder="1" applyAlignment="1" applyProtection="1">
      <alignment horizontal="center"/>
    </xf>
    <xf numFmtId="0" fontId="8" fillId="6" borderId="0" xfId="2" applyFill="1" applyAlignment="1" applyProtection="1"/>
    <xf numFmtId="0" fontId="3" fillId="4" borderId="2" xfId="1" applyFont="1" applyFill="1" applyBorder="1" applyProtection="1">
      <protection locked="0"/>
    </xf>
    <xf numFmtId="0" fontId="9" fillId="0" borderId="0" xfId="0" applyFont="1"/>
    <xf numFmtId="0" fontId="10" fillId="0" borderId="0" xfId="0" applyFont="1"/>
    <xf numFmtId="0" fontId="1" fillId="0" borderId="2" xfId="1" applyBorder="1" applyAlignment="1" applyProtection="1">
      <alignment horizontal="center"/>
    </xf>
    <xf numFmtId="0" fontId="1" fillId="0" borderId="3" xfId="1" applyBorder="1" applyAlignment="1" applyProtection="1">
      <alignment horizontal="center"/>
    </xf>
    <xf numFmtId="0" fontId="1" fillId="0" borderId="4" xfId="1" applyBorder="1" applyAlignment="1" applyProtection="1">
      <alignment horizontal="center"/>
    </xf>
    <xf numFmtId="0" fontId="1" fillId="0" borderId="5" xfId="1" applyBorder="1" applyAlignment="1" applyProtection="1">
      <alignment horizontal="center"/>
    </xf>
  </cellXfs>
  <cellStyles count="3">
    <cellStyle name="Επικεφαλίδα 2" xfId="1" builtinId="17"/>
    <cellStyle name="Κανονικό" xfId="0" builtinId="0"/>
    <cellStyle name="Υπερ-σύνδεση" xfId="2" builtinId="8"/>
  </cellStyles>
  <dxfs count="26"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ont>
        <color theme="3"/>
      </font>
      <fill>
        <patternFill>
          <bgColor rgb="FFFFFF00"/>
        </patternFill>
      </fill>
    </dxf>
    <dxf>
      <font>
        <color theme="3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eniparaskeuopoulouu@gmail.com" TargetMode="External"/><Relationship Id="rId2" Type="http://schemas.openxmlformats.org/officeDocument/2006/relationships/hyperlink" Target="mailto:tsouvala.v04@gmail.com" TargetMode="External"/><Relationship Id="rId1" Type="http://schemas.openxmlformats.org/officeDocument/2006/relationships/hyperlink" Target="mailto:xarastav2000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leokrg2002@gmail.com" TargetMode="External"/><Relationship Id="rId13" Type="http://schemas.openxmlformats.org/officeDocument/2006/relationships/hyperlink" Target="mailto:bgiannakoule@gmail.com" TargetMode="External"/><Relationship Id="rId3" Type="http://schemas.openxmlformats.org/officeDocument/2006/relationships/hyperlink" Target="mailto:nikolidakii@hotmail.com" TargetMode="External"/><Relationship Id="rId7" Type="http://schemas.openxmlformats.org/officeDocument/2006/relationships/hyperlink" Target="mailto:fn22georgia@yahoo.com" TargetMode="External"/><Relationship Id="rId12" Type="http://schemas.openxmlformats.org/officeDocument/2006/relationships/hyperlink" Target="mailto:annaftilaki@yahoo.gr" TargetMode="External"/><Relationship Id="rId17" Type="http://schemas.openxmlformats.org/officeDocument/2006/relationships/comments" Target="../comments2.xml"/><Relationship Id="rId2" Type="http://schemas.openxmlformats.org/officeDocument/2006/relationships/hyperlink" Target="mailto:gpanagopoulos04@gmail.com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mailto:daglipagottofotini@gmail.com" TargetMode="External"/><Relationship Id="rId6" Type="http://schemas.openxmlformats.org/officeDocument/2006/relationships/hyperlink" Target="mailto:imeldandreca04@gmail.com" TargetMode="External"/><Relationship Id="rId11" Type="http://schemas.openxmlformats.org/officeDocument/2006/relationships/hyperlink" Target="mailto:evitheof321@gmail.com" TargetMode="External"/><Relationship Id="rId5" Type="http://schemas.openxmlformats.org/officeDocument/2006/relationships/hyperlink" Target="mailto:simona6218@gmail.com" TargetMode="External"/><Relationship Id="rId15" Type="http://schemas.openxmlformats.org/officeDocument/2006/relationships/hyperlink" Target="mailto:khansaifgr@gmail.com" TargetMode="External"/><Relationship Id="rId10" Type="http://schemas.openxmlformats.org/officeDocument/2006/relationships/hyperlink" Target="mailto:charisspathari19@gmail.com" TargetMode="External"/><Relationship Id="rId4" Type="http://schemas.openxmlformats.org/officeDocument/2006/relationships/hyperlink" Target="mailto:christina.korre@yahoo.com" TargetMode="External"/><Relationship Id="rId9" Type="http://schemas.openxmlformats.org/officeDocument/2006/relationships/hyperlink" Target="mailto:tsioufieuh@gmail.com" TargetMode="External"/><Relationship Id="rId14" Type="http://schemas.openxmlformats.org/officeDocument/2006/relationships/hyperlink" Target="mailto:chrysatsioufi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azoukimaria@gmai.com" TargetMode="External"/><Relationship Id="rId7" Type="http://schemas.openxmlformats.org/officeDocument/2006/relationships/hyperlink" Target="mailto:anevlavi1993@gmail.com" TargetMode="External"/><Relationship Id="rId2" Type="http://schemas.openxmlformats.org/officeDocument/2006/relationships/hyperlink" Target="mailto:thomas.kapralos@gmail.com" TargetMode="External"/><Relationship Id="rId1" Type="http://schemas.openxmlformats.org/officeDocument/2006/relationships/hyperlink" Target="mailto:mariatsilimidou@yahoo.gr" TargetMode="External"/><Relationship Id="rId6" Type="http://schemas.openxmlformats.org/officeDocument/2006/relationships/hyperlink" Target="mailto:mm_maria@windowslive.com" TargetMode="External"/><Relationship Id="rId5" Type="http://schemas.openxmlformats.org/officeDocument/2006/relationships/hyperlink" Target="mailto:dim.kalogiannis@hotmail.gr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splegaki20@gmail.com" TargetMode="External"/><Relationship Id="rId9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apointe@yahoo.com" TargetMode="External"/><Relationship Id="rId2" Type="http://schemas.openxmlformats.org/officeDocument/2006/relationships/hyperlink" Target="mailto:vivianne_555@hotmail.com" TargetMode="External"/><Relationship Id="rId1" Type="http://schemas.openxmlformats.org/officeDocument/2006/relationships/hyperlink" Target="mailto:pavlos.e.pavlidis@gmail.com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itheou@yahoo.com" TargetMode="External"/><Relationship Id="rId2" Type="http://schemas.openxmlformats.org/officeDocument/2006/relationships/hyperlink" Target="mailto:vatsoukala88@gmail.com" TargetMode="External"/><Relationship Id="rId1" Type="http://schemas.openxmlformats.org/officeDocument/2006/relationships/hyperlink" Target="mailto:vassiliskostakos@hotmail.com" TargetMode="External"/><Relationship Id="rId4" Type="http://schemas.openxmlformats.org/officeDocument/2006/relationships/hyperlink" Target="mailto:vairamis.stra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X180"/>
  <sheetViews>
    <sheetView zoomScale="80" zoomScaleNormal="80" workbookViewId="0">
      <pane ySplit="3" topLeftCell="A4" activePane="bottomLeft" state="frozen"/>
      <selection pane="bottomLeft" activeCell="D9" sqref="D9"/>
    </sheetView>
  </sheetViews>
  <sheetFormatPr defaultColWidth="13" defaultRowHeight="17.25" x14ac:dyDescent="0.3"/>
  <cols>
    <col min="1" max="1" width="34.140625" style="13" bestFit="1" customWidth="1"/>
    <col min="2" max="2" width="19.42578125" style="16" bestFit="1" customWidth="1"/>
    <col min="3" max="3" width="36.28515625" style="16" bestFit="1" customWidth="1"/>
    <col min="4" max="4" width="26.42578125" style="16" bestFit="1" customWidth="1"/>
    <col min="5" max="5" width="13.42578125" style="16" bestFit="1" customWidth="1"/>
    <col min="6" max="6" width="11.42578125" style="16" bestFit="1" customWidth="1"/>
    <col min="7" max="7" width="21.28515625" style="16" bestFit="1" customWidth="1"/>
    <col min="8" max="8" width="12.28515625" style="16" bestFit="1" customWidth="1"/>
    <col min="9" max="9" width="10.85546875" style="17" bestFit="1" customWidth="1"/>
    <col min="10" max="10" width="10.5703125" style="16" bestFit="1" customWidth="1"/>
    <col min="11" max="11" width="12.5703125" style="16" bestFit="1" customWidth="1"/>
    <col min="12" max="12" width="10.85546875" style="16" bestFit="1" customWidth="1"/>
    <col min="13" max="13" width="12.140625" style="16" bestFit="1" customWidth="1"/>
    <col min="14" max="14" width="17.28515625" style="24" bestFit="1" customWidth="1"/>
    <col min="15" max="15" width="9.85546875" style="23" bestFit="1" customWidth="1"/>
    <col min="16" max="16" width="26.5703125" style="27" customWidth="1"/>
    <col min="17" max="17" width="11.5703125" style="16" bestFit="1" customWidth="1"/>
    <col min="18" max="16384" width="13" style="1"/>
  </cols>
  <sheetData>
    <row r="1" spans="1:440" x14ac:dyDescent="0.3">
      <c r="A1" s="62" t="s">
        <v>180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40"/>
    </row>
    <row r="2" spans="1:440" s="5" customFormat="1" x14ac:dyDescent="0.3">
      <c r="A2" s="42"/>
      <c r="B2" s="19"/>
      <c r="C2" s="19"/>
      <c r="D2" s="19"/>
      <c r="E2" s="19">
        <f>SUM(E4:E1048576)</f>
        <v>3015</v>
      </c>
      <c r="F2" s="19">
        <f>SUM(F4:F1048576)</f>
        <v>2225</v>
      </c>
      <c r="G2" s="19"/>
      <c r="H2" s="19"/>
      <c r="I2" s="19"/>
      <c r="J2" s="19"/>
      <c r="K2" s="19"/>
      <c r="L2" s="19"/>
      <c r="M2" s="19"/>
      <c r="N2" s="43">
        <f>SUM(N4:N1048576)</f>
        <v>1675</v>
      </c>
      <c r="O2" s="43">
        <f>SUMIF(O4:O1048576,"&gt;=0")</f>
        <v>390</v>
      </c>
      <c r="P2" s="39">
        <f>IF(AND(ISBLANK(E2),ISBLANK(F2),ISBLANK(G2),ISBLANK(H2),ISBLANK(I2),ISBLANK(J2),ISBLANK(K2),ISBLANK(L2),ISBLANK(M2)),"",IFERROR((N2/E2),""))</f>
        <v>0.55555555555555558</v>
      </c>
      <c r="Q2" s="20"/>
      <c r="R2" s="28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</row>
    <row r="3" spans="1:440" s="5" customFormat="1" x14ac:dyDescent="0.3">
      <c r="A3" s="18" t="s">
        <v>4</v>
      </c>
      <c r="B3" s="19" t="s">
        <v>3</v>
      </c>
      <c r="C3" s="19" t="s">
        <v>12</v>
      </c>
      <c r="D3" s="19" t="s">
        <v>13</v>
      </c>
      <c r="E3" s="19" t="s">
        <v>0</v>
      </c>
      <c r="F3" s="19" t="s">
        <v>1</v>
      </c>
      <c r="G3" s="19" t="s">
        <v>189</v>
      </c>
      <c r="H3" s="19" t="s">
        <v>183</v>
      </c>
      <c r="I3" s="19" t="s">
        <v>184</v>
      </c>
      <c r="J3" s="19" t="s">
        <v>185</v>
      </c>
      <c r="K3" s="19" t="s">
        <v>186</v>
      </c>
      <c r="L3" s="19" t="s">
        <v>187</v>
      </c>
      <c r="M3" s="19" t="s">
        <v>188</v>
      </c>
      <c r="N3" s="21" t="s">
        <v>2</v>
      </c>
      <c r="O3" s="21" t="s">
        <v>11</v>
      </c>
      <c r="P3" s="25" t="s">
        <v>20</v>
      </c>
      <c r="Q3" s="20" t="s">
        <v>16</v>
      </c>
      <c r="R3" s="28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</row>
    <row r="4" spans="1:440" s="5" customFormat="1" x14ac:dyDescent="0.3">
      <c r="A4" s="13" t="s">
        <v>145</v>
      </c>
      <c r="B4" s="14"/>
      <c r="C4" s="14"/>
      <c r="D4" s="14" t="s">
        <v>181</v>
      </c>
      <c r="E4" s="14">
        <v>200</v>
      </c>
      <c r="F4" s="14">
        <v>100</v>
      </c>
      <c r="G4" s="14"/>
      <c r="H4" s="14"/>
      <c r="I4" s="14"/>
      <c r="J4" s="14"/>
      <c r="K4" s="14"/>
      <c r="L4" s="14"/>
      <c r="M4" s="14"/>
      <c r="N4" s="38">
        <f t="shared" ref="N4:N13" si="0">IF(AND(ISBLANK(E4),ISBLANK(F4),ISBLANK(G4),ISBLANK(H4),ISBLANK(I4),ISBLANK(J4),ISBLANK(K4),ISBLANK(L4),ISBLANK(M4)),"",SUM(F4:M4))</f>
        <v>100</v>
      </c>
      <c r="O4" s="38">
        <f t="shared" ref="O4:O46" si="1">IF(AND(ISBLANK(E4), ISBLANK(F4), ISBLANK(G4), ISBLANK(H4), ISBLANK(I4), ISBLANK(J4), ISBLANK(K4), ISBLANK(L4), ISBLANK(M4)), "", E4-N4)</f>
        <v>100</v>
      </c>
      <c r="P4" s="39">
        <f t="shared" ref="P4:P46" si="2">IF(AND(ISBLANK(E4),ISBLANK(F4),ISBLANK(G4),ISBLANK(H4),ISBLANK(I4),ISBLANK(J4),ISBLANK(K4),ISBLANK(L4),ISBLANK(M4)),"",N4/E4)</f>
        <v>0.5</v>
      </c>
      <c r="Q4" s="14"/>
      <c r="R4" s="2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</row>
    <row r="5" spans="1:440" s="6" customFormat="1" x14ac:dyDescent="0.3">
      <c r="A5" s="13" t="s">
        <v>156</v>
      </c>
      <c r="B5" s="16">
        <v>6987551334</v>
      </c>
      <c r="C5" s="14" t="s">
        <v>157</v>
      </c>
      <c r="D5" s="14" t="s">
        <v>181</v>
      </c>
      <c r="E5" s="16">
        <v>200</v>
      </c>
      <c r="F5" s="16">
        <v>100</v>
      </c>
      <c r="G5" s="16"/>
      <c r="H5" s="16"/>
      <c r="I5" s="17"/>
      <c r="J5" s="16"/>
      <c r="K5" s="16"/>
      <c r="L5" s="16"/>
      <c r="M5" s="16"/>
      <c r="N5" s="38">
        <f t="shared" si="0"/>
        <v>100</v>
      </c>
      <c r="O5" s="38">
        <f t="shared" si="1"/>
        <v>100</v>
      </c>
      <c r="P5" s="39">
        <f t="shared" si="2"/>
        <v>0.5</v>
      </c>
      <c r="Q5" s="16"/>
      <c r="R5" s="28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</row>
    <row r="6" spans="1:440" s="6" customFormat="1" x14ac:dyDescent="0.3">
      <c r="A6" s="13" t="s">
        <v>158</v>
      </c>
      <c r="B6" s="14">
        <v>6948632149</v>
      </c>
      <c r="C6" s="14" t="s">
        <v>159</v>
      </c>
      <c r="D6" s="14" t="s">
        <v>182</v>
      </c>
      <c r="E6" s="14">
        <v>300</v>
      </c>
      <c r="F6" s="14">
        <v>300</v>
      </c>
      <c r="G6" s="14"/>
      <c r="H6" s="14"/>
      <c r="I6" s="14"/>
      <c r="J6" s="14"/>
      <c r="K6" s="14"/>
      <c r="L6" s="14"/>
      <c r="M6" s="14"/>
      <c r="N6" s="38">
        <f t="shared" si="0"/>
        <v>300</v>
      </c>
      <c r="O6" s="38">
        <f t="shared" si="1"/>
        <v>0</v>
      </c>
      <c r="P6" s="39">
        <f t="shared" si="2"/>
        <v>1</v>
      </c>
      <c r="Q6" s="14"/>
      <c r="R6" s="28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</row>
    <row r="7" spans="1:440" s="6" customFormat="1" x14ac:dyDescent="0.3">
      <c r="A7" s="13" t="s">
        <v>168</v>
      </c>
      <c r="B7" s="14">
        <v>6973456649</v>
      </c>
      <c r="C7" s="14" t="s">
        <v>169</v>
      </c>
      <c r="D7" s="14" t="s">
        <v>181</v>
      </c>
      <c r="E7" s="14">
        <v>200</v>
      </c>
      <c r="F7" s="14">
        <v>200</v>
      </c>
      <c r="G7" s="14"/>
      <c r="H7" s="14"/>
      <c r="I7" s="14"/>
      <c r="J7" s="14"/>
      <c r="K7" s="14"/>
      <c r="L7" s="14"/>
      <c r="M7" s="14"/>
      <c r="N7" s="38">
        <f t="shared" si="0"/>
        <v>200</v>
      </c>
      <c r="O7" s="38">
        <f t="shared" si="1"/>
        <v>0</v>
      </c>
      <c r="P7" s="39">
        <f t="shared" si="2"/>
        <v>1</v>
      </c>
      <c r="Q7" s="14"/>
      <c r="R7" s="28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</row>
    <row r="8" spans="1:440" s="6" customFormat="1" x14ac:dyDescent="0.3">
      <c r="A8" s="13" t="s">
        <v>196</v>
      </c>
      <c r="B8" s="14">
        <v>6986663961</v>
      </c>
      <c r="C8" s="14" t="s">
        <v>170</v>
      </c>
      <c r="D8" s="14" t="s">
        <v>182</v>
      </c>
      <c r="E8" s="14">
        <v>300</v>
      </c>
      <c r="F8" s="14">
        <v>300</v>
      </c>
      <c r="G8" s="14"/>
      <c r="H8" s="14"/>
      <c r="I8" s="14"/>
      <c r="J8" s="14"/>
      <c r="K8" s="14"/>
      <c r="L8" s="14"/>
      <c r="M8" s="14"/>
      <c r="N8" s="38">
        <f t="shared" si="0"/>
        <v>300</v>
      </c>
      <c r="O8" s="38">
        <f t="shared" si="1"/>
        <v>0</v>
      </c>
      <c r="P8" s="39">
        <f t="shared" si="2"/>
        <v>1</v>
      </c>
      <c r="Q8" s="14"/>
      <c r="R8" s="28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</row>
    <row r="9" spans="1:440" s="11" customFormat="1" x14ac:dyDescent="0.3">
      <c r="A9" s="13" t="s">
        <v>171</v>
      </c>
      <c r="B9" s="14">
        <v>6988118859</v>
      </c>
      <c r="C9" s="14" t="s">
        <v>172</v>
      </c>
      <c r="D9" s="14" t="s">
        <v>182</v>
      </c>
      <c r="E9" s="14">
        <v>300</v>
      </c>
      <c r="F9" s="14">
        <v>300</v>
      </c>
      <c r="G9" s="14"/>
      <c r="H9" s="14"/>
      <c r="I9" s="14"/>
      <c r="J9" s="14"/>
      <c r="K9" s="14"/>
      <c r="L9" s="14"/>
      <c r="M9" s="14"/>
      <c r="N9" s="38">
        <f t="shared" si="0"/>
        <v>300</v>
      </c>
      <c r="O9" s="38">
        <f t="shared" si="1"/>
        <v>0</v>
      </c>
      <c r="P9" s="39">
        <f t="shared" si="2"/>
        <v>1</v>
      </c>
      <c r="Q9" s="14"/>
      <c r="R9" s="28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</row>
    <row r="10" spans="1:440" s="11" customFormat="1" x14ac:dyDescent="0.3">
      <c r="A10" s="13" t="s">
        <v>173</v>
      </c>
      <c r="B10" s="14">
        <v>6989592892</v>
      </c>
      <c r="C10" s="14" t="s">
        <v>174</v>
      </c>
      <c r="D10" s="14" t="s">
        <v>181</v>
      </c>
      <c r="E10" s="14">
        <v>100</v>
      </c>
      <c r="F10" s="14">
        <v>60</v>
      </c>
      <c r="G10" s="14"/>
      <c r="H10" s="14"/>
      <c r="I10" s="14"/>
      <c r="J10" s="14"/>
      <c r="K10" s="14"/>
      <c r="L10" s="14"/>
      <c r="M10" s="14"/>
      <c r="N10" s="38">
        <f t="shared" si="0"/>
        <v>60</v>
      </c>
      <c r="O10" s="38">
        <f t="shared" si="1"/>
        <v>40</v>
      </c>
      <c r="P10" s="39">
        <f t="shared" si="2"/>
        <v>0.6</v>
      </c>
      <c r="Q10" s="14"/>
      <c r="R10" s="28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</row>
    <row r="11" spans="1:440" s="6" customFormat="1" x14ac:dyDescent="0.3">
      <c r="A11" s="13" t="s">
        <v>175</v>
      </c>
      <c r="B11" s="14"/>
      <c r="C11" s="14"/>
      <c r="D11" s="14" t="s">
        <v>182</v>
      </c>
      <c r="E11" s="14">
        <v>300</v>
      </c>
      <c r="F11" s="14">
        <v>300</v>
      </c>
      <c r="G11" s="14"/>
      <c r="H11" s="14"/>
      <c r="I11" s="14"/>
      <c r="J11" s="14"/>
      <c r="K11" s="14"/>
      <c r="L11" s="14"/>
      <c r="M11" s="14"/>
      <c r="N11" s="38">
        <f t="shared" si="0"/>
        <v>300</v>
      </c>
      <c r="O11" s="38">
        <f t="shared" si="1"/>
        <v>0</v>
      </c>
      <c r="P11" s="39">
        <f t="shared" si="2"/>
        <v>1</v>
      </c>
      <c r="Q11" s="14"/>
      <c r="R11" s="28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</row>
    <row r="12" spans="1:440" s="10" customFormat="1" x14ac:dyDescent="0.3">
      <c r="A12" s="13" t="s">
        <v>176</v>
      </c>
      <c r="B12" s="14"/>
      <c r="C12" s="14"/>
      <c r="D12" s="14" t="s">
        <v>177</v>
      </c>
      <c r="E12" s="14">
        <v>15</v>
      </c>
      <c r="F12" s="14">
        <v>15</v>
      </c>
      <c r="G12" s="14"/>
      <c r="H12" s="14"/>
      <c r="I12" s="14"/>
      <c r="J12" s="14"/>
      <c r="K12" s="14"/>
      <c r="L12" s="14"/>
      <c r="M12" s="14"/>
      <c r="N12" s="38">
        <f t="shared" si="0"/>
        <v>15</v>
      </c>
      <c r="O12" s="38">
        <f t="shared" si="1"/>
        <v>0</v>
      </c>
      <c r="P12" s="39">
        <f t="shared" si="2"/>
        <v>1</v>
      </c>
      <c r="Q12" s="14"/>
      <c r="R12" s="28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</row>
    <row r="13" spans="1:440" s="10" customFormat="1" x14ac:dyDescent="0.3">
      <c r="A13" s="13" t="s">
        <v>178</v>
      </c>
      <c r="B13" s="14">
        <v>6947515635</v>
      </c>
      <c r="C13" s="14" t="s">
        <v>179</v>
      </c>
      <c r="D13" s="14" t="s">
        <v>182</v>
      </c>
      <c r="E13" s="14">
        <v>150</v>
      </c>
      <c r="F13" s="14"/>
      <c r="G13" s="14"/>
      <c r="H13" s="14"/>
      <c r="I13" s="14"/>
      <c r="J13" s="14"/>
      <c r="K13" s="14"/>
      <c r="L13" s="14"/>
      <c r="M13" s="14"/>
      <c r="N13" s="38">
        <f t="shared" si="0"/>
        <v>0</v>
      </c>
      <c r="O13" s="38">
        <f t="shared" si="1"/>
        <v>150</v>
      </c>
      <c r="P13" s="39">
        <f t="shared" si="2"/>
        <v>0</v>
      </c>
      <c r="Q13" s="14"/>
      <c r="R13" s="28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</row>
    <row r="14" spans="1:440" s="11" customFormat="1" x14ac:dyDescent="0.3">
      <c r="A14" s="13" t="s">
        <v>190</v>
      </c>
      <c r="B14" s="14">
        <v>6955911970</v>
      </c>
      <c r="C14" s="45" t="s">
        <v>191</v>
      </c>
      <c r="D14" s="14" t="s">
        <v>181</v>
      </c>
      <c r="E14" s="14">
        <v>200</v>
      </c>
      <c r="F14" s="14">
        <v>100</v>
      </c>
      <c r="G14" s="14"/>
      <c r="H14" s="14"/>
      <c r="I14" s="14"/>
      <c r="J14" s="14"/>
      <c r="K14" s="14"/>
      <c r="L14" s="14"/>
      <c r="M14" s="14"/>
      <c r="N14" s="38"/>
      <c r="O14" s="38"/>
      <c r="P14" s="39"/>
      <c r="Q14" s="14"/>
      <c r="R14" s="28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</row>
    <row r="15" spans="1:440" s="6" customFormat="1" x14ac:dyDescent="0.3">
      <c r="A15" s="13" t="s">
        <v>192</v>
      </c>
      <c r="B15" s="14">
        <v>6949037696</v>
      </c>
      <c r="C15" s="45" t="s">
        <v>193</v>
      </c>
      <c r="D15" s="14" t="s">
        <v>182</v>
      </c>
      <c r="E15" s="14">
        <v>300</v>
      </c>
      <c r="F15" s="14">
        <v>150</v>
      </c>
      <c r="G15" s="14"/>
      <c r="H15" s="15"/>
      <c r="I15" s="14"/>
      <c r="J15" s="14"/>
      <c r="K15" s="14"/>
      <c r="L15" s="14"/>
      <c r="M15" s="14"/>
      <c r="N15" s="38"/>
      <c r="O15" s="38"/>
      <c r="P15" s="39"/>
      <c r="Q15" s="14"/>
      <c r="R15" s="28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</row>
    <row r="16" spans="1:440" s="6" customFormat="1" x14ac:dyDescent="0.3">
      <c r="A16" s="13" t="s">
        <v>194</v>
      </c>
      <c r="B16" s="14">
        <v>6932265865</v>
      </c>
      <c r="C16" s="45" t="s">
        <v>195</v>
      </c>
      <c r="D16" s="14" t="s">
        <v>181</v>
      </c>
      <c r="E16" s="14">
        <v>150</v>
      </c>
      <c r="F16" s="14">
        <v>150</v>
      </c>
      <c r="G16" s="14"/>
      <c r="H16" s="14"/>
      <c r="I16" s="14"/>
      <c r="J16" s="14"/>
      <c r="K16" s="14"/>
      <c r="L16" s="14"/>
      <c r="M16" s="14"/>
      <c r="N16" s="38"/>
      <c r="O16" s="38"/>
      <c r="P16" s="39"/>
      <c r="Q16" s="14"/>
      <c r="R16" s="28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</row>
    <row r="17" spans="1:440" s="6" customFormat="1" x14ac:dyDescent="0.3">
      <c r="A17" s="13" t="s">
        <v>197</v>
      </c>
      <c r="B17" s="60">
        <v>6949804875</v>
      </c>
      <c r="C17" s="61" t="s">
        <v>198</v>
      </c>
      <c r="D17" s="14" t="s">
        <v>182</v>
      </c>
      <c r="E17" s="14">
        <v>300</v>
      </c>
      <c r="F17" s="14">
        <v>150</v>
      </c>
      <c r="G17" s="14"/>
      <c r="H17" s="14"/>
      <c r="I17" s="14"/>
      <c r="J17" s="14"/>
      <c r="K17" s="14"/>
      <c r="L17" s="14"/>
      <c r="M17" s="14"/>
      <c r="N17" s="38"/>
      <c r="O17" s="38"/>
      <c r="P17" s="39"/>
      <c r="Q17" s="14"/>
      <c r="R17" s="28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</row>
    <row r="18" spans="1:440" s="11" customFormat="1" x14ac:dyDescent="0.3">
      <c r="A18" s="13" t="s">
        <v>199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38"/>
      <c r="O18" s="38"/>
      <c r="P18" s="39"/>
      <c r="Q18" s="14"/>
      <c r="R18" s="28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</row>
    <row r="19" spans="1:440" s="11" customFormat="1" x14ac:dyDescent="0.3">
      <c r="A19" s="13" t="s">
        <v>200</v>
      </c>
      <c r="B19" s="14"/>
      <c r="C19" s="14"/>
      <c r="D19" s="14" t="s">
        <v>181</v>
      </c>
      <c r="E19" s="14"/>
      <c r="F19" s="14"/>
      <c r="G19" s="14"/>
      <c r="H19" s="14"/>
      <c r="I19" s="14"/>
      <c r="J19" s="14"/>
      <c r="K19" s="14"/>
      <c r="L19" s="14"/>
      <c r="M19" s="14"/>
      <c r="N19" s="38"/>
      <c r="O19" s="38"/>
      <c r="P19" s="39"/>
      <c r="Q19" s="14"/>
      <c r="R19" s="28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</row>
    <row r="20" spans="1:440" s="6" customFormat="1" x14ac:dyDescent="0.3">
      <c r="A20" s="13" t="s">
        <v>201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8"/>
      <c r="O20" s="38"/>
      <c r="P20" s="39"/>
      <c r="Q20" s="14"/>
      <c r="R20" s="28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</row>
    <row r="21" spans="1:440" s="10" customFormat="1" x14ac:dyDescent="0.3">
      <c r="A21" s="13" t="s">
        <v>202</v>
      </c>
      <c r="B21" s="14"/>
      <c r="C21" s="14"/>
      <c r="D21" s="14" t="s">
        <v>181</v>
      </c>
      <c r="E21" s="14"/>
      <c r="F21" s="14"/>
      <c r="G21" s="14"/>
      <c r="H21" s="14"/>
      <c r="I21" s="14"/>
      <c r="J21" s="14"/>
      <c r="K21" s="14"/>
      <c r="L21" s="14"/>
      <c r="M21" s="14"/>
      <c r="N21" s="38"/>
      <c r="O21" s="38"/>
      <c r="P21" s="39"/>
      <c r="Q21" s="14"/>
      <c r="R21" s="28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</row>
    <row r="22" spans="1:440" s="10" customFormat="1" x14ac:dyDescent="0.3">
      <c r="A22" s="13" t="s">
        <v>203</v>
      </c>
      <c r="B22" s="14" t="s">
        <v>204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38"/>
      <c r="O22" s="38"/>
      <c r="P22" s="39"/>
      <c r="Q22" s="14"/>
      <c r="R22" s="28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</row>
    <row r="23" spans="1:440" s="3" customFormat="1" x14ac:dyDescent="0.3">
      <c r="A23" s="13" t="s">
        <v>205</v>
      </c>
      <c r="B23" s="14" t="s">
        <v>206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38"/>
      <c r="O23" s="38"/>
      <c r="P23" s="39"/>
      <c r="Q23" s="14"/>
      <c r="R23" s="28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</row>
    <row r="24" spans="1:440" s="5" customFormat="1" x14ac:dyDescent="0.3">
      <c r="A24" s="13" t="s">
        <v>207</v>
      </c>
      <c r="B24" s="14" t="s">
        <v>208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38"/>
      <c r="O24" s="38"/>
      <c r="P24" s="39"/>
      <c r="Q24" s="14"/>
      <c r="R24" s="28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</row>
    <row r="25" spans="1:440" s="4" customFormat="1" x14ac:dyDescent="0.3">
      <c r="A25" s="13" t="s">
        <v>209</v>
      </c>
      <c r="B25" s="14" t="s">
        <v>210</v>
      </c>
      <c r="C25" s="14"/>
      <c r="D25" s="14" t="s">
        <v>211</v>
      </c>
      <c r="E25" s="14"/>
      <c r="F25" s="14"/>
      <c r="G25" s="14"/>
      <c r="H25" s="14"/>
      <c r="I25" s="14"/>
      <c r="J25" s="14"/>
      <c r="K25" s="14"/>
      <c r="L25" s="14"/>
      <c r="M25" s="14"/>
      <c r="N25" s="38"/>
      <c r="O25" s="38"/>
      <c r="P25" s="39"/>
      <c r="Q25" s="14"/>
      <c r="R25" s="28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</row>
    <row r="26" spans="1:440" s="7" customFormat="1" x14ac:dyDescent="0.3">
      <c r="A26" s="13" t="s">
        <v>212</v>
      </c>
      <c r="B26" s="14" t="s">
        <v>213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38"/>
      <c r="O26" s="38"/>
      <c r="P26" s="39"/>
      <c r="Q26" s="14"/>
      <c r="R26" s="28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</row>
    <row r="27" spans="1:440" s="7" customFormat="1" x14ac:dyDescent="0.3">
      <c r="A27" s="13" t="s">
        <v>214</v>
      </c>
      <c r="B27" s="14" t="s">
        <v>215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38"/>
      <c r="O27" s="38"/>
      <c r="P27" s="39"/>
      <c r="Q27" s="14"/>
      <c r="R27" s="28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</row>
    <row r="28" spans="1:440" s="4" customFormat="1" x14ac:dyDescent="0.3">
      <c r="A28" s="13" t="s">
        <v>216</v>
      </c>
      <c r="B28" s="14" t="s">
        <v>217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38"/>
      <c r="O28" s="38"/>
      <c r="P28" s="39"/>
      <c r="Q28" s="14"/>
      <c r="R28" s="28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</row>
    <row r="29" spans="1:440" s="3" customFormat="1" x14ac:dyDescent="0.3">
      <c r="A29" s="13" t="s">
        <v>218</v>
      </c>
      <c r="B29" s="14" t="s">
        <v>219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38"/>
      <c r="O29" s="38"/>
      <c r="P29" s="39"/>
      <c r="Q29" s="14"/>
      <c r="R29" s="28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</row>
    <row r="30" spans="1:440" s="3" customFormat="1" x14ac:dyDescent="0.3">
      <c r="A30" s="13" t="s">
        <v>220</v>
      </c>
      <c r="B30" s="14" t="s">
        <v>221</v>
      </c>
      <c r="C30" s="4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38"/>
      <c r="O30" s="38"/>
      <c r="P30" s="39"/>
      <c r="Q30" s="14"/>
      <c r="R30" s="28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</row>
    <row r="31" spans="1:440" s="3" customFormat="1" x14ac:dyDescent="0.3">
      <c r="A31" s="13" t="s">
        <v>222</v>
      </c>
      <c r="B31" s="14" t="s">
        <v>223</v>
      </c>
      <c r="C31" s="4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8"/>
      <c r="O31" s="38"/>
      <c r="P31" s="39"/>
      <c r="Q31" s="14"/>
      <c r="R31" s="28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</row>
    <row r="32" spans="1:440" s="5" customFormat="1" x14ac:dyDescent="0.3">
      <c r="A32" s="13" t="s">
        <v>224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38"/>
      <c r="O32" s="38"/>
      <c r="P32" s="39"/>
      <c r="Q32" s="14"/>
      <c r="R32" s="28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</row>
    <row r="33" spans="1:440" s="4" customFormat="1" x14ac:dyDescent="0.3">
      <c r="A33" s="13" t="s">
        <v>225</v>
      </c>
      <c r="B33" s="14" t="s">
        <v>226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38"/>
      <c r="O33" s="38"/>
      <c r="P33" s="39"/>
      <c r="Q33" s="14"/>
      <c r="R33" s="28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</row>
    <row r="34" spans="1:440" s="3" customFormat="1" x14ac:dyDescent="0.3">
      <c r="A34" s="13" t="s">
        <v>227</v>
      </c>
      <c r="B34" s="14" t="s">
        <v>228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38"/>
      <c r="O34" s="38"/>
      <c r="P34" s="39"/>
      <c r="Q34" s="14"/>
      <c r="R34" s="28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</row>
    <row r="35" spans="1:440" s="4" customFormat="1" x14ac:dyDescent="0.3">
      <c r="A35" s="13" t="s">
        <v>229</v>
      </c>
      <c r="B35" s="14" t="s">
        <v>230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38"/>
      <c r="O35" s="38"/>
      <c r="P35" s="39"/>
      <c r="Q35" s="14"/>
      <c r="R35" s="28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</row>
    <row r="36" spans="1:440" s="5" customFormat="1" x14ac:dyDescent="0.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38"/>
      <c r="O36" s="38"/>
      <c r="P36" s="39"/>
      <c r="Q36" s="14"/>
      <c r="R36" s="28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</row>
    <row r="37" spans="1:440" s="3" customFormat="1" x14ac:dyDescent="0.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38"/>
      <c r="O37" s="38"/>
      <c r="P37" s="39"/>
      <c r="Q37" s="14"/>
      <c r="R37" s="28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</row>
    <row r="38" spans="1:440" s="4" customFormat="1" x14ac:dyDescent="0.3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38"/>
      <c r="O38" s="38"/>
      <c r="P38" s="39"/>
      <c r="Q38" s="14"/>
      <c r="R38" s="28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</row>
    <row r="39" spans="1:440" s="3" customFormat="1" x14ac:dyDescent="0.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38" t="str">
        <f t="shared" ref="N39:N78" si="3">IF(AND(ISBLANK(E39),ISBLANK(F39),ISBLANK(G39),ISBLANK(H39),ISBLANK(I39),ISBLANK(J39),ISBLANK(K39),ISBLANK(L39),ISBLANK(M39)),"",SUM(F39:M39))</f>
        <v/>
      </c>
      <c r="O39" s="38" t="str">
        <f t="shared" si="1"/>
        <v/>
      </c>
      <c r="P39" s="39" t="str">
        <f t="shared" si="2"/>
        <v/>
      </c>
      <c r="Q39" s="14"/>
      <c r="R39" s="28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</row>
    <row r="40" spans="1:440" s="3" customFormat="1" x14ac:dyDescent="0.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8" t="str">
        <f t="shared" si="3"/>
        <v/>
      </c>
      <c r="O40" s="38" t="str">
        <f t="shared" si="1"/>
        <v/>
      </c>
      <c r="P40" s="39" t="str">
        <f t="shared" si="2"/>
        <v/>
      </c>
      <c r="Q40" s="14"/>
      <c r="R40" s="28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</row>
    <row r="41" spans="1:440" s="3" customFormat="1" x14ac:dyDescent="0.3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38" t="str">
        <f t="shared" si="3"/>
        <v/>
      </c>
      <c r="O41" s="38" t="str">
        <f t="shared" si="1"/>
        <v/>
      </c>
      <c r="P41" s="39" t="str">
        <f t="shared" si="2"/>
        <v/>
      </c>
      <c r="Q41" s="14"/>
      <c r="R41" s="28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</row>
    <row r="42" spans="1:440" s="3" customFormat="1" x14ac:dyDescent="0.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38" t="str">
        <f t="shared" si="3"/>
        <v/>
      </c>
      <c r="O42" s="38" t="str">
        <f t="shared" si="1"/>
        <v/>
      </c>
      <c r="P42" s="39" t="str">
        <f t="shared" si="2"/>
        <v/>
      </c>
      <c r="Q42" s="14"/>
      <c r="R42" s="28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</row>
    <row r="43" spans="1:440" s="3" customFormat="1" x14ac:dyDescent="0.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38" t="str">
        <f t="shared" si="3"/>
        <v/>
      </c>
      <c r="O43" s="38" t="str">
        <f t="shared" si="1"/>
        <v/>
      </c>
      <c r="P43" s="39" t="str">
        <f t="shared" si="2"/>
        <v/>
      </c>
      <c r="Q43" s="14"/>
      <c r="R43" s="28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</row>
    <row r="44" spans="1:440" s="3" customFormat="1" ht="18" customHeight="1" x14ac:dyDescent="0.3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38" t="str">
        <f t="shared" si="3"/>
        <v/>
      </c>
      <c r="O44" s="38" t="str">
        <f t="shared" si="1"/>
        <v/>
      </c>
      <c r="P44" s="39" t="str">
        <f t="shared" si="2"/>
        <v/>
      </c>
      <c r="Q44" s="14"/>
      <c r="R44" s="28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</row>
    <row r="45" spans="1:440" s="7" customForma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38" t="str">
        <f t="shared" si="3"/>
        <v/>
      </c>
      <c r="O45" s="38" t="str">
        <f t="shared" si="1"/>
        <v/>
      </c>
      <c r="P45" s="39" t="str">
        <f t="shared" si="2"/>
        <v/>
      </c>
      <c r="Q45" s="14"/>
      <c r="R45" s="28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</row>
    <row r="46" spans="1:440" s="3" customFormat="1" x14ac:dyDescent="0.3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38" t="str">
        <f t="shared" si="3"/>
        <v/>
      </c>
      <c r="O46" s="38" t="str">
        <f t="shared" si="1"/>
        <v/>
      </c>
      <c r="P46" s="39" t="str">
        <f t="shared" si="2"/>
        <v/>
      </c>
      <c r="Q46" s="14"/>
      <c r="R46" s="28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</row>
    <row r="47" spans="1:440" s="7" customFormat="1" x14ac:dyDescent="0.3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8" t="str">
        <f t="shared" si="3"/>
        <v/>
      </c>
      <c r="O47" s="38" t="str">
        <f t="shared" ref="O47:O110" si="4">IF(AND(ISBLANK(E47), ISBLANK(F47), ISBLANK(G47), ISBLANK(H47), ISBLANK(I47), ISBLANK(J47), ISBLANK(K47), ISBLANK(L47), ISBLANK(M47)), "", E47-N47)</f>
        <v/>
      </c>
      <c r="P47" s="39" t="str">
        <f t="shared" ref="P47:P110" si="5">IF(AND(ISBLANK(E47),ISBLANK(F47),ISBLANK(G47),ISBLANK(H47),ISBLANK(I47),ISBLANK(J47),ISBLANK(K47),ISBLANK(L47),ISBLANK(M47)),"",N47/E47)</f>
        <v/>
      </c>
      <c r="Q47" s="14"/>
      <c r="R47" s="28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</row>
    <row r="48" spans="1:440" s="3" customFormat="1" x14ac:dyDescent="0.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8" t="str">
        <f t="shared" si="3"/>
        <v/>
      </c>
      <c r="O48" s="38" t="str">
        <f t="shared" si="4"/>
        <v/>
      </c>
      <c r="P48" s="39" t="str">
        <f t="shared" si="5"/>
        <v/>
      </c>
      <c r="Q48" s="14"/>
      <c r="R48" s="28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</row>
    <row r="49" spans="1:440" s="3" customFormat="1" x14ac:dyDescent="0.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8" t="str">
        <f t="shared" si="3"/>
        <v/>
      </c>
      <c r="O49" s="38" t="str">
        <f t="shared" si="4"/>
        <v/>
      </c>
      <c r="P49" s="39" t="str">
        <f t="shared" si="5"/>
        <v/>
      </c>
      <c r="Q49" s="14"/>
      <c r="R49" s="28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</row>
    <row r="50" spans="1:440" s="3" customFormat="1" x14ac:dyDescent="0.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8" t="str">
        <f t="shared" si="3"/>
        <v/>
      </c>
      <c r="O50" s="38" t="str">
        <f t="shared" si="4"/>
        <v/>
      </c>
      <c r="P50" s="39" t="str">
        <f t="shared" si="5"/>
        <v/>
      </c>
      <c r="Q50" s="14"/>
      <c r="R50" s="28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</row>
    <row r="51" spans="1:440" s="3" customFormat="1" x14ac:dyDescent="0.3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8" t="str">
        <f t="shared" si="3"/>
        <v/>
      </c>
      <c r="O51" s="38" t="str">
        <f t="shared" si="4"/>
        <v/>
      </c>
      <c r="P51" s="39" t="str">
        <f t="shared" si="5"/>
        <v/>
      </c>
      <c r="Q51" s="14"/>
      <c r="R51" s="28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</row>
    <row r="52" spans="1:440" s="3" customFormat="1" x14ac:dyDescent="0.3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8" t="str">
        <f t="shared" si="3"/>
        <v/>
      </c>
      <c r="O52" s="38" t="str">
        <f t="shared" si="4"/>
        <v/>
      </c>
      <c r="P52" s="39" t="str">
        <f t="shared" si="5"/>
        <v/>
      </c>
      <c r="Q52" s="14"/>
      <c r="R52" s="28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</row>
    <row r="53" spans="1:440" s="3" customFormat="1" x14ac:dyDescent="0.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8" t="str">
        <f t="shared" si="3"/>
        <v/>
      </c>
      <c r="O53" s="38" t="str">
        <f t="shared" si="4"/>
        <v/>
      </c>
      <c r="P53" s="39" t="str">
        <f t="shared" si="5"/>
        <v/>
      </c>
      <c r="Q53" s="14"/>
      <c r="R53" s="28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</row>
    <row r="54" spans="1:440" s="3" customFormat="1" x14ac:dyDescent="0.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8" t="str">
        <f t="shared" si="3"/>
        <v/>
      </c>
      <c r="O54" s="38" t="str">
        <f t="shared" si="4"/>
        <v/>
      </c>
      <c r="P54" s="39" t="str">
        <f t="shared" si="5"/>
        <v/>
      </c>
      <c r="Q54" s="14"/>
      <c r="R54" s="28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</row>
    <row r="55" spans="1:440" s="2" customFormat="1" x14ac:dyDescent="0.3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38" t="str">
        <f t="shared" si="3"/>
        <v/>
      </c>
      <c r="O55" s="38" t="str">
        <f t="shared" si="4"/>
        <v/>
      </c>
      <c r="P55" s="39" t="str">
        <f t="shared" si="5"/>
        <v/>
      </c>
      <c r="Q55" s="14"/>
      <c r="R55" s="28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</row>
    <row r="56" spans="1:440" s="3" customFormat="1" x14ac:dyDescent="0.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38" t="str">
        <f t="shared" si="3"/>
        <v/>
      </c>
      <c r="O56" s="38" t="str">
        <f t="shared" si="4"/>
        <v/>
      </c>
      <c r="P56" s="39" t="str">
        <f t="shared" si="5"/>
        <v/>
      </c>
      <c r="Q56" s="14"/>
      <c r="R56" s="28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</row>
    <row r="57" spans="1:440" s="3" customFormat="1" x14ac:dyDescent="0.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38" t="str">
        <f t="shared" si="3"/>
        <v/>
      </c>
      <c r="O57" s="38" t="str">
        <f t="shared" si="4"/>
        <v/>
      </c>
      <c r="P57" s="39" t="str">
        <f t="shared" si="5"/>
        <v/>
      </c>
      <c r="Q57" s="14"/>
      <c r="R57" s="28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</row>
    <row r="58" spans="1:440" s="3" customFormat="1" x14ac:dyDescent="0.3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38" t="str">
        <f t="shared" si="3"/>
        <v/>
      </c>
      <c r="O58" s="38" t="str">
        <f t="shared" si="4"/>
        <v/>
      </c>
      <c r="P58" s="39" t="str">
        <f t="shared" si="5"/>
        <v/>
      </c>
      <c r="Q58" s="14"/>
      <c r="R58" s="28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</row>
    <row r="59" spans="1:440" s="3" customFormat="1" x14ac:dyDescent="0.3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8" t="str">
        <f t="shared" si="3"/>
        <v/>
      </c>
      <c r="O59" s="38" t="str">
        <f t="shared" si="4"/>
        <v/>
      </c>
      <c r="P59" s="39" t="str">
        <f t="shared" si="5"/>
        <v/>
      </c>
      <c r="Q59" s="14"/>
      <c r="R59" s="28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</row>
    <row r="60" spans="1:440" s="3" customFormat="1" x14ac:dyDescent="0.3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8" t="str">
        <f t="shared" si="3"/>
        <v/>
      </c>
      <c r="O60" s="38" t="str">
        <f t="shared" si="4"/>
        <v/>
      </c>
      <c r="P60" s="39" t="str">
        <f t="shared" si="5"/>
        <v/>
      </c>
      <c r="Q60" s="14"/>
      <c r="R60" s="28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</row>
    <row r="61" spans="1:440" s="3" customFormat="1" x14ac:dyDescent="0.3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38" t="str">
        <f t="shared" si="3"/>
        <v/>
      </c>
      <c r="O61" s="38" t="str">
        <f t="shared" si="4"/>
        <v/>
      </c>
      <c r="P61" s="39" t="str">
        <f t="shared" si="5"/>
        <v/>
      </c>
      <c r="Q61" s="14"/>
      <c r="R61" s="28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</row>
    <row r="62" spans="1:440" s="8" customFormat="1" x14ac:dyDescent="0.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38" t="str">
        <f t="shared" si="3"/>
        <v/>
      </c>
      <c r="O62" s="38" t="str">
        <f t="shared" si="4"/>
        <v/>
      </c>
      <c r="P62" s="39" t="str">
        <f t="shared" si="5"/>
        <v/>
      </c>
      <c r="Q62" s="14"/>
      <c r="R62" s="28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</row>
    <row r="63" spans="1:440" s="7" customFormat="1" x14ac:dyDescent="0.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38" t="str">
        <f t="shared" si="3"/>
        <v/>
      </c>
      <c r="O63" s="38" t="str">
        <f t="shared" si="4"/>
        <v/>
      </c>
      <c r="P63" s="39" t="str">
        <f t="shared" si="5"/>
        <v/>
      </c>
      <c r="Q63" s="14"/>
      <c r="R63" s="28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</row>
    <row r="64" spans="1:440" s="4" customFormat="1" x14ac:dyDescent="0.3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38" t="str">
        <f t="shared" si="3"/>
        <v/>
      </c>
      <c r="O64" s="38" t="str">
        <f t="shared" si="4"/>
        <v/>
      </c>
      <c r="P64" s="39" t="str">
        <f t="shared" si="5"/>
        <v/>
      </c>
      <c r="Q64" s="14"/>
      <c r="R64" s="28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</row>
    <row r="65" spans="1:440" s="7" customFormat="1" x14ac:dyDescent="0.3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38" t="str">
        <f t="shared" si="3"/>
        <v/>
      </c>
      <c r="O65" s="38" t="str">
        <f t="shared" si="4"/>
        <v/>
      </c>
      <c r="P65" s="39" t="str">
        <f t="shared" si="5"/>
        <v/>
      </c>
      <c r="Q65" s="14"/>
      <c r="R65" s="28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</row>
    <row r="66" spans="1:440" s="3" customFormat="1" x14ac:dyDescent="0.3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38" t="str">
        <f t="shared" si="3"/>
        <v/>
      </c>
      <c r="O66" s="38" t="str">
        <f t="shared" si="4"/>
        <v/>
      </c>
      <c r="P66" s="39" t="str">
        <f t="shared" si="5"/>
        <v/>
      </c>
      <c r="Q66" s="14"/>
      <c r="R66" s="28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</row>
    <row r="67" spans="1:440" s="7" customFormat="1" x14ac:dyDescent="0.3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38" t="str">
        <f t="shared" si="3"/>
        <v/>
      </c>
      <c r="O67" s="38" t="str">
        <f t="shared" si="4"/>
        <v/>
      </c>
      <c r="P67" s="39" t="str">
        <f t="shared" si="5"/>
        <v/>
      </c>
      <c r="Q67" s="14"/>
      <c r="R67" s="28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</row>
    <row r="68" spans="1:440" x14ac:dyDescent="0.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38" t="str">
        <f t="shared" si="3"/>
        <v/>
      </c>
      <c r="O68" s="38" t="str">
        <f t="shared" si="4"/>
        <v/>
      </c>
      <c r="P68" s="39" t="str">
        <f t="shared" si="5"/>
        <v/>
      </c>
      <c r="Q68" s="14"/>
      <c r="R68" s="28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</row>
    <row r="69" spans="1:440" x14ac:dyDescent="0.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38" t="str">
        <f t="shared" si="3"/>
        <v/>
      </c>
      <c r="O69" s="38" t="str">
        <f t="shared" si="4"/>
        <v/>
      </c>
      <c r="P69" s="39" t="str">
        <f t="shared" si="5"/>
        <v/>
      </c>
      <c r="Q69" s="14"/>
      <c r="R69" s="28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</row>
    <row r="70" spans="1:440" s="7" customFormat="1" x14ac:dyDescent="0.3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8" t="str">
        <f t="shared" si="3"/>
        <v/>
      </c>
      <c r="O70" s="38" t="str">
        <f t="shared" si="4"/>
        <v/>
      </c>
      <c r="P70" s="39" t="str">
        <f t="shared" si="5"/>
        <v/>
      </c>
      <c r="Q70" s="14"/>
      <c r="R70" s="28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</row>
    <row r="71" spans="1:440" s="3" customFormat="1" x14ac:dyDescent="0.3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38" t="str">
        <f t="shared" si="3"/>
        <v/>
      </c>
      <c r="O71" s="38" t="str">
        <f t="shared" si="4"/>
        <v/>
      </c>
      <c r="P71" s="39" t="str">
        <f t="shared" si="5"/>
        <v/>
      </c>
      <c r="Q71" s="14"/>
      <c r="R71" s="28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</row>
    <row r="72" spans="1:440" s="3" customFormat="1" x14ac:dyDescent="0.3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38" t="str">
        <f t="shared" si="3"/>
        <v/>
      </c>
      <c r="O72" s="38" t="str">
        <f t="shared" si="4"/>
        <v/>
      </c>
      <c r="P72" s="39" t="str">
        <f t="shared" si="5"/>
        <v/>
      </c>
      <c r="Q72" s="14"/>
      <c r="R72" s="28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</row>
    <row r="73" spans="1:440" s="3" customFormat="1" x14ac:dyDescent="0.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38" t="str">
        <f t="shared" si="3"/>
        <v/>
      </c>
      <c r="O73" s="38" t="str">
        <f t="shared" si="4"/>
        <v/>
      </c>
      <c r="P73" s="39" t="str">
        <f t="shared" si="5"/>
        <v/>
      </c>
      <c r="Q73" s="14"/>
      <c r="R73" s="28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</row>
    <row r="74" spans="1:440" s="3" customFormat="1" x14ac:dyDescent="0.3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38" t="str">
        <f t="shared" si="3"/>
        <v/>
      </c>
      <c r="O74" s="38" t="str">
        <f t="shared" si="4"/>
        <v/>
      </c>
      <c r="P74" s="39" t="str">
        <f t="shared" si="5"/>
        <v/>
      </c>
      <c r="Q74" s="14"/>
      <c r="R74" s="28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</row>
    <row r="75" spans="1:440" s="9" customFormat="1" x14ac:dyDescent="0.3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38" t="str">
        <f t="shared" si="3"/>
        <v/>
      </c>
      <c r="O75" s="38" t="str">
        <f t="shared" si="4"/>
        <v/>
      </c>
      <c r="P75" s="39" t="str">
        <f t="shared" si="5"/>
        <v/>
      </c>
      <c r="Q75" s="14"/>
      <c r="R75" s="28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</row>
    <row r="76" spans="1:440" s="3" customFormat="1" x14ac:dyDescent="0.3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38" t="str">
        <f t="shared" si="3"/>
        <v/>
      </c>
      <c r="O76" s="38" t="str">
        <f t="shared" si="4"/>
        <v/>
      </c>
      <c r="P76" s="39" t="str">
        <f t="shared" si="5"/>
        <v/>
      </c>
      <c r="Q76" s="14"/>
      <c r="R76" s="28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</row>
    <row r="77" spans="1:440" s="3" customFormat="1" x14ac:dyDescent="0.3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38" t="str">
        <f t="shared" si="3"/>
        <v/>
      </c>
      <c r="O77" s="38" t="str">
        <f t="shared" si="4"/>
        <v/>
      </c>
      <c r="P77" s="39" t="str">
        <f t="shared" si="5"/>
        <v/>
      </c>
      <c r="Q77" s="14"/>
      <c r="R77" s="28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</row>
    <row r="78" spans="1:440" s="4" customFormat="1" x14ac:dyDescent="0.3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38" t="str">
        <f t="shared" si="3"/>
        <v/>
      </c>
      <c r="O78" s="38" t="str">
        <f t="shared" si="4"/>
        <v/>
      </c>
      <c r="P78" s="39" t="str">
        <f t="shared" si="5"/>
        <v/>
      </c>
      <c r="Q78" s="14"/>
      <c r="R78" s="28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</row>
    <row r="79" spans="1:440" s="7" customFormat="1" x14ac:dyDescent="0.3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38" t="str">
        <f t="shared" ref="N79:N142" si="6">IF(AND(ISBLANK(E79),ISBLANK(F79),ISBLANK(G79),ISBLANK(H79),ISBLANK(I79),ISBLANK(J79),ISBLANK(K79),ISBLANK(L79),ISBLANK(M79)),"",SUM(F79:M79))</f>
        <v/>
      </c>
      <c r="O79" s="38" t="str">
        <f t="shared" si="4"/>
        <v/>
      </c>
      <c r="P79" s="39" t="str">
        <f t="shared" si="5"/>
        <v/>
      </c>
      <c r="Q79" s="14"/>
      <c r="R79" s="28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</row>
    <row r="80" spans="1:440" s="3" customFormat="1" x14ac:dyDescent="0.3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38" t="str">
        <f t="shared" si="6"/>
        <v/>
      </c>
      <c r="O80" s="38" t="str">
        <f t="shared" si="4"/>
        <v/>
      </c>
      <c r="P80" s="39" t="str">
        <f t="shared" si="5"/>
        <v/>
      </c>
      <c r="Q80" s="14"/>
      <c r="R80" s="28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</row>
    <row r="81" spans="1:440" s="7" customFormat="1" x14ac:dyDescent="0.3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38" t="str">
        <f t="shared" si="6"/>
        <v/>
      </c>
      <c r="O81" s="38" t="str">
        <f t="shared" si="4"/>
        <v/>
      </c>
      <c r="P81" s="39" t="str">
        <f t="shared" si="5"/>
        <v/>
      </c>
      <c r="Q81" s="14"/>
      <c r="R81" s="28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</row>
    <row r="82" spans="1:440" s="7" customFormat="1" x14ac:dyDescent="0.3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38" t="str">
        <f t="shared" si="6"/>
        <v/>
      </c>
      <c r="O82" s="38" t="str">
        <f t="shared" si="4"/>
        <v/>
      </c>
      <c r="P82" s="39" t="str">
        <f t="shared" si="5"/>
        <v/>
      </c>
      <c r="Q82" s="14"/>
      <c r="R82" s="28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</row>
    <row r="83" spans="1:440" s="5" customFormat="1" x14ac:dyDescent="0.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38" t="str">
        <f t="shared" si="6"/>
        <v/>
      </c>
      <c r="O83" s="38" t="str">
        <f t="shared" si="4"/>
        <v/>
      </c>
      <c r="P83" s="39" t="str">
        <f t="shared" si="5"/>
        <v/>
      </c>
      <c r="Q83" s="14"/>
      <c r="R83" s="28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</row>
    <row r="84" spans="1:440" s="3" customFormat="1" x14ac:dyDescent="0.3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38" t="str">
        <f t="shared" si="6"/>
        <v/>
      </c>
      <c r="O84" s="38" t="str">
        <f t="shared" si="4"/>
        <v/>
      </c>
      <c r="P84" s="39" t="str">
        <f t="shared" si="5"/>
        <v/>
      </c>
      <c r="Q84" s="14"/>
      <c r="R84" s="28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</row>
    <row r="85" spans="1:440" s="7" customFormat="1" x14ac:dyDescent="0.3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38" t="str">
        <f t="shared" si="6"/>
        <v/>
      </c>
      <c r="O85" s="38" t="str">
        <f t="shared" si="4"/>
        <v/>
      </c>
      <c r="P85" s="39" t="str">
        <f t="shared" si="5"/>
        <v/>
      </c>
      <c r="Q85" s="14"/>
      <c r="R85" s="28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</row>
    <row r="86" spans="1:440" s="7" customFormat="1" x14ac:dyDescent="0.3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38" t="str">
        <f t="shared" si="6"/>
        <v/>
      </c>
      <c r="O86" s="38" t="str">
        <f t="shared" si="4"/>
        <v/>
      </c>
      <c r="P86" s="39" t="str">
        <f t="shared" si="5"/>
        <v/>
      </c>
      <c r="Q86" s="14"/>
      <c r="R86" s="28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</row>
    <row r="87" spans="1:440" s="3" customFormat="1" x14ac:dyDescent="0.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38" t="str">
        <f t="shared" si="6"/>
        <v/>
      </c>
      <c r="O87" s="38" t="str">
        <f t="shared" si="4"/>
        <v/>
      </c>
      <c r="P87" s="39" t="str">
        <f t="shared" si="5"/>
        <v/>
      </c>
      <c r="Q87" s="14"/>
      <c r="R87" s="28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</row>
    <row r="88" spans="1:440" s="7" customFormat="1" x14ac:dyDescent="0.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38" t="str">
        <f t="shared" si="6"/>
        <v/>
      </c>
      <c r="O88" s="38" t="str">
        <f t="shared" si="4"/>
        <v/>
      </c>
      <c r="P88" s="39" t="str">
        <f t="shared" si="5"/>
        <v/>
      </c>
      <c r="Q88" s="14"/>
      <c r="R88" s="28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</row>
    <row r="89" spans="1:440" s="3" customFormat="1" x14ac:dyDescent="0.3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38" t="str">
        <f t="shared" si="6"/>
        <v/>
      </c>
      <c r="O89" s="38" t="str">
        <f t="shared" si="4"/>
        <v/>
      </c>
      <c r="P89" s="39" t="str">
        <f t="shared" si="5"/>
        <v/>
      </c>
      <c r="Q89" s="14"/>
      <c r="R89" s="28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</row>
    <row r="90" spans="1:440" s="3" customFormat="1" x14ac:dyDescent="0.3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38" t="str">
        <f t="shared" si="6"/>
        <v/>
      </c>
      <c r="O90" s="38" t="str">
        <f t="shared" si="4"/>
        <v/>
      </c>
      <c r="P90" s="39" t="str">
        <f t="shared" si="5"/>
        <v/>
      </c>
      <c r="Q90" s="14"/>
      <c r="R90" s="28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</row>
    <row r="91" spans="1:440" s="3" customFormat="1" x14ac:dyDescent="0.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38" t="str">
        <f t="shared" si="6"/>
        <v/>
      </c>
      <c r="O91" s="38" t="str">
        <f t="shared" si="4"/>
        <v/>
      </c>
      <c r="P91" s="39" t="str">
        <f t="shared" si="5"/>
        <v/>
      </c>
      <c r="Q91" s="14"/>
      <c r="R91" s="28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</row>
    <row r="92" spans="1:440" s="7" customFormat="1" x14ac:dyDescent="0.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38" t="str">
        <f t="shared" si="6"/>
        <v/>
      </c>
      <c r="O92" s="38" t="str">
        <f t="shared" si="4"/>
        <v/>
      </c>
      <c r="P92" s="39" t="str">
        <f t="shared" si="5"/>
        <v/>
      </c>
      <c r="Q92" s="14"/>
      <c r="R92" s="28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</row>
    <row r="93" spans="1:440" s="7" customFormat="1" x14ac:dyDescent="0.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38" t="str">
        <f t="shared" si="6"/>
        <v/>
      </c>
      <c r="O93" s="38" t="str">
        <f t="shared" si="4"/>
        <v/>
      </c>
      <c r="P93" s="39" t="str">
        <f t="shared" si="5"/>
        <v/>
      </c>
      <c r="Q93" s="14"/>
      <c r="R93" s="28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</row>
    <row r="94" spans="1:440" s="3" customFormat="1" x14ac:dyDescent="0.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38" t="str">
        <f t="shared" si="6"/>
        <v/>
      </c>
      <c r="O94" s="38" t="str">
        <f t="shared" si="4"/>
        <v/>
      </c>
      <c r="P94" s="39" t="str">
        <f t="shared" si="5"/>
        <v/>
      </c>
      <c r="Q94" s="14"/>
      <c r="R94" s="28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</row>
    <row r="95" spans="1:440" s="3" customFormat="1" x14ac:dyDescent="0.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38" t="str">
        <f t="shared" si="6"/>
        <v/>
      </c>
      <c r="O95" s="38" t="str">
        <f t="shared" si="4"/>
        <v/>
      </c>
      <c r="P95" s="39" t="str">
        <f t="shared" si="5"/>
        <v/>
      </c>
      <c r="Q95" s="14"/>
      <c r="R95" s="28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</row>
    <row r="96" spans="1:440" s="3" customFormat="1" x14ac:dyDescent="0.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38" t="str">
        <f t="shared" si="6"/>
        <v/>
      </c>
      <c r="O96" s="38" t="str">
        <f t="shared" si="4"/>
        <v/>
      </c>
      <c r="P96" s="39" t="str">
        <f t="shared" si="5"/>
        <v/>
      </c>
      <c r="Q96" s="14"/>
      <c r="R96" s="28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</row>
    <row r="97" spans="1:440" s="3" customFormat="1" x14ac:dyDescent="0.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38" t="str">
        <f t="shared" si="6"/>
        <v/>
      </c>
      <c r="O97" s="38" t="str">
        <f t="shared" si="4"/>
        <v/>
      </c>
      <c r="P97" s="39" t="str">
        <f t="shared" si="5"/>
        <v/>
      </c>
      <c r="Q97" s="14"/>
      <c r="R97" s="28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</row>
    <row r="98" spans="1:440" s="7" customFormat="1" x14ac:dyDescent="0.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38" t="str">
        <f t="shared" si="6"/>
        <v/>
      </c>
      <c r="O98" s="38" t="str">
        <f t="shared" si="4"/>
        <v/>
      </c>
      <c r="P98" s="39" t="str">
        <f t="shared" si="5"/>
        <v/>
      </c>
      <c r="Q98" s="14"/>
      <c r="R98" s="28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</row>
    <row r="99" spans="1:440" s="7" customFormat="1" x14ac:dyDescent="0.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38" t="str">
        <f t="shared" si="6"/>
        <v/>
      </c>
      <c r="O99" s="38" t="str">
        <f t="shared" si="4"/>
        <v/>
      </c>
      <c r="P99" s="39" t="str">
        <f t="shared" si="5"/>
        <v/>
      </c>
      <c r="Q99" s="14"/>
      <c r="R99" s="28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</row>
    <row r="100" spans="1:440" s="3" customFormat="1" x14ac:dyDescent="0.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38" t="str">
        <f t="shared" si="6"/>
        <v/>
      </c>
      <c r="O100" s="38" t="str">
        <f t="shared" si="4"/>
        <v/>
      </c>
      <c r="P100" s="39" t="str">
        <f t="shared" si="5"/>
        <v/>
      </c>
      <c r="Q100" s="14"/>
      <c r="R100" s="28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</row>
    <row r="101" spans="1:440" s="3" customFormat="1" x14ac:dyDescent="0.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38" t="str">
        <f t="shared" si="6"/>
        <v/>
      </c>
      <c r="O101" s="38" t="str">
        <f t="shared" si="4"/>
        <v/>
      </c>
      <c r="P101" s="39" t="str">
        <f t="shared" si="5"/>
        <v/>
      </c>
      <c r="Q101" s="14"/>
      <c r="R101" s="28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</row>
    <row r="102" spans="1:440" s="7" customFormat="1" x14ac:dyDescent="0.3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38" t="str">
        <f t="shared" si="6"/>
        <v/>
      </c>
      <c r="O102" s="38" t="str">
        <f t="shared" si="4"/>
        <v/>
      </c>
      <c r="P102" s="39" t="str">
        <f t="shared" si="5"/>
        <v/>
      </c>
      <c r="Q102" s="14"/>
      <c r="R102" s="28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</row>
    <row r="103" spans="1:440" s="3" customFormat="1" x14ac:dyDescent="0.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38" t="str">
        <f t="shared" si="6"/>
        <v/>
      </c>
      <c r="O103" s="38" t="str">
        <f t="shared" si="4"/>
        <v/>
      </c>
      <c r="P103" s="39" t="str">
        <f t="shared" si="5"/>
        <v/>
      </c>
      <c r="Q103" s="14"/>
      <c r="R103" s="28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</row>
    <row r="104" spans="1:440" s="3" customFormat="1" x14ac:dyDescent="0.3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38" t="str">
        <f t="shared" si="6"/>
        <v/>
      </c>
      <c r="O104" s="38" t="str">
        <f t="shared" si="4"/>
        <v/>
      </c>
      <c r="P104" s="39" t="str">
        <f t="shared" si="5"/>
        <v/>
      </c>
      <c r="Q104" s="14"/>
      <c r="R104" s="28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</row>
    <row r="105" spans="1:440" s="3" customFormat="1" x14ac:dyDescent="0.3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38" t="str">
        <f t="shared" si="6"/>
        <v/>
      </c>
      <c r="O105" s="38" t="str">
        <f t="shared" si="4"/>
        <v/>
      </c>
      <c r="P105" s="39" t="str">
        <f t="shared" si="5"/>
        <v/>
      </c>
      <c r="Q105" s="14"/>
      <c r="R105" s="28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</row>
    <row r="106" spans="1:440" s="3" customFormat="1" x14ac:dyDescent="0.3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38" t="str">
        <f t="shared" si="6"/>
        <v/>
      </c>
      <c r="O106" s="38" t="str">
        <f t="shared" si="4"/>
        <v/>
      </c>
      <c r="P106" s="39" t="str">
        <f t="shared" si="5"/>
        <v/>
      </c>
      <c r="Q106" s="14"/>
      <c r="R106" s="28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</row>
    <row r="107" spans="1:440" s="7" customFormat="1" x14ac:dyDescent="0.3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38" t="str">
        <f t="shared" si="6"/>
        <v/>
      </c>
      <c r="O107" s="38" t="str">
        <f t="shared" si="4"/>
        <v/>
      </c>
      <c r="P107" s="39" t="str">
        <f t="shared" si="5"/>
        <v/>
      </c>
      <c r="Q107" s="14"/>
      <c r="R107" s="28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</row>
    <row r="108" spans="1:440" s="11" customFormat="1" x14ac:dyDescent="0.3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38" t="str">
        <f t="shared" si="6"/>
        <v/>
      </c>
      <c r="O108" s="38" t="str">
        <f t="shared" si="4"/>
        <v/>
      </c>
      <c r="P108" s="39" t="str">
        <f t="shared" si="5"/>
        <v/>
      </c>
      <c r="Q108" s="14"/>
      <c r="R108" s="28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</row>
    <row r="109" spans="1:440" s="3" customFormat="1" x14ac:dyDescent="0.3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38" t="str">
        <f t="shared" si="6"/>
        <v/>
      </c>
      <c r="O109" s="38" t="str">
        <f t="shared" si="4"/>
        <v/>
      </c>
      <c r="P109" s="39" t="str">
        <f t="shared" si="5"/>
        <v/>
      </c>
      <c r="Q109" s="14"/>
      <c r="R109" s="28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</row>
    <row r="110" spans="1:440" s="7" customFormat="1" x14ac:dyDescent="0.3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38" t="str">
        <f t="shared" si="6"/>
        <v/>
      </c>
      <c r="O110" s="38" t="str">
        <f t="shared" si="4"/>
        <v/>
      </c>
      <c r="P110" s="39" t="str">
        <f t="shared" si="5"/>
        <v/>
      </c>
      <c r="Q110" s="14"/>
      <c r="R110" s="28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</row>
    <row r="111" spans="1:440" s="3" customFormat="1" x14ac:dyDescent="0.3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38" t="str">
        <f t="shared" si="6"/>
        <v/>
      </c>
      <c r="O111" s="38" t="str">
        <f t="shared" ref="O111:O174" si="7">IF(AND(ISBLANK(E111), ISBLANK(F111), ISBLANK(G111), ISBLANK(H111), ISBLANK(I111), ISBLANK(J111), ISBLANK(K111), ISBLANK(L111), ISBLANK(M111)), "", E111-N111)</f>
        <v/>
      </c>
      <c r="P111" s="39" t="str">
        <f t="shared" ref="P111:P174" si="8">IF(AND(ISBLANK(E111),ISBLANK(F111),ISBLANK(G111),ISBLANK(H111),ISBLANK(I111),ISBLANK(J111),ISBLANK(K111),ISBLANK(L111),ISBLANK(M111)),"",N111/E111)</f>
        <v/>
      </c>
      <c r="Q111" s="14"/>
      <c r="R111" s="28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</row>
    <row r="112" spans="1:440" s="3" customFormat="1" x14ac:dyDescent="0.3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38" t="str">
        <f t="shared" si="6"/>
        <v/>
      </c>
      <c r="O112" s="38" t="str">
        <f t="shared" si="7"/>
        <v/>
      </c>
      <c r="P112" s="39" t="str">
        <f t="shared" si="8"/>
        <v/>
      </c>
      <c r="Q112" s="14"/>
      <c r="R112" s="28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</row>
    <row r="113" spans="1:440" s="3" customFormat="1" x14ac:dyDescent="0.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38" t="str">
        <f t="shared" si="6"/>
        <v/>
      </c>
      <c r="O113" s="38" t="str">
        <f t="shared" si="7"/>
        <v/>
      </c>
      <c r="P113" s="39" t="str">
        <f t="shared" si="8"/>
        <v/>
      </c>
      <c r="Q113" s="14"/>
      <c r="R113" s="28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</row>
    <row r="114" spans="1:440" s="3" customFormat="1" x14ac:dyDescent="0.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38" t="str">
        <f t="shared" si="6"/>
        <v/>
      </c>
      <c r="O114" s="38" t="str">
        <f t="shared" si="7"/>
        <v/>
      </c>
      <c r="P114" s="39" t="str">
        <f t="shared" si="8"/>
        <v/>
      </c>
      <c r="Q114" s="14"/>
      <c r="R114" s="28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</row>
    <row r="115" spans="1:440" s="3" customFormat="1" x14ac:dyDescent="0.3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38" t="str">
        <f t="shared" si="6"/>
        <v/>
      </c>
      <c r="O115" s="38" t="str">
        <f t="shared" si="7"/>
        <v/>
      </c>
      <c r="P115" s="39" t="str">
        <f t="shared" si="8"/>
        <v/>
      </c>
      <c r="Q115" s="14"/>
      <c r="R115" s="28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</row>
    <row r="116" spans="1:440" s="7" customFormat="1" x14ac:dyDescent="0.3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38" t="str">
        <f t="shared" si="6"/>
        <v/>
      </c>
      <c r="O116" s="38" t="str">
        <f t="shared" si="7"/>
        <v/>
      </c>
      <c r="P116" s="39" t="str">
        <f t="shared" si="8"/>
        <v/>
      </c>
      <c r="Q116" s="14"/>
      <c r="R116" s="28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</row>
    <row r="117" spans="1:440" s="3" customFormat="1" x14ac:dyDescent="0.3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38" t="str">
        <f t="shared" si="6"/>
        <v/>
      </c>
      <c r="O117" s="38" t="str">
        <f t="shared" si="7"/>
        <v/>
      </c>
      <c r="P117" s="39" t="str">
        <f t="shared" si="8"/>
        <v/>
      </c>
      <c r="Q117" s="14"/>
      <c r="R117" s="28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</row>
    <row r="118" spans="1:440" s="3" customFormat="1" x14ac:dyDescent="0.3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38" t="str">
        <f t="shared" si="6"/>
        <v/>
      </c>
      <c r="O118" s="38" t="str">
        <f t="shared" si="7"/>
        <v/>
      </c>
      <c r="P118" s="39" t="str">
        <f t="shared" si="8"/>
        <v/>
      </c>
      <c r="Q118" s="14"/>
      <c r="R118" s="28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</row>
    <row r="119" spans="1:440" s="6" customFormat="1" x14ac:dyDescent="0.3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38" t="str">
        <f t="shared" si="6"/>
        <v/>
      </c>
      <c r="O119" s="38" t="str">
        <f t="shared" si="7"/>
        <v/>
      </c>
      <c r="P119" s="39" t="str">
        <f t="shared" si="8"/>
        <v/>
      </c>
      <c r="Q119" s="14"/>
      <c r="R119" s="28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</row>
    <row r="120" spans="1:440" s="10" customFormat="1" x14ac:dyDescent="0.3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38" t="str">
        <f t="shared" si="6"/>
        <v/>
      </c>
      <c r="O120" s="38" t="str">
        <f t="shared" si="7"/>
        <v/>
      </c>
      <c r="P120" s="39" t="str">
        <f t="shared" si="8"/>
        <v/>
      </c>
      <c r="Q120" s="14"/>
      <c r="R120" s="28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</row>
    <row r="121" spans="1:440" s="7" customFormat="1" x14ac:dyDescent="0.3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38" t="str">
        <f t="shared" si="6"/>
        <v/>
      </c>
      <c r="O121" s="38" t="str">
        <f t="shared" si="7"/>
        <v/>
      </c>
      <c r="P121" s="39" t="str">
        <f t="shared" si="8"/>
        <v/>
      </c>
      <c r="Q121" s="14"/>
      <c r="R121" s="28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</row>
    <row r="122" spans="1:440" s="7" customFormat="1" x14ac:dyDescent="0.3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38" t="str">
        <f t="shared" si="6"/>
        <v/>
      </c>
      <c r="O122" s="38" t="str">
        <f t="shared" si="7"/>
        <v/>
      </c>
      <c r="P122" s="39" t="str">
        <f t="shared" si="8"/>
        <v/>
      </c>
      <c r="Q122" s="14"/>
      <c r="R122" s="28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</row>
    <row r="123" spans="1:440" s="3" customFormat="1" x14ac:dyDescent="0.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38" t="str">
        <f t="shared" si="6"/>
        <v/>
      </c>
      <c r="O123" s="38" t="str">
        <f t="shared" si="7"/>
        <v/>
      </c>
      <c r="P123" s="39" t="str">
        <f t="shared" si="8"/>
        <v/>
      </c>
      <c r="Q123" s="14"/>
      <c r="R123" s="28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</row>
    <row r="124" spans="1:440" s="3" customFormat="1" x14ac:dyDescent="0.3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38" t="str">
        <f t="shared" si="6"/>
        <v/>
      </c>
      <c r="O124" s="38" t="str">
        <f t="shared" si="7"/>
        <v/>
      </c>
      <c r="P124" s="39" t="str">
        <f t="shared" si="8"/>
        <v/>
      </c>
      <c r="Q124" s="14"/>
      <c r="R124" s="28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</row>
    <row r="125" spans="1:440" s="3" customFormat="1" x14ac:dyDescent="0.3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38" t="str">
        <f t="shared" si="6"/>
        <v/>
      </c>
      <c r="O125" s="38" t="str">
        <f t="shared" si="7"/>
        <v/>
      </c>
      <c r="P125" s="39" t="str">
        <f t="shared" si="8"/>
        <v/>
      </c>
      <c r="Q125" s="14"/>
      <c r="R125" s="28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</row>
    <row r="126" spans="1:440" s="3" customFormat="1" x14ac:dyDescent="0.3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38" t="str">
        <f t="shared" si="6"/>
        <v/>
      </c>
      <c r="O126" s="38" t="str">
        <f t="shared" si="7"/>
        <v/>
      </c>
      <c r="P126" s="39" t="str">
        <f t="shared" si="8"/>
        <v/>
      </c>
      <c r="Q126" s="14"/>
      <c r="R126" s="28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</row>
    <row r="127" spans="1:440" s="3" customFormat="1" x14ac:dyDescent="0.3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38" t="str">
        <f t="shared" si="6"/>
        <v/>
      </c>
      <c r="O127" s="38" t="str">
        <f t="shared" si="7"/>
        <v/>
      </c>
      <c r="P127" s="39" t="str">
        <f t="shared" si="8"/>
        <v/>
      </c>
      <c r="Q127" s="14"/>
      <c r="R127" s="28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</row>
    <row r="128" spans="1:440" s="3" customFormat="1" x14ac:dyDescent="0.3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38" t="str">
        <f t="shared" si="6"/>
        <v/>
      </c>
      <c r="O128" s="38" t="str">
        <f t="shared" si="7"/>
        <v/>
      </c>
      <c r="P128" s="39" t="str">
        <f t="shared" si="8"/>
        <v/>
      </c>
      <c r="Q128" s="14"/>
      <c r="R128" s="28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</row>
    <row r="129" spans="1:440" s="3" customFormat="1" x14ac:dyDescent="0.3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38" t="str">
        <f t="shared" si="6"/>
        <v/>
      </c>
      <c r="O129" s="38" t="str">
        <f t="shared" si="7"/>
        <v/>
      </c>
      <c r="P129" s="39" t="str">
        <f t="shared" si="8"/>
        <v/>
      </c>
      <c r="Q129" s="14"/>
      <c r="R129" s="28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</row>
    <row r="130" spans="1:440" s="3" customFormat="1" x14ac:dyDescent="0.3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38" t="str">
        <f t="shared" si="6"/>
        <v/>
      </c>
      <c r="O130" s="38" t="str">
        <f t="shared" si="7"/>
        <v/>
      </c>
      <c r="P130" s="39" t="str">
        <f t="shared" si="8"/>
        <v/>
      </c>
      <c r="Q130" s="14"/>
      <c r="R130" s="28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</row>
    <row r="131" spans="1:440" s="3" customFormat="1" x14ac:dyDescent="0.3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38" t="str">
        <f t="shared" si="6"/>
        <v/>
      </c>
      <c r="O131" s="38" t="str">
        <f t="shared" si="7"/>
        <v/>
      </c>
      <c r="P131" s="39" t="str">
        <f t="shared" si="8"/>
        <v/>
      </c>
      <c r="Q131" s="14"/>
      <c r="R131" s="28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</row>
    <row r="132" spans="1:440" s="7" customFormat="1" x14ac:dyDescent="0.3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38" t="str">
        <f t="shared" si="6"/>
        <v/>
      </c>
      <c r="O132" s="38" t="str">
        <f t="shared" si="7"/>
        <v/>
      </c>
      <c r="P132" s="39" t="str">
        <f t="shared" si="8"/>
        <v/>
      </c>
      <c r="Q132" s="14"/>
      <c r="R132" s="28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</row>
    <row r="133" spans="1:440" s="12" customFormat="1" ht="15.75" x14ac:dyDescent="0.25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38" t="str">
        <f t="shared" si="6"/>
        <v/>
      </c>
      <c r="O133" s="38" t="str">
        <f t="shared" si="7"/>
        <v/>
      </c>
      <c r="P133" s="39" t="str">
        <f t="shared" si="8"/>
        <v/>
      </c>
      <c r="Q133" s="14"/>
      <c r="R133" s="28"/>
    </row>
    <row r="134" spans="1:440" x14ac:dyDescent="0.3">
      <c r="C134" s="15"/>
      <c r="N134" s="38" t="str">
        <f t="shared" si="6"/>
        <v/>
      </c>
      <c r="O134" s="38" t="str">
        <f t="shared" si="7"/>
        <v/>
      </c>
      <c r="P134" s="39" t="str">
        <f t="shared" si="8"/>
        <v/>
      </c>
      <c r="Q134" s="15"/>
      <c r="R134" s="41"/>
      <c r="S134" s="5"/>
      <c r="T134" s="5"/>
      <c r="U134" s="5"/>
      <c r="V134" s="5"/>
      <c r="W134" s="5"/>
      <c r="X134" s="5"/>
      <c r="Y134" s="5"/>
      <c r="Z134" s="5"/>
    </row>
    <row r="135" spans="1:440" x14ac:dyDescent="0.3">
      <c r="C135" s="15"/>
      <c r="N135" s="38" t="str">
        <f t="shared" si="6"/>
        <v/>
      </c>
      <c r="O135" s="38" t="str">
        <f t="shared" si="7"/>
        <v/>
      </c>
      <c r="P135" s="39" t="str">
        <f t="shared" si="8"/>
        <v/>
      </c>
      <c r="Q135" s="15"/>
      <c r="R135" s="41"/>
      <c r="S135" s="5"/>
      <c r="T135" s="5"/>
      <c r="U135" s="5"/>
      <c r="V135" s="5"/>
      <c r="W135" s="5"/>
      <c r="X135" s="5"/>
      <c r="Y135" s="5"/>
      <c r="Z135" s="5"/>
    </row>
    <row r="136" spans="1:440" x14ac:dyDescent="0.3">
      <c r="C136" s="15"/>
      <c r="N136" s="38" t="str">
        <f t="shared" si="6"/>
        <v/>
      </c>
      <c r="O136" s="38" t="str">
        <f t="shared" si="7"/>
        <v/>
      </c>
      <c r="P136" s="39" t="str">
        <f t="shared" si="8"/>
        <v/>
      </c>
      <c r="Q136" s="15"/>
      <c r="R136" s="41"/>
      <c r="S136" s="5"/>
      <c r="T136" s="5"/>
      <c r="U136" s="5"/>
      <c r="V136" s="5"/>
      <c r="W136" s="5"/>
      <c r="X136" s="5"/>
      <c r="Y136" s="5"/>
      <c r="Z136" s="5"/>
    </row>
    <row r="137" spans="1:440" x14ac:dyDescent="0.3">
      <c r="C137" s="15"/>
      <c r="N137" s="38" t="str">
        <f t="shared" si="6"/>
        <v/>
      </c>
      <c r="O137" s="38" t="str">
        <f t="shared" si="7"/>
        <v/>
      </c>
      <c r="P137" s="39" t="str">
        <f t="shared" si="8"/>
        <v/>
      </c>
      <c r="Q137" s="15"/>
      <c r="R137" s="41"/>
      <c r="S137" s="5"/>
      <c r="T137" s="5"/>
      <c r="U137" s="5"/>
      <c r="V137" s="5"/>
      <c r="W137" s="5"/>
      <c r="X137" s="5"/>
      <c r="Y137" s="5"/>
      <c r="Z137" s="5"/>
    </row>
    <row r="138" spans="1:440" x14ac:dyDescent="0.3">
      <c r="C138" s="15"/>
      <c r="N138" s="38" t="str">
        <f t="shared" si="6"/>
        <v/>
      </c>
      <c r="O138" s="38" t="str">
        <f t="shared" si="7"/>
        <v/>
      </c>
      <c r="P138" s="39" t="str">
        <f t="shared" si="8"/>
        <v/>
      </c>
      <c r="Q138" s="15"/>
      <c r="R138" s="41"/>
      <c r="S138" s="5"/>
      <c r="T138" s="5"/>
      <c r="U138" s="5"/>
      <c r="V138" s="5"/>
      <c r="W138" s="5"/>
      <c r="X138" s="5"/>
      <c r="Y138" s="5"/>
      <c r="Z138" s="5"/>
    </row>
    <row r="139" spans="1:440" x14ac:dyDescent="0.3">
      <c r="C139" s="15"/>
      <c r="N139" s="38" t="str">
        <f t="shared" si="6"/>
        <v/>
      </c>
      <c r="O139" s="38" t="str">
        <f t="shared" si="7"/>
        <v/>
      </c>
      <c r="P139" s="39" t="str">
        <f t="shared" si="8"/>
        <v/>
      </c>
      <c r="Q139" s="15"/>
      <c r="R139" s="41"/>
      <c r="S139" s="5"/>
      <c r="T139" s="5"/>
      <c r="U139" s="5"/>
      <c r="V139" s="5"/>
      <c r="W139" s="5"/>
      <c r="X139" s="5"/>
      <c r="Y139" s="5"/>
      <c r="Z139" s="5"/>
    </row>
    <row r="140" spans="1:440" s="16" customFormat="1" x14ac:dyDescent="0.3">
      <c r="A140" s="13"/>
      <c r="I140" s="17"/>
      <c r="N140" s="38" t="str">
        <f t="shared" si="6"/>
        <v/>
      </c>
      <c r="O140" s="38" t="str">
        <f t="shared" si="7"/>
        <v/>
      </c>
      <c r="P140" s="39" t="str">
        <f t="shared" si="8"/>
        <v/>
      </c>
      <c r="R140" s="40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</row>
    <row r="141" spans="1:440" s="16" customFormat="1" x14ac:dyDescent="0.3">
      <c r="A141" s="13"/>
      <c r="I141" s="17"/>
      <c r="N141" s="38" t="str">
        <f t="shared" si="6"/>
        <v/>
      </c>
      <c r="O141" s="38" t="str">
        <f t="shared" si="7"/>
        <v/>
      </c>
      <c r="P141" s="39" t="str">
        <f t="shared" si="8"/>
        <v/>
      </c>
      <c r="R141" s="40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</row>
    <row r="142" spans="1:440" s="16" customFormat="1" x14ac:dyDescent="0.3">
      <c r="A142" s="13"/>
      <c r="I142" s="17"/>
      <c r="N142" s="38" t="str">
        <f t="shared" si="6"/>
        <v/>
      </c>
      <c r="O142" s="38" t="str">
        <f t="shared" si="7"/>
        <v/>
      </c>
      <c r="P142" s="39" t="str">
        <f t="shared" si="8"/>
        <v/>
      </c>
      <c r="R142" s="40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</row>
    <row r="143" spans="1:440" s="16" customFormat="1" x14ac:dyDescent="0.3">
      <c r="A143" s="13"/>
      <c r="I143" s="17"/>
      <c r="N143" s="38" t="str">
        <f t="shared" ref="N143:N180" si="9">IF(AND(ISBLANK(E143),ISBLANK(F143),ISBLANK(G143),ISBLANK(H143),ISBLANK(I143),ISBLANK(J143),ISBLANK(K143),ISBLANK(L143),ISBLANK(M143)),"",SUM(F143:M143))</f>
        <v/>
      </c>
      <c r="O143" s="38" t="str">
        <f t="shared" si="7"/>
        <v/>
      </c>
      <c r="P143" s="39" t="str">
        <f t="shared" si="8"/>
        <v/>
      </c>
      <c r="R143" s="40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</row>
    <row r="144" spans="1:440" s="16" customFormat="1" x14ac:dyDescent="0.3">
      <c r="A144" s="13"/>
      <c r="I144" s="17"/>
      <c r="N144" s="38" t="str">
        <f t="shared" si="9"/>
        <v/>
      </c>
      <c r="O144" s="38" t="str">
        <f t="shared" si="7"/>
        <v/>
      </c>
      <c r="P144" s="39" t="str">
        <f t="shared" si="8"/>
        <v/>
      </c>
      <c r="R144" s="40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</row>
    <row r="145" spans="1:440" s="16" customFormat="1" x14ac:dyDescent="0.3">
      <c r="A145" s="13"/>
      <c r="I145" s="17"/>
      <c r="N145" s="38" t="str">
        <f t="shared" si="9"/>
        <v/>
      </c>
      <c r="O145" s="38" t="str">
        <f t="shared" si="7"/>
        <v/>
      </c>
      <c r="P145" s="39" t="str">
        <f t="shared" si="8"/>
        <v/>
      </c>
      <c r="R145" s="40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</row>
    <row r="146" spans="1:440" s="16" customFormat="1" x14ac:dyDescent="0.3">
      <c r="A146" s="13"/>
      <c r="I146" s="17"/>
      <c r="N146" s="38" t="str">
        <f t="shared" si="9"/>
        <v/>
      </c>
      <c r="O146" s="38" t="str">
        <f t="shared" si="7"/>
        <v/>
      </c>
      <c r="P146" s="39" t="str">
        <f t="shared" si="8"/>
        <v/>
      </c>
      <c r="R146" s="40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</row>
    <row r="147" spans="1:440" s="16" customFormat="1" x14ac:dyDescent="0.3">
      <c r="A147" s="13"/>
      <c r="I147" s="17"/>
      <c r="N147" s="38" t="str">
        <f t="shared" si="9"/>
        <v/>
      </c>
      <c r="O147" s="38" t="str">
        <f t="shared" si="7"/>
        <v/>
      </c>
      <c r="P147" s="39" t="str">
        <f t="shared" si="8"/>
        <v/>
      </c>
      <c r="R147" s="40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</row>
    <row r="148" spans="1:440" s="16" customFormat="1" x14ac:dyDescent="0.3">
      <c r="A148" s="13"/>
      <c r="I148" s="17"/>
      <c r="N148" s="38" t="str">
        <f t="shared" si="9"/>
        <v/>
      </c>
      <c r="O148" s="38" t="str">
        <f t="shared" si="7"/>
        <v/>
      </c>
      <c r="P148" s="39" t="str">
        <f t="shared" si="8"/>
        <v/>
      </c>
      <c r="R148" s="40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</row>
    <row r="149" spans="1:440" s="16" customFormat="1" x14ac:dyDescent="0.3">
      <c r="A149" s="13"/>
      <c r="I149" s="17"/>
      <c r="N149" s="38" t="str">
        <f t="shared" si="9"/>
        <v/>
      </c>
      <c r="O149" s="38" t="str">
        <f t="shared" si="7"/>
        <v/>
      </c>
      <c r="P149" s="39" t="str">
        <f t="shared" si="8"/>
        <v/>
      </c>
      <c r="R149" s="40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</row>
    <row r="150" spans="1:440" s="16" customFormat="1" x14ac:dyDescent="0.3">
      <c r="A150" s="13"/>
      <c r="I150" s="17"/>
      <c r="N150" s="38" t="str">
        <f t="shared" si="9"/>
        <v/>
      </c>
      <c r="O150" s="38" t="str">
        <f t="shared" si="7"/>
        <v/>
      </c>
      <c r="P150" s="39" t="str">
        <f t="shared" si="8"/>
        <v/>
      </c>
      <c r="R150" s="40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</row>
    <row r="151" spans="1:440" s="16" customFormat="1" x14ac:dyDescent="0.3">
      <c r="A151" s="13"/>
      <c r="I151" s="17"/>
      <c r="N151" s="38" t="str">
        <f t="shared" si="9"/>
        <v/>
      </c>
      <c r="O151" s="38" t="str">
        <f t="shared" si="7"/>
        <v/>
      </c>
      <c r="P151" s="39" t="str">
        <f t="shared" si="8"/>
        <v/>
      </c>
      <c r="R151" s="40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</row>
    <row r="152" spans="1:440" s="16" customFormat="1" x14ac:dyDescent="0.3">
      <c r="A152" s="13"/>
      <c r="I152" s="17"/>
      <c r="N152" s="38" t="str">
        <f t="shared" si="9"/>
        <v/>
      </c>
      <c r="O152" s="38" t="str">
        <f t="shared" si="7"/>
        <v/>
      </c>
      <c r="P152" s="39" t="str">
        <f t="shared" si="8"/>
        <v/>
      </c>
      <c r="R152" s="40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</row>
    <row r="153" spans="1:440" s="16" customFormat="1" x14ac:dyDescent="0.3">
      <c r="A153" s="13"/>
      <c r="I153" s="17"/>
      <c r="N153" s="38" t="str">
        <f t="shared" si="9"/>
        <v/>
      </c>
      <c r="O153" s="38" t="str">
        <f t="shared" si="7"/>
        <v/>
      </c>
      <c r="P153" s="39" t="str">
        <f t="shared" si="8"/>
        <v/>
      </c>
      <c r="R153" s="40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</row>
    <row r="154" spans="1:440" s="16" customFormat="1" x14ac:dyDescent="0.3">
      <c r="A154" s="13"/>
      <c r="I154" s="17"/>
      <c r="N154" s="38" t="str">
        <f t="shared" si="9"/>
        <v/>
      </c>
      <c r="O154" s="38" t="str">
        <f t="shared" si="7"/>
        <v/>
      </c>
      <c r="P154" s="39" t="str">
        <f t="shared" si="8"/>
        <v/>
      </c>
      <c r="R154" s="40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</row>
    <row r="155" spans="1:440" s="16" customFormat="1" x14ac:dyDescent="0.3">
      <c r="A155" s="13"/>
      <c r="I155" s="17"/>
      <c r="N155" s="38" t="str">
        <f t="shared" si="9"/>
        <v/>
      </c>
      <c r="O155" s="38" t="str">
        <f t="shared" si="7"/>
        <v/>
      </c>
      <c r="P155" s="39" t="str">
        <f t="shared" si="8"/>
        <v/>
      </c>
      <c r="R155" s="40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</row>
    <row r="156" spans="1:440" s="16" customFormat="1" x14ac:dyDescent="0.3">
      <c r="A156" s="13"/>
      <c r="I156" s="17"/>
      <c r="N156" s="38" t="str">
        <f t="shared" si="9"/>
        <v/>
      </c>
      <c r="O156" s="38" t="str">
        <f t="shared" si="7"/>
        <v/>
      </c>
      <c r="P156" s="39" t="str">
        <f t="shared" si="8"/>
        <v/>
      </c>
      <c r="R156" s="40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</row>
    <row r="157" spans="1:440" s="16" customFormat="1" x14ac:dyDescent="0.3">
      <c r="A157" s="13"/>
      <c r="I157" s="17"/>
      <c r="N157" s="38" t="str">
        <f t="shared" si="9"/>
        <v/>
      </c>
      <c r="O157" s="38" t="str">
        <f t="shared" si="7"/>
        <v/>
      </c>
      <c r="P157" s="39" t="str">
        <f t="shared" si="8"/>
        <v/>
      </c>
      <c r="R157" s="40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</row>
    <row r="158" spans="1:440" s="16" customFormat="1" x14ac:dyDescent="0.3">
      <c r="A158" s="13"/>
      <c r="I158" s="17"/>
      <c r="N158" s="38" t="str">
        <f t="shared" si="9"/>
        <v/>
      </c>
      <c r="O158" s="38" t="str">
        <f t="shared" si="7"/>
        <v/>
      </c>
      <c r="P158" s="39" t="str">
        <f t="shared" si="8"/>
        <v/>
      </c>
      <c r="R158" s="40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</row>
    <row r="159" spans="1:440" s="16" customFormat="1" x14ac:dyDescent="0.3">
      <c r="A159" s="13"/>
      <c r="I159" s="17"/>
      <c r="N159" s="38" t="str">
        <f t="shared" si="9"/>
        <v/>
      </c>
      <c r="O159" s="38" t="str">
        <f t="shared" si="7"/>
        <v/>
      </c>
      <c r="P159" s="39" t="str">
        <f t="shared" si="8"/>
        <v/>
      </c>
      <c r="R159" s="40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</row>
    <row r="160" spans="1:440" s="16" customFormat="1" x14ac:dyDescent="0.3">
      <c r="A160" s="13"/>
      <c r="I160" s="17"/>
      <c r="N160" s="38" t="str">
        <f t="shared" si="9"/>
        <v/>
      </c>
      <c r="O160" s="38" t="str">
        <f t="shared" si="7"/>
        <v/>
      </c>
      <c r="P160" s="39" t="str">
        <f t="shared" si="8"/>
        <v/>
      </c>
      <c r="R160" s="40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</row>
    <row r="161" spans="1:440" s="16" customFormat="1" x14ac:dyDescent="0.3">
      <c r="A161" s="13"/>
      <c r="I161" s="17"/>
      <c r="N161" s="38" t="str">
        <f t="shared" si="9"/>
        <v/>
      </c>
      <c r="O161" s="38" t="str">
        <f t="shared" si="7"/>
        <v/>
      </c>
      <c r="P161" s="39" t="str">
        <f t="shared" si="8"/>
        <v/>
      </c>
      <c r="R161" s="40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</row>
    <row r="162" spans="1:440" s="16" customFormat="1" x14ac:dyDescent="0.3">
      <c r="A162" s="13"/>
      <c r="I162" s="17"/>
      <c r="N162" s="38" t="str">
        <f t="shared" si="9"/>
        <v/>
      </c>
      <c r="O162" s="38" t="str">
        <f t="shared" si="7"/>
        <v/>
      </c>
      <c r="P162" s="39" t="str">
        <f t="shared" si="8"/>
        <v/>
      </c>
      <c r="R162" s="40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</row>
    <row r="163" spans="1:440" s="16" customFormat="1" x14ac:dyDescent="0.3">
      <c r="A163" s="13"/>
      <c r="I163" s="17"/>
      <c r="N163" s="38" t="str">
        <f t="shared" si="9"/>
        <v/>
      </c>
      <c r="O163" s="38" t="str">
        <f t="shared" si="7"/>
        <v/>
      </c>
      <c r="P163" s="39" t="str">
        <f t="shared" si="8"/>
        <v/>
      </c>
      <c r="R163" s="40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</row>
    <row r="164" spans="1:440" s="16" customFormat="1" x14ac:dyDescent="0.3">
      <c r="A164" s="13"/>
      <c r="I164" s="17"/>
      <c r="N164" s="38" t="str">
        <f t="shared" si="9"/>
        <v/>
      </c>
      <c r="O164" s="38" t="str">
        <f t="shared" si="7"/>
        <v/>
      </c>
      <c r="P164" s="39" t="str">
        <f t="shared" si="8"/>
        <v/>
      </c>
      <c r="R164" s="40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</row>
    <row r="165" spans="1:440" s="16" customFormat="1" x14ac:dyDescent="0.3">
      <c r="A165" s="13"/>
      <c r="I165" s="17"/>
      <c r="N165" s="38" t="str">
        <f t="shared" si="9"/>
        <v/>
      </c>
      <c r="O165" s="38" t="str">
        <f t="shared" si="7"/>
        <v/>
      </c>
      <c r="P165" s="39" t="str">
        <f t="shared" si="8"/>
        <v/>
      </c>
      <c r="R165" s="40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</row>
    <row r="166" spans="1:440" s="16" customFormat="1" x14ac:dyDescent="0.3">
      <c r="A166" s="13"/>
      <c r="I166" s="17"/>
      <c r="N166" s="38" t="str">
        <f t="shared" si="9"/>
        <v/>
      </c>
      <c r="O166" s="38" t="str">
        <f t="shared" si="7"/>
        <v/>
      </c>
      <c r="P166" s="39" t="str">
        <f t="shared" si="8"/>
        <v/>
      </c>
      <c r="R166" s="40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</row>
    <row r="167" spans="1:440" s="16" customFormat="1" x14ac:dyDescent="0.3">
      <c r="A167" s="13"/>
      <c r="I167" s="17"/>
      <c r="N167" s="38" t="str">
        <f t="shared" si="9"/>
        <v/>
      </c>
      <c r="O167" s="38" t="str">
        <f t="shared" si="7"/>
        <v/>
      </c>
      <c r="P167" s="39" t="str">
        <f t="shared" si="8"/>
        <v/>
      </c>
      <c r="R167" s="40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</row>
    <row r="168" spans="1:440" s="16" customFormat="1" x14ac:dyDescent="0.3">
      <c r="A168" s="13"/>
      <c r="I168" s="17"/>
      <c r="N168" s="38" t="str">
        <f t="shared" si="9"/>
        <v/>
      </c>
      <c r="O168" s="38" t="str">
        <f t="shared" si="7"/>
        <v/>
      </c>
      <c r="P168" s="39" t="str">
        <f t="shared" si="8"/>
        <v/>
      </c>
      <c r="R168" s="40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</row>
    <row r="169" spans="1:440" s="16" customFormat="1" x14ac:dyDescent="0.3">
      <c r="A169" s="13"/>
      <c r="I169" s="17"/>
      <c r="N169" s="38" t="str">
        <f t="shared" si="9"/>
        <v/>
      </c>
      <c r="O169" s="38" t="str">
        <f t="shared" si="7"/>
        <v/>
      </c>
      <c r="P169" s="39" t="str">
        <f t="shared" si="8"/>
        <v/>
      </c>
      <c r="R169" s="40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</row>
    <row r="170" spans="1:440" s="16" customFormat="1" x14ac:dyDescent="0.3">
      <c r="A170" s="13"/>
      <c r="I170" s="17"/>
      <c r="N170" s="38" t="str">
        <f t="shared" si="9"/>
        <v/>
      </c>
      <c r="O170" s="38" t="str">
        <f t="shared" si="7"/>
        <v/>
      </c>
      <c r="P170" s="39" t="str">
        <f t="shared" si="8"/>
        <v/>
      </c>
      <c r="R170" s="40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</row>
    <row r="171" spans="1:440" s="16" customFormat="1" x14ac:dyDescent="0.3">
      <c r="A171" s="13"/>
      <c r="I171" s="17"/>
      <c r="N171" s="38" t="str">
        <f t="shared" si="9"/>
        <v/>
      </c>
      <c r="O171" s="38" t="str">
        <f t="shared" si="7"/>
        <v/>
      </c>
      <c r="P171" s="39" t="str">
        <f t="shared" si="8"/>
        <v/>
      </c>
      <c r="R171" s="40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</row>
    <row r="172" spans="1:440" s="16" customFormat="1" x14ac:dyDescent="0.3">
      <c r="A172" s="13"/>
      <c r="I172" s="17"/>
      <c r="N172" s="38" t="str">
        <f t="shared" si="9"/>
        <v/>
      </c>
      <c r="O172" s="38" t="str">
        <f t="shared" si="7"/>
        <v/>
      </c>
      <c r="P172" s="39" t="str">
        <f t="shared" si="8"/>
        <v/>
      </c>
      <c r="R172" s="40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</row>
    <row r="173" spans="1:440" s="16" customFormat="1" x14ac:dyDescent="0.3">
      <c r="A173" s="13"/>
      <c r="I173" s="17"/>
      <c r="N173" s="38" t="str">
        <f t="shared" si="9"/>
        <v/>
      </c>
      <c r="O173" s="38" t="str">
        <f t="shared" si="7"/>
        <v/>
      </c>
      <c r="P173" s="39" t="str">
        <f t="shared" si="8"/>
        <v/>
      </c>
      <c r="R173" s="40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</row>
    <row r="174" spans="1:440" s="16" customFormat="1" x14ac:dyDescent="0.3">
      <c r="A174" s="13"/>
      <c r="I174" s="17"/>
      <c r="N174" s="38" t="str">
        <f t="shared" si="9"/>
        <v/>
      </c>
      <c r="O174" s="38" t="str">
        <f t="shared" si="7"/>
        <v/>
      </c>
      <c r="P174" s="39" t="str">
        <f t="shared" si="8"/>
        <v/>
      </c>
      <c r="R174" s="40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</row>
    <row r="175" spans="1:440" s="16" customFormat="1" x14ac:dyDescent="0.3">
      <c r="A175" s="13"/>
      <c r="I175" s="17"/>
      <c r="N175" s="38" t="str">
        <f t="shared" si="9"/>
        <v/>
      </c>
      <c r="O175" s="38" t="str">
        <f t="shared" ref="O175:O180" si="10">IF(AND(ISBLANK(E175), ISBLANK(F175), ISBLANK(G175), ISBLANK(H175), ISBLANK(I175), ISBLANK(J175), ISBLANK(K175), ISBLANK(L175), ISBLANK(M175)), "", E175-N175)</f>
        <v/>
      </c>
      <c r="P175" s="39" t="str">
        <f t="shared" ref="P175:P180" si="11">IF(AND(ISBLANK(E175),ISBLANK(F175),ISBLANK(G175),ISBLANK(H175),ISBLANK(I175),ISBLANK(J175),ISBLANK(K175),ISBLANK(L175),ISBLANK(M175)),"",N175/E175)</f>
        <v/>
      </c>
      <c r="R175" s="40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</row>
    <row r="176" spans="1:440" s="16" customFormat="1" x14ac:dyDescent="0.3">
      <c r="A176" s="13"/>
      <c r="I176" s="17"/>
      <c r="N176" s="38" t="str">
        <f t="shared" si="9"/>
        <v/>
      </c>
      <c r="O176" s="38" t="str">
        <f t="shared" si="10"/>
        <v/>
      </c>
      <c r="P176" s="39" t="str">
        <f t="shared" si="11"/>
        <v/>
      </c>
      <c r="R176" s="40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</row>
    <row r="177" spans="1:440" s="16" customFormat="1" x14ac:dyDescent="0.3">
      <c r="A177" s="13"/>
      <c r="I177" s="17"/>
      <c r="N177" s="38" t="str">
        <f t="shared" si="9"/>
        <v/>
      </c>
      <c r="O177" s="38" t="str">
        <f t="shared" si="10"/>
        <v/>
      </c>
      <c r="P177" s="39" t="str">
        <f t="shared" si="11"/>
        <v/>
      </c>
      <c r="R177" s="40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</row>
    <row r="178" spans="1:440" s="16" customFormat="1" x14ac:dyDescent="0.3">
      <c r="A178" s="13"/>
      <c r="I178" s="17"/>
      <c r="N178" s="38" t="str">
        <f t="shared" si="9"/>
        <v/>
      </c>
      <c r="O178" s="38" t="str">
        <f t="shared" si="10"/>
        <v/>
      </c>
      <c r="P178" s="39" t="str">
        <f t="shared" si="11"/>
        <v/>
      </c>
      <c r="R178" s="40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</row>
    <row r="179" spans="1:440" s="16" customFormat="1" x14ac:dyDescent="0.3">
      <c r="A179" s="13"/>
      <c r="I179" s="17"/>
      <c r="N179" s="38" t="str">
        <f t="shared" si="9"/>
        <v/>
      </c>
      <c r="O179" s="38" t="str">
        <f t="shared" si="10"/>
        <v/>
      </c>
      <c r="P179" s="39" t="str">
        <f t="shared" si="11"/>
        <v/>
      </c>
      <c r="R179" s="40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</row>
    <row r="180" spans="1:440" s="16" customFormat="1" x14ac:dyDescent="0.3">
      <c r="A180" s="13"/>
      <c r="I180" s="17"/>
      <c r="N180" s="38" t="str">
        <f t="shared" si="9"/>
        <v/>
      </c>
      <c r="O180" s="38" t="str">
        <f t="shared" si="10"/>
        <v/>
      </c>
      <c r="P180" s="39" t="str">
        <f t="shared" si="11"/>
        <v/>
      </c>
      <c r="R180" s="40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</row>
  </sheetData>
  <sheetProtection sheet="1" formatCells="0" insertHyperlinks="0" sort="0" autoFilter="0" pivotTables="0"/>
  <protectedRanges>
    <protectedRange sqref="A4:Q1048576 A1:Q3" name="Range1"/>
  </protectedRanges>
  <autoFilter ref="A3:Q180" xr:uid="{00000000-0009-0000-0000-000000000000}">
    <sortState xmlns:xlrd2="http://schemas.microsoft.com/office/spreadsheetml/2017/richdata2" ref="A4:Q180">
      <sortCondition ref="A3:A180"/>
    </sortState>
  </autoFilter>
  <mergeCells count="1">
    <mergeCell ref="A1:Q1"/>
  </mergeCells>
  <conditionalFormatting sqref="B4:C16 A4:A9980 D4:O9980 B18:C9980">
    <cfRule type="expression" dxfId="25" priority="1">
      <formula>AND($O4&lt;0, $O4&lt;&gt;"")</formula>
    </cfRule>
    <cfRule type="expression" dxfId="24" priority="2">
      <formula>AND($O4=0, $O4&lt;&gt;"")</formula>
    </cfRule>
    <cfRule type="expression" dxfId="23" priority="3">
      <formula>AND($O4&gt;0, $O4&lt;&gt;"")</formula>
    </cfRule>
  </conditionalFormatting>
  <conditionalFormatting sqref="P1:P1048576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{B39DBFFE-1F64-4854-9628-B5218894C928}</x14:id>
        </ext>
      </extLst>
    </cfRule>
  </conditionalFormatting>
  <hyperlinks>
    <hyperlink ref="C14" r:id="rId1" xr:uid="{00000000-0004-0000-0000-000000000000}"/>
    <hyperlink ref="C15" r:id="rId2" xr:uid="{00000000-0004-0000-0000-000001000000}"/>
    <hyperlink ref="C16" r:id="rId3" xr:uid="{00000000-0004-0000-0000-000002000000}"/>
  </hyperlinks>
  <pageMargins left="0.7" right="0.7" top="0.75" bottom="0.75" header="0.3" footer="0.3"/>
  <pageSetup paperSize="9" orientation="portrait"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9DBFFE-1F64-4854-9628-B5218894C92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C4AF-12F4-4A65-A5BC-4A91359756E6}">
  <dimension ref="A1:Q19"/>
  <sheetViews>
    <sheetView tabSelected="1" workbookViewId="0">
      <selection activeCell="G15" sqref="G15"/>
    </sheetView>
  </sheetViews>
  <sheetFormatPr defaultRowHeight="15" x14ac:dyDescent="0.25"/>
  <cols>
    <col min="1" max="1" width="26.7109375" customWidth="1"/>
    <col min="2" max="2" width="15.42578125" customWidth="1"/>
    <col min="3" max="3" width="31" customWidth="1"/>
    <col min="4" max="4" width="26.7109375" customWidth="1"/>
    <col min="5" max="5" width="13.28515625" customWidth="1"/>
    <col min="6" max="6" width="14.42578125" customWidth="1"/>
    <col min="7" max="7" width="16.5703125" customWidth="1"/>
    <col min="14" max="14" width="13.7109375" customWidth="1"/>
  </cols>
  <sheetData>
    <row r="1" spans="1:17" ht="17.25" x14ac:dyDescent="0.3">
      <c r="A1" s="62" t="s">
        <v>231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17" ht="17.25" x14ac:dyDescent="0.3">
      <c r="A2" s="42"/>
      <c r="B2" s="19"/>
      <c r="C2" s="19"/>
      <c r="D2" s="19"/>
      <c r="E2" s="19">
        <f>SUM(E4:E1048576)</f>
        <v>4215</v>
      </c>
      <c r="F2" s="19">
        <f>SUM(F4:F1048576)</f>
        <v>3765</v>
      </c>
      <c r="G2" s="19"/>
      <c r="H2" s="19"/>
      <c r="I2" s="19"/>
      <c r="J2" s="19"/>
      <c r="K2" s="19"/>
      <c r="L2" s="19"/>
      <c r="M2" s="19"/>
      <c r="N2" s="43">
        <v>1675</v>
      </c>
      <c r="O2" s="43">
        <v>390</v>
      </c>
      <c r="P2" s="39">
        <v>0.55555555555555602</v>
      </c>
      <c r="Q2" s="20"/>
    </row>
    <row r="3" spans="1:17" ht="17.25" x14ac:dyDescent="0.3">
      <c r="A3" s="18" t="s">
        <v>4</v>
      </c>
      <c r="B3" s="19" t="s">
        <v>3</v>
      </c>
      <c r="C3" s="19" t="s">
        <v>12</v>
      </c>
      <c r="D3" s="19" t="s">
        <v>13</v>
      </c>
      <c r="E3" s="19" t="s">
        <v>0</v>
      </c>
      <c r="F3" s="19" t="s">
        <v>1</v>
      </c>
      <c r="G3" s="19" t="s">
        <v>189</v>
      </c>
      <c r="H3" s="19" t="s">
        <v>183</v>
      </c>
      <c r="I3" s="19" t="s">
        <v>184</v>
      </c>
      <c r="J3" s="19" t="s">
        <v>185</v>
      </c>
      <c r="K3" s="19" t="s">
        <v>186</v>
      </c>
      <c r="L3" s="19" t="s">
        <v>187</v>
      </c>
      <c r="M3" s="19" t="s">
        <v>188</v>
      </c>
      <c r="N3" s="21" t="s">
        <v>2</v>
      </c>
      <c r="O3" s="21" t="s">
        <v>11</v>
      </c>
      <c r="P3" s="25" t="s">
        <v>20</v>
      </c>
      <c r="Q3" s="20" t="s">
        <v>16</v>
      </c>
    </row>
    <row r="4" spans="1:17" x14ac:dyDescent="0.25">
      <c r="A4" t="s">
        <v>232</v>
      </c>
      <c r="C4" s="55" t="s">
        <v>170</v>
      </c>
      <c r="D4" t="s">
        <v>244</v>
      </c>
      <c r="E4">
        <v>15</v>
      </c>
      <c r="F4">
        <v>15</v>
      </c>
    </row>
    <row r="5" spans="1:17" ht="15.75" x14ac:dyDescent="0.25">
      <c r="A5" t="s">
        <v>233</v>
      </c>
      <c r="C5" s="55" t="s">
        <v>241</v>
      </c>
      <c r="D5" s="14" t="s">
        <v>182</v>
      </c>
      <c r="E5">
        <v>300</v>
      </c>
      <c r="F5">
        <v>300</v>
      </c>
    </row>
    <row r="6" spans="1:17" ht="15.75" x14ac:dyDescent="0.25">
      <c r="A6" t="s">
        <v>234</v>
      </c>
      <c r="C6" s="55" t="s">
        <v>242</v>
      </c>
      <c r="D6" s="14" t="s">
        <v>182</v>
      </c>
      <c r="E6">
        <v>300</v>
      </c>
      <c r="F6">
        <v>300</v>
      </c>
    </row>
    <row r="7" spans="1:17" ht="15.75" x14ac:dyDescent="0.25">
      <c r="A7" t="s">
        <v>235</v>
      </c>
      <c r="C7" s="55" t="s">
        <v>243</v>
      </c>
      <c r="D7" s="14" t="s">
        <v>182</v>
      </c>
      <c r="E7">
        <v>300</v>
      </c>
      <c r="F7">
        <v>300</v>
      </c>
    </row>
    <row r="8" spans="1:17" ht="15.75" x14ac:dyDescent="0.25">
      <c r="A8" t="s">
        <v>202</v>
      </c>
      <c r="C8" s="55" t="s">
        <v>240</v>
      </c>
      <c r="D8" s="14" t="s">
        <v>181</v>
      </c>
      <c r="E8">
        <v>150</v>
      </c>
      <c r="F8">
        <v>150</v>
      </c>
    </row>
    <row r="9" spans="1:17" ht="15.75" x14ac:dyDescent="0.25">
      <c r="A9" t="s">
        <v>201</v>
      </c>
      <c r="C9" s="55" t="s">
        <v>238</v>
      </c>
      <c r="D9" s="14" t="s">
        <v>182</v>
      </c>
      <c r="E9">
        <v>300</v>
      </c>
      <c r="F9">
        <v>300</v>
      </c>
    </row>
    <row r="10" spans="1:17" ht="15.75" x14ac:dyDescent="0.25">
      <c r="A10" t="s">
        <v>200</v>
      </c>
      <c r="C10" s="55" t="s">
        <v>237</v>
      </c>
      <c r="D10" s="14" t="s">
        <v>181</v>
      </c>
      <c r="E10">
        <v>150</v>
      </c>
      <c r="F10">
        <v>150</v>
      </c>
    </row>
    <row r="11" spans="1:17" ht="15.75" x14ac:dyDescent="0.25">
      <c r="A11" t="s">
        <v>236</v>
      </c>
      <c r="C11" s="55" t="s">
        <v>239</v>
      </c>
      <c r="D11" s="14" t="s">
        <v>182</v>
      </c>
      <c r="E11">
        <v>300</v>
      </c>
      <c r="F11">
        <v>300</v>
      </c>
    </row>
    <row r="12" spans="1:17" ht="15.75" x14ac:dyDescent="0.25">
      <c r="A12" t="s">
        <v>246</v>
      </c>
      <c r="C12" s="55" t="s">
        <v>245</v>
      </c>
      <c r="D12" s="14" t="s">
        <v>182</v>
      </c>
      <c r="E12">
        <v>300</v>
      </c>
      <c r="F12">
        <v>300</v>
      </c>
    </row>
    <row r="13" spans="1:17" ht="15.75" x14ac:dyDescent="0.25">
      <c r="A13" t="s">
        <v>247</v>
      </c>
      <c r="C13" s="55" t="s">
        <v>248</v>
      </c>
      <c r="D13" s="14" t="s">
        <v>182</v>
      </c>
      <c r="E13">
        <v>300</v>
      </c>
      <c r="F13">
        <v>300</v>
      </c>
    </row>
    <row r="14" spans="1:17" ht="15.75" x14ac:dyDescent="0.25">
      <c r="A14" t="s">
        <v>249</v>
      </c>
      <c r="C14" s="55" t="s">
        <v>250</v>
      </c>
      <c r="D14" s="14" t="s">
        <v>182</v>
      </c>
      <c r="E14">
        <v>300</v>
      </c>
      <c r="F14">
        <v>150</v>
      </c>
    </row>
    <row r="15" spans="1:17" ht="15.75" x14ac:dyDescent="0.25">
      <c r="A15" t="s">
        <v>251</v>
      </c>
      <c r="C15" s="55" t="s">
        <v>252</v>
      </c>
      <c r="D15" s="14" t="s">
        <v>182</v>
      </c>
      <c r="E15">
        <v>300</v>
      </c>
      <c r="F15">
        <v>300</v>
      </c>
    </row>
    <row r="16" spans="1:17" ht="15.75" x14ac:dyDescent="0.25">
      <c r="A16" t="s">
        <v>253</v>
      </c>
      <c r="C16" s="55" t="s">
        <v>254</v>
      </c>
      <c r="D16" s="14" t="s">
        <v>182</v>
      </c>
      <c r="E16">
        <v>300</v>
      </c>
      <c r="F16">
        <v>300</v>
      </c>
    </row>
    <row r="17" spans="1:6" ht="15.75" x14ac:dyDescent="0.25">
      <c r="A17" t="s">
        <v>255</v>
      </c>
      <c r="C17" s="55" t="s">
        <v>256</v>
      </c>
      <c r="D17" s="14" t="s">
        <v>182</v>
      </c>
      <c r="E17">
        <v>300</v>
      </c>
      <c r="F17">
        <v>300</v>
      </c>
    </row>
    <row r="18" spans="1:6" ht="15.75" x14ac:dyDescent="0.25">
      <c r="A18" t="s">
        <v>257</v>
      </c>
      <c r="C18" s="55" t="s">
        <v>258</v>
      </c>
      <c r="D18" s="14" t="s">
        <v>182</v>
      </c>
      <c r="E18">
        <v>300</v>
      </c>
      <c r="F18">
        <v>150</v>
      </c>
    </row>
    <row r="19" spans="1:6" ht="15.75" x14ac:dyDescent="0.25">
      <c r="A19" t="s">
        <v>259</v>
      </c>
      <c r="C19" s="55" t="s">
        <v>260</v>
      </c>
      <c r="D19" s="14" t="s">
        <v>182</v>
      </c>
      <c r="E19">
        <v>300</v>
      </c>
      <c r="F19">
        <v>150</v>
      </c>
    </row>
  </sheetData>
  <protectedRanges>
    <protectedRange sqref="A1:Q3" name="Range1_4"/>
    <protectedRange sqref="D10 D8" name="Range1_6"/>
    <protectedRange sqref="D9 D5:D7 D11:D19" name="Range1_8"/>
  </protectedRanges>
  <mergeCells count="1">
    <mergeCell ref="A1:Q1"/>
  </mergeCells>
  <conditionalFormatting sqref="D5:D7">
    <cfRule type="expression" dxfId="22" priority="4">
      <formula>AND($O7&lt;0, $O7&lt;&gt;"")</formula>
    </cfRule>
    <cfRule type="expression" dxfId="21" priority="5">
      <formula>AND($O7=0, $O7&lt;&gt;"")</formula>
    </cfRule>
    <cfRule type="expression" dxfId="20" priority="6">
      <formula>AND($O7&gt;0, $O7&lt;&gt;"")</formula>
    </cfRule>
  </conditionalFormatting>
  <conditionalFormatting sqref="D8">
    <cfRule type="expression" dxfId="19" priority="13">
      <formula>AND($O8&lt;0, $O8&lt;&gt;"")</formula>
    </cfRule>
    <cfRule type="expression" dxfId="18" priority="14">
      <formula>AND($O8=0, $O8&lt;&gt;"")</formula>
    </cfRule>
    <cfRule type="expression" dxfId="17" priority="15">
      <formula>AND($O8&gt;0, $O8&lt;&gt;"")</formula>
    </cfRule>
  </conditionalFormatting>
  <conditionalFormatting sqref="D9">
    <cfRule type="expression" dxfId="16" priority="19">
      <formula>AND($O11&lt;0, $O11&lt;&gt;"")</formula>
    </cfRule>
    <cfRule type="expression" dxfId="15" priority="20">
      <formula>AND($O11=0, $O11&lt;&gt;"")</formula>
    </cfRule>
    <cfRule type="expression" dxfId="14" priority="21">
      <formula>AND($O11&gt;0, $O11&lt;&gt;"")</formula>
    </cfRule>
  </conditionalFormatting>
  <conditionalFormatting sqref="D10">
    <cfRule type="expression" dxfId="13" priority="22">
      <formula>AND($O10&lt;0, $O10&lt;&gt;"")</formula>
    </cfRule>
    <cfRule type="expression" dxfId="12" priority="23">
      <formula>AND($O10=0, $O10&lt;&gt;"")</formula>
    </cfRule>
    <cfRule type="expression" dxfId="11" priority="24">
      <formula>AND($O10&gt;0, $O10&lt;&gt;"")</formula>
    </cfRule>
  </conditionalFormatting>
  <conditionalFormatting sqref="D11:D19">
    <cfRule type="expression" dxfId="2" priority="1">
      <formula>AND($O13&lt;0, $O13&lt;&gt;"")</formula>
    </cfRule>
    <cfRule type="expression" dxfId="1" priority="2">
      <formula>AND($O13=0, $O13&lt;&gt;"")</formula>
    </cfRule>
    <cfRule type="expression" dxfId="0" priority="3">
      <formula>AND($O13&gt;0, $O13&lt;&gt;"")</formula>
    </cfRule>
  </conditionalFormatting>
  <conditionalFormatting sqref="P1:P3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{D5F01128-7B03-4F43-9B68-AFADFBDC5B79}</x14:id>
        </ext>
      </extLst>
    </cfRule>
  </conditionalFormatting>
  <hyperlinks>
    <hyperlink ref="C10" r:id="rId1" xr:uid="{A9F9FCF3-9403-4B34-A888-DAADAB503201}"/>
    <hyperlink ref="C9" r:id="rId2" xr:uid="{D49DFFE7-9991-40D9-912A-6F824271C280}"/>
    <hyperlink ref="C11" r:id="rId3" xr:uid="{17BE0D82-BA5D-4CCD-9D97-8E5CF8A96FD9}"/>
    <hyperlink ref="C8" r:id="rId4" xr:uid="{47235C91-8679-470F-AD11-C8FDD5317A61}"/>
    <hyperlink ref="C5" r:id="rId5" xr:uid="{14C1E4A3-BF8A-4442-A853-FBDFC6623F4C}"/>
    <hyperlink ref="C6" r:id="rId6" xr:uid="{6B680386-8B8F-4354-976F-C7E4AEF608A8}"/>
    <hyperlink ref="C7" r:id="rId7" xr:uid="{8D99779E-D33B-4411-9393-AA1BC811CD35}"/>
    <hyperlink ref="C13" r:id="rId8" xr:uid="{1DC07B1C-2884-4D36-AAE3-0377C766CEB8}"/>
    <hyperlink ref="C14" r:id="rId9" xr:uid="{8410EB78-D953-4AC9-878C-2C040BE8A9D1}"/>
    <hyperlink ref="C15" r:id="rId10" xr:uid="{36918484-8B71-4E50-AAB9-68A257F56917}"/>
    <hyperlink ref="C16" r:id="rId11" xr:uid="{6AD06D1B-7F93-4984-8189-29C5E7CC603A}"/>
    <hyperlink ref="C4" r:id="rId12" xr:uid="{4ADDD5D8-D5D8-49B6-A539-D4DFE510AFE1}"/>
    <hyperlink ref="C17" r:id="rId13" xr:uid="{F1A997FC-7FBA-4BA7-AA45-EBCD0A93CF2D}"/>
    <hyperlink ref="C18" r:id="rId14" xr:uid="{D0415E63-D578-4637-966C-4016FD813A59}"/>
    <hyperlink ref="C19" r:id="rId15" xr:uid="{BB638BC9-985F-47D8-805D-D733508E3FE0}"/>
  </hyperlinks>
  <pageMargins left="0.7" right="0.7" top="0.75" bottom="0.75" header="0.3" footer="0.3"/>
  <legacyDrawing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F01128-7B03-4F43-9B68-AFADFBDC5B7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P1:P3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X201"/>
  <sheetViews>
    <sheetView zoomScale="80" zoomScaleNormal="80" workbookViewId="0">
      <pane ySplit="3" topLeftCell="A19" activePane="bottomLeft" state="frozen"/>
      <selection pane="bottomLeft" activeCell="N2" sqref="N2"/>
    </sheetView>
  </sheetViews>
  <sheetFormatPr defaultColWidth="13" defaultRowHeight="17.25" x14ac:dyDescent="0.3"/>
  <cols>
    <col min="1" max="1" width="36.42578125" style="13" customWidth="1"/>
    <col min="2" max="2" width="28" style="16" customWidth="1"/>
    <col min="3" max="3" width="29.5703125" style="16" bestFit="1" customWidth="1"/>
    <col min="4" max="4" width="65.5703125" style="16" bestFit="1" customWidth="1"/>
    <col min="5" max="5" width="13.42578125" style="16" bestFit="1" customWidth="1"/>
    <col min="6" max="6" width="11.42578125" style="16" bestFit="1" customWidth="1"/>
    <col min="7" max="7" width="17" style="16" customWidth="1"/>
    <col min="8" max="8" width="8.140625" style="16" customWidth="1"/>
    <col min="9" max="9" width="7.42578125" style="17" bestFit="1" customWidth="1"/>
    <col min="10" max="10" width="11.5703125" style="16" bestFit="1" customWidth="1"/>
    <col min="11" max="11" width="12.5703125" style="16" bestFit="1" customWidth="1"/>
    <col min="12" max="12" width="8.85546875" style="16" customWidth="1"/>
    <col min="13" max="13" width="10.42578125" style="16" customWidth="1"/>
    <col min="14" max="14" width="11.5703125" style="24" bestFit="1" customWidth="1"/>
    <col min="15" max="15" width="10.140625" style="23" bestFit="1" customWidth="1"/>
    <col min="16" max="16" width="26.5703125" style="27" customWidth="1"/>
    <col min="17" max="17" width="11.5703125" style="16" bestFit="1" customWidth="1"/>
    <col min="18" max="16384" width="13" style="1"/>
  </cols>
  <sheetData>
    <row r="1" spans="1:440" x14ac:dyDescent="0.3">
      <c r="A1" s="62" t="s">
        <v>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40"/>
    </row>
    <row r="2" spans="1:440" s="5" customFormat="1" x14ac:dyDescent="0.3">
      <c r="A2" s="42"/>
      <c r="B2" s="19"/>
      <c r="C2" s="19"/>
      <c r="D2" s="19"/>
      <c r="E2" s="19">
        <f>SUM(E4:E1048576)</f>
        <v>6870</v>
      </c>
      <c r="F2" s="19">
        <f>SUM(F4:F1048576)</f>
        <v>4660</v>
      </c>
      <c r="G2" s="19"/>
      <c r="H2" s="19"/>
      <c r="I2" s="19"/>
      <c r="J2" s="19"/>
      <c r="K2" s="19"/>
      <c r="L2" s="19"/>
      <c r="M2" s="19"/>
      <c r="N2" s="43">
        <f>SUM(N4:N1048576)</f>
        <v>5870</v>
      </c>
      <c r="O2" s="43">
        <f>SUMIF(O4:O1048576,"&gt;=0")</f>
        <v>1050</v>
      </c>
      <c r="P2" s="39">
        <f>IF(AND(ISBLANK(E2),ISBLANK(F2),ISBLANK(G2),ISBLANK(H2),ISBLANK(I2),ISBLANK(J2),ISBLANK(K2),ISBLANK(L2),ISBLANK(M2)),"",IFERROR((N2/E2),""))</f>
        <v>0.85443959243085876</v>
      </c>
      <c r="Q2" s="20"/>
      <c r="R2" s="28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</row>
    <row r="3" spans="1:440" s="5" customFormat="1" x14ac:dyDescent="0.3">
      <c r="A3" s="18" t="s">
        <v>4</v>
      </c>
      <c r="B3" s="19" t="s">
        <v>3</v>
      </c>
      <c r="C3" s="19" t="s">
        <v>12</v>
      </c>
      <c r="D3" s="19" t="s">
        <v>13</v>
      </c>
      <c r="E3" s="19" t="s">
        <v>0</v>
      </c>
      <c r="F3" s="19" t="s">
        <v>1</v>
      </c>
      <c r="G3" s="19" t="s">
        <v>15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21" t="s">
        <v>2</v>
      </c>
      <c r="O3" s="21" t="s">
        <v>11</v>
      </c>
      <c r="P3" s="25" t="s">
        <v>20</v>
      </c>
      <c r="Q3" s="20" t="s">
        <v>16</v>
      </c>
      <c r="R3" s="28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</row>
    <row r="4" spans="1:440" ht="16.5" customHeight="1" x14ac:dyDescent="0.3">
      <c r="A4" s="13" t="s">
        <v>100</v>
      </c>
      <c r="B4" s="14">
        <v>6983118145</v>
      </c>
      <c r="C4" s="45" t="s">
        <v>101</v>
      </c>
      <c r="D4" s="14" t="s">
        <v>35</v>
      </c>
      <c r="E4" s="14">
        <v>300</v>
      </c>
      <c r="F4" s="14">
        <v>150</v>
      </c>
      <c r="G4" s="14">
        <v>150</v>
      </c>
      <c r="H4" s="14"/>
      <c r="I4" s="14"/>
      <c r="J4" s="14"/>
      <c r="K4" s="14"/>
      <c r="L4" s="14"/>
      <c r="M4" s="14"/>
      <c r="N4" s="38">
        <f t="shared" ref="N4:N34" si="0">IF(AND(ISBLANK(E4),ISBLANK(F4),ISBLANK(G4),ISBLANK(H4),ISBLANK(I4),ISBLANK(J4),ISBLANK(K4),ISBLANK(L4),ISBLANK(M4)),"",SUM(F4:M4))</f>
        <v>300</v>
      </c>
      <c r="O4" s="38">
        <f t="shared" ref="O4:O34" si="1">IF(AND(ISBLANK(E4), ISBLANK(F4), ISBLANK(G4), ISBLANK(H4), ISBLANK(I4), ISBLANK(J4), ISBLANK(K4), ISBLANK(L4), ISBLANK(M4)), "", E4-N4)</f>
        <v>0</v>
      </c>
      <c r="P4" s="39">
        <f t="shared" ref="P4:P34" si="2">IF(AND(ISBLANK(E4),ISBLANK(F4),ISBLANK(G4),ISBLANK(H4),ISBLANK(I4),ISBLANK(J4),ISBLANK(K4),ISBLANK(L4),ISBLANK(M4)),"",N4/E4)</f>
        <v>1</v>
      </c>
      <c r="Q4" s="14"/>
      <c r="R4" s="2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</row>
    <row r="5" spans="1:440" s="3" customFormat="1" x14ac:dyDescent="0.3">
      <c r="A5" s="13" t="s">
        <v>102</v>
      </c>
      <c r="B5" s="14">
        <v>6980202442</v>
      </c>
      <c r="C5" s="45" t="s">
        <v>103</v>
      </c>
      <c r="D5" s="14" t="s">
        <v>35</v>
      </c>
      <c r="E5" s="14">
        <v>300</v>
      </c>
      <c r="F5" s="14">
        <v>300</v>
      </c>
      <c r="G5" s="14"/>
      <c r="H5" s="14"/>
      <c r="I5" s="14"/>
      <c r="J5" s="14"/>
      <c r="K5" s="14"/>
      <c r="L5" s="14"/>
      <c r="M5" s="14"/>
      <c r="N5" s="38">
        <f t="shared" si="0"/>
        <v>300</v>
      </c>
      <c r="O5" s="38">
        <f t="shared" si="1"/>
        <v>0</v>
      </c>
      <c r="P5" s="39">
        <f t="shared" si="2"/>
        <v>1</v>
      </c>
      <c r="Q5" s="14"/>
      <c r="R5" s="28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</row>
    <row r="6" spans="1:440" s="3" customFormat="1" x14ac:dyDescent="0.3">
      <c r="A6" s="13" t="s">
        <v>104</v>
      </c>
      <c r="B6" s="14">
        <v>6931848163</v>
      </c>
      <c r="C6" s="45" t="s">
        <v>105</v>
      </c>
      <c r="D6" s="14" t="s">
        <v>35</v>
      </c>
      <c r="E6" s="14">
        <v>300</v>
      </c>
      <c r="F6" s="14">
        <v>140</v>
      </c>
      <c r="G6" s="14">
        <v>160</v>
      </c>
      <c r="H6" s="14"/>
      <c r="I6" s="14"/>
      <c r="J6" s="14"/>
      <c r="K6" s="14"/>
      <c r="L6" s="14"/>
      <c r="M6" s="14"/>
      <c r="N6" s="38">
        <f t="shared" si="0"/>
        <v>300</v>
      </c>
      <c r="O6" s="38">
        <f t="shared" si="1"/>
        <v>0</v>
      </c>
      <c r="P6" s="39">
        <f t="shared" si="2"/>
        <v>1</v>
      </c>
      <c r="Q6" s="14"/>
      <c r="R6" s="28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</row>
    <row r="7" spans="1:440" s="3" customFormat="1" ht="19.5" customHeight="1" x14ac:dyDescent="0.3">
      <c r="A7" s="13" t="s">
        <v>110</v>
      </c>
      <c r="B7" s="14">
        <v>6975987219</v>
      </c>
      <c r="C7" s="45" t="s">
        <v>111</v>
      </c>
      <c r="D7" s="14" t="s">
        <v>35</v>
      </c>
      <c r="E7" s="14">
        <v>300</v>
      </c>
      <c r="F7" s="14">
        <v>100</v>
      </c>
      <c r="G7" s="14">
        <v>200</v>
      </c>
      <c r="H7" s="14"/>
      <c r="I7" s="14"/>
      <c r="J7" s="14"/>
      <c r="K7" s="14"/>
      <c r="L7" s="14"/>
      <c r="M7" s="14"/>
      <c r="N7" s="38">
        <f t="shared" si="0"/>
        <v>300</v>
      </c>
      <c r="O7" s="38">
        <f t="shared" si="1"/>
        <v>0</v>
      </c>
      <c r="P7" s="39">
        <f t="shared" si="2"/>
        <v>1</v>
      </c>
      <c r="Q7" s="14"/>
      <c r="R7" s="28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</row>
    <row r="8" spans="1:440" s="3" customFormat="1" ht="19.5" customHeight="1" x14ac:dyDescent="0.3">
      <c r="A8" s="13" t="s">
        <v>112</v>
      </c>
      <c r="B8" s="14">
        <v>6945965319</v>
      </c>
      <c r="C8" s="14" t="s">
        <v>113</v>
      </c>
      <c r="D8" s="14" t="s">
        <v>35</v>
      </c>
      <c r="E8" s="14">
        <v>300</v>
      </c>
      <c r="F8" s="14">
        <v>300</v>
      </c>
      <c r="G8" s="14"/>
      <c r="H8" s="14"/>
      <c r="I8" s="14"/>
      <c r="J8" s="14"/>
      <c r="K8" s="14"/>
      <c r="L8" s="14"/>
      <c r="M8" s="14"/>
      <c r="N8" s="38">
        <f t="shared" si="0"/>
        <v>300</v>
      </c>
      <c r="O8" s="38">
        <f t="shared" si="1"/>
        <v>0</v>
      </c>
      <c r="P8" s="39">
        <f t="shared" si="2"/>
        <v>1</v>
      </c>
      <c r="Q8" s="14"/>
      <c r="R8" s="28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</row>
    <row r="9" spans="1:440" s="3" customFormat="1" x14ac:dyDescent="0.3">
      <c r="A9" s="13" t="s">
        <v>129</v>
      </c>
      <c r="B9" s="14"/>
      <c r="C9" s="53"/>
      <c r="D9" s="14" t="s">
        <v>24</v>
      </c>
      <c r="E9" s="14">
        <v>200</v>
      </c>
      <c r="F9" s="14">
        <v>100</v>
      </c>
      <c r="G9" s="14"/>
      <c r="H9" s="14"/>
      <c r="I9" s="14"/>
      <c r="J9" s="14"/>
      <c r="K9" s="14"/>
      <c r="L9" s="14"/>
      <c r="M9" s="14"/>
      <c r="N9" s="38">
        <f t="shared" si="0"/>
        <v>100</v>
      </c>
      <c r="O9" s="38">
        <f t="shared" si="1"/>
        <v>100</v>
      </c>
      <c r="P9" s="39">
        <f t="shared" si="2"/>
        <v>0.5</v>
      </c>
      <c r="Q9" s="14"/>
      <c r="R9" s="28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</row>
    <row r="10" spans="1:440" s="7" customFormat="1" x14ac:dyDescent="0.3">
      <c r="A10" s="13" t="s">
        <v>114</v>
      </c>
      <c r="B10" s="14"/>
      <c r="C10" s="54" t="s">
        <v>115</v>
      </c>
      <c r="D10" s="14" t="s">
        <v>35</v>
      </c>
      <c r="E10" s="14">
        <v>300</v>
      </c>
      <c r="F10" s="14">
        <v>300</v>
      </c>
      <c r="G10" s="14"/>
      <c r="H10" s="14"/>
      <c r="I10" s="14"/>
      <c r="J10" s="14"/>
      <c r="K10" s="14"/>
      <c r="L10" s="14"/>
      <c r="M10" s="14"/>
      <c r="N10" s="38">
        <f t="shared" si="0"/>
        <v>300</v>
      </c>
      <c r="O10" s="38">
        <f t="shared" si="1"/>
        <v>0</v>
      </c>
      <c r="P10" s="39">
        <f t="shared" si="2"/>
        <v>1</v>
      </c>
      <c r="Q10" s="14"/>
      <c r="R10" s="28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</row>
    <row r="11" spans="1:440" s="3" customFormat="1" x14ac:dyDescent="0.3">
      <c r="A11" s="13" t="s">
        <v>116</v>
      </c>
      <c r="B11" s="14"/>
      <c r="C11" s="14"/>
      <c r="D11" s="14" t="s">
        <v>6</v>
      </c>
      <c r="E11" s="14">
        <v>70</v>
      </c>
      <c r="F11" s="14">
        <v>70</v>
      </c>
      <c r="G11" s="14"/>
      <c r="H11" s="14"/>
      <c r="I11" s="14"/>
      <c r="J11" s="14"/>
      <c r="K11" s="14"/>
      <c r="L11" s="14"/>
      <c r="M11" s="14"/>
      <c r="N11" s="38">
        <f t="shared" si="0"/>
        <v>70</v>
      </c>
      <c r="O11" s="38">
        <f t="shared" si="1"/>
        <v>0</v>
      </c>
      <c r="P11" s="39">
        <f t="shared" si="2"/>
        <v>1</v>
      </c>
      <c r="Q11" s="14"/>
      <c r="R11" s="28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</row>
    <row r="12" spans="1:440" s="3" customFormat="1" x14ac:dyDescent="0.3">
      <c r="A12" s="13" t="s">
        <v>117</v>
      </c>
      <c r="B12" s="14"/>
      <c r="C12" s="14"/>
      <c r="D12" s="14" t="s">
        <v>35</v>
      </c>
      <c r="E12" s="14">
        <v>300</v>
      </c>
      <c r="F12" s="14">
        <v>150</v>
      </c>
      <c r="G12" s="14"/>
      <c r="H12" s="14"/>
      <c r="I12" s="14"/>
      <c r="J12" s="14"/>
      <c r="K12" s="14"/>
      <c r="L12" s="14"/>
      <c r="M12" s="14"/>
      <c r="N12" s="38">
        <f t="shared" si="0"/>
        <v>150</v>
      </c>
      <c r="O12" s="38">
        <f t="shared" si="1"/>
        <v>150</v>
      </c>
      <c r="P12" s="39">
        <f t="shared" si="2"/>
        <v>0.5</v>
      </c>
      <c r="Q12" s="14"/>
      <c r="R12" s="28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</row>
    <row r="13" spans="1:440" s="3" customFormat="1" x14ac:dyDescent="0.3">
      <c r="A13" s="13" t="s">
        <v>118</v>
      </c>
      <c r="B13" s="14"/>
      <c r="C13" s="14"/>
      <c r="D13" s="14" t="s">
        <v>35</v>
      </c>
      <c r="E13" s="14">
        <v>50</v>
      </c>
      <c r="F13" s="14">
        <v>50</v>
      </c>
      <c r="G13" s="14"/>
      <c r="H13" s="14"/>
      <c r="I13" s="14"/>
      <c r="J13" s="14"/>
      <c r="K13" s="14"/>
      <c r="L13" s="14"/>
      <c r="M13" s="14"/>
      <c r="N13" s="38">
        <f t="shared" si="0"/>
        <v>50</v>
      </c>
      <c r="O13" s="38">
        <f t="shared" si="1"/>
        <v>0</v>
      </c>
      <c r="P13" s="39">
        <f t="shared" si="2"/>
        <v>1</v>
      </c>
      <c r="Q13" s="14"/>
      <c r="R13" s="28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</row>
    <row r="14" spans="1:440" s="3" customFormat="1" x14ac:dyDescent="0.3">
      <c r="A14" s="46" t="s">
        <v>119</v>
      </c>
      <c r="B14" s="47"/>
      <c r="C14" s="47"/>
      <c r="D14" s="47" t="s">
        <v>24</v>
      </c>
      <c r="E14" s="47">
        <v>100</v>
      </c>
      <c r="F14" s="47">
        <v>100</v>
      </c>
      <c r="G14" s="47"/>
      <c r="H14" s="47"/>
      <c r="I14" s="47"/>
      <c r="J14" s="47"/>
      <c r="K14" s="47"/>
      <c r="L14" s="47"/>
      <c r="M14" s="47"/>
      <c r="N14" s="48">
        <f t="shared" si="0"/>
        <v>100</v>
      </c>
      <c r="O14" s="48">
        <f t="shared" si="1"/>
        <v>0</v>
      </c>
      <c r="P14" s="49">
        <f t="shared" si="2"/>
        <v>1</v>
      </c>
      <c r="Q14" s="47"/>
      <c r="R14" s="50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IY14" s="51"/>
      <c r="IZ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1"/>
      <c r="MT14" s="51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</row>
    <row r="15" spans="1:440" s="3" customFormat="1" x14ac:dyDescent="0.3">
      <c r="A15" s="13" t="s">
        <v>120</v>
      </c>
      <c r="B15" s="14"/>
      <c r="C15" s="14"/>
      <c r="D15" s="14" t="s">
        <v>35</v>
      </c>
      <c r="E15" s="14">
        <v>150</v>
      </c>
      <c r="F15" s="14">
        <v>150</v>
      </c>
      <c r="G15" s="14"/>
      <c r="H15" s="14"/>
      <c r="I15" s="14"/>
      <c r="J15" s="14"/>
      <c r="K15" s="14"/>
      <c r="L15" s="14"/>
      <c r="M15" s="14"/>
      <c r="N15" s="38">
        <f t="shared" si="0"/>
        <v>150</v>
      </c>
      <c r="O15" s="38">
        <f t="shared" si="1"/>
        <v>0</v>
      </c>
      <c r="P15" s="39">
        <f t="shared" si="2"/>
        <v>1</v>
      </c>
      <c r="Q15" s="14"/>
      <c r="R15" s="28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</row>
    <row r="16" spans="1:440" s="3" customFormat="1" x14ac:dyDescent="0.3">
      <c r="A16" s="13" t="s">
        <v>121</v>
      </c>
      <c r="B16" s="14"/>
      <c r="C16" s="14"/>
      <c r="D16" s="14" t="s">
        <v>35</v>
      </c>
      <c r="E16" s="14">
        <v>150</v>
      </c>
      <c r="F16" s="14">
        <v>150</v>
      </c>
      <c r="G16" s="14"/>
      <c r="H16" s="14"/>
      <c r="I16" s="14"/>
      <c r="J16" s="14"/>
      <c r="K16" s="14"/>
      <c r="L16" s="14"/>
      <c r="M16" s="14"/>
      <c r="N16" s="38">
        <f t="shared" si="0"/>
        <v>150</v>
      </c>
      <c r="O16" s="38">
        <f t="shared" si="1"/>
        <v>0</v>
      </c>
      <c r="P16" s="39">
        <f t="shared" si="2"/>
        <v>1</v>
      </c>
      <c r="Q16" s="14"/>
      <c r="R16" s="28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</row>
    <row r="17" spans="1:440" s="7" customFormat="1" x14ac:dyDescent="0.3">
      <c r="A17" s="13" t="s">
        <v>122</v>
      </c>
      <c r="B17" s="14">
        <v>6987113730</v>
      </c>
      <c r="C17" s="45" t="s">
        <v>123</v>
      </c>
      <c r="D17" s="14" t="s">
        <v>24</v>
      </c>
      <c r="E17" s="14">
        <v>200</v>
      </c>
      <c r="F17" s="14">
        <v>100</v>
      </c>
      <c r="G17" s="14">
        <v>100</v>
      </c>
      <c r="H17" s="14"/>
      <c r="I17" s="14"/>
      <c r="J17" s="14"/>
      <c r="K17" s="14"/>
      <c r="L17" s="14"/>
      <c r="M17" s="14"/>
      <c r="N17" s="38">
        <f t="shared" si="0"/>
        <v>200</v>
      </c>
      <c r="O17" s="38">
        <f t="shared" si="1"/>
        <v>0</v>
      </c>
      <c r="P17" s="39">
        <f t="shared" si="2"/>
        <v>1</v>
      </c>
      <c r="Q17" s="14"/>
      <c r="R17" s="28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</row>
    <row r="18" spans="1:440" s="3" customFormat="1" x14ac:dyDescent="0.3">
      <c r="A18" s="13" t="s">
        <v>124</v>
      </c>
      <c r="B18" s="14"/>
      <c r="C18" s="14"/>
      <c r="D18" s="14" t="s">
        <v>24</v>
      </c>
      <c r="E18" s="14">
        <v>200</v>
      </c>
      <c r="F18" s="14">
        <v>100</v>
      </c>
      <c r="G18" s="14"/>
      <c r="H18" s="14"/>
      <c r="I18" s="14"/>
      <c r="J18" s="14"/>
      <c r="K18" s="14"/>
      <c r="L18" s="14"/>
      <c r="M18" s="14"/>
      <c r="N18" s="38">
        <f t="shared" si="0"/>
        <v>100</v>
      </c>
      <c r="O18" s="38">
        <f t="shared" si="1"/>
        <v>100</v>
      </c>
      <c r="P18" s="39">
        <f t="shared" si="2"/>
        <v>0.5</v>
      </c>
      <c r="Q18" s="14"/>
      <c r="R18" s="28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</row>
    <row r="19" spans="1:440" s="7" customFormat="1" x14ac:dyDescent="0.3">
      <c r="A19" s="52" t="s">
        <v>125</v>
      </c>
      <c r="B19" s="14"/>
      <c r="C19" s="14"/>
      <c r="D19" s="14" t="s">
        <v>24</v>
      </c>
      <c r="E19" s="14">
        <v>200</v>
      </c>
      <c r="F19" s="14">
        <v>100</v>
      </c>
      <c r="G19" s="14"/>
      <c r="H19" s="14"/>
      <c r="I19" s="14"/>
      <c r="J19" s="14"/>
      <c r="K19" s="14"/>
      <c r="L19" s="14"/>
      <c r="M19" s="14"/>
      <c r="N19" s="38">
        <f t="shared" si="0"/>
        <v>100</v>
      </c>
      <c r="O19" s="38">
        <f t="shared" si="1"/>
        <v>100</v>
      </c>
      <c r="P19" s="39">
        <f t="shared" si="2"/>
        <v>0.5</v>
      </c>
      <c r="Q19" s="14"/>
      <c r="R19" s="28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</row>
    <row r="20" spans="1:440" s="7" customFormat="1" x14ac:dyDescent="0.3">
      <c r="A20" s="13" t="s">
        <v>126</v>
      </c>
      <c r="B20" s="14"/>
      <c r="C20" s="14"/>
      <c r="D20" s="14" t="s">
        <v>24</v>
      </c>
      <c r="E20" s="14">
        <v>200</v>
      </c>
      <c r="F20" s="14">
        <v>100</v>
      </c>
      <c r="G20" s="14"/>
      <c r="H20" s="14"/>
      <c r="I20" s="14"/>
      <c r="J20" s="14"/>
      <c r="K20" s="14"/>
      <c r="L20" s="14"/>
      <c r="M20" s="14"/>
      <c r="N20" s="38">
        <f t="shared" si="0"/>
        <v>100</v>
      </c>
      <c r="O20" s="38">
        <f t="shared" si="1"/>
        <v>100</v>
      </c>
      <c r="P20" s="39">
        <f t="shared" si="2"/>
        <v>0.5</v>
      </c>
      <c r="Q20" s="14"/>
      <c r="R20" s="28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</row>
    <row r="21" spans="1:440" s="7" customFormat="1" x14ac:dyDescent="0.3">
      <c r="A21" s="13" t="s">
        <v>127</v>
      </c>
      <c r="B21" s="14"/>
      <c r="C21" s="45"/>
      <c r="D21" s="14" t="s">
        <v>35</v>
      </c>
      <c r="E21" s="14">
        <v>200</v>
      </c>
      <c r="F21" s="14">
        <v>150</v>
      </c>
      <c r="G21" s="14"/>
      <c r="H21" s="14"/>
      <c r="I21" s="14"/>
      <c r="J21" s="14"/>
      <c r="K21" s="14"/>
      <c r="L21" s="14"/>
      <c r="M21" s="14"/>
      <c r="N21" s="38">
        <f t="shared" si="0"/>
        <v>150</v>
      </c>
      <c r="O21" s="38">
        <f t="shared" si="1"/>
        <v>50</v>
      </c>
      <c r="P21" s="39">
        <f t="shared" si="2"/>
        <v>0.75</v>
      </c>
      <c r="Q21" s="14"/>
      <c r="R21" s="28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</row>
    <row r="22" spans="1:440" s="3" customFormat="1" x14ac:dyDescent="0.3">
      <c r="A22" s="13" t="s">
        <v>128</v>
      </c>
      <c r="B22" s="14">
        <v>6945896488</v>
      </c>
      <c r="C22" s="14"/>
      <c r="D22" s="14" t="s">
        <v>24</v>
      </c>
      <c r="E22" s="14">
        <v>200</v>
      </c>
      <c r="F22" s="14">
        <v>200</v>
      </c>
      <c r="G22" s="14"/>
      <c r="H22" s="14"/>
      <c r="I22" s="14"/>
      <c r="J22" s="14"/>
      <c r="K22" s="14"/>
      <c r="L22" s="14"/>
      <c r="M22" s="14"/>
      <c r="N22" s="38">
        <f t="shared" si="0"/>
        <v>200</v>
      </c>
      <c r="O22" s="38">
        <f t="shared" si="1"/>
        <v>0</v>
      </c>
      <c r="P22" s="39">
        <f t="shared" si="2"/>
        <v>1</v>
      </c>
      <c r="Q22" s="14"/>
      <c r="R22" s="28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</row>
    <row r="23" spans="1:440" s="3" customFormat="1" x14ac:dyDescent="0.3">
      <c r="A23" s="13" t="s">
        <v>134</v>
      </c>
      <c r="B23" s="14"/>
      <c r="C23" s="14" t="s">
        <v>135</v>
      </c>
      <c r="D23" s="14" t="s">
        <v>24</v>
      </c>
      <c r="E23" s="14">
        <v>200</v>
      </c>
      <c r="F23" s="14">
        <v>100</v>
      </c>
      <c r="G23" s="14"/>
      <c r="H23" s="14"/>
      <c r="I23" s="14"/>
      <c r="J23" s="14"/>
      <c r="K23" s="14"/>
      <c r="L23" s="14"/>
      <c r="M23" s="14"/>
      <c r="N23" s="38">
        <f t="shared" si="0"/>
        <v>100</v>
      </c>
      <c r="O23" s="38">
        <f t="shared" si="1"/>
        <v>100</v>
      </c>
      <c r="P23" s="39">
        <f t="shared" si="2"/>
        <v>0.5</v>
      </c>
      <c r="Q23" s="14"/>
      <c r="R23" s="28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</row>
    <row r="24" spans="1:440" x14ac:dyDescent="0.3">
      <c r="A24" s="13" t="s">
        <v>130</v>
      </c>
      <c r="B24" s="14">
        <v>6977540071</v>
      </c>
      <c r="C24" s="45" t="s">
        <v>131</v>
      </c>
      <c r="D24" s="14" t="s">
        <v>35</v>
      </c>
      <c r="E24" s="14">
        <v>300</v>
      </c>
      <c r="F24" s="14">
        <v>300</v>
      </c>
      <c r="G24" s="14"/>
      <c r="H24" s="14"/>
      <c r="I24" s="14"/>
      <c r="J24" s="14"/>
      <c r="K24" s="14"/>
      <c r="L24" s="14"/>
      <c r="M24" s="14"/>
      <c r="N24" s="38">
        <f t="shared" si="0"/>
        <v>300</v>
      </c>
      <c r="O24" s="38">
        <f t="shared" si="1"/>
        <v>0</v>
      </c>
      <c r="P24" s="39">
        <f t="shared" si="2"/>
        <v>1</v>
      </c>
      <c r="Q24" s="14"/>
      <c r="R24" s="40"/>
    </row>
    <row r="25" spans="1:440" s="5" customFormat="1" x14ac:dyDescent="0.3">
      <c r="A25" s="13" t="s">
        <v>132</v>
      </c>
      <c r="B25" s="14"/>
      <c r="C25" s="14" t="s">
        <v>133</v>
      </c>
      <c r="D25" s="14" t="s">
        <v>24</v>
      </c>
      <c r="E25" s="14">
        <v>200</v>
      </c>
      <c r="F25" s="14">
        <v>200</v>
      </c>
      <c r="G25" s="14"/>
      <c r="H25" s="14"/>
      <c r="I25" s="14"/>
      <c r="J25" s="14"/>
      <c r="K25" s="14"/>
      <c r="L25" s="14"/>
      <c r="M25" s="14"/>
      <c r="N25" s="38">
        <f t="shared" si="0"/>
        <v>200</v>
      </c>
      <c r="O25" s="38">
        <f t="shared" si="1"/>
        <v>0</v>
      </c>
      <c r="P25" s="39">
        <f t="shared" si="2"/>
        <v>1</v>
      </c>
      <c r="Q25" s="14"/>
      <c r="R25" s="28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</row>
    <row r="26" spans="1:440" s="6" customFormat="1" x14ac:dyDescent="0.3">
      <c r="A26" s="13" t="s">
        <v>136</v>
      </c>
      <c r="B26" s="16"/>
      <c r="C26" s="14"/>
      <c r="D26" s="14" t="s">
        <v>35</v>
      </c>
      <c r="E26" s="16">
        <v>150</v>
      </c>
      <c r="F26" s="16"/>
      <c r="G26" s="16"/>
      <c r="H26" s="16"/>
      <c r="I26" s="17"/>
      <c r="J26" s="16"/>
      <c r="K26" s="16"/>
      <c r="L26" s="16"/>
      <c r="M26" s="16"/>
      <c r="N26" s="38">
        <f t="shared" si="0"/>
        <v>0</v>
      </c>
      <c r="O26" s="38">
        <f t="shared" si="1"/>
        <v>150</v>
      </c>
      <c r="P26" s="39">
        <f t="shared" si="2"/>
        <v>0</v>
      </c>
      <c r="Q26" s="16"/>
      <c r="R26" s="28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</row>
    <row r="27" spans="1:440" s="6" customFormat="1" x14ac:dyDescent="0.3">
      <c r="A27" s="13" t="s">
        <v>137</v>
      </c>
      <c r="B27" s="14"/>
      <c r="C27" s="14"/>
      <c r="D27" s="14"/>
      <c r="E27" s="14">
        <v>200</v>
      </c>
      <c r="F27" s="14">
        <v>200</v>
      </c>
      <c r="G27" s="14"/>
      <c r="H27" s="14"/>
      <c r="I27" s="14"/>
      <c r="J27" s="14"/>
      <c r="K27" s="14"/>
      <c r="L27" s="14"/>
      <c r="M27" s="14"/>
      <c r="N27" s="38">
        <f t="shared" si="0"/>
        <v>200</v>
      </c>
      <c r="O27" s="38">
        <f t="shared" si="1"/>
        <v>0</v>
      </c>
      <c r="P27" s="39">
        <f t="shared" si="2"/>
        <v>1</v>
      </c>
      <c r="Q27" s="14"/>
      <c r="R27" s="28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</row>
    <row r="28" spans="1:440" s="6" customFormat="1" x14ac:dyDescent="0.3">
      <c r="A28" s="13" t="s">
        <v>138</v>
      </c>
      <c r="B28" s="14"/>
      <c r="C28" s="14"/>
      <c r="D28" s="14"/>
      <c r="E28" s="14">
        <v>300</v>
      </c>
      <c r="F28" s="14">
        <v>300</v>
      </c>
      <c r="G28" s="14"/>
      <c r="H28" s="14"/>
      <c r="I28" s="14"/>
      <c r="J28" s="14"/>
      <c r="K28" s="14"/>
      <c r="L28" s="14"/>
      <c r="M28" s="14"/>
      <c r="N28" s="38">
        <f t="shared" si="0"/>
        <v>300</v>
      </c>
      <c r="O28" s="38">
        <f t="shared" si="1"/>
        <v>0</v>
      </c>
      <c r="P28" s="39">
        <f t="shared" si="2"/>
        <v>1</v>
      </c>
      <c r="Q28" s="14"/>
      <c r="R28" s="28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</row>
    <row r="29" spans="1:440" s="6" customFormat="1" x14ac:dyDescent="0.3">
      <c r="A29" s="13" t="s">
        <v>139</v>
      </c>
      <c r="B29" s="14">
        <v>6943458130</v>
      </c>
      <c r="C29" s="14"/>
      <c r="D29" s="14" t="s">
        <v>35</v>
      </c>
      <c r="E29" s="14">
        <v>300</v>
      </c>
      <c r="F29" s="14"/>
      <c r="G29" s="14">
        <v>150</v>
      </c>
      <c r="H29" s="14">
        <v>150</v>
      </c>
      <c r="I29" s="14"/>
      <c r="J29" s="14"/>
      <c r="K29" s="14"/>
      <c r="L29" s="14"/>
      <c r="M29" s="14"/>
      <c r="N29" s="38">
        <f t="shared" si="0"/>
        <v>300</v>
      </c>
      <c r="O29" s="38">
        <f t="shared" si="1"/>
        <v>0</v>
      </c>
      <c r="P29" s="39">
        <f t="shared" si="2"/>
        <v>1</v>
      </c>
      <c r="Q29" s="14"/>
      <c r="R29" s="28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</row>
    <row r="30" spans="1:440" s="11" customFormat="1" x14ac:dyDescent="0.3">
      <c r="A30" s="13" t="s">
        <v>140</v>
      </c>
      <c r="B30" s="14">
        <v>6945562865</v>
      </c>
      <c r="C30" s="14"/>
      <c r="D30" s="14" t="s">
        <v>35</v>
      </c>
      <c r="E30" s="14">
        <v>300</v>
      </c>
      <c r="F30" s="14">
        <v>100</v>
      </c>
      <c r="G30" s="14">
        <v>50</v>
      </c>
      <c r="H30" s="14">
        <v>100</v>
      </c>
      <c r="I30" s="14"/>
      <c r="J30" s="14"/>
      <c r="K30" s="14"/>
      <c r="L30" s="14"/>
      <c r="M30" s="14"/>
      <c r="N30" s="38">
        <f t="shared" si="0"/>
        <v>250</v>
      </c>
      <c r="O30" s="38">
        <f t="shared" si="1"/>
        <v>50</v>
      </c>
      <c r="P30" s="39">
        <f t="shared" si="2"/>
        <v>0.83333333333333337</v>
      </c>
      <c r="Q30" s="14"/>
      <c r="R30" s="28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</row>
    <row r="31" spans="1:440" s="11" customFormat="1" x14ac:dyDescent="0.3">
      <c r="A31" s="13" t="s">
        <v>141</v>
      </c>
      <c r="B31" s="14"/>
      <c r="C31" s="14"/>
      <c r="D31" s="14" t="s">
        <v>35</v>
      </c>
      <c r="E31" s="14">
        <v>300</v>
      </c>
      <c r="F31" s="14">
        <v>300</v>
      </c>
      <c r="G31" s="14"/>
      <c r="H31" s="14"/>
      <c r="I31" s="14"/>
      <c r="J31" s="14"/>
      <c r="K31" s="14"/>
      <c r="L31" s="14"/>
      <c r="M31" s="14"/>
      <c r="N31" s="38">
        <f t="shared" si="0"/>
        <v>300</v>
      </c>
      <c r="O31" s="38">
        <f t="shared" si="1"/>
        <v>0</v>
      </c>
      <c r="P31" s="39">
        <f t="shared" si="2"/>
        <v>1</v>
      </c>
      <c r="Q31" s="14"/>
      <c r="R31" s="28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</row>
    <row r="32" spans="1:440" s="6" customFormat="1" x14ac:dyDescent="0.3">
      <c r="A32" s="13" t="s">
        <v>142</v>
      </c>
      <c r="B32" s="14"/>
      <c r="C32" s="14"/>
      <c r="D32" s="14"/>
      <c r="E32" s="14"/>
      <c r="F32" s="14">
        <v>50</v>
      </c>
      <c r="G32" s="14"/>
      <c r="H32" s="14"/>
      <c r="I32" s="14"/>
      <c r="J32" s="14"/>
      <c r="K32" s="14"/>
      <c r="L32" s="14"/>
      <c r="M32" s="14"/>
      <c r="N32" s="38">
        <f t="shared" si="0"/>
        <v>50</v>
      </c>
      <c r="O32" s="38">
        <f t="shared" si="1"/>
        <v>-50</v>
      </c>
      <c r="P32" s="39" t="e">
        <f t="shared" si="2"/>
        <v>#DIV/0!</v>
      </c>
      <c r="Q32" s="14"/>
      <c r="R32" s="28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</row>
    <row r="33" spans="1:440" s="10" customFormat="1" x14ac:dyDescent="0.3">
      <c r="A33" s="13" t="s">
        <v>144</v>
      </c>
      <c r="B33" s="14"/>
      <c r="C33" s="14"/>
      <c r="D33" s="14" t="s">
        <v>35</v>
      </c>
      <c r="E33" s="14">
        <v>300</v>
      </c>
      <c r="F33" s="14">
        <v>150</v>
      </c>
      <c r="G33" s="14"/>
      <c r="H33" s="14"/>
      <c r="I33" s="14"/>
      <c r="J33" s="14"/>
      <c r="K33" s="14"/>
      <c r="L33" s="14"/>
      <c r="M33" s="14"/>
      <c r="N33" s="38">
        <f t="shared" si="0"/>
        <v>150</v>
      </c>
      <c r="O33" s="38">
        <f t="shared" si="1"/>
        <v>150</v>
      </c>
      <c r="P33" s="39">
        <f t="shared" si="2"/>
        <v>0.5</v>
      </c>
      <c r="Q33" s="14"/>
      <c r="R33" s="28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</row>
    <row r="34" spans="1:440" s="10" customFormat="1" x14ac:dyDescent="0.3">
      <c r="A34" s="13" t="s">
        <v>146</v>
      </c>
      <c r="B34" s="14"/>
      <c r="C34" s="14"/>
      <c r="D34" s="14" t="s">
        <v>35</v>
      </c>
      <c r="E34" s="14">
        <v>300</v>
      </c>
      <c r="F34" s="14">
        <v>150</v>
      </c>
      <c r="G34" s="14">
        <v>150</v>
      </c>
      <c r="H34" s="14"/>
      <c r="I34" s="14"/>
      <c r="J34" s="14"/>
      <c r="K34" s="14"/>
      <c r="L34" s="14"/>
      <c r="M34" s="14"/>
      <c r="N34" s="38">
        <f t="shared" si="0"/>
        <v>300</v>
      </c>
      <c r="O34" s="38">
        <f t="shared" si="1"/>
        <v>0</v>
      </c>
      <c r="P34" s="39">
        <f t="shared" si="2"/>
        <v>1</v>
      </c>
      <c r="Q34" s="14"/>
      <c r="R34" s="28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</row>
    <row r="35" spans="1:440" s="11" customFormat="1" x14ac:dyDescent="0.3">
      <c r="A35" s="59"/>
      <c r="B35" s="59"/>
      <c r="C35" s="59"/>
      <c r="D35" s="59"/>
      <c r="E35" s="59"/>
      <c r="F35" s="59"/>
      <c r="G35" s="14"/>
      <c r="H35" s="14"/>
      <c r="I35" s="14"/>
      <c r="J35" s="14"/>
      <c r="K35" s="14"/>
      <c r="L35" s="14"/>
      <c r="M35" s="14"/>
      <c r="N35" s="38">
        <f>IF(AND(ISBLANK(#REF!),ISBLANK(#REF!),ISBLANK(G35),ISBLANK(H35),ISBLANK(I35),ISBLANK(J35),ISBLANK(K35),ISBLANK(L35),ISBLANK(M35)),"",SUM(G35:M35))</f>
        <v>0</v>
      </c>
      <c r="O35" s="38" t="e">
        <f>IF(AND(ISBLANK(#REF!), ISBLANK(#REF!), ISBLANK(G35), ISBLANK(H35), ISBLANK(I35), ISBLANK(J35), ISBLANK(K35), ISBLANK(L35), ISBLANK(M35)), "",#REF!- N35)</f>
        <v>#REF!</v>
      </c>
      <c r="P35" s="39" t="e">
        <f>IF(AND(ISBLANK(#REF!),ISBLANK(#REF!),ISBLANK(G35),ISBLANK(H35),ISBLANK(I35),ISBLANK(J35),ISBLANK(K35),ISBLANK(L35),ISBLANK(M35)),"",N35/#REF!)</f>
        <v>#REF!</v>
      </c>
      <c r="Q35" s="14"/>
      <c r="R35" s="28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</row>
    <row r="36" spans="1:440" s="6" customFormat="1" x14ac:dyDescent="0.3">
      <c r="A36" s="13"/>
      <c r="B36" s="14"/>
      <c r="C36" s="14"/>
      <c r="D36" s="14"/>
      <c r="E36" s="14"/>
      <c r="F36" s="14"/>
      <c r="G36" s="14"/>
      <c r="H36" s="15"/>
      <c r="I36" s="14"/>
      <c r="J36" s="14"/>
      <c r="K36" s="14"/>
      <c r="L36" s="14"/>
      <c r="M36" s="14"/>
      <c r="N36" s="38" t="str">
        <f t="shared" ref="N36:N67" si="3">IF(AND(ISBLANK(E36),ISBLANK(F36),ISBLANK(G36),ISBLANK(H36),ISBLANK(I36),ISBLANK(J36),ISBLANK(K36),ISBLANK(L36),ISBLANK(M36)),"",SUM(F36:M36))</f>
        <v/>
      </c>
      <c r="O36" s="38" t="str">
        <f t="shared" ref="O36:O67" si="4">IF(AND(ISBLANK(E36), ISBLANK(F36), ISBLANK(G36), ISBLANK(H36), ISBLANK(I36), ISBLANK(J36), ISBLANK(K36), ISBLANK(L36), ISBLANK(M36)), "", E36-N36)</f>
        <v/>
      </c>
      <c r="P36" s="39" t="str">
        <f t="shared" ref="P36:P67" si="5">IF(AND(ISBLANK(E36),ISBLANK(F36),ISBLANK(G36),ISBLANK(H36),ISBLANK(I36),ISBLANK(J36),ISBLANK(K36),ISBLANK(L36),ISBLANK(M36)),"",N36/E36)</f>
        <v/>
      </c>
      <c r="Q36" s="14"/>
      <c r="R36" s="28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</row>
    <row r="37" spans="1:440" s="6" customFormat="1" x14ac:dyDescent="0.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38" t="str">
        <f t="shared" si="3"/>
        <v/>
      </c>
      <c r="O37" s="38" t="str">
        <f t="shared" si="4"/>
        <v/>
      </c>
      <c r="P37" s="39" t="str">
        <f t="shared" si="5"/>
        <v/>
      </c>
      <c r="Q37" s="14"/>
      <c r="R37" s="28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</row>
    <row r="38" spans="1:440" s="6" customFormat="1" x14ac:dyDescent="0.3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38" t="str">
        <f t="shared" si="3"/>
        <v/>
      </c>
      <c r="O38" s="38" t="str">
        <f t="shared" si="4"/>
        <v/>
      </c>
      <c r="P38" s="39" t="str">
        <f t="shared" si="5"/>
        <v/>
      </c>
      <c r="Q38" s="14"/>
      <c r="R38" s="28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</row>
    <row r="39" spans="1:440" s="11" customFormat="1" x14ac:dyDescent="0.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38" t="str">
        <f t="shared" si="3"/>
        <v/>
      </c>
      <c r="O39" s="38" t="str">
        <f t="shared" si="4"/>
        <v/>
      </c>
      <c r="P39" s="39" t="str">
        <f t="shared" si="5"/>
        <v/>
      </c>
      <c r="Q39" s="14"/>
      <c r="R39" s="28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</row>
    <row r="40" spans="1:440" s="11" customFormat="1" x14ac:dyDescent="0.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8" t="str">
        <f t="shared" si="3"/>
        <v/>
      </c>
      <c r="O40" s="38" t="str">
        <f t="shared" si="4"/>
        <v/>
      </c>
      <c r="P40" s="39" t="str">
        <f t="shared" si="5"/>
        <v/>
      </c>
      <c r="Q40" s="14"/>
      <c r="R40" s="28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</row>
    <row r="41" spans="1:440" s="6" customFormat="1" x14ac:dyDescent="0.3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38" t="str">
        <f t="shared" si="3"/>
        <v/>
      </c>
      <c r="O41" s="38" t="str">
        <f t="shared" si="4"/>
        <v/>
      </c>
      <c r="P41" s="39" t="str">
        <f t="shared" si="5"/>
        <v/>
      </c>
      <c r="Q41" s="14"/>
      <c r="R41" s="28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</row>
    <row r="42" spans="1:440" s="10" customFormat="1" x14ac:dyDescent="0.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38" t="str">
        <f t="shared" si="3"/>
        <v/>
      </c>
      <c r="O42" s="38" t="str">
        <f t="shared" si="4"/>
        <v/>
      </c>
      <c r="P42" s="39" t="str">
        <f t="shared" si="5"/>
        <v/>
      </c>
      <c r="Q42" s="14"/>
      <c r="R42" s="28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</row>
    <row r="43" spans="1:440" s="10" customFormat="1" x14ac:dyDescent="0.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38" t="str">
        <f t="shared" si="3"/>
        <v/>
      </c>
      <c r="O43" s="38" t="str">
        <f t="shared" si="4"/>
        <v/>
      </c>
      <c r="P43" s="39" t="str">
        <f t="shared" si="5"/>
        <v/>
      </c>
      <c r="Q43" s="14"/>
      <c r="R43" s="28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</row>
    <row r="44" spans="1:440" s="3" customFormat="1" x14ac:dyDescent="0.3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38" t="str">
        <f t="shared" si="3"/>
        <v/>
      </c>
      <c r="O44" s="38" t="str">
        <f t="shared" si="4"/>
        <v/>
      </c>
      <c r="P44" s="39" t="str">
        <f t="shared" si="5"/>
        <v/>
      </c>
      <c r="Q44" s="14"/>
      <c r="R44" s="28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</row>
    <row r="45" spans="1:440" s="5" customForma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38" t="str">
        <f t="shared" si="3"/>
        <v/>
      </c>
      <c r="O45" s="38" t="str">
        <f t="shared" si="4"/>
        <v/>
      </c>
      <c r="P45" s="39" t="str">
        <f t="shared" si="5"/>
        <v/>
      </c>
      <c r="Q45" s="14"/>
      <c r="R45" s="28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</row>
    <row r="46" spans="1:440" s="4" customFormat="1" x14ac:dyDescent="0.3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38" t="str">
        <f t="shared" si="3"/>
        <v/>
      </c>
      <c r="O46" s="38" t="str">
        <f t="shared" si="4"/>
        <v/>
      </c>
      <c r="P46" s="39" t="str">
        <f t="shared" si="5"/>
        <v/>
      </c>
      <c r="Q46" s="14"/>
      <c r="R46" s="28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</row>
    <row r="47" spans="1:440" s="7" customFormat="1" x14ac:dyDescent="0.3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8" t="str">
        <f t="shared" si="3"/>
        <v/>
      </c>
      <c r="O47" s="38" t="str">
        <f t="shared" si="4"/>
        <v/>
      </c>
      <c r="P47" s="39" t="str">
        <f t="shared" si="5"/>
        <v/>
      </c>
      <c r="Q47" s="14"/>
      <c r="R47" s="28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</row>
    <row r="48" spans="1:440" s="7" customFormat="1" x14ac:dyDescent="0.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8" t="str">
        <f t="shared" si="3"/>
        <v/>
      </c>
      <c r="O48" s="38" t="str">
        <f t="shared" si="4"/>
        <v/>
      </c>
      <c r="P48" s="39" t="str">
        <f t="shared" si="5"/>
        <v/>
      </c>
      <c r="Q48" s="14"/>
      <c r="R48" s="28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</row>
    <row r="49" spans="1:440" s="4" customFormat="1" x14ac:dyDescent="0.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8" t="str">
        <f t="shared" si="3"/>
        <v/>
      </c>
      <c r="O49" s="38" t="str">
        <f t="shared" si="4"/>
        <v/>
      </c>
      <c r="P49" s="39" t="str">
        <f t="shared" si="5"/>
        <v/>
      </c>
      <c r="Q49" s="14"/>
      <c r="R49" s="28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</row>
    <row r="50" spans="1:440" s="3" customFormat="1" x14ac:dyDescent="0.3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8" t="str">
        <f t="shared" si="3"/>
        <v/>
      </c>
      <c r="O50" s="38" t="str">
        <f t="shared" si="4"/>
        <v/>
      </c>
      <c r="P50" s="39" t="str">
        <f t="shared" si="5"/>
        <v/>
      </c>
      <c r="Q50" s="14"/>
      <c r="R50" s="28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</row>
    <row r="51" spans="1:440" s="3" customFormat="1" x14ac:dyDescent="0.3">
      <c r="A51" s="13"/>
      <c r="B51" s="14"/>
      <c r="C51" s="4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8" t="str">
        <f t="shared" si="3"/>
        <v/>
      </c>
      <c r="O51" s="38" t="str">
        <f t="shared" si="4"/>
        <v/>
      </c>
      <c r="P51" s="39" t="str">
        <f t="shared" si="5"/>
        <v/>
      </c>
      <c r="Q51" s="14"/>
      <c r="R51" s="28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</row>
    <row r="52" spans="1:440" s="3" customFormat="1" x14ac:dyDescent="0.3">
      <c r="A52" s="13"/>
      <c r="B52" s="14"/>
      <c r="C52" s="4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8" t="str">
        <f t="shared" si="3"/>
        <v/>
      </c>
      <c r="O52" s="38" t="str">
        <f t="shared" si="4"/>
        <v/>
      </c>
      <c r="P52" s="39" t="str">
        <f t="shared" si="5"/>
        <v/>
      </c>
      <c r="Q52" s="14"/>
      <c r="R52" s="28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</row>
    <row r="53" spans="1:440" s="5" customFormat="1" x14ac:dyDescent="0.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8" t="str">
        <f t="shared" si="3"/>
        <v/>
      </c>
      <c r="O53" s="38" t="str">
        <f t="shared" si="4"/>
        <v/>
      </c>
      <c r="P53" s="39" t="str">
        <f t="shared" si="5"/>
        <v/>
      </c>
      <c r="Q53" s="14"/>
      <c r="R53" s="28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</row>
    <row r="54" spans="1:440" s="4" customFormat="1" x14ac:dyDescent="0.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8" t="str">
        <f t="shared" si="3"/>
        <v/>
      </c>
      <c r="O54" s="38" t="str">
        <f t="shared" si="4"/>
        <v/>
      </c>
      <c r="P54" s="39" t="str">
        <f t="shared" si="5"/>
        <v/>
      </c>
      <c r="Q54" s="14"/>
      <c r="R54" s="28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</row>
    <row r="55" spans="1:440" s="3" customFormat="1" x14ac:dyDescent="0.3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38" t="str">
        <f t="shared" si="3"/>
        <v/>
      </c>
      <c r="O55" s="38" t="str">
        <f t="shared" si="4"/>
        <v/>
      </c>
      <c r="P55" s="39" t="str">
        <f t="shared" si="5"/>
        <v/>
      </c>
      <c r="Q55" s="14"/>
      <c r="R55" s="28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</row>
    <row r="56" spans="1:440" s="4" customFormat="1" x14ac:dyDescent="0.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38" t="str">
        <f t="shared" si="3"/>
        <v/>
      </c>
      <c r="O56" s="38" t="str">
        <f t="shared" si="4"/>
        <v/>
      </c>
      <c r="P56" s="39" t="str">
        <f t="shared" si="5"/>
        <v/>
      </c>
      <c r="Q56" s="14"/>
      <c r="R56" s="28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</row>
    <row r="57" spans="1:440" s="5" customFormat="1" x14ac:dyDescent="0.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38" t="str">
        <f t="shared" si="3"/>
        <v/>
      </c>
      <c r="O57" s="38" t="str">
        <f t="shared" si="4"/>
        <v/>
      </c>
      <c r="P57" s="39" t="str">
        <f t="shared" si="5"/>
        <v/>
      </c>
      <c r="Q57" s="14"/>
      <c r="R57" s="28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</row>
    <row r="58" spans="1:440" s="3" customFormat="1" x14ac:dyDescent="0.3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38" t="str">
        <f t="shared" si="3"/>
        <v/>
      </c>
      <c r="O58" s="38" t="str">
        <f t="shared" si="4"/>
        <v/>
      </c>
      <c r="P58" s="39" t="str">
        <f t="shared" si="5"/>
        <v/>
      </c>
      <c r="Q58" s="14"/>
      <c r="R58" s="28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</row>
    <row r="59" spans="1:440" s="4" customFormat="1" x14ac:dyDescent="0.3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8" t="str">
        <f t="shared" si="3"/>
        <v/>
      </c>
      <c r="O59" s="38" t="str">
        <f t="shared" si="4"/>
        <v/>
      </c>
      <c r="P59" s="39" t="str">
        <f t="shared" si="5"/>
        <v/>
      </c>
      <c r="Q59" s="14"/>
      <c r="R59" s="28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</row>
    <row r="60" spans="1:440" s="3" customFormat="1" x14ac:dyDescent="0.3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8" t="str">
        <f t="shared" si="3"/>
        <v/>
      </c>
      <c r="O60" s="38" t="str">
        <f t="shared" si="4"/>
        <v/>
      </c>
      <c r="P60" s="39" t="str">
        <f t="shared" si="5"/>
        <v/>
      </c>
      <c r="Q60" s="14"/>
      <c r="R60" s="28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</row>
    <row r="61" spans="1:440" s="3" customFormat="1" x14ac:dyDescent="0.3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38" t="str">
        <f t="shared" si="3"/>
        <v/>
      </c>
      <c r="O61" s="38" t="str">
        <f t="shared" si="4"/>
        <v/>
      </c>
      <c r="P61" s="39" t="str">
        <f t="shared" si="5"/>
        <v/>
      </c>
      <c r="Q61" s="14"/>
      <c r="R61" s="28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</row>
    <row r="62" spans="1:440" s="3" customFormat="1" x14ac:dyDescent="0.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38" t="str">
        <f t="shared" si="3"/>
        <v/>
      </c>
      <c r="O62" s="38" t="str">
        <f t="shared" si="4"/>
        <v/>
      </c>
      <c r="P62" s="39" t="str">
        <f t="shared" si="5"/>
        <v/>
      </c>
      <c r="Q62" s="14"/>
      <c r="R62" s="28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</row>
    <row r="63" spans="1:440" s="3" customFormat="1" x14ac:dyDescent="0.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38" t="str">
        <f t="shared" si="3"/>
        <v/>
      </c>
      <c r="O63" s="38" t="str">
        <f t="shared" si="4"/>
        <v/>
      </c>
      <c r="P63" s="39" t="str">
        <f t="shared" si="5"/>
        <v/>
      </c>
      <c r="Q63" s="14"/>
      <c r="R63" s="28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</row>
    <row r="64" spans="1:440" s="3" customFormat="1" x14ac:dyDescent="0.3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38" t="str">
        <f t="shared" si="3"/>
        <v/>
      </c>
      <c r="O64" s="38" t="str">
        <f t="shared" si="4"/>
        <v/>
      </c>
      <c r="P64" s="39" t="str">
        <f t="shared" si="5"/>
        <v/>
      </c>
      <c r="Q64" s="14"/>
      <c r="R64" s="28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</row>
    <row r="65" spans="1:440" s="3" customFormat="1" ht="18" customHeight="1" x14ac:dyDescent="0.3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38" t="str">
        <f t="shared" si="3"/>
        <v/>
      </c>
      <c r="O65" s="38" t="str">
        <f t="shared" si="4"/>
        <v/>
      </c>
      <c r="P65" s="39" t="str">
        <f t="shared" si="5"/>
        <v/>
      </c>
      <c r="Q65" s="14"/>
      <c r="R65" s="28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</row>
    <row r="66" spans="1:440" s="7" customFormat="1" x14ac:dyDescent="0.3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38" t="str">
        <f t="shared" si="3"/>
        <v/>
      </c>
      <c r="O66" s="38" t="str">
        <f t="shared" si="4"/>
        <v/>
      </c>
      <c r="P66" s="39" t="str">
        <f t="shared" si="5"/>
        <v/>
      </c>
      <c r="Q66" s="14"/>
      <c r="R66" s="28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</row>
    <row r="67" spans="1:440" s="3" customFormat="1" x14ac:dyDescent="0.3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38" t="str">
        <f t="shared" si="3"/>
        <v/>
      </c>
      <c r="O67" s="38" t="str">
        <f t="shared" si="4"/>
        <v/>
      </c>
      <c r="P67" s="39" t="str">
        <f t="shared" si="5"/>
        <v/>
      </c>
      <c r="Q67" s="14"/>
      <c r="R67" s="28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</row>
    <row r="68" spans="1:440" s="7" customFormat="1" x14ac:dyDescent="0.3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38" t="str">
        <f t="shared" ref="N68:N99" si="6">IF(AND(ISBLANK(E68),ISBLANK(F68),ISBLANK(G68),ISBLANK(H68),ISBLANK(I68),ISBLANK(J68),ISBLANK(K68),ISBLANK(L68),ISBLANK(M68)),"",SUM(F68:M68))</f>
        <v/>
      </c>
      <c r="O68" s="38" t="str">
        <f t="shared" ref="O68:O99" si="7">IF(AND(ISBLANK(E68), ISBLANK(F68), ISBLANK(G68), ISBLANK(H68), ISBLANK(I68), ISBLANK(J68), ISBLANK(K68), ISBLANK(L68), ISBLANK(M68)), "", E68-N68)</f>
        <v/>
      </c>
      <c r="P68" s="39" t="str">
        <f t="shared" ref="P68:P99" si="8">IF(AND(ISBLANK(E68),ISBLANK(F68),ISBLANK(G68),ISBLANK(H68),ISBLANK(I68),ISBLANK(J68),ISBLANK(K68),ISBLANK(L68),ISBLANK(M68)),"",N68/E68)</f>
        <v/>
      </c>
      <c r="Q68" s="14"/>
      <c r="R68" s="28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</row>
    <row r="69" spans="1:440" s="3" customFormat="1" x14ac:dyDescent="0.3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38" t="str">
        <f t="shared" si="6"/>
        <v/>
      </c>
      <c r="O69" s="38" t="str">
        <f t="shared" si="7"/>
        <v/>
      </c>
      <c r="P69" s="39" t="str">
        <f t="shared" si="8"/>
        <v/>
      </c>
      <c r="Q69" s="14"/>
      <c r="R69" s="28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</row>
    <row r="70" spans="1:440" s="3" customFormat="1" x14ac:dyDescent="0.3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8" t="str">
        <f t="shared" si="6"/>
        <v/>
      </c>
      <c r="O70" s="38" t="str">
        <f t="shared" si="7"/>
        <v/>
      </c>
      <c r="P70" s="39" t="str">
        <f t="shared" si="8"/>
        <v/>
      </c>
      <c r="Q70" s="14"/>
      <c r="R70" s="28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</row>
    <row r="71" spans="1:440" s="3" customFormat="1" x14ac:dyDescent="0.3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38" t="str">
        <f t="shared" si="6"/>
        <v/>
      </c>
      <c r="O71" s="38" t="str">
        <f t="shared" si="7"/>
        <v/>
      </c>
      <c r="P71" s="39" t="str">
        <f t="shared" si="8"/>
        <v/>
      </c>
      <c r="Q71" s="14"/>
      <c r="R71" s="28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</row>
    <row r="72" spans="1:440" s="3" customFormat="1" x14ac:dyDescent="0.3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38" t="str">
        <f t="shared" si="6"/>
        <v/>
      </c>
      <c r="O72" s="38" t="str">
        <f t="shared" si="7"/>
        <v/>
      </c>
      <c r="P72" s="39" t="str">
        <f t="shared" si="8"/>
        <v/>
      </c>
      <c r="Q72" s="14"/>
      <c r="R72" s="28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</row>
    <row r="73" spans="1:440" s="3" customFormat="1" x14ac:dyDescent="0.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38" t="str">
        <f t="shared" si="6"/>
        <v/>
      </c>
      <c r="O73" s="38" t="str">
        <f t="shared" si="7"/>
        <v/>
      </c>
      <c r="P73" s="39" t="str">
        <f t="shared" si="8"/>
        <v/>
      </c>
      <c r="Q73" s="14"/>
      <c r="R73" s="28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</row>
    <row r="74" spans="1:440" s="3" customFormat="1" x14ac:dyDescent="0.3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38" t="str">
        <f t="shared" si="6"/>
        <v/>
      </c>
      <c r="O74" s="38" t="str">
        <f t="shared" si="7"/>
        <v/>
      </c>
      <c r="P74" s="39" t="str">
        <f t="shared" si="8"/>
        <v/>
      </c>
      <c r="Q74" s="14"/>
      <c r="R74" s="28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</row>
    <row r="75" spans="1:440" s="3" customFormat="1" x14ac:dyDescent="0.3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38" t="str">
        <f t="shared" si="6"/>
        <v/>
      </c>
      <c r="O75" s="38" t="str">
        <f t="shared" si="7"/>
        <v/>
      </c>
      <c r="P75" s="39" t="str">
        <f t="shared" si="8"/>
        <v/>
      </c>
      <c r="Q75" s="14"/>
      <c r="R75" s="28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</row>
    <row r="76" spans="1:440" s="2" customFormat="1" x14ac:dyDescent="0.3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38" t="str">
        <f t="shared" si="6"/>
        <v/>
      </c>
      <c r="O76" s="38" t="str">
        <f t="shared" si="7"/>
        <v/>
      </c>
      <c r="P76" s="39" t="str">
        <f t="shared" si="8"/>
        <v/>
      </c>
      <c r="Q76" s="14"/>
      <c r="R76" s="28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</row>
    <row r="77" spans="1:440" s="3" customFormat="1" x14ac:dyDescent="0.3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38" t="str">
        <f t="shared" si="6"/>
        <v/>
      </c>
      <c r="O77" s="38" t="str">
        <f t="shared" si="7"/>
        <v/>
      </c>
      <c r="P77" s="39" t="str">
        <f t="shared" si="8"/>
        <v/>
      </c>
      <c r="Q77" s="14"/>
      <c r="R77" s="28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</row>
    <row r="78" spans="1:440" s="3" customFormat="1" x14ac:dyDescent="0.3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38" t="str">
        <f t="shared" si="6"/>
        <v/>
      </c>
      <c r="O78" s="38" t="str">
        <f t="shared" si="7"/>
        <v/>
      </c>
      <c r="P78" s="39" t="str">
        <f t="shared" si="8"/>
        <v/>
      </c>
      <c r="Q78" s="14"/>
      <c r="R78" s="28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</row>
    <row r="79" spans="1:440" s="3" customFormat="1" x14ac:dyDescent="0.3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38" t="str">
        <f t="shared" si="6"/>
        <v/>
      </c>
      <c r="O79" s="38" t="str">
        <f t="shared" si="7"/>
        <v/>
      </c>
      <c r="P79" s="39" t="str">
        <f t="shared" si="8"/>
        <v/>
      </c>
      <c r="Q79" s="14"/>
      <c r="R79" s="28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</row>
    <row r="80" spans="1:440" s="3" customFormat="1" x14ac:dyDescent="0.3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38" t="str">
        <f t="shared" si="6"/>
        <v/>
      </c>
      <c r="O80" s="38" t="str">
        <f t="shared" si="7"/>
        <v/>
      </c>
      <c r="P80" s="39" t="str">
        <f t="shared" si="8"/>
        <v/>
      </c>
      <c r="Q80" s="14"/>
      <c r="R80" s="28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</row>
    <row r="81" spans="1:440" s="3" customFormat="1" x14ac:dyDescent="0.3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38" t="str">
        <f t="shared" si="6"/>
        <v/>
      </c>
      <c r="O81" s="38" t="str">
        <f t="shared" si="7"/>
        <v/>
      </c>
      <c r="P81" s="39" t="str">
        <f t="shared" si="8"/>
        <v/>
      </c>
      <c r="Q81" s="14"/>
      <c r="R81" s="28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</row>
    <row r="82" spans="1:440" s="3" customFormat="1" x14ac:dyDescent="0.3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38" t="str">
        <f t="shared" si="6"/>
        <v/>
      </c>
      <c r="O82" s="38" t="str">
        <f t="shared" si="7"/>
        <v/>
      </c>
      <c r="P82" s="39" t="str">
        <f t="shared" si="8"/>
        <v/>
      </c>
      <c r="Q82" s="14"/>
      <c r="R82" s="28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</row>
    <row r="83" spans="1:440" s="8" customFormat="1" x14ac:dyDescent="0.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38" t="str">
        <f t="shared" si="6"/>
        <v/>
      </c>
      <c r="O83" s="38" t="str">
        <f t="shared" si="7"/>
        <v/>
      </c>
      <c r="P83" s="39" t="str">
        <f t="shared" si="8"/>
        <v/>
      </c>
      <c r="Q83" s="14"/>
      <c r="R83" s="28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</row>
    <row r="84" spans="1:440" s="7" customFormat="1" x14ac:dyDescent="0.3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38" t="str">
        <f t="shared" si="6"/>
        <v/>
      </c>
      <c r="O84" s="38" t="str">
        <f t="shared" si="7"/>
        <v/>
      </c>
      <c r="P84" s="39" t="str">
        <f t="shared" si="8"/>
        <v/>
      </c>
      <c r="Q84" s="14"/>
      <c r="R84" s="28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</row>
    <row r="85" spans="1:440" s="4" customFormat="1" x14ac:dyDescent="0.3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38" t="str">
        <f t="shared" si="6"/>
        <v/>
      </c>
      <c r="O85" s="38" t="str">
        <f t="shared" si="7"/>
        <v/>
      </c>
      <c r="P85" s="39" t="str">
        <f t="shared" si="8"/>
        <v/>
      </c>
      <c r="Q85" s="14"/>
      <c r="R85" s="28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</row>
    <row r="86" spans="1:440" s="7" customFormat="1" x14ac:dyDescent="0.3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38" t="str">
        <f t="shared" si="6"/>
        <v/>
      </c>
      <c r="O86" s="38" t="str">
        <f t="shared" si="7"/>
        <v/>
      </c>
      <c r="P86" s="39" t="str">
        <f t="shared" si="8"/>
        <v/>
      </c>
      <c r="Q86" s="14"/>
      <c r="R86" s="28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</row>
    <row r="87" spans="1:440" s="3" customFormat="1" x14ac:dyDescent="0.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38" t="str">
        <f t="shared" si="6"/>
        <v/>
      </c>
      <c r="O87" s="38" t="str">
        <f t="shared" si="7"/>
        <v/>
      </c>
      <c r="P87" s="39" t="str">
        <f t="shared" si="8"/>
        <v/>
      </c>
      <c r="Q87" s="14"/>
      <c r="R87" s="28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</row>
    <row r="88" spans="1:440" s="7" customFormat="1" x14ac:dyDescent="0.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38" t="str">
        <f t="shared" si="6"/>
        <v/>
      </c>
      <c r="O88" s="38" t="str">
        <f t="shared" si="7"/>
        <v/>
      </c>
      <c r="P88" s="39" t="str">
        <f t="shared" si="8"/>
        <v/>
      </c>
      <c r="Q88" s="14"/>
      <c r="R88" s="28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</row>
    <row r="89" spans="1:440" x14ac:dyDescent="0.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38" t="str">
        <f t="shared" si="6"/>
        <v/>
      </c>
      <c r="O89" s="38" t="str">
        <f t="shared" si="7"/>
        <v/>
      </c>
      <c r="P89" s="39" t="str">
        <f t="shared" si="8"/>
        <v/>
      </c>
      <c r="Q89" s="14"/>
      <c r="R89" s="28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</row>
    <row r="90" spans="1:440" x14ac:dyDescent="0.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38" t="str">
        <f t="shared" si="6"/>
        <v/>
      </c>
      <c r="O90" s="38" t="str">
        <f t="shared" si="7"/>
        <v/>
      </c>
      <c r="P90" s="39" t="str">
        <f t="shared" si="8"/>
        <v/>
      </c>
      <c r="Q90" s="14"/>
      <c r="R90" s="28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</row>
    <row r="91" spans="1:440" s="7" customFormat="1" x14ac:dyDescent="0.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38" t="str">
        <f t="shared" si="6"/>
        <v/>
      </c>
      <c r="O91" s="38" t="str">
        <f t="shared" si="7"/>
        <v/>
      </c>
      <c r="P91" s="39" t="str">
        <f t="shared" si="8"/>
        <v/>
      </c>
      <c r="Q91" s="14"/>
      <c r="R91" s="28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</row>
    <row r="92" spans="1:440" s="3" customFormat="1" x14ac:dyDescent="0.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38" t="str">
        <f t="shared" si="6"/>
        <v/>
      </c>
      <c r="O92" s="38" t="str">
        <f t="shared" si="7"/>
        <v/>
      </c>
      <c r="P92" s="39" t="str">
        <f t="shared" si="8"/>
        <v/>
      </c>
      <c r="Q92" s="14"/>
      <c r="R92" s="28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</row>
    <row r="93" spans="1:440" s="3" customFormat="1" x14ac:dyDescent="0.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38" t="str">
        <f t="shared" si="6"/>
        <v/>
      </c>
      <c r="O93" s="38" t="str">
        <f t="shared" si="7"/>
        <v/>
      </c>
      <c r="P93" s="39" t="str">
        <f t="shared" si="8"/>
        <v/>
      </c>
      <c r="Q93" s="14"/>
      <c r="R93" s="28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</row>
    <row r="94" spans="1:440" s="3" customFormat="1" x14ac:dyDescent="0.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38" t="str">
        <f t="shared" si="6"/>
        <v/>
      </c>
      <c r="O94" s="38" t="str">
        <f t="shared" si="7"/>
        <v/>
      </c>
      <c r="P94" s="39" t="str">
        <f t="shared" si="8"/>
        <v/>
      </c>
      <c r="Q94" s="14"/>
      <c r="R94" s="28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</row>
    <row r="95" spans="1:440" s="3" customFormat="1" x14ac:dyDescent="0.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38" t="str">
        <f t="shared" si="6"/>
        <v/>
      </c>
      <c r="O95" s="38" t="str">
        <f t="shared" si="7"/>
        <v/>
      </c>
      <c r="P95" s="39" t="str">
        <f t="shared" si="8"/>
        <v/>
      </c>
      <c r="Q95" s="14"/>
      <c r="R95" s="28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</row>
    <row r="96" spans="1:440" s="9" customFormat="1" x14ac:dyDescent="0.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38" t="str">
        <f t="shared" si="6"/>
        <v/>
      </c>
      <c r="O96" s="38" t="str">
        <f t="shared" si="7"/>
        <v/>
      </c>
      <c r="P96" s="39" t="str">
        <f t="shared" si="8"/>
        <v/>
      </c>
      <c r="Q96" s="14"/>
      <c r="R96" s="28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</row>
    <row r="97" spans="1:440" s="3" customFormat="1" x14ac:dyDescent="0.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38" t="str">
        <f t="shared" si="6"/>
        <v/>
      </c>
      <c r="O97" s="38" t="str">
        <f t="shared" si="7"/>
        <v/>
      </c>
      <c r="P97" s="39" t="str">
        <f t="shared" si="8"/>
        <v/>
      </c>
      <c r="Q97" s="14"/>
      <c r="R97" s="28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</row>
    <row r="98" spans="1:440" s="3" customFormat="1" x14ac:dyDescent="0.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38" t="str">
        <f t="shared" si="6"/>
        <v/>
      </c>
      <c r="O98" s="38" t="str">
        <f t="shared" si="7"/>
        <v/>
      </c>
      <c r="P98" s="39" t="str">
        <f t="shared" si="8"/>
        <v/>
      </c>
      <c r="Q98" s="14"/>
      <c r="R98" s="28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</row>
    <row r="99" spans="1:440" s="4" customFormat="1" x14ac:dyDescent="0.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38" t="str">
        <f t="shared" si="6"/>
        <v/>
      </c>
      <c r="O99" s="38" t="str">
        <f t="shared" si="7"/>
        <v/>
      </c>
      <c r="P99" s="39" t="str">
        <f t="shared" si="8"/>
        <v/>
      </c>
      <c r="Q99" s="14"/>
      <c r="R99" s="28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</row>
    <row r="100" spans="1:440" s="7" customFormat="1" x14ac:dyDescent="0.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38" t="str">
        <f t="shared" ref="N100:N131" si="9">IF(AND(ISBLANK(E100),ISBLANK(F100),ISBLANK(G100),ISBLANK(H100),ISBLANK(I100),ISBLANK(J100),ISBLANK(K100),ISBLANK(L100),ISBLANK(M100)),"",SUM(F100:M100))</f>
        <v/>
      </c>
      <c r="O100" s="38" t="str">
        <f t="shared" ref="O100:O131" si="10">IF(AND(ISBLANK(E100), ISBLANK(F100), ISBLANK(G100), ISBLANK(H100), ISBLANK(I100), ISBLANK(J100), ISBLANK(K100), ISBLANK(L100), ISBLANK(M100)), "", E100-N100)</f>
        <v/>
      </c>
      <c r="P100" s="39" t="str">
        <f t="shared" ref="P100:P131" si="11">IF(AND(ISBLANK(E100),ISBLANK(F100),ISBLANK(G100),ISBLANK(H100),ISBLANK(I100),ISBLANK(J100),ISBLANK(K100),ISBLANK(L100),ISBLANK(M100)),"",N100/E100)</f>
        <v/>
      </c>
      <c r="Q100" s="14"/>
      <c r="R100" s="28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</row>
    <row r="101" spans="1:440" s="3" customFormat="1" x14ac:dyDescent="0.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38" t="str">
        <f t="shared" si="9"/>
        <v/>
      </c>
      <c r="O101" s="38" t="str">
        <f t="shared" si="10"/>
        <v/>
      </c>
      <c r="P101" s="39" t="str">
        <f t="shared" si="11"/>
        <v/>
      </c>
      <c r="Q101" s="14"/>
      <c r="R101" s="28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</row>
    <row r="102" spans="1:440" s="7" customFormat="1" x14ac:dyDescent="0.3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38" t="str">
        <f t="shared" si="9"/>
        <v/>
      </c>
      <c r="O102" s="38" t="str">
        <f t="shared" si="10"/>
        <v/>
      </c>
      <c r="P102" s="39" t="str">
        <f t="shared" si="11"/>
        <v/>
      </c>
      <c r="Q102" s="14"/>
      <c r="R102" s="28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</row>
    <row r="103" spans="1:440" s="7" customFormat="1" x14ac:dyDescent="0.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38" t="str">
        <f t="shared" si="9"/>
        <v/>
      </c>
      <c r="O103" s="38" t="str">
        <f t="shared" si="10"/>
        <v/>
      </c>
      <c r="P103" s="39" t="str">
        <f t="shared" si="11"/>
        <v/>
      </c>
      <c r="Q103" s="14"/>
      <c r="R103" s="28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</row>
    <row r="104" spans="1:440" s="5" customFormat="1" x14ac:dyDescent="0.3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38" t="str">
        <f t="shared" si="9"/>
        <v/>
      </c>
      <c r="O104" s="38" t="str">
        <f t="shared" si="10"/>
        <v/>
      </c>
      <c r="P104" s="39" t="str">
        <f t="shared" si="11"/>
        <v/>
      </c>
      <c r="Q104" s="14"/>
      <c r="R104" s="28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</row>
    <row r="105" spans="1:440" s="3" customFormat="1" x14ac:dyDescent="0.3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38" t="str">
        <f t="shared" si="9"/>
        <v/>
      </c>
      <c r="O105" s="38" t="str">
        <f t="shared" si="10"/>
        <v/>
      </c>
      <c r="P105" s="39" t="str">
        <f t="shared" si="11"/>
        <v/>
      </c>
      <c r="Q105" s="14"/>
      <c r="R105" s="28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</row>
    <row r="106" spans="1:440" s="7" customFormat="1" x14ac:dyDescent="0.3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38" t="str">
        <f t="shared" si="9"/>
        <v/>
      </c>
      <c r="O106" s="38" t="str">
        <f t="shared" si="10"/>
        <v/>
      </c>
      <c r="P106" s="39" t="str">
        <f t="shared" si="11"/>
        <v/>
      </c>
      <c r="Q106" s="14"/>
      <c r="R106" s="28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</row>
    <row r="107" spans="1:440" s="7" customFormat="1" x14ac:dyDescent="0.3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38" t="str">
        <f t="shared" si="9"/>
        <v/>
      </c>
      <c r="O107" s="38" t="str">
        <f t="shared" si="10"/>
        <v/>
      </c>
      <c r="P107" s="39" t="str">
        <f t="shared" si="11"/>
        <v/>
      </c>
      <c r="Q107" s="14"/>
      <c r="R107" s="28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</row>
    <row r="108" spans="1:440" s="3" customFormat="1" x14ac:dyDescent="0.3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38" t="str">
        <f t="shared" si="9"/>
        <v/>
      </c>
      <c r="O108" s="38" t="str">
        <f t="shared" si="10"/>
        <v/>
      </c>
      <c r="P108" s="39" t="str">
        <f t="shared" si="11"/>
        <v/>
      </c>
      <c r="Q108" s="14"/>
      <c r="R108" s="28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</row>
    <row r="109" spans="1:440" s="7" customFormat="1" x14ac:dyDescent="0.3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38" t="str">
        <f t="shared" si="9"/>
        <v/>
      </c>
      <c r="O109" s="38" t="str">
        <f t="shared" si="10"/>
        <v/>
      </c>
      <c r="P109" s="39" t="str">
        <f t="shared" si="11"/>
        <v/>
      </c>
      <c r="Q109" s="14"/>
      <c r="R109" s="28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</row>
    <row r="110" spans="1:440" s="3" customFormat="1" x14ac:dyDescent="0.3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38" t="str">
        <f t="shared" si="9"/>
        <v/>
      </c>
      <c r="O110" s="38" t="str">
        <f t="shared" si="10"/>
        <v/>
      </c>
      <c r="P110" s="39" t="str">
        <f t="shared" si="11"/>
        <v/>
      </c>
      <c r="Q110" s="14"/>
      <c r="R110" s="28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</row>
    <row r="111" spans="1:440" s="3" customFormat="1" x14ac:dyDescent="0.3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38" t="str">
        <f t="shared" si="9"/>
        <v/>
      </c>
      <c r="O111" s="38" t="str">
        <f t="shared" si="10"/>
        <v/>
      </c>
      <c r="P111" s="39" t="str">
        <f t="shared" si="11"/>
        <v/>
      </c>
      <c r="Q111" s="14"/>
      <c r="R111" s="28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</row>
    <row r="112" spans="1:440" s="3" customFormat="1" x14ac:dyDescent="0.3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38" t="str">
        <f t="shared" si="9"/>
        <v/>
      </c>
      <c r="O112" s="38" t="str">
        <f t="shared" si="10"/>
        <v/>
      </c>
      <c r="P112" s="39" t="str">
        <f t="shared" si="11"/>
        <v/>
      </c>
      <c r="Q112" s="14"/>
      <c r="R112" s="28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</row>
    <row r="113" spans="1:440" s="7" customFormat="1" x14ac:dyDescent="0.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38" t="str">
        <f t="shared" si="9"/>
        <v/>
      </c>
      <c r="O113" s="38" t="str">
        <f t="shared" si="10"/>
        <v/>
      </c>
      <c r="P113" s="39" t="str">
        <f t="shared" si="11"/>
        <v/>
      </c>
      <c r="Q113" s="14"/>
      <c r="R113" s="28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</row>
    <row r="114" spans="1:440" s="7" customFormat="1" x14ac:dyDescent="0.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38" t="str">
        <f t="shared" si="9"/>
        <v/>
      </c>
      <c r="O114" s="38" t="str">
        <f t="shared" si="10"/>
        <v/>
      </c>
      <c r="P114" s="39" t="str">
        <f t="shared" si="11"/>
        <v/>
      </c>
      <c r="Q114" s="14"/>
      <c r="R114" s="28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</row>
    <row r="115" spans="1:440" s="3" customFormat="1" x14ac:dyDescent="0.3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38" t="str">
        <f t="shared" si="9"/>
        <v/>
      </c>
      <c r="O115" s="38" t="str">
        <f t="shared" si="10"/>
        <v/>
      </c>
      <c r="P115" s="39" t="str">
        <f t="shared" si="11"/>
        <v/>
      </c>
      <c r="Q115" s="14"/>
      <c r="R115" s="28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</row>
    <row r="116" spans="1:440" s="3" customFormat="1" x14ac:dyDescent="0.3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38" t="str">
        <f t="shared" si="9"/>
        <v/>
      </c>
      <c r="O116" s="38" t="str">
        <f t="shared" si="10"/>
        <v/>
      </c>
      <c r="P116" s="39" t="str">
        <f t="shared" si="11"/>
        <v/>
      </c>
      <c r="Q116" s="14"/>
      <c r="R116" s="28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</row>
    <row r="117" spans="1:440" s="3" customFormat="1" x14ac:dyDescent="0.3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38" t="str">
        <f t="shared" si="9"/>
        <v/>
      </c>
      <c r="O117" s="38" t="str">
        <f t="shared" si="10"/>
        <v/>
      </c>
      <c r="P117" s="39" t="str">
        <f t="shared" si="11"/>
        <v/>
      </c>
      <c r="Q117" s="14"/>
      <c r="R117" s="28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</row>
    <row r="118" spans="1:440" s="3" customFormat="1" x14ac:dyDescent="0.3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38" t="str">
        <f t="shared" si="9"/>
        <v/>
      </c>
      <c r="O118" s="38" t="str">
        <f t="shared" si="10"/>
        <v/>
      </c>
      <c r="P118" s="39" t="str">
        <f t="shared" si="11"/>
        <v/>
      </c>
      <c r="Q118" s="14"/>
      <c r="R118" s="28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</row>
    <row r="119" spans="1:440" s="7" customFormat="1" x14ac:dyDescent="0.3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38" t="str">
        <f t="shared" si="9"/>
        <v/>
      </c>
      <c r="O119" s="38" t="str">
        <f t="shared" si="10"/>
        <v/>
      </c>
      <c r="P119" s="39" t="str">
        <f t="shared" si="11"/>
        <v/>
      </c>
      <c r="Q119" s="14"/>
      <c r="R119" s="28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</row>
    <row r="120" spans="1:440" s="7" customFormat="1" x14ac:dyDescent="0.3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38" t="str">
        <f t="shared" si="9"/>
        <v/>
      </c>
      <c r="O120" s="38" t="str">
        <f t="shared" si="10"/>
        <v/>
      </c>
      <c r="P120" s="39" t="str">
        <f t="shared" si="11"/>
        <v/>
      </c>
      <c r="Q120" s="14"/>
      <c r="R120" s="28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</row>
    <row r="121" spans="1:440" s="3" customFormat="1" x14ac:dyDescent="0.3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38" t="str">
        <f t="shared" si="9"/>
        <v/>
      </c>
      <c r="O121" s="38" t="str">
        <f t="shared" si="10"/>
        <v/>
      </c>
      <c r="P121" s="39" t="str">
        <f t="shared" si="11"/>
        <v/>
      </c>
      <c r="Q121" s="14"/>
      <c r="R121" s="28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</row>
    <row r="122" spans="1:440" s="3" customFormat="1" x14ac:dyDescent="0.3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38" t="str">
        <f t="shared" si="9"/>
        <v/>
      </c>
      <c r="O122" s="38" t="str">
        <f t="shared" si="10"/>
        <v/>
      </c>
      <c r="P122" s="39" t="str">
        <f t="shared" si="11"/>
        <v/>
      </c>
      <c r="Q122" s="14"/>
      <c r="R122" s="28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</row>
    <row r="123" spans="1:440" s="7" customFormat="1" x14ac:dyDescent="0.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38" t="str">
        <f t="shared" si="9"/>
        <v/>
      </c>
      <c r="O123" s="38" t="str">
        <f t="shared" si="10"/>
        <v/>
      </c>
      <c r="P123" s="39" t="str">
        <f t="shared" si="11"/>
        <v/>
      </c>
      <c r="Q123" s="14"/>
      <c r="R123" s="28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</row>
    <row r="124" spans="1:440" s="3" customFormat="1" x14ac:dyDescent="0.3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38" t="str">
        <f t="shared" si="9"/>
        <v/>
      </c>
      <c r="O124" s="38" t="str">
        <f t="shared" si="10"/>
        <v/>
      </c>
      <c r="P124" s="39" t="str">
        <f t="shared" si="11"/>
        <v/>
      </c>
      <c r="Q124" s="14"/>
      <c r="R124" s="28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</row>
    <row r="125" spans="1:440" s="3" customFormat="1" x14ac:dyDescent="0.3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38" t="str">
        <f t="shared" si="9"/>
        <v/>
      </c>
      <c r="O125" s="38" t="str">
        <f t="shared" si="10"/>
        <v/>
      </c>
      <c r="P125" s="39" t="str">
        <f t="shared" si="11"/>
        <v/>
      </c>
      <c r="Q125" s="14"/>
      <c r="R125" s="28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</row>
    <row r="126" spans="1:440" s="3" customFormat="1" x14ac:dyDescent="0.3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38" t="str">
        <f t="shared" si="9"/>
        <v/>
      </c>
      <c r="O126" s="38" t="str">
        <f t="shared" si="10"/>
        <v/>
      </c>
      <c r="P126" s="39" t="str">
        <f t="shared" si="11"/>
        <v/>
      </c>
      <c r="Q126" s="14"/>
      <c r="R126" s="28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</row>
    <row r="127" spans="1:440" s="3" customFormat="1" x14ac:dyDescent="0.3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38" t="str">
        <f t="shared" si="9"/>
        <v/>
      </c>
      <c r="O127" s="38" t="str">
        <f t="shared" si="10"/>
        <v/>
      </c>
      <c r="P127" s="39" t="str">
        <f t="shared" si="11"/>
        <v/>
      </c>
      <c r="Q127" s="14"/>
      <c r="R127" s="28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</row>
    <row r="128" spans="1:440" s="7" customFormat="1" x14ac:dyDescent="0.3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38" t="str">
        <f t="shared" si="9"/>
        <v/>
      </c>
      <c r="O128" s="38" t="str">
        <f t="shared" si="10"/>
        <v/>
      </c>
      <c r="P128" s="39" t="str">
        <f t="shared" si="11"/>
        <v/>
      </c>
      <c r="Q128" s="14"/>
      <c r="R128" s="28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</row>
    <row r="129" spans="1:440" s="11" customFormat="1" x14ac:dyDescent="0.3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38" t="str">
        <f t="shared" si="9"/>
        <v/>
      </c>
      <c r="O129" s="38" t="str">
        <f t="shared" si="10"/>
        <v/>
      </c>
      <c r="P129" s="39" t="str">
        <f t="shared" si="11"/>
        <v/>
      </c>
      <c r="Q129" s="14"/>
      <c r="R129" s="28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</row>
    <row r="130" spans="1:440" s="3" customFormat="1" x14ac:dyDescent="0.3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38" t="str">
        <f t="shared" si="9"/>
        <v/>
      </c>
      <c r="O130" s="38" t="str">
        <f t="shared" si="10"/>
        <v/>
      </c>
      <c r="P130" s="39" t="str">
        <f t="shared" si="11"/>
        <v/>
      </c>
      <c r="Q130" s="14"/>
      <c r="R130" s="28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</row>
    <row r="131" spans="1:440" s="7" customFormat="1" x14ac:dyDescent="0.3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38" t="str">
        <f t="shared" si="9"/>
        <v/>
      </c>
      <c r="O131" s="38" t="str">
        <f t="shared" si="10"/>
        <v/>
      </c>
      <c r="P131" s="39" t="str">
        <f t="shared" si="11"/>
        <v/>
      </c>
      <c r="Q131" s="14"/>
      <c r="R131" s="28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</row>
    <row r="132" spans="1:440" s="3" customFormat="1" x14ac:dyDescent="0.3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38" t="str">
        <f t="shared" ref="N132:N163" si="12">IF(AND(ISBLANK(E132),ISBLANK(F132),ISBLANK(G132),ISBLANK(H132),ISBLANK(I132),ISBLANK(J132),ISBLANK(K132),ISBLANK(L132),ISBLANK(M132)),"",SUM(F132:M132))</f>
        <v/>
      </c>
      <c r="O132" s="38" t="str">
        <f t="shared" ref="O132:O163" si="13">IF(AND(ISBLANK(E132), ISBLANK(F132), ISBLANK(G132), ISBLANK(H132), ISBLANK(I132), ISBLANK(J132), ISBLANK(K132), ISBLANK(L132), ISBLANK(M132)), "", E132-N132)</f>
        <v/>
      </c>
      <c r="P132" s="39" t="str">
        <f t="shared" ref="P132:P163" si="14">IF(AND(ISBLANK(E132),ISBLANK(F132),ISBLANK(G132),ISBLANK(H132),ISBLANK(I132),ISBLANK(J132),ISBLANK(K132),ISBLANK(L132),ISBLANK(M132)),"",N132/E132)</f>
        <v/>
      </c>
      <c r="Q132" s="14"/>
      <c r="R132" s="28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</row>
    <row r="133" spans="1:440" s="3" customFormat="1" x14ac:dyDescent="0.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38" t="str">
        <f t="shared" si="12"/>
        <v/>
      </c>
      <c r="O133" s="38" t="str">
        <f t="shared" si="13"/>
        <v/>
      </c>
      <c r="P133" s="39" t="str">
        <f t="shared" si="14"/>
        <v/>
      </c>
      <c r="Q133" s="14"/>
      <c r="R133" s="28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</row>
    <row r="134" spans="1:440" s="3" customFormat="1" x14ac:dyDescent="0.3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38" t="str">
        <f t="shared" si="12"/>
        <v/>
      </c>
      <c r="O134" s="38" t="str">
        <f t="shared" si="13"/>
        <v/>
      </c>
      <c r="P134" s="39" t="str">
        <f t="shared" si="14"/>
        <v/>
      </c>
      <c r="Q134" s="14"/>
      <c r="R134" s="28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</row>
    <row r="135" spans="1:440" s="3" customFormat="1" x14ac:dyDescent="0.3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38" t="str">
        <f t="shared" si="12"/>
        <v/>
      </c>
      <c r="O135" s="38" t="str">
        <f t="shared" si="13"/>
        <v/>
      </c>
      <c r="P135" s="39" t="str">
        <f t="shared" si="14"/>
        <v/>
      </c>
      <c r="Q135" s="14"/>
      <c r="R135" s="28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</row>
    <row r="136" spans="1:440" s="3" customFormat="1" x14ac:dyDescent="0.3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38" t="str">
        <f t="shared" si="12"/>
        <v/>
      </c>
      <c r="O136" s="38" t="str">
        <f t="shared" si="13"/>
        <v/>
      </c>
      <c r="P136" s="39" t="str">
        <f t="shared" si="14"/>
        <v/>
      </c>
      <c r="Q136" s="14"/>
      <c r="R136" s="28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</row>
    <row r="137" spans="1:440" s="7" customFormat="1" x14ac:dyDescent="0.3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38" t="str">
        <f t="shared" si="12"/>
        <v/>
      </c>
      <c r="O137" s="38" t="str">
        <f t="shared" si="13"/>
        <v/>
      </c>
      <c r="P137" s="39" t="str">
        <f t="shared" si="14"/>
        <v/>
      </c>
      <c r="Q137" s="14"/>
      <c r="R137" s="28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</row>
    <row r="138" spans="1:440" s="3" customFormat="1" x14ac:dyDescent="0.3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38" t="str">
        <f t="shared" si="12"/>
        <v/>
      </c>
      <c r="O138" s="38" t="str">
        <f t="shared" si="13"/>
        <v/>
      </c>
      <c r="P138" s="39" t="str">
        <f t="shared" si="14"/>
        <v/>
      </c>
      <c r="Q138" s="14"/>
      <c r="R138" s="28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</row>
    <row r="139" spans="1:440" s="3" customFormat="1" x14ac:dyDescent="0.3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38" t="str">
        <f t="shared" si="12"/>
        <v/>
      </c>
      <c r="O139" s="38" t="str">
        <f t="shared" si="13"/>
        <v/>
      </c>
      <c r="P139" s="39" t="str">
        <f t="shared" si="14"/>
        <v/>
      </c>
      <c r="Q139" s="14"/>
      <c r="R139" s="28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</row>
    <row r="140" spans="1:440" s="6" customFormat="1" x14ac:dyDescent="0.3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38" t="str">
        <f t="shared" si="12"/>
        <v/>
      </c>
      <c r="O140" s="38" t="str">
        <f t="shared" si="13"/>
        <v/>
      </c>
      <c r="P140" s="39" t="str">
        <f t="shared" si="14"/>
        <v/>
      </c>
      <c r="Q140" s="14"/>
      <c r="R140" s="28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</row>
    <row r="141" spans="1:440" s="10" customFormat="1" x14ac:dyDescent="0.3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38" t="str">
        <f t="shared" si="12"/>
        <v/>
      </c>
      <c r="O141" s="38" t="str">
        <f t="shared" si="13"/>
        <v/>
      </c>
      <c r="P141" s="39" t="str">
        <f t="shared" si="14"/>
        <v/>
      </c>
      <c r="Q141" s="14"/>
      <c r="R141" s="28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</row>
    <row r="142" spans="1:440" s="7" customFormat="1" x14ac:dyDescent="0.3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38" t="str">
        <f t="shared" si="12"/>
        <v/>
      </c>
      <c r="O142" s="38" t="str">
        <f t="shared" si="13"/>
        <v/>
      </c>
      <c r="P142" s="39" t="str">
        <f t="shared" si="14"/>
        <v/>
      </c>
      <c r="Q142" s="14"/>
      <c r="R142" s="28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</row>
    <row r="143" spans="1:440" s="7" customFormat="1" x14ac:dyDescent="0.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38" t="str">
        <f t="shared" si="12"/>
        <v/>
      </c>
      <c r="O143" s="38" t="str">
        <f t="shared" si="13"/>
        <v/>
      </c>
      <c r="P143" s="39" t="str">
        <f t="shared" si="14"/>
        <v/>
      </c>
      <c r="Q143" s="14"/>
      <c r="R143" s="28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</row>
    <row r="144" spans="1:440" s="3" customFormat="1" x14ac:dyDescent="0.3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38" t="str">
        <f t="shared" si="12"/>
        <v/>
      </c>
      <c r="O144" s="38" t="str">
        <f t="shared" si="13"/>
        <v/>
      </c>
      <c r="P144" s="39" t="str">
        <f t="shared" si="14"/>
        <v/>
      </c>
      <c r="Q144" s="14"/>
      <c r="R144" s="28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</row>
    <row r="145" spans="1:440" s="3" customFormat="1" x14ac:dyDescent="0.3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38" t="str">
        <f t="shared" si="12"/>
        <v/>
      </c>
      <c r="O145" s="38" t="str">
        <f t="shared" si="13"/>
        <v/>
      </c>
      <c r="P145" s="39" t="str">
        <f t="shared" si="14"/>
        <v/>
      </c>
      <c r="Q145" s="14"/>
      <c r="R145" s="28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</row>
    <row r="146" spans="1:440" s="3" customFormat="1" x14ac:dyDescent="0.3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38" t="str">
        <f t="shared" si="12"/>
        <v/>
      </c>
      <c r="O146" s="38" t="str">
        <f t="shared" si="13"/>
        <v/>
      </c>
      <c r="P146" s="39" t="str">
        <f t="shared" si="14"/>
        <v/>
      </c>
      <c r="Q146" s="14"/>
      <c r="R146" s="28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</row>
    <row r="147" spans="1:440" s="3" customFormat="1" x14ac:dyDescent="0.3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38" t="str">
        <f t="shared" si="12"/>
        <v/>
      </c>
      <c r="O147" s="38" t="str">
        <f t="shared" si="13"/>
        <v/>
      </c>
      <c r="P147" s="39" t="str">
        <f t="shared" si="14"/>
        <v/>
      </c>
      <c r="Q147" s="14"/>
      <c r="R147" s="28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</row>
    <row r="148" spans="1:440" s="3" customFormat="1" x14ac:dyDescent="0.3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38" t="str">
        <f t="shared" si="12"/>
        <v/>
      </c>
      <c r="O148" s="38" t="str">
        <f t="shared" si="13"/>
        <v/>
      </c>
      <c r="P148" s="39" t="str">
        <f t="shared" si="14"/>
        <v/>
      </c>
      <c r="Q148" s="14"/>
      <c r="R148" s="28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</row>
    <row r="149" spans="1:440" s="3" customFormat="1" x14ac:dyDescent="0.3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38" t="str">
        <f t="shared" si="12"/>
        <v/>
      </c>
      <c r="O149" s="38" t="str">
        <f t="shared" si="13"/>
        <v/>
      </c>
      <c r="P149" s="39" t="str">
        <f t="shared" si="14"/>
        <v/>
      </c>
      <c r="Q149" s="14"/>
      <c r="R149" s="28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</row>
    <row r="150" spans="1:440" s="3" customFormat="1" x14ac:dyDescent="0.3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38" t="str">
        <f t="shared" si="12"/>
        <v/>
      </c>
      <c r="O150" s="38" t="str">
        <f t="shared" si="13"/>
        <v/>
      </c>
      <c r="P150" s="39" t="str">
        <f t="shared" si="14"/>
        <v/>
      </c>
      <c r="Q150" s="14"/>
      <c r="R150" s="28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</row>
    <row r="151" spans="1:440" s="3" customFormat="1" x14ac:dyDescent="0.3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38" t="str">
        <f t="shared" si="12"/>
        <v/>
      </c>
      <c r="O151" s="38" t="str">
        <f t="shared" si="13"/>
        <v/>
      </c>
      <c r="P151" s="39" t="str">
        <f t="shared" si="14"/>
        <v/>
      </c>
      <c r="Q151" s="14"/>
      <c r="R151" s="28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</row>
    <row r="152" spans="1:440" s="3" customFormat="1" x14ac:dyDescent="0.3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38" t="str">
        <f t="shared" si="12"/>
        <v/>
      </c>
      <c r="O152" s="38" t="str">
        <f t="shared" si="13"/>
        <v/>
      </c>
      <c r="P152" s="39" t="str">
        <f t="shared" si="14"/>
        <v/>
      </c>
      <c r="Q152" s="14"/>
      <c r="R152" s="28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</row>
    <row r="153" spans="1:440" s="7" customFormat="1" x14ac:dyDescent="0.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38" t="str">
        <f t="shared" si="12"/>
        <v/>
      </c>
      <c r="O153" s="38" t="str">
        <f t="shared" si="13"/>
        <v/>
      </c>
      <c r="P153" s="39" t="str">
        <f t="shared" si="14"/>
        <v/>
      </c>
      <c r="Q153" s="14"/>
      <c r="R153" s="28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</row>
    <row r="154" spans="1:440" s="12" customFormat="1" ht="15.75" x14ac:dyDescent="0.25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38" t="str">
        <f t="shared" si="12"/>
        <v/>
      </c>
      <c r="O154" s="38" t="str">
        <f t="shared" si="13"/>
        <v/>
      </c>
      <c r="P154" s="39" t="str">
        <f t="shared" si="14"/>
        <v/>
      </c>
      <c r="Q154" s="14"/>
      <c r="R154" s="28"/>
    </row>
    <row r="155" spans="1:440" x14ac:dyDescent="0.3">
      <c r="C155" s="15"/>
      <c r="N155" s="38" t="str">
        <f t="shared" si="12"/>
        <v/>
      </c>
      <c r="O155" s="38" t="str">
        <f t="shared" si="13"/>
        <v/>
      </c>
      <c r="P155" s="39" t="str">
        <f t="shared" si="14"/>
        <v/>
      </c>
      <c r="Q155" s="15"/>
      <c r="R155" s="41"/>
      <c r="S155" s="5"/>
      <c r="T155" s="5"/>
      <c r="U155" s="5"/>
      <c r="V155" s="5"/>
      <c r="W155" s="5"/>
      <c r="X155" s="5"/>
      <c r="Y155" s="5"/>
      <c r="Z155" s="5"/>
    </row>
    <row r="156" spans="1:440" x14ac:dyDescent="0.3">
      <c r="C156" s="15"/>
      <c r="N156" s="38" t="str">
        <f t="shared" si="12"/>
        <v/>
      </c>
      <c r="O156" s="38" t="str">
        <f t="shared" si="13"/>
        <v/>
      </c>
      <c r="P156" s="39" t="str">
        <f t="shared" si="14"/>
        <v/>
      </c>
      <c r="Q156" s="15"/>
      <c r="R156" s="41"/>
      <c r="S156" s="5"/>
      <c r="T156" s="5"/>
      <c r="U156" s="5"/>
      <c r="V156" s="5"/>
      <c r="W156" s="5"/>
      <c r="X156" s="5"/>
      <c r="Y156" s="5"/>
      <c r="Z156" s="5"/>
    </row>
    <row r="157" spans="1:440" x14ac:dyDescent="0.3">
      <c r="C157" s="15"/>
      <c r="N157" s="38" t="str">
        <f t="shared" si="12"/>
        <v/>
      </c>
      <c r="O157" s="38" t="str">
        <f t="shared" si="13"/>
        <v/>
      </c>
      <c r="P157" s="39" t="str">
        <f t="shared" si="14"/>
        <v/>
      </c>
      <c r="Q157" s="15"/>
      <c r="R157" s="41"/>
      <c r="S157" s="5"/>
      <c r="T157" s="5"/>
      <c r="U157" s="5"/>
      <c r="V157" s="5"/>
      <c r="W157" s="5"/>
      <c r="X157" s="5"/>
      <c r="Y157" s="5"/>
      <c r="Z157" s="5"/>
    </row>
    <row r="158" spans="1:440" x14ac:dyDescent="0.3">
      <c r="C158" s="15"/>
      <c r="N158" s="38" t="str">
        <f t="shared" si="12"/>
        <v/>
      </c>
      <c r="O158" s="38" t="str">
        <f t="shared" si="13"/>
        <v/>
      </c>
      <c r="P158" s="39" t="str">
        <f t="shared" si="14"/>
        <v/>
      </c>
      <c r="Q158" s="15"/>
      <c r="R158" s="41"/>
      <c r="S158" s="5"/>
      <c r="T158" s="5"/>
      <c r="U158" s="5"/>
      <c r="V158" s="5"/>
      <c r="W158" s="5"/>
      <c r="X158" s="5"/>
      <c r="Y158" s="5"/>
      <c r="Z158" s="5"/>
    </row>
    <row r="159" spans="1:440" x14ac:dyDescent="0.3">
      <c r="C159" s="15"/>
      <c r="N159" s="38" t="str">
        <f t="shared" si="12"/>
        <v/>
      </c>
      <c r="O159" s="38" t="str">
        <f t="shared" si="13"/>
        <v/>
      </c>
      <c r="P159" s="39" t="str">
        <f t="shared" si="14"/>
        <v/>
      </c>
      <c r="Q159" s="15"/>
      <c r="R159" s="41"/>
      <c r="S159" s="5"/>
      <c r="T159" s="5"/>
      <c r="U159" s="5"/>
      <c r="V159" s="5"/>
      <c r="W159" s="5"/>
      <c r="X159" s="5"/>
      <c r="Y159" s="5"/>
      <c r="Z159" s="5"/>
    </row>
    <row r="160" spans="1:440" x14ac:dyDescent="0.3">
      <c r="C160" s="15"/>
      <c r="N160" s="38" t="str">
        <f t="shared" si="12"/>
        <v/>
      </c>
      <c r="O160" s="38" t="str">
        <f t="shared" si="13"/>
        <v/>
      </c>
      <c r="P160" s="39" t="str">
        <f t="shared" si="14"/>
        <v/>
      </c>
      <c r="Q160" s="15"/>
      <c r="R160" s="41"/>
      <c r="S160" s="5"/>
      <c r="T160" s="5"/>
      <c r="U160" s="5"/>
      <c r="V160" s="5"/>
      <c r="W160" s="5"/>
      <c r="X160" s="5"/>
      <c r="Y160" s="5"/>
      <c r="Z160" s="5"/>
    </row>
    <row r="161" spans="1:440" s="16" customFormat="1" x14ac:dyDescent="0.3">
      <c r="A161" s="13"/>
      <c r="I161" s="17"/>
      <c r="N161" s="38" t="str">
        <f t="shared" si="12"/>
        <v/>
      </c>
      <c r="O161" s="38" t="str">
        <f t="shared" si="13"/>
        <v/>
      </c>
      <c r="P161" s="39" t="str">
        <f t="shared" si="14"/>
        <v/>
      </c>
      <c r="R161" s="40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</row>
    <row r="162" spans="1:440" s="16" customFormat="1" x14ac:dyDescent="0.3">
      <c r="A162" s="13"/>
      <c r="I162" s="17"/>
      <c r="N162" s="38" t="str">
        <f t="shared" si="12"/>
        <v/>
      </c>
      <c r="O162" s="38" t="str">
        <f t="shared" si="13"/>
        <v/>
      </c>
      <c r="P162" s="39" t="str">
        <f t="shared" si="14"/>
        <v/>
      </c>
      <c r="R162" s="40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</row>
    <row r="163" spans="1:440" s="16" customFormat="1" x14ac:dyDescent="0.3">
      <c r="A163" s="13"/>
      <c r="I163" s="17"/>
      <c r="N163" s="38" t="str">
        <f t="shared" si="12"/>
        <v/>
      </c>
      <c r="O163" s="38" t="str">
        <f t="shared" si="13"/>
        <v/>
      </c>
      <c r="P163" s="39" t="str">
        <f t="shared" si="14"/>
        <v/>
      </c>
      <c r="R163" s="40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</row>
    <row r="164" spans="1:440" s="16" customFormat="1" x14ac:dyDescent="0.3">
      <c r="A164" s="13"/>
      <c r="I164" s="17"/>
      <c r="N164" s="38" t="str">
        <f t="shared" ref="N164:N195" si="15">IF(AND(ISBLANK(E164),ISBLANK(F164),ISBLANK(G164),ISBLANK(H164),ISBLANK(I164),ISBLANK(J164),ISBLANK(K164),ISBLANK(L164),ISBLANK(M164)),"",SUM(F164:M164))</f>
        <v/>
      </c>
      <c r="O164" s="38" t="str">
        <f t="shared" ref="O164:O195" si="16">IF(AND(ISBLANK(E164), ISBLANK(F164), ISBLANK(G164), ISBLANK(H164), ISBLANK(I164), ISBLANK(J164), ISBLANK(K164), ISBLANK(L164), ISBLANK(M164)), "", E164-N164)</f>
        <v/>
      </c>
      <c r="P164" s="39" t="str">
        <f t="shared" ref="P164:P195" si="17">IF(AND(ISBLANK(E164),ISBLANK(F164),ISBLANK(G164),ISBLANK(H164),ISBLANK(I164),ISBLANK(J164),ISBLANK(K164),ISBLANK(L164),ISBLANK(M164)),"",N164/E164)</f>
        <v/>
      </c>
      <c r="R164" s="40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</row>
    <row r="165" spans="1:440" s="16" customFormat="1" x14ac:dyDescent="0.3">
      <c r="A165" s="13"/>
      <c r="I165" s="17"/>
      <c r="N165" s="38" t="str">
        <f t="shared" si="15"/>
        <v/>
      </c>
      <c r="O165" s="38" t="str">
        <f t="shared" si="16"/>
        <v/>
      </c>
      <c r="P165" s="39" t="str">
        <f t="shared" si="17"/>
        <v/>
      </c>
      <c r="R165" s="40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</row>
    <row r="166" spans="1:440" s="16" customFormat="1" x14ac:dyDescent="0.3">
      <c r="A166" s="13"/>
      <c r="I166" s="17"/>
      <c r="N166" s="38" t="str">
        <f t="shared" si="15"/>
        <v/>
      </c>
      <c r="O166" s="38" t="str">
        <f t="shared" si="16"/>
        <v/>
      </c>
      <c r="P166" s="39" t="str">
        <f t="shared" si="17"/>
        <v/>
      </c>
      <c r="R166" s="40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</row>
    <row r="167" spans="1:440" s="16" customFormat="1" x14ac:dyDescent="0.3">
      <c r="A167" s="13"/>
      <c r="I167" s="17"/>
      <c r="N167" s="38" t="str">
        <f t="shared" si="15"/>
        <v/>
      </c>
      <c r="O167" s="38" t="str">
        <f t="shared" si="16"/>
        <v/>
      </c>
      <c r="P167" s="39" t="str">
        <f t="shared" si="17"/>
        <v/>
      </c>
      <c r="R167" s="40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</row>
    <row r="168" spans="1:440" s="16" customFormat="1" x14ac:dyDescent="0.3">
      <c r="A168" s="13"/>
      <c r="I168" s="17"/>
      <c r="N168" s="38" t="str">
        <f t="shared" si="15"/>
        <v/>
      </c>
      <c r="O168" s="38" t="str">
        <f t="shared" si="16"/>
        <v/>
      </c>
      <c r="P168" s="39" t="str">
        <f t="shared" si="17"/>
        <v/>
      </c>
      <c r="R168" s="40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</row>
    <row r="169" spans="1:440" s="16" customFormat="1" x14ac:dyDescent="0.3">
      <c r="A169" s="13"/>
      <c r="I169" s="17"/>
      <c r="N169" s="38" t="str">
        <f t="shared" si="15"/>
        <v/>
      </c>
      <c r="O169" s="38" t="str">
        <f t="shared" si="16"/>
        <v/>
      </c>
      <c r="P169" s="39" t="str">
        <f t="shared" si="17"/>
        <v/>
      </c>
      <c r="R169" s="40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</row>
    <row r="170" spans="1:440" s="16" customFormat="1" x14ac:dyDescent="0.3">
      <c r="A170" s="13"/>
      <c r="I170" s="17"/>
      <c r="N170" s="38" t="str">
        <f t="shared" si="15"/>
        <v/>
      </c>
      <c r="O170" s="38" t="str">
        <f t="shared" si="16"/>
        <v/>
      </c>
      <c r="P170" s="39" t="str">
        <f t="shared" si="17"/>
        <v/>
      </c>
      <c r="R170" s="40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</row>
    <row r="171" spans="1:440" s="16" customFormat="1" x14ac:dyDescent="0.3">
      <c r="A171" s="13"/>
      <c r="I171" s="17"/>
      <c r="N171" s="38" t="str">
        <f t="shared" si="15"/>
        <v/>
      </c>
      <c r="O171" s="38" t="str">
        <f t="shared" si="16"/>
        <v/>
      </c>
      <c r="P171" s="39" t="str">
        <f t="shared" si="17"/>
        <v/>
      </c>
      <c r="R171" s="40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</row>
    <row r="172" spans="1:440" s="16" customFormat="1" x14ac:dyDescent="0.3">
      <c r="A172" s="13"/>
      <c r="I172" s="17"/>
      <c r="N172" s="38" t="str">
        <f t="shared" si="15"/>
        <v/>
      </c>
      <c r="O172" s="38" t="str">
        <f t="shared" si="16"/>
        <v/>
      </c>
      <c r="P172" s="39" t="str">
        <f t="shared" si="17"/>
        <v/>
      </c>
      <c r="R172" s="40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</row>
    <row r="173" spans="1:440" s="16" customFormat="1" x14ac:dyDescent="0.3">
      <c r="A173" s="13"/>
      <c r="I173" s="17"/>
      <c r="N173" s="38" t="str">
        <f t="shared" si="15"/>
        <v/>
      </c>
      <c r="O173" s="38" t="str">
        <f t="shared" si="16"/>
        <v/>
      </c>
      <c r="P173" s="39" t="str">
        <f t="shared" si="17"/>
        <v/>
      </c>
      <c r="R173" s="40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</row>
    <row r="174" spans="1:440" s="16" customFormat="1" x14ac:dyDescent="0.3">
      <c r="A174" s="13"/>
      <c r="I174" s="17"/>
      <c r="N174" s="38" t="str">
        <f t="shared" si="15"/>
        <v/>
      </c>
      <c r="O174" s="38" t="str">
        <f t="shared" si="16"/>
        <v/>
      </c>
      <c r="P174" s="39" t="str">
        <f t="shared" si="17"/>
        <v/>
      </c>
      <c r="R174" s="40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</row>
    <row r="175" spans="1:440" s="16" customFormat="1" x14ac:dyDescent="0.3">
      <c r="A175" s="13"/>
      <c r="I175" s="17"/>
      <c r="N175" s="38" t="str">
        <f t="shared" si="15"/>
        <v/>
      </c>
      <c r="O175" s="38" t="str">
        <f t="shared" si="16"/>
        <v/>
      </c>
      <c r="P175" s="39" t="str">
        <f t="shared" si="17"/>
        <v/>
      </c>
      <c r="R175" s="40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</row>
    <row r="176" spans="1:440" s="16" customFormat="1" x14ac:dyDescent="0.3">
      <c r="A176" s="13"/>
      <c r="I176" s="17"/>
      <c r="N176" s="38" t="str">
        <f t="shared" si="15"/>
        <v/>
      </c>
      <c r="O176" s="38" t="str">
        <f t="shared" si="16"/>
        <v/>
      </c>
      <c r="P176" s="39" t="str">
        <f t="shared" si="17"/>
        <v/>
      </c>
      <c r="R176" s="40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</row>
    <row r="177" spans="1:440" s="16" customFormat="1" x14ac:dyDescent="0.3">
      <c r="A177" s="13"/>
      <c r="I177" s="17"/>
      <c r="N177" s="38" t="str">
        <f t="shared" si="15"/>
        <v/>
      </c>
      <c r="O177" s="38" t="str">
        <f t="shared" si="16"/>
        <v/>
      </c>
      <c r="P177" s="39" t="str">
        <f t="shared" si="17"/>
        <v/>
      </c>
      <c r="R177" s="40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</row>
    <row r="178" spans="1:440" s="16" customFormat="1" x14ac:dyDescent="0.3">
      <c r="A178" s="13"/>
      <c r="I178" s="17"/>
      <c r="N178" s="38" t="str">
        <f t="shared" si="15"/>
        <v/>
      </c>
      <c r="O178" s="38" t="str">
        <f t="shared" si="16"/>
        <v/>
      </c>
      <c r="P178" s="39" t="str">
        <f t="shared" si="17"/>
        <v/>
      </c>
      <c r="R178" s="40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</row>
    <row r="179" spans="1:440" s="16" customFormat="1" x14ac:dyDescent="0.3">
      <c r="A179" s="13"/>
      <c r="I179" s="17"/>
      <c r="N179" s="38" t="str">
        <f t="shared" si="15"/>
        <v/>
      </c>
      <c r="O179" s="38" t="str">
        <f t="shared" si="16"/>
        <v/>
      </c>
      <c r="P179" s="39" t="str">
        <f t="shared" si="17"/>
        <v/>
      </c>
      <c r="R179" s="40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</row>
    <row r="180" spans="1:440" s="16" customFormat="1" x14ac:dyDescent="0.3">
      <c r="A180" s="13"/>
      <c r="I180" s="17"/>
      <c r="N180" s="38" t="str">
        <f t="shared" si="15"/>
        <v/>
      </c>
      <c r="O180" s="38" t="str">
        <f t="shared" si="16"/>
        <v/>
      </c>
      <c r="P180" s="39" t="str">
        <f t="shared" si="17"/>
        <v/>
      </c>
      <c r="R180" s="40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</row>
    <row r="181" spans="1:440" s="16" customFormat="1" x14ac:dyDescent="0.3">
      <c r="A181" s="13"/>
      <c r="I181" s="17"/>
      <c r="N181" s="38" t="str">
        <f t="shared" si="15"/>
        <v/>
      </c>
      <c r="O181" s="38" t="str">
        <f t="shared" si="16"/>
        <v/>
      </c>
      <c r="P181" s="39" t="str">
        <f t="shared" si="17"/>
        <v/>
      </c>
      <c r="R181" s="40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</row>
    <row r="182" spans="1:440" s="16" customFormat="1" x14ac:dyDescent="0.3">
      <c r="A182" s="13"/>
      <c r="I182" s="17"/>
      <c r="N182" s="38" t="str">
        <f t="shared" si="15"/>
        <v/>
      </c>
      <c r="O182" s="38" t="str">
        <f t="shared" si="16"/>
        <v/>
      </c>
      <c r="P182" s="39" t="str">
        <f t="shared" si="17"/>
        <v/>
      </c>
      <c r="R182" s="40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</row>
    <row r="183" spans="1:440" s="16" customFormat="1" x14ac:dyDescent="0.3">
      <c r="A183" s="13"/>
      <c r="I183" s="17"/>
      <c r="N183" s="38" t="str">
        <f t="shared" si="15"/>
        <v/>
      </c>
      <c r="O183" s="38" t="str">
        <f t="shared" si="16"/>
        <v/>
      </c>
      <c r="P183" s="39" t="str">
        <f t="shared" si="17"/>
        <v/>
      </c>
      <c r="R183" s="40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</row>
    <row r="184" spans="1:440" s="16" customFormat="1" x14ac:dyDescent="0.3">
      <c r="A184" s="13"/>
      <c r="I184" s="17"/>
      <c r="N184" s="38" t="str">
        <f t="shared" si="15"/>
        <v/>
      </c>
      <c r="O184" s="38" t="str">
        <f t="shared" si="16"/>
        <v/>
      </c>
      <c r="P184" s="39" t="str">
        <f t="shared" si="17"/>
        <v/>
      </c>
      <c r="R184" s="40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</row>
    <row r="185" spans="1:440" s="16" customFormat="1" x14ac:dyDescent="0.3">
      <c r="A185" s="13"/>
      <c r="I185" s="17"/>
      <c r="N185" s="38" t="str">
        <f t="shared" si="15"/>
        <v/>
      </c>
      <c r="O185" s="38" t="str">
        <f t="shared" si="16"/>
        <v/>
      </c>
      <c r="P185" s="39" t="str">
        <f t="shared" si="17"/>
        <v/>
      </c>
      <c r="R185" s="40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</row>
    <row r="186" spans="1:440" s="16" customFormat="1" x14ac:dyDescent="0.3">
      <c r="A186" s="13"/>
      <c r="I186" s="17"/>
      <c r="N186" s="38" t="str">
        <f t="shared" si="15"/>
        <v/>
      </c>
      <c r="O186" s="38" t="str">
        <f t="shared" si="16"/>
        <v/>
      </c>
      <c r="P186" s="39" t="str">
        <f t="shared" si="17"/>
        <v/>
      </c>
      <c r="R186" s="40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</row>
    <row r="187" spans="1:440" s="16" customFormat="1" x14ac:dyDescent="0.3">
      <c r="A187" s="13"/>
      <c r="I187" s="17"/>
      <c r="N187" s="38" t="str">
        <f t="shared" si="15"/>
        <v/>
      </c>
      <c r="O187" s="38" t="str">
        <f t="shared" si="16"/>
        <v/>
      </c>
      <c r="P187" s="39" t="str">
        <f t="shared" si="17"/>
        <v/>
      </c>
      <c r="R187" s="40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</row>
    <row r="188" spans="1:440" s="16" customFormat="1" x14ac:dyDescent="0.3">
      <c r="A188" s="13"/>
      <c r="I188" s="17"/>
      <c r="N188" s="38" t="str">
        <f t="shared" si="15"/>
        <v/>
      </c>
      <c r="O188" s="38" t="str">
        <f t="shared" si="16"/>
        <v/>
      </c>
      <c r="P188" s="39" t="str">
        <f t="shared" si="17"/>
        <v/>
      </c>
      <c r="R188" s="40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</row>
    <row r="189" spans="1:440" s="16" customFormat="1" x14ac:dyDescent="0.3">
      <c r="A189" s="13"/>
      <c r="I189" s="17"/>
      <c r="N189" s="38" t="str">
        <f t="shared" si="15"/>
        <v/>
      </c>
      <c r="O189" s="38" t="str">
        <f t="shared" si="16"/>
        <v/>
      </c>
      <c r="P189" s="39" t="str">
        <f t="shared" si="17"/>
        <v/>
      </c>
      <c r="R189" s="40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</row>
    <row r="190" spans="1:440" s="16" customFormat="1" x14ac:dyDescent="0.3">
      <c r="A190" s="13"/>
      <c r="I190" s="17"/>
      <c r="N190" s="38" t="str">
        <f t="shared" si="15"/>
        <v/>
      </c>
      <c r="O190" s="38" t="str">
        <f t="shared" si="16"/>
        <v/>
      </c>
      <c r="P190" s="39" t="str">
        <f t="shared" si="17"/>
        <v/>
      </c>
      <c r="R190" s="40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</row>
    <row r="191" spans="1:440" s="16" customFormat="1" x14ac:dyDescent="0.3">
      <c r="A191" s="13"/>
      <c r="I191" s="17"/>
      <c r="N191" s="38" t="str">
        <f t="shared" si="15"/>
        <v/>
      </c>
      <c r="O191" s="38" t="str">
        <f t="shared" si="16"/>
        <v/>
      </c>
      <c r="P191" s="39" t="str">
        <f t="shared" si="17"/>
        <v/>
      </c>
      <c r="R191" s="40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</row>
    <row r="192" spans="1:440" s="16" customFormat="1" x14ac:dyDescent="0.3">
      <c r="A192" s="13"/>
      <c r="I192" s="17"/>
      <c r="N192" s="38" t="str">
        <f t="shared" si="15"/>
        <v/>
      </c>
      <c r="O192" s="38" t="str">
        <f t="shared" si="16"/>
        <v/>
      </c>
      <c r="P192" s="39" t="str">
        <f t="shared" si="17"/>
        <v/>
      </c>
      <c r="R192" s="40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</row>
    <row r="193" spans="1:440" s="16" customFormat="1" x14ac:dyDescent="0.3">
      <c r="A193" s="13"/>
      <c r="I193" s="17"/>
      <c r="N193" s="38" t="str">
        <f t="shared" si="15"/>
        <v/>
      </c>
      <c r="O193" s="38" t="str">
        <f t="shared" si="16"/>
        <v/>
      </c>
      <c r="P193" s="39" t="str">
        <f t="shared" si="17"/>
        <v/>
      </c>
      <c r="R193" s="40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</row>
    <row r="194" spans="1:440" s="16" customFormat="1" x14ac:dyDescent="0.3">
      <c r="A194" s="13"/>
      <c r="I194" s="17"/>
      <c r="N194" s="38" t="str">
        <f t="shared" si="15"/>
        <v/>
      </c>
      <c r="O194" s="38" t="str">
        <f t="shared" si="16"/>
        <v/>
      </c>
      <c r="P194" s="39" t="str">
        <f t="shared" si="17"/>
        <v/>
      </c>
      <c r="R194" s="40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</row>
    <row r="195" spans="1:440" s="16" customFormat="1" x14ac:dyDescent="0.3">
      <c r="A195" s="13"/>
      <c r="I195" s="17"/>
      <c r="N195" s="38" t="str">
        <f t="shared" si="15"/>
        <v/>
      </c>
      <c r="O195" s="38" t="str">
        <f t="shared" si="16"/>
        <v/>
      </c>
      <c r="P195" s="39" t="str">
        <f t="shared" si="17"/>
        <v/>
      </c>
      <c r="R195" s="40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</row>
    <row r="196" spans="1:440" s="16" customFormat="1" x14ac:dyDescent="0.3">
      <c r="A196" s="13"/>
      <c r="I196" s="17"/>
      <c r="N196" s="38" t="str">
        <f t="shared" ref="N196:N201" si="18">IF(AND(ISBLANK(E196),ISBLANK(F196),ISBLANK(G196),ISBLANK(H196),ISBLANK(I196),ISBLANK(J196),ISBLANK(K196),ISBLANK(L196),ISBLANK(M196)),"",SUM(F196:M196))</f>
        <v/>
      </c>
      <c r="O196" s="38" t="str">
        <f t="shared" ref="O196:O201" si="19">IF(AND(ISBLANK(E196), ISBLANK(F196), ISBLANK(G196), ISBLANK(H196), ISBLANK(I196), ISBLANK(J196), ISBLANK(K196), ISBLANK(L196), ISBLANK(M196)), "", E196-N196)</f>
        <v/>
      </c>
      <c r="P196" s="39" t="str">
        <f t="shared" ref="P196:P201" si="20">IF(AND(ISBLANK(E196),ISBLANK(F196),ISBLANK(G196),ISBLANK(H196),ISBLANK(I196),ISBLANK(J196),ISBLANK(K196),ISBLANK(L196),ISBLANK(M196)),"",N196/E196)</f>
        <v/>
      </c>
      <c r="R196" s="40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</row>
    <row r="197" spans="1:440" s="16" customFormat="1" x14ac:dyDescent="0.3">
      <c r="A197" s="13"/>
      <c r="I197" s="17"/>
      <c r="N197" s="38" t="str">
        <f t="shared" si="18"/>
        <v/>
      </c>
      <c r="O197" s="38" t="str">
        <f t="shared" si="19"/>
        <v/>
      </c>
      <c r="P197" s="39" t="str">
        <f t="shared" si="20"/>
        <v/>
      </c>
      <c r="R197" s="40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</row>
    <row r="198" spans="1:440" s="16" customFormat="1" x14ac:dyDescent="0.3">
      <c r="A198" s="13"/>
      <c r="I198" s="17"/>
      <c r="N198" s="38" t="str">
        <f t="shared" si="18"/>
        <v/>
      </c>
      <c r="O198" s="38" t="str">
        <f t="shared" si="19"/>
        <v/>
      </c>
      <c r="P198" s="39" t="str">
        <f t="shared" si="20"/>
        <v/>
      </c>
      <c r="R198" s="40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</row>
    <row r="199" spans="1:440" s="16" customFormat="1" x14ac:dyDescent="0.3">
      <c r="A199" s="13"/>
      <c r="I199" s="17"/>
      <c r="N199" s="38" t="str">
        <f t="shared" si="18"/>
        <v/>
      </c>
      <c r="O199" s="38" t="str">
        <f t="shared" si="19"/>
        <v/>
      </c>
      <c r="P199" s="39" t="str">
        <f t="shared" si="20"/>
        <v/>
      </c>
      <c r="R199" s="40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</row>
    <row r="200" spans="1:440" s="16" customFormat="1" x14ac:dyDescent="0.3">
      <c r="A200" s="13"/>
      <c r="I200" s="17"/>
      <c r="N200" s="38" t="str">
        <f t="shared" si="18"/>
        <v/>
      </c>
      <c r="O200" s="38" t="str">
        <f t="shared" si="19"/>
        <v/>
      </c>
      <c r="P200" s="39" t="str">
        <f t="shared" si="20"/>
        <v/>
      </c>
      <c r="R200" s="40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</row>
    <row r="201" spans="1:440" s="16" customFormat="1" x14ac:dyDescent="0.3">
      <c r="A201" s="13"/>
      <c r="I201" s="17"/>
      <c r="N201" s="38" t="str">
        <f t="shared" si="18"/>
        <v/>
      </c>
      <c r="O201" s="38" t="str">
        <f t="shared" si="19"/>
        <v/>
      </c>
      <c r="P201" s="39" t="str">
        <f t="shared" si="20"/>
        <v/>
      </c>
      <c r="R201" s="40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</row>
  </sheetData>
  <sheetProtection sheet="1" formatCells="0" insertHyperlinks="0" sort="0" autoFilter="0" pivotTables="0"/>
  <protectedRanges>
    <protectedRange sqref="G1:Q1048576 A1:F34 A36:F1048576" name="Range1"/>
  </protectedRanges>
  <autoFilter ref="A3:Q201" xr:uid="{00000000-0009-0000-0000-000001000000}">
    <sortState xmlns:xlrd2="http://schemas.microsoft.com/office/spreadsheetml/2017/richdata2" ref="A4:Q201">
      <sortCondition ref="A3:A201"/>
    </sortState>
  </autoFilter>
  <mergeCells count="1">
    <mergeCell ref="A1:Q1"/>
  </mergeCells>
  <conditionalFormatting sqref="C4:C8 A4:B34 D4:F34 G4:O10001 C11:C34 A36:F10001">
    <cfRule type="expression" dxfId="10" priority="1">
      <formula>AND($O4&lt;0, $O4&lt;&gt;"")</formula>
    </cfRule>
    <cfRule type="expression" dxfId="9" priority="2">
      <formula>AND($O4=0, $O4&lt;&gt;"")</formula>
    </cfRule>
    <cfRule type="expression" dxfId="8" priority="3">
      <formula>AND($O4&gt;0, $O4&lt;&gt;"")</formula>
    </cfRule>
  </conditionalFormatting>
  <conditionalFormatting sqref="P1:P1048576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{5C346208-6ADA-47B4-8605-5EBB626B6A05}</x14:id>
        </ext>
      </extLst>
    </cfRule>
  </conditionalFormatting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10" r:id="rId5" xr:uid="{00000000-0004-0000-0100-000004000000}"/>
    <hyperlink ref="C17" r:id="rId6" xr:uid="{00000000-0004-0000-0100-000005000000}"/>
    <hyperlink ref="C24" r:id="rId7" xr:uid="{00000000-0004-0000-0100-000006000000}"/>
  </hyperlinks>
  <pageMargins left="0.7" right="0.7" top="0.75" bottom="0.75" header="0.3" footer="0.3"/>
  <pageSetup paperSize="9" orientation="portrait" r:id="rId8"/>
  <legacy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46208-6ADA-47B4-8605-5EBB626B6A0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X201"/>
  <sheetViews>
    <sheetView zoomScale="80" zoomScaleNormal="80" workbookViewId="0">
      <pane ySplit="3" topLeftCell="A25" activePane="bottomLeft" state="frozen"/>
      <selection pane="bottomLeft" activeCell="A56" sqref="A56"/>
    </sheetView>
  </sheetViews>
  <sheetFormatPr defaultColWidth="13" defaultRowHeight="17.25" x14ac:dyDescent="0.3"/>
  <cols>
    <col min="1" max="1" width="36.42578125" style="13" customWidth="1"/>
    <col min="2" max="2" width="28" style="16" customWidth="1"/>
    <col min="3" max="3" width="29.5703125" style="16" bestFit="1" customWidth="1"/>
    <col min="4" max="4" width="65.5703125" style="16" bestFit="1" customWidth="1"/>
    <col min="5" max="5" width="13.42578125" style="16" bestFit="1" customWidth="1"/>
    <col min="6" max="6" width="11.42578125" style="16" bestFit="1" customWidth="1"/>
    <col min="7" max="7" width="17" style="16" customWidth="1"/>
    <col min="8" max="8" width="8.140625" style="16" customWidth="1"/>
    <col min="9" max="9" width="7.42578125" style="17" bestFit="1" customWidth="1"/>
    <col min="10" max="10" width="11.5703125" style="16" bestFit="1" customWidth="1"/>
    <col min="11" max="11" width="12.5703125" style="16" bestFit="1" customWidth="1"/>
    <col min="12" max="12" width="8.85546875" style="16" customWidth="1"/>
    <col min="13" max="13" width="10.42578125" style="16" customWidth="1"/>
    <col min="14" max="14" width="11.5703125" style="24" bestFit="1" customWidth="1"/>
    <col min="15" max="15" width="10.140625" style="23" bestFit="1" customWidth="1"/>
    <col min="16" max="16" width="26.5703125" style="27" customWidth="1"/>
    <col min="17" max="17" width="11.5703125" style="16" bestFit="1" customWidth="1"/>
    <col min="18" max="16384" width="13" style="1"/>
  </cols>
  <sheetData>
    <row r="1" spans="1:440" x14ac:dyDescent="0.3">
      <c r="A1" s="62" t="s">
        <v>80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40"/>
    </row>
    <row r="2" spans="1:440" s="5" customFormat="1" x14ac:dyDescent="0.3">
      <c r="A2" s="42"/>
      <c r="B2" s="19"/>
      <c r="C2" s="19"/>
      <c r="D2" s="19"/>
      <c r="E2" s="19">
        <f>SUM(E4:E1048576)</f>
        <v>11780</v>
      </c>
      <c r="F2" s="19">
        <f>SUM(F4:F1048576)</f>
        <v>10565</v>
      </c>
      <c r="G2" s="19"/>
      <c r="H2" s="19"/>
      <c r="I2" s="19"/>
      <c r="J2" s="19"/>
      <c r="K2" s="19"/>
      <c r="L2" s="19"/>
      <c r="M2" s="19"/>
      <c r="N2" s="43">
        <f>SUM(N4:N1048576)</f>
        <v>11725</v>
      </c>
      <c r="O2" s="43">
        <f>SUMIF(O4:O1048576,"&gt;=0")</f>
        <v>150</v>
      </c>
      <c r="P2" s="39">
        <f>IF(AND(ISBLANK(E2),ISBLANK(F2),ISBLANK(G2),ISBLANK(H2),ISBLANK(I2),ISBLANK(J2),ISBLANK(K2),ISBLANK(L2),ISBLANK(M2)),"",IFERROR((N2/E2),""))</f>
        <v>0.99533106960950768</v>
      </c>
      <c r="Q2" s="20"/>
      <c r="R2" s="28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</row>
    <row r="3" spans="1:440" s="5" customFormat="1" x14ac:dyDescent="0.3">
      <c r="A3" s="18" t="s">
        <v>4</v>
      </c>
      <c r="B3" s="19" t="s">
        <v>3</v>
      </c>
      <c r="C3" s="19" t="s">
        <v>12</v>
      </c>
      <c r="D3" s="19" t="s">
        <v>13</v>
      </c>
      <c r="E3" s="19" t="s">
        <v>0</v>
      </c>
      <c r="F3" s="19" t="s">
        <v>1</v>
      </c>
      <c r="G3" s="19" t="s">
        <v>15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21" t="s">
        <v>2</v>
      </c>
      <c r="O3" s="21" t="s">
        <v>11</v>
      </c>
      <c r="P3" s="25" t="s">
        <v>20</v>
      </c>
      <c r="Q3" s="20" t="s">
        <v>16</v>
      </c>
      <c r="R3" s="28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</row>
    <row r="4" spans="1:440" ht="16.5" customHeight="1" x14ac:dyDescent="0.3">
      <c r="A4" s="13" t="s">
        <v>50</v>
      </c>
      <c r="B4" s="14"/>
      <c r="C4" s="14"/>
      <c r="D4" s="14" t="s">
        <v>24</v>
      </c>
      <c r="E4" s="14">
        <v>200</v>
      </c>
      <c r="F4" s="14">
        <v>200</v>
      </c>
      <c r="G4" s="14"/>
      <c r="H4" s="14"/>
      <c r="I4" s="14"/>
      <c r="J4" s="14"/>
      <c r="K4" s="14"/>
      <c r="L4" s="14"/>
      <c r="M4" s="14"/>
      <c r="N4" s="38">
        <f t="shared" ref="N4:N35" si="0">IF(AND(ISBLANK(E4),ISBLANK(F4),ISBLANK(G4),ISBLANK(H4),ISBLANK(I4),ISBLANK(J4),ISBLANK(K4),ISBLANK(L4),ISBLANK(M4)),"",SUM(F4:M4))</f>
        <v>200</v>
      </c>
      <c r="O4" s="38">
        <f t="shared" ref="O4:O35" si="1">IF(AND(ISBLANK(E4), ISBLANK(F4), ISBLANK(G4), ISBLANK(H4), ISBLANK(I4), ISBLANK(J4), ISBLANK(K4), ISBLANK(L4), ISBLANK(M4)), "", E4-N4)</f>
        <v>0</v>
      </c>
      <c r="P4" s="39">
        <f t="shared" ref="P4:P35" si="2">IF(AND(ISBLANK(E4),ISBLANK(F4),ISBLANK(G4),ISBLANK(H4),ISBLANK(I4),ISBLANK(J4),ISBLANK(K4),ISBLANK(L4),ISBLANK(M4)),"",N4/E4)</f>
        <v>1</v>
      </c>
      <c r="Q4" s="14"/>
      <c r="R4" s="2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</row>
    <row r="5" spans="1:440" s="3" customFormat="1" x14ac:dyDescent="0.3">
      <c r="A5" s="13" t="s">
        <v>73</v>
      </c>
      <c r="B5" s="14">
        <v>6941623617</v>
      </c>
      <c r="C5" s="14"/>
      <c r="D5" s="14" t="s">
        <v>35</v>
      </c>
      <c r="E5" s="14">
        <v>300</v>
      </c>
      <c r="F5" s="14">
        <v>300</v>
      </c>
      <c r="G5" s="14"/>
      <c r="H5" s="14"/>
      <c r="I5" s="14"/>
      <c r="J5" s="14"/>
      <c r="K5" s="14"/>
      <c r="L5" s="14"/>
      <c r="M5" s="14"/>
      <c r="N5" s="38">
        <f t="shared" si="0"/>
        <v>300</v>
      </c>
      <c r="O5" s="38">
        <f t="shared" si="1"/>
        <v>0</v>
      </c>
      <c r="P5" s="39">
        <f t="shared" si="2"/>
        <v>1</v>
      </c>
      <c r="Q5" s="14"/>
      <c r="R5" s="28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</row>
    <row r="6" spans="1:440" s="3" customFormat="1" x14ac:dyDescent="0.3">
      <c r="A6" s="13" t="s">
        <v>51</v>
      </c>
      <c r="B6" s="14"/>
      <c r="C6" s="14"/>
      <c r="D6" s="14" t="s">
        <v>24</v>
      </c>
      <c r="E6" s="14">
        <v>200</v>
      </c>
      <c r="F6" s="14">
        <v>200</v>
      </c>
      <c r="G6" s="14"/>
      <c r="H6" s="14"/>
      <c r="I6" s="14"/>
      <c r="J6" s="14"/>
      <c r="K6" s="14"/>
      <c r="L6" s="14"/>
      <c r="M6" s="14"/>
      <c r="N6" s="38">
        <f t="shared" si="0"/>
        <v>200</v>
      </c>
      <c r="O6" s="38">
        <f t="shared" si="1"/>
        <v>0</v>
      </c>
      <c r="P6" s="39">
        <f t="shared" si="2"/>
        <v>1</v>
      </c>
      <c r="Q6" s="14"/>
      <c r="R6" s="28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</row>
    <row r="7" spans="1:440" s="3" customFormat="1" ht="19.5" customHeight="1" x14ac:dyDescent="0.3">
      <c r="A7" s="13" t="s">
        <v>95</v>
      </c>
      <c r="B7" s="14"/>
      <c r="C7" s="14"/>
      <c r="D7" s="14" t="s">
        <v>24</v>
      </c>
      <c r="E7" s="14">
        <v>200</v>
      </c>
      <c r="F7" s="14">
        <v>200</v>
      </c>
      <c r="G7" s="14"/>
      <c r="H7" s="14"/>
      <c r="I7" s="14"/>
      <c r="J7" s="14"/>
      <c r="K7" s="14"/>
      <c r="L7" s="14"/>
      <c r="M7" s="14"/>
      <c r="N7" s="38">
        <f t="shared" si="0"/>
        <v>200</v>
      </c>
      <c r="O7" s="38">
        <f t="shared" si="1"/>
        <v>0</v>
      </c>
      <c r="P7" s="39">
        <f t="shared" si="2"/>
        <v>1</v>
      </c>
      <c r="Q7" s="14"/>
      <c r="R7" s="28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</row>
    <row r="8" spans="1:440" s="3" customFormat="1" ht="19.5" customHeight="1" x14ac:dyDescent="0.3">
      <c r="A8" s="13" t="s">
        <v>87</v>
      </c>
      <c r="B8" s="14"/>
      <c r="C8" s="14"/>
      <c r="D8" s="14" t="s">
        <v>24</v>
      </c>
      <c r="E8" s="14">
        <v>200</v>
      </c>
      <c r="F8" s="14">
        <v>200</v>
      </c>
      <c r="G8" s="14"/>
      <c r="H8" s="14"/>
      <c r="I8" s="14"/>
      <c r="J8" s="14"/>
      <c r="K8" s="14"/>
      <c r="L8" s="14"/>
      <c r="M8" s="14"/>
      <c r="N8" s="38">
        <f t="shared" si="0"/>
        <v>200</v>
      </c>
      <c r="O8" s="38">
        <f t="shared" si="1"/>
        <v>0</v>
      </c>
      <c r="P8" s="39">
        <f t="shared" si="2"/>
        <v>1</v>
      </c>
      <c r="Q8" s="14" t="s">
        <v>17</v>
      </c>
      <c r="R8" s="28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</row>
    <row r="9" spans="1:440" s="3" customFormat="1" x14ac:dyDescent="0.3">
      <c r="A9" s="13" t="s">
        <v>74</v>
      </c>
      <c r="B9" s="14">
        <v>6981533650</v>
      </c>
      <c r="C9" s="14"/>
      <c r="D9" s="14" t="s">
        <v>56</v>
      </c>
      <c r="E9" s="14">
        <v>200</v>
      </c>
      <c r="F9" s="14">
        <v>200</v>
      </c>
      <c r="G9" s="14"/>
      <c r="H9" s="14"/>
      <c r="I9" s="14"/>
      <c r="J9" s="14"/>
      <c r="K9" s="14"/>
      <c r="L9" s="14"/>
      <c r="M9" s="14"/>
      <c r="N9" s="38">
        <f t="shared" si="0"/>
        <v>200</v>
      </c>
      <c r="O9" s="38">
        <f t="shared" si="1"/>
        <v>0</v>
      </c>
      <c r="P9" s="39">
        <f t="shared" si="2"/>
        <v>1</v>
      </c>
      <c r="Q9" s="14"/>
      <c r="R9" s="28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</row>
    <row r="10" spans="1:440" s="7" customFormat="1" x14ac:dyDescent="0.3">
      <c r="A10" s="13" t="s">
        <v>71</v>
      </c>
      <c r="B10" s="14" t="s">
        <v>72</v>
      </c>
      <c r="C10" s="14"/>
      <c r="D10" s="14" t="s">
        <v>56</v>
      </c>
      <c r="E10" s="14">
        <v>200</v>
      </c>
      <c r="F10" s="14">
        <v>200</v>
      </c>
      <c r="G10" s="14"/>
      <c r="H10" s="14"/>
      <c r="I10" s="14"/>
      <c r="J10" s="14"/>
      <c r="K10" s="14"/>
      <c r="L10" s="14"/>
      <c r="M10" s="14"/>
      <c r="N10" s="38">
        <f t="shared" si="0"/>
        <v>200</v>
      </c>
      <c r="O10" s="38">
        <f t="shared" si="1"/>
        <v>0</v>
      </c>
      <c r="P10" s="39">
        <f t="shared" si="2"/>
        <v>1</v>
      </c>
      <c r="Q10" s="14"/>
      <c r="R10" s="28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</row>
    <row r="11" spans="1:440" s="3" customFormat="1" x14ac:dyDescent="0.3">
      <c r="A11" s="13" t="s">
        <v>62</v>
      </c>
      <c r="B11" s="14">
        <v>6972874255</v>
      </c>
      <c r="C11" s="14"/>
      <c r="D11" s="14" t="s">
        <v>56</v>
      </c>
      <c r="E11" s="14">
        <v>200</v>
      </c>
      <c r="F11" s="14">
        <v>200</v>
      </c>
      <c r="G11" s="14"/>
      <c r="H11" s="14"/>
      <c r="I11" s="14"/>
      <c r="J11" s="14"/>
      <c r="K11" s="14"/>
      <c r="L11" s="14"/>
      <c r="M11" s="14"/>
      <c r="N11" s="38">
        <f t="shared" si="0"/>
        <v>200</v>
      </c>
      <c r="O11" s="38">
        <f t="shared" si="1"/>
        <v>0</v>
      </c>
      <c r="P11" s="39">
        <f t="shared" si="2"/>
        <v>1</v>
      </c>
      <c r="Q11" s="14"/>
      <c r="R11" s="28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</row>
    <row r="12" spans="1:440" s="3" customFormat="1" x14ac:dyDescent="0.3">
      <c r="A12" s="13" t="s">
        <v>46</v>
      </c>
      <c r="B12" s="14"/>
      <c r="C12" s="14"/>
      <c r="D12" s="14" t="s">
        <v>35</v>
      </c>
      <c r="E12" s="14">
        <v>300</v>
      </c>
      <c r="F12" s="14">
        <v>150</v>
      </c>
      <c r="G12" s="14"/>
      <c r="H12" s="14"/>
      <c r="I12" s="14"/>
      <c r="J12" s="14"/>
      <c r="K12" s="14"/>
      <c r="L12" s="14"/>
      <c r="M12" s="14"/>
      <c r="N12" s="38">
        <f t="shared" si="0"/>
        <v>150</v>
      </c>
      <c r="O12" s="38">
        <f t="shared" si="1"/>
        <v>150</v>
      </c>
      <c r="P12" s="39">
        <f t="shared" si="2"/>
        <v>0.5</v>
      </c>
      <c r="Q12" s="14"/>
      <c r="R12" s="28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</row>
    <row r="13" spans="1:440" s="3" customFormat="1" x14ac:dyDescent="0.3">
      <c r="A13" s="13" t="s">
        <v>52</v>
      </c>
      <c r="B13" s="14"/>
      <c r="C13" s="14"/>
      <c r="D13" s="14" t="s">
        <v>35</v>
      </c>
      <c r="E13" s="14">
        <v>300</v>
      </c>
      <c r="F13" s="14">
        <v>150</v>
      </c>
      <c r="G13" s="14">
        <v>150</v>
      </c>
      <c r="H13" s="14"/>
      <c r="I13" s="14"/>
      <c r="J13" s="14"/>
      <c r="K13" s="14"/>
      <c r="L13" s="14"/>
      <c r="M13" s="14"/>
      <c r="N13" s="38">
        <f t="shared" si="0"/>
        <v>300</v>
      </c>
      <c r="O13" s="38">
        <f t="shared" si="1"/>
        <v>0</v>
      </c>
      <c r="P13" s="39">
        <f t="shared" si="2"/>
        <v>1</v>
      </c>
      <c r="Q13" s="14"/>
      <c r="R13" s="28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</row>
    <row r="14" spans="1:440" s="3" customFormat="1" x14ac:dyDescent="0.3">
      <c r="A14" s="13" t="s">
        <v>43</v>
      </c>
      <c r="B14" s="14">
        <v>6939314675</v>
      </c>
      <c r="C14" s="14"/>
      <c r="D14" s="14" t="s">
        <v>24</v>
      </c>
      <c r="E14" s="14">
        <v>200</v>
      </c>
      <c r="F14" s="14">
        <v>100</v>
      </c>
      <c r="G14" s="14">
        <v>100</v>
      </c>
      <c r="H14" s="14"/>
      <c r="I14" s="14"/>
      <c r="J14" s="14"/>
      <c r="K14" s="14"/>
      <c r="L14" s="14"/>
      <c r="M14" s="14"/>
      <c r="N14" s="38">
        <f t="shared" si="0"/>
        <v>200</v>
      </c>
      <c r="O14" s="38">
        <f t="shared" si="1"/>
        <v>0</v>
      </c>
      <c r="P14" s="39">
        <f t="shared" si="2"/>
        <v>1</v>
      </c>
      <c r="Q14" s="14"/>
      <c r="R14" s="28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</row>
    <row r="15" spans="1:440" s="3" customFormat="1" x14ac:dyDescent="0.3">
      <c r="A15" s="13" t="s">
        <v>60</v>
      </c>
      <c r="B15" s="14">
        <v>6980762669</v>
      </c>
      <c r="C15" s="14"/>
      <c r="D15" s="14" t="s">
        <v>35</v>
      </c>
      <c r="E15" s="14">
        <v>300</v>
      </c>
      <c r="F15" s="14">
        <v>300</v>
      </c>
      <c r="G15" s="14"/>
      <c r="H15" s="14"/>
      <c r="I15" s="14"/>
      <c r="J15" s="14"/>
      <c r="K15" s="14"/>
      <c r="L15" s="14"/>
      <c r="M15" s="14"/>
      <c r="N15" s="38">
        <f t="shared" si="0"/>
        <v>300</v>
      </c>
      <c r="O15" s="38">
        <f t="shared" si="1"/>
        <v>0</v>
      </c>
      <c r="P15" s="39">
        <f t="shared" si="2"/>
        <v>1</v>
      </c>
      <c r="Q15" s="14"/>
      <c r="R15" s="28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</row>
    <row r="16" spans="1:440" s="3" customFormat="1" x14ac:dyDescent="0.3">
      <c r="A16" s="13" t="s">
        <v>37</v>
      </c>
      <c r="B16" s="14">
        <v>6988757273</v>
      </c>
      <c r="C16" s="14"/>
      <c r="D16" s="14" t="s">
        <v>22</v>
      </c>
      <c r="E16" s="14">
        <v>300</v>
      </c>
      <c r="F16" s="14">
        <v>50</v>
      </c>
      <c r="G16" s="14">
        <v>100</v>
      </c>
      <c r="H16" s="14">
        <v>150</v>
      </c>
      <c r="I16" s="14"/>
      <c r="J16" s="14"/>
      <c r="K16" s="14">
        <v>15</v>
      </c>
      <c r="L16" s="14"/>
      <c r="M16" s="14"/>
      <c r="N16" s="38">
        <f t="shared" si="0"/>
        <v>315</v>
      </c>
      <c r="O16" s="38">
        <f t="shared" si="1"/>
        <v>-15</v>
      </c>
      <c r="P16" s="39">
        <f t="shared" si="2"/>
        <v>1.05</v>
      </c>
      <c r="Q16" s="14"/>
      <c r="R16" s="28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</row>
    <row r="17" spans="1:440" s="7" customFormat="1" x14ac:dyDescent="0.3">
      <c r="A17" s="13" t="s">
        <v>64</v>
      </c>
      <c r="B17" s="14">
        <v>6986745539</v>
      </c>
      <c r="C17" s="14"/>
      <c r="D17" s="14" t="s">
        <v>35</v>
      </c>
      <c r="E17" s="14">
        <v>300</v>
      </c>
      <c r="F17" s="14">
        <v>300</v>
      </c>
      <c r="G17" s="14"/>
      <c r="H17" s="14"/>
      <c r="I17" s="14"/>
      <c r="J17" s="14"/>
      <c r="K17" s="14"/>
      <c r="L17" s="14"/>
      <c r="M17" s="14"/>
      <c r="N17" s="38">
        <f t="shared" si="0"/>
        <v>300</v>
      </c>
      <c r="O17" s="38">
        <f t="shared" si="1"/>
        <v>0</v>
      </c>
      <c r="P17" s="39">
        <f t="shared" si="2"/>
        <v>1</v>
      </c>
      <c r="Q17" s="14"/>
      <c r="R17" s="28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</row>
    <row r="18" spans="1:440" s="3" customFormat="1" x14ac:dyDescent="0.3">
      <c r="A18" s="13" t="s">
        <v>57</v>
      </c>
      <c r="B18" s="14">
        <v>6983398147</v>
      </c>
      <c r="C18" s="14"/>
      <c r="D18" s="14" t="s">
        <v>56</v>
      </c>
      <c r="E18" s="14">
        <v>200</v>
      </c>
      <c r="F18" s="14">
        <v>200</v>
      </c>
      <c r="G18" s="14"/>
      <c r="H18" s="14"/>
      <c r="I18" s="14"/>
      <c r="J18" s="14"/>
      <c r="K18" s="14"/>
      <c r="L18" s="14"/>
      <c r="M18" s="14"/>
      <c r="N18" s="38">
        <f t="shared" si="0"/>
        <v>200</v>
      </c>
      <c r="O18" s="38">
        <f t="shared" si="1"/>
        <v>0</v>
      </c>
      <c r="P18" s="39">
        <f t="shared" si="2"/>
        <v>1</v>
      </c>
      <c r="Q18" s="14"/>
      <c r="R18" s="28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</row>
    <row r="19" spans="1:440" s="7" customFormat="1" x14ac:dyDescent="0.3">
      <c r="A19" s="13" t="s">
        <v>44</v>
      </c>
      <c r="B19" s="14"/>
      <c r="C19" s="14"/>
      <c r="D19" s="14" t="s">
        <v>79</v>
      </c>
      <c r="E19" s="14">
        <v>150</v>
      </c>
      <c r="F19" s="14">
        <v>150</v>
      </c>
      <c r="G19" s="14"/>
      <c r="H19" s="14"/>
      <c r="I19" s="14"/>
      <c r="J19" s="14"/>
      <c r="K19" s="14"/>
      <c r="L19" s="14"/>
      <c r="M19" s="14"/>
      <c r="N19" s="38">
        <f t="shared" si="0"/>
        <v>150</v>
      </c>
      <c r="O19" s="38">
        <f t="shared" si="1"/>
        <v>0</v>
      </c>
      <c r="P19" s="39">
        <f t="shared" si="2"/>
        <v>1</v>
      </c>
      <c r="Q19" s="14"/>
      <c r="R19" s="28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</row>
    <row r="20" spans="1:440" s="7" customFormat="1" x14ac:dyDescent="0.3">
      <c r="A20" s="13" t="s">
        <v>88</v>
      </c>
      <c r="B20" s="14"/>
      <c r="C20" s="14"/>
      <c r="D20" s="14" t="s">
        <v>35</v>
      </c>
      <c r="E20" s="14">
        <v>300</v>
      </c>
      <c r="F20" s="14">
        <v>300</v>
      </c>
      <c r="G20" s="14">
        <v>15</v>
      </c>
      <c r="H20" s="14"/>
      <c r="I20" s="14"/>
      <c r="J20" s="14"/>
      <c r="K20" s="14"/>
      <c r="L20" s="14"/>
      <c r="M20" s="14"/>
      <c r="N20" s="38">
        <f t="shared" si="0"/>
        <v>315</v>
      </c>
      <c r="O20" s="38">
        <f t="shared" si="1"/>
        <v>-15</v>
      </c>
      <c r="P20" s="39">
        <f t="shared" si="2"/>
        <v>1.05</v>
      </c>
      <c r="Q20" s="14"/>
      <c r="R20" s="28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</row>
    <row r="21" spans="1:440" s="7" customFormat="1" x14ac:dyDescent="0.3">
      <c r="A21" s="13" t="s">
        <v>94</v>
      </c>
      <c r="B21" s="14"/>
      <c r="C21" s="45"/>
      <c r="D21" s="14" t="s">
        <v>24</v>
      </c>
      <c r="E21" s="14">
        <v>200</v>
      </c>
      <c r="F21" s="14">
        <v>200</v>
      </c>
      <c r="G21" s="14"/>
      <c r="H21" s="14"/>
      <c r="I21" s="14"/>
      <c r="J21" s="14"/>
      <c r="K21" s="14"/>
      <c r="L21" s="14"/>
      <c r="M21" s="14"/>
      <c r="N21" s="38">
        <f t="shared" si="0"/>
        <v>200</v>
      </c>
      <c r="O21" s="38">
        <f t="shared" si="1"/>
        <v>0</v>
      </c>
      <c r="P21" s="39">
        <f t="shared" si="2"/>
        <v>1</v>
      </c>
      <c r="Q21" s="14"/>
      <c r="R21" s="28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</row>
    <row r="22" spans="1:440" s="3" customFormat="1" x14ac:dyDescent="0.3">
      <c r="A22" s="13" t="s">
        <v>58</v>
      </c>
      <c r="B22" s="14">
        <v>6989435017</v>
      </c>
      <c r="C22" s="14"/>
      <c r="D22" s="14" t="s">
        <v>35</v>
      </c>
      <c r="E22" s="14">
        <v>300</v>
      </c>
      <c r="F22" s="14">
        <v>300</v>
      </c>
      <c r="G22" s="14"/>
      <c r="H22" s="14"/>
      <c r="I22" s="14"/>
      <c r="J22" s="14"/>
      <c r="K22" s="14"/>
      <c r="L22" s="14"/>
      <c r="M22" s="14"/>
      <c r="N22" s="38">
        <f t="shared" si="0"/>
        <v>300</v>
      </c>
      <c r="O22" s="38">
        <f t="shared" si="1"/>
        <v>0</v>
      </c>
      <c r="P22" s="39">
        <f t="shared" si="2"/>
        <v>1</v>
      </c>
      <c r="Q22" s="14"/>
      <c r="R22" s="28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</row>
    <row r="23" spans="1:440" s="3" customFormat="1" x14ac:dyDescent="0.3">
      <c r="A23" s="13" t="s">
        <v>96</v>
      </c>
      <c r="B23" s="14"/>
      <c r="C23" s="14"/>
      <c r="D23" s="14" t="s">
        <v>24</v>
      </c>
      <c r="E23" s="14">
        <v>200</v>
      </c>
      <c r="F23" s="14">
        <v>200</v>
      </c>
      <c r="G23" s="14"/>
      <c r="H23" s="14"/>
      <c r="I23" s="14"/>
      <c r="J23" s="14"/>
      <c r="K23" s="14"/>
      <c r="L23" s="14"/>
      <c r="M23" s="14"/>
      <c r="N23" s="38">
        <f t="shared" si="0"/>
        <v>200</v>
      </c>
      <c r="O23" s="38">
        <f t="shared" si="1"/>
        <v>0</v>
      </c>
      <c r="P23" s="39">
        <f t="shared" si="2"/>
        <v>1</v>
      </c>
      <c r="Q23" s="14"/>
      <c r="R23" s="28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</row>
    <row r="24" spans="1:440" x14ac:dyDescent="0.3">
      <c r="A24" s="13" t="s">
        <v>67</v>
      </c>
      <c r="B24" s="14">
        <v>6945663944</v>
      </c>
      <c r="C24" s="14"/>
      <c r="D24" s="14" t="s">
        <v>35</v>
      </c>
      <c r="E24" s="14">
        <v>300</v>
      </c>
      <c r="F24" s="14">
        <v>300</v>
      </c>
      <c r="G24" s="14"/>
      <c r="H24" s="14"/>
      <c r="I24" s="14"/>
      <c r="J24" s="14"/>
      <c r="K24" s="14"/>
      <c r="L24" s="14"/>
      <c r="M24" s="14"/>
      <c r="N24" s="38">
        <f t="shared" si="0"/>
        <v>300</v>
      </c>
      <c r="O24" s="38">
        <f t="shared" si="1"/>
        <v>0</v>
      </c>
      <c r="P24" s="39">
        <f t="shared" si="2"/>
        <v>1</v>
      </c>
      <c r="Q24" s="14"/>
      <c r="R24" s="40"/>
    </row>
    <row r="25" spans="1:440" s="5" customFormat="1" x14ac:dyDescent="0.3">
      <c r="A25" s="13" t="s">
        <v>61</v>
      </c>
      <c r="B25" s="14">
        <v>6934985453</v>
      </c>
      <c r="C25" s="14"/>
      <c r="D25" s="14" t="s">
        <v>56</v>
      </c>
      <c r="E25" s="14">
        <v>200</v>
      </c>
      <c r="F25" s="14">
        <v>200</v>
      </c>
      <c r="G25" s="14"/>
      <c r="H25" s="14"/>
      <c r="I25" s="14"/>
      <c r="J25" s="14"/>
      <c r="K25" s="14"/>
      <c r="L25" s="14"/>
      <c r="M25" s="14"/>
      <c r="N25" s="38">
        <f t="shared" si="0"/>
        <v>200</v>
      </c>
      <c r="O25" s="38">
        <f t="shared" si="1"/>
        <v>0</v>
      </c>
      <c r="P25" s="39">
        <f t="shared" si="2"/>
        <v>1</v>
      </c>
      <c r="Q25" s="14"/>
      <c r="R25" s="28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</row>
    <row r="26" spans="1:440" s="6" customFormat="1" x14ac:dyDescent="0.3">
      <c r="A26" s="13" t="s">
        <v>49</v>
      </c>
      <c r="B26" s="16"/>
      <c r="C26" s="14"/>
      <c r="D26" s="14" t="s">
        <v>24</v>
      </c>
      <c r="E26" s="16">
        <v>200</v>
      </c>
      <c r="F26" s="16">
        <v>200</v>
      </c>
      <c r="G26" s="16">
        <v>15</v>
      </c>
      <c r="H26" s="16"/>
      <c r="I26" s="17"/>
      <c r="J26" s="16"/>
      <c r="K26" s="16"/>
      <c r="L26" s="16"/>
      <c r="M26" s="16"/>
      <c r="N26" s="38">
        <f t="shared" si="0"/>
        <v>215</v>
      </c>
      <c r="O26" s="38">
        <f t="shared" si="1"/>
        <v>-15</v>
      </c>
      <c r="P26" s="39">
        <f t="shared" si="2"/>
        <v>1.075</v>
      </c>
      <c r="Q26" s="16"/>
      <c r="R26" s="28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</row>
    <row r="27" spans="1:440" s="6" customFormat="1" x14ac:dyDescent="0.3">
      <c r="A27" s="13" t="s">
        <v>76</v>
      </c>
      <c r="B27" s="14">
        <v>6944870870</v>
      </c>
      <c r="C27" s="14"/>
      <c r="D27" s="14" t="s">
        <v>56</v>
      </c>
      <c r="E27" s="14">
        <v>200</v>
      </c>
      <c r="F27" s="14">
        <v>200</v>
      </c>
      <c r="G27" s="14"/>
      <c r="H27" s="14"/>
      <c r="I27" s="14"/>
      <c r="J27" s="14"/>
      <c r="K27" s="14"/>
      <c r="L27" s="14"/>
      <c r="M27" s="14"/>
      <c r="N27" s="38">
        <f t="shared" si="0"/>
        <v>200</v>
      </c>
      <c r="O27" s="38">
        <f t="shared" si="1"/>
        <v>0</v>
      </c>
      <c r="P27" s="39">
        <f t="shared" si="2"/>
        <v>1</v>
      </c>
      <c r="Q27" s="14"/>
      <c r="R27" s="28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</row>
    <row r="28" spans="1:440" s="6" customFormat="1" x14ac:dyDescent="0.3">
      <c r="A28" s="13" t="s">
        <v>89</v>
      </c>
      <c r="B28" s="14"/>
      <c r="C28" s="14"/>
      <c r="D28" s="14" t="s">
        <v>35</v>
      </c>
      <c r="E28" s="14">
        <v>300</v>
      </c>
      <c r="F28" s="14">
        <v>300</v>
      </c>
      <c r="G28" s="14"/>
      <c r="H28" s="14"/>
      <c r="I28" s="14"/>
      <c r="J28" s="14"/>
      <c r="K28" s="14"/>
      <c r="L28" s="14"/>
      <c r="M28" s="14"/>
      <c r="N28" s="38">
        <f t="shared" si="0"/>
        <v>300</v>
      </c>
      <c r="O28" s="38">
        <f t="shared" si="1"/>
        <v>0</v>
      </c>
      <c r="P28" s="39">
        <f t="shared" si="2"/>
        <v>1</v>
      </c>
      <c r="Q28" s="14"/>
      <c r="R28" s="28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</row>
    <row r="29" spans="1:440" s="6" customFormat="1" x14ac:dyDescent="0.3">
      <c r="A29" s="13" t="s">
        <v>42</v>
      </c>
      <c r="B29" s="14">
        <v>6981446503</v>
      </c>
      <c r="C29" s="14"/>
      <c r="D29" s="14" t="s">
        <v>35</v>
      </c>
      <c r="E29" s="14">
        <v>300</v>
      </c>
      <c r="F29" s="14">
        <v>100</v>
      </c>
      <c r="G29" s="14">
        <v>100</v>
      </c>
      <c r="H29" s="14">
        <v>100</v>
      </c>
      <c r="I29" s="14"/>
      <c r="J29" s="14"/>
      <c r="K29" s="14"/>
      <c r="L29" s="14"/>
      <c r="M29" s="14"/>
      <c r="N29" s="38">
        <f t="shared" si="0"/>
        <v>300</v>
      </c>
      <c r="O29" s="38">
        <f t="shared" si="1"/>
        <v>0</v>
      </c>
      <c r="P29" s="39">
        <f t="shared" si="2"/>
        <v>1</v>
      </c>
      <c r="Q29" s="14"/>
      <c r="R29" s="28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</row>
    <row r="30" spans="1:440" s="11" customFormat="1" x14ac:dyDescent="0.3">
      <c r="A30" s="13" t="s">
        <v>70</v>
      </c>
      <c r="B30" s="14">
        <v>6978133763</v>
      </c>
      <c r="C30" s="14"/>
      <c r="D30" s="14" t="s">
        <v>35</v>
      </c>
      <c r="E30" s="14">
        <v>300</v>
      </c>
      <c r="F30" s="14">
        <v>300</v>
      </c>
      <c r="G30" s="14"/>
      <c r="H30" s="14"/>
      <c r="I30" s="14"/>
      <c r="J30" s="14"/>
      <c r="K30" s="14"/>
      <c r="L30" s="14"/>
      <c r="M30" s="14"/>
      <c r="N30" s="38">
        <f t="shared" si="0"/>
        <v>300</v>
      </c>
      <c r="O30" s="38">
        <f t="shared" si="1"/>
        <v>0</v>
      </c>
      <c r="P30" s="39">
        <f t="shared" si="2"/>
        <v>1</v>
      </c>
      <c r="Q30" s="14"/>
      <c r="R30" s="28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</row>
    <row r="31" spans="1:440" s="11" customFormat="1" x14ac:dyDescent="0.3">
      <c r="A31" s="13" t="s">
        <v>63</v>
      </c>
      <c r="B31" s="14"/>
      <c r="C31" s="14"/>
      <c r="D31" s="14" t="s">
        <v>35</v>
      </c>
      <c r="E31" s="14">
        <v>300</v>
      </c>
      <c r="F31" s="14">
        <v>300</v>
      </c>
      <c r="G31" s="14"/>
      <c r="H31" s="14"/>
      <c r="I31" s="14"/>
      <c r="J31" s="14"/>
      <c r="K31" s="14"/>
      <c r="L31" s="14"/>
      <c r="M31" s="14"/>
      <c r="N31" s="38">
        <f t="shared" si="0"/>
        <v>300</v>
      </c>
      <c r="O31" s="38">
        <f t="shared" si="1"/>
        <v>0</v>
      </c>
      <c r="P31" s="39">
        <f t="shared" si="2"/>
        <v>1</v>
      </c>
      <c r="Q31" s="14"/>
      <c r="R31" s="28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</row>
    <row r="32" spans="1:440" s="6" customFormat="1" x14ac:dyDescent="0.3">
      <c r="A32" s="13" t="s">
        <v>59</v>
      </c>
      <c r="B32" s="14">
        <v>6978164219</v>
      </c>
      <c r="C32" s="14"/>
      <c r="D32" s="14" t="s">
        <v>56</v>
      </c>
      <c r="E32" s="14">
        <v>200</v>
      </c>
      <c r="F32" s="14">
        <v>200</v>
      </c>
      <c r="G32" s="14"/>
      <c r="H32" s="14"/>
      <c r="I32" s="14"/>
      <c r="J32" s="14"/>
      <c r="K32" s="14"/>
      <c r="L32" s="14"/>
      <c r="M32" s="14"/>
      <c r="N32" s="38">
        <f t="shared" si="0"/>
        <v>200</v>
      </c>
      <c r="O32" s="38">
        <f t="shared" si="1"/>
        <v>0</v>
      </c>
      <c r="P32" s="39">
        <f t="shared" si="2"/>
        <v>1</v>
      </c>
      <c r="Q32" s="14"/>
      <c r="R32" s="28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</row>
    <row r="33" spans="1:440" s="10" customFormat="1" x14ac:dyDescent="0.3">
      <c r="A33" s="13" t="s">
        <v>75</v>
      </c>
      <c r="B33" s="14">
        <v>6988853621</v>
      </c>
      <c r="C33" s="14"/>
      <c r="D33" s="14" t="s">
        <v>35</v>
      </c>
      <c r="E33" s="14">
        <v>300</v>
      </c>
      <c r="F33" s="14">
        <v>300</v>
      </c>
      <c r="G33" s="14"/>
      <c r="H33" s="14"/>
      <c r="I33" s="14"/>
      <c r="J33" s="14"/>
      <c r="K33" s="14"/>
      <c r="L33" s="14"/>
      <c r="M33" s="14"/>
      <c r="N33" s="38">
        <f t="shared" si="0"/>
        <v>300</v>
      </c>
      <c r="O33" s="38">
        <f t="shared" si="1"/>
        <v>0</v>
      </c>
      <c r="P33" s="39">
        <f t="shared" si="2"/>
        <v>1</v>
      </c>
      <c r="Q33" s="14"/>
      <c r="R33" s="28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</row>
    <row r="34" spans="1:440" s="10" customFormat="1" x14ac:dyDescent="0.3">
      <c r="A34" s="13" t="s">
        <v>91</v>
      </c>
      <c r="B34" s="14"/>
      <c r="C34" s="14"/>
      <c r="D34" s="14" t="s">
        <v>24</v>
      </c>
      <c r="E34" s="14">
        <v>200</v>
      </c>
      <c r="F34" s="14">
        <v>200</v>
      </c>
      <c r="G34" s="14"/>
      <c r="H34" s="14"/>
      <c r="I34" s="14"/>
      <c r="J34" s="14"/>
      <c r="K34" s="14"/>
      <c r="L34" s="14"/>
      <c r="M34" s="14"/>
      <c r="N34" s="38">
        <f t="shared" si="0"/>
        <v>200</v>
      </c>
      <c r="O34" s="38">
        <f t="shared" si="1"/>
        <v>0</v>
      </c>
      <c r="P34" s="39">
        <f t="shared" si="2"/>
        <v>1</v>
      </c>
      <c r="Q34" s="14"/>
      <c r="R34" s="28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</row>
    <row r="35" spans="1:440" s="11" customFormat="1" x14ac:dyDescent="0.3">
      <c r="A35" s="13" t="s">
        <v>69</v>
      </c>
      <c r="B35" s="14">
        <v>6973034080</v>
      </c>
      <c r="C35" s="14"/>
      <c r="D35" s="14" t="s">
        <v>35</v>
      </c>
      <c r="E35" s="14">
        <v>300</v>
      </c>
      <c r="F35" s="14">
        <v>300</v>
      </c>
      <c r="G35" s="14"/>
      <c r="H35" s="14"/>
      <c r="I35" s="14"/>
      <c r="J35" s="14"/>
      <c r="K35" s="14"/>
      <c r="L35" s="14"/>
      <c r="M35" s="14"/>
      <c r="N35" s="38">
        <f t="shared" si="0"/>
        <v>300</v>
      </c>
      <c r="O35" s="38">
        <f t="shared" si="1"/>
        <v>0</v>
      </c>
      <c r="P35" s="39">
        <f t="shared" si="2"/>
        <v>1</v>
      </c>
      <c r="Q35" s="14"/>
      <c r="R35" s="28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</row>
    <row r="36" spans="1:440" s="6" customFormat="1" x14ac:dyDescent="0.3">
      <c r="A36" s="13" t="s">
        <v>41</v>
      </c>
      <c r="B36" s="14">
        <v>6980629222</v>
      </c>
      <c r="C36" s="14"/>
      <c r="D36" s="14" t="s">
        <v>24</v>
      </c>
      <c r="E36" s="14">
        <v>200</v>
      </c>
      <c r="F36" s="14">
        <v>100</v>
      </c>
      <c r="G36" s="14">
        <v>100</v>
      </c>
      <c r="H36" s="15"/>
      <c r="I36" s="14"/>
      <c r="J36" s="14"/>
      <c r="K36" s="14"/>
      <c r="L36" s="14"/>
      <c r="M36" s="14"/>
      <c r="N36" s="38">
        <f t="shared" ref="N36:N67" si="3">IF(AND(ISBLANK(E36),ISBLANK(F36),ISBLANK(G36),ISBLANK(H36),ISBLANK(I36),ISBLANK(J36),ISBLANK(K36),ISBLANK(L36),ISBLANK(M36)),"",SUM(F36:M36))</f>
        <v>200</v>
      </c>
      <c r="O36" s="38">
        <f t="shared" ref="O36:O67" si="4">IF(AND(ISBLANK(E36), ISBLANK(F36), ISBLANK(G36), ISBLANK(H36), ISBLANK(I36), ISBLANK(J36), ISBLANK(K36), ISBLANK(L36), ISBLANK(M36)), "", E36-N36)</f>
        <v>0</v>
      </c>
      <c r="P36" s="39">
        <f t="shared" ref="P36:P67" si="5">IF(AND(ISBLANK(E36),ISBLANK(F36),ISBLANK(G36),ISBLANK(H36),ISBLANK(I36),ISBLANK(J36),ISBLANK(K36),ISBLANK(L36),ISBLANK(M36)),"",N36/E36)</f>
        <v>1</v>
      </c>
      <c r="Q36" s="14"/>
      <c r="R36" s="28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</row>
    <row r="37" spans="1:440" s="6" customFormat="1" x14ac:dyDescent="0.3">
      <c r="A37" s="13" t="s">
        <v>92</v>
      </c>
      <c r="B37" s="14"/>
      <c r="C37" s="14"/>
      <c r="D37" s="14" t="s">
        <v>24</v>
      </c>
      <c r="E37" s="14">
        <v>200</v>
      </c>
      <c r="F37" s="14">
        <v>200</v>
      </c>
      <c r="G37" s="14"/>
      <c r="H37" s="14"/>
      <c r="I37" s="14"/>
      <c r="J37" s="14"/>
      <c r="K37" s="14"/>
      <c r="L37" s="14"/>
      <c r="M37" s="14"/>
      <c r="N37" s="38">
        <f t="shared" si="3"/>
        <v>200</v>
      </c>
      <c r="O37" s="38">
        <f t="shared" si="4"/>
        <v>0</v>
      </c>
      <c r="P37" s="39">
        <f t="shared" si="5"/>
        <v>1</v>
      </c>
      <c r="Q37" s="14" t="s">
        <v>17</v>
      </c>
      <c r="R37" s="28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</row>
    <row r="38" spans="1:440" s="6" customFormat="1" x14ac:dyDescent="0.3">
      <c r="A38" s="13" t="s">
        <v>78</v>
      </c>
      <c r="B38" s="14">
        <v>6982364337</v>
      </c>
      <c r="C38" s="14"/>
      <c r="D38" s="14" t="s">
        <v>56</v>
      </c>
      <c r="E38" s="14">
        <v>200</v>
      </c>
      <c r="F38" s="14">
        <v>200</v>
      </c>
      <c r="G38" s="14"/>
      <c r="H38" s="14"/>
      <c r="I38" s="14"/>
      <c r="J38" s="14"/>
      <c r="K38" s="14"/>
      <c r="L38" s="14"/>
      <c r="M38" s="14"/>
      <c r="N38" s="38">
        <f t="shared" si="3"/>
        <v>200</v>
      </c>
      <c r="O38" s="38">
        <f t="shared" si="4"/>
        <v>0</v>
      </c>
      <c r="P38" s="39">
        <f t="shared" si="5"/>
        <v>1</v>
      </c>
      <c r="Q38" s="14"/>
      <c r="R38" s="28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</row>
    <row r="39" spans="1:440" s="11" customFormat="1" x14ac:dyDescent="0.3">
      <c r="A39" s="13" t="s">
        <v>68</v>
      </c>
      <c r="B39" s="14"/>
      <c r="C39" s="14"/>
      <c r="D39" s="14" t="s">
        <v>56</v>
      </c>
      <c r="E39" s="14">
        <v>200</v>
      </c>
      <c r="F39" s="14">
        <v>200</v>
      </c>
      <c r="G39" s="14"/>
      <c r="H39" s="14"/>
      <c r="I39" s="14"/>
      <c r="J39" s="14"/>
      <c r="K39" s="14"/>
      <c r="L39" s="14"/>
      <c r="M39" s="14"/>
      <c r="N39" s="38">
        <f t="shared" si="3"/>
        <v>200</v>
      </c>
      <c r="O39" s="38">
        <f t="shared" si="4"/>
        <v>0</v>
      </c>
      <c r="P39" s="39">
        <f t="shared" si="5"/>
        <v>1</v>
      </c>
      <c r="Q39" s="14"/>
      <c r="R39" s="28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</row>
    <row r="40" spans="1:440" s="11" customFormat="1" x14ac:dyDescent="0.3">
      <c r="A40" s="13" t="s">
        <v>93</v>
      </c>
      <c r="B40" s="14"/>
      <c r="C40" s="14"/>
      <c r="D40" s="14" t="s">
        <v>24</v>
      </c>
      <c r="E40" s="14">
        <v>200</v>
      </c>
      <c r="F40" s="14">
        <v>200</v>
      </c>
      <c r="G40" s="14"/>
      <c r="H40" s="14"/>
      <c r="I40" s="14"/>
      <c r="J40" s="14"/>
      <c r="K40" s="14"/>
      <c r="L40" s="14"/>
      <c r="M40" s="14"/>
      <c r="N40" s="38">
        <f t="shared" si="3"/>
        <v>200</v>
      </c>
      <c r="O40" s="38">
        <f t="shared" si="4"/>
        <v>0</v>
      </c>
      <c r="P40" s="39">
        <f t="shared" si="5"/>
        <v>1</v>
      </c>
      <c r="Q40" s="14"/>
      <c r="R40" s="28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</row>
    <row r="41" spans="1:440" s="6" customFormat="1" x14ac:dyDescent="0.3">
      <c r="A41" s="13" t="s">
        <v>77</v>
      </c>
      <c r="B41" s="14">
        <v>6942651400</v>
      </c>
      <c r="C41" s="14"/>
      <c r="D41" s="14" t="s">
        <v>56</v>
      </c>
      <c r="E41" s="14">
        <v>200</v>
      </c>
      <c r="F41" s="14">
        <v>200</v>
      </c>
      <c r="G41" s="14"/>
      <c r="H41" s="14"/>
      <c r="I41" s="14"/>
      <c r="J41" s="14"/>
      <c r="K41" s="14"/>
      <c r="L41" s="14"/>
      <c r="M41" s="14"/>
      <c r="N41" s="38">
        <f t="shared" si="3"/>
        <v>200</v>
      </c>
      <c r="O41" s="38">
        <f t="shared" si="4"/>
        <v>0</v>
      </c>
      <c r="P41" s="39">
        <f t="shared" si="5"/>
        <v>1</v>
      </c>
      <c r="Q41" s="14"/>
      <c r="R41" s="28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</row>
    <row r="42" spans="1:440" s="10" customFormat="1" x14ac:dyDescent="0.3">
      <c r="A42" s="13" t="s">
        <v>55</v>
      </c>
      <c r="B42" s="14">
        <v>6947287069</v>
      </c>
      <c r="C42" s="14"/>
      <c r="D42" s="14" t="s">
        <v>56</v>
      </c>
      <c r="E42" s="14">
        <v>200</v>
      </c>
      <c r="F42" s="14">
        <v>200</v>
      </c>
      <c r="G42" s="14"/>
      <c r="H42" s="14"/>
      <c r="I42" s="14"/>
      <c r="J42" s="14"/>
      <c r="K42" s="14"/>
      <c r="L42" s="14"/>
      <c r="M42" s="14"/>
      <c r="N42" s="38">
        <f t="shared" si="3"/>
        <v>200</v>
      </c>
      <c r="O42" s="38">
        <f t="shared" si="4"/>
        <v>0</v>
      </c>
      <c r="P42" s="39">
        <f t="shared" si="5"/>
        <v>1</v>
      </c>
      <c r="Q42" s="14"/>
      <c r="R42" s="28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</row>
    <row r="43" spans="1:440" s="10" customFormat="1" x14ac:dyDescent="0.3">
      <c r="A43" s="13" t="s">
        <v>86</v>
      </c>
      <c r="B43" s="14"/>
      <c r="C43" s="14"/>
      <c r="D43" s="14" t="s">
        <v>24</v>
      </c>
      <c r="E43" s="14">
        <v>200</v>
      </c>
      <c r="F43" s="14">
        <v>200</v>
      </c>
      <c r="G43" s="14"/>
      <c r="H43" s="14"/>
      <c r="I43" s="14"/>
      <c r="J43" s="14"/>
      <c r="K43" s="14"/>
      <c r="L43" s="14"/>
      <c r="M43" s="14"/>
      <c r="N43" s="38">
        <f t="shared" si="3"/>
        <v>200</v>
      </c>
      <c r="O43" s="38">
        <f t="shared" si="4"/>
        <v>0</v>
      </c>
      <c r="P43" s="39">
        <f t="shared" si="5"/>
        <v>1</v>
      </c>
      <c r="Q43" s="14"/>
      <c r="R43" s="28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</row>
    <row r="44" spans="1:440" s="3" customFormat="1" x14ac:dyDescent="0.3">
      <c r="A44" s="13" t="s">
        <v>85</v>
      </c>
      <c r="B44" s="14"/>
      <c r="C44" s="14"/>
      <c r="D44" s="14" t="s">
        <v>35</v>
      </c>
      <c r="E44" s="14">
        <v>300</v>
      </c>
      <c r="F44" s="14">
        <v>300</v>
      </c>
      <c r="G44" s="14"/>
      <c r="H44" s="14"/>
      <c r="I44" s="14"/>
      <c r="J44" s="14"/>
      <c r="K44" s="14"/>
      <c r="L44" s="14"/>
      <c r="M44" s="14"/>
      <c r="N44" s="38">
        <f t="shared" si="3"/>
        <v>300</v>
      </c>
      <c r="O44" s="38">
        <f t="shared" si="4"/>
        <v>0</v>
      </c>
      <c r="P44" s="39">
        <f t="shared" si="5"/>
        <v>1</v>
      </c>
      <c r="Q44" s="14"/>
      <c r="R44" s="28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</row>
    <row r="45" spans="1:440" s="5" customFormat="1" x14ac:dyDescent="0.3">
      <c r="A45" s="13" t="s">
        <v>97</v>
      </c>
      <c r="B45" s="14"/>
      <c r="C45" s="14"/>
      <c r="D45" s="14" t="s">
        <v>98</v>
      </c>
      <c r="E45" s="14">
        <v>200</v>
      </c>
      <c r="F45" s="14">
        <v>200</v>
      </c>
      <c r="G45" s="14"/>
      <c r="H45" s="14"/>
      <c r="I45" s="14"/>
      <c r="J45" s="14"/>
      <c r="K45" s="14"/>
      <c r="L45" s="14"/>
      <c r="M45" s="14"/>
      <c r="N45" s="38">
        <f t="shared" si="3"/>
        <v>200</v>
      </c>
      <c r="O45" s="38">
        <f t="shared" si="4"/>
        <v>0</v>
      </c>
      <c r="P45" s="39">
        <f t="shared" si="5"/>
        <v>1</v>
      </c>
      <c r="Q45" s="14"/>
      <c r="R45" s="28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</row>
    <row r="46" spans="1:440" s="4" customFormat="1" x14ac:dyDescent="0.3">
      <c r="A46" s="13" t="s">
        <v>90</v>
      </c>
      <c r="B46" s="14"/>
      <c r="C46" s="14"/>
      <c r="D46" s="14" t="s">
        <v>24</v>
      </c>
      <c r="E46" s="14">
        <v>200</v>
      </c>
      <c r="F46" s="14">
        <v>200</v>
      </c>
      <c r="G46" s="14"/>
      <c r="H46" s="14"/>
      <c r="I46" s="14"/>
      <c r="J46" s="14"/>
      <c r="K46" s="14"/>
      <c r="L46" s="14"/>
      <c r="M46" s="14"/>
      <c r="N46" s="38">
        <f t="shared" si="3"/>
        <v>200</v>
      </c>
      <c r="O46" s="38">
        <f t="shared" si="4"/>
        <v>0</v>
      </c>
      <c r="P46" s="39">
        <f t="shared" si="5"/>
        <v>1</v>
      </c>
      <c r="Q46" s="14" t="s">
        <v>30</v>
      </c>
      <c r="R46" s="28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</row>
    <row r="47" spans="1:440" s="7" customFormat="1" x14ac:dyDescent="0.3">
      <c r="A47" s="13" t="s">
        <v>45</v>
      </c>
      <c r="B47" s="14"/>
      <c r="C47" s="14"/>
      <c r="D47" s="14" t="s">
        <v>35</v>
      </c>
      <c r="E47" s="14">
        <v>315</v>
      </c>
      <c r="F47" s="14">
        <v>300</v>
      </c>
      <c r="G47" s="14"/>
      <c r="H47" s="14"/>
      <c r="I47" s="14"/>
      <c r="J47" s="14">
        <v>15</v>
      </c>
      <c r="K47" s="14"/>
      <c r="L47" s="14"/>
      <c r="M47" s="14"/>
      <c r="N47" s="38">
        <f t="shared" si="3"/>
        <v>315</v>
      </c>
      <c r="O47" s="38">
        <f t="shared" si="4"/>
        <v>0</v>
      </c>
      <c r="P47" s="39">
        <f t="shared" si="5"/>
        <v>1</v>
      </c>
      <c r="Q47" s="14"/>
      <c r="R47" s="28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</row>
    <row r="48" spans="1:440" s="7" customFormat="1" x14ac:dyDescent="0.3">
      <c r="A48" s="13" t="s">
        <v>53</v>
      </c>
      <c r="B48" s="14">
        <v>6944550555</v>
      </c>
      <c r="C48" s="14" t="s">
        <v>108</v>
      </c>
      <c r="D48" s="14" t="s">
        <v>54</v>
      </c>
      <c r="E48" s="14">
        <v>200</v>
      </c>
      <c r="F48" s="14"/>
      <c r="G48" s="14">
        <v>100</v>
      </c>
      <c r="H48" s="14">
        <v>100</v>
      </c>
      <c r="I48" s="14"/>
      <c r="J48" s="14"/>
      <c r="K48" s="14"/>
      <c r="L48" s="14"/>
      <c r="M48" s="14"/>
      <c r="N48" s="38">
        <f t="shared" si="3"/>
        <v>200</v>
      </c>
      <c r="O48" s="38">
        <f t="shared" si="4"/>
        <v>0</v>
      </c>
      <c r="P48" s="39">
        <f t="shared" si="5"/>
        <v>1</v>
      </c>
      <c r="Q48" s="14"/>
      <c r="R48" s="28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</row>
    <row r="49" spans="1:440" s="4" customFormat="1" x14ac:dyDescent="0.3">
      <c r="A49" s="13" t="s">
        <v>66</v>
      </c>
      <c r="B49" s="14">
        <v>6956012391</v>
      </c>
      <c r="C49" s="14"/>
      <c r="D49" s="14" t="s">
        <v>56</v>
      </c>
      <c r="E49" s="14">
        <v>200</v>
      </c>
      <c r="F49" s="14">
        <v>200</v>
      </c>
      <c r="G49" s="14"/>
      <c r="H49" s="14"/>
      <c r="I49" s="14"/>
      <c r="J49" s="14"/>
      <c r="K49" s="14"/>
      <c r="L49" s="14"/>
      <c r="M49" s="14"/>
      <c r="N49" s="38">
        <f t="shared" si="3"/>
        <v>200</v>
      </c>
      <c r="O49" s="38">
        <f t="shared" si="4"/>
        <v>0</v>
      </c>
      <c r="P49" s="39">
        <f t="shared" si="5"/>
        <v>1</v>
      </c>
      <c r="Q49" s="14"/>
      <c r="R49" s="28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</row>
    <row r="50" spans="1:440" s="3" customFormat="1" x14ac:dyDescent="0.3">
      <c r="A50" s="13" t="s">
        <v>65</v>
      </c>
      <c r="B50" s="14">
        <v>6978923782</v>
      </c>
      <c r="C50" s="14"/>
      <c r="D50" s="14" t="s">
        <v>56</v>
      </c>
      <c r="E50" s="14">
        <v>200</v>
      </c>
      <c r="F50" s="14">
        <v>200</v>
      </c>
      <c r="G50" s="14"/>
      <c r="H50" s="14"/>
      <c r="I50" s="14"/>
      <c r="J50" s="14"/>
      <c r="K50" s="14"/>
      <c r="L50" s="14"/>
      <c r="M50" s="14"/>
      <c r="N50" s="38">
        <f t="shared" si="3"/>
        <v>200</v>
      </c>
      <c r="O50" s="38">
        <f t="shared" si="4"/>
        <v>0</v>
      </c>
      <c r="P50" s="39">
        <f t="shared" si="5"/>
        <v>1</v>
      </c>
      <c r="Q50" s="14"/>
      <c r="R50" s="28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</row>
    <row r="51" spans="1:440" s="3" customFormat="1" x14ac:dyDescent="0.3">
      <c r="A51" s="13" t="s">
        <v>82</v>
      </c>
      <c r="B51" s="14" t="s">
        <v>84</v>
      </c>
      <c r="C51" s="44" t="s">
        <v>83</v>
      </c>
      <c r="D51" s="14" t="s">
        <v>24</v>
      </c>
      <c r="E51" s="14">
        <v>200</v>
      </c>
      <c r="F51" s="14">
        <v>200</v>
      </c>
      <c r="G51" s="14"/>
      <c r="H51" s="14"/>
      <c r="I51" s="14"/>
      <c r="J51" s="14"/>
      <c r="K51" s="14"/>
      <c r="L51" s="14"/>
      <c r="M51" s="14"/>
      <c r="N51" s="38">
        <f t="shared" si="3"/>
        <v>200</v>
      </c>
      <c r="O51" s="38">
        <f t="shared" si="4"/>
        <v>0</v>
      </c>
      <c r="P51" s="39">
        <f t="shared" si="5"/>
        <v>1</v>
      </c>
      <c r="Q51" s="14" t="s">
        <v>17</v>
      </c>
      <c r="R51" s="28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</row>
    <row r="52" spans="1:440" s="3" customFormat="1" x14ac:dyDescent="0.3">
      <c r="A52" s="13" t="s">
        <v>47</v>
      </c>
      <c r="B52" s="14">
        <v>6977724999</v>
      </c>
      <c r="C52" s="44" t="s">
        <v>48</v>
      </c>
      <c r="D52" s="14" t="s">
        <v>24</v>
      </c>
      <c r="E52" s="14">
        <v>200</v>
      </c>
      <c r="F52" s="14">
        <v>150</v>
      </c>
      <c r="G52" s="14">
        <v>100</v>
      </c>
      <c r="H52" s="14"/>
      <c r="I52" s="14"/>
      <c r="J52" s="14"/>
      <c r="K52" s="14"/>
      <c r="L52" s="14"/>
      <c r="M52" s="14"/>
      <c r="N52" s="38">
        <f t="shared" si="3"/>
        <v>250</v>
      </c>
      <c r="O52" s="38">
        <f t="shared" si="4"/>
        <v>-50</v>
      </c>
      <c r="P52" s="39">
        <f t="shared" si="5"/>
        <v>1.25</v>
      </c>
      <c r="Q52" s="14"/>
      <c r="R52" s="28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</row>
    <row r="53" spans="1:440" s="5" customFormat="1" x14ac:dyDescent="0.3">
      <c r="A53" s="13" t="s">
        <v>106</v>
      </c>
      <c r="B53" s="14"/>
      <c r="C53" s="14" t="s">
        <v>109</v>
      </c>
      <c r="D53" s="14" t="s">
        <v>35</v>
      </c>
      <c r="E53" s="14">
        <v>15</v>
      </c>
      <c r="F53" s="14">
        <v>15</v>
      </c>
      <c r="G53" s="14"/>
      <c r="H53" s="14"/>
      <c r="I53" s="14"/>
      <c r="J53" s="14"/>
      <c r="K53" s="14"/>
      <c r="L53" s="14"/>
      <c r="M53" s="14"/>
      <c r="N53" s="38">
        <f t="shared" si="3"/>
        <v>15</v>
      </c>
      <c r="O53" s="38">
        <f t="shared" si="4"/>
        <v>0</v>
      </c>
      <c r="P53" s="39">
        <f t="shared" si="5"/>
        <v>1</v>
      </c>
      <c r="Q53" s="14"/>
      <c r="R53" s="28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</row>
    <row r="54" spans="1:440" s="4" customFormat="1" x14ac:dyDescent="0.3">
      <c r="A54" s="13" t="s">
        <v>107</v>
      </c>
      <c r="B54" s="14">
        <v>6987079643</v>
      </c>
      <c r="C54" s="14"/>
      <c r="D54" s="14" t="s">
        <v>35</v>
      </c>
      <c r="E54" s="14"/>
      <c r="F54" s="14"/>
      <c r="G54" s="14"/>
      <c r="H54" s="14"/>
      <c r="I54" s="14"/>
      <c r="J54" s="14"/>
      <c r="K54" s="14"/>
      <c r="L54" s="14"/>
      <c r="M54" s="14"/>
      <c r="N54" s="38" t="str">
        <f t="shared" si="3"/>
        <v/>
      </c>
      <c r="O54" s="38" t="str">
        <f t="shared" si="4"/>
        <v/>
      </c>
      <c r="P54" s="39" t="str">
        <f t="shared" si="5"/>
        <v/>
      </c>
      <c r="Q54" s="14"/>
      <c r="R54" s="28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</row>
    <row r="55" spans="1:440" s="3" customFormat="1" x14ac:dyDescent="0.3">
      <c r="A55" s="13" t="s">
        <v>143</v>
      </c>
      <c r="B55" s="14"/>
      <c r="C55" s="14"/>
      <c r="D55" s="14" t="s">
        <v>35</v>
      </c>
      <c r="E55" s="14">
        <v>300</v>
      </c>
      <c r="F55" s="14">
        <v>300</v>
      </c>
      <c r="G55" s="14"/>
      <c r="H55" s="14"/>
      <c r="I55" s="14"/>
      <c r="J55" s="14"/>
      <c r="K55" s="14"/>
      <c r="L55" s="14"/>
      <c r="M55" s="14"/>
      <c r="N55" s="38">
        <f t="shared" si="3"/>
        <v>300</v>
      </c>
      <c r="O55" s="38">
        <f t="shared" si="4"/>
        <v>0</v>
      </c>
      <c r="P55" s="39">
        <f t="shared" si="5"/>
        <v>1</v>
      </c>
      <c r="Q55" s="14"/>
      <c r="R55" s="28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</row>
    <row r="56" spans="1:440" s="4" customFormat="1" x14ac:dyDescent="0.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38" t="str">
        <f t="shared" si="3"/>
        <v/>
      </c>
      <c r="O56" s="38" t="str">
        <f t="shared" si="4"/>
        <v/>
      </c>
      <c r="P56" s="39" t="str">
        <f t="shared" si="5"/>
        <v/>
      </c>
      <c r="Q56" s="14"/>
      <c r="R56" s="28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</row>
    <row r="57" spans="1:440" s="5" customFormat="1" x14ac:dyDescent="0.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38" t="str">
        <f t="shared" si="3"/>
        <v/>
      </c>
      <c r="O57" s="38" t="str">
        <f t="shared" si="4"/>
        <v/>
      </c>
      <c r="P57" s="39" t="str">
        <f t="shared" si="5"/>
        <v/>
      </c>
      <c r="Q57" s="14"/>
      <c r="R57" s="28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</row>
    <row r="58" spans="1:440" s="3" customFormat="1" x14ac:dyDescent="0.3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38" t="str">
        <f t="shared" si="3"/>
        <v/>
      </c>
      <c r="O58" s="38" t="str">
        <f t="shared" si="4"/>
        <v/>
      </c>
      <c r="P58" s="39" t="str">
        <f t="shared" si="5"/>
        <v/>
      </c>
      <c r="Q58" s="14"/>
      <c r="R58" s="28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</row>
    <row r="59" spans="1:440" s="4" customFormat="1" x14ac:dyDescent="0.3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8" t="str">
        <f t="shared" si="3"/>
        <v/>
      </c>
      <c r="O59" s="38" t="str">
        <f t="shared" si="4"/>
        <v/>
      </c>
      <c r="P59" s="39" t="str">
        <f t="shared" si="5"/>
        <v/>
      </c>
      <c r="Q59" s="14"/>
      <c r="R59" s="28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</row>
    <row r="60" spans="1:440" s="3" customFormat="1" x14ac:dyDescent="0.3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8" t="str">
        <f t="shared" si="3"/>
        <v/>
      </c>
      <c r="O60" s="38" t="str">
        <f t="shared" si="4"/>
        <v/>
      </c>
      <c r="P60" s="39" t="str">
        <f t="shared" si="5"/>
        <v/>
      </c>
      <c r="Q60" s="14"/>
      <c r="R60" s="28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</row>
    <row r="61" spans="1:440" s="3" customFormat="1" x14ac:dyDescent="0.3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38" t="str">
        <f t="shared" si="3"/>
        <v/>
      </c>
      <c r="O61" s="38" t="str">
        <f t="shared" si="4"/>
        <v/>
      </c>
      <c r="P61" s="39" t="str">
        <f t="shared" si="5"/>
        <v/>
      </c>
      <c r="Q61" s="14"/>
      <c r="R61" s="28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</row>
    <row r="62" spans="1:440" s="3" customFormat="1" x14ac:dyDescent="0.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38" t="str">
        <f t="shared" si="3"/>
        <v/>
      </c>
      <c r="O62" s="38" t="str">
        <f t="shared" si="4"/>
        <v/>
      </c>
      <c r="P62" s="39" t="str">
        <f t="shared" si="5"/>
        <v/>
      </c>
      <c r="Q62" s="14"/>
      <c r="R62" s="28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</row>
    <row r="63" spans="1:440" s="3" customFormat="1" x14ac:dyDescent="0.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38" t="str">
        <f t="shared" si="3"/>
        <v/>
      </c>
      <c r="O63" s="38" t="str">
        <f t="shared" si="4"/>
        <v/>
      </c>
      <c r="P63" s="39" t="str">
        <f t="shared" si="5"/>
        <v/>
      </c>
      <c r="Q63" s="14"/>
      <c r="R63" s="28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</row>
    <row r="64" spans="1:440" s="3" customFormat="1" x14ac:dyDescent="0.3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38" t="str">
        <f t="shared" si="3"/>
        <v/>
      </c>
      <c r="O64" s="38" t="str">
        <f t="shared" si="4"/>
        <v/>
      </c>
      <c r="P64" s="39" t="str">
        <f t="shared" si="5"/>
        <v/>
      </c>
      <c r="Q64" s="14"/>
      <c r="R64" s="28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</row>
    <row r="65" spans="1:440" s="3" customFormat="1" ht="18" customHeight="1" x14ac:dyDescent="0.3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38" t="str">
        <f t="shared" si="3"/>
        <v/>
      </c>
      <c r="O65" s="38" t="str">
        <f t="shared" si="4"/>
        <v/>
      </c>
      <c r="P65" s="39" t="str">
        <f t="shared" si="5"/>
        <v/>
      </c>
      <c r="Q65" s="14"/>
      <c r="R65" s="28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</row>
    <row r="66" spans="1:440" s="7" customFormat="1" x14ac:dyDescent="0.3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38" t="str">
        <f t="shared" si="3"/>
        <v/>
      </c>
      <c r="O66" s="38" t="str">
        <f t="shared" si="4"/>
        <v/>
      </c>
      <c r="P66" s="39" t="str">
        <f t="shared" si="5"/>
        <v/>
      </c>
      <c r="Q66" s="14"/>
      <c r="R66" s="28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</row>
    <row r="67" spans="1:440" s="3" customFormat="1" x14ac:dyDescent="0.3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38" t="str">
        <f t="shared" si="3"/>
        <v/>
      </c>
      <c r="O67" s="38" t="str">
        <f t="shared" si="4"/>
        <v/>
      </c>
      <c r="P67" s="39" t="str">
        <f t="shared" si="5"/>
        <v/>
      </c>
      <c r="Q67" s="14"/>
      <c r="R67" s="28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</row>
    <row r="68" spans="1:440" s="7" customFormat="1" x14ac:dyDescent="0.3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38" t="str">
        <f t="shared" ref="N68:N99" si="6">IF(AND(ISBLANK(E68),ISBLANK(F68),ISBLANK(G68),ISBLANK(H68),ISBLANK(I68),ISBLANK(J68),ISBLANK(K68),ISBLANK(L68),ISBLANK(M68)),"",SUM(F68:M68))</f>
        <v/>
      </c>
      <c r="O68" s="38" t="str">
        <f t="shared" ref="O68:O99" si="7">IF(AND(ISBLANK(E68), ISBLANK(F68), ISBLANK(G68), ISBLANK(H68), ISBLANK(I68), ISBLANK(J68), ISBLANK(K68), ISBLANK(L68), ISBLANK(M68)), "", E68-N68)</f>
        <v/>
      </c>
      <c r="P68" s="39" t="str">
        <f t="shared" ref="P68:P99" si="8">IF(AND(ISBLANK(E68),ISBLANK(F68),ISBLANK(G68),ISBLANK(H68),ISBLANK(I68),ISBLANK(J68),ISBLANK(K68),ISBLANK(L68),ISBLANK(M68)),"",N68/E68)</f>
        <v/>
      </c>
      <c r="Q68" s="14"/>
      <c r="R68" s="28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</row>
    <row r="69" spans="1:440" s="3" customFormat="1" x14ac:dyDescent="0.3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38" t="str">
        <f t="shared" si="6"/>
        <v/>
      </c>
      <c r="O69" s="38" t="str">
        <f t="shared" si="7"/>
        <v/>
      </c>
      <c r="P69" s="39" t="str">
        <f t="shared" si="8"/>
        <v/>
      </c>
      <c r="Q69" s="14"/>
      <c r="R69" s="28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</row>
    <row r="70" spans="1:440" s="3" customFormat="1" x14ac:dyDescent="0.3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8" t="str">
        <f t="shared" si="6"/>
        <v/>
      </c>
      <c r="O70" s="38" t="str">
        <f t="shared" si="7"/>
        <v/>
      </c>
      <c r="P70" s="39" t="str">
        <f t="shared" si="8"/>
        <v/>
      </c>
      <c r="Q70" s="14"/>
      <c r="R70" s="28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</row>
    <row r="71" spans="1:440" s="3" customFormat="1" x14ac:dyDescent="0.3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38" t="str">
        <f t="shared" si="6"/>
        <v/>
      </c>
      <c r="O71" s="38" t="str">
        <f t="shared" si="7"/>
        <v/>
      </c>
      <c r="P71" s="39" t="str">
        <f t="shared" si="8"/>
        <v/>
      </c>
      <c r="Q71" s="14"/>
      <c r="R71" s="28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</row>
    <row r="72" spans="1:440" s="3" customFormat="1" x14ac:dyDescent="0.3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38" t="str">
        <f t="shared" si="6"/>
        <v/>
      </c>
      <c r="O72" s="38" t="str">
        <f t="shared" si="7"/>
        <v/>
      </c>
      <c r="P72" s="39" t="str">
        <f t="shared" si="8"/>
        <v/>
      </c>
      <c r="Q72" s="14"/>
      <c r="R72" s="28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</row>
    <row r="73" spans="1:440" s="3" customFormat="1" x14ac:dyDescent="0.3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38" t="str">
        <f t="shared" si="6"/>
        <v/>
      </c>
      <c r="O73" s="38" t="str">
        <f t="shared" si="7"/>
        <v/>
      </c>
      <c r="P73" s="39" t="str">
        <f t="shared" si="8"/>
        <v/>
      </c>
      <c r="Q73" s="14"/>
      <c r="R73" s="28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</row>
    <row r="74" spans="1:440" s="3" customFormat="1" x14ac:dyDescent="0.3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38" t="str">
        <f t="shared" si="6"/>
        <v/>
      </c>
      <c r="O74" s="38" t="str">
        <f t="shared" si="7"/>
        <v/>
      </c>
      <c r="P74" s="39" t="str">
        <f t="shared" si="8"/>
        <v/>
      </c>
      <c r="Q74" s="14"/>
      <c r="R74" s="28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</row>
    <row r="75" spans="1:440" s="3" customFormat="1" x14ac:dyDescent="0.3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38" t="str">
        <f t="shared" si="6"/>
        <v/>
      </c>
      <c r="O75" s="38" t="str">
        <f t="shared" si="7"/>
        <v/>
      </c>
      <c r="P75" s="39" t="str">
        <f t="shared" si="8"/>
        <v/>
      </c>
      <c r="Q75" s="14"/>
      <c r="R75" s="28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</row>
    <row r="76" spans="1:440" s="2" customFormat="1" x14ac:dyDescent="0.3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38" t="str">
        <f t="shared" si="6"/>
        <v/>
      </c>
      <c r="O76" s="38" t="str">
        <f t="shared" si="7"/>
        <v/>
      </c>
      <c r="P76" s="39" t="str">
        <f t="shared" si="8"/>
        <v/>
      </c>
      <c r="Q76" s="14"/>
      <c r="R76" s="28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</row>
    <row r="77" spans="1:440" s="3" customFormat="1" x14ac:dyDescent="0.3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38" t="str">
        <f t="shared" si="6"/>
        <v/>
      </c>
      <c r="O77" s="38" t="str">
        <f t="shared" si="7"/>
        <v/>
      </c>
      <c r="P77" s="39" t="str">
        <f t="shared" si="8"/>
        <v/>
      </c>
      <c r="Q77" s="14"/>
      <c r="R77" s="28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</row>
    <row r="78" spans="1:440" s="3" customFormat="1" x14ac:dyDescent="0.3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38" t="str">
        <f t="shared" si="6"/>
        <v/>
      </c>
      <c r="O78" s="38" t="str">
        <f t="shared" si="7"/>
        <v/>
      </c>
      <c r="P78" s="39" t="str">
        <f t="shared" si="8"/>
        <v/>
      </c>
      <c r="Q78" s="14"/>
      <c r="R78" s="28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</row>
    <row r="79" spans="1:440" s="3" customFormat="1" x14ac:dyDescent="0.3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38" t="str">
        <f t="shared" si="6"/>
        <v/>
      </c>
      <c r="O79" s="38" t="str">
        <f t="shared" si="7"/>
        <v/>
      </c>
      <c r="P79" s="39" t="str">
        <f t="shared" si="8"/>
        <v/>
      </c>
      <c r="Q79" s="14"/>
      <c r="R79" s="28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</row>
    <row r="80" spans="1:440" s="3" customFormat="1" x14ac:dyDescent="0.3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38" t="str">
        <f t="shared" si="6"/>
        <v/>
      </c>
      <c r="O80" s="38" t="str">
        <f t="shared" si="7"/>
        <v/>
      </c>
      <c r="P80" s="39" t="str">
        <f t="shared" si="8"/>
        <v/>
      </c>
      <c r="Q80" s="14"/>
      <c r="R80" s="28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</row>
    <row r="81" spans="1:440" s="3" customFormat="1" x14ac:dyDescent="0.3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38" t="str">
        <f t="shared" si="6"/>
        <v/>
      </c>
      <c r="O81" s="38" t="str">
        <f t="shared" si="7"/>
        <v/>
      </c>
      <c r="P81" s="39" t="str">
        <f t="shared" si="8"/>
        <v/>
      </c>
      <c r="Q81" s="14"/>
      <c r="R81" s="28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</row>
    <row r="82" spans="1:440" s="3" customFormat="1" x14ac:dyDescent="0.3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38" t="str">
        <f t="shared" si="6"/>
        <v/>
      </c>
      <c r="O82" s="38" t="str">
        <f t="shared" si="7"/>
        <v/>
      </c>
      <c r="P82" s="39" t="str">
        <f t="shared" si="8"/>
        <v/>
      </c>
      <c r="Q82" s="14"/>
      <c r="R82" s="28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</row>
    <row r="83" spans="1:440" s="8" customFormat="1" x14ac:dyDescent="0.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38" t="str">
        <f t="shared" si="6"/>
        <v/>
      </c>
      <c r="O83" s="38" t="str">
        <f t="shared" si="7"/>
        <v/>
      </c>
      <c r="P83" s="39" t="str">
        <f t="shared" si="8"/>
        <v/>
      </c>
      <c r="Q83" s="14"/>
      <c r="R83" s="28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</row>
    <row r="84" spans="1:440" s="7" customFormat="1" x14ac:dyDescent="0.3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38" t="str">
        <f t="shared" si="6"/>
        <v/>
      </c>
      <c r="O84" s="38" t="str">
        <f t="shared" si="7"/>
        <v/>
      </c>
      <c r="P84" s="39" t="str">
        <f t="shared" si="8"/>
        <v/>
      </c>
      <c r="Q84" s="14"/>
      <c r="R84" s="28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</row>
    <row r="85" spans="1:440" s="4" customFormat="1" x14ac:dyDescent="0.3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38" t="str">
        <f t="shared" si="6"/>
        <v/>
      </c>
      <c r="O85" s="38" t="str">
        <f t="shared" si="7"/>
        <v/>
      </c>
      <c r="P85" s="39" t="str">
        <f t="shared" si="8"/>
        <v/>
      </c>
      <c r="Q85" s="14"/>
      <c r="R85" s="28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</row>
    <row r="86" spans="1:440" s="7" customFormat="1" x14ac:dyDescent="0.3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38" t="str">
        <f t="shared" si="6"/>
        <v/>
      </c>
      <c r="O86" s="38" t="str">
        <f t="shared" si="7"/>
        <v/>
      </c>
      <c r="P86" s="39" t="str">
        <f t="shared" si="8"/>
        <v/>
      </c>
      <c r="Q86" s="14"/>
      <c r="R86" s="28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</row>
    <row r="87" spans="1:440" s="3" customFormat="1" x14ac:dyDescent="0.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38" t="str">
        <f t="shared" si="6"/>
        <v/>
      </c>
      <c r="O87" s="38" t="str">
        <f t="shared" si="7"/>
        <v/>
      </c>
      <c r="P87" s="39" t="str">
        <f t="shared" si="8"/>
        <v/>
      </c>
      <c r="Q87" s="14"/>
      <c r="R87" s="28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</row>
    <row r="88" spans="1:440" s="7" customFormat="1" x14ac:dyDescent="0.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38" t="str">
        <f t="shared" si="6"/>
        <v/>
      </c>
      <c r="O88" s="38" t="str">
        <f t="shared" si="7"/>
        <v/>
      </c>
      <c r="P88" s="39" t="str">
        <f t="shared" si="8"/>
        <v/>
      </c>
      <c r="Q88" s="14"/>
      <c r="R88" s="28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</row>
    <row r="89" spans="1:440" x14ac:dyDescent="0.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38" t="str">
        <f t="shared" si="6"/>
        <v/>
      </c>
      <c r="O89" s="38" t="str">
        <f t="shared" si="7"/>
        <v/>
      </c>
      <c r="P89" s="39" t="str">
        <f t="shared" si="8"/>
        <v/>
      </c>
      <c r="Q89" s="14"/>
      <c r="R89" s="28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</row>
    <row r="90" spans="1:440" x14ac:dyDescent="0.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38" t="str">
        <f t="shared" si="6"/>
        <v/>
      </c>
      <c r="O90" s="38" t="str">
        <f t="shared" si="7"/>
        <v/>
      </c>
      <c r="P90" s="39" t="str">
        <f t="shared" si="8"/>
        <v/>
      </c>
      <c r="Q90" s="14"/>
      <c r="R90" s="28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</row>
    <row r="91" spans="1:440" s="7" customFormat="1" x14ac:dyDescent="0.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38" t="str">
        <f t="shared" si="6"/>
        <v/>
      </c>
      <c r="O91" s="38" t="str">
        <f t="shared" si="7"/>
        <v/>
      </c>
      <c r="P91" s="39" t="str">
        <f t="shared" si="8"/>
        <v/>
      </c>
      <c r="Q91" s="14"/>
      <c r="R91" s="28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</row>
    <row r="92" spans="1:440" s="3" customFormat="1" x14ac:dyDescent="0.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38" t="str">
        <f t="shared" si="6"/>
        <v/>
      </c>
      <c r="O92" s="38" t="str">
        <f t="shared" si="7"/>
        <v/>
      </c>
      <c r="P92" s="39" t="str">
        <f t="shared" si="8"/>
        <v/>
      </c>
      <c r="Q92" s="14"/>
      <c r="R92" s="28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</row>
    <row r="93" spans="1:440" s="3" customFormat="1" x14ac:dyDescent="0.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38" t="str">
        <f t="shared" si="6"/>
        <v/>
      </c>
      <c r="O93" s="38" t="str">
        <f t="shared" si="7"/>
        <v/>
      </c>
      <c r="P93" s="39" t="str">
        <f t="shared" si="8"/>
        <v/>
      </c>
      <c r="Q93" s="14"/>
      <c r="R93" s="28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</row>
    <row r="94" spans="1:440" s="3" customFormat="1" x14ac:dyDescent="0.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38" t="str">
        <f t="shared" si="6"/>
        <v/>
      </c>
      <c r="O94" s="38" t="str">
        <f t="shared" si="7"/>
        <v/>
      </c>
      <c r="P94" s="39" t="str">
        <f t="shared" si="8"/>
        <v/>
      </c>
      <c r="Q94" s="14"/>
      <c r="R94" s="28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</row>
    <row r="95" spans="1:440" s="3" customFormat="1" x14ac:dyDescent="0.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38" t="str">
        <f t="shared" si="6"/>
        <v/>
      </c>
      <c r="O95" s="38" t="str">
        <f t="shared" si="7"/>
        <v/>
      </c>
      <c r="P95" s="39" t="str">
        <f t="shared" si="8"/>
        <v/>
      </c>
      <c r="Q95" s="14"/>
      <c r="R95" s="28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</row>
    <row r="96" spans="1:440" s="9" customFormat="1" x14ac:dyDescent="0.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38" t="str">
        <f t="shared" si="6"/>
        <v/>
      </c>
      <c r="O96" s="38" t="str">
        <f t="shared" si="7"/>
        <v/>
      </c>
      <c r="P96" s="39" t="str">
        <f t="shared" si="8"/>
        <v/>
      </c>
      <c r="Q96" s="14"/>
      <c r="R96" s="28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</row>
    <row r="97" spans="1:440" s="3" customFormat="1" x14ac:dyDescent="0.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38" t="str">
        <f t="shared" si="6"/>
        <v/>
      </c>
      <c r="O97" s="38" t="str">
        <f t="shared" si="7"/>
        <v/>
      </c>
      <c r="P97" s="39" t="str">
        <f t="shared" si="8"/>
        <v/>
      </c>
      <c r="Q97" s="14"/>
      <c r="R97" s="28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</row>
    <row r="98" spans="1:440" s="3" customFormat="1" x14ac:dyDescent="0.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38" t="str">
        <f t="shared" si="6"/>
        <v/>
      </c>
      <c r="O98" s="38" t="str">
        <f t="shared" si="7"/>
        <v/>
      </c>
      <c r="P98" s="39" t="str">
        <f t="shared" si="8"/>
        <v/>
      </c>
      <c r="Q98" s="14"/>
      <c r="R98" s="28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</row>
    <row r="99" spans="1:440" s="4" customFormat="1" x14ac:dyDescent="0.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38" t="str">
        <f t="shared" si="6"/>
        <v/>
      </c>
      <c r="O99" s="38" t="str">
        <f t="shared" si="7"/>
        <v/>
      </c>
      <c r="P99" s="39" t="str">
        <f t="shared" si="8"/>
        <v/>
      </c>
      <c r="Q99" s="14"/>
      <c r="R99" s="28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</row>
    <row r="100" spans="1:440" s="7" customFormat="1" x14ac:dyDescent="0.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38" t="str">
        <f t="shared" ref="N100:N131" si="9">IF(AND(ISBLANK(E100),ISBLANK(F100),ISBLANK(G100),ISBLANK(H100),ISBLANK(I100),ISBLANK(J100),ISBLANK(K100),ISBLANK(L100),ISBLANK(M100)),"",SUM(F100:M100))</f>
        <v/>
      </c>
      <c r="O100" s="38" t="str">
        <f t="shared" ref="O100:O131" si="10">IF(AND(ISBLANK(E100), ISBLANK(F100), ISBLANK(G100), ISBLANK(H100), ISBLANK(I100), ISBLANK(J100), ISBLANK(K100), ISBLANK(L100), ISBLANK(M100)), "", E100-N100)</f>
        <v/>
      </c>
      <c r="P100" s="39" t="str">
        <f t="shared" ref="P100:P131" si="11">IF(AND(ISBLANK(E100),ISBLANK(F100),ISBLANK(G100),ISBLANK(H100),ISBLANK(I100),ISBLANK(J100),ISBLANK(K100),ISBLANK(L100),ISBLANK(M100)),"",N100/E100)</f>
        <v/>
      </c>
      <c r="Q100" s="14"/>
      <c r="R100" s="28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</row>
    <row r="101" spans="1:440" s="3" customFormat="1" x14ac:dyDescent="0.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38" t="str">
        <f t="shared" si="9"/>
        <v/>
      </c>
      <c r="O101" s="38" t="str">
        <f t="shared" si="10"/>
        <v/>
      </c>
      <c r="P101" s="39" t="str">
        <f t="shared" si="11"/>
        <v/>
      </c>
      <c r="Q101" s="14"/>
      <c r="R101" s="28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</row>
    <row r="102" spans="1:440" s="7" customFormat="1" x14ac:dyDescent="0.3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38" t="str">
        <f t="shared" si="9"/>
        <v/>
      </c>
      <c r="O102" s="38" t="str">
        <f t="shared" si="10"/>
        <v/>
      </c>
      <c r="P102" s="39" t="str">
        <f t="shared" si="11"/>
        <v/>
      </c>
      <c r="Q102" s="14"/>
      <c r="R102" s="28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</row>
    <row r="103" spans="1:440" s="7" customFormat="1" x14ac:dyDescent="0.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38" t="str">
        <f t="shared" si="9"/>
        <v/>
      </c>
      <c r="O103" s="38" t="str">
        <f t="shared" si="10"/>
        <v/>
      </c>
      <c r="P103" s="39" t="str">
        <f t="shared" si="11"/>
        <v/>
      </c>
      <c r="Q103" s="14"/>
      <c r="R103" s="28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</row>
    <row r="104" spans="1:440" s="5" customFormat="1" x14ac:dyDescent="0.3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38" t="str">
        <f t="shared" si="9"/>
        <v/>
      </c>
      <c r="O104" s="38" t="str">
        <f t="shared" si="10"/>
        <v/>
      </c>
      <c r="P104" s="39" t="str">
        <f t="shared" si="11"/>
        <v/>
      </c>
      <c r="Q104" s="14"/>
      <c r="R104" s="28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</row>
    <row r="105" spans="1:440" s="3" customFormat="1" x14ac:dyDescent="0.3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38" t="str">
        <f t="shared" si="9"/>
        <v/>
      </c>
      <c r="O105" s="38" t="str">
        <f t="shared" si="10"/>
        <v/>
      </c>
      <c r="P105" s="39" t="str">
        <f t="shared" si="11"/>
        <v/>
      </c>
      <c r="Q105" s="14"/>
      <c r="R105" s="28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</row>
    <row r="106" spans="1:440" s="7" customFormat="1" x14ac:dyDescent="0.3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38" t="str">
        <f t="shared" si="9"/>
        <v/>
      </c>
      <c r="O106" s="38" t="str">
        <f t="shared" si="10"/>
        <v/>
      </c>
      <c r="P106" s="39" t="str">
        <f t="shared" si="11"/>
        <v/>
      </c>
      <c r="Q106" s="14"/>
      <c r="R106" s="28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</row>
    <row r="107" spans="1:440" s="7" customFormat="1" x14ac:dyDescent="0.3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38" t="str">
        <f t="shared" si="9"/>
        <v/>
      </c>
      <c r="O107" s="38" t="str">
        <f t="shared" si="10"/>
        <v/>
      </c>
      <c r="P107" s="39" t="str">
        <f t="shared" si="11"/>
        <v/>
      </c>
      <c r="Q107" s="14"/>
      <c r="R107" s="28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</row>
    <row r="108" spans="1:440" s="3" customFormat="1" x14ac:dyDescent="0.3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38" t="str">
        <f t="shared" si="9"/>
        <v/>
      </c>
      <c r="O108" s="38" t="str">
        <f t="shared" si="10"/>
        <v/>
      </c>
      <c r="P108" s="39" t="str">
        <f t="shared" si="11"/>
        <v/>
      </c>
      <c r="Q108" s="14"/>
      <c r="R108" s="28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</row>
    <row r="109" spans="1:440" s="7" customFormat="1" x14ac:dyDescent="0.3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38" t="str">
        <f t="shared" si="9"/>
        <v/>
      </c>
      <c r="O109" s="38" t="str">
        <f t="shared" si="10"/>
        <v/>
      </c>
      <c r="P109" s="39" t="str">
        <f t="shared" si="11"/>
        <v/>
      </c>
      <c r="Q109" s="14"/>
      <c r="R109" s="28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</row>
    <row r="110" spans="1:440" s="3" customFormat="1" x14ac:dyDescent="0.3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38" t="str">
        <f t="shared" si="9"/>
        <v/>
      </c>
      <c r="O110" s="38" t="str">
        <f t="shared" si="10"/>
        <v/>
      </c>
      <c r="P110" s="39" t="str">
        <f t="shared" si="11"/>
        <v/>
      </c>
      <c r="Q110" s="14"/>
      <c r="R110" s="28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</row>
    <row r="111" spans="1:440" s="3" customFormat="1" x14ac:dyDescent="0.3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38" t="str">
        <f t="shared" si="9"/>
        <v/>
      </c>
      <c r="O111" s="38" t="str">
        <f t="shared" si="10"/>
        <v/>
      </c>
      <c r="P111" s="39" t="str">
        <f t="shared" si="11"/>
        <v/>
      </c>
      <c r="Q111" s="14"/>
      <c r="R111" s="28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</row>
    <row r="112" spans="1:440" s="3" customFormat="1" x14ac:dyDescent="0.3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38" t="str">
        <f t="shared" si="9"/>
        <v/>
      </c>
      <c r="O112" s="38" t="str">
        <f t="shared" si="10"/>
        <v/>
      </c>
      <c r="P112" s="39" t="str">
        <f t="shared" si="11"/>
        <v/>
      </c>
      <c r="Q112" s="14"/>
      <c r="R112" s="28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</row>
    <row r="113" spans="1:440" s="7" customFormat="1" x14ac:dyDescent="0.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38" t="str">
        <f t="shared" si="9"/>
        <v/>
      </c>
      <c r="O113" s="38" t="str">
        <f t="shared" si="10"/>
        <v/>
      </c>
      <c r="P113" s="39" t="str">
        <f t="shared" si="11"/>
        <v/>
      </c>
      <c r="Q113" s="14"/>
      <c r="R113" s="28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</row>
    <row r="114" spans="1:440" s="7" customFormat="1" x14ac:dyDescent="0.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38" t="str">
        <f t="shared" si="9"/>
        <v/>
      </c>
      <c r="O114" s="38" t="str">
        <f t="shared" si="10"/>
        <v/>
      </c>
      <c r="P114" s="39" t="str">
        <f t="shared" si="11"/>
        <v/>
      </c>
      <c r="Q114" s="14"/>
      <c r="R114" s="28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</row>
    <row r="115" spans="1:440" s="3" customFormat="1" x14ac:dyDescent="0.3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38" t="str">
        <f t="shared" si="9"/>
        <v/>
      </c>
      <c r="O115" s="38" t="str">
        <f t="shared" si="10"/>
        <v/>
      </c>
      <c r="P115" s="39" t="str">
        <f t="shared" si="11"/>
        <v/>
      </c>
      <c r="Q115" s="14"/>
      <c r="R115" s="28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</row>
    <row r="116" spans="1:440" s="3" customFormat="1" x14ac:dyDescent="0.3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38" t="str">
        <f t="shared" si="9"/>
        <v/>
      </c>
      <c r="O116" s="38" t="str">
        <f t="shared" si="10"/>
        <v/>
      </c>
      <c r="P116" s="39" t="str">
        <f t="shared" si="11"/>
        <v/>
      </c>
      <c r="Q116" s="14"/>
      <c r="R116" s="28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</row>
    <row r="117" spans="1:440" s="3" customFormat="1" x14ac:dyDescent="0.3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38" t="str">
        <f t="shared" si="9"/>
        <v/>
      </c>
      <c r="O117" s="38" t="str">
        <f t="shared" si="10"/>
        <v/>
      </c>
      <c r="P117" s="39" t="str">
        <f t="shared" si="11"/>
        <v/>
      </c>
      <c r="Q117" s="14"/>
      <c r="R117" s="28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</row>
    <row r="118" spans="1:440" s="3" customFormat="1" x14ac:dyDescent="0.3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38" t="str">
        <f t="shared" si="9"/>
        <v/>
      </c>
      <c r="O118" s="38" t="str">
        <f t="shared" si="10"/>
        <v/>
      </c>
      <c r="P118" s="39" t="str">
        <f t="shared" si="11"/>
        <v/>
      </c>
      <c r="Q118" s="14"/>
      <c r="R118" s="28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</row>
    <row r="119" spans="1:440" s="7" customFormat="1" x14ac:dyDescent="0.3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38" t="str">
        <f t="shared" si="9"/>
        <v/>
      </c>
      <c r="O119" s="38" t="str">
        <f t="shared" si="10"/>
        <v/>
      </c>
      <c r="P119" s="39" t="str">
        <f t="shared" si="11"/>
        <v/>
      </c>
      <c r="Q119" s="14"/>
      <c r="R119" s="28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</row>
    <row r="120" spans="1:440" s="7" customFormat="1" x14ac:dyDescent="0.3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38" t="str">
        <f t="shared" si="9"/>
        <v/>
      </c>
      <c r="O120" s="38" t="str">
        <f t="shared" si="10"/>
        <v/>
      </c>
      <c r="P120" s="39" t="str">
        <f t="shared" si="11"/>
        <v/>
      </c>
      <c r="Q120" s="14"/>
      <c r="R120" s="28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</row>
    <row r="121" spans="1:440" s="3" customFormat="1" x14ac:dyDescent="0.3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38" t="str">
        <f t="shared" si="9"/>
        <v/>
      </c>
      <c r="O121" s="38" t="str">
        <f t="shared" si="10"/>
        <v/>
      </c>
      <c r="P121" s="39" t="str">
        <f t="shared" si="11"/>
        <v/>
      </c>
      <c r="Q121" s="14"/>
      <c r="R121" s="28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</row>
    <row r="122" spans="1:440" s="3" customFormat="1" x14ac:dyDescent="0.3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38" t="str">
        <f t="shared" si="9"/>
        <v/>
      </c>
      <c r="O122" s="38" t="str">
        <f t="shared" si="10"/>
        <v/>
      </c>
      <c r="P122" s="39" t="str">
        <f t="shared" si="11"/>
        <v/>
      </c>
      <c r="Q122" s="14"/>
      <c r="R122" s="28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</row>
    <row r="123" spans="1:440" s="7" customFormat="1" x14ac:dyDescent="0.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38" t="str">
        <f t="shared" si="9"/>
        <v/>
      </c>
      <c r="O123" s="38" t="str">
        <f t="shared" si="10"/>
        <v/>
      </c>
      <c r="P123" s="39" t="str">
        <f t="shared" si="11"/>
        <v/>
      </c>
      <c r="Q123" s="14"/>
      <c r="R123" s="28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</row>
    <row r="124" spans="1:440" s="3" customFormat="1" x14ac:dyDescent="0.3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38" t="str">
        <f t="shared" si="9"/>
        <v/>
      </c>
      <c r="O124" s="38" t="str">
        <f t="shared" si="10"/>
        <v/>
      </c>
      <c r="P124" s="39" t="str">
        <f t="shared" si="11"/>
        <v/>
      </c>
      <c r="Q124" s="14"/>
      <c r="R124" s="28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</row>
    <row r="125" spans="1:440" s="3" customFormat="1" x14ac:dyDescent="0.3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38" t="str">
        <f t="shared" si="9"/>
        <v/>
      </c>
      <c r="O125" s="38" t="str">
        <f t="shared" si="10"/>
        <v/>
      </c>
      <c r="P125" s="39" t="str">
        <f t="shared" si="11"/>
        <v/>
      </c>
      <c r="Q125" s="14"/>
      <c r="R125" s="28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</row>
    <row r="126" spans="1:440" s="3" customFormat="1" x14ac:dyDescent="0.3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38" t="str">
        <f t="shared" si="9"/>
        <v/>
      </c>
      <c r="O126" s="38" t="str">
        <f t="shared" si="10"/>
        <v/>
      </c>
      <c r="P126" s="39" t="str">
        <f t="shared" si="11"/>
        <v/>
      </c>
      <c r="Q126" s="14"/>
      <c r="R126" s="28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</row>
    <row r="127" spans="1:440" s="3" customFormat="1" x14ac:dyDescent="0.3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38" t="str">
        <f t="shared" si="9"/>
        <v/>
      </c>
      <c r="O127" s="38" t="str">
        <f t="shared" si="10"/>
        <v/>
      </c>
      <c r="P127" s="39" t="str">
        <f t="shared" si="11"/>
        <v/>
      </c>
      <c r="Q127" s="14"/>
      <c r="R127" s="28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</row>
    <row r="128" spans="1:440" s="7" customFormat="1" x14ac:dyDescent="0.3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38" t="str">
        <f t="shared" si="9"/>
        <v/>
      </c>
      <c r="O128" s="38" t="str">
        <f t="shared" si="10"/>
        <v/>
      </c>
      <c r="P128" s="39" t="str">
        <f t="shared" si="11"/>
        <v/>
      </c>
      <c r="Q128" s="14"/>
      <c r="R128" s="28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</row>
    <row r="129" spans="1:440" s="11" customFormat="1" x14ac:dyDescent="0.3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38" t="str">
        <f t="shared" si="9"/>
        <v/>
      </c>
      <c r="O129" s="38" t="str">
        <f t="shared" si="10"/>
        <v/>
      </c>
      <c r="P129" s="39" t="str">
        <f t="shared" si="11"/>
        <v/>
      </c>
      <c r="Q129" s="14"/>
      <c r="R129" s="28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</row>
    <row r="130" spans="1:440" s="3" customFormat="1" x14ac:dyDescent="0.3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38" t="str">
        <f t="shared" si="9"/>
        <v/>
      </c>
      <c r="O130" s="38" t="str">
        <f t="shared" si="10"/>
        <v/>
      </c>
      <c r="P130" s="39" t="str">
        <f t="shared" si="11"/>
        <v/>
      </c>
      <c r="Q130" s="14"/>
      <c r="R130" s="28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</row>
    <row r="131" spans="1:440" s="7" customFormat="1" x14ac:dyDescent="0.3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38" t="str">
        <f t="shared" si="9"/>
        <v/>
      </c>
      <c r="O131" s="38" t="str">
        <f t="shared" si="10"/>
        <v/>
      </c>
      <c r="P131" s="39" t="str">
        <f t="shared" si="11"/>
        <v/>
      </c>
      <c r="Q131" s="14"/>
      <c r="R131" s="28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</row>
    <row r="132" spans="1:440" s="3" customFormat="1" x14ac:dyDescent="0.3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38" t="str">
        <f t="shared" ref="N132:N163" si="12">IF(AND(ISBLANK(E132),ISBLANK(F132),ISBLANK(G132),ISBLANK(H132),ISBLANK(I132),ISBLANK(J132),ISBLANK(K132),ISBLANK(L132),ISBLANK(M132)),"",SUM(F132:M132))</f>
        <v/>
      </c>
      <c r="O132" s="38" t="str">
        <f t="shared" ref="O132:O163" si="13">IF(AND(ISBLANK(E132), ISBLANK(F132), ISBLANK(G132), ISBLANK(H132), ISBLANK(I132), ISBLANK(J132), ISBLANK(K132), ISBLANK(L132), ISBLANK(M132)), "", E132-N132)</f>
        <v/>
      </c>
      <c r="P132" s="39" t="str">
        <f t="shared" ref="P132:P163" si="14">IF(AND(ISBLANK(E132),ISBLANK(F132),ISBLANK(G132),ISBLANK(H132),ISBLANK(I132),ISBLANK(J132),ISBLANK(K132),ISBLANK(L132),ISBLANK(M132)),"",N132/E132)</f>
        <v/>
      </c>
      <c r="Q132" s="14"/>
      <c r="R132" s="28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</row>
    <row r="133" spans="1:440" s="3" customFormat="1" x14ac:dyDescent="0.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38" t="str">
        <f t="shared" si="12"/>
        <v/>
      </c>
      <c r="O133" s="38" t="str">
        <f t="shared" si="13"/>
        <v/>
      </c>
      <c r="P133" s="39" t="str">
        <f t="shared" si="14"/>
        <v/>
      </c>
      <c r="Q133" s="14"/>
      <c r="R133" s="28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</row>
    <row r="134" spans="1:440" s="3" customFormat="1" x14ac:dyDescent="0.3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38" t="str">
        <f t="shared" si="12"/>
        <v/>
      </c>
      <c r="O134" s="38" t="str">
        <f t="shared" si="13"/>
        <v/>
      </c>
      <c r="P134" s="39" t="str">
        <f t="shared" si="14"/>
        <v/>
      </c>
      <c r="Q134" s="14"/>
      <c r="R134" s="28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</row>
    <row r="135" spans="1:440" s="3" customFormat="1" x14ac:dyDescent="0.3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38" t="str">
        <f t="shared" si="12"/>
        <v/>
      </c>
      <c r="O135" s="38" t="str">
        <f t="shared" si="13"/>
        <v/>
      </c>
      <c r="P135" s="39" t="str">
        <f t="shared" si="14"/>
        <v/>
      </c>
      <c r="Q135" s="14"/>
      <c r="R135" s="28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</row>
    <row r="136" spans="1:440" s="3" customFormat="1" x14ac:dyDescent="0.3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38" t="str">
        <f t="shared" si="12"/>
        <v/>
      </c>
      <c r="O136" s="38" t="str">
        <f t="shared" si="13"/>
        <v/>
      </c>
      <c r="P136" s="39" t="str">
        <f t="shared" si="14"/>
        <v/>
      </c>
      <c r="Q136" s="14"/>
      <c r="R136" s="28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</row>
    <row r="137" spans="1:440" s="7" customFormat="1" x14ac:dyDescent="0.3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38" t="str">
        <f t="shared" si="12"/>
        <v/>
      </c>
      <c r="O137" s="38" t="str">
        <f t="shared" si="13"/>
        <v/>
      </c>
      <c r="P137" s="39" t="str">
        <f t="shared" si="14"/>
        <v/>
      </c>
      <c r="Q137" s="14"/>
      <c r="R137" s="28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</row>
    <row r="138" spans="1:440" s="3" customFormat="1" x14ac:dyDescent="0.3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38" t="str">
        <f t="shared" si="12"/>
        <v/>
      </c>
      <c r="O138" s="38" t="str">
        <f t="shared" si="13"/>
        <v/>
      </c>
      <c r="P138" s="39" t="str">
        <f t="shared" si="14"/>
        <v/>
      </c>
      <c r="Q138" s="14"/>
      <c r="R138" s="28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</row>
    <row r="139" spans="1:440" s="3" customFormat="1" x14ac:dyDescent="0.3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38" t="str">
        <f t="shared" si="12"/>
        <v/>
      </c>
      <c r="O139" s="38" t="str">
        <f t="shared" si="13"/>
        <v/>
      </c>
      <c r="P139" s="39" t="str">
        <f t="shared" si="14"/>
        <v/>
      </c>
      <c r="Q139" s="14"/>
      <c r="R139" s="28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</row>
    <row r="140" spans="1:440" s="6" customFormat="1" x14ac:dyDescent="0.3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38" t="str">
        <f t="shared" si="12"/>
        <v/>
      </c>
      <c r="O140" s="38" t="str">
        <f t="shared" si="13"/>
        <v/>
      </c>
      <c r="P140" s="39" t="str">
        <f t="shared" si="14"/>
        <v/>
      </c>
      <c r="Q140" s="14"/>
      <c r="R140" s="28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</row>
    <row r="141" spans="1:440" s="10" customFormat="1" x14ac:dyDescent="0.3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38" t="str">
        <f t="shared" si="12"/>
        <v/>
      </c>
      <c r="O141" s="38" t="str">
        <f t="shared" si="13"/>
        <v/>
      </c>
      <c r="P141" s="39" t="str">
        <f t="shared" si="14"/>
        <v/>
      </c>
      <c r="Q141" s="14"/>
      <c r="R141" s="28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</row>
    <row r="142" spans="1:440" s="7" customFormat="1" x14ac:dyDescent="0.3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38" t="str">
        <f t="shared" si="12"/>
        <v/>
      </c>
      <c r="O142" s="38" t="str">
        <f t="shared" si="13"/>
        <v/>
      </c>
      <c r="P142" s="39" t="str">
        <f t="shared" si="14"/>
        <v/>
      </c>
      <c r="Q142" s="14"/>
      <c r="R142" s="28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</row>
    <row r="143" spans="1:440" s="7" customFormat="1" x14ac:dyDescent="0.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38" t="str">
        <f t="shared" si="12"/>
        <v/>
      </c>
      <c r="O143" s="38" t="str">
        <f t="shared" si="13"/>
        <v/>
      </c>
      <c r="P143" s="39" t="str">
        <f t="shared" si="14"/>
        <v/>
      </c>
      <c r="Q143" s="14"/>
      <c r="R143" s="28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</row>
    <row r="144" spans="1:440" s="3" customFormat="1" x14ac:dyDescent="0.3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38" t="str">
        <f t="shared" si="12"/>
        <v/>
      </c>
      <c r="O144" s="38" t="str">
        <f t="shared" si="13"/>
        <v/>
      </c>
      <c r="P144" s="39" t="str">
        <f t="shared" si="14"/>
        <v/>
      </c>
      <c r="Q144" s="14"/>
      <c r="R144" s="28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</row>
    <row r="145" spans="1:440" s="3" customFormat="1" x14ac:dyDescent="0.3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38" t="str">
        <f t="shared" si="12"/>
        <v/>
      </c>
      <c r="O145" s="38" t="str">
        <f t="shared" si="13"/>
        <v/>
      </c>
      <c r="P145" s="39" t="str">
        <f t="shared" si="14"/>
        <v/>
      </c>
      <c r="Q145" s="14"/>
      <c r="R145" s="28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</row>
    <row r="146" spans="1:440" s="3" customFormat="1" x14ac:dyDescent="0.3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38" t="str">
        <f t="shared" si="12"/>
        <v/>
      </c>
      <c r="O146" s="38" t="str">
        <f t="shared" si="13"/>
        <v/>
      </c>
      <c r="P146" s="39" t="str">
        <f t="shared" si="14"/>
        <v/>
      </c>
      <c r="Q146" s="14"/>
      <c r="R146" s="28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</row>
    <row r="147" spans="1:440" s="3" customFormat="1" x14ac:dyDescent="0.3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38" t="str">
        <f t="shared" si="12"/>
        <v/>
      </c>
      <c r="O147" s="38" t="str">
        <f t="shared" si="13"/>
        <v/>
      </c>
      <c r="P147" s="39" t="str">
        <f t="shared" si="14"/>
        <v/>
      </c>
      <c r="Q147" s="14"/>
      <c r="R147" s="28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</row>
    <row r="148" spans="1:440" s="3" customFormat="1" x14ac:dyDescent="0.3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38" t="str">
        <f t="shared" si="12"/>
        <v/>
      </c>
      <c r="O148" s="38" t="str">
        <f t="shared" si="13"/>
        <v/>
      </c>
      <c r="P148" s="39" t="str">
        <f t="shared" si="14"/>
        <v/>
      </c>
      <c r="Q148" s="14"/>
      <c r="R148" s="28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</row>
    <row r="149" spans="1:440" s="3" customFormat="1" x14ac:dyDescent="0.3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38" t="str">
        <f t="shared" si="12"/>
        <v/>
      </c>
      <c r="O149" s="38" t="str">
        <f t="shared" si="13"/>
        <v/>
      </c>
      <c r="P149" s="39" t="str">
        <f t="shared" si="14"/>
        <v/>
      </c>
      <c r="Q149" s="14"/>
      <c r="R149" s="28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</row>
    <row r="150" spans="1:440" s="3" customFormat="1" x14ac:dyDescent="0.3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38" t="str">
        <f t="shared" si="12"/>
        <v/>
      </c>
      <c r="O150" s="38" t="str">
        <f t="shared" si="13"/>
        <v/>
      </c>
      <c r="P150" s="39" t="str">
        <f t="shared" si="14"/>
        <v/>
      </c>
      <c r="Q150" s="14"/>
      <c r="R150" s="28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</row>
    <row r="151" spans="1:440" s="3" customFormat="1" x14ac:dyDescent="0.3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38" t="str">
        <f t="shared" si="12"/>
        <v/>
      </c>
      <c r="O151" s="38" t="str">
        <f t="shared" si="13"/>
        <v/>
      </c>
      <c r="P151" s="39" t="str">
        <f t="shared" si="14"/>
        <v/>
      </c>
      <c r="Q151" s="14"/>
      <c r="R151" s="28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</row>
    <row r="152" spans="1:440" s="3" customFormat="1" x14ac:dyDescent="0.3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38" t="str">
        <f t="shared" si="12"/>
        <v/>
      </c>
      <c r="O152" s="38" t="str">
        <f t="shared" si="13"/>
        <v/>
      </c>
      <c r="P152" s="39" t="str">
        <f t="shared" si="14"/>
        <v/>
      </c>
      <c r="Q152" s="14"/>
      <c r="R152" s="28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</row>
    <row r="153" spans="1:440" s="7" customFormat="1" x14ac:dyDescent="0.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38" t="str">
        <f t="shared" si="12"/>
        <v/>
      </c>
      <c r="O153" s="38" t="str">
        <f t="shared" si="13"/>
        <v/>
      </c>
      <c r="P153" s="39" t="str">
        <f t="shared" si="14"/>
        <v/>
      </c>
      <c r="Q153" s="14"/>
      <c r="R153" s="28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</row>
    <row r="154" spans="1:440" s="12" customFormat="1" ht="15.75" x14ac:dyDescent="0.25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38" t="str">
        <f t="shared" si="12"/>
        <v/>
      </c>
      <c r="O154" s="38" t="str">
        <f t="shared" si="13"/>
        <v/>
      </c>
      <c r="P154" s="39" t="str">
        <f t="shared" si="14"/>
        <v/>
      </c>
      <c r="Q154" s="14"/>
      <c r="R154" s="28"/>
    </row>
    <row r="155" spans="1:440" x14ac:dyDescent="0.3">
      <c r="C155" s="15"/>
      <c r="N155" s="38" t="str">
        <f t="shared" si="12"/>
        <v/>
      </c>
      <c r="O155" s="38" t="str">
        <f t="shared" si="13"/>
        <v/>
      </c>
      <c r="P155" s="39" t="str">
        <f t="shared" si="14"/>
        <v/>
      </c>
      <c r="Q155" s="15"/>
      <c r="R155" s="41"/>
      <c r="S155" s="5"/>
      <c r="T155" s="5"/>
      <c r="U155" s="5"/>
      <c r="V155" s="5"/>
      <c r="W155" s="5"/>
      <c r="X155" s="5"/>
      <c r="Y155" s="5"/>
      <c r="Z155" s="5"/>
    </row>
    <row r="156" spans="1:440" x14ac:dyDescent="0.3">
      <c r="C156" s="15"/>
      <c r="N156" s="38" t="str">
        <f t="shared" si="12"/>
        <v/>
      </c>
      <c r="O156" s="38" t="str">
        <f t="shared" si="13"/>
        <v/>
      </c>
      <c r="P156" s="39" t="str">
        <f t="shared" si="14"/>
        <v/>
      </c>
      <c r="Q156" s="15"/>
      <c r="R156" s="41"/>
      <c r="S156" s="5"/>
      <c r="T156" s="5"/>
      <c r="U156" s="5"/>
      <c r="V156" s="5"/>
      <c r="W156" s="5"/>
      <c r="X156" s="5"/>
      <c r="Y156" s="5"/>
      <c r="Z156" s="5"/>
    </row>
    <row r="157" spans="1:440" x14ac:dyDescent="0.3">
      <c r="C157" s="15"/>
      <c r="N157" s="38" t="str">
        <f t="shared" si="12"/>
        <v/>
      </c>
      <c r="O157" s="38" t="str">
        <f t="shared" si="13"/>
        <v/>
      </c>
      <c r="P157" s="39" t="str">
        <f t="shared" si="14"/>
        <v/>
      </c>
      <c r="Q157" s="15"/>
      <c r="R157" s="41"/>
      <c r="S157" s="5"/>
      <c r="T157" s="5"/>
      <c r="U157" s="5"/>
      <c r="V157" s="5"/>
      <c r="W157" s="5"/>
      <c r="X157" s="5"/>
      <c r="Y157" s="5"/>
      <c r="Z157" s="5"/>
    </row>
    <row r="158" spans="1:440" x14ac:dyDescent="0.3">
      <c r="C158" s="15"/>
      <c r="N158" s="38" t="str">
        <f t="shared" si="12"/>
        <v/>
      </c>
      <c r="O158" s="38" t="str">
        <f t="shared" si="13"/>
        <v/>
      </c>
      <c r="P158" s="39" t="str">
        <f t="shared" si="14"/>
        <v/>
      </c>
      <c r="Q158" s="15"/>
      <c r="R158" s="41"/>
      <c r="S158" s="5"/>
      <c r="T158" s="5"/>
      <c r="U158" s="5"/>
      <c r="V158" s="5"/>
      <c r="W158" s="5"/>
      <c r="X158" s="5"/>
      <c r="Y158" s="5"/>
      <c r="Z158" s="5"/>
    </row>
    <row r="159" spans="1:440" x14ac:dyDescent="0.3">
      <c r="C159" s="15"/>
      <c r="N159" s="38" t="str">
        <f t="shared" si="12"/>
        <v/>
      </c>
      <c r="O159" s="38" t="str">
        <f t="shared" si="13"/>
        <v/>
      </c>
      <c r="P159" s="39" t="str">
        <f t="shared" si="14"/>
        <v/>
      </c>
      <c r="Q159" s="15"/>
      <c r="R159" s="41"/>
      <c r="S159" s="5"/>
      <c r="T159" s="5"/>
      <c r="U159" s="5"/>
      <c r="V159" s="5"/>
      <c r="W159" s="5"/>
      <c r="X159" s="5"/>
      <c r="Y159" s="5"/>
      <c r="Z159" s="5"/>
    </row>
    <row r="160" spans="1:440" x14ac:dyDescent="0.3">
      <c r="C160" s="15"/>
      <c r="N160" s="38" t="str">
        <f t="shared" si="12"/>
        <v/>
      </c>
      <c r="O160" s="38" t="str">
        <f t="shared" si="13"/>
        <v/>
      </c>
      <c r="P160" s="39" t="str">
        <f t="shared" si="14"/>
        <v/>
      </c>
      <c r="Q160" s="15"/>
      <c r="R160" s="41"/>
      <c r="S160" s="5"/>
      <c r="T160" s="5"/>
      <c r="U160" s="5"/>
      <c r="V160" s="5"/>
      <c r="W160" s="5"/>
      <c r="X160" s="5"/>
      <c r="Y160" s="5"/>
      <c r="Z160" s="5"/>
    </row>
    <row r="161" spans="1:440" s="16" customFormat="1" x14ac:dyDescent="0.3">
      <c r="A161" s="13"/>
      <c r="I161" s="17"/>
      <c r="N161" s="38" t="str">
        <f t="shared" si="12"/>
        <v/>
      </c>
      <c r="O161" s="38" t="str">
        <f t="shared" si="13"/>
        <v/>
      </c>
      <c r="P161" s="39" t="str">
        <f t="shared" si="14"/>
        <v/>
      </c>
      <c r="R161" s="40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</row>
    <row r="162" spans="1:440" s="16" customFormat="1" x14ac:dyDescent="0.3">
      <c r="A162" s="13"/>
      <c r="I162" s="17"/>
      <c r="N162" s="38" t="str">
        <f t="shared" si="12"/>
        <v/>
      </c>
      <c r="O162" s="38" t="str">
        <f t="shared" si="13"/>
        <v/>
      </c>
      <c r="P162" s="39" t="str">
        <f t="shared" si="14"/>
        <v/>
      </c>
      <c r="R162" s="40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</row>
    <row r="163" spans="1:440" s="16" customFormat="1" x14ac:dyDescent="0.3">
      <c r="A163" s="13"/>
      <c r="I163" s="17"/>
      <c r="N163" s="38" t="str">
        <f t="shared" si="12"/>
        <v/>
      </c>
      <c r="O163" s="38" t="str">
        <f t="shared" si="13"/>
        <v/>
      </c>
      <c r="P163" s="39" t="str">
        <f t="shared" si="14"/>
        <v/>
      </c>
      <c r="R163" s="40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</row>
    <row r="164" spans="1:440" s="16" customFormat="1" x14ac:dyDescent="0.3">
      <c r="A164" s="13"/>
      <c r="I164" s="17"/>
      <c r="N164" s="38" t="str">
        <f t="shared" ref="N164:N195" si="15">IF(AND(ISBLANK(E164),ISBLANK(F164),ISBLANK(G164),ISBLANK(H164),ISBLANK(I164),ISBLANK(J164),ISBLANK(K164),ISBLANK(L164),ISBLANK(M164)),"",SUM(F164:M164))</f>
        <v/>
      </c>
      <c r="O164" s="38" t="str">
        <f t="shared" ref="O164:O195" si="16">IF(AND(ISBLANK(E164), ISBLANK(F164), ISBLANK(G164), ISBLANK(H164), ISBLANK(I164), ISBLANK(J164), ISBLANK(K164), ISBLANK(L164), ISBLANK(M164)), "", E164-N164)</f>
        <v/>
      </c>
      <c r="P164" s="39" t="str">
        <f t="shared" ref="P164:P195" si="17">IF(AND(ISBLANK(E164),ISBLANK(F164),ISBLANK(G164),ISBLANK(H164),ISBLANK(I164),ISBLANK(J164),ISBLANK(K164),ISBLANK(L164),ISBLANK(M164)),"",N164/E164)</f>
        <v/>
      </c>
      <c r="R164" s="40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</row>
    <row r="165" spans="1:440" s="16" customFormat="1" x14ac:dyDescent="0.3">
      <c r="A165" s="13"/>
      <c r="I165" s="17"/>
      <c r="N165" s="38" t="str">
        <f t="shared" si="15"/>
        <v/>
      </c>
      <c r="O165" s="38" t="str">
        <f t="shared" si="16"/>
        <v/>
      </c>
      <c r="P165" s="39" t="str">
        <f t="shared" si="17"/>
        <v/>
      </c>
      <c r="R165" s="40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</row>
    <row r="166" spans="1:440" s="16" customFormat="1" x14ac:dyDescent="0.3">
      <c r="A166" s="13"/>
      <c r="I166" s="17"/>
      <c r="N166" s="38" t="str">
        <f t="shared" si="15"/>
        <v/>
      </c>
      <c r="O166" s="38" t="str">
        <f t="shared" si="16"/>
        <v/>
      </c>
      <c r="P166" s="39" t="str">
        <f t="shared" si="17"/>
        <v/>
      </c>
      <c r="R166" s="40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</row>
    <row r="167" spans="1:440" s="16" customFormat="1" x14ac:dyDescent="0.3">
      <c r="A167" s="13"/>
      <c r="I167" s="17"/>
      <c r="N167" s="38" t="str">
        <f t="shared" si="15"/>
        <v/>
      </c>
      <c r="O167" s="38" t="str">
        <f t="shared" si="16"/>
        <v/>
      </c>
      <c r="P167" s="39" t="str">
        <f t="shared" si="17"/>
        <v/>
      </c>
      <c r="R167" s="40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</row>
    <row r="168" spans="1:440" s="16" customFormat="1" x14ac:dyDescent="0.3">
      <c r="A168" s="13"/>
      <c r="I168" s="17"/>
      <c r="N168" s="38" t="str">
        <f t="shared" si="15"/>
        <v/>
      </c>
      <c r="O168" s="38" t="str">
        <f t="shared" si="16"/>
        <v/>
      </c>
      <c r="P168" s="39" t="str">
        <f t="shared" si="17"/>
        <v/>
      </c>
      <c r="R168" s="40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</row>
    <row r="169" spans="1:440" s="16" customFormat="1" x14ac:dyDescent="0.3">
      <c r="A169" s="13"/>
      <c r="I169" s="17"/>
      <c r="N169" s="38" t="str">
        <f t="shared" si="15"/>
        <v/>
      </c>
      <c r="O169" s="38" t="str">
        <f t="shared" si="16"/>
        <v/>
      </c>
      <c r="P169" s="39" t="str">
        <f t="shared" si="17"/>
        <v/>
      </c>
      <c r="R169" s="40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</row>
    <row r="170" spans="1:440" s="16" customFormat="1" x14ac:dyDescent="0.3">
      <c r="A170" s="13"/>
      <c r="I170" s="17"/>
      <c r="N170" s="38" t="str">
        <f t="shared" si="15"/>
        <v/>
      </c>
      <c r="O170" s="38" t="str">
        <f t="shared" si="16"/>
        <v/>
      </c>
      <c r="P170" s="39" t="str">
        <f t="shared" si="17"/>
        <v/>
      </c>
      <c r="R170" s="40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</row>
    <row r="171" spans="1:440" s="16" customFormat="1" x14ac:dyDescent="0.3">
      <c r="A171" s="13"/>
      <c r="I171" s="17"/>
      <c r="N171" s="38" t="str">
        <f t="shared" si="15"/>
        <v/>
      </c>
      <c r="O171" s="38" t="str">
        <f t="shared" si="16"/>
        <v/>
      </c>
      <c r="P171" s="39" t="str">
        <f t="shared" si="17"/>
        <v/>
      </c>
      <c r="R171" s="40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</row>
    <row r="172" spans="1:440" s="16" customFormat="1" x14ac:dyDescent="0.3">
      <c r="A172" s="13"/>
      <c r="I172" s="17"/>
      <c r="N172" s="38" t="str">
        <f t="shared" si="15"/>
        <v/>
      </c>
      <c r="O172" s="38" t="str">
        <f t="shared" si="16"/>
        <v/>
      </c>
      <c r="P172" s="39" t="str">
        <f t="shared" si="17"/>
        <v/>
      </c>
      <c r="R172" s="40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</row>
    <row r="173" spans="1:440" s="16" customFormat="1" x14ac:dyDescent="0.3">
      <c r="A173" s="13"/>
      <c r="I173" s="17"/>
      <c r="N173" s="38" t="str">
        <f t="shared" si="15"/>
        <v/>
      </c>
      <c r="O173" s="38" t="str">
        <f t="shared" si="16"/>
        <v/>
      </c>
      <c r="P173" s="39" t="str">
        <f t="shared" si="17"/>
        <v/>
      </c>
      <c r="R173" s="40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</row>
    <row r="174" spans="1:440" s="16" customFormat="1" x14ac:dyDescent="0.3">
      <c r="A174" s="13"/>
      <c r="I174" s="17"/>
      <c r="N174" s="38" t="str">
        <f t="shared" si="15"/>
        <v/>
      </c>
      <c r="O174" s="38" t="str">
        <f t="shared" si="16"/>
        <v/>
      </c>
      <c r="P174" s="39" t="str">
        <f t="shared" si="17"/>
        <v/>
      </c>
      <c r="R174" s="40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</row>
    <row r="175" spans="1:440" s="16" customFormat="1" x14ac:dyDescent="0.3">
      <c r="A175" s="13"/>
      <c r="I175" s="17"/>
      <c r="N175" s="38" t="str">
        <f t="shared" si="15"/>
        <v/>
      </c>
      <c r="O175" s="38" t="str">
        <f t="shared" si="16"/>
        <v/>
      </c>
      <c r="P175" s="39" t="str">
        <f t="shared" si="17"/>
        <v/>
      </c>
      <c r="R175" s="40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</row>
    <row r="176" spans="1:440" s="16" customFormat="1" x14ac:dyDescent="0.3">
      <c r="A176" s="13"/>
      <c r="I176" s="17"/>
      <c r="N176" s="38" t="str">
        <f t="shared" si="15"/>
        <v/>
      </c>
      <c r="O176" s="38" t="str">
        <f t="shared" si="16"/>
        <v/>
      </c>
      <c r="P176" s="39" t="str">
        <f t="shared" si="17"/>
        <v/>
      </c>
      <c r="R176" s="40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</row>
    <row r="177" spans="1:440" s="16" customFormat="1" x14ac:dyDescent="0.3">
      <c r="A177" s="13"/>
      <c r="I177" s="17"/>
      <c r="N177" s="38" t="str">
        <f t="shared" si="15"/>
        <v/>
      </c>
      <c r="O177" s="38" t="str">
        <f t="shared" si="16"/>
        <v/>
      </c>
      <c r="P177" s="39" t="str">
        <f t="shared" si="17"/>
        <v/>
      </c>
      <c r="R177" s="40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</row>
    <row r="178" spans="1:440" s="16" customFormat="1" x14ac:dyDescent="0.3">
      <c r="A178" s="13"/>
      <c r="I178" s="17"/>
      <c r="N178" s="38" t="str">
        <f t="shared" si="15"/>
        <v/>
      </c>
      <c r="O178" s="38" t="str">
        <f t="shared" si="16"/>
        <v/>
      </c>
      <c r="P178" s="39" t="str">
        <f t="shared" si="17"/>
        <v/>
      </c>
      <c r="R178" s="40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</row>
    <row r="179" spans="1:440" s="16" customFormat="1" x14ac:dyDescent="0.3">
      <c r="A179" s="13"/>
      <c r="I179" s="17"/>
      <c r="N179" s="38" t="str">
        <f t="shared" si="15"/>
        <v/>
      </c>
      <c r="O179" s="38" t="str">
        <f t="shared" si="16"/>
        <v/>
      </c>
      <c r="P179" s="39" t="str">
        <f t="shared" si="17"/>
        <v/>
      </c>
      <c r="R179" s="40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</row>
    <row r="180" spans="1:440" s="16" customFormat="1" x14ac:dyDescent="0.3">
      <c r="A180" s="13"/>
      <c r="I180" s="17"/>
      <c r="N180" s="38" t="str">
        <f t="shared" si="15"/>
        <v/>
      </c>
      <c r="O180" s="38" t="str">
        <f t="shared" si="16"/>
        <v/>
      </c>
      <c r="P180" s="39" t="str">
        <f t="shared" si="17"/>
        <v/>
      </c>
      <c r="R180" s="40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</row>
    <row r="181" spans="1:440" s="16" customFormat="1" x14ac:dyDescent="0.3">
      <c r="A181" s="13"/>
      <c r="I181" s="17"/>
      <c r="N181" s="38" t="str">
        <f t="shared" si="15"/>
        <v/>
      </c>
      <c r="O181" s="38" t="str">
        <f t="shared" si="16"/>
        <v/>
      </c>
      <c r="P181" s="39" t="str">
        <f t="shared" si="17"/>
        <v/>
      </c>
      <c r="R181" s="40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</row>
    <row r="182" spans="1:440" s="16" customFormat="1" x14ac:dyDescent="0.3">
      <c r="A182" s="13"/>
      <c r="I182" s="17"/>
      <c r="N182" s="38" t="str">
        <f t="shared" si="15"/>
        <v/>
      </c>
      <c r="O182" s="38" t="str">
        <f t="shared" si="16"/>
        <v/>
      </c>
      <c r="P182" s="39" t="str">
        <f t="shared" si="17"/>
        <v/>
      </c>
      <c r="R182" s="40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</row>
    <row r="183" spans="1:440" s="16" customFormat="1" x14ac:dyDescent="0.3">
      <c r="A183" s="13"/>
      <c r="I183" s="17"/>
      <c r="N183" s="38" t="str">
        <f t="shared" si="15"/>
        <v/>
      </c>
      <c r="O183" s="38" t="str">
        <f t="shared" si="16"/>
        <v/>
      </c>
      <c r="P183" s="39" t="str">
        <f t="shared" si="17"/>
        <v/>
      </c>
      <c r="R183" s="40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</row>
    <row r="184" spans="1:440" s="16" customFormat="1" x14ac:dyDescent="0.3">
      <c r="A184" s="13"/>
      <c r="I184" s="17"/>
      <c r="N184" s="38" t="str">
        <f t="shared" si="15"/>
        <v/>
      </c>
      <c r="O184" s="38" t="str">
        <f t="shared" si="16"/>
        <v/>
      </c>
      <c r="P184" s="39" t="str">
        <f t="shared" si="17"/>
        <v/>
      </c>
      <c r="R184" s="40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</row>
    <row r="185" spans="1:440" s="16" customFormat="1" x14ac:dyDescent="0.3">
      <c r="A185" s="13"/>
      <c r="I185" s="17"/>
      <c r="N185" s="38" t="str">
        <f t="shared" si="15"/>
        <v/>
      </c>
      <c r="O185" s="38" t="str">
        <f t="shared" si="16"/>
        <v/>
      </c>
      <c r="P185" s="39" t="str">
        <f t="shared" si="17"/>
        <v/>
      </c>
      <c r="R185" s="40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</row>
    <row r="186" spans="1:440" s="16" customFormat="1" x14ac:dyDescent="0.3">
      <c r="A186" s="13"/>
      <c r="I186" s="17"/>
      <c r="N186" s="38" t="str">
        <f t="shared" si="15"/>
        <v/>
      </c>
      <c r="O186" s="38" t="str">
        <f t="shared" si="16"/>
        <v/>
      </c>
      <c r="P186" s="39" t="str">
        <f t="shared" si="17"/>
        <v/>
      </c>
      <c r="R186" s="40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</row>
    <row r="187" spans="1:440" s="16" customFormat="1" x14ac:dyDescent="0.3">
      <c r="A187" s="13"/>
      <c r="I187" s="17"/>
      <c r="N187" s="38" t="str">
        <f t="shared" si="15"/>
        <v/>
      </c>
      <c r="O187" s="38" t="str">
        <f t="shared" si="16"/>
        <v/>
      </c>
      <c r="P187" s="39" t="str">
        <f t="shared" si="17"/>
        <v/>
      </c>
      <c r="R187" s="40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</row>
    <row r="188" spans="1:440" s="16" customFormat="1" x14ac:dyDescent="0.3">
      <c r="A188" s="13"/>
      <c r="I188" s="17"/>
      <c r="N188" s="38" t="str">
        <f t="shared" si="15"/>
        <v/>
      </c>
      <c r="O188" s="38" t="str">
        <f t="shared" si="16"/>
        <v/>
      </c>
      <c r="P188" s="39" t="str">
        <f t="shared" si="17"/>
        <v/>
      </c>
      <c r="R188" s="40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</row>
    <row r="189" spans="1:440" s="16" customFormat="1" x14ac:dyDescent="0.3">
      <c r="A189" s="13"/>
      <c r="I189" s="17"/>
      <c r="N189" s="38" t="str">
        <f t="shared" si="15"/>
        <v/>
      </c>
      <c r="O189" s="38" t="str">
        <f t="shared" si="16"/>
        <v/>
      </c>
      <c r="P189" s="39" t="str">
        <f t="shared" si="17"/>
        <v/>
      </c>
      <c r="R189" s="40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</row>
    <row r="190" spans="1:440" s="16" customFormat="1" x14ac:dyDescent="0.3">
      <c r="A190" s="13"/>
      <c r="I190" s="17"/>
      <c r="N190" s="38" t="str">
        <f t="shared" si="15"/>
        <v/>
      </c>
      <c r="O190" s="38" t="str">
        <f t="shared" si="16"/>
        <v/>
      </c>
      <c r="P190" s="39" t="str">
        <f t="shared" si="17"/>
        <v/>
      </c>
      <c r="R190" s="40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</row>
    <row r="191" spans="1:440" s="16" customFormat="1" x14ac:dyDescent="0.3">
      <c r="A191" s="13"/>
      <c r="I191" s="17"/>
      <c r="N191" s="38" t="str">
        <f t="shared" si="15"/>
        <v/>
      </c>
      <c r="O191" s="38" t="str">
        <f t="shared" si="16"/>
        <v/>
      </c>
      <c r="P191" s="39" t="str">
        <f t="shared" si="17"/>
        <v/>
      </c>
      <c r="R191" s="40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</row>
    <row r="192" spans="1:440" s="16" customFormat="1" x14ac:dyDescent="0.3">
      <c r="A192" s="13"/>
      <c r="I192" s="17"/>
      <c r="N192" s="38" t="str">
        <f t="shared" si="15"/>
        <v/>
      </c>
      <c r="O192" s="38" t="str">
        <f t="shared" si="16"/>
        <v/>
      </c>
      <c r="P192" s="39" t="str">
        <f t="shared" si="17"/>
        <v/>
      </c>
      <c r="R192" s="40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</row>
    <row r="193" spans="1:440" s="16" customFormat="1" x14ac:dyDescent="0.3">
      <c r="A193" s="13"/>
      <c r="I193" s="17"/>
      <c r="N193" s="38" t="str">
        <f t="shared" si="15"/>
        <v/>
      </c>
      <c r="O193" s="38" t="str">
        <f t="shared" si="16"/>
        <v/>
      </c>
      <c r="P193" s="39" t="str">
        <f t="shared" si="17"/>
        <v/>
      </c>
      <c r="R193" s="40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</row>
    <row r="194" spans="1:440" s="16" customFormat="1" x14ac:dyDescent="0.3">
      <c r="A194" s="13"/>
      <c r="I194" s="17"/>
      <c r="N194" s="38" t="str">
        <f t="shared" si="15"/>
        <v/>
      </c>
      <c r="O194" s="38" t="str">
        <f t="shared" si="16"/>
        <v/>
      </c>
      <c r="P194" s="39" t="str">
        <f t="shared" si="17"/>
        <v/>
      </c>
      <c r="R194" s="40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</row>
    <row r="195" spans="1:440" s="16" customFormat="1" x14ac:dyDescent="0.3">
      <c r="A195" s="13"/>
      <c r="I195" s="17"/>
      <c r="N195" s="38" t="str">
        <f t="shared" si="15"/>
        <v/>
      </c>
      <c r="O195" s="38" t="str">
        <f t="shared" si="16"/>
        <v/>
      </c>
      <c r="P195" s="39" t="str">
        <f t="shared" si="17"/>
        <v/>
      </c>
      <c r="R195" s="40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</row>
    <row r="196" spans="1:440" s="16" customFormat="1" x14ac:dyDescent="0.3">
      <c r="A196" s="13"/>
      <c r="I196" s="17"/>
      <c r="N196" s="38" t="str">
        <f t="shared" ref="N196:N201" si="18">IF(AND(ISBLANK(E196),ISBLANK(F196),ISBLANK(G196),ISBLANK(H196),ISBLANK(I196),ISBLANK(J196),ISBLANK(K196),ISBLANK(L196),ISBLANK(M196)),"",SUM(F196:M196))</f>
        <v/>
      </c>
      <c r="O196" s="38" t="str">
        <f t="shared" ref="O196:O201" si="19">IF(AND(ISBLANK(E196), ISBLANK(F196), ISBLANK(G196), ISBLANK(H196), ISBLANK(I196), ISBLANK(J196), ISBLANK(K196), ISBLANK(L196), ISBLANK(M196)), "", E196-N196)</f>
        <v/>
      </c>
      <c r="P196" s="39" t="str">
        <f t="shared" ref="P196:P201" si="20">IF(AND(ISBLANK(E196),ISBLANK(F196),ISBLANK(G196),ISBLANK(H196),ISBLANK(I196),ISBLANK(J196),ISBLANK(K196),ISBLANK(L196),ISBLANK(M196)),"",N196/E196)</f>
        <v/>
      </c>
      <c r="R196" s="40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</row>
    <row r="197" spans="1:440" s="16" customFormat="1" x14ac:dyDescent="0.3">
      <c r="A197" s="13"/>
      <c r="I197" s="17"/>
      <c r="N197" s="38" t="str">
        <f t="shared" si="18"/>
        <v/>
      </c>
      <c r="O197" s="38" t="str">
        <f t="shared" si="19"/>
        <v/>
      </c>
      <c r="P197" s="39" t="str">
        <f t="shared" si="20"/>
        <v/>
      </c>
      <c r="R197" s="40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</row>
    <row r="198" spans="1:440" s="16" customFormat="1" x14ac:dyDescent="0.3">
      <c r="A198" s="13"/>
      <c r="I198" s="17"/>
      <c r="N198" s="38" t="str">
        <f t="shared" si="18"/>
        <v/>
      </c>
      <c r="O198" s="38" t="str">
        <f t="shared" si="19"/>
        <v/>
      </c>
      <c r="P198" s="39" t="str">
        <f t="shared" si="20"/>
        <v/>
      </c>
      <c r="R198" s="40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</row>
    <row r="199" spans="1:440" s="16" customFormat="1" x14ac:dyDescent="0.3">
      <c r="A199" s="13"/>
      <c r="I199" s="17"/>
      <c r="N199" s="38" t="str">
        <f t="shared" si="18"/>
        <v/>
      </c>
      <c r="O199" s="38" t="str">
        <f t="shared" si="19"/>
        <v/>
      </c>
      <c r="P199" s="39" t="str">
        <f t="shared" si="20"/>
        <v/>
      </c>
      <c r="R199" s="40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</row>
    <row r="200" spans="1:440" s="16" customFormat="1" x14ac:dyDescent="0.3">
      <c r="A200" s="13"/>
      <c r="I200" s="17"/>
      <c r="N200" s="38" t="str">
        <f t="shared" si="18"/>
        <v/>
      </c>
      <c r="O200" s="38" t="str">
        <f t="shared" si="19"/>
        <v/>
      </c>
      <c r="P200" s="39" t="str">
        <f t="shared" si="20"/>
        <v/>
      </c>
      <c r="R200" s="40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</row>
    <row r="201" spans="1:440" s="16" customFormat="1" x14ac:dyDescent="0.3">
      <c r="A201" s="13"/>
      <c r="I201" s="17"/>
      <c r="N201" s="38" t="str">
        <f t="shared" si="18"/>
        <v/>
      </c>
      <c r="O201" s="38" t="str">
        <f t="shared" si="19"/>
        <v/>
      </c>
      <c r="P201" s="39" t="str">
        <f t="shared" si="20"/>
        <v/>
      </c>
      <c r="R201" s="40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</row>
  </sheetData>
  <sheetProtection sheet="1" formatCells="0" insertHyperlinks="0" sort="0" autoFilter="0" pivotTables="0"/>
  <protectedRanges>
    <protectedRange sqref="A1:Q1048576" name="Range1"/>
  </protectedRanges>
  <autoFilter ref="A3:Q201" xr:uid="{00000000-0009-0000-0000-000002000000}">
    <sortState xmlns:xlrd2="http://schemas.microsoft.com/office/spreadsheetml/2017/richdata2" ref="A4:Q201">
      <sortCondition ref="A3:A201"/>
    </sortState>
  </autoFilter>
  <mergeCells count="1">
    <mergeCell ref="A1:Q1"/>
  </mergeCells>
  <conditionalFormatting sqref="A4:O10001">
    <cfRule type="expression" dxfId="7" priority="1">
      <formula>AND($O4&lt;0, $O4&lt;&gt;"")</formula>
    </cfRule>
    <cfRule type="expression" dxfId="6" priority="2">
      <formula>AND($O4=0, $O4&lt;&gt;"")</formula>
    </cfRule>
    <cfRule type="expression" dxfId="5" priority="3">
      <formula>AND($O4&gt;0, $O4&lt;&gt;"")</formula>
    </cfRule>
  </conditionalFormatting>
  <conditionalFormatting sqref="P1:P1048576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{1AC75716-E794-4815-BEC6-6008750CB1AF}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C75716-E794-4815-BEC6-6008750CB1AF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X201"/>
  <sheetViews>
    <sheetView zoomScale="80" zoomScaleNormal="80" workbookViewId="0">
      <pane ySplit="3" topLeftCell="A4" activePane="bottomLeft" state="frozen"/>
      <selection pane="bottomLeft" activeCell="O3" sqref="O3"/>
    </sheetView>
  </sheetViews>
  <sheetFormatPr defaultColWidth="13" defaultRowHeight="17.25" x14ac:dyDescent="0.3"/>
  <cols>
    <col min="1" max="1" width="36.42578125" style="13" customWidth="1"/>
    <col min="2" max="2" width="28" style="16" customWidth="1"/>
    <col min="3" max="3" width="29.5703125" style="16" bestFit="1" customWidth="1"/>
    <col min="4" max="4" width="65.5703125" style="16" bestFit="1" customWidth="1"/>
    <col min="5" max="5" width="13.42578125" style="16" bestFit="1" customWidth="1"/>
    <col min="6" max="6" width="11.42578125" style="16" bestFit="1" customWidth="1"/>
    <col min="7" max="7" width="17" style="16" customWidth="1"/>
    <col min="8" max="8" width="8.140625" style="16" customWidth="1"/>
    <col min="9" max="9" width="7.42578125" style="17" bestFit="1" customWidth="1"/>
    <col min="10" max="10" width="11.5703125" style="16" bestFit="1" customWidth="1"/>
    <col min="11" max="11" width="12.5703125" style="16" bestFit="1" customWidth="1"/>
    <col min="12" max="12" width="8.85546875" style="16" customWidth="1"/>
    <col min="13" max="13" width="10.42578125" style="16" customWidth="1"/>
    <col min="14" max="14" width="11.5703125" style="24" bestFit="1" customWidth="1"/>
    <col min="15" max="15" width="10.140625" style="23" bestFit="1" customWidth="1"/>
    <col min="16" max="16" width="26.5703125" style="27" customWidth="1"/>
    <col min="17" max="17" width="11.5703125" style="16" bestFit="1" customWidth="1"/>
    <col min="18" max="16384" width="13" style="1"/>
  </cols>
  <sheetData>
    <row r="1" spans="1:440" x14ac:dyDescent="0.3">
      <c r="A1" s="63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</row>
    <row r="2" spans="1:440" s="5" customFormat="1" ht="18" thickBot="1" x14ac:dyDescent="0.35">
      <c r="A2" s="36"/>
      <c r="B2" s="33"/>
      <c r="C2" s="33"/>
      <c r="D2" s="33"/>
      <c r="E2" s="33">
        <f>SUM(E4:E1048576)</f>
        <v>2750</v>
      </c>
      <c r="F2" s="33">
        <f>SUM(F4:F1048576)</f>
        <v>1020</v>
      </c>
      <c r="G2" s="33"/>
      <c r="H2" s="33"/>
      <c r="I2" s="33"/>
      <c r="J2" s="33"/>
      <c r="K2" s="33"/>
      <c r="L2" s="33"/>
      <c r="M2" s="33"/>
      <c r="N2" s="33">
        <f>SUM(N4:N1048576)</f>
        <v>1670</v>
      </c>
      <c r="O2" s="33">
        <f>SUMIF(O4:O1048576,"&gt;=0")</f>
        <v>1080</v>
      </c>
      <c r="P2" s="34">
        <f>IF(AND(ISBLANK(E2),ISBLANK(F2),ISBLANK(G2),ISBLANK(H2),ISBLANK(I2),ISBLANK(J2),ISBLANK(K2),ISBLANK(L2),ISBLANK(M2)),"",IFERROR((N2/E2),""))</f>
        <v>0.6072727272727273</v>
      </c>
      <c r="Q2" s="35"/>
      <c r="R2" s="28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</row>
    <row r="3" spans="1:440" s="5" customFormat="1" x14ac:dyDescent="0.3">
      <c r="A3" s="18" t="s">
        <v>4</v>
      </c>
      <c r="B3" s="19" t="s">
        <v>3</v>
      </c>
      <c r="C3" s="19" t="s">
        <v>12</v>
      </c>
      <c r="D3" s="19" t="s">
        <v>13</v>
      </c>
      <c r="E3" s="19" t="s">
        <v>0</v>
      </c>
      <c r="F3" s="19" t="s">
        <v>1</v>
      </c>
      <c r="G3" s="19" t="s">
        <v>15</v>
      </c>
      <c r="H3" s="19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9" t="s">
        <v>10</v>
      </c>
      <c r="N3" s="21" t="s">
        <v>2</v>
      </c>
      <c r="O3" s="21" t="s">
        <v>11</v>
      </c>
      <c r="P3" s="25" t="s">
        <v>20</v>
      </c>
      <c r="Q3" s="20" t="s">
        <v>16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</row>
    <row r="4" spans="1:440" ht="16.5" customHeight="1" x14ac:dyDescent="0.3">
      <c r="A4" s="29" t="s">
        <v>27</v>
      </c>
      <c r="B4" s="30">
        <v>6988631701</v>
      </c>
      <c r="C4" s="30"/>
      <c r="D4" s="30" t="s">
        <v>24</v>
      </c>
      <c r="E4" s="30">
        <v>200</v>
      </c>
      <c r="F4" s="30">
        <v>50</v>
      </c>
      <c r="G4" s="30"/>
      <c r="H4" s="30">
        <v>50</v>
      </c>
      <c r="I4" s="30">
        <v>50</v>
      </c>
      <c r="J4" s="30">
        <v>50</v>
      </c>
      <c r="K4" s="30"/>
      <c r="L4" s="30"/>
      <c r="M4" s="30"/>
      <c r="N4" s="31">
        <f t="shared" ref="N4:N35" si="0">IF(AND(ISBLANK(E4),ISBLANK(F4),ISBLANK(G4),ISBLANK(H4),ISBLANK(I4),ISBLANK(J4),ISBLANK(K4),ISBLANK(L4),ISBLANK(M4)),"",SUM(F4:M4))</f>
        <v>200</v>
      </c>
      <c r="O4" s="31">
        <f t="shared" ref="O4:O35" si="1">IF(AND(ISBLANK(E4), ISBLANK(F4), ISBLANK(G4), ISBLANK(H4), ISBLANK(I4), ISBLANK(J4), ISBLANK(K4), ISBLANK(L4), ISBLANK(M4)), "", E4-N4)</f>
        <v>0</v>
      </c>
      <c r="P4" s="32">
        <f t="shared" ref="P4:P35" si="2">IF(AND(ISBLANK(E4),ISBLANK(F4),ISBLANK(G4),ISBLANK(H4),ISBLANK(I4),ISBLANK(J4),ISBLANK(K4),ISBLANK(L4),ISBLANK(M4)),"",N4/E4)</f>
        <v>1</v>
      </c>
      <c r="Q4" s="30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</row>
    <row r="5" spans="1:440" s="3" customFormat="1" x14ac:dyDescent="0.3">
      <c r="A5" s="13" t="s">
        <v>26</v>
      </c>
      <c r="B5" s="14" t="s">
        <v>32</v>
      </c>
      <c r="C5" s="30" t="s">
        <v>33</v>
      </c>
      <c r="D5" s="14" t="s">
        <v>24</v>
      </c>
      <c r="E5" s="14">
        <v>200</v>
      </c>
      <c r="F5" s="14">
        <v>200</v>
      </c>
      <c r="G5" s="14"/>
      <c r="H5" s="14"/>
      <c r="I5" s="14"/>
      <c r="J5" s="14"/>
      <c r="K5" s="14"/>
      <c r="L5" s="14"/>
      <c r="M5" s="14"/>
      <c r="N5" s="22">
        <f t="shared" si="0"/>
        <v>200</v>
      </c>
      <c r="O5" s="22">
        <f t="shared" si="1"/>
        <v>0</v>
      </c>
      <c r="P5" s="26">
        <f t="shared" si="2"/>
        <v>1</v>
      </c>
      <c r="Q5" s="14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</row>
    <row r="6" spans="1:440" s="3" customFormat="1" x14ac:dyDescent="0.3">
      <c r="A6" s="13" t="s">
        <v>19</v>
      </c>
      <c r="B6" s="14">
        <v>6987394001</v>
      </c>
      <c r="C6" s="30"/>
      <c r="D6" s="14" t="s">
        <v>14</v>
      </c>
      <c r="E6" s="14">
        <v>200</v>
      </c>
      <c r="F6" s="14">
        <v>50</v>
      </c>
      <c r="G6" s="14"/>
      <c r="H6" s="15">
        <v>50</v>
      </c>
      <c r="I6" s="14"/>
      <c r="J6" s="14"/>
      <c r="K6" s="14"/>
      <c r="L6" s="14"/>
      <c r="M6" s="14"/>
      <c r="N6" s="22">
        <f t="shared" si="0"/>
        <v>100</v>
      </c>
      <c r="O6" s="22">
        <f t="shared" si="1"/>
        <v>100</v>
      </c>
      <c r="P6" s="26">
        <f t="shared" si="2"/>
        <v>0.5</v>
      </c>
      <c r="Q6" s="14" t="s">
        <v>17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</row>
    <row r="7" spans="1:440" s="3" customFormat="1" ht="19.5" customHeight="1" x14ac:dyDescent="0.3">
      <c r="A7" s="13" t="s">
        <v>18</v>
      </c>
      <c r="B7" s="14">
        <v>6982069368</v>
      </c>
      <c r="C7" s="30"/>
      <c r="D7" s="14" t="s">
        <v>14</v>
      </c>
      <c r="E7" s="14">
        <v>200</v>
      </c>
      <c r="F7" s="14">
        <v>70</v>
      </c>
      <c r="G7" s="14"/>
      <c r="H7" s="14"/>
      <c r="I7" s="14"/>
      <c r="J7" s="14"/>
      <c r="K7" s="14"/>
      <c r="L7" s="14"/>
      <c r="M7" s="14"/>
      <c r="N7" s="22">
        <f t="shared" si="0"/>
        <v>70</v>
      </c>
      <c r="O7" s="22">
        <f t="shared" si="1"/>
        <v>130</v>
      </c>
      <c r="P7" s="26">
        <f t="shared" si="2"/>
        <v>0.35</v>
      </c>
      <c r="Q7" s="14" t="s">
        <v>17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</row>
    <row r="8" spans="1:440" s="3" customFormat="1" ht="19.5" customHeight="1" x14ac:dyDescent="0.3">
      <c r="A8" s="13" t="s">
        <v>34</v>
      </c>
      <c r="B8" s="14">
        <v>6946727817</v>
      </c>
      <c r="C8" s="30"/>
      <c r="D8" s="14" t="s">
        <v>35</v>
      </c>
      <c r="E8" s="14">
        <v>300</v>
      </c>
      <c r="F8" s="14">
        <v>50</v>
      </c>
      <c r="G8" s="14"/>
      <c r="H8" s="14"/>
      <c r="I8" s="14"/>
      <c r="J8" s="14"/>
      <c r="K8" s="14"/>
      <c r="L8" s="14"/>
      <c r="M8" s="14"/>
      <c r="N8" s="22">
        <f t="shared" si="0"/>
        <v>50</v>
      </c>
      <c r="O8" s="22">
        <f t="shared" si="1"/>
        <v>250</v>
      </c>
      <c r="P8" s="26">
        <f t="shared" si="2"/>
        <v>0.16666666666666666</v>
      </c>
      <c r="Q8" s="30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</row>
    <row r="9" spans="1:440" s="3" customFormat="1" x14ac:dyDescent="0.3">
      <c r="A9" s="13" t="s">
        <v>23</v>
      </c>
      <c r="B9" s="14">
        <v>6932860364</v>
      </c>
      <c r="C9" s="30"/>
      <c r="D9" s="14" t="s">
        <v>24</v>
      </c>
      <c r="E9" s="14">
        <v>200</v>
      </c>
      <c r="F9" s="14">
        <v>100</v>
      </c>
      <c r="G9" s="14"/>
      <c r="H9" s="14"/>
      <c r="I9" s="14"/>
      <c r="J9" s="14"/>
      <c r="K9" s="14"/>
      <c r="L9" s="14"/>
      <c r="M9" s="14"/>
      <c r="N9" s="22">
        <f t="shared" si="0"/>
        <v>100</v>
      </c>
      <c r="O9" s="22">
        <f t="shared" si="1"/>
        <v>100</v>
      </c>
      <c r="P9" s="26">
        <f t="shared" si="2"/>
        <v>0.5</v>
      </c>
      <c r="Q9" s="14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</row>
    <row r="10" spans="1:440" s="7" customFormat="1" x14ac:dyDescent="0.3">
      <c r="A10" s="13" t="s">
        <v>36</v>
      </c>
      <c r="B10" s="14">
        <v>6988030479</v>
      </c>
      <c r="C10" s="30"/>
      <c r="D10" s="14" t="s">
        <v>24</v>
      </c>
      <c r="E10" s="14">
        <v>200</v>
      </c>
      <c r="F10" s="14">
        <v>50</v>
      </c>
      <c r="G10" s="14"/>
      <c r="H10" s="14">
        <v>50</v>
      </c>
      <c r="I10" s="14">
        <v>50</v>
      </c>
      <c r="J10" s="14">
        <v>50</v>
      </c>
      <c r="K10" s="14"/>
      <c r="L10" s="14"/>
      <c r="M10" s="14"/>
      <c r="N10" s="22">
        <f t="shared" si="0"/>
        <v>200</v>
      </c>
      <c r="O10" s="22">
        <f t="shared" si="1"/>
        <v>0</v>
      </c>
      <c r="P10" s="26">
        <f t="shared" si="2"/>
        <v>1</v>
      </c>
      <c r="Q10" s="14" t="s">
        <v>17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</row>
    <row r="11" spans="1:440" s="3" customFormat="1" x14ac:dyDescent="0.3">
      <c r="A11" s="13" t="s">
        <v>21</v>
      </c>
      <c r="B11" s="14">
        <v>6986745539</v>
      </c>
      <c r="C11" s="30"/>
      <c r="D11" s="14" t="s">
        <v>22</v>
      </c>
      <c r="E11" s="14">
        <v>300</v>
      </c>
      <c r="F11" s="14">
        <v>150</v>
      </c>
      <c r="G11" s="14">
        <v>150</v>
      </c>
      <c r="H11" s="14"/>
      <c r="I11" s="14"/>
      <c r="J11" s="14"/>
      <c r="K11" s="14"/>
      <c r="L11" s="14"/>
      <c r="M11" s="14"/>
      <c r="N11" s="22">
        <f t="shared" si="0"/>
        <v>300</v>
      </c>
      <c r="O11" s="22">
        <f t="shared" si="1"/>
        <v>0</v>
      </c>
      <c r="P11" s="26">
        <f t="shared" si="2"/>
        <v>1</v>
      </c>
      <c r="Q11" s="14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</row>
    <row r="12" spans="1:440" s="3" customFormat="1" x14ac:dyDescent="0.3">
      <c r="A12" s="13" t="s">
        <v>28</v>
      </c>
      <c r="B12" s="14" t="s">
        <v>29</v>
      </c>
      <c r="C12" s="30" t="s">
        <v>31</v>
      </c>
      <c r="D12" s="14" t="s">
        <v>24</v>
      </c>
      <c r="E12" s="14">
        <v>200</v>
      </c>
      <c r="F12" s="14">
        <v>50</v>
      </c>
      <c r="G12" s="14">
        <v>150</v>
      </c>
      <c r="H12" s="14"/>
      <c r="I12" s="14"/>
      <c r="J12" s="14"/>
      <c r="K12" s="14"/>
      <c r="L12" s="14"/>
      <c r="M12" s="14"/>
      <c r="N12" s="22">
        <f t="shared" si="0"/>
        <v>200</v>
      </c>
      <c r="O12" s="22">
        <f t="shared" si="1"/>
        <v>0</v>
      </c>
      <c r="P12" s="26">
        <f t="shared" si="2"/>
        <v>1</v>
      </c>
      <c r="Q12" s="14" t="s">
        <v>30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</row>
    <row r="13" spans="1:440" s="3" customFormat="1" x14ac:dyDescent="0.3">
      <c r="A13" s="13" t="s">
        <v>25</v>
      </c>
      <c r="B13" s="14"/>
      <c r="C13" s="30"/>
      <c r="D13" s="14" t="s">
        <v>24</v>
      </c>
      <c r="E13" s="14">
        <v>150</v>
      </c>
      <c r="F13" s="14">
        <v>150</v>
      </c>
      <c r="G13" s="14"/>
      <c r="H13" s="14"/>
      <c r="I13" s="14"/>
      <c r="J13" s="14"/>
      <c r="K13" s="14"/>
      <c r="L13" s="14"/>
      <c r="M13" s="14"/>
      <c r="N13" s="22">
        <f t="shared" si="0"/>
        <v>150</v>
      </c>
      <c r="O13" s="22">
        <f t="shared" si="1"/>
        <v>0</v>
      </c>
      <c r="P13" s="26">
        <f t="shared" si="2"/>
        <v>1</v>
      </c>
      <c r="Q13" s="30" t="s">
        <v>17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</row>
    <row r="14" spans="1:440" s="3" customFormat="1" x14ac:dyDescent="0.3">
      <c r="A14" s="13" t="s">
        <v>40</v>
      </c>
      <c r="B14" s="14">
        <v>6986297406</v>
      </c>
      <c r="C14" s="30"/>
      <c r="D14" s="14" t="s">
        <v>35</v>
      </c>
      <c r="E14" s="14">
        <v>300</v>
      </c>
      <c r="F14" s="14">
        <v>50</v>
      </c>
      <c r="G14" s="14"/>
      <c r="H14" s="14"/>
      <c r="I14" s="14"/>
      <c r="J14" s="14"/>
      <c r="K14" s="14"/>
      <c r="L14" s="14"/>
      <c r="M14" s="14"/>
      <c r="N14" s="22">
        <f t="shared" si="0"/>
        <v>50</v>
      </c>
      <c r="O14" s="22">
        <f t="shared" si="1"/>
        <v>250</v>
      </c>
      <c r="P14" s="26">
        <f t="shared" si="2"/>
        <v>0.16666666666666666</v>
      </c>
      <c r="Q14" s="14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</row>
    <row r="15" spans="1:440" s="3" customFormat="1" x14ac:dyDescent="0.3">
      <c r="A15" s="13" t="s">
        <v>38</v>
      </c>
      <c r="B15" s="14">
        <v>6936451512</v>
      </c>
      <c r="C15" s="37" t="s">
        <v>39</v>
      </c>
      <c r="D15" s="14" t="s">
        <v>22</v>
      </c>
      <c r="E15" s="14">
        <v>300</v>
      </c>
      <c r="F15" s="14">
        <v>50</v>
      </c>
      <c r="G15" s="14"/>
      <c r="H15" s="14"/>
      <c r="I15" s="14"/>
      <c r="J15" s="14"/>
      <c r="K15" s="14"/>
      <c r="L15" s="14"/>
      <c r="M15" s="14"/>
      <c r="N15" s="22">
        <f t="shared" si="0"/>
        <v>50</v>
      </c>
      <c r="O15" s="22">
        <f t="shared" si="1"/>
        <v>250</v>
      </c>
      <c r="P15" s="26">
        <f t="shared" si="2"/>
        <v>0.16666666666666666</v>
      </c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</row>
    <row r="16" spans="1:440" s="3" customFormat="1" x14ac:dyDescent="0.3">
      <c r="A16" s="13"/>
      <c r="B16" s="14"/>
      <c r="C16" s="3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" t="str">
        <f t="shared" si="0"/>
        <v/>
      </c>
      <c r="O16" s="22" t="str">
        <f t="shared" si="1"/>
        <v/>
      </c>
      <c r="P16" s="26" t="str">
        <f t="shared" si="2"/>
        <v/>
      </c>
      <c r="Q16" s="1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</row>
    <row r="17" spans="1:440" s="7" customFormat="1" x14ac:dyDescent="0.3">
      <c r="A17" s="13"/>
      <c r="B17" s="14"/>
      <c r="C17" s="30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2" t="str">
        <f t="shared" si="0"/>
        <v/>
      </c>
      <c r="O17" s="22" t="str">
        <f t="shared" si="1"/>
        <v/>
      </c>
      <c r="P17" s="26" t="str">
        <f t="shared" si="2"/>
        <v/>
      </c>
      <c r="Q17" s="1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</row>
    <row r="18" spans="1:440" s="3" customFormat="1" x14ac:dyDescent="0.3">
      <c r="A18" s="13"/>
      <c r="B18" s="14"/>
      <c r="C18" s="30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2" t="str">
        <f t="shared" si="0"/>
        <v/>
      </c>
      <c r="O18" s="22" t="str">
        <f t="shared" si="1"/>
        <v/>
      </c>
      <c r="P18" s="26" t="str">
        <f t="shared" si="2"/>
        <v/>
      </c>
      <c r="Q18" s="1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</row>
    <row r="19" spans="1:440" s="7" customFormat="1" x14ac:dyDescent="0.3">
      <c r="A19" s="13"/>
      <c r="B19" s="14"/>
      <c r="C19" s="30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2" t="str">
        <f t="shared" si="0"/>
        <v/>
      </c>
      <c r="O19" s="22" t="str">
        <f t="shared" si="1"/>
        <v/>
      </c>
      <c r="P19" s="26" t="str">
        <f t="shared" si="2"/>
        <v/>
      </c>
      <c r="Q19" s="1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</row>
    <row r="20" spans="1:440" s="7" customFormat="1" x14ac:dyDescent="0.3">
      <c r="A20" s="13"/>
      <c r="B20" s="14"/>
      <c r="C20" s="30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2" t="str">
        <f t="shared" si="0"/>
        <v/>
      </c>
      <c r="O20" s="22" t="str">
        <f t="shared" si="1"/>
        <v/>
      </c>
      <c r="P20" s="26" t="str">
        <f t="shared" si="2"/>
        <v/>
      </c>
      <c r="Q20" s="1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</row>
    <row r="21" spans="1:440" s="7" customFormat="1" x14ac:dyDescent="0.3">
      <c r="A21" s="13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2" t="str">
        <f t="shared" si="0"/>
        <v/>
      </c>
      <c r="O21" s="22" t="str">
        <f t="shared" si="1"/>
        <v/>
      </c>
      <c r="P21" s="26" t="str">
        <f t="shared" si="2"/>
        <v/>
      </c>
      <c r="Q21" s="14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</row>
    <row r="22" spans="1:440" s="3" customFormat="1" x14ac:dyDescent="0.3">
      <c r="A22" s="13"/>
      <c r="B22" s="14"/>
      <c r="C22" s="3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2" t="str">
        <f t="shared" si="0"/>
        <v/>
      </c>
      <c r="O22" s="22" t="str">
        <f t="shared" si="1"/>
        <v/>
      </c>
      <c r="P22" s="26" t="str">
        <f t="shared" si="2"/>
        <v/>
      </c>
      <c r="Q22" s="14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</row>
    <row r="23" spans="1:440" s="3" customFormat="1" x14ac:dyDescent="0.3">
      <c r="A23" s="13"/>
      <c r="B23" s="14"/>
      <c r="C23" s="37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2" t="str">
        <f t="shared" si="0"/>
        <v/>
      </c>
      <c r="O23" s="22" t="str">
        <f t="shared" si="1"/>
        <v/>
      </c>
      <c r="P23" s="26" t="str">
        <f t="shared" si="2"/>
        <v/>
      </c>
      <c r="Q23" s="14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</row>
    <row r="24" spans="1:440" x14ac:dyDescent="0.3">
      <c r="C24" s="30"/>
      <c r="D24" s="14"/>
      <c r="N24" s="22" t="str">
        <f t="shared" si="0"/>
        <v/>
      </c>
      <c r="O24" s="22" t="str">
        <f t="shared" si="1"/>
        <v/>
      </c>
      <c r="P24" s="26" t="str">
        <f t="shared" si="2"/>
        <v/>
      </c>
    </row>
    <row r="25" spans="1:440" s="5" customFormat="1" x14ac:dyDescent="0.3">
      <c r="A25" s="13"/>
      <c r="B25" s="14"/>
      <c r="C25" s="3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2" t="str">
        <f t="shared" si="0"/>
        <v/>
      </c>
      <c r="O25" s="22" t="str">
        <f t="shared" si="1"/>
        <v/>
      </c>
      <c r="P25" s="26" t="str">
        <f t="shared" si="2"/>
        <v/>
      </c>
      <c r="Q25" s="14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</row>
    <row r="26" spans="1:440" s="6" customFormat="1" x14ac:dyDescent="0.3">
      <c r="A26" s="13"/>
      <c r="B26" s="14"/>
      <c r="C26" s="3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2" t="str">
        <f t="shared" si="0"/>
        <v/>
      </c>
      <c r="O26" s="22" t="str">
        <f t="shared" si="1"/>
        <v/>
      </c>
      <c r="P26" s="26" t="str">
        <f t="shared" si="2"/>
        <v/>
      </c>
      <c r="Q26" s="14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</row>
    <row r="27" spans="1:440" s="6" customFormat="1" x14ac:dyDescent="0.3">
      <c r="A27" s="13"/>
      <c r="B27" s="14"/>
      <c r="C27" s="3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2" t="str">
        <f t="shared" si="0"/>
        <v/>
      </c>
      <c r="O27" s="22" t="str">
        <f t="shared" si="1"/>
        <v/>
      </c>
      <c r="P27" s="26" t="str">
        <f t="shared" si="2"/>
        <v/>
      </c>
      <c r="Q27" s="14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</row>
    <row r="28" spans="1:440" s="6" customFormat="1" x14ac:dyDescent="0.3">
      <c r="A28" s="13"/>
      <c r="B28" s="14"/>
      <c r="C28" s="3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22" t="str">
        <f t="shared" si="0"/>
        <v/>
      </c>
      <c r="O28" s="22" t="str">
        <f t="shared" si="1"/>
        <v/>
      </c>
      <c r="P28" s="26" t="str">
        <f t="shared" si="2"/>
        <v/>
      </c>
      <c r="Q28" s="1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</row>
    <row r="29" spans="1:440" s="6" customFormat="1" x14ac:dyDescent="0.3">
      <c r="A29" s="13"/>
      <c r="B29" s="14"/>
      <c r="C29" s="3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22" t="str">
        <f t="shared" si="0"/>
        <v/>
      </c>
      <c r="O29" s="22" t="str">
        <f t="shared" si="1"/>
        <v/>
      </c>
      <c r="P29" s="26" t="str">
        <f t="shared" si="2"/>
        <v/>
      </c>
      <c r="Q29" s="14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</row>
    <row r="30" spans="1:440" s="11" customFormat="1" x14ac:dyDescent="0.3">
      <c r="A30" s="13"/>
      <c r="B30" s="14"/>
      <c r="C30" s="3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2" t="str">
        <f t="shared" si="0"/>
        <v/>
      </c>
      <c r="O30" s="22" t="str">
        <f t="shared" si="1"/>
        <v/>
      </c>
      <c r="P30" s="26" t="str">
        <f t="shared" si="2"/>
        <v/>
      </c>
      <c r="Q30" s="14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</row>
    <row r="31" spans="1:440" s="11" customFormat="1" x14ac:dyDescent="0.3">
      <c r="A31" s="13"/>
      <c r="B31" s="14"/>
      <c r="C31" s="30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22" t="str">
        <f t="shared" si="0"/>
        <v/>
      </c>
      <c r="O31" s="22" t="str">
        <f t="shared" si="1"/>
        <v/>
      </c>
      <c r="P31" s="26" t="str">
        <f t="shared" si="2"/>
        <v/>
      </c>
      <c r="Q31" s="14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</row>
    <row r="32" spans="1:440" s="6" customFormat="1" x14ac:dyDescent="0.3">
      <c r="A32" s="13"/>
      <c r="B32" s="14"/>
      <c r="C32" s="30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2" t="str">
        <f t="shared" si="0"/>
        <v/>
      </c>
      <c r="O32" s="22" t="str">
        <f t="shared" si="1"/>
        <v/>
      </c>
      <c r="P32" s="26" t="str">
        <f t="shared" si="2"/>
        <v/>
      </c>
      <c r="Q32" s="14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</row>
    <row r="33" spans="1:440" s="10" customFormat="1" x14ac:dyDescent="0.3">
      <c r="A33" s="13"/>
      <c r="B33" s="14"/>
      <c r="C33" s="30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2" t="str">
        <f t="shared" si="0"/>
        <v/>
      </c>
      <c r="O33" s="22" t="str">
        <f t="shared" si="1"/>
        <v/>
      </c>
      <c r="P33" s="26" t="str">
        <f t="shared" si="2"/>
        <v/>
      </c>
      <c r="Q33" s="14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</row>
    <row r="34" spans="1:440" s="10" customFormat="1" x14ac:dyDescent="0.3">
      <c r="A34" s="13"/>
      <c r="B34" s="14"/>
      <c r="C34" s="30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2" t="str">
        <f t="shared" si="0"/>
        <v/>
      </c>
      <c r="O34" s="22" t="str">
        <f t="shared" si="1"/>
        <v/>
      </c>
      <c r="P34" s="26" t="str">
        <f t="shared" si="2"/>
        <v/>
      </c>
      <c r="Q34" s="14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</row>
    <row r="35" spans="1:440" s="11" customFormat="1" x14ac:dyDescent="0.3">
      <c r="A35" s="13"/>
      <c r="B35" s="14"/>
      <c r="C35" s="30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2" t="str">
        <f t="shared" si="0"/>
        <v/>
      </c>
      <c r="O35" s="22" t="str">
        <f t="shared" si="1"/>
        <v/>
      </c>
      <c r="P35" s="26" t="str">
        <f t="shared" si="2"/>
        <v/>
      </c>
      <c r="Q35" s="14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</row>
    <row r="36" spans="1:440" s="6" customFormat="1" x14ac:dyDescent="0.3">
      <c r="A36" s="13"/>
      <c r="B36" s="14"/>
      <c r="C36" s="30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2" t="str">
        <f t="shared" ref="N36:N67" si="3">IF(AND(ISBLANK(E36),ISBLANK(F36),ISBLANK(G36),ISBLANK(H36),ISBLANK(I36),ISBLANK(J36),ISBLANK(K36),ISBLANK(L36),ISBLANK(M36)),"",SUM(F36:M36))</f>
        <v/>
      </c>
      <c r="O36" s="22" t="str">
        <f t="shared" ref="O36:O67" si="4">IF(AND(ISBLANK(E36), ISBLANK(F36), ISBLANK(G36), ISBLANK(H36), ISBLANK(I36), ISBLANK(J36), ISBLANK(K36), ISBLANK(L36), ISBLANK(M36)), "", E36-N36)</f>
        <v/>
      </c>
      <c r="P36" s="26" t="str">
        <f t="shared" ref="P36:P67" si="5">IF(AND(ISBLANK(E36),ISBLANK(F36),ISBLANK(G36),ISBLANK(H36),ISBLANK(I36),ISBLANK(J36),ISBLANK(K36),ISBLANK(L36),ISBLANK(M36)),"",N36/E36)</f>
        <v/>
      </c>
      <c r="Q36" s="14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</row>
    <row r="37" spans="1:440" s="6" customFormat="1" x14ac:dyDescent="0.3">
      <c r="A37" s="13"/>
      <c r="B37" s="14"/>
      <c r="C37" s="30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2" t="str">
        <f t="shared" si="3"/>
        <v/>
      </c>
      <c r="O37" s="22" t="str">
        <f t="shared" si="4"/>
        <v/>
      </c>
      <c r="P37" s="26" t="str">
        <f t="shared" si="5"/>
        <v/>
      </c>
      <c r="Q37" s="14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</row>
    <row r="38" spans="1:440" s="6" customFormat="1" x14ac:dyDescent="0.3">
      <c r="A38" s="13"/>
      <c r="B38" s="14"/>
      <c r="C38" s="30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22" t="str">
        <f t="shared" si="3"/>
        <v/>
      </c>
      <c r="O38" s="22" t="str">
        <f t="shared" si="4"/>
        <v/>
      </c>
      <c r="P38" s="26" t="str">
        <f t="shared" si="5"/>
        <v/>
      </c>
      <c r="Q38" s="14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</row>
    <row r="39" spans="1:440" s="11" customFormat="1" x14ac:dyDescent="0.3">
      <c r="A39" s="13"/>
      <c r="B39" s="14"/>
      <c r="C39" s="30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2" t="str">
        <f t="shared" si="3"/>
        <v/>
      </c>
      <c r="O39" s="22" t="str">
        <f t="shared" si="4"/>
        <v/>
      </c>
      <c r="P39" s="26" t="str">
        <f t="shared" si="5"/>
        <v/>
      </c>
      <c r="Q39" s="14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</row>
    <row r="40" spans="1:440" s="11" customFormat="1" x14ac:dyDescent="0.3">
      <c r="A40" s="13"/>
      <c r="B40" s="14"/>
      <c r="C40" s="30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2" t="str">
        <f t="shared" si="3"/>
        <v/>
      </c>
      <c r="O40" s="22" t="str">
        <f t="shared" si="4"/>
        <v/>
      </c>
      <c r="P40" s="26" t="str">
        <f t="shared" si="5"/>
        <v/>
      </c>
      <c r="Q40" s="14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</row>
    <row r="41" spans="1:440" s="6" customFormat="1" x14ac:dyDescent="0.3">
      <c r="A41" s="13"/>
      <c r="B41" s="14"/>
      <c r="C41" s="30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2" t="str">
        <f t="shared" si="3"/>
        <v/>
      </c>
      <c r="O41" s="22" t="str">
        <f t="shared" si="4"/>
        <v/>
      </c>
      <c r="P41" s="26" t="str">
        <f t="shared" si="5"/>
        <v/>
      </c>
      <c r="Q41" s="14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</row>
    <row r="42" spans="1:440" s="10" customFormat="1" x14ac:dyDescent="0.3">
      <c r="A42" s="13"/>
      <c r="B42" s="14"/>
      <c r="C42" s="30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22" t="str">
        <f t="shared" si="3"/>
        <v/>
      </c>
      <c r="O42" s="22" t="str">
        <f t="shared" si="4"/>
        <v/>
      </c>
      <c r="P42" s="26" t="str">
        <f t="shared" si="5"/>
        <v/>
      </c>
      <c r="Q42" s="14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</row>
    <row r="43" spans="1:440" s="10" customFormat="1" x14ac:dyDescent="0.3">
      <c r="A43" s="13"/>
      <c r="B43" s="14"/>
      <c r="C43" s="3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22" t="str">
        <f t="shared" si="3"/>
        <v/>
      </c>
      <c r="O43" s="22" t="str">
        <f t="shared" si="4"/>
        <v/>
      </c>
      <c r="P43" s="26" t="str">
        <f t="shared" si="5"/>
        <v/>
      </c>
      <c r="Q43" s="14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</row>
    <row r="44" spans="1:440" s="3" customFormat="1" x14ac:dyDescent="0.3">
      <c r="A44" s="13"/>
      <c r="B44" s="14"/>
      <c r="C44" s="30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2" t="str">
        <f t="shared" si="3"/>
        <v/>
      </c>
      <c r="O44" s="22" t="str">
        <f t="shared" si="4"/>
        <v/>
      </c>
      <c r="P44" s="26" t="str">
        <f t="shared" si="5"/>
        <v/>
      </c>
      <c r="Q44" s="14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</row>
    <row r="45" spans="1:440" s="5" customFormat="1" x14ac:dyDescent="0.3">
      <c r="A45" s="13"/>
      <c r="B45" s="14"/>
      <c r="C45" s="30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2" t="str">
        <f t="shared" si="3"/>
        <v/>
      </c>
      <c r="O45" s="22" t="str">
        <f t="shared" si="4"/>
        <v/>
      </c>
      <c r="P45" s="26" t="str">
        <f t="shared" si="5"/>
        <v/>
      </c>
      <c r="Q45" s="14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</row>
    <row r="46" spans="1:440" s="4" customFormat="1" x14ac:dyDescent="0.3">
      <c r="A46" s="13"/>
      <c r="B46" s="14"/>
      <c r="C46" s="30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2" t="str">
        <f t="shared" si="3"/>
        <v/>
      </c>
      <c r="O46" s="22" t="str">
        <f t="shared" si="4"/>
        <v/>
      </c>
      <c r="P46" s="26" t="str">
        <f t="shared" si="5"/>
        <v/>
      </c>
      <c r="Q46" s="14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</row>
    <row r="47" spans="1:440" s="7" customFormat="1" x14ac:dyDescent="0.3">
      <c r="A47" s="13"/>
      <c r="B47" s="14"/>
      <c r="C47" s="30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22" t="str">
        <f t="shared" si="3"/>
        <v/>
      </c>
      <c r="O47" s="22" t="str">
        <f t="shared" si="4"/>
        <v/>
      </c>
      <c r="P47" s="26" t="str">
        <f t="shared" si="5"/>
        <v/>
      </c>
      <c r="Q47" s="14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</row>
    <row r="48" spans="1:440" s="7" customFormat="1" x14ac:dyDescent="0.3">
      <c r="A48" s="13"/>
      <c r="B48" s="14"/>
      <c r="C48" s="30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2" t="str">
        <f t="shared" si="3"/>
        <v/>
      </c>
      <c r="O48" s="22" t="str">
        <f t="shared" si="4"/>
        <v/>
      </c>
      <c r="P48" s="26" t="str">
        <f t="shared" si="5"/>
        <v/>
      </c>
      <c r="Q48" s="14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</row>
    <row r="49" spans="1:440" s="4" customFormat="1" x14ac:dyDescent="0.3">
      <c r="A49" s="13"/>
      <c r="B49" s="14"/>
      <c r="C49" s="30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22" t="str">
        <f t="shared" si="3"/>
        <v/>
      </c>
      <c r="O49" s="22" t="str">
        <f t="shared" si="4"/>
        <v/>
      </c>
      <c r="P49" s="26" t="str">
        <f t="shared" si="5"/>
        <v/>
      </c>
      <c r="Q49" s="14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</row>
    <row r="50" spans="1:440" s="3" customFormat="1" x14ac:dyDescent="0.3">
      <c r="A50" s="13"/>
      <c r="B50" s="14"/>
      <c r="C50" s="30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22" t="str">
        <f t="shared" si="3"/>
        <v/>
      </c>
      <c r="O50" s="22" t="str">
        <f t="shared" si="4"/>
        <v/>
      </c>
      <c r="P50" s="26" t="str">
        <f t="shared" si="5"/>
        <v/>
      </c>
      <c r="Q50" s="14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</row>
    <row r="51" spans="1:440" s="3" customFormat="1" x14ac:dyDescent="0.3">
      <c r="A51" s="13"/>
      <c r="B51" s="14"/>
      <c r="C51" s="30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2" t="str">
        <f t="shared" si="3"/>
        <v/>
      </c>
      <c r="O51" s="22" t="str">
        <f t="shared" si="4"/>
        <v/>
      </c>
      <c r="P51" s="26" t="str">
        <f t="shared" si="5"/>
        <v/>
      </c>
      <c r="Q51" s="14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</row>
    <row r="52" spans="1:440" s="3" customFormat="1" x14ac:dyDescent="0.3">
      <c r="A52" s="13"/>
      <c r="B52" s="14"/>
      <c r="C52" s="30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2" t="str">
        <f t="shared" si="3"/>
        <v/>
      </c>
      <c r="O52" s="22" t="str">
        <f t="shared" si="4"/>
        <v/>
      </c>
      <c r="P52" s="26" t="str">
        <f t="shared" si="5"/>
        <v/>
      </c>
      <c r="Q52" s="14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</row>
    <row r="53" spans="1:440" s="5" customFormat="1" x14ac:dyDescent="0.3">
      <c r="A53" s="13"/>
      <c r="B53" s="14"/>
      <c r="C53" s="3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2" t="str">
        <f t="shared" si="3"/>
        <v/>
      </c>
      <c r="O53" s="22" t="str">
        <f t="shared" si="4"/>
        <v/>
      </c>
      <c r="P53" s="26" t="str">
        <f t="shared" si="5"/>
        <v/>
      </c>
      <c r="Q53" s="14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</row>
    <row r="54" spans="1:440" s="4" customFormat="1" x14ac:dyDescent="0.3">
      <c r="A54" s="13"/>
      <c r="B54" s="14"/>
      <c r="C54" s="30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2" t="str">
        <f t="shared" si="3"/>
        <v/>
      </c>
      <c r="O54" s="22" t="str">
        <f t="shared" si="4"/>
        <v/>
      </c>
      <c r="P54" s="26" t="str">
        <f t="shared" si="5"/>
        <v/>
      </c>
      <c r="Q54" s="14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</row>
    <row r="55" spans="1:440" s="3" customFormat="1" x14ac:dyDescent="0.3">
      <c r="A55" s="13"/>
      <c r="B55" s="14"/>
      <c r="C55" s="30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2" t="str">
        <f t="shared" si="3"/>
        <v/>
      </c>
      <c r="O55" s="22" t="str">
        <f t="shared" si="4"/>
        <v/>
      </c>
      <c r="P55" s="26" t="str">
        <f t="shared" si="5"/>
        <v/>
      </c>
      <c r="Q55" s="14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</row>
    <row r="56" spans="1:440" s="4" customFormat="1" x14ac:dyDescent="0.3">
      <c r="A56" s="13"/>
      <c r="B56" s="14"/>
      <c r="C56" s="30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22" t="str">
        <f t="shared" si="3"/>
        <v/>
      </c>
      <c r="O56" s="22" t="str">
        <f t="shared" si="4"/>
        <v/>
      </c>
      <c r="P56" s="26" t="str">
        <f t="shared" si="5"/>
        <v/>
      </c>
      <c r="Q56" s="14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</row>
    <row r="57" spans="1:440" s="5" customFormat="1" x14ac:dyDescent="0.3">
      <c r="A57" s="13"/>
      <c r="B57" s="14"/>
      <c r="C57" s="30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22" t="str">
        <f t="shared" si="3"/>
        <v/>
      </c>
      <c r="O57" s="22" t="str">
        <f t="shared" si="4"/>
        <v/>
      </c>
      <c r="P57" s="26" t="str">
        <f t="shared" si="5"/>
        <v/>
      </c>
      <c r="Q57" s="14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</row>
    <row r="58" spans="1:440" s="3" customFormat="1" x14ac:dyDescent="0.3">
      <c r="A58" s="13"/>
      <c r="B58" s="14"/>
      <c r="C58" s="30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22" t="str">
        <f t="shared" si="3"/>
        <v/>
      </c>
      <c r="O58" s="22" t="str">
        <f t="shared" si="4"/>
        <v/>
      </c>
      <c r="P58" s="26" t="str">
        <f t="shared" si="5"/>
        <v/>
      </c>
      <c r="Q58" s="14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</row>
    <row r="59" spans="1:440" s="4" customFormat="1" x14ac:dyDescent="0.3">
      <c r="A59" s="13"/>
      <c r="B59" s="14"/>
      <c r="C59" s="30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22" t="str">
        <f t="shared" si="3"/>
        <v/>
      </c>
      <c r="O59" s="22" t="str">
        <f t="shared" si="4"/>
        <v/>
      </c>
      <c r="P59" s="26" t="str">
        <f t="shared" si="5"/>
        <v/>
      </c>
      <c r="Q59" s="14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</row>
    <row r="60" spans="1:440" s="3" customFormat="1" x14ac:dyDescent="0.3">
      <c r="A60" s="13"/>
      <c r="B60" s="14"/>
      <c r="C60" s="30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22" t="str">
        <f t="shared" si="3"/>
        <v/>
      </c>
      <c r="O60" s="22" t="str">
        <f t="shared" si="4"/>
        <v/>
      </c>
      <c r="P60" s="26" t="str">
        <f t="shared" si="5"/>
        <v/>
      </c>
      <c r="Q60" s="14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</row>
    <row r="61" spans="1:440" s="3" customFormat="1" x14ac:dyDescent="0.3">
      <c r="A61" s="13"/>
      <c r="B61" s="14"/>
      <c r="C61" s="30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22" t="str">
        <f t="shared" si="3"/>
        <v/>
      </c>
      <c r="O61" s="22" t="str">
        <f t="shared" si="4"/>
        <v/>
      </c>
      <c r="P61" s="26" t="str">
        <f t="shared" si="5"/>
        <v/>
      </c>
      <c r="Q61" s="14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</row>
    <row r="62" spans="1:440" s="3" customFormat="1" x14ac:dyDescent="0.3">
      <c r="A62" s="13"/>
      <c r="B62" s="14"/>
      <c r="C62" s="30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22" t="str">
        <f t="shared" si="3"/>
        <v/>
      </c>
      <c r="O62" s="22" t="str">
        <f t="shared" si="4"/>
        <v/>
      </c>
      <c r="P62" s="26" t="str">
        <f t="shared" si="5"/>
        <v/>
      </c>
      <c r="Q62" s="14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</row>
    <row r="63" spans="1:440" s="3" customFormat="1" x14ac:dyDescent="0.3">
      <c r="A63" s="13"/>
      <c r="B63" s="14"/>
      <c r="C63" s="30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22" t="str">
        <f t="shared" si="3"/>
        <v/>
      </c>
      <c r="O63" s="22" t="str">
        <f t="shared" si="4"/>
        <v/>
      </c>
      <c r="P63" s="26" t="str">
        <f t="shared" si="5"/>
        <v/>
      </c>
      <c r="Q63" s="14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</row>
    <row r="64" spans="1:440" s="3" customFormat="1" x14ac:dyDescent="0.3">
      <c r="A64" s="13"/>
      <c r="B64" s="14"/>
      <c r="C64" s="30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22" t="str">
        <f t="shared" si="3"/>
        <v/>
      </c>
      <c r="O64" s="22" t="str">
        <f t="shared" si="4"/>
        <v/>
      </c>
      <c r="P64" s="26" t="str">
        <f t="shared" si="5"/>
        <v/>
      </c>
      <c r="Q64" s="14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</row>
    <row r="65" spans="1:440" s="3" customFormat="1" ht="18" customHeight="1" x14ac:dyDescent="0.3">
      <c r="A65" s="13"/>
      <c r="B65" s="14"/>
      <c r="C65" s="30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22" t="str">
        <f t="shared" si="3"/>
        <v/>
      </c>
      <c r="O65" s="22" t="str">
        <f t="shared" si="4"/>
        <v/>
      </c>
      <c r="P65" s="26" t="str">
        <f t="shared" si="5"/>
        <v/>
      </c>
      <c r="Q65" s="14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</row>
    <row r="66" spans="1:440" s="7" customFormat="1" x14ac:dyDescent="0.3">
      <c r="A66" s="13"/>
      <c r="B66" s="14"/>
      <c r="C66" s="30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22" t="str">
        <f t="shared" si="3"/>
        <v/>
      </c>
      <c r="O66" s="22" t="str">
        <f t="shared" si="4"/>
        <v/>
      </c>
      <c r="P66" s="26" t="str">
        <f t="shared" si="5"/>
        <v/>
      </c>
      <c r="Q66" s="14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</row>
    <row r="67" spans="1:440" s="3" customFormat="1" x14ac:dyDescent="0.3">
      <c r="A67" s="13"/>
      <c r="B67" s="14"/>
      <c r="C67" s="30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22" t="str">
        <f t="shared" si="3"/>
        <v/>
      </c>
      <c r="O67" s="22" t="str">
        <f t="shared" si="4"/>
        <v/>
      </c>
      <c r="P67" s="26" t="str">
        <f t="shared" si="5"/>
        <v/>
      </c>
      <c r="Q67" s="14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</row>
    <row r="68" spans="1:440" s="7" customFormat="1" x14ac:dyDescent="0.3">
      <c r="A68" s="13"/>
      <c r="B68" s="14"/>
      <c r="C68" s="30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22" t="str">
        <f t="shared" ref="N68:N99" si="6">IF(AND(ISBLANK(E68),ISBLANK(F68),ISBLANK(G68),ISBLANK(H68),ISBLANK(I68),ISBLANK(J68),ISBLANK(K68),ISBLANK(L68),ISBLANK(M68)),"",SUM(F68:M68))</f>
        <v/>
      </c>
      <c r="O68" s="22" t="str">
        <f t="shared" ref="O68:O99" si="7">IF(AND(ISBLANK(E68), ISBLANK(F68), ISBLANK(G68), ISBLANK(H68), ISBLANK(I68), ISBLANK(J68), ISBLANK(K68), ISBLANK(L68), ISBLANK(M68)), "", E68-N68)</f>
        <v/>
      </c>
      <c r="P68" s="26" t="str">
        <f t="shared" ref="P68:P99" si="8">IF(AND(ISBLANK(E68),ISBLANK(F68),ISBLANK(G68),ISBLANK(H68),ISBLANK(I68),ISBLANK(J68),ISBLANK(K68),ISBLANK(L68),ISBLANK(M68)),"",N68/E68)</f>
        <v/>
      </c>
      <c r="Q68" s="14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</row>
    <row r="69" spans="1:440" s="3" customFormat="1" x14ac:dyDescent="0.3">
      <c r="A69" s="13"/>
      <c r="B69" s="14"/>
      <c r="C69" s="30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22" t="str">
        <f t="shared" si="6"/>
        <v/>
      </c>
      <c r="O69" s="22" t="str">
        <f t="shared" si="7"/>
        <v/>
      </c>
      <c r="P69" s="26" t="str">
        <f t="shared" si="8"/>
        <v/>
      </c>
      <c r="Q69" s="14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</row>
    <row r="70" spans="1:440" s="3" customFormat="1" x14ac:dyDescent="0.3">
      <c r="A70" s="13"/>
      <c r="B70" s="14"/>
      <c r="C70" s="30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22" t="str">
        <f t="shared" si="6"/>
        <v/>
      </c>
      <c r="O70" s="22" t="str">
        <f t="shared" si="7"/>
        <v/>
      </c>
      <c r="P70" s="26" t="str">
        <f t="shared" si="8"/>
        <v/>
      </c>
      <c r="Q70" s="14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</row>
    <row r="71" spans="1:440" s="3" customFormat="1" x14ac:dyDescent="0.3">
      <c r="A71" s="13"/>
      <c r="B71" s="14"/>
      <c r="C71" s="30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22" t="str">
        <f t="shared" si="6"/>
        <v/>
      </c>
      <c r="O71" s="22" t="str">
        <f t="shared" si="7"/>
        <v/>
      </c>
      <c r="P71" s="26" t="str">
        <f t="shared" si="8"/>
        <v/>
      </c>
      <c r="Q71" s="14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</row>
    <row r="72" spans="1:440" s="3" customFormat="1" x14ac:dyDescent="0.3">
      <c r="A72" s="13"/>
      <c r="B72" s="14"/>
      <c r="C72" s="30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22" t="str">
        <f t="shared" si="6"/>
        <v/>
      </c>
      <c r="O72" s="22" t="str">
        <f t="shared" si="7"/>
        <v/>
      </c>
      <c r="P72" s="26" t="str">
        <f t="shared" si="8"/>
        <v/>
      </c>
      <c r="Q72" s="14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</row>
    <row r="73" spans="1:440" s="3" customFormat="1" x14ac:dyDescent="0.3">
      <c r="A73" s="13"/>
      <c r="B73" s="14"/>
      <c r="C73" s="30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22" t="str">
        <f t="shared" si="6"/>
        <v/>
      </c>
      <c r="O73" s="22" t="str">
        <f t="shared" si="7"/>
        <v/>
      </c>
      <c r="P73" s="26" t="str">
        <f t="shared" si="8"/>
        <v/>
      </c>
      <c r="Q73" s="14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</row>
    <row r="74" spans="1:440" s="3" customFormat="1" x14ac:dyDescent="0.3">
      <c r="A74" s="13"/>
      <c r="B74" s="14"/>
      <c r="C74" s="30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22" t="str">
        <f t="shared" si="6"/>
        <v/>
      </c>
      <c r="O74" s="22" t="str">
        <f t="shared" si="7"/>
        <v/>
      </c>
      <c r="P74" s="26" t="str">
        <f t="shared" si="8"/>
        <v/>
      </c>
      <c r="Q74" s="1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</row>
    <row r="75" spans="1:440" s="3" customFormat="1" x14ac:dyDescent="0.3">
      <c r="A75" s="13"/>
      <c r="B75" s="14"/>
      <c r="C75" s="30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22" t="str">
        <f t="shared" si="6"/>
        <v/>
      </c>
      <c r="O75" s="22" t="str">
        <f t="shared" si="7"/>
        <v/>
      </c>
      <c r="P75" s="26" t="str">
        <f t="shared" si="8"/>
        <v/>
      </c>
      <c r="Q75" s="14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</row>
    <row r="76" spans="1:440" s="2" customFormat="1" x14ac:dyDescent="0.3">
      <c r="A76" s="13"/>
      <c r="B76" s="14"/>
      <c r="C76" s="30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22" t="str">
        <f t="shared" si="6"/>
        <v/>
      </c>
      <c r="O76" s="22" t="str">
        <f t="shared" si="7"/>
        <v/>
      </c>
      <c r="P76" s="26" t="str">
        <f t="shared" si="8"/>
        <v/>
      </c>
      <c r="Q76" s="14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</row>
    <row r="77" spans="1:440" s="3" customFormat="1" x14ac:dyDescent="0.3">
      <c r="A77" s="13"/>
      <c r="B77" s="14"/>
      <c r="C77" s="30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22" t="str">
        <f t="shared" si="6"/>
        <v/>
      </c>
      <c r="O77" s="22" t="str">
        <f t="shared" si="7"/>
        <v/>
      </c>
      <c r="P77" s="26" t="str">
        <f t="shared" si="8"/>
        <v/>
      </c>
      <c r="Q77" s="1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</row>
    <row r="78" spans="1:440" s="3" customFormat="1" x14ac:dyDescent="0.3">
      <c r="A78" s="13"/>
      <c r="B78" s="14"/>
      <c r="C78" s="30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22" t="str">
        <f t="shared" si="6"/>
        <v/>
      </c>
      <c r="O78" s="22" t="str">
        <f t="shared" si="7"/>
        <v/>
      </c>
      <c r="P78" s="26" t="str">
        <f t="shared" si="8"/>
        <v/>
      </c>
      <c r="Q78" s="14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</row>
    <row r="79" spans="1:440" s="3" customFormat="1" x14ac:dyDescent="0.3">
      <c r="A79" s="13"/>
      <c r="B79" s="14"/>
      <c r="C79" s="3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22" t="str">
        <f t="shared" si="6"/>
        <v/>
      </c>
      <c r="O79" s="22" t="str">
        <f t="shared" si="7"/>
        <v/>
      </c>
      <c r="P79" s="26" t="str">
        <f t="shared" si="8"/>
        <v/>
      </c>
      <c r="Q79" s="14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</row>
    <row r="80" spans="1:440" s="3" customFormat="1" x14ac:dyDescent="0.3">
      <c r="A80" s="13"/>
      <c r="B80" s="14"/>
      <c r="C80" s="30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22" t="str">
        <f t="shared" si="6"/>
        <v/>
      </c>
      <c r="O80" s="22" t="str">
        <f t="shared" si="7"/>
        <v/>
      </c>
      <c r="P80" s="26" t="str">
        <f t="shared" si="8"/>
        <v/>
      </c>
      <c r="Q80" s="1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</row>
    <row r="81" spans="1:440" s="3" customFormat="1" x14ac:dyDescent="0.3">
      <c r="A81" s="13"/>
      <c r="B81" s="14"/>
      <c r="C81" s="30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22" t="str">
        <f t="shared" si="6"/>
        <v/>
      </c>
      <c r="O81" s="22" t="str">
        <f t="shared" si="7"/>
        <v/>
      </c>
      <c r="P81" s="26" t="str">
        <f t="shared" si="8"/>
        <v/>
      </c>
      <c r="Q81" s="14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</row>
    <row r="82" spans="1:440" s="3" customFormat="1" x14ac:dyDescent="0.3">
      <c r="A82" s="13"/>
      <c r="B82" s="14"/>
      <c r="C82" s="30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22" t="str">
        <f t="shared" si="6"/>
        <v/>
      </c>
      <c r="O82" s="22" t="str">
        <f t="shared" si="7"/>
        <v/>
      </c>
      <c r="P82" s="26" t="str">
        <f t="shared" si="8"/>
        <v/>
      </c>
      <c r="Q82" s="14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</row>
    <row r="83" spans="1:440" s="8" customFormat="1" x14ac:dyDescent="0.3">
      <c r="A83" s="13"/>
      <c r="B83" s="14"/>
      <c r="C83" s="30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22" t="str">
        <f t="shared" si="6"/>
        <v/>
      </c>
      <c r="O83" s="22" t="str">
        <f t="shared" si="7"/>
        <v/>
      </c>
      <c r="P83" s="26" t="str">
        <f t="shared" si="8"/>
        <v/>
      </c>
      <c r="Q83" s="1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</row>
    <row r="84" spans="1:440" s="7" customFormat="1" x14ac:dyDescent="0.3">
      <c r="A84" s="13"/>
      <c r="B84" s="14"/>
      <c r="C84" s="30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22" t="str">
        <f t="shared" si="6"/>
        <v/>
      </c>
      <c r="O84" s="22" t="str">
        <f t="shared" si="7"/>
        <v/>
      </c>
      <c r="P84" s="26" t="str">
        <f t="shared" si="8"/>
        <v/>
      </c>
      <c r="Q84" s="14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</row>
    <row r="85" spans="1:440" s="4" customFormat="1" x14ac:dyDescent="0.3">
      <c r="A85" s="13"/>
      <c r="B85" s="14"/>
      <c r="C85" s="30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22" t="str">
        <f t="shared" si="6"/>
        <v/>
      </c>
      <c r="O85" s="22" t="str">
        <f t="shared" si="7"/>
        <v/>
      </c>
      <c r="P85" s="26" t="str">
        <f t="shared" si="8"/>
        <v/>
      </c>
      <c r="Q85" s="14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</row>
    <row r="86" spans="1:440" s="7" customFormat="1" x14ac:dyDescent="0.3">
      <c r="A86" s="13"/>
      <c r="B86" s="14"/>
      <c r="C86" s="30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22" t="str">
        <f t="shared" si="6"/>
        <v/>
      </c>
      <c r="O86" s="22" t="str">
        <f t="shared" si="7"/>
        <v/>
      </c>
      <c r="P86" s="26" t="str">
        <f t="shared" si="8"/>
        <v/>
      </c>
      <c r="Q86" s="1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</row>
    <row r="87" spans="1:440" s="3" customFormat="1" x14ac:dyDescent="0.3">
      <c r="A87" s="13"/>
      <c r="B87" s="14"/>
      <c r="C87" s="30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22" t="str">
        <f t="shared" si="6"/>
        <v/>
      </c>
      <c r="O87" s="22" t="str">
        <f t="shared" si="7"/>
        <v/>
      </c>
      <c r="P87" s="26" t="str">
        <f t="shared" si="8"/>
        <v/>
      </c>
      <c r="Q87" s="14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</row>
    <row r="88" spans="1:440" s="7" customFormat="1" x14ac:dyDescent="0.3">
      <c r="A88" s="13"/>
      <c r="B88" s="14"/>
      <c r="C88" s="30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22" t="str">
        <f t="shared" si="6"/>
        <v/>
      </c>
      <c r="O88" s="22" t="str">
        <f t="shared" si="7"/>
        <v/>
      </c>
      <c r="P88" s="26" t="str">
        <f t="shared" si="8"/>
        <v/>
      </c>
      <c r="Q88" s="14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</row>
    <row r="89" spans="1:440" x14ac:dyDescent="0.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22" t="str">
        <f t="shared" si="6"/>
        <v/>
      </c>
      <c r="O89" s="22" t="str">
        <f t="shared" si="7"/>
        <v/>
      </c>
      <c r="P89" s="26" t="str">
        <f t="shared" si="8"/>
        <v/>
      </c>
      <c r="Q89" s="1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</row>
    <row r="90" spans="1:440" x14ac:dyDescent="0.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22" t="str">
        <f t="shared" si="6"/>
        <v/>
      </c>
      <c r="O90" s="22" t="str">
        <f t="shared" si="7"/>
        <v/>
      </c>
      <c r="P90" s="26" t="str">
        <f t="shared" si="8"/>
        <v/>
      </c>
      <c r="Q90" s="14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</row>
    <row r="91" spans="1:440" s="7" customFormat="1" x14ac:dyDescent="0.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22" t="str">
        <f t="shared" si="6"/>
        <v/>
      </c>
      <c r="O91" s="22" t="str">
        <f t="shared" si="7"/>
        <v/>
      </c>
      <c r="P91" s="26" t="str">
        <f t="shared" si="8"/>
        <v/>
      </c>
      <c r="Q91" s="14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</row>
    <row r="92" spans="1:440" s="3" customFormat="1" x14ac:dyDescent="0.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22" t="str">
        <f t="shared" si="6"/>
        <v/>
      </c>
      <c r="O92" s="22" t="str">
        <f t="shared" si="7"/>
        <v/>
      </c>
      <c r="P92" s="26" t="str">
        <f t="shared" si="8"/>
        <v/>
      </c>
      <c r="Q92" s="1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</row>
    <row r="93" spans="1:440" s="3" customFormat="1" x14ac:dyDescent="0.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22" t="str">
        <f t="shared" si="6"/>
        <v/>
      </c>
      <c r="O93" s="22" t="str">
        <f t="shared" si="7"/>
        <v/>
      </c>
      <c r="P93" s="26" t="str">
        <f t="shared" si="8"/>
        <v/>
      </c>
      <c r="Q93" s="14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</row>
    <row r="94" spans="1:440" s="3" customFormat="1" x14ac:dyDescent="0.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22" t="str">
        <f t="shared" si="6"/>
        <v/>
      </c>
      <c r="O94" s="22" t="str">
        <f t="shared" si="7"/>
        <v/>
      </c>
      <c r="P94" s="26" t="str">
        <f t="shared" si="8"/>
        <v/>
      </c>
      <c r="Q94" s="14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</row>
    <row r="95" spans="1:440" s="3" customFormat="1" x14ac:dyDescent="0.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22" t="str">
        <f t="shared" si="6"/>
        <v/>
      </c>
      <c r="O95" s="22" t="str">
        <f t="shared" si="7"/>
        <v/>
      </c>
      <c r="P95" s="26" t="str">
        <f t="shared" si="8"/>
        <v/>
      </c>
      <c r="Q95" s="14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</row>
    <row r="96" spans="1:440" s="9" customFormat="1" x14ac:dyDescent="0.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22" t="str">
        <f t="shared" si="6"/>
        <v/>
      </c>
      <c r="O96" s="22" t="str">
        <f t="shared" si="7"/>
        <v/>
      </c>
      <c r="P96" s="26" t="str">
        <f t="shared" si="8"/>
        <v/>
      </c>
      <c r="Q96" s="14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</row>
    <row r="97" spans="1:440" s="3" customFormat="1" x14ac:dyDescent="0.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22" t="str">
        <f t="shared" si="6"/>
        <v/>
      </c>
      <c r="O97" s="22" t="str">
        <f t="shared" si="7"/>
        <v/>
      </c>
      <c r="P97" s="26" t="str">
        <f t="shared" si="8"/>
        <v/>
      </c>
      <c r="Q97" s="14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</row>
    <row r="98" spans="1:440" s="3" customFormat="1" x14ac:dyDescent="0.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22" t="str">
        <f t="shared" si="6"/>
        <v/>
      </c>
      <c r="O98" s="22" t="str">
        <f t="shared" si="7"/>
        <v/>
      </c>
      <c r="P98" s="26" t="str">
        <f t="shared" si="8"/>
        <v/>
      </c>
      <c r="Q98" s="14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</row>
    <row r="99" spans="1:440" s="4" customFormat="1" x14ac:dyDescent="0.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22" t="str">
        <f t="shared" si="6"/>
        <v/>
      </c>
      <c r="O99" s="22" t="str">
        <f t="shared" si="7"/>
        <v/>
      </c>
      <c r="P99" s="26" t="str">
        <f t="shared" si="8"/>
        <v/>
      </c>
      <c r="Q99" s="14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</row>
    <row r="100" spans="1:440" s="7" customFormat="1" x14ac:dyDescent="0.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22" t="str">
        <f t="shared" ref="N100:N131" si="9">IF(AND(ISBLANK(E100),ISBLANK(F100),ISBLANK(G100),ISBLANK(H100),ISBLANK(I100),ISBLANK(J100),ISBLANK(K100),ISBLANK(L100),ISBLANK(M100)),"",SUM(F100:M100))</f>
        <v/>
      </c>
      <c r="O100" s="22" t="str">
        <f t="shared" ref="O100:O131" si="10">IF(AND(ISBLANK(E100), ISBLANK(F100), ISBLANK(G100), ISBLANK(H100), ISBLANK(I100), ISBLANK(J100), ISBLANK(K100), ISBLANK(L100), ISBLANK(M100)), "", E100-N100)</f>
        <v/>
      </c>
      <c r="P100" s="26" t="str">
        <f t="shared" ref="P100:P131" si="11">IF(AND(ISBLANK(E100),ISBLANK(F100),ISBLANK(G100),ISBLANK(H100),ISBLANK(I100),ISBLANK(J100),ISBLANK(K100),ISBLANK(L100),ISBLANK(M100)),"",N100/E100)</f>
        <v/>
      </c>
      <c r="Q100" s="14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</row>
    <row r="101" spans="1:440" s="3" customFormat="1" x14ac:dyDescent="0.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22" t="str">
        <f t="shared" si="9"/>
        <v/>
      </c>
      <c r="O101" s="22" t="str">
        <f t="shared" si="10"/>
        <v/>
      </c>
      <c r="P101" s="26" t="str">
        <f t="shared" si="11"/>
        <v/>
      </c>
      <c r="Q101" s="14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</row>
    <row r="102" spans="1:440" s="7" customFormat="1" x14ac:dyDescent="0.3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22" t="str">
        <f t="shared" si="9"/>
        <v/>
      </c>
      <c r="O102" s="22" t="str">
        <f t="shared" si="10"/>
        <v/>
      </c>
      <c r="P102" s="26" t="str">
        <f t="shared" si="11"/>
        <v/>
      </c>
      <c r="Q102" s="14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</row>
    <row r="103" spans="1:440" s="7" customFormat="1" x14ac:dyDescent="0.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22" t="str">
        <f t="shared" si="9"/>
        <v/>
      </c>
      <c r="O103" s="22" t="str">
        <f t="shared" si="10"/>
        <v/>
      </c>
      <c r="P103" s="26" t="str">
        <f t="shared" si="11"/>
        <v/>
      </c>
      <c r="Q103" s="14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</row>
    <row r="104" spans="1:440" s="5" customFormat="1" x14ac:dyDescent="0.3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22" t="str">
        <f t="shared" si="9"/>
        <v/>
      </c>
      <c r="O104" s="22" t="str">
        <f t="shared" si="10"/>
        <v/>
      </c>
      <c r="P104" s="26" t="str">
        <f t="shared" si="11"/>
        <v/>
      </c>
      <c r="Q104" s="14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</row>
    <row r="105" spans="1:440" s="3" customFormat="1" x14ac:dyDescent="0.3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22" t="str">
        <f t="shared" si="9"/>
        <v/>
      </c>
      <c r="O105" s="22" t="str">
        <f t="shared" si="10"/>
        <v/>
      </c>
      <c r="P105" s="26" t="str">
        <f t="shared" si="11"/>
        <v/>
      </c>
      <c r="Q105" s="14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</row>
    <row r="106" spans="1:440" s="7" customFormat="1" x14ac:dyDescent="0.3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22" t="str">
        <f t="shared" si="9"/>
        <v/>
      </c>
      <c r="O106" s="22" t="str">
        <f t="shared" si="10"/>
        <v/>
      </c>
      <c r="P106" s="26" t="str">
        <f t="shared" si="11"/>
        <v/>
      </c>
      <c r="Q106" s="14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</row>
    <row r="107" spans="1:440" s="7" customFormat="1" x14ac:dyDescent="0.3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22" t="str">
        <f t="shared" si="9"/>
        <v/>
      </c>
      <c r="O107" s="22" t="str">
        <f t="shared" si="10"/>
        <v/>
      </c>
      <c r="P107" s="26" t="str">
        <f t="shared" si="11"/>
        <v/>
      </c>
      <c r="Q107" s="14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</row>
    <row r="108" spans="1:440" s="3" customFormat="1" x14ac:dyDescent="0.3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22" t="str">
        <f t="shared" si="9"/>
        <v/>
      </c>
      <c r="O108" s="22" t="str">
        <f t="shared" si="10"/>
        <v/>
      </c>
      <c r="P108" s="26" t="str">
        <f t="shared" si="11"/>
        <v/>
      </c>
      <c r="Q108" s="14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</row>
    <row r="109" spans="1:440" s="7" customFormat="1" x14ac:dyDescent="0.3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22" t="str">
        <f t="shared" si="9"/>
        <v/>
      </c>
      <c r="O109" s="22" t="str">
        <f t="shared" si="10"/>
        <v/>
      </c>
      <c r="P109" s="26" t="str">
        <f t="shared" si="11"/>
        <v/>
      </c>
      <c r="Q109" s="14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</row>
    <row r="110" spans="1:440" s="3" customFormat="1" x14ac:dyDescent="0.3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22" t="str">
        <f t="shared" si="9"/>
        <v/>
      </c>
      <c r="O110" s="22" t="str">
        <f t="shared" si="10"/>
        <v/>
      </c>
      <c r="P110" s="26" t="str">
        <f t="shared" si="11"/>
        <v/>
      </c>
      <c r="Q110" s="14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</row>
    <row r="111" spans="1:440" s="3" customFormat="1" x14ac:dyDescent="0.3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22" t="str">
        <f t="shared" si="9"/>
        <v/>
      </c>
      <c r="O111" s="22" t="str">
        <f t="shared" si="10"/>
        <v/>
      </c>
      <c r="P111" s="26" t="str">
        <f t="shared" si="11"/>
        <v/>
      </c>
      <c r="Q111" s="14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</row>
    <row r="112" spans="1:440" s="3" customFormat="1" x14ac:dyDescent="0.3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22" t="str">
        <f t="shared" si="9"/>
        <v/>
      </c>
      <c r="O112" s="22" t="str">
        <f t="shared" si="10"/>
        <v/>
      </c>
      <c r="P112" s="26" t="str">
        <f t="shared" si="11"/>
        <v/>
      </c>
      <c r="Q112" s="14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</row>
    <row r="113" spans="1:440" s="7" customFormat="1" x14ac:dyDescent="0.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22" t="str">
        <f t="shared" si="9"/>
        <v/>
      </c>
      <c r="O113" s="22" t="str">
        <f t="shared" si="10"/>
        <v/>
      </c>
      <c r="P113" s="26" t="str">
        <f t="shared" si="11"/>
        <v/>
      </c>
      <c r="Q113" s="14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</row>
    <row r="114" spans="1:440" s="7" customFormat="1" x14ac:dyDescent="0.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22" t="str">
        <f t="shared" si="9"/>
        <v/>
      </c>
      <c r="O114" s="22" t="str">
        <f t="shared" si="10"/>
        <v/>
      </c>
      <c r="P114" s="26" t="str">
        <f t="shared" si="11"/>
        <v/>
      </c>
      <c r="Q114" s="14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</row>
    <row r="115" spans="1:440" s="3" customFormat="1" x14ac:dyDescent="0.3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22" t="str">
        <f t="shared" si="9"/>
        <v/>
      </c>
      <c r="O115" s="22" t="str">
        <f t="shared" si="10"/>
        <v/>
      </c>
      <c r="P115" s="26" t="str">
        <f t="shared" si="11"/>
        <v/>
      </c>
      <c r="Q115" s="14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</row>
    <row r="116" spans="1:440" s="3" customFormat="1" x14ac:dyDescent="0.3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22" t="str">
        <f t="shared" si="9"/>
        <v/>
      </c>
      <c r="O116" s="22" t="str">
        <f t="shared" si="10"/>
        <v/>
      </c>
      <c r="P116" s="26" t="str">
        <f t="shared" si="11"/>
        <v/>
      </c>
      <c r="Q116" s="14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</row>
    <row r="117" spans="1:440" s="3" customFormat="1" x14ac:dyDescent="0.3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22" t="str">
        <f t="shared" si="9"/>
        <v/>
      </c>
      <c r="O117" s="22" t="str">
        <f t="shared" si="10"/>
        <v/>
      </c>
      <c r="P117" s="26" t="str">
        <f t="shared" si="11"/>
        <v/>
      </c>
      <c r="Q117" s="14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</row>
    <row r="118" spans="1:440" s="3" customFormat="1" x14ac:dyDescent="0.3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22" t="str">
        <f t="shared" si="9"/>
        <v/>
      </c>
      <c r="O118" s="22" t="str">
        <f t="shared" si="10"/>
        <v/>
      </c>
      <c r="P118" s="26" t="str">
        <f t="shared" si="11"/>
        <v/>
      </c>
      <c r="Q118" s="14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</row>
    <row r="119" spans="1:440" s="7" customFormat="1" x14ac:dyDescent="0.3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22" t="str">
        <f t="shared" si="9"/>
        <v/>
      </c>
      <c r="O119" s="22" t="str">
        <f t="shared" si="10"/>
        <v/>
      </c>
      <c r="P119" s="26" t="str">
        <f t="shared" si="11"/>
        <v/>
      </c>
      <c r="Q119" s="14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</row>
    <row r="120" spans="1:440" s="7" customFormat="1" x14ac:dyDescent="0.3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22" t="str">
        <f t="shared" si="9"/>
        <v/>
      </c>
      <c r="O120" s="22" t="str">
        <f t="shared" si="10"/>
        <v/>
      </c>
      <c r="P120" s="26" t="str">
        <f t="shared" si="11"/>
        <v/>
      </c>
      <c r="Q120" s="14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</row>
    <row r="121" spans="1:440" s="3" customFormat="1" x14ac:dyDescent="0.3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22" t="str">
        <f t="shared" si="9"/>
        <v/>
      </c>
      <c r="O121" s="22" t="str">
        <f t="shared" si="10"/>
        <v/>
      </c>
      <c r="P121" s="26" t="str">
        <f t="shared" si="11"/>
        <v/>
      </c>
      <c r="Q121" s="14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</row>
    <row r="122" spans="1:440" s="3" customFormat="1" x14ac:dyDescent="0.3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22" t="str">
        <f t="shared" si="9"/>
        <v/>
      </c>
      <c r="O122" s="22" t="str">
        <f t="shared" si="10"/>
        <v/>
      </c>
      <c r="P122" s="26" t="str">
        <f t="shared" si="11"/>
        <v/>
      </c>
      <c r="Q122" s="14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</row>
    <row r="123" spans="1:440" s="7" customFormat="1" x14ac:dyDescent="0.3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22" t="str">
        <f t="shared" si="9"/>
        <v/>
      </c>
      <c r="O123" s="22" t="str">
        <f t="shared" si="10"/>
        <v/>
      </c>
      <c r="P123" s="26" t="str">
        <f t="shared" si="11"/>
        <v/>
      </c>
      <c r="Q123" s="14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</row>
    <row r="124" spans="1:440" s="3" customFormat="1" x14ac:dyDescent="0.3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22" t="str">
        <f t="shared" si="9"/>
        <v/>
      </c>
      <c r="O124" s="22" t="str">
        <f t="shared" si="10"/>
        <v/>
      </c>
      <c r="P124" s="26" t="str">
        <f t="shared" si="11"/>
        <v/>
      </c>
      <c r="Q124" s="14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</row>
    <row r="125" spans="1:440" s="3" customFormat="1" x14ac:dyDescent="0.3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22" t="str">
        <f t="shared" si="9"/>
        <v/>
      </c>
      <c r="O125" s="22" t="str">
        <f t="shared" si="10"/>
        <v/>
      </c>
      <c r="P125" s="26" t="str">
        <f t="shared" si="11"/>
        <v/>
      </c>
      <c r="Q125" s="14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</row>
    <row r="126" spans="1:440" s="3" customFormat="1" x14ac:dyDescent="0.3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22" t="str">
        <f t="shared" si="9"/>
        <v/>
      </c>
      <c r="O126" s="22" t="str">
        <f t="shared" si="10"/>
        <v/>
      </c>
      <c r="P126" s="26" t="str">
        <f t="shared" si="11"/>
        <v/>
      </c>
      <c r="Q126" s="14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</row>
    <row r="127" spans="1:440" s="3" customFormat="1" x14ac:dyDescent="0.3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22" t="str">
        <f t="shared" si="9"/>
        <v/>
      </c>
      <c r="O127" s="22" t="str">
        <f t="shared" si="10"/>
        <v/>
      </c>
      <c r="P127" s="26" t="str">
        <f t="shared" si="11"/>
        <v/>
      </c>
      <c r="Q127" s="14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</row>
    <row r="128" spans="1:440" s="7" customFormat="1" x14ac:dyDescent="0.3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22" t="str">
        <f t="shared" si="9"/>
        <v/>
      </c>
      <c r="O128" s="22" t="str">
        <f t="shared" si="10"/>
        <v/>
      </c>
      <c r="P128" s="26" t="str">
        <f t="shared" si="11"/>
        <v/>
      </c>
      <c r="Q128" s="14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</row>
    <row r="129" spans="1:440" s="11" customFormat="1" x14ac:dyDescent="0.3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22" t="str">
        <f t="shared" si="9"/>
        <v/>
      </c>
      <c r="O129" s="22" t="str">
        <f t="shared" si="10"/>
        <v/>
      </c>
      <c r="P129" s="26" t="str">
        <f t="shared" si="11"/>
        <v/>
      </c>
      <c r="Q129" s="14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</row>
    <row r="130" spans="1:440" s="3" customFormat="1" x14ac:dyDescent="0.3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22" t="str">
        <f t="shared" si="9"/>
        <v/>
      </c>
      <c r="O130" s="22" t="str">
        <f t="shared" si="10"/>
        <v/>
      </c>
      <c r="P130" s="26" t="str">
        <f t="shared" si="11"/>
        <v/>
      </c>
      <c r="Q130" s="14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</row>
    <row r="131" spans="1:440" s="7" customFormat="1" x14ac:dyDescent="0.3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22" t="str">
        <f t="shared" si="9"/>
        <v/>
      </c>
      <c r="O131" s="22" t="str">
        <f t="shared" si="10"/>
        <v/>
      </c>
      <c r="P131" s="26" t="str">
        <f t="shared" si="11"/>
        <v/>
      </c>
      <c r="Q131" s="14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</row>
    <row r="132" spans="1:440" s="3" customFormat="1" x14ac:dyDescent="0.3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22" t="str">
        <f t="shared" ref="N132:N163" si="12">IF(AND(ISBLANK(E132),ISBLANK(F132),ISBLANK(G132),ISBLANK(H132),ISBLANK(I132),ISBLANK(J132),ISBLANK(K132),ISBLANK(L132),ISBLANK(M132)),"",SUM(F132:M132))</f>
        <v/>
      </c>
      <c r="O132" s="22" t="str">
        <f t="shared" ref="O132:O163" si="13">IF(AND(ISBLANK(E132), ISBLANK(F132), ISBLANK(G132), ISBLANK(H132), ISBLANK(I132), ISBLANK(J132), ISBLANK(K132), ISBLANK(L132), ISBLANK(M132)), "", E132-N132)</f>
        <v/>
      </c>
      <c r="P132" s="26" t="str">
        <f t="shared" ref="P132:P163" si="14">IF(AND(ISBLANK(E132),ISBLANK(F132),ISBLANK(G132),ISBLANK(H132),ISBLANK(I132),ISBLANK(J132),ISBLANK(K132),ISBLANK(L132),ISBLANK(M132)),"",N132/E132)</f>
        <v/>
      </c>
      <c r="Q132" s="14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</row>
    <row r="133" spans="1:440" s="3" customFormat="1" x14ac:dyDescent="0.3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22" t="str">
        <f t="shared" si="12"/>
        <v/>
      </c>
      <c r="O133" s="22" t="str">
        <f t="shared" si="13"/>
        <v/>
      </c>
      <c r="P133" s="26" t="str">
        <f t="shared" si="14"/>
        <v/>
      </c>
      <c r="Q133" s="14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</row>
    <row r="134" spans="1:440" s="3" customFormat="1" x14ac:dyDescent="0.3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22" t="str">
        <f t="shared" si="12"/>
        <v/>
      </c>
      <c r="O134" s="22" t="str">
        <f t="shared" si="13"/>
        <v/>
      </c>
      <c r="P134" s="26" t="str">
        <f t="shared" si="14"/>
        <v/>
      </c>
      <c r="Q134" s="14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</row>
    <row r="135" spans="1:440" s="3" customFormat="1" x14ac:dyDescent="0.3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22" t="str">
        <f t="shared" si="12"/>
        <v/>
      </c>
      <c r="O135" s="22" t="str">
        <f t="shared" si="13"/>
        <v/>
      </c>
      <c r="P135" s="26" t="str">
        <f t="shared" si="14"/>
        <v/>
      </c>
      <c r="Q135" s="14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</row>
    <row r="136" spans="1:440" s="3" customFormat="1" x14ac:dyDescent="0.3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22" t="str">
        <f t="shared" si="12"/>
        <v/>
      </c>
      <c r="O136" s="22" t="str">
        <f t="shared" si="13"/>
        <v/>
      </c>
      <c r="P136" s="26" t="str">
        <f t="shared" si="14"/>
        <v/>
      </c>
      <c r="Q136" s="14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</row>
    <row r="137" spans="1:440" s="7" customFormat="1" x14ac:dyDescent="0.3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22" t="str">
        <f t="shared" si="12"/>
        <v/>
      </c>
      <c r="O137" s="22" t="str">
        <f t="shared" si="13"/>
        <v/>
      </c>
      <c r="P137" s="26" t="str">
        <f t="shared" si="14"/>
        <v/>
      </c>
      <c r="Q137" s="14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</row>
    <row r="138" spans="1:440" s="3" customFormat="1" x14ac:dyDescent="0.3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22" t="str">
        <f t="shared" si="12"/>
        <v/>
      </c>
      <c r="O138" s="22" t="str">
        <f t="shared" si="13"/>
        <v/>
      </c>
      <c r="P138" s="26" t="str">
        <f t="shared" si="14"/>
        <v/>
      </c>
      <c r="Q138" s="14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</row>
    <row r="139" spans="1:440" s="3" customFormat="1" x14ac:dyDescent="0.3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22" t="str">
        <f t="shared" si="12"/>
        <v/>
      </c>
      <c r="O139" s="22" t="str">
        <f t="shared" si="13"/>
        <v/>
      </c>
      <c r="P139" s="26" t="str">
        <f t="shared" si="14"/>
        <v/>
      </c>
      <c r="Q139" s="14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</row>
    <row r="140" spans="1:440" s="6" customFormat="1" x14ac:dyDescent="0.3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22" t="str">
        <f t="shared" si="12"/>
        <v/>
      </c>
      <c r="O140" s="22" t="str">
        <f t="shared" si="13"/>
        <v/>
      </c>
      <c r="P140" s="26" t="str">
        <f t="shared" si="14"/>
        <v/>
      </c>
      <c r="Q140" s="14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</row>
    <row r="141" spans="1:440" s="10" customFormat="1" x14ac:dyDescent="0.3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22" t="str">
        <f t="shared" si="12"/>
        <v/>
      </c>
      <c r="O141" s="22" t="str">
        <f t="shared" si="13"/>
        <v/>
      </c>
      <c r="P141" s="26" t="str">
        <f t="shared" si="14"/>
        <v/>
      </c>
      <c r="Q141" s="14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</row>
    <row r="142" spans="1:440" s="7" customFormat="1" x14ac:dyDescent="0.3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22" t="str">
        <f t="shared" si="12"/>
        <v/>
      </c>
      <c r="O142" s="22" t="str">
        <f t="shared" si="13"/>
        <v/>
      </c>
      <c r="P142" s="26" t="str">
        <f t="shared" si="14"/>
        <v/>
      </c>
      <c r="Q142" s="14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</row>
    <row r="143" spans="1:440" s="7" customFormat="1" x14ac:dyDescent="0.3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22" t="str">
        <f t="shared" si="12"/>
        <v/>
      </c>
      <c r="O143" s="22" t="str">
        <f t="shared" si="13"/>
        <v/>
      </c>
      <c r="P143" s="26" t="str">
        <f t="shared" si="14"/>
        <v/>
      </c>
      <c r="Q143" s="14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</row>
    <row r="144" spans="1:440" s="3" customFormat="1" x14ac:dyDescent="0.3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22" t="str">
        <f t="shared" si="12"/>
        <v/>
      </c>
      <c r="O144" s="22" t="str">
        <f t="shared" si="13"/>
        <v/>
      </c>
      <c r="P144" s="26" t="str">
        <f t="shared" si="14"/>
        <v/>
      </c>
      <c r="Q144" s="14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</row>
    <row r="145" spans="1:440" s="3" customFormat="1" x14ac:dyDescent="0.3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22" t="str">
        <f t="shared" si="12"/>
        <v/>
      </c>
      <c r="O145" s="22" t="str">
        <f t="shared" si="13"/>
        <v/>
      </c>
      <c r="P145" s="26" t="str">
        <f t="shared" si="14"/>
        <v/>
      </c>
      <c r="Q145" s="14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</row>
    <row r="146" spans="1:440" s="3" customFormat="1" x14ac:dyDescent="0.3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22" t="str">
        <f t="shared" si="12"/>
        <v/>
      </c>
      <c r="O146" s="22" t="str">
        <f t="shared" si="13"/>
        <v/>
      </c>
      <c r="P146" s="26" t="str">
        <f t="shared" si="14"/>
        <v/>
      </c>
      <c r="Q146" s="14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</row>
    <row r="147" spans="1:440" s="3" customFormat="1" x14ac:dyDescent="0.3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22" t="str">
        <f t="shared" si="12"/>
        <v/>
      </c>
      <c r="O147" s="22" t="str">
        <f t="shared" si="13"/>
        <v/>
      </c>
      <c r="P147" s="26" t="str">
        <f t="shared" si="14"/>
        <v/>
      </c>
      <c r="Q147" s="14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</row>
    <row r="148" spans="1:440" s="3" customFormat="1" x14ac:dyDescent="0.3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22" t="str">
        <f t="shared" si="12"/>
        <v/>
      </c>
      <c r="O148" s="22" t="str">
        <f t="shared" si="13"/>
        <v/>
      </c>
      <c r="P148" s="26" t="str">
        <f t="shared" si="14"/>
        <v/>
      </c>
      <c r="Q148" s="14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</row>
    <row r="149" spans="1:440" s="3" customFormat="1" x14ac:dyDescent="0.3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22" t="str">
        <f t="shared" si="12"/>
        <v/>
      </c>
      <c r="O149" s="22" t="str">
        <f t="shared" si="13"/>
        <v/>
      </c>
      <c r="P149" s="26" t="str">
        <f t="shared" si="14"/>
        <v/>
      </c>
      <c r="Q149" s="14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</row>
    <row r="150" spans="1:440" s="3" customFormat="1" x14ac:dyDescent="0.3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22" t="str">
        <f t="shared" si="12"/>
        <v/>
      </c>
      <c r="O150" s="22" t="str">
        <f t="shared" si="13"/>
        <v/>
      </c>
      <c r="P150" s="26" t="str">
        <f t="shared" si="14"/>
        <v/>
      </c>
      <c r="Q150" s="14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</row>
    <row r="151" spans="1:440" s="3" customFormat="1" x14ac:dyDescent="0.3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22" t="str">
        <f t="shared" si="12"/>
        <v/>
      </c>
      <c r="O151" s="22" t="str">
        <f t="shared" si="13"/>
        <v/>
      </c>
      <c r="P151" s="26" t="str">
        <f t="shared" si="14"/>
        <v/>
      </c>
      <c r="Q151" s="14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</row>
    <row r="152" spans="1:440" s="3" customFormat="1" x14ac:dyDescent="0.3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22" t="str">
        <f t="shared" si="12"/>
        <v/>
      </c>
      <c r="O152" s="22" t="str">
        <f t="shared" si="13"/>
        <v/>
      </c>
      <c r="P152" s="26" t="str">
        <f t="shared" si="14"/>
        <v/>
      </c>
      <c r="Q152" s="14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</row>
    <row r="153" spans="1:440" s="7" customFormat="1" x14ac:dyDescent="0.3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22" t="str">
        <f t="shared" si="12"/>
        <v/>
      </c>
      <c r="O153" s="22" t="str">
        <f t="shared" si="13"/>
        <v/>
      </c>
      <c r="P153" s="26" t="str">
        <f t="shared" si="14"/>
        <v/>
      </c>
      <c r="Q153" s="14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</row>
    <row r="154" spans="1:440" s="12" customFormat="1" ht="15.75" x14ac:dyDescent="0.25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22" t="str">
        <f t="shared" si="12"/>
        <v/>
      </c>
      <c r="O154" s="22" t="str">
        <f t="shared" si="13"/>
        <v/>
      </c>
      <c r="P154" s="26" t="str">
        <f t="shared" si="14"/>
        <v/>
      </c>
      <c r="Q154" s="14"/>
    </row>
    <row r="155" spans="1:440" x14ac:dyDescent="0.3">
      <c r="C155" s="15"/>
      <c r="N155" s="22" t="str">
        <f t="shared" si="12"/>
        <v/>
      </c>
      <c r="O155" s="22" t="str">
        <f t="shared" si="13"/>
        <v/>
      </c>
      <c r="P155" s="26" t="str">
        <f t="shared" si="14"/>
        <v/>
      </c>
      <c r="Q155" s="15"/>
      <c r="R155" s="5"/>
      <c r="S155" s="5"/>
      <c r="T155" s="5"/>
      <c r="U155" s="5"/>
      <c r="V155" s="5"/>
      <c r="W155" s="5"/>
      <c r="X155" s="5"/>
      <c r="Y155" s="5"/>
      <c r="Z155" s="5"/>
    </row>
    <row r="156" spans="1:440" x14ac:dyDescent="0.3">
      <c r="C156" s="15"/>
      <c r="N156" s="22" t="str">
        <f t="shared" si="12"/>
        <v/>
      </c>
      <c r="O156" s="22" t="str">
        <f t="shared" si="13"/>
        <v/>
      </c>
      <c r="P156" s="26" t="str">
        <f t="shared" si="14"/>
        <v/>
      </c>
      <c r="Q156" s="15"/>
      <c r="R156" s="5"/>
      <c r="S156" s="5"/>
      <c r="T156" s="5"/>
      <c r="U156" s="5"/>
      <c r="V156" s="5"/>
      <c r="W156" s="5"/>
      <c r="X156" s="5"/>
      <c r="Y156" s="5"/>
      <c r="Z156" s="5"/>
    </row>
    <row r="157" spans="1:440" x14ac:dyDescent="0.3">
      <c r="C157" s="15"/>
      <c r="N157" s="22" t="str">
        <f t="shared" si="12"/>
        <v/>
      </c>
      <c r="O157" s="22" t="str">
        <f t="shared" si="13"/>
        <v/>
      </c>
      <c r="P157" s="26" t="str">
        <f t="shared" si="14"/>
        <v/>
      </c>
      <c r="Q157" s="15"/>
      <c r="R157" s="5"/>
      <c r="S157" s="5"/>
      <c r="T157" s="5"/>
      <c r="U157" s="5"/>
      <c r="V157" s="5"/>
      <c r="W157" s="5"/>
      <c r="X157" s="5"/>
      <c r="Y157" s="5"/>
      <c r="Z157" s="5"/>
    </row>
    <row r="158" spans="1:440" x14ac:dyDescent="0.3">
      <c r="C158" s="15"/>
      <c r="N158" s="22" t="str">
        <f t="shared" si="12"/>
        <v/>
      </c>
      <c r="O158" s="22" t="str">
        <f t="shared" si="13"/>
        <v/>
      </c>
      <c r="P158" s="26" t="str">
        <f t="shared" si="14"/>
        <v/>
      </c>
      <c r="Q158" s="15"/>
      <c r="R158" s="5"/>
      <c r="S158" s="5"/>
      <c r="T158" s="5"/>
      <c r="U158" s="5"/>
      <c r="V158" s="5"/>
      <c r="W158" s="5"/>
      <c r="X158" s="5"/>
      <c r="Y158" s="5"/>
      <c r="Z158" s="5"/>
    </row>
    <row r="159" spans="1:440" x14ac:dyDescent="0.3">
      <c r="C159" s="15"/>
      <c r="N159" s="22" t="str">
        <f t="shared" si="12"/>
        <v/>
      </c>
      <c r="O159" s="22" t="str">
        <f t="shared" si="13"/>
        <v/>
      </c>
      <c r="P159" s="26" t="str">
        <f t="shared" si="14"/>
        <v/>
      </c>
      <c r="Q159" s="15"/>
      <c r="R159" s="5"/>
      <c r="S159" s="5"/>
      <c r="T159" s="5"/>
      <c r="U159" s="5"/>
      <c r="V159" s="5"/>
      <c r="W159" s="5"/>
      <c r="X159" s="5"/>
      <c r="Y159" s="5"/>
      <c r="Z159" s="5"/>
    </row>
    <row r="160" spans="1:440" x14ac:dyDescent="0.3">
      <c r="C160" s="15"/>
      <c r="N160" s="22" t="str">
        <f t="shared" si="12"/>
        <v/>
      </c>
      <c r="O160" s="22" t="str">
        <f t="shared" si="13"/>
        <v/>
      </c>
      <c r="P160" s="26" t="str">
        <f t="shared" si="14"/>
        <v/>
      </c>
      <c r="Q160" s="15"/>
      <c r="R160" s="5"/>
      <c r="S160" s="5"/>
      <c r="T160" s="5"/>
      <c r="U160" s="5"/>
      <c r="V160" s="5"/>
      <c r="W160" s="5"/>
      <c r="X160" s="5"/>
      <c r="Y160" s="5"/>
      <c r="Z160" s="5"/>
    </row>
    <row r="161" spans="14:16" x14ac:dyDescent="0.3">
      <c r="N161" s="22" t="str">
        <f t="shared" si="12"/>
        <v/>
      </c>
      <c r="O161" s="22" t="str">
        <f t="shared" si="13"/>
        <v/>
      </c>
      <c r="P161" s="26" t="str">
        <f t="shared" si="14"/>
        <v/>
      </c>
    </row>
    <row r="162" spans="14:16" x14ac:dyDescent="0.3">
      <c r="N162" s="22" t="str">
        <f t="shared" si="12"/>
        <v/>
      </c>
      <c r="O162" s="22" t="str">
        <f t="shared" si="13"/>
        <v/>
      </c>
      <c r="P162" s="26" t="str">
        <f t="shared" si="14"/>
        <v/>
      </c>
    </row>
    <row r="163" spans="14:16" x14ac:dyDescent="0.3">
      <c r="N163" s="22" t="str">
        <f t="shared" si="12"/>
        <v/>
      </c>
      <c r="O163" s="22" t="str">
        <f t="shared" si="13"/>
        <v/>
      </c>
      <c r="P163" s="26" t="str">
        <f t="shared" si="14"/>
        <v/>
      </c>
    </row>
    <row r="164" spans="14:16" x14ac:dyDescent="0.3">
      <c r="N164" s="22" t="str">
        <f t="shared" ref="N164:N195" si="15">IF(AND(ISBLANK(E164),ISBLANK(F164),ISBLANK(G164),ISBLANK(H164),ISBLANK(I164),ISBLANK(J164),ISBLANK(K164),ISBLANK(L164),ISBLANK(M164)),"",SUM(F164:M164))</f>
        <v/>
      </c>
      <c r="O164" s="22" t="str">
        <f t="shared" ref="O164:O195" si="16">IF(AND(ISBLANK(E164), ISBLANK(F164), ISBLANK(G164), ISBLANK(H164), ISBLANK(I164), ISBLANK(J164), ISBLANK(K164), ISBLANK(L164), ISBLANK(M164)), "", E164-N164)</f>
        <v/>
      </c>
      <c r="P164" s="26" t="str">
        <f t="shared" ref="P164:P195" si="17">IF(AND(ISBLANK(E164),ISBLANK(F164),ISBLANK(G164),ISBLANK(H164),ISBLANK(I164),ISBLANK(J164),ISBLANK(K164),ISBLANK(L164),ISBLANK(M164)),"",N164/E164)</f>
        <v/>
      </c>
    </row>
    <row r="165" spans="14:16" x14ac:dyDescent="0.3">
      <c r="N165" s="22" t="str">
        <f t="shared" si="15"/>
        <v/>
      </c>
      <c r="O165" s="22" t="str">
        <f t="shared" si="16"/>
        <v/>
      </c>
      <c r="P165" s="26" t="str">
        <f t="shared" si="17"/>
        <v/>
      </c>
    </row>
    <row r="166" spans="14:16" x14ac:dyDescent="0.3">
      <c r="N166" s="22" t="str">
        <f t="shared" si="15"/>
        <v/>
      </c>
      <c r="O166" s="22" t="str">
        <f t="shared" si="16"/>
        <v/>
      </c>
      <c r="P166" s="26" t="str">
        <f t="shared" si="17"/>
        <v/>
      </c>
    </row>
    <row r="167" spans="14:16" x14ac:dyDescent="0.3">
      <c r="N167" s="22" t="str">
        <f t="shared" si="15"/>
        <v/>
      </c>
      <c r="O167" s="22" t="str">
        <f t="shared" si="16"/>
        <v/>
      </c>
      <c r="P167" s="26" t="str">
        <f t="shared" si="17"/>
        <v/>
      </c>
    </row>
    <row r="168" spans="14:16" x14ac:dyDescent="0.3">
      <c r="N168" s="22" t="str">
        <f t="shared" si="15"/>
        <v/>
      </c>
      <c r="O168" s="22" t="str">
        <f t="shared" si="16"/>
        <v/>
      </c>
      <c r="P168" s="26" t="str">
        <f t="shared" si="17"/>
        <v/>
      </c>
    </row>
    <row r="169" spans="14:16" x14ac:dyDescent="0.3">
      <c r="N169" s="22" t="str">
        <f t="shared" si="15"/>
        <v/>
      </c>
      <c r="O169" s="22" t="str">
        <f t="shared" si="16"/>
        <v/>
      </c>
      <c r="P169" s="26" t="str">
        <f t="shared" si="17"/>
        <v/>
      </c>
    </row>
    <row r="170" spans="14:16" x14ac:dyDescent="0.3">
      <c r="N170" s="22" t="str">
        <f t="shared" si="15"/>
        <v/>
      </c>
      <c r="O170" s="22" t="str">
        <f t="shared" si="16"/>
        <v/>
      </c>
      <c r="P170" s="26" t="str">
        <f t="shared" si="17"/>
        <v/>
      </c>
    </row>
    <row r="171" spans="14:16" x14ac:dyDescent="0.3">
      <c r="N171" s="22" t="str">
        <f t="shared" si="15"/>
        <v/>
      </c>
      <c r="O171" s="22" t="str">
        <f t="shared" si="16"/>
        <v/>
      </c>
      <c r="P171" s="26" t="str">
        <f t="shared" si="17"/>
        <v/>
      </c>
    </row>
    <row r="172" spans="14:16" x14ac:dyDescent="0.3">
      <c r="N172" s="22" t="str">
        <f t="shared" si="15"/>
        <v/>
      </c>
      <c r="O172" s="22" t="str">
        <f t="shared" si="16"/>
        <v/>
      </c>
      <c r="P172" s="26" t="str">
        <f t="shared" si="17"/>
        <v/>
      </c>
    </row>
    <row r="173" spans="14:16" x14ac:dyDescent="0.3">
      <c r="N173" s="22" t="str">
        <f t="shared" si="15"/>
        <v/>
      </c>
      <c r="O173" s="22" t="str">
        <f t="shared" si="16"/>
        <v/>
      </c>
      <c r="P173" s="26" t="str">
        <f t="shared" si="17"/>
        <v/>
      </c>
    </row>
    <row r="174" spans="14:16" x14ac:dyDescent="0.3">
      <c r="N174" s="22" t="str">
        <f t="shared" si="15"/>
        <v/>
      </c>
      <c r="O174" s="22" t="str">
        <f t="shared" si="16"/>
        <v/>
      </c>
      <c r="P174" s="26" t="str">
        <f t="shared" si="17"/>
        <v/>
      </c>
    </row>
    <row r="175" spans="14:16" x14ac:dyDescent="0.3">
      <c r="N175" s="22" t="str">
        <f t="shared" si="15"/>
        <v/>
      </c>
      <c r="O175" s="22" t="str">
        <f t="shared" si="16"/>
        <v/>
      </c>
      <c r="P175" s="26" t="str">
        <f t="shared" si="17"/>
        <v/>
      </c>
    </row>
    <row r="176" spans="14:16" x14ac:dyDescent="0.3">
      <c r="N176" s="22" t="str">
        <f t="shared" si="15"/>
        <v/>
      </c>
      <c r="O176" s="22" t="str">
        <f t="shared" si="16"/>
        <v/>
      </c>
      <c r="P176" s="26" t="str">
        <f t="shared" si="17"/>
        <v/>
      </c>
    </row>
    <row r="177" spans="14:16" x14ac:dyDescent="0.3">
      <c r="N177" s="22" t="str">
        <f t="shared" si="15"/>
        <v/>
      </c>
      <c r="O177" s="22" t="str">
        <f t="shared" si="16"/>
        <v/>
      </c>
      <c r="P177" s="26" t="str">
        <f t="shared" si="17"/>
        <v/>
      </c>
    </row>
    <row r="178" spans="14:16" x14ac:dyDescent="0.3">
      <c r="N178" s="22" t="str">
        <f t="shared" si="15"/>
        <v/>
      </c>
      <c r="O178" s="22" t="str">
        <f t="shared" si="16"/>
        <v/>
      </c>
      <c r="P178" s="26" t="str">
        <f t="shared" si="17"/>
        <v/>
      </c>
    </row>
    <row r="179" spans="14:16" x14ac:dyDescent="0.3">
      <c r="N179" s="22" t="str">
        <f t="shared" si="15"/>
        <v/>
      </c>
      <c r="O179" s="22" t="str">
        <f t="shared" si="16"/>
        <v/>
      </c>
      <c r="P179" s="26" t="str">
        <f t="shared" si="17"/>
        <v/>
      </c>
    </row>
    <row r="180" spans="14:16" x14ac:dyDescent="0.3">
      <c r="N180" s="22" t="str">
        <f t="shared" si="15"/>
        <v/>
      </c>
      <c r="O180" s="22" t="str">
        <f t="shared" si="16"/>
        <v/>
      </c>
      <c r="P180" s="26" t="str">
        <f t="shared" si="17"/>
        <v/>
      </c>
    </row>
    <row r="181" spans="14:16" x14ac:dyDescent="0.3">
      <c r="N181" s="22" t="str">
        <f t="shared" si="15"/>
        <v/>
      </c>
      <c r="O181" s="22" t="str">
        <f t="shared" si="16"/>
        <v/>
      </c>
      <c r="P181" s="26" t="str">
        <f t="shared" si="17"/>
        <v/>
      </c>
    </row>
    <row r="182" spans="14:16" x14ac:dyDescent="0.3">
      <c r="N182" s="22" t="str">
        <f t="shared" si="15"/>
        <v/>
      </c>
      <c r="O182" s="22" t="str">
        <f t="shared" si="16"/>
        <v/>
      </c>
      <c r="P182" s="26" t="str">
        <f t="shared" si="17"/>
        <v/>
      </c>
    </row>
    <row r="183" spans="14:16" x14ac:dyDescent="0.3">
      <c r="N183" s="22" t="str">
        <f t="shared" si="15"/>
        <v/>
      </c>
      <c r="O183" s="22" t="str">
        <f t="shared" si="16"/>
        <v/>
      </c>
      <c r="P183" s="26" t="str">
        <f t="shared" si="17"/>
        <v/>
      </c>
    </row>
    <row r="184" spans="14:16" x14ac:dyDescent="0.3">
      <c r="N184" s="22" t="str">
        <f t="shared" si="15"/>
        <v/>
      </c>
      <c r="O184" s="22" t="str">
        <f t="shared" si="16"/>
        <v/>
      </c>
      <c r="P184" s="26" t="str">
        <f t="shared" si="17"/>
        <v/>
      </c>
    </row>
    <row r="185" spans="14:16" x14ac:dyDescent="0.3">
      <c r="N185" s="22" t="str">
        <f t="shared" si="15"/>
        <v/>
      </c>
      <c r="O185" s="22" t="str">
        <f t="shared" si="16"/>
        <v/>
      </c>
      <c r="P185" s="26" t="str">
        <f t="shared" si="17"/>
        <v/>
      </c>
    </row>
    <row r="186" spans="14:16" x14ac:dyDescent="0.3">
      <c r="N186" s="22" t="str">
        <f t="shared" si="15"/>
        <v/>
      </c>
      <c r="O186" s="22" t="str">
        <f t="shared" si="16"/>
        <v/>
      </c>
      <c r="P186" s="26" t="str">
        <f t="shared" si="17"/>
        <v/>
      </c>
    </row>
    <row r="187" spans="14:16" x14ac:dyDescent="0.3">
      <c r="N187" s="22" t="str">
        <f t="shared" si="15"/>
        <v/>
      </c>
      <c r="O187" s="22" t="str">
        <f t="shared" si="16"/>
        <v/>
      </c>
      <c r="P187" s="26" t="str">
        <f t="shared" si="17"/>
        <v/>
      </c>
    </row>
    <row r="188" spans="14:16" x14ac:dyDescent="0.3">
      <c r="N188" s="22" t="str">
        <f t="shared" si="15"/>
        <v/>
      </c>
      <c r="O188" s="22" t="str">
        <f t="shared" si="16"/>
        <v/>
      </c>
      <c r="P188" s="26" t="str">
        <f t="shared" si="17"/>
        <v/>
      </c>
    </row>
    <row r="189" spans="14:16" x14ac:dyDescent="0.3">
      <c r="N189" s="22" t="str">
        <f t="shared" si="15"/>
        <v/>
      </c>
      <c r="O189" s="22" t="str">
        <f t="shared" si="16"/>
        <v/>
      </c>
      <c r="P189" s="26" t="str">
        <f t="shared" si="17"/>
        <v/>
      </c>
    </row>
    <row r="190" spans="14:16" x14ac:dyDescent="0.3">
      <c r="N190" s="22" t="str">
        <f t="shared" si="15"/>
        <v/>
      </c>
      <c r="O190" s="22" t="str">
        <f t="shared" si="16"/>
        <v/>
      </c>
      <c r="P190" s="26" t="str">
        <f t="shared" si="17"/>
        <v/>
      </c>
    </row>
    <row r="191" spans="14:16" x14ac:dyDescent="0.3">
      <c r="N191" s="22" t="str">
        <f t="shared" si="15"/>
        <v/>
      </c>
      <c r="O191" s="22" t="str">
        <f t="shared" si="16"/>
        <v/>
      </c>
      <c r="P191" s="26" t="str">
        <f t="shared" si="17"/>
        <v/>
      </c>
    </row>
    <row r="192" spans="14:16" x14ac:dyDescent="0.3">
      <c r="N192" s="22" t="str">
        <f t="shared" si="15"/>
        <v/>
      </c>
      <c r="O192" s="22" t="str">
        <f t="shared" si="16"/>
        <v/>
      </c>
      <c r="P192" s="26" t="str">
        <f t="shared" si="17"/>
        <v/>
      </c>
    </row>
    <row r="193" spans="14:16" x14ac:dyDescent="0.3">
      <c r="N193" s="22" t="str">
        <f t="shared" si="15"/>
        <v/>
      </c>
      <c r="O193" s="22" t="str">
        <f t="shared" si="16"/>
        <v/>
      </c>
      <c r="P193" s="26" t="str">
        <f t="shared" si="17"/>
        <v/>
      </c>
    </row>
    <row r="194" spans="14:16" x14ac:dyDescent="0.3">
      <c r="N194" s="22" t="str">
        <f t="shared" si="15"/>
        <v/>
      </c>
      <c r="O194" s="22" t="str">
        <f t="shared" si="16"/>
        <v/>
      </c>
      <c r="P194" s="26" t="str">
        <f t="shared" si="17"/>
        <v/>
      </c>
    </row>
    <row r="195" spans="14:16" x14ac:dyDescent="0.3">
      <c r="N195" s="22" t="str">
        <f t="shared" si="15"/>
        <v/>
      </c>
      <c r="O195" s="22" t="str">
        <f t="shared" si="16"/>
        <v/>
      </c>
      <c r="P195" s="26" t="str">
        <f t="shared" si="17"/>
        <v/>
      </c>
    </row>
    <row r="196" spans="14:16" x14ac:dyDescent="0.3">
      <c r="N196" s="22" t="str">
        <f t="shared" ref="N196:N201" si="18">IF(AND(ISBLANK(E196),ISBLANK(F196),ISBLANK(G196),ISBLANK(H196),ISBLANK(I196),ISBLANK(J196),ISBLANK(K196),ISBLANK(L196),ISBLANK(M196)),"",SUM(F196:M196))</f>
        <v/>
      </c>
      <c r="O196" s="22" t="str">
        <f t="shared" ref="O196:O201" si="19">IF(AND(ISBLANK(E196), ISBLANK(F196), ISBLANK(G196), ISBLANK(H196), ISBLANK(I196), ISBLANK(J196), ISBLANK(K196), ISBLANK(L196), ISBLANK(M196)), "", E196-N196)</f>
        <v/>
      </c>
      <c r="P196" s="26" t="str">
        <f t="shared" ref="P196:P201" si="20">IF(AND(ISBLANK(E196),ISBLANK(F196),ISBLANK(G196),ISBLANK(H196),ISBLANK(I196),ISBLANK(J196),ISBLANK(K196),ISBLANK(L196),ISBLANK(M196)),"",N196/E196)</f>
        <v/>
      </c>
    </row>
    <row r="197" spans="14:16" x14ac:dyDescent="0.3">
      <c r="N197" s="22" t="str">
        <f t="shared" si="18"/>
        <v/>
      </c>
      <c r="O197" s="22" t="str">
        <f t="shared" si="19"/>
        <v/>
      </c>
      <c r="P197" s="26" t="str">
        <f t="shared" si="20"/>
        <v/>
      </c>
    </row>
    <row r="198" spans="14:16" x14ac:dyDescent="0.3">
      <c r="N198" s="22" t="str">
        <f t="shared" si="18"/>
        <v/>
      </c>
      <c r="O198" s="22" t="str">
        <f t="shared" si="19"/>
        <v/>
      </c>
      <c r="P198" s="26" t="str">
        <f t="shared" si="20"/>
        <v/>
      </c>
    </row>
    <row r="199" spans="14:16" x14ac:dyDescent="0.3">
      <c r="N199" s="22" t="str">
        <f t="shared" si="18"/>
        <v/>
      </c>
      <c r="O199" s="22" t="str">
        <f t="shared" si="19"/>
        <v/>
      </c>
      <c r="P199" s="26" t="str">
        <f t="shared" si="20"/>
        <v/>
      </c>
    </row>
    <row r="200" spans="14:16" x14ac:dyDescent="0.3">
      <c r="N200" s="22" t="str">
        <f t="shared" si="18"/>
        <v/>
      </c>
      <c r="O200" s="22" t="str">
        <f t="shared" si="19"/>
        <v/>
      </c>
      <c r="P200" s="26" t="str">
        <f t="shared" si="20"/>
        <v/>
      </c>
    </row>
    <row r="201" spans="14:16" x14ac:dyDescent="0.3">
      <c r="N201" s="22" t="str">
        <f t="shared" si="18"/>
        <v/>
      </c>
      <c r="O201" s="22" t="str">
        <f t="shared" si="19"/>
        <v/>
      </c>
      <c r="P201" s="26" t="str">
        <f t="shared" si="20"/>
        <v/>
      </c>
    </row>
  </sheetData>
  <sheetProtection formatCells="0" formatColumns="0" formatRows="0" insertColumns="0" insertRows="0" insertHyperlinks="0" deleteColumns="0" deleteRows="0" sort="0" autoFilter="0" pivotTables="0"/>
  <autoFilter ref="A3:PX3" xr:uid="{00000000-0009-0000-0000-000003000000}">
    <sortState xmlns:xlrd2="http://schemas.microsoft.com/office/spreadsheetml/2017/richdata2" ref="A4:PX201">
      <sortCondition ref="A3"/>
    </sortState>
  </autoFilter>
  <sortState xmlns:xlrd2="http://schemas.microsoft.com/office/spreadsheetml/2017/richdata2" ref="A3:U521">
    <sortCondition ref="A1"/>
  </sortState>
  <mergeCells count="1">
    <mergeCell ref="A1:Q1"/>
  </mergeCells>
  <conditionalFormatting sqref="A4:O10001">
    <cfRule type="expression" dxfId="4" priority="1" stopIfTrue="1">
      <formula>AND($O4=0, $O4&lt;&gt;"")</formula>
    </cfRule>
    <cfRule type="expression" dxfId="3" priority="2">
      <formula>AND($O4&gt;0, $O4&lt;&gt;"")</formula>
    </cfRule>
  </conditionalFormatting>
  <conditionalFormatting sqref="P1:P1048576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{02CA764B-A9CB-4657-8FE3-40467EA19EA1}</x14:id>
        </ext>
      </extLst>
    </cfRule>
  </conditionalFormatting>
  <hyperlinks>
    <hyperlink ref="C12" r:id="rId1" xr:uid="{00000000-0004-0000-0300-000000000000}"/>
    <hyperlink ref="C5" r:id="rId2" xr:uid="{00000000-0004-0000-0300-000001000000}"/>
    <hyperlink ref="C15" r:id="rId3" xr:uid="{00000000-0004-0000-0300-000002000000}"/>
  </hyperlinks>
  <pageMargins left="0.7" right="0.7" top="0.75" bottom="0.75" header="0.3" footer="0.3"/>
  <pageSetup paperSize="9" orientation="portrait"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CA764B-A9CB-4657-8FE3-40467EA19EA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B16" sqref="B16"/>
    </sheetView>
  </sheetViews>
  <sheetFormatPr defaultRowHeight="15" x14ac:dyDescent="0.25"/>
  <cols>
    <col min="1" max="1" width="28.28515625" customWidth="1"/>
    <col min="2" max="2" width="26.140625" customWidth="1"/>
    <col min="3" max="3" width="26.5703125" customWidth="1"/>
    <col min="4" max="4" width="26.42578125" customWidth="1"/>
    <col min="5" max="5" width="24.28515625" customWidth="1"/>
  </cols>
  <sheetData>
    <row r="1" spans="1:6" ht="17.25" x14ac:dyDescent="0.3">
      <c r="A1" s="42"/>
      <c r="B1" s="19"/>
      <c r="C1" s="19"/>
      <c r="D1" s="19"/>
      <c r="E1" s="19">
        <f>SUM(E4:E1048576)</f>
        <v>600</v>
      </c>
    </row>
    <row r="2" spans="1:6" ht="17.25" x14ac:dyDescent="0.3">
      <c r="A2" s="18" t="s">
        <v>4</v>
      </c>
      <c r="B2" s="19" t="s">
        <v>3</v>
      </c>
      <c r="C2" s="19" t="s">
        <v>12</v>
      </c>
      <c r="D2" s="19" t="s">
        <v>13</v>
      </c>
      <c r="E2" s="19" t="s">
        <v>0</v>
      </c>
    </row>
    <row r="3" spans="1:6" s="56" customFormat="1" ht="17.25" x14ac:dyDescent="0.3">
      <c r="A3" s="56" t="s">
        <v>150</v>
      </c>
      <c r="B3" s="57"/>
      <c r="C3" s="57"/>
      <c r="D3" s="57"/>
      <c r="E3" s="57"/>
    </row>
    <row r="4" spans="1:6" x14ac:dyDescent="0.25">
      <c r="A4" t="s">
        <v>147</v>
      </c>
    </row>
    <row r="5" spans="1:6" x14ac:dyDescent="0.25">
      <c r="A5" t="s">
        <v>148</v>
      </c>
    </row>
    <row r="6" spans="1:6" x14ac:dyDescent="0.25">
      <c r="A6" t="s">
        <v>149</v>
      </c>
      <c r="B6" s="55">
        <v>6945383639</v>
      </c>
      <c r="C6" s="55" t="s">
        <v>151</v>
      </c>
      <c r="D6" t="s">
        <v>152</v>
      </c>
    </row>
    <row r="7" spans="1:6" x14ac:dyDescent="0.25">
      <c r="A7" t="s">
        <v>153</v>
      </c>
      <c r="D7" t="s">
        <v>154</v>
      </c>
      <c r="E7" t="s">
        <v>155</v>
      </c>
    </row>
    <row r="8" spans="1:6" x14ac:dyDescent="0.25">
      <c r="A8" t="s">
        <v>160</v>
      </c>
      <c r="B8">
        <v>6988698838</v>
      </c>
      <c r="C8" s="55" t="s">
        <v>161</v>
      </c>
      <c r="F8" t="s">
        <v>162</v>
      </c>
    </row>
    <row r="9" spans="1:6" s="56" customFormat="1" x14ac:dyDescent="0.25">
      <c r="A9" s="56" t="s">
        <v>163</v>
      </c>
      <c r="B9" s="56">
        <v>6948632149</v>
      </c>
      <c r="C9" s="58" t="s">
        <v>159</v>
      </c>
      <c r="D9" s="56" t="s">
        <v>164</v>
      </c>
      <c r="E9" s="56">
        <v>300</v>
      </c>
    </row>
    <row r="10" spans="1:6" x14ac:dyDescent="0.25">
      <c r="A10" t="s">
        <v>165</v>
      </c>
      <c r="B10">
        <v>6946257889</v>
      </c>
      <c r="C10" s="55" t="s">
        <v>166</v>
      </c>
      <c r="D10" t="s">
        <v>167</v>
      </c>
      <c r="E10">
        <v>300</v>
      </c>
    </row>
  </sheetData>
  <protectedRanges>
    <protectedRange sqref="A1:E2 B3:E3" name="Range1"/>
  </protectedRanges>
  <hyperlinks>
    <hyperlink ref="C6" r:id="rId1" xr:uid="{00000000-0004-0000-0400-000000000000}"/>
    <hyperlink ref="C8" r:id="rId2" xr:uid="{00000000-0004-0000-0400-000001000000}"/>
    <hyperlink ref="C9" r:id="rId3" xr:uid="{00000000-0004-0000-0400-000002000000}"/>
    <hyperlink ref="C10" r:id="rId4" xr:uid="{00000000-0004-0000-04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2023-2024</vt:lpstr>
      <vt:lpstr>2025</vt:lpstr>
      <vt:lpstr>2022-2023</vt:lpstr>
      <vt:lpstr>2021-2022</vt:lpstr>
      <vt:lpstr>2020-2021</vt:lpstr>
      <vt:lpstr>ΡΑΝΤΕΒΟΥ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Gramateia</dc:creator>
  <cp:lastModifiedBy>Gramateia New</cp:lastModifiedBy>
  <cp:lastPrinted>2018-01-17T16:35:19Z</cp:lastPrinted>
  <dcterms:created xsi:type="dcterms:W3CDTF">2015-05-12T16:40:09Z</dcterms:created>
  <dcterms:modified xsi:type="dcterms:W3CDTF">2025-12-19T18:24:18Z</dcterms:modified>
</cp:coreProperties>
</file>