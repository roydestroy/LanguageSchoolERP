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amateia New\Dropbox\Important Files\Live\"/>
    </mc:Choice>
  </mc:AlternateContent>
  <xr:revisionPtr revIDLastSave="0" documentId="13_ncr:1_{AEE0C6C9-1FC7-4B90-8786-E5064103B6A7}" xr6:coauthVersionLast="47" xr6:coauthVersionMax="47" xr10:uidLastSave="{00000000-0000-0000-0000-000000000000}"/>
  <bookViews>
    <workbookView xWindow="-120" yWindow="-120" windowWidth="29040" windowHeight="15840" tabRatio="599" activeTab="1" xr2:uid="{00000000-000D-0000-FFFF-FFFF00000000}"/>
  </bookViews>
  <sheets>
    <sheet name="Φύλλο1" sheetId="33" r:id="rId1"/>
    <sheet name="2025-2026" sheetId="32" r:id="rId2"/>
    <sheet name="2024-2025" sheetId="31" r:id="rId3"/>
    <sheet name="2023-2024" sheetId="28" r:id="rId4"/>
    <sheet name="2022-2023" sheetId="23" r:id="rId5"/>
  </sheets>
  <definedNames>
    <definedName name="_xlnm._FilterDatabase" localSheetId="4" hidden="1">'2022-2023'!$A$3:$V$300</definedName>
    <definedName name="_xlnm._FilterDatabase" localSheetId="3" hidden="1">'2023-2024'!$A$3:$X$301</definedName>
    <definedName name="_xlnm._FilterDatabase" localSheetId="2" hidden="1">'2024-2025'!$A$3:$X$301</definedName>
    <definedName name="_xlnm._FilterDatabase" localSheetId="1" hidden="1">'2025-2026'!$A$3:$X$300</definedName>
    <definedName name="formatting">"$A$4:$U$1048576"</definedName>
    <definedName name="sort_range">INDIRECT("$A$1:$X$1048576")</definedName>
  </definedNames>
  <calcPr calcId="191029"/>
</workbook>
</file>

<file path=xl/calcChain.xml><?xml version="1.0" encoding="utf-8"?>
<calcChain xmlns="http://schemas.openxmlformats.org/spreadsheetml/2006/main">
  <c r="T75" i="32" l="1"/>
  <c r="U75" i="32"/>
  <c r="T76" i="32"/>
  <c r="U76" i="32"/>
  <c r="T77" i="32"/>
  <c r="U77" i="32"/>
  <c r="T78" i="32"/>
  <c r="U78" i="32"/>
  <c r="T79" i="32"/>
  <c r="U79" i="32"/>
  <c r="T80" i="32"/>
  <c r="U80" i="32"/>
  <c r="T81" i="32"/>
  <c r="U81" i="32"/>
  <c r="T82" i="32"/>
  <c r="U82" i="32"/>
  <c r="T83" i="32"/>
  <c r="U83" i="32"/>
  <c r="T84" i="32"/>
  <c r="U84" i="32"/>
  <c r="T85" i="32"/>
  <c r="U85" i="32"/>
  <c r="T86" i="32"/>
  <c r="U86" i="32"/>
  <c r="T87" i="32"/>
  <c r="U87" i="32"/>
  <c r="T88" i="32"/>
  <c r="U88" i="32"/>
  <c r="T89" i="32"/>
  <c r="U89" i="32"/>
  <c r="T90" i="32"/>
  <c r="U90" i="32"/>
  <c r="T91" i="32"/>
  <c r="U91" i="32"/>
  <c r="T92" i="32"/>
  <c r="U92" i="32"/>
  <c r="T93" i="32"/>
  <c r="U93" i="32"/>
  <c r="T94" i="32"/>
  <c r="U94" i="32"/>
  <c r="T95" i="32"/>
  <c r="U95" i="32"/>
  <c r="T96" i="32"/>
  <c r="U96" i="32"/>
  <c r="T97" i="32"/>
  <c r="U97" i="32"/>
  <c r="T98" i="32"/>
  <c r="U98" i="32"/>
  <c r="T99" i="32"/>
  <c r="U99" i="32"/>
  <c r="T100" i="32"/>
  <c r="U100" i="32"/>
  <c r="T101" i="32"/>
  <c r="U101" i="32"/>
  <c r="T102" i="32"/>
  <c r="U102" i="32"/>
  <c r="T103" i="32"/>
  <c r="U103" i="32"/>
  <c r="T104" i="32"/>
  <c r="U104" i="32"/>
  <c r="T105" i="32"/>
  <c r="U105" i="32"/>
  <c r="T106" i="32"/>
  <c r="U106" i="32"/>
  <c r="T107" i="32"/>
  <c r="U107" i="32"/>
  <c r="T108" i="32"/>
  <c r="U108" i="32"/>
  <c r="T109" i="32"/>
  <c r="U109" i="32"/>
  <c r="T110" i="32"/>
  <c r="U110" i="32"/>
  <c r="T111" i="32"/>
  <c r="U111" i="32"/>
  <c r="T112" i="32"/>
  <c r="U112" i="32"/>
  <c r="T113" i="32"/>
  <c r="U113" i="32"/>
  <c r="T114" i="32"/>
  <c r="U114" i="32"/>
  <c r="T115" i="32"/>
  <c r="U115" i="32"/>
  <c r="T116" i="32"/>
  <c r="U116" i="32"/>
  <c r="T117" i="32"/>
  <c r="U117" i="32"/>
  <c r="T118" i="32"/>
  <c r="U118" i="32"/>
  <c r="T119" i="32"/>
  <c r="U119" i="32"/>
  <c r="T120" i="32"/>
  <c r="U120" i="32"/>
  <c r="T121" i="32"/>
  <c r="U121" i="32"/>
  <c r="T122" i="32"/>
  <c r="U122" i="32"/>
  <c r="T123" i="32"/>
  <c r="U123" i="32"/>
  <c r="T124" i="32"/>
  <c r="U124" i="32"/>
  <c r="T125" i="32"/>
  <c r="U125" i="32"/>
  <c r="T126" i="32"/>
  <c r="U126" i="32"/>
  <c r="T127" i="32"/>
  <c r="U127" i="32"/>
  <c r="T128" i="32"/>
  <c r="U128" i="32"/>
  <c r="T129" i="32"/>
  <c r="U129" i="32"/>
  <c r="T130" i="32"/>
  <c r="U130" i="32"/>
  <c r="T131" i="32"/>
  <c r="U131" i="32"/>
  <c r="T132" i="32"/>
  <c r="U132" i="32"/>
  <c r="T133" i="32"/>
  <c r="U133" i="32"/>
  <c r="T134" i="32"/>
  <c r="U134" i="32"/>
  <c r="T135" i="32"/>
  <c r="U135" i="32"/>
  <c r="T136" i="32"/>
  <c r="U136" i="32"/>
  <c r="T137" i="32"/>
  <c r="U137" i="32"/>
  <c r="T138" i="32"/>
  <c r="U138" i="32"/>
  <c r="T139" i="32"/>
  <c r="U139" i="32"/>
  <c r="T140" i="32"/>
  <c r="U140" i="32"/>
  <c r="T141" i="32"/>
  <c r="U141" i="32"/>
  <c r="T142" i="32"/>
  <c r="U142" i="32"/>
  <c r="T143" i="32"/>
  <c r="U143" i="32"/>
  <c r="T144" i="32"/>
  <c r="U144" i="32"/>
  <c r="T145" i="32"/>
  <c r="U145" i="32"/>
  <c r="T146" i="32"/>
  <c r="U146" i="32"/>
  <c r="T147" i="32"/>
  <c r="U147" i="32"/>
  <c r="T148" i="32"/>
  <c r="U148" i="32"/>
  <c r="T149" i="32"/>
  <c r="U149" i="32"/>
  <c r="T150" i="32"/>
  <c r="U150" i="32"/>
  <c r="T151" i="32"/>
  <c r="U151" i="32"/>
  <c r="T152" i="32"/>
  <c r="U152" i="32"/>
  <c r="T153" i="32"/>
  <c r="U153" i="32"/>
  <c r="T154" i="32"/>
  <c r="U154" i="32"/>
  <c r="T155" i="32"/>
  <c r="U155" i="32"/>
  <c r="T156" i="32"/>
  <c r="U156" i="32"/>
  <c r="T157" i="32"/>
  <c r="U157" i="32"/>
  <c r="T158" i="32"/>
  <c r="U158" i="32"/>
  <c r="T159" i="32"/>
  <c r="U159" i="32"/>
  <c r="T160" i="32"/>
  <c r="U160" i="32"/>
  <c r="T161" i="32"/>
  <c r="U161" i="32"/>
  <c r="T162" i="32"/>
  <c r="U162" i="32"/>
  <c r="T163" i="32"/>
  <c r="U163" i="32"/>
  <c r="T164" i="32"/>
  <c r="U164" i="32"/>
  <c r="T165" i="32"/>
  <c r="U165" i="32"/>
  <c r="T166" i="32"/>
  <c r="U166" i="32"/>
  <c r="T167" i="32"/>
  <c r="U167" i="32"/>
  <c r="T168" i="32"/>
  <c r="U168" i="32"/>
  <c r="T169" i="32"/>
  <c r="U169" i="32"/>
  <c r="T170" i="32"/>
  <c r="U170" i="32"/>
  <c r="T171" i="32"/>
  <c r="U171" i="32"/>
  <c r="T172" i="32"/>
  <c r="U172" i="32"/>
  <c r="T173" i="32"/>
  <c r="U173" i="32"/>
  <c r="T174" i="32"/>
  <c r="U174" i="32"/>
  <c r="T175" i="32"/>
  <c r="U175" i="32"/>
  <c r="T176" i="32"/>
  <c r="U176" i="32"/>
  <c r="T177" i="32"/>
  <c r="U177" i="32"/>
  <c r="T178" i="32"/>
  <c r="U178" i="32"/>
  <c r="T179" i="32"/>
  <c r="U179" i="32"/>
  <c r="T180" i="32"/>
  <c r="U180" i="32"/>
  <c r="T181" i="32"/>
  <c r="U181" i="32"/>
  <c r="T182" i="32"/>
  <c r="U182" i="32"/>
  <c r="T183" i="32"/>
  <c r="U183" i="32"/>
  <c r="T184" i="32"/>
  <c r="U184" i="32"/>
  <c r="T185" i="32"/>
  <c r="U185" i="32"/>
  <c r="T186" i="32"/>
  <c r="U186" i="32"/>
  <c r="T187" i="32"/>
  <c r="U187" i="32"/>
  <c r="T188" i="32"/>
  <c r="U188" i="32"/>
  <c r="T189" i="32"/>
  <c r="U189" i="32"/>
  <c r="T190" i="32"/>
  <c r="U190" i="32"/>
  <c r="T191" i="32"/>
  <c r="U191" i="32"/>
  <c r="T192" i="32"/>
  <c r="U192" i="32"/>
  <c r="T193" i="32"/>
  <c r="U193" i="32"/>
  <c r="T194" i="32"/>
  <c r="U194" i="32"/>
  <c r="T195" i="32"/>
  <c r="U195" i="32"/>
  <c r="T196" i="32"/>
  <c r="U196" i="32"/>
  <c r="T197" i="32"/>
  <c r="U197" i="32"/>
  <c r="T198" i="32"/>
  <c r="U198" i="32"/>
  <c r="T199" i="32"/>
  <c r="U199" i="32"/>
  <c r="T200" i="32"/>
  <c r="U200" i="32"/>
  <c r="T201" i="32"/>
  <c r="U201" i="32"/>
  <c r="T202" i="32"/>
  <c r="U202" i="32"/>
  <c r="T203" i="32"/>
  <c r="U203" i="32"/>
  <c r="T204" i="32"/>
  <c r="U204" i="32"/>
  <c r="T205" i="32"/>
  <c r="U205" i="32"/>
  <c r="T206" i="32"/>
  <c r="U206" i="32"/>
  <c r="T207" i="32"/>
  <c r="U207" i="32"/>
  <c r="T208" i="32"/>
  <c r="U208" i="32"/>
  <c r="T209" i="32"/>
  <c r="U209" i="32"/>
  <c r="T210" i="32"/>
  <c r="U210" i="32"/>
  <c r="T211" i="32"/>
  <c r="U211" i="32"/>
  <c r="T212" i="32"/>
  <c r="U212" i="32"/>
  <c r="T213" i="32"/>
  <c r="U213" i="32"/>
  <c r="T214" i="32"/>
  <c r="U214" i="32"/>
  <c r="T215" i="32"/>
  <c r="U215" i="32"/>
  <c r="T216" i="32"/>
  <c r="U216" i="32"/>
  <c r="T217" i="32"/>
  <c r="U217" i="32"/>
  <c r="T218" i="32"/>
  <c r="U218" i="32"/>
  <c r="T219" i="32"/>
  <c r="U219" i="32"/>
  <c r="T220" i="32"/>
  <c r="U220" i="32"/>
  <c r="T221" i="32"/>
  <c r="U221" i="32"/>
  <c r="T222" i="32"/>
  <c r="U222" i="32"/>
  <c r="T223" i="32"/>
  <c r="U223" i="32"/>
  <c r="T224" i="32"/>
  <c r="U224" i="32"/>
  <c r="T225" i="32"/>
  <c r="U225" i="32"/>
  <c r="T226" i="32"/>
  <c r="U226" i="32"/>
  <c r="T227" i="32"/>
  <c r="U227" i="32"/>
  <c r="T228" i="32"/>
  <c r="U228" i="32"/>
  <c r="T229" i="32"/>
  <c r="U229" i="32"/>
  <c r="T230" i="32"/>
  <c r="U230" i="32"/>
  <c r="T231" i="32"/>
  <c r="U231" i="32"/>
  <c r="T232" i="32"/>
  <c r="U232" i="32"/>
  <c r="T233" i="32"/>
  <c r="U233" i="32"/>
  <c r="T234" i="32"/>
  <c r="U234" i="32"/>
  <c r="T235" i="32"/>
  <c r="U235" i="32"/>
  <c r="T236" i="32"/>
  <c r="U236" i="32"/>
  <c r="T237" i="32"/>
  <c r="U237" i="32"/>
  <c r="T238" i="32"/>
  <c r="U238" i="32"/>
  <c r="T239" i="32"/>
  <c r="U239" i="32"/>
  <c r="T240" i="32"/>
  <c r="U240" i="32"/>
  <c r="T241" i="32"/>
  <c r="U241" i="32"/>
  <c r="T242" i="32"/>
  <c r="U242" i="32"/>
  <c r="T243" i="32"/>
  <c r="U243" i="32"/>
  <c r="T244" i="32"/>
  <c r="U244" i="32"/>
  <c r="T245" i="32"/>
  <c r="U245" i="32"/>
  <c r="T246" i="32"/>
  <c r="U246" i="32"/>
  <c r="T247" i="32"/>
  <c r="U247" i="32"/>
  <c r="T248" i="32"/>
  <c r="U248" i="32"/>
  <c r="T249" i="32"/>
  <c r="U249" i="32"/>
  <c r="T250" i="32"/>
  <c r="U250" i="32"/>
  <c r="T251" i="32"/>
  <c r="U251" i="32"/>
  <c r="T252" i="32"/>
  <c r="U252" i="32"/>
  <c r="T253" i="32"/>
  <c r="U253" i="32"/>
  <c r="T254" i="32"/>
  <c r="U254" i="32"/>
  <c r="T255" i="32"/>
  <c r="U255" i="32"/>
  <c r="T256" i="32"/>
  <c r="U256" i="32"/>
  <c r="T257" i="32"/>
  <c r="U257" i="32"/>
  <c r="T258" i="32"/>
  <c r="U258" i="32"/>
  <c r="T259" i="32"/>
  <c r="U259" i="32"/>
  <c r="T260" i="32"/>
  <c r="U260" i="32"/>
  <c r="T261" i="32"/>
  <c r="U261" i="32"/>
  <c r="T262" i="32"/>
  <c r="U262" i="32"/>
  <c r="T263" i="32"/>
  <c r="U263" i="32"/>
  <c r="T264" i="32"/>
  <c r="U264" i="32"/>
  <c r="T265" i="32"/>
  <c r="U265" i="32"/>
  <c r="T266" i="32"/>
  <c r="U266" i="32"/>
  <c r="T267" i="32"/>
  <c r="U267" i="32"/>
  <c r="T268" i="32"/>
  <c r="U268" i="32"/>
  <c r="T269" i="32"/>
  <c r="U269" i="32"/>
  <c r="T270" i="32"/>
  <c r="U270" i="32"/>
  <c r="T271" i="32"/>
  <c r="U271" i="32"/>
  <c r="T272" i="32"/>
  <c r="U272" i="32"/>
  <c r="T273" i="32"/>
  <c r="U273" i="32"/>
  <c r="T274" i="32"/>
  <c r="U274" i="32"/>
  <c r="T275" i="32"/>
  <c r="U275" i="32"/>
  <c r="T276" i="32"/>
  <c r="U276" i="32"/>
  <c r="T277" i="32"/>
  <c r="U277" i="32"/>
  <c r="T278" i="32"/>
  <c r="U278" i="32"/>
  <c r="T279" i="32"/>
  <c r="U279" i="32"/>
  <c r="T280" i="32"/>
  <c r="U280" i="32"/>
  <c r="T281" i="32"/>
  <c r="U281" i="32"/>
  <c r="T282" i="32"/>
  <c r="U282" i="32"/>
  <c r="T283" i="32"/>
  <c r="U283" i="32"/>
  <c r="T284" i="32"/>
  <c r="U284" i="32"/>
  <c r="T285" i="32"/>
  <c r="U285" i="32"/>
  <c r="T286" i="32"/>
  <c r="U286" i="32"/>
  <c r="T287" i="32"/>
  <c r="U287" i="32"/>
  <c r="T288" i="32"/>
  <c r="U288" i="32"/>
  <c r="T289" i="32"/>
  <c r="U289" i="32"/>
  <c r="T290" i="32"/>
  <c r="U290" i="32"/>
  <c r="T291" i="32"/>
  <c r="U291" i="32"/>
  <c r="T292" i="32"/>
  <c r="U292" i="32"/>
  <c r="T293" i="32"/>
  <c r="U293" i="32"/>
  <c r="T294" i="32"/>
  <c r="U294" i="32"/>
  <c r="T295" i="32"/>
  <c r="U295" i="32"/>
  <c r="T296" i="32"/>
  <c r="U296" i="32"/>
  <c r="T297" i="32"/>
  <c r="U297" i="32"/>
  <c r="T298" i="32"/>
  <c r="U298" i="32"/>
  <c r="T299" i="32"/>
  <c r="U299" i="32"/>
  <c r="T300" i="32"/>
  <c r="U300" i="32"/>
  <c r="V300" i="32"/>
  <c r="T31" i="32"/>
  <c r="U31" i="32"/>
  <c r="T32" i="32"/>
  <c r="U32" i="32"/>
  <c r="T33" i="32"/>
  <c r="U33" i="32"/>
  <c r="T34" i="32"/>
  <c r="U34" i="32"/>
  <c r="T35" i="32"/>
  <c r="U35" i="32"/>
  <c r="T36" i="32"/>
  <c r="U36" i="32"/>
  <c r="T37" i="32"/>
  <c r="U37" i="32"/>
  <c r="T38" i="32"/>
  <c r="U38" i="32"/>
  <c r="T39" i="32"/>
  <c r="U39" i="32"/>
  <c r="T40" i="32"/>
  <c r="U40" i="32"/>
  <c r="T41" i="32"/>
  <c r="U41" i="32"/>
  <c r="T42" i="32"/>
  <c r="U42" i="32"/>
  <c r="T43" i="32"/>
  <c r="U43" i="32"/>
  <c r="T44" i="32"/>
  <c r="U44" i="32"/>
  <c r="T45" i="32"/>
  <c r="U45" i="32"/>
  <c r="T46" i="32"/>
  <c r="U46" i="32"/>
  <c r="T47" i="32"/>
  <c r="U47" i="32"/>
  <c r="T48" i="32"/>
  <c r="U48" i="32"/>
  <c r="T49" i="32"/>
  <c r="U49" i="32"/>
  <c r="T50" i="32"/>
  <c r="U50" i="32"/>
  <c r="T51" i="32"/>
  <c r="U51" i="32"/>
  <c r="T52" i="32"/>
  <c r="U52" i="32"/>
  <c r="T53" i="32"/>
  <c r="U53" i="32"/>
  <c r="T54" i="32"/>
  <c r="U54" i="32"/>
  <c r="T55" i="32"/>
  <c r="U55" i="32"/>
  <c r="T56" i="32"/>
  <c r="U56" i="32"/>
  <c r="T57" i="32"/>
  <c r="U57" i="32"/>
  <c r="T58" i="32"/>
  <c r="U58" i="32"/>
  <c r="T59" i="32"/>
  <c r="U59" i="32"/>
  <c r="T60" i="32"/>
  <c r="U60" i="32"/>
  <c r="T61" i="32"/>
  <c r="U61" i="32"/>
  <c r="T62" i="32"/>
  <c r="U62" i="32"/>
  <c r="T63" i="32"/>
  <c r="U63" i="32"/>
  <c r="T64" i="32"/>
  <c r="U64" i="32"/>
  <c r="T65" i="32"/>
  <c r="U65" i="32"/>
  <c r="T66" i="32"/>
  <c r="U66" i="32"/>
  <c r="T67" i="32"/>
  <c r="U67" i="32"/>
  <c r="T68" i="32"/>
  <c r="U68" i="32"/>
  <c r="T69" i="32"/>
  <c r="U69" i="32"/>
  <c r="T70" i="32"/>
  <c r="U70" i="32"/>
  <c r="T71" i="32"/>
  <c r="U71" i="32"/>
  <c r="T72" i="32"/>
  <c r="U72" i="32"/>
  <c r="T73" i="32"/>
  <c r="U73" i="32"/>
  <c r="T74" i="32"/>
  <c r="U74" i="32"/>
  <c r="T27" i="32"/>
  <c r="T28" i="32"/>
  <c r="T29" i="32"/>
  <c r="T30" i="32"/>
  <c r="U27" i="32"/>
  <c r="U28" i="32"/>
  <c r="V28" i="32" s="1"/>
  <c r="U29" i="32"/>
  <c r="U30" i="32"/>
  <c r="V27" i="32"/>
  <c r="V29" i="32"/>
  <c r="V30" i="32"/>
  <c r="X299" i="32" l="1"/>
  <c r="V299" i="32"/>
  <c r="X298" i="32"/>
  <c r="V298" i="32"/>
  <c r="X297" i="32"/>
  <c r="V297" i="32"/>
  <c r="X296" i="32"/>
  <c r="V296" i="32"/>
  <c r="X295" i="32"/>
  <c r="V295" i="32"/>
  <c r="X294" i="32"/>
  <c r="V294" i="32"/>
  <c r="X293" i="32"/>
  <c r="V293" i="32"/>
  <c r="X292" i="32"/>
  <c r="V292" i="32"/>
  <c r="X291" i="32"/>
  <c r="V291" i="32"/>
  <c r="X290" i="32"/>
  <c r="V290" i="32"/>
  <c r="X289" i="32"/>
  <c r="V289" i="32"/>
  <c r="X288" i="32"/>
  <c r="V288" i="32"/>
  <c r="X287" i="32"/>
  <c r="V287" i="32"/>
  <c r="X286" i="32"/>
  <c r="V286" i="32"/>
  <c r="X285" i="32"/>
  <c r="V285" i="32"/>
  <c r="X284" i="32"/>
  <c r="V284" i="32"/>
  <c r="X283" i="32"/>
  <c r="V283" i="32"/>
  <c r="X282" i="32"/>
  <c r="V282" i="32"/>
  <c r="X281" i="32"/>
  <c r="V281" i="32"/>
  <c r="X280" i="32"/>
  <c r="V280" i="32"/>
  <c r="X279" i="32"/>
  <c r="V279" i="32"/>
  <c r="X278" i="32"/>
  <c r="V278" i="32"/>
  <c r="X277" i="32"/>
  <c r="V277" i="32"/>
  <c r="X276" i="32"/>
  <c r="V276" i="32"/>
  <c r="X275" i="32"/>
  <c r="V275" i="32"/>
  <c r="X274" i="32"/>
  <c r="V274" i="32"/>
  <c r="X273" i="32"/>
  <c r="V273" i="32"/>
  <c r="X272" i="32"/>
  <c r="V272" i="32"/>
  <c r="X271" i="32"/>
  <c r="V271" i="32"/>
  <c r="X270" i="32"/>
  <c r="V270" i="32"/>
  <c r="X269" i="32"/>
  <c r="V269" i="32"/>
  <c r="X268" i="32"/>
  <c r="V268" i="32"/>
  <c r="X267" i="32"/>
  <c r="V267" i="32"/>
  <c r="X266" i="32"/>
  <c r="V266" i="32"/>
  <c r="X265" i="32"/>
  <c r="V265" i="32"/>
  <c r="X264" i="32"/>
  <c r="V264" i="32"/>
  <c r="X263" i="32"/>
  <c r="V263" i="32"/>
  <c r="X262" i="32"/>
  <c r="V262" i="32"/>
  <c r="X261" i="32"/>
  <c r="V261" i="32"/>
  <c r="X260" i="32"/>
  <c r="V260" i="32"/>
  <c r="X259" i="32"/>
  <c r="V259" i="32"/>
  <c r="X258" i="32"/>
  <c r="V258" i="32"/>
  <c r="X257" i="32"/>
  <c r="V257" i="32"/>
  <c r="X256" i="32"/>
  <c r="V256" i="32"/>
  <c r="X255" i="32"/>
  <c r="V255" i="32"/>
  <c r="X254" i="32"/>
  <c r="V254" i="32"/>
  <c r="X253" i="32"/>
  <c r="V253" i="32"/>
  <c r="X252" i="32"/>
  <c r="V252" i="32"/>
  <c r="X251" i="32"/>
  <c r="V251" i="32"/>
  <c r="X250" i="32"/>
  <c r="V250" i="32"/>
  <c r="X249" i="32"/>
  <c r="V249" i="32"/>
  <c r="X248" i="32"/>
  <c r="V248" i="32"/>
  <c r="X247" i="32"/>
  <c r="V247" i="32"/>
  <c r="X246" i="32"/>
  <c r="V246" i="32"/>
  <c r="X245" i="32"/>
  <c r="V245" i="32"/>
  <c r="X244" i="32"/>
  <c r="V244" i="32"/>
  <c r="X243" i="32"/>
  <c r="V243" i="32"/>
  <c r="X242" i="32"/>
  <c r="V242" i="32"/>
  <c r="X241" i="32"/>
  <c r="V241" i="32"/>
  <c r="X240" i="32"/>
  <c r="V240" i="32"/>
  <c r="X239" i="32"/>
  <c r="V239" i="32"/>
  <c r="X238" i="32"/>
  <c r="V238" i="32"/>
  <c r="X237" i="32"/>
  <c r="V237" i="32"/>
  <c r="X236" i="32"/>
  <c r="V236" i="32"/>
  <c r="X235" i="32"/>
  <c r="V235" i="32"/>
  <c r="X234" i="32"/>
  <c r="V234" i="32"/>
  <c r="X233" i="32"/>
  <c r="V233" i="32"/>
  <c r="X232" i="32"/>
  <c r="V232" i="32"/>
  <c r="X231" i="32"/>
  <c r="V231" i="32"/>
  <c r="X230" i="32"/>
  <c r="V230" i="32"/>
  <c r="X229" i="32"/>
  <c r="V229" i="32"/>
  <c r="X228" i="32"/>
  <c r="V228" i="32"/>
  <c r="X227" i="32"/>
  <c r="V227" i="32"/>
  <c r="X226" i="32"/>
  <c r="V226" i="32"/>
  <c r="X225" i="32"/>
  <c r="V225" i="32"/>
  <c r="X224" i="32"/>
  <c r="V224" i="32"/>
  <c r="X223" i="32"/>
  <c r="V223" i="32"/>
  <c r="X222" i="32"/>
  <c r="V222" i="32"/>
  <c r="X221" i="32"/>
  <c r="V221" i="32"/>
  <c r="X220" i="32"/>
  <c r="V220" i="32"/>
  <c r="X219" i="32"/>
  <c r="V219" i="32"/>
  <c r="X218" i="32"/>
  <c r="V218" i="32"/>
  <c r="X217" i="32"/>
  <c r="V217" i="32"/>
  <c r="X216" i="32"/>
  <c r="V216" i="32"/>
  <c r="X215" i="32"/>
  <c r="V215" i="32"/>
  <c r="X214" i="32"/>
  <c r="V214" i="32"/>
  <c r="X213" i="32"/>
  <c r="V213" i="32"/>
  <c r="X212" i="32"/>
  <c r="V212" i="32"/>
  <c r="X211" i="32"/>
  <c r="V211" i="32"/>
  <c r="X210" i="32"/>
  <c r="V210" i="32"/>
  <c r="X209" i="32"/>
  <c r="V209" i="32"/>
  <c r="X208" i="32"/>
  <c r="V208" i="32"/>
  <c r="X207" i="32"/>
  <c r="V207" i="32"/>
  <c r="X206" i="32"/>
  <c r="V206" i="32"/>
  <c r="X205" i="32"/>
  <c r="V205" i="32"/>
  <c r="X204" i="32"/>
  <c r="V204" i="32"/>
  <c r="X203" i="32"/>
  <c r="V203" i="32"/>
  <c r="X202" i="32"/>
  <c r="V202" i="32"/>
  <c r="X201" i="32"/>
  <c r="V201" i="32"/>
  <c r="X200" i="32"/>
  <c r="V200" i="32"/>
  <c r="X199" i="32"/>
  <c r="V199" i="32"/>
  <c r="X198" i="32"/>
  <c r="V198" i="32"/>
  <c r="X197" i="32"/>
  <c r="V197" i="32"/>
  <c r="X196" i="32"/>
  <c r="V196" i="32"/>
  <c r="X195" i="32"/>
  <c r="V195" i="32"/>
  <c r="X194" i="32"/>
  <c r="V194" i="32"/>
  <c r="X193" i="32"/>
  <c r="V193" i="32"/>
  <c r="X192" i="32"/>
  <c r="V192" i="32"/>
  <c r="X191" i="32"/>
  <c r="V191" i="32"/>
  <c r="X190" i="32"/>
  <c r="V190" i="32"/>
  <c r="X189" i="32"/>
  <c r="V189" i="32"/>
  <c r="X188" i="32"/>
  <c r="V188" i="32"/>
  <c r="X187" i="32"/>
  <c r="V187" i="32"/>
  <c r="X186" i="32"/>
  <c r="V186" i="32"/>
  <c r="X185" i="32"/>
  <c r="V185" i="32"/>
  <c r="X184" i="32"/>
  <c r="V184" i="32"/>
  <c r="X183" i="32"/>
  <c r="V183" i="32"/>
  <c r="X182" i="32"/>
  <c r="V182" i="32"/>
  <c r="X181" i="32"/>
  <c r="V181" i="32"/>
  <c r="X180" i="32"/>
  <c r="V180" i="32"/>
  <c r="X179" i="32"/>
  <c r="V179" i="32"/>
  <c r="X178" i="32"/>
  <c r="V178" i="32"/>
  <c r="X177" i="32"/>
  <c r="V177" i="32"/>
  <c r="X176" i="32"/>
  <c r="V176" i="32"/>
  <c r="X175" i="32"/>
  <c r="V175" i="32"/>
  <c r="X174" i="32"/>
  <c r="V174" i="32"/>
  <c r="X173" i="32"/>
  <c r="V173" i="32"/>
  <c r="X172" i="32"/>
  <c r="V172" i="32"/>
  <c r="X171" i="32"/>
  <c r="V171" i="32"/>
  <c r="X170" i="32"/>
  <c r="V170" i="32"/>
  <c r="X169" i="32"/>
  <c r="V169" i="32"/>
  <c r="X168" i="32"/>
  <c r="V168" i="32"/>
  <c r="X167" i="32"/>
  <c r="V167" i="32"/>
  <c r="X166" i="32"/>
  <c r="V166" i="32"/>
  <c r="X165" i="32"/>
  <c r="V165" i="32"/>
  <c r="X164" i="32"/>
  <c r="V164" i="32"/>
  <c r="X163" i="32"/>
  <c r="V163" i="32"/>
  <c r="X162" i="32"/>
  <c r="V162" i="32"/>
  <c r="X161" i="32"/>
  <c r="V161" i="32"/>
  <c r="X160" i="32"/>
  <c r="V160" i="32"/>
  <c r="X159" i="32"/>
  <c r="V159" i="32"/>
  <c r="X158" i="32"/>
  <c r="V158" i="32"/>
  <c r="X157" i="32"/>
  <c r="V157" i="32"/>
  <c r="X156" i="32"/>
  <c r="V156" i="32"/>
  <c r="X155" i="32"/>
  <c r="V155" i="32"/>
  <c r="X154" i="32"/>
  <c r="V154" i="32"/>
  <c r="V153" i="32"/>
  <c r="X152" i="32"/>
  <c r="V152" i="32"/>
  <c r="X151" i="32"/>
  <c r="V151" i="32"/>
  <c r="X150" i="32"/>
  <c r="V150" i="32"/>
  <c r="X149" i="32"/>
  <c r="V149" i="32"/>
  <c r="X148" i="32"/>
  <c r="V148" i="32"/>
  <c r="X147" i="32"/>
  <c r="V147" i="32"/>
  <c r="X146" i="32"/>
  <c r="V146" i="32"/>
  <c r="X145" i="32"/>
  <c r="V145" i="32"/>
  <c r="X144" i="32"/>
  <c r="V144" i="32"/>
  <c r="X143" i="32"/>
  <c r="V143" i="32"/>
  <c r="X142" i="32"/>
  <c r="V142" i="32"/>
  <c r="X141" i="32"/>
  <c r="V141" i="32"/>
  <c r="X140" i="32"/>
  <c r="V140" i="32"/>
  <c r="X139" i="32"/>
  <c r="V139" i="32"/>
  <c r="X138" i="32"/>
  <c r="V138" i="32"/>
  <c r="X137" i="32"/>
  <c r="V137" i="32"/>
  <c r="X136" i="32"/>
  <c r="V136" i="32"/>
  <c r="X135" i="32"/>
  <c r="V135" i="32"/>
  <c r="X134" i="32"/>
  <c r="V134" i="32"/>
  <c r="X133" i="32"/>
  <c r="V133" i="32"/>
  <c r="X132" i="32"/>
  <c r="V132" i="32"/>
  <c r="X131" i="32"/>
  <c r="V131" i="32"/>
  <c r="X130" i="32"/>
  <c r="V130" i="32"/>
  <c r="X129" i="32"/>
  <c r="V129" i="32"/>
  <c r="X128" i="32"/>
  <c r="V128" i="32"/>
  <c r="X127" i="32"/>
  <c r="V127" i="32"/>
  <c r="X126" i="32"/>
  <c r="V126" i="32"/>
  <c r="X125" i="32"/>
  <c r="V125" i="32"/>
  <c r="X124" i="32"/>
  <c r="V124" i="32"/>
  <c r="X123" i="32"/>
  <c r="V123" i="32"/>
  <c r="X122" i="32"/>
  <c r="V122" i="32"/>
  <c r="X121" i="32"/>
  <c r="V121" i="32"/>
  <c r="X120" i="32"/>
  <c r="V120" i="32"/>
  <c r="X119" i="32"/>
  <c r="V119" i="32"/>
  <c r="X118" i="32"/>
  <c r="V118" i="32"/>
  <c r="X117" i="32"/>
  <c r="V117" i="32"/>
  <c r="X116" i="32"/>
  <c r="V116" i="32"/>
  <c r="X115" i="32"/>
  <c r="V115" i="32"/>
  <c r="X114" i="32"/>
  <c r="V114" i="32"/>
  <c r="X113" i="32"/>
  <c r="V113" i="32"/>
  <c r="X112" i="32"/>
  <c r="V112" i="32"/>
  <c r="X111" i="32"/>
  <c r="V111" i="32"/>
  <c r="X110" i="32"/>
  <c r="V110" i="32"/>
  <c r="X109" i="32"/>
  <c r="V109" i="32"/>
  <c r="X108" i="32"/>
  <c r="V108" i="32"/>
  <c r="X107" i="32"/>
  <c r="V107" i="32"/>
  <c r="X106" i="32"/>
  <c r="V106" i="32"/>
  <c r="X105" i="32"/>
  <c r="V105" i="32"/>
  <c r="X104" i="32"/>
  <c r="V104" i="32"/>
  <c r="X103" i="32"/>
  <c r="V103" i="32"/>
  <c r="X102" i="32"/>
  <c r="V102" i="32"/>
  <c r="X101" i="32"/>
  <c r="V101" i="32"/>
  <c r="X100" i="32"/>
  <c r="V100" i="32"/>
  <c r="X99" i="32"/>
  <c r="V99" i="32"/>
  <c r="X98" i="32"/>
  <c r="V98" i="32"/>
  <c r="X97" i="32"/>
  <c r="V97" i="32"/>
  <c r="X96" i="32"/>
  <c r="V96" i="32"/>
  <c r="X95" i="32"/>
  <c r="V95" i="32"/>
  <c r="X94" i="32"/>
  <c r="V94" i="32"/>
  <c r="X93" i="32"/>
  <c r="V93" i="32"/>
  <c r="X92" i="32"/>
  <c r="V92" i="32"/>
  <c r="X91" i="32"/>
  <c r="V91" i="32"/>
  <c r="X90" i="32"/>
  <c r="V90" i="32"/>
  <c r="X89" i="32"/>
  <c r="V89" i="32"/>
  <c r="X88" i="32"/>
  <c r="V88" i="32"/>
  <c r="X87" i="32"/>
  <c r="V87" i="32"/>
  <c r="X86" i="32"/>
  <c r="V86" i="32"/>
  <c r="X85" i="32"/>
  <c r="V85" i="32"/>
  <c r="X84" i="32"/>
  <c r="V84" i="32"/>
  <c r="X83" i="32"/>
  <c r="V83" i="32"/>
  <c r="X82" i="32"/>
  <c r="V82" i="32"/>
  <c r="X81" i="32"/>
  <c r="V81" i="32"/>
  <c r="X80" i="32"/>
  <c r="V80" i="32"/>
  <c r="X79" i="32"/>
  <c r="V79" i="32"/>
  <c r="X78" i="32"/>
  <c r="V78" i="32"/>
  <c r="X77" i="32"/>
  <c r="V77" i="32"/>
  <c r="X76" i="32"/>
  <c r="V76" i="32"/>
  <c r="X75" i="32"/>
  <c r="V75" i="32"/>
  <c r="X74" i="32"/>
  <c r="V74" i="32"/>
  <c r="X73" i="32"/>
  <c r="V73" i="32"/>
  <c r="X72" i="32"/>
  <c r="V72" i="32"/>
  <c r="X71" i="32"/>
  <c r="V71" i="32"/>
  <c r="X70" i="32"/>
  <c r="V70" i="32"/>
  <c r="X69" i="32"/>
  <c r="V69" i="32"/>
  <c r="X68" i="32"/>
  <c r="V68" i="32"/>
  <c r="X67" i="32"/>
  <c r="V67" i="32"/>
  <c r="X66" i="32"/>
  <c r="V66" i="32"/>
  <c r="X65" i="32"/>
  <c r="V65" i="32"/>
  <c r="X64" i="32"/>
  <c r="V64" i="32"/>
  <c r="X63" i="32"/>
  <c r="V63" i="32"/>
  <c r="X62" i="32"/>
  <c r="V62" i="32"/>
  <c r="X61" i="32"/>
  <c r="V61" i="32"/>
  <c r="X60" i="32"/>
  <c r="V60" i="32"/>
  <c r="X59" i="32"/>
  <c r="V59" i="32"/>
  <c r="X58" i="32"/>
  <c r="V58" i="32"/>
  <c r="X57" i="32"/>
  <c r="V57" i="32"/>
  <c r="X56" i="32"/>
  <c r="V56" i="32"/>
  <c r="X55" i="32"/>
  <c r="V55" i="32"/>
  <c r="X54" i="32"/>
  <c r="V54" i="32"/>
  <c r="X53" i="32"/>
  <c r="V53" i="32"/>
  <c r="X52" i="32"/>
  <c r="V52" i="32"/>
  <c r="X51" i="32"/>
  <c r="V51" i="32"/>
  <c r="X50" i="32"/>
  <c r="V50" i="32"/>
  <c r="X49" i="32"/>
  <c r="V49" i="32"/>
  <c r="X48" i="32"/>
  <c r="V48" i="32"/>
  <c r="X47" i="32"/>
  <c r="V47" i="32"/>
  <c r="X46" i="32"/>
  <c r="V46" i="32"/>
  <c r="X45" i="32"/>
  <c r="V45" i="32"/>
  <c r="X44" i="32"/>
  <c r="V44" i="32"/>
  <c r="X43" i="32"/>
  <c r="V43" i="32"/>
  <c r="X42" i="32"/>
  <c r="V42" i="32"/>
  <c r="X41" i="32"/>
  <c r="V41" i="32"/>
  <c r="X40" i="32"/>
  <c r="V40" i="32"/>
  <c r="X39" i="32"/>
  <c r="V39" i="32"/>
  <c r="X38" i="32"/>
  <c r="V38" i="32"/>
  <c r="X37" i="32"/>
  <c r="V37" i="32"/>
  <c r="X36" i="32"/>
  <c r="V36" i="32"/>
  <c r="X35" i="32"/>
  <c r="V35" i="32"/>
  <c r="X34" i="32"/>
  <c r="V34" i="32"/>
  <c r="X33" i="32"/>
  <c r="V33" i="32"/>
  <c r="X32" i="32"/>
  <c r="V32" i="32"/>
  <c r="X31" i="32"/>
  <c r="V31" i="32"/>
  <c r="X30" i="32"/>
  <c r="X29" i="32"/>
  <c r="X28" i="32"/>
  <c r="X27" i="32"/>
  <c r="X26" i="32"/>
  <c r="T26" i="32"/>
  <c r="U26" i="32" s="1"/>
  <c r="V26" i="32" s="1"/>
  <c r="X6" i="32"/>
  <c r="T6" i="32"/>
  <c r="U6" i="32" s="1"/>
  <c r="V6" i="32" s="1"/>
  <c r="X21" i="32"/>
  <c r="T21" i="32"/>
  <c r="U21" i="32" s="1"/>
  <c r="V21" i="32" s="1"/>
  <c r="X25" i="32"/>
  <c r="T25" i="32"/>
  <c r="U25" i="32" s="1"/>
  <c r="V25" i="32" s="1"/>
  <c r="X10" i="32"/>
  <c r="T10" i="32"/>
  <c r="U10" i="32" s="1"/>
  <c r="V10" i="32" s="1"/>
  <c r="X13" i="32"/>
  <c r="T13" i="32"/>
  <c r="U13" i="32" s="1"/>
  <c r="V13" i="32" s="1"/>
  <c r="X24" i="32"/>
  <c r="T24" i="32"/>
  <c r="U24" i="32" s="1"/>
  <c r="V24" i="32" s="1"/>
  <c r="X22" i="32"/>
  <c r="T22" i="32"/>
  <c r="U22" i="32" s="1"/>
  <c r="V22" i="32" s="1"/>
  <c r="X23" i="32"/>
  <c r="T23" i="32"/>
  <c r="X20" i="32"/>
  <c r="T20" i="32"/>
  <c r="U20" i="32" s="1"/>
  <c r="V20" i="32" s="1"/>
  <c r="X19" i="32"/>
  <c r="T19" i="32"/>
  <c r="U19" i="32" s="1"/>
  <c r="V19" i="32" s="1"/>
  <c r="X16" i="32"/>
  <c r="T16" i="32"/>
  <c r="U16" i="32" s="1"/>
  <c r="V16" i="32" s="1"/>
  <c r="X17" i="32"/>
  <c r="T17" i="32"/>
  <c r="U17" i="32" s="1"/>
  <c r="V17" i="32" s="1"/>
  <c r="X15" i="32"/>
  <c r="T15" i="32"/>
  <c r="U15" i="32" s="1"/>
  <c r="V15" i="32" s="1"/>
  <c r="X14" i="32"/>
  <c r="T14" i="32"/>
  <c r="U14" i="32" s="1"/>
  <c r="V14" i="32" s="1"/>
  <c r="X12" i="32"/>
  <c r="T12" i="32"/>
  <c r="U12" i="32" s="1"/>
  <c r="V12" i="32" s="1"/>
  <c r="X7" i="32"/>
  <c r="T7" i="32"/>
  <c r="U7" i="32" s="1"/>
  <c r="V7" i="32" s="1"/>
  <c r="X8" i="32"/>
  <c r="T8" i="32"/>
  <c r="U8" i="32" s="1"/>
  <c r="V8" i="32" s="1"/>
  <c r="X5" i="32"/>
  <c r="T5" i="32"/>
  <c r="U5" i="32" s="1"/>
  <c r="V5" i="32" s="1"/>
  <c r="X4" i="32"/>
  <c r="T4" i="32"/>
  <c r="U4" i="32" s="1"/>
  <c r="V4" i="32" s="1"/>
  <c r="X9" i="32"/>
  <c r="T9" i="32"/>
  <c r="U9" i="32" s="1"/>
  <c r="V9" i="32" s="1"/>
  <c r="X11" i="32"/>
  <c r="T11" i="32"/>
  <c r="U11" i="32" s="1"/>
  <c r="V11" i="32" s="1"/>
  <c r="X18" i="32"/>
  <c r="T18" i="32"/>
  <c r="U18" i="32" s="1"/>
  <c r="V18" i="32" s="1"/>
  <c r="W2" i="32"/>
  <c r="S2" i="32"/>
  <c r="R2" i="32"/>
  <c r="Q2" i="32"/>
  <c r="P2" i="32"/>
  <c r="O2" i="32"/>
  <c r="N2" i="32"/>
  <c r="M2" i="32"/>
  <c r="L2" i="32"/>
  <c r="K2" i="32"/>
  <c r="J2" i="32"/>
  <c r="I2" i="32"/>
  <c r="H2" i="32"/>
  <c r="G2" i="32"/>
  <c r="F2" i="32"/>
  <c r="E2" i="32"/>
  <c r="U23" i="32" l="1"/>
  <c r="V23" i="32" s="1"/>
  <c r="X2" i="32"/>
  <c r="T2" i="32"/>
  <c r="X17" i="31"/>
  <c r="T17" i="31"/>
  <c r="U17" i="31" s="1"/>
  <c r="V17" i="31" s="1"/>
  <c r="X16" i="31"/>
  <c r="T16" i="31"/>
  <c r="U16" i="31" s="1"/>
  <c r="V16" i="31" s="1"/>
  <c r="T301" i="31"/>
  <c r="X300" i="31"/>
  <c r="V300" i="31"/>
  <c r="U300" i="31"/>
  <c r="T300" i="31"/>
  <c r="X299" i="31"/>
  <c r="V299" i="31"/>
  <c r="U299" i="31"/>
  <c r="T299" i="31"/>
  <c r="X298" i="31"/>
  <c r="V298" i="31"/>
  <c r="U298" i="31"/>
  <c r="T298" i="31"/>
  <c r="X297" i="31"/>
  <c r="V297" i="31"/>
  <c r="U297" i="31"/>
  <c r="T297" i="31"/>
  <c r="X296" i="31"/>
  <c r="V296" i="31"/>
  <c r="U296" i="31"/>
  <c r="T296" i="31"/>
  <c r="X295" i="31"/>
  <c r="V295" i="31"/>
  <c r="U295" i="31"/>
  <c r="T295" i="31"/>
  <c r="X294" i="31"/>
  <c r="V294" i="31"/>
  <c r="U294" i="31"/>
  <c r="T294" i="31"/>
  <c r="X293" i="31"/>
  <c r="V293" i="31"/>
  <c r="U293" i="31"/>
  <c r="T293" i="31"/>
  <c r="X292" i="31"/>
  <c r="V292" i="31"/>
  <c r="U292" i="31"/>
  <c r="T292" i="31"/>
  <c r="X291" i="31"/>
  <c r="V291" i="31"/>
  <c r="U291" i="31"/>
  <c r="T291" i="31"/>
  <c r="X290" i="31"/>
  <c r="V290" i="31"/>
  <c r="U290" i="31"/>
  <c r="T290" i="31"/>
  <c r="X289" i="31"/>
  <c r="V289" i="31"/>
  <c r="U289" i="31"/>
  <c r="T289" i="31"/>
  <c r="X288" i="31"/>
  <c r="V288" i="31"/>
  <c r="U288" i="31"/>
  <c r="T288" i="31"/>
  <c r="X287" i="31"/>
  <c r="V287" i="31"/>
  <c r="U287" i="31"/>
  <c r="T287" i="31"/>
  <c r="X286" i="31"/>
  <c r="V286" i="31"/>
  <c r="U286" i="31"/>
  <c r="T286" i="31"/>
  <c r="X285" i="31"/>
  <c r="V285" i="31"/>
  <c r="U285" i="31"/>
  <c r="T285" i="31"/>
  <c r="X284" i="31"/>
  <c r="V284" i="31"/>
  <c r="U284" i="31"/>
  <c r="T284" i="31"/>
  <c r="X283" i="31"/>
  <c r="V283" i="31"/>
  <c r="U283" i="31"/>
  <c r="T283" i="31"/>
  <c r="X282" i="31"/>
  <c r="V282" i="31"/>
  <c r="U282" i="31"/>
  <c r="T282" i="31"/>
  <c r="X281" i="31"/>
  <c r="V281" i="31"/>
  <c r="U281" i="31"/>
  <c r="T281" i="31"/>
  <c r="X280" i="31"/>
  <c r="V280" i="31"/>
  <c r="U280" i="31"/>
  <c r="T280" i="31"/>
  <c r="X279" i="31"/>
  <c r="V279" i="31"/>
  <c r="U279" i="31"/>
  <c r="T279" i="31"/>
  <c r="X278" i="31"/>
  <c r="V278" i="31"/>
  <c r="U278" i="31"/>
  <c r="T278" i="31"/>
  <c r="X277" i="31"/>
  <c r="V277" i="31"/>
  <c r="U277" i="31"/>
  <c r="T277" i="31"/>
  <c r="X276" i="31"/>
  <c r="V276" i="31"/>
  <c r="U276" i="31"/>
  <c r="T276" i="31"/>
  <c r="X275" i="31"/>
  <c r="V275" i="31"/>
  <c r="U275" i="31"/>
  <c r="T275" i="31"/>
  <c r="X274" i="31"/>
  <c r="V274" i="31"/>
  <c r="U274" i="31"/>
  <c r="T274" i="31"/>
  <c r="X273" i="31"/>
  <c r="V273" i="31"/>
  <c r="U273" i="31"/>
  <c r="T273" i="31"/>
  <c r="X272" i="31"/>
  <c r="V272" i="31"/>
  <c r="U272" i="31"/>
  <c r="T272" i="31"/>
  <c r="X271" i="31"/>
  <c r="V271" i="31"/>
  <c r="U271" i="31"/>
  <c r="T271" i="31"/>
  <c r="X270" i="31"/>
  <c r="V270" i="31"/>
  <c r="U270" i="31"/>
  <c r="T270" i="31"/>
  <c r="X269" i="31"/>
  <c r="V269" i="31"/>
  <c r="U269" i="31"/>
  <c r="T269" i="31"/>
  <c r="X268" i="31"/>
  <c r="V268" i="31"/>
  <c r="U268" i="31"/>
  <c r="T268" i="31"/>
  <c r="X267" i="31"/>
  <c r="V267" i="31"/>
  <c r="U267" i="31"/>
  <c r="T267" i="31"/>
  <c r="X266" i="31"/>
  <c r="V266" i="31"/>
  <c r="U266" i="31"/>
  <c r="T266" i="31"/>
  <c r="X265" i="31"/>
  <c r="V265" i="31"/>
  <c r="U265" i="31"/>
  <c r="T265" i="31"/>
  <c r="X264" i="31"/>
  <c r="V264" i="31"/>
  <c r="U264" i="31"/>
  <c r="T264" i="31"/>
  <c r="X263" i="31"/>
  <c r="V263" i="31"/>
  <c r="U263" i="31"/>
  <c r="T263" i="31"/>
  <c r="X262" i="31"/>
  <c r="V262" i="31"/>
  <c r="U262" i="31"/>
  <c r="T262" i="31"/>
  <c r="X261" i="31"/>
  <c r="V261" i="31"/>
  <c r="U261" i="31"/>
  <c r="T261" i="31"/>
  <c r="X260" i="31"/>
  <c r="V260" i="31"/>
  <c r="U260" i="31"/>
  <c r="T260" i="31"/>
  <c r="X259" i="31"/>
  <c r="V259" i="31"/>
  <c r="U259" i="31"/>
  <c r="T259" i="31"/>
  <c r="X258" i="31"/>
  <c r="V258" i="31"/>
  <c r="U258" i="31"/>
  <c r="T258" i="31"/>
  <c r="X257" i="31"/>
  <c r="V257" i="31"/>
  <c r="U257" i="31"/>
  <c r="T257" i="31"/>
  <c r="X256" i="31"/>
  <c r="V256" i="31"/>
  <c r="U256" i="31"/>
  <c r="T256" i="31"/>
  <c r="X255" i="31"/>
  <c r="V255" i="31"/>
  <c r="U255" i="31"/>
  <c r="T255" i="31"/>
  <c r="X254" i="31"/>
  <c r="V254" i="31"/>
  <c r="U254" i="31"/>
  <c r="T254" i="31"/>
  <c r="X253" i="31"/>
  <c r="V253" i="31"/>
  <c r="U253" i="31"/>
  <c r="T253" i="31"/>
  <c r="X252" i="31"/>
  <c r="V252" i="31"/>
  <c r="U252" i="31"/>
  <c r="T252" i="31"/>
  <c r="X251" i="31"/>
  <c r="V251" i="31"/>
  <c r="U251" i="31"/>
  <c r="T251" i="31"/>
  <c r="X250" i="31"/>
  <c r="V250" i="31"/>
  <c r="U250" i="31"/>
  <c r="T250" i="31"/>
  <c r="X249" i="31"/>
  <c r="V249" i="31"/>
  <c r="U249" i="31"/>
  <c r="T249" i="31"/>
  <c r="X248" i="31"/>
  <c r="V248" i="31"/>
  <c r="U248" i="31"/>
  <c r="T248" i="31"/>
  <c r="X247" i="31"/>
  <c r="V247" i="31"/>
  <c r="U247" i="31"/>
  <c r="T247" i="31"/>
  <c r="X246" i="31"/>
  <c r="V246" i="31"/>
  <c r="U246" i="31"/>
  <c r="T246" i="31"/>
  <c r="X245" i="31"/>
  <c r="V245" i="31"/>
  <c r="U245" i="31"/>
  <c r="T245" i="31"/>
  <c r="X244" i="31"/>
  <c r="V244" i="31"/>
  <c r="U244" i="31"/>
  <c r="T244" i="31"/>
  <c r="X243" i="31"/>
  <c r="V243" i="31"/>
  <c r="U243" i="31"/>
  <c r="T243" i="31"/>
  <c r="X242" i="31"/>
  <c r="V242" i="31"/>
  <c r="U242" i="31"/>
  <c r="T242" i="31"/>
  <c r="X241" i="31"/>
  <c r="V241" i="31"/>
  <c r="U241" i="31"/>
  <c r="T241" i="31"/>
  <c r="X240" i="31"/>
  <c r="V240" i="31"/>
  <c r="U240" i="31"/>
  <c r="T240" i="31"/>
  <c r="X239" i="31"/>
  <c r="V239" i="31"/>
  <c r="U239" i="31"/>
  <c r="T239" i="31"/>
  <c r="X238" i="31"/>
  <c r="V238" i="31"/>
  <c r="U238" i="31"/>
  <c r="T238" i="31"/>
  <c r="X237" i="31"/>
  <c r="V237" i="31"/>
  <c r="U237" i="31"/>
  <c r="T237" i="31"/>
  <c r="X236" i="31"/>
  <c r="V236" i="31"/>
  <c r="U236" i="31"/>
  <c r="T236" i="31"/>
  <c r="X235" i="31"/>
  <c r="V235" i="31"/>
  <c r="U235" i="31"/>
  <c r="T235" i="31"/>
  <c r="X234" i="31"/>
  <c r="V234" i="31"/>
  <c r="U234" i="31"/>
  <c r="T234" i="31"/>
  <c r="X233" i="31"/>
  <c r="V233" i="31"/>
  <c r="U233" i="31"/>
  <c r="T233" i="31"/>
  <c r="X232" i="31"/>
  <c r="V232" i="31"/>
  <c r="U232" i="31"/>
  <c r="T232" i="31"/>
  <c r="X231" i="31"/>
  <c r="V231" i="31"/>
  <c r="U231" i="31"/>
  <c r="T231" i="31"/>
  <c r="X230" i="31"/>
  <c r="V230" i="31"/>
  <c r="U230" i="31"/>
  <c r="T230" i="31"/>
  <c r="X229" i="31"/>
  <c r="V229" i="31"/>
  <c r="U229" i="31"/>
  <c r="T229" i="31"/>
  <c r="X228" i="31"/>
  <c r="V228" i="31"/>
  <c r="U228" i="31"/>
  <c r="T228" i="31"/>
  <c r="X227" i="31"/>
  <c r="V227" i="31"/>
  <c r="U227" i="31"/>
  <c r="T227" i="31"/>
  <c r="X226" i="31"/>
  <c r="V226" i="31"/>
  <c r="U226" i="31"/>
  <c r="T226" i="31"/>
  <c r="X225" i="31"/>
  <c r="V225" i="31"/>
  <c r="U225" i="31"/>
  <c r="T225" i="31"/>
  <c r="X224" i="31"/>
  <c r="V224" i="31"/>
  <c r="U224" i="31"/>
  <c r="T224" i="31"/>
  <c r="X223" i="31"/>
  <c r="V223" i="31"/>
  <c r="U223" i="31"/>
  <c r="T223" i="31"/>
  <c r="X222" i="31"/>
  <c r="V222" i="31"/>
  <c r="U222" i="31"/>
  <c r="T222" i="31"/>
  <c r="X221" i="31"/>
  <c r="V221" i="31"/>
  <c r="U221" i="31"/>
  <c r="T221" i="31"/>
  <c r="X220" i="31"/>
  <c r="V220" i="31"/>
  <c r="U220" i="31"/>
  <c r="T220" i="31"/>
  <c r="X219" i="31"/>
  <c r="V219" i="31"/>
  <c r="U219" i="31"/>
  <c r="T219" i="31"/>
  <c r="X218" i="31"/>
  <c r="V218" i="31"/>
  <c r="U218" i="31"/>
  <c r="T218" i="31"/>
  <c r="X217" i="31"/>
  <c r="V217" i="31"/>
  <c r="U217" i="31"/>
  <c r="T217" i="31"/>
  <c r="X216" i="31"/>
  <c r="V216" i="31"/>
  <c r="U216" i="31"/>
  <c r="T216" i="31"/>
  <c r="X215" i="31"/>
  <c r="V215" i="31"/>
  <c r="U215" i="31"/>
  <c r="T215" i="31"/>
  <c r="X214" i="31"/>
  <c r="V214" i="31"/>
  <c r="U214" i="31"/>
  <c r="T214" i="31"/>
  <c r="X213" i="31"/>
  <c r="V213" i="31"/>
  <c r="U213" i="31"/>
  <c r="T213" i="31"/>
  <c r="X212" i="31"/>
  <c r="V212" i="31"/>
  <c r="U212" i="31"/>
  <c r="T212" i="31"/>
  <c r="X211" i="31"/>
  <c r="V211" i="31"/>
  <c r="U211" i="31"/>
  <c r="T211" i="31"/>
  <c r="X210" i="31"/>
  <c r="V210" i="31"/>
  <c r="U210" i="31"/>
  <c r="T210" i="31"/>
  <c r="X209" i="31"/>
  <c r="V209" i="31"/>
  <c r="U209" i="31"/>
  <c r="T209" i="31"/>
  <c r="X208" i="31"/>
  <c r="V208" i="31"/>
  <c r="U208" i="31"/>
  <c r="T208" i="31"/>
  <c r="X207" i="31"/>
  <c r="V207" i="31"/>
  <c r="U207" i="31"/>
  <c r="T207" i="31"/>
  <c r="X206" i="31"/>
  <c r="V206" i="31"/>
  <c r="U206" i="31"/>
  <c r="T206" i="31"/>
  <c r="X205" i="31"/>
  <c r="V205" i="31"/>
  <c r="U205" i="31"/>
  <c r="T205" i="31"/>
  <c r="X204" i="31"/>
  <c r="V204" i="31"/>
  <c r="U204" i="31"/>
  <c r="T204" i="31"/>
  <c r="X203" i="31"/>
  <c r="V203" i="31"/>
  <c r="U203" i="31"/>
  <c r="T203" i="31"/>
  <c r="X202" i="31"/>
  <c r="V202" i="31"/>
  <c r="U202" i="31"/>
  <c r="T202" i="31"/>
  <c r="X201" i="31"/>
  <c r="V201" i="31"/>
  <c r="U201" i="31"/>
  <c r="T201" i="31"/>
  <c r="X200" i="31"/>
  <c r="V200" i="31"/>
  <c r="U200" i="31"/>
  <c r="T200" i="31"/>
  <c r="X199" i="31"/>
  <c r="V199" i="31"/>
  <c r="U199" i="31"/>
  <c r="T199" i="31"/>
  <c r="X198" i="31"/>
  <c r="V198" i="31"/>
  <c r="U198" i="31"/>
  <c r="T198" i="31"/>
  <c r="X197" i="31"/>
  <c r="V197" i="31"/>
  <c r="U197" i="31"/>
  <c r="T197" i="31"/>
  <c r="X196" i="31"/>
  <c r="V196" i="31"/>
  <c r="U196" i="31"/>
  <c r="T196" i="31"/>
  <c r="X195" i="31"/>
  <c r="V195" i="31"/>
  <c r="U195" i="31"/>
  <c r="T195" i="31"/>
  <c r="X194" i="31"/>
  <c r="V194" i="31"/>
  <c r="U194" i="31"/>
  <c r="T194" i="31"/>
  <c r="X193" i="31"/>
  <c r="V193" i="31"/>
  <c r="U193" i="31"/>
  <c r="T193" i="31"/>
  <c r="X192" i="31"/>
  <c r="V192" i="31"/>
  <c r="U192" i="31"/>
  <c r="T192" i="31"/>
  <c r="X191" i="31"/>
  <c r="V191" i="31"/>
  <c r="U191" i="31"/>
  <c r="T191" i="31"/>
  <c r="X190" i="31"/>
  <c r="V190" i="31"/>
  <c r="U190" i="31"/>
  <c r="T190" i="31"/>
  <c r="X189" i="31"/>
  <c r="V189" i="31"/>
  <c r="U189" i="31"/>
  <c r="T189" i="31"/>
  <c r="X188" i="31"/>
  <c r="V188" i="31"/>
  <c r="U188" i="31"/>
  <c r="T188" i="31"/>
  <c r="X187" i="31"/>
  <c r="V187" i="31"/>
  <c r="U187" i="31"/>
  <c r="T187" i="31"/>
  <c r="X186" i="31"/>
  <c r="V186" i="31"/>
  <c r="U186" i="31"/>
  <c r="T186" i="31"/>
  <c r="X185" i="31"/>
  <c r="V185" i="31"/>
  <c r="U185" i="31"/>
  <c r="T185" i="31"/>
  <c r="X184" i="31"/>
  <c r="V184" i="31"/>
  <c r="U184" i="31"/>
  <c r="T184" i="31"/>
  <c r="X183" i="31"/>
  <c r="V183" i="31"/>
  <c r="U183" i="31"/>
  <c r="T183" i="31"/>
  <c r="X182" i="31"/>
  <c r="V182" i="31"/>
  <c r="U182" i="31"/>
  <c r="T182" i="31"/>
  <c r="X181" i="31"/>
  <c r="V181" i="31"/>
  <c r="U181" i="31"/>
  <c r="T181" i="31"/>
  <c r="X180" i="31"/>
  <c r="V180" i="31"/>
  <c r="U180" i="31"/>
  <c r="T180" i="31"/>
  <c r="X179" i="31"/>
  <c r="V179" i="31"/>
  <c r="U179" i="31"/>
  <c r="T179" i="31"/>
  <c r="X178" i="31"/>
  <c r="V178" i="31"/>
  <c r="U178" i="31"/>
  <c r="T178" i="31"/>
  <c r="X177" i="31"/>
  <c r="V177" i="31"/>
  <c r="U177" i="31"/>
  <c r="T177" i="31"/>
  <c r="X176" i="31"/>
  <c r="V176" i="31"/>
  <c r="U176" i="31"/>
  <c r="T176" i="31"/>
  <c r="X175" i="31"/>
  <c r="V175" i="31"/>
  <c r="U175" i="31"/>
  <c r="T175" i="31"/>
  <c r="X174" i="31"/>
  <c r="V174" i="31"/>
  <c r="U174" i="31"/>
  <c r="T174" i="31"/>
  <c r="X173" i="31"/>
  <c r="V173" i="31"/>
  <c r="U173" i="31"/>
  <c r="T173" i="31"/>
  <c r="X172" i="31"/>
  <c r="V172" i="31"/>
  <c r="U172" i="31"/>
  <c r="T172" i="31"/>
  <c r="X171" i="31"/>
  <c r="V171" i="31"/>
  <c r="U171" i="31"/>
  <c r="T171" i="31"/>
  <c r="X170" i="31"/>
  <c r="V170" i="31"/>
  <c r="U170" i="31"/>
  <c r="T170" i="31"/>
  <c r="X169" i="31"/>
  <c r="V169" i="31"/>
  <c r="U169" i="31"/>
  <c r="T169" i="31"/>
  <c r="X168" i="31"/>
  <c r="V168" i="31"/>
  <c r="U168" i="31"/>
  <c r="T168" i="31"/>
  <c r="X167" i="31"/>
  <c r="V167" i="31"/>
  <c r="U167" i="31"/>
  <c r="T167" i="31"/>
  <c r="X166" i="31"/>
  <c r="V166" i="31"/>
  <c r="U166" i="31"/>
  <c r="T166" i="31"/>
  <c r="X165" i="31"/>
  <c r="V165" i="31"/>
  <c r="U165" i="31"/>
  <c r="T165" i="31"/>
  <c r="X164" i="31"/>
  <c r="V164" i="31"/>
  <c r="U164" i="31"/>
  <c r="T164" i="31"/>
  <c r="X163" i="31"/>
  <c r="V163" i="31"/>
  <c r="U163" i="31"/>
  <c r="T163" i="31"/>
  <c r="X162" i="31"/>
  <c r="V162" i="31"/>
  <c r="U162" i="31"/>
  <c r="T162" i="31"/>
  <c r="X161" i="31"/>
  <c r="V161" i="31"/>
  <c r="U161" i="31"/>
  <c r="T161" i="31"/>
  <c r="X160" i="31"/>
  <c r="V160" i="31"/>
  <c r="U160" i="31"/>
  <c r="T160" i="31"/>
  <c r="X159" i="31"/>
  <c r="V159" i="31"/>
  <c r="U159" i="31"/>
  <c r="T159" i="31"/>
  <c r="X158" i="31"/>
  <c r="V158" i="31"/>
  <c r="U158" i="31"/>
  <c r="T158" i="31"/>
  <c r="X157" i="31"/>
  <c r="V157" i="31"/>
  <c r="U157" i="31"/>
  <c r="T157" i="31"/>
  <c r="X156" i="31"/>
  <c r="V156" i="31"/>
  <c r="U156" i="31"/>
  <c r="T156" i="31"/>
  <c r="X155" i="31"/>
  <c r="V155" i="31"/>
  <c r="U155" i="31"/>
  <c r="T155" i="31"/>
  <c r="V154" i="31"/>
  <c r="U154" i="31"/>
  <c r="T154" i="31"/>
  <c r="X153" i="31"/>
  <c r="V153" i="31"/>
  <c r="U153" i="31"/>
  <c r="T153" i="31"/>
  <c r="X152" i="31"/>
  <c r="V152" i="31"/>
  <c r="U152" i="31"/>
  <c r="T152" i="31"/>
  <c r="X151" i="31"/>
  <c r="V151" i="31"/>
  <c r="U151" i="31"/>
  <c r="T151" i="31"/>
  <c r="X150" i="31"/>
  <c r="V150" i="31"/>
  <c r="U150" i="31"/>
  <c r="T150" i="31"/>
  <c r="X149" i="31"/>
  <c r="V149" i="31"/>
  <c r="U149" i="31"/>
  <c r="T149" i="31"/>
  <c r="X148" i="31"/>
  <c r="V148" i="31"/>
  <c r="U148" i="31"/>
  <c r="T148" i="31"/>
  <c r="X147" i="31"/>
  <c r="V147" i="31"/>
  <c r="U147" i="31"/>
  <c r="T147" i="31"/>
  <c r="X146" i="31"/>
  <c r="V146" i="31"/>
  <c r="U146" i="31"/>
  <c r="T146" i="31"/>
  <c r="X145" i="31"/>
  <c r="V145" i="31"/>
  <c r="U145" i="31"/>
  <c r="T145" i="31"/>
  <c r="X144" i="31"/>
  <c r="V144" i="31"/>
  <c r="U144" i="31"/>
  <c r="T144" i="31"/>
  <c r="X143" i="31"/>
  <c r="V143" i="31"/>
  <c r="U143" i="31"/>
  <c r="T143" i="31"/>
  <c r="X142" i="31"/>
  <c r="V142" i="31"/>
  <c r="U142" i="31"/>
  <c r="T142" i="31"/>
  <c r="X141" i="31"/>
  <c r="V141" i="31"/>
  <c r="U141" i="31"/>
  <c r="T141" i="31"/>
  <c r="X140" i="31"/>
  <c r="V140" i="31"/>
  <c r="U140" i="31"/>
  <c r="T140" i="31"/>
  <c r="X139" i="31"/>
  <c r="V139" i="31"/>
  <c r="U139" i="31"/>
  <c r="T139" i="31"/>
  <c r="X138" i="31"/>
  <c r="V138" i="31"/>
  <c r="U138" i="31"/>
  <c r="T138" i="31"/>
  <c r="X137" i="31"/>
  <c r="V137" i="31"/>
  <c r="U137" i="31"/>
  <c r="T137" i="31"/>
  <c r="X136" i="31"/>
  <c r="V136" i="31"/>
  <c r="U136" i="31"/>
  <c r="T136" i="31"/>
  <c r="X135" i="31"/>
  <c r="V135" i="31"/>
  <c r="U135" i="31"/>
  <c r="T135" i="31"/>
  <c r="X134" i="31"/>
  <c r="V134" i="31"/>
  <c r="U134" i="31"/>
  <c r="T134" i="31"/>
  <c r="X133" i="31"/>
  <c r="V133" i="31"/>
  <c r="U133" i="31"/>
  <c r="T133" i="31"/>
  <c r="X132" i="31"/>
  <c r="V132" i="31"/>
  <c r="U132" i="31"/>
  <c r="T132" i="31"/>
  <c r="X131" i="31"/>
  <c r="V131" i="31"/>
  <c r="U131" i="31"/>
  <c r="T131" i="31"/>
  <c r="X130" i="31"/>
  <c r="V130" i="31"/>
  <c r="U130" i="31"/>
  <c r="T130" i="31"/>
  <c r="X129" i="31"/>
  <c r="V129" i="31"/>
  <c r="U129" i="31"/>
  <c r="T129" i="31"/>
  <c r="X128" i="31"/>
  <c r="V128" i="31"/>
  <c r="U128" i="31"/>
  <c r="T128" i="31"/>
  <c r="X127" i="31"/>
  <c r="V127" i="31"/>
  <c r="U127" i="31"/>
  <c r="T127" i="31"/>
  <c r="X126" i="31"/>
  <c r="V126" i="31"/>
  <c r="U126" i="31"/>
  <c r="T126" i="31"/>
  <c r="X125" i="31"/>
  <c r="V125" i="31"/>
  <c r="U125" i="31"/>
  <c r="T125" i="31"/>
  <c r="X124" i="31"/>
  <c r="V124" i="31"/>
  <c r="U124" i="31"/>
  <c r="T124" i="31"/>
  <c r="X123" i="31"/>
  <c r="V123" i="31"/>
  <c r="U123" i="31"/>
  <c r="T123" i="31"/>
  <c r="X122" i="31"/>
  <c r="V122" i="31"/>
  <c r="U122" i="31"/>
  <c r="T122" i="31"/>
  <c r="X121" i="31"/>
  <c r="V121" i="31"/>
  <c r="U121" i="31"/>
  <c r="T121" i="31"/>
  <c r="X120" i="31"/>
  <c r="V120" i="31"/>
  <c r="U120" i="31"/>
  <c r="T120" i="31"/>
  <c r="X119" i="31"/>
  <c r="V119" i="31"/>
  <c r="U119" i="31"/>
  <c r="T119" i="31"/>
  <c r="X118" i="31"/>
  <c r="V118" i="31"/>
  <c r="U118" i="31"/>
  <c r="T118" i="31"/>
  <c r="X117" i="31"/>
  <c r="V117" i="31"/>
  <c r="U117" i="31"/>
  <c r="T117" i="31"/>
  <c r="X116" i="31"/>
  <c r="V116" i="31"/>
  <c r="U116" i="31"/>
  <c r="T116" i="31"/>
  <c r="X115" i="31"/>
  <c r="V115" i="31"/>
  <c r="U115" i="31"/>
  <c r="T115" i="31"/>
  <c r="X114" i="31"/>
  <c r="V114" i="31"/>
  <c r="U114" i="31"/>
  <c r="T114" i="31"/>
  <c r="X113" i="31"/>
  <c r="V113" i="31"/>
  <c r="U113" i="31"/>
  <c r="T113" i="31"/>
  <c r="X112" i="31"/>
  <c r="V112" i="31"/>
  <c r="U112" i="31"/>
  <c r="T112" i="31"/>
  <c r="X111" i="31"/>
  <c r="V111" i="31"/>
  <c r="U111" i="31"/>
  <c r="T111" i="31"/>
  <c r="X110" i="31"/>
  <c r="V110" i="31"/>
  <c r="U110" i="31"/>
  <c r="T110" i="31"/>
  <c r="X109" i="31"/>
  <c r="V109" i="31"/>
  <c r="U109" i="31"/>
  <c r="T109" i="31"/>
  <c r="X108" i="31"/>
  <c r="V108" i="31"/>
  <c r="U108" i="31"/>
  <c r="T108" i="31"/>
  <c r="X107" i="31"/>
  <c r="V107" i="31"/>
  <c r="U107" i="31"/>
  <c r="T107" i="31"/>
  <c r="X106" i="31"/>
  <c r="V106" i="31"/>
  <c r="U106" i="31"/>
  <c r="T106" i="31"/>
  <c r="X105" i="31"/>
  <c r="V105" i="31"/>
  <c r="U105" i="31"/>
  <c r="T105" i="31"/>
  <c r="X104" i="31"/>
  <c r="V104" i="31"/>
  <c r="U104" i="31"/>
  <c r="T104" i="31"/>
  <c r="X103" i="31"/>
  <c r="V103" i="31"/>
  <c r="U103" i="31"/>
  <c r="T103" i="31"/>
  <c r="X102" i="31"/>
  <c r="V102" i="31"/>
  <c r="U102" i="31"/>
  <c r="T102" i="31"/>
  <c r="X101" i="31"/>
  <c r="V101" i="31"/>
  <c r="U101" i="31"/>
  <c r="T101" i="31"/>
  <c r="X100" i="31"/>
  <c r="V100" i="31"/>
  <c r="U100" i="31"/>
  <c r="T100" i="31"/>
  <c r="X99" i="31"/>
  <c r="V99" i="31"/>
  <c r="U99" i="31"/>
  <c r="T99" i="31"/>
  <c r="X98" i="31"/>
  <c r="V98" i="31"/>
  <c r="U98" i="31"/>
  <c r="T98" i="31"/>
  <c r="X97" i="31"/>
  <c r="V97" i="31"/>
  <c r="U97" i="31"/>
  <c r="T97" i="31"/>
  <c r="X96" i="31"/>
  <c r="V96" i="31"/>
  <c r="U96" i="31"/>
  <c r="T96" i="31"/>
  <c r="X95" i="31"/>
  <c r="V95" i="31"/>
  <c r="U95" i="31"/>
  <c r="T95" i="31"/>
  <c r="X94" i="31"/>
  <c r="V94" i="31"/>
  <c r="U94" i="31"/>
  <c r="T94" i="31"/>
  <c r="X93" i="31"/>
  <c r="V93" i="31"/>
  <c r="U93" i="31"/>
  <c r="T93" i="31"/>
  <c r="X92" i="31"/>
  <c r="V92" i="31"/>
  <c r="U92" i="31"/>
  <c r="T92" i="31"/>
  <c r="X91" i="31"/>
  <c r="V91" i="31"/>
  <c r="U91" i="31"/>
  <c r="T91" i="31"/>
  <c r="X90" i="31"/>
  <c r="V90" i="31"/>
  <c r="U90" i="31"/>
  <c r="T90" i="31"/>
  <c r="X89" i="31"/>
  <c r="V89" i="31"/>
  <c r="U89" i="31"/>
  <c r="T89" i="31"/>
  <c r="X88" i="31"/>
  <c r="V88" i="31"/>
  <c r="U88" i="31"/>
  <c r="T88" i="31"/>
  <c r="X87" i="31"/>
  <c r="V87" i="31"/>
  <c r="U87" i="31"/>
  <c r="T87" i="31"/>
  <c r="X86" i="31"/>
  <c r="V86" i="31"/>
  <c r="U86" i="31"/>
  <c r="T86" i="31"/>
  <c r="X85" i="31"/>
  <c r="V85" i="31"/>
  <c r="U85" i="31"/>
  <c r="T85" i="31"/>
  <c r="X84" i="31"/>
  <c r="V84" i="31"/>
  <c r="U84" i="31"/>
  <c r="T84" i="31"/>
  <c r="X83" i="31"/>
  <c r="V83" i="31"/>
  <c r="U83" i="31"/>
  <c r="T83" i="31"/>
  <c r="X82" i="31"/>
  <c r="V82" i="31"/>
  <c r="U82" i="31"/>
  <c r="T82" i="31"/>
  <c r="X81" i="31"/>
  <c r="V81" i="31"/>
  <c r="U81" i="31"/>
  <c r="T81" i="31"/>
  <c r="X80" i="31"/>
  <c r="V80" i="31"/>
  <c r="U80" i="31"/>
  <c r="T80" i="31"/>
  <c r="X79" i="31"/>
  <c r="V79" i="31"/>
  <c r="U79" i="31"/>
  <c r="T79" i="31"/>
  <c r="X78" i="31"/>
  <c r="V78" i="31"/>
  <c r="U78" i="31"/>
  <c r="T78" i="31"/>
  <c r="X77" i="31"/>
  <c r="V77" i="31"/>
  <c r="U77" i="31"/>
  <c r="T77" i="31"/>
  <c r="X76" i="31"/>
  <c r="V76" i="31"/>
  <c r="U76" i="31"/>
  <c r="T76" i="31"/>
  <c r="X75" i="31"/>
  <c r="V75" i="31"/>
  <c r="U75" i="31"/>
  <c r="T75" i="31"/>
  <c r="X74" i="31"/>
  <c r="V74" i="31"/>
  <c r="U74" i="31"/>
  <c r="T74" i="31"/>
  <c r="X73" i="31"/>
  <c r="V73" i="31"/>
  <c r="U73" i="31"/>
  <c r="T73" i="31"/>
  <c r="X72" i="31"/>
  <c r="V72" i="31"/>
  <c r="U72" i="31"/>
  <c r="T72" i="31"/>
  <c r="X71" i="31"/>
  <c r="V71" i="31"/>
  <c r="U71" i="31"/>
  <c r="T71" i="31"/>
  <c r="X70" i="31"/>
  <c r="V70" i="31"/>
  <c r="U70" i="31"/>
  <c r="T70" i="31"/>
  <c r="X69" i="31"/>
  <c r="V69" i="31"/>
  <c r="U69" i="31"/>
  <c r="T69" i="31"/>
  <c r="X68" i="31"/>
  <c r="V68" i="31"/>
  <c r="U68" i="31"/>
  <c r="T68" i="31"/>
  <c r="X67" i="31"/>
  <c r="V67" i="31"/>
  <c r="U67" i="31"/>
  <c r="T67" i="31"/>
  <c r="X66" i="31"/>
  <c r="V66" i="31"/>
  <c r="U66" i="31"/>
  <c r="T66" i="31"/>
  <c r="X65" i="31"/>
  <c r="V65" i="31"/>
  <c r="U65" i="31"/>
  <c r="T65" i="31"/>
  <c r="X64" i="31"/>
  <c r="V64" i="31"/>
  <c r="U64" i="31"/>
  <c r="T64" i="31"/>
  <c r="X63" i="31"/>
  <c r="V63" i="31"/>
  <c r="U63" i="31"/>
  <c r="T63" i="31"/>
  <c r="X62" i="31"/>
  <c r="V62" i="31"/>
  <c r="U62" i="31"/>
  <c r="T62" i="31"/>
  <c r="X61" i="31"/>
  <c r="V61" i="31"/>
  <c r="U61" i="31"/>
  <c r="T61" i="31"/>
  <c r="X60" i="31"/>
  <c r="V60" i="31"/>
  <c r="U60" i="31"/>
  <c r="T60" i="31"/>
  <c r="X59" i="31"/>
  <c r="V59" i="31"/>
  <c r="U59" i="31"/>
  <c r="T59" i="31"/>
  <c r="X58" i="31"/>
  <c r="V58" i="31"/>
  <c r="U58" i="31"/>
  <c r="T58" i="31"/>
  <c r="X57" i="31"/>
  <c r="V57" i="31"/>
  <c r="U57" i="31"/>
  <c r="T57" i="31"/>
  <c r="X56" i="31"/>
  <c r="V56" i="31"/>
  <c r="U56" i="31"/>
  <c r="T56" i="31"/>
  <c r="X55" i="31"/>
  <c r="V55" i="31"/>
  <c r="U55" i="31"/>
  <c r="T55" i="31"/>
  <c r="X54" i="31"/>
  <c r="V54" i="31"/>
  <c r="U54" i="31"/>
  <c r="T54" i="31"/>
  <c r="X53" i="31"/>
  <c r="V53" i="31"/>
  <c r="U53" i="31"/>
  <c r="T53" i="31"/>
  <c r="X52" i="31"/>
  <c r="V52" i="31"/>
  <c r="U52" i="31"/>
  <c r="T52" i="31"/>
  <c r="X51" i="31"/>
  <c r="V51" i="31"/>
  <c r="U51" i="31"/>
  <c r="T51" i="31"/>
  <c r="X50" i="31"/>
  <c r="V50" i="31"/>
  <c r="U50" i="31"/>
  <c r="T50" i="31"/>
  <c r="X49" i="31"/>
  <c r="V49" i="31"/>
  <c r="U49" i="31"/>
  <c r="T49" i="31"/>
  <c r="X48" i="31"/>
  <c r="V48" i="31"/>
  <c r="U48" i="31"/>
  <c r="T48" i="31"/>
  <c r="X47" i="31"/>
  <c r="V47" i="31"/>
  <c r="U47" i="31"/>
  <c r="T47" i="31"/>
  <c r="X46" i="31"/>
  <c r="V46" i="31"/>
  <c r="U46" i="31"/>
  <c r="T46" i="31"/>
  <c r="X45" i="31"/>
  <c r="V45" i="31"/>
  <c r="U45" i="31"/>
  <c r="T45" i="31"/>
  <c r="X44" i="31"/>
  <c r="V44" i="31"/>
  <c r="U44" i="31"/>
  <c r="T44" i="31"/>
  <c r="X43" i="31"/>
  <c r="V43" i="31"/>
  <c r="U43" i="31"/>
  <c r="T43" i="31"/>
  <c r="X42" i="31"/>
  <c r="V42" i="31"/>
  <c r="U42" i="31"/>
  <c r="T42" i="31"/>
  <c r="X41" i="31"/>
  <c r="V41" i="31"/>
  <c r="U41" i="31"/>
  <c r="T41" i="31"/>
  <c r="X40" i="31"/>
  <c r="V40" i="31"/>
  <c r="U40" i="31"/>
  <c r="T40" i="31"/>
  <c r="X39" i="31"/>
  <c r="V39" i="31"/>
  <c r="U39" i="31"/>
  <c r="T39" i="31"/>
  <c r="X38" i="31"/>
  <c r="V38" i="31"/>
  <c r="U38" i="31"/>
  <c r="T38" i="31"/>
  <c r="X37" i="31"/>
  <c r="V37" i="31"/>
  <c r="U37" i="31"/>
  <c r="T37" i="31"/>
  <c r="X36" i="31"/>
  <c r="V36" i="31"/>
  <c r="U36" i="31"/>
  <c r="T36" i="31"/>
  <c r="X35" i="31"/>
  <c r="V35" i="31"/>
  <c r="U35" i="31"/>
  <c r="T35" i="31"/>
  <c r="X34" i="31"/>
  <c r="V34" i="31"/>
  <c r="U34" i="31"/>
  <c r="T34" i="31"/>
  <c r="X33" i="31"/>
  <c r="V33" i="31"/>
  <c r="U33" i="31"/>
  <c r="T33" i="31"/>
  <c r="X32" i="31"/>
  <c r="V32" i="31"/>
  <c r="U32" i="31"/>
  <c r="T32" i="31"/>
  <c r="X31" i="31"/>
  <c r="V31" i="31"/>
  <c r="U31" i="31"/>
  <c r="T31" i="31"/>
  <c r="X30" i="31"/>
  <c r="V30" i="31"/>
  <c r="U30" i="31"/>
  <c r="T30" i="31"/>
  <c r="X29" i="31"/>
  <c r="V29" i="31"/>
  <c r="U29" i="31"/>
  <c r="T29" i="31"/>
  <c r="X28" i="31"/>
  <c r="V28" i="31"/>
  <c r="U28" i="31"/>
  <c r="T28" i="31"/>
  <c r="X27" i="31"/>
  <c r="T27" i="31"/>
  <c r="U27" i="31" s="1"/>
  <c r="V27" i="31" s="1"/>
  <c r="X26" i="31"/>
  <c r="T26" i="31"/>
  <c r="U26" i="31" s="1"/>
  <c r="V26" i="31" s="1"/>
  <c r="X13" i="31"/>
  <c r="T13" i="31"/>
  <c r="U13" i="31" s="1"/>
  <c r="V13" i="31" s="1"/>
  <c r="X12" i="31"/>
  <c r="T12" i="31"/>
  <c r="U12" i="31" s="1"/>
  <c r="V12" i="31" s="1"/>
  <c r="X24" i="31"/>
  <c r="T24" i="31"/>
  <c r="U24" i="31" s="1"/>
  <c r="V24" i="31" s="1"/>
  <c r="X15" i="31"/>
  <c r="T15" i="31"/>
  <c r="U15" i="31" s="1"/>
  <c r="V15" i="31" s="1"/>
  <c r="X14" i="31"/>
  <c r="T14" i="31"/>
  <c r="U14" i="31" s="1"/>
  <c r="V14" i="31" s="1"/>
  <c r="X5" i="31"/>
  <c r="T5" i="31"/>
  <c r="U5" i="31" s="1"/>
  <c r="V5" i="31" s="1"/>
  <c r="X6" i="31"/>
  <c r="T6" i="31"/>
  <c r="U6" i="31" s="1"/>
  <c r="V6" i="31" s="1"/>
  <c r="X4" i="31"/>
  <c r="T4" i="31"/>
  <c r="U4" i="31" s="1"/>
  <c r="V4" i="31" s="1"/>
  <c r="X11" i="31"/>
  <c r="T11" i="31"/>
  <c r="U11" i="31" s="1"/>
  <c r="V11" i="31" s="1"/>
  <c r="X9" i="31"/>
  <c r="T9" i="31"/>
  <c r="U9" i="31" s="1"/>
  <c r="V9" i="31" s="1"/>
  <c r="X20" i="31"/>
  <c r="T20" i="31"/>
  <c r="U20" i="31" s="1"/>
  <c r="V20" i="31" s="1"/>
  <c r="X19" i="31"/>
  <c r="T19" i="31"/>
  <c r="U19" i="31" s="1"/>
  <c r="V19" i="31" s="1"/>
  <c r="X18" i="31"/>
  <c r="T18" i="31"/>
  <c r="U18" i="31" s="1"/>
  <c r="V18" i="31" s="1"/>
  <c r="X25" i="31"/>
  <c r="T25" i="31"/>
  <c r="U25" i="31" s="1"/>
  <c r="V25" i="31" s="1"/>
  <c r="X8" i="31"/>
  <c r="T8" i="31"/>
  <c r="U8" i="31" s="1"/>
  <c r="V8" i="31" s="1"/>
  <c r="X7" i="31"/>
  <c r="T7" i="31"/>
  <c r="U7" i="31" s="1"/>
  <c r="V7" i="31" s="1"/>
  <c r="X23" i="31"/>
  <c r="T23" i="31"/>
  <c r="U23" i="31" s="1"/>
  <c r="V23" i="31" s="1"/>
  <c r="X22" i="31"/>
  <c r="T22" i="31"/>
  <c r="U22" i="31" s="1"/>
  <c r="V22" i="31" s="1"/>
  <c r="X21" i="31"/>
  <c r="T21" i="31"/>
  <c r="U21" i="31" s="1"/>
  <c r="V21" i="31" s="1"/>
  <c r="X10" i="31"/>
  <c r="T10" i="31"/>
  <c r="W2" i="31"/>
  <c r="S2" i="31"/>
  <c r="R2" i="31"/>
  <c r="Q2" i="31"/>
  <c r="P2" i="31"/>
  <c r="O2" i="31"/>
  <c r="N2" i="31"/>
  <c r="M2" i="31"/>
  <c r="L2" i="31"/>
  <c r="K2" i="31"/>
  <c r="J2" i="31"/>
  <c r="I2" i="31"/>
  <c r="H2" i="31"/>
  <c r="G2" i="31"/>
  <c r="F2" i="31"/>
  <c r="E2" i="31"/>
  <c r="U2" i="32" l="1"/>
  <c r="V2" i="32" s="1"/>
  <c r="T2" i="31"/>
  <c r="U10" i="31"/>
  <c r="V10" i="31" s="1"/>
  <c r="X2" i="31"/>
  <c r="V37" i="28"/>
  <c r="V38" i="28"/>
  <c r="V39" i="28"/>
  <c r="V40" i="28"/>
  <c r="V41" i="28"/>
  <c r="V42" i="28"/>
  <c r="V43" i="28"/>
  <c r="V44" i="28"/>
  <c r="V45" i="28"/>
  <c r="V46" i="28"/>
  <c r="V47" i="28"/>
  <c r="V48" i="28"/>
  <c r="V49" i="28"/>
  <c r="V50" i="28"/>
  <c r="V51" i="28"/>
  <c r="V52" i="28"/>
  <c r="V53" i="28"/>
  <c r="V54" i="28"/>
  <c r="V55" i="28"/>
  <c r="V56" i="28"/>
  <c r="V57" i="28"/>
  <c r="V58" i="28"/>
  <c r="V59" i="28"/>
  <c r="V60" i="28"/>
  <c r="V61" i="28"/>
  <c r="V62" i="28"/>
  <c r="V63" i="28"/>
  <c r="V64" i="28"/>
  <c r="V65" i="28"/>
  <c r="V66" i="28"/>
  <c r="V67" i="28"/>
  <c r="V68" i="28"/>
  <c r="V69" i="28"/>
  <c r="V70" i="28"/>
  <c r="V71" i="28"/>
  <c r="V72" i="28"/>
  <c r="V73" i="28"/>
  <c r="V74" i="28"/>
  <c r="V75" i="28"/>
  <c r="V76" i="28"/>
  <c r="V77" i="28"/>
  <c r="V78" i="28"/>
  <c r="V79" i="28"/>
  <c r="V80" i="28"/>
  <c r="V81" i="28"/>
  <c r="V82" i="28"/>
  <c r="V83" i="28"/>
  <c r="V84" i="28"/>
  <c r="V85" i="28"/>
  <c r="V86" i="28"/>
  <c r="V87" i="28"/>
  <c r="V88" i="28"/>
  <c r="V89" i="28"/>
  <c r="V90" i="28"/>
  <c r="V91" i="28"/>
  <c r="V92" i="28"/>
  <c r="V93" i="28"/>
  <c r="V94" i="28"/>
  <c r="V95" i="28"/>
  <c r="V96" i="28"/>
  <c r="V97" i="28"/>
  <c r="V98" i="28"/>
  <c r="V99" i="28"/>
  <c r="V100" i="28"/>
  <c r="V101" i="28"/>
  <c r="V102" i="28"/>
  <c r="V103" i="28"/>
  <c r="V104" i="28"/>
  <c r="V105" i="28"/>
  <c r="V106" i="28"/>
  <c r="V107" i="28"/>
  <c r="V108" i="28"/>
  <c r="V109" i="28"/>
  <c r="V110" i="28"/>
  <c r="V111" i="28"/>
  <c r="V112" i="28"/>
  <c r="V113" i="28"/>
  <c r="V114" i="28"/>
  <c r="V115" i="28"/>
  <c r="V116" i="28"/>
  <c r="V117" i="28"/>
  <c r="V118" i="28"/>
  <c r="V119" i="28"/>
  <c r="V120" i="28"/>
  <c r="V121" i="28"/>
  <c r="V122" i="28"/>
  <c r="V123" i="28"/>
  <c r="V124" i="28"/>
  <c r="V125" i="28"/>
  <c r="V126" i="28"/>
  <c r="V127" i="28"/>
  <c r="V128" i="28"/>
  <c r="V129" i="28"/>
  <c r="V130" i="28"/>
  <c r="V131" i="28"/>
  <c r="V132" i="28"/>
  <c r="V133" i="28"/>
  <c r="V134" i="28"/>
  <c r="V135" i="28"/>
  <c r="V136" i="28"/>
  <c r="V137" i="28"/>
  <c r="V138" i="28"/>
  <c r="V139" i="28"/>
  <c r="V140" i="28"/>
  <c r="V141" i="28"/>
  <c r="V142" i="28"/>
  <c r="V143" i="28"/>
  <c r="V144" i="28"/>
  <c r="V145" i="28"/>
  <c r="V146" i="28"/>
  <c r="V147" i="28"/>
  <c r="V148" i="28"/>
  <c r="V149" i="28"/>
  <c r="V150" i="28"/>
  <c r="V151" i="28"/>
  <c r="V152" i="28"/>
  <c r="V153" i="28"/>
  <c r="V154" i="28"/>
  <c r="V155" i="28"/>
  <c r="V156" i="28"/>
  <c r="V157" i="28"/>
  <c r="V158" i="28"/>
  <c r="V159" i="28"/>
  <c r="V160" i="28"/>
  <c r="V161" i="28"/>
  <c r="V162" i="28"/>
  <c r="V163" i="28"/>
  <c r="V164" i="28"/>
  <c r="V165" i="28"/>
  <c r="V166" i="28"/>
  <c r="V167" i="28"/>
  <c r="V168" i="28"/>
  <c r="V169" i="28"/>
  <c r="V170" i="28"/>
  <c r="V171" i="28"/>
  <c r="V172" i="28"/>
  <c r="V173" i="28"/>
  <c r="V174" i="28"/>
  <c r="V175" i="28"/>
  <c r="V176" i="28"/>
  <c r="V177" i="28"/>
  <c r="V178" i="28"/>
  <c r="V179" i="28"/>
  <c r="V180" i="28"/>
  <c r="V181" i="28"/>
  <c r="V182" i="28"/>
  <c r="V183" i="28"/>
  <c r="V184" i="28"/>
  <c r="V185" i="28"/>
  <c r="V186" i="28"/>
  <c r="V187" i="28"/>
  <c r="V188" i="28"/>
  <c r="V189" i="28"/>
  <c r="V190" i="28"/>
  <c r="V191" i="28"/>
  <c r="V192" i="28"/>
  <c r="V193" i="28"/>
  <c r="V194" i="28"/>
  <c r="V195" i="28"/>
  <c r="V196" i="28"/>
  <c r="V197" i="28"/>
  <c r="V198" i="28"/>
  <c r="V199" i="28"/>
  <c r="V200" i="28"/>
  <c r="V201" i="28"/>
  <c r="V202" i="28"/>
  <c r="V203" i="28"/>
  <c r="V204" i="28"/>
  <c r="V205" i="28"/>
  <c r="V206" i="28"/>
  <c r="V207" i="28"/>
  <c r="V208" i="28"/>
  <c r="V209" i="28"/>
  <c r="V210" i="28"/>
  <c r="V211" i="28"/>
  <c r="V212" i="28"/>
  <c r="V213" i="28"/>
  <c r="V214" i="28"/>
  <c r="V215" i="28"/>
  <c r="V216" i="28"/>
  <c r="V217" i="28"/>
  <c r="V218" i="28"/>
  <c r="V219" i="28"/>
  <c r="V220" i="28"/>
  <c r="V221" i="28"/>
  <c r="V222" i="28"/>
  <c r="V223" i="28"/>
  <c r="V224" i="28"/>
  <c r="V225" i="28"/>
  <c r="V226" i="28"/>
  <c r="V227" i="28"/>
  <c r="V228" i="28"/>
  <c r="V229" i="28"/>
  <c r="V230" i="28"/>
  <c r="V231" i="28"/>
  <c r="V232" i="28"/>
  <c r="V233" i="28"/>
  <c r="V234" i="28"/>
  <c r="V235" i="28"/>
  <c r="V236" i="28"/>
  <c r="V237" i="28"/>
  <c r="V238" i="28"/>
  <c r="V239" i="28"/>
  <c r="V240" i="28"/>
  <c r="V241" i="28"/>
  <c r="V242" i="28"/>
  <c r="V243" i="28"/>
  <c r="V244" i="28"/>
  <c r="V245" i="28"/>
  <c r="V246" i="28"/>
  <c r="V247" i="28"/>
  <c r="V248" i="28"/>
  <c r="V249" i="28"/>
  <c r="V250" i="28"/>
  <c r="V251" i="28"/>
  <c r="V252" i="28"/>
  <c r="V253" i="28"/>
  <c r="V254" i="28"/>
  <c r="V255" i="28"/>
  <c r="V256" i="28"/>
  <c r="V257" i="28"/>
  <c r="V258" i="28"/>
  <c r="V259" i="28"/>
  <c r="V260" i="28"/>
  <c r="V261" i="28"/>
  <c r="V262" i="28"/>
  <c r="V263" i="28"/>
  <c r="V264" i="28"/>
  <c r="V265" i="28"/>
  <c r="V266" i="28"/>
  <c r="V267" i="28"/>
  <c r="V268" i="28"/>
  <c r="V269" i="28"/>
  <c r="V270" i="28"/>
  <c r="V271" i="28"/>
  <c r="V272" i="28"/>
  <c r="V273" i="28"/>
  <c r="V274" i="28"/>
  <c r="V275" i="28"/>
  <c r="V276" i="28"/>
  <c r="V277" i="28"/>
  <c r="V278" i="28"/>
  <c r="V279" i="28"/>
  <c r="V280" i="28"/>
  <c r="V281" i="28"/>
  <c r="V282" i="28"/>
  <c r="V283" i="28"/>
  <c r="V284" i="28"/>
  <c r="V285" i="28"/>
  <c r="V286" i="28"/>
  <c r="V287" i="28"/>
  <c r="V288" i="28"/>
  <c r="V289" i="28"/>
  <c r="V290" i="28"/>
  <c r="V291" i="28"/>
  <c r="V292" i="28"/>
  <c r="V293" i="28"/>
  <c r="V294" i="28"/>
  <c r="V295" i="28"/>
  <c r="V296" i="28"/>
  <c r="V297" i="28"/>
  <c r="V298" i="28"/>
  <c r="V299" i="28"/>
  <c r="V300" i="28"/>
  <c r="U37" i="28"/>
  <c r="U38" i="28"/>
  <c r="U39" i="28"/>
  <c r="U40" i="28"/>
  <c r="U41" i="28"/>
  <c r="U42" i="28"/>
  <c r="U43" i="28"/>
  <c r="U44" i="28"/>
  <c r="U45" i="28"/>
  <c r="U46" i="28"/>
  <c r="U47" i="28"/>
  <c r="U48" i="28"/>
  <c r="U49" i="28"/>
  <c r="U50" i="28"/>
  <c r="U51" i="28"/>
  <c r="U52" i="28"/>
  <c r="U53" i="28"/>
  <c r="U54" i="28"/>
  <c r="U55" i="28"/>
  <c r="U56" i="28"/>
  <c r="U57" i="28"/>
  <c r="U58" i="28"/>
  <c r="U59" i="28"/>
  <c r="U60" i="28"/>
  <c r="U61" i="28"/>
  <c r="U62" i="28"/>
  <c r="U63" i="28"/>
  <c r="U64" i="28"/>
  <c r="U65" i="28"/>
  <c r="U66" i="28"/>
  <c r="U67" i="28"/>
  <c r="U68" i="28"/>
  <c r="U69" i="28"/>
  <c r="U70" i="28"/>
  <c r="U71" i="28"/>
  <c r="U72" i="28"/>
  <c r="U73" i="28"/>
  <c r="U74" i="28"/>
  <c r="U75" i="28"/>
  <c r="U76" i="28"/>
  <c r="U77" i="28"/>
  <c r="U78" i="28"/>
  <c r="U79" i="28"/>
  <c r="U80" i="28"/>
  <c r="U81" i="28"/>
  <c r="U82" i="28"/>
  <c r="U83" i="28"/>
  <c r="U84" i="28"/>
  <c r="U85" i="28"/>
  <c r="U86" i="28"/>
  <c r="U87" i="28"/>
  <c r="U88" i="28"/>
  <c r="U89" i="28"/>
  <c r="U90" i="28"/>
  <c r="U91" i="28"/>
  <c r="U92" i="28"/>
  <c r="U93" i="28"/>
  <c r="U94" i="28"/>
  <c r="U95" i="28"/>
  <c r="U96" i="28"/>
  <c r="U97" i="28"/>
  <c r="U98" i="28"/>
  <c r="U99" i="28"/>
  <c r="U100" i="28"/>
  <c r="U101" i="28"/>
  <c r="U102" i="28"/>
  <c r="U103" i="28"/>
  <c r="U104" i="28"/>
  <c r="U105" i="28"/>
  <c r="U106" i="28"/>
  <c r="U107" i="28"/>
  <c r="U108" i="28"/>
  <c r="U109" i="28"/>
  <c r="U110" i="28"/>
  <c r="U111" i="28"/>
  <c r="U112" i="28"/>
  <c r="U113" i="28"/>
  <c r="U114" i="28"/>
  <c r="U115" i="28"/>
  <c r="U116" i="28"/>
  <c r="U117" i="28"/>
  <c r="U118" i="28"/>
  <c r="U119" i="28"/>
  <c r="U120" i="28"/>
  <c r="U121" i="28"/>
  <c r="U122" i="28"/>
  <c r="U123" i="28"/>
  <c r="U124" i="28"/>
  <c r="U125" i="28"/>
  <c r="U126" i="28"/>
  <c r="U127" i="28"/>
  <c r="U128" i="28"/>
  <c r="U129" i="28"/>
  <c r="U130" i="28"/>
  <c r="U131" i="28"/>
  <c r="U132" i="28"/>
  <c r="U133" i="28"/>
  <c r="U134" i="28"/>
  <c r="U135" i="28"/>
  <c r="U136" i="28"/>
  <c r="U137" i="28"/>
  <c r="U138" i="28"/>
  <c r="U139" i="28"/>
  <c r="U140" i="28"/>
  <c r="U141" i="28"/>
  <c r="U142" i="28"/>
  <c r="U143" i="28"/>
  <c r="U144" i="28"/>
  <c r="U145" i="28"/>
  <c r="U146" i="28"/>
  <c r="U147" i="28"/>
  <c r="U148" i="28"/>
  <c r="U149" i="28"/>
  <c r="U150" i="28"/>
  <c r="U151" i="28"/>
  <c r="U152" i="28"/>
  <c r="U153" i="28"/>
  <c r="U154" i="28"/>
  <c r="U155" i="28"/>
  <c r="U156" i="28"/>
  <c r="U157" i="28"/>
  <c r="U158" i="28"/>
  <c r="U159" i="28"/>
  <c r="U160" i="28"/>
  <c r="U161" i="28"/>
  <c r="U162" i="28"/>
  <c r="U163" i="28"/>
  <c r="U164" i="28"/>
  <c r="U165" i="28"/>
  <c r="U166" i="28"/>
  <c r="U167" i="28"/>
  <c r="U168" i="28"/>
  <c r="U169" i="28"/>
  <c r="U170" i="28"/>
  <c r="U171" i="28"/>
  <c r="U172" i="28"/>
  <c r="U173" i="28"/>
  <c r="U174" i="28"/>
  <c r="U175" i="28"/>
  <c r="U176" i="28"/>
  <c r="U177" i="28"/>
  <c r="U178" i="28"/>
  <c r="U179" i="28"/>
  <c r="U180" i="28"/>
  <c r="U181" i="28"/>
  <c r="U182" i="28"/>
  <c r="U183" i="28"/>
  <c r="U184" i="28"/>
  <c r="U185" i="28"/>
  <c r="U186" i="28"/>
  <c r="U187" i="28"/>
  <c r="U188" i="28"/>
  <c r="U189" i="28"/>
  <c r="U190" i="28"/>
  <c r="U191" i="28"/>
  <c r="U192" i="28"/>
  <c r="U193" i="28"/>
  <c r="U194" i="28"/>
  <c r="U195" i="28"/>
  <c r="U196" i="28"/>
  <c r="U197" i="28"/>
  <c r="U198" i="28"/>
  <c r="U199" i="28"/>
  <c r="U200" i="28"/>
  <c r="U201" i="28"/>
  <c r="U202" i="28"/>
  <c r="U203" i="28"/>
  <c r="U204" i="28"/>
  <c r="U205" i="28"/>
  <c r="U206" i="28"/>
  <c r="U207" i="28"/>
  <c r="U208" i="28"/>
  <c r="U209" i="28"/>
  <c r="U210" i="28"/>
  <c r="U211" i="28"/>
  <c r="U212" i="28"/>
  <c r="U213" i="28"/>
  <c r="U214" i="28"/>
  <c r="U215" i="28"/>
  <c r="U216" i="28"/>
  <c r="U217" i="28"/>
  <c r="U218" i="28"/>
  <c r="U219" i="28"/>
  <c r="U220" i="28"/>
  <c r="U221" i="28"/>
  <c r="U222" i="28"/>
  <c r="U223" i="28"/>
  <c r="U224" i="28"/>
  <c r="U225" i="28"/>
  <c r="U226" i="28"/>
  <c r="U227" i="28"/>
  <c r="U228" i="28"/>
  <c r="U229" i="28"/>
  <c r="U230" i="28"/>
  <c r="U231" i="28"/>
  <c r="U232" i="28"/>
  <c r="U233" i="28"/>
  <c r="U234" i="28"/>
  <c r="U235" i="28"/>
  <c r="U236" i="28"/>
  <c r="U237" i="28"/>
  <c r="U238" i="28"/>
  <c r="U239" i="28"/>
  <c r="U240" i="28"/>
  <c r="U241" i="28"/>
  <c r="U242" i="28"/>
  <c r="U243" i="28"/>
  <c r="U244" i="28"/>
  <c r="U245" i="28"/>
  <c r="U246" i="28"/>
  <c r="U247" i="28"/>
  <c r="U248" i="28"/>
  <c r="U249" i="28"/>
  <c r="U250" i="28"/>
  <c r="U251" i="28"/>
  <c r="U252" i="28"/>
  <c r="U253" i="28"/>
  <c r="U254" i="28"/>
  <c r="U255" i="28"/>
  <c r="U256" i="28"/>
  <c r="U257" i="28"/>
  <c r="U258" i="28"/>
  <c r="U259" i="28"/>
  <c r="U260" i="28"/>
  <c r="U261" i="28"/>
  <c r="U262" i="28"/>
  <c r="U263" i="28"/>
  <c r="U264" i="28"/>
  <c r="U265" i="28"/>
  <c r="U266" i="28"/>
  <c r="U267" i="28"/>
  <c r="U268" i="28"/>
  <c r="U269" i="28"/>
  <c r="U270" i="28"/>
  <c r="U271" i="28"/>
  <c r="U272" i="28"/>
  <c r="U273" i="28"/>
  <c r="U274" i="28"/>
  <c r="U275" i="28"/>
  <c r="U276" i="28"/>
  <c r="U277" i="28"/>
  <c r="U278" i="28"/>
  <c r="U279" i="28"/>
  <c r="U280" i="28"/>
  <c r="U281" i="28"/>
  <c r="U282" i="28"/>
  <c r="U283" i="28"/>
  <c r="U284" i="28"/>
  <c r="U285" i="28"/>
  <c r="U286" i="28"/>
  <c r="U287" i="28"/>
  <c r="U288" i="28"/>
  <c r="U289" i="28"/>
  <c r="U290" i="28"/>
  <c r="U291" i="28"/>
  <c r="U292" i="28"/>
  <c r="U293" i="28"/>
  <c r="U294" i="28"/>
  <c r="U295" i="28"/>
  <c r="U296" i="28"/>
  <c r="U297" i="28"/>
  <c r="U298" i="28"/>
  <c r="U299" i="28"/>
  <c r="U300" i="28"/>
  <c r="E2" i="28"/>
  <c r="T301" i="28"/>
  <c r="X300" i="28"/>
  <c r="T300" i="28"/>
  <c r="X299" i="28"/>
  <c r="T299" i="28"/>
  <c r="X298" i="28"/>
  <c r="T298" i="28"/>
  <c r="X297" i="28"/>
  <c r="T297" i="28"/>
  <c r="X296" i="28"/>
  <c r="T296" i="28"/>
  <c r="X295" i="28"/>
  <c r="T295" i="28"/>
  <c r="X294" i="28"/>
  <c r="T294" i="28"/>
  <c r="X293" i="28"/>
  <c r="T293" i="28"/>
  <c r="X292" i="28"/>
  <c r="T292" i="28"/>
  <c r="X291" i="28"/>
  <c r="T291" i="28"/>
  <c r="X290" i="28"/>
  <c r="T290" i="28"/>
  <c r="X289" i="28"/>
  <c r="T289" i="28"/>
  <c r="X288" i="28"/>
  <c r="T288" i="28"/>
  <c r="X287" i="28"/>
  <c r="T287" i="28"/>
  <c r="X286" i="28"/>
  <c r="T286" i="28"/>
  <c r="X285" i="28"/>
  <c r="T285" i="28"/>
  <c r="X284" i="28"/>
  <c r="T284" i="28"/>
  <c r="X283" i="28"/>
  <c r="T283" i="28"/>
  <c r="X282" i="28"/>
  <c r="T282" i="28"/>
  <c r="X281" i="28"/>
  <c r="T281" i="28"/>
  <c r="X280" i="28"/>
  <c r="T280" i="28"/>
  <c r="X279" i="28"/>
  <c r="T279" i="28"/>
  <c r="X278" i="28"/>
  <c r="T278" i="28"/>
  <c r="X277" i="28"/>
  <c r="T277" i="28"/>
  <c r="X276" i="28"/>
  <c r="T276" i="28"/>
  <c r="X275" i="28"/>
  <c r="T275" i="28"/>
  <c r="X274" i="28"/>
  <c r="T274" i="28"/>
  <c r="X273" i="28"/>
  <c r="T273" i="28"/>
  <c r="X272" i="28"/>
  <c r="T272" i="28"/>
  <c r="X271" i="28"/>
  <c r="T271" i="28"/>
  <c r="X270" i="28"/>
  <c r="T270" i="28"/>
  <c r="X269" i="28"/>
  <c r="T269" i="28"/>
  <c r="X268" i="28"/>
  <c r="T268" i="28"/>
  <c r="X267" i="28"/>
  <c r="T267" i="28"/>
  <c r="X266" i="28"/>
  <c r="T266" i="28"/>
  <c r="X265" i="28"/>
  <c r="T265" i="28"/>
  <c r="X264" i="28"/>
  <c r="T264" i="28"/>
  <c r="X263" i="28"/>
  <c r="T263" i="28"/>
  <c r="X262" i="28"/>
  <c r="T262" i="28"/>
  <c r="X261" i="28"/>
  <c r="T261" i="28"/>
  <c r="X260" i="28"/>
  <c r="T260" i="28"/>
  <c r="X259" i="28"/>
  <c r="T259" i="28"/>
  <c r="X258" i="28"/>
  <c r="T258" i="28"/>
  <c r="X257" i="28"/>
  <c r="T257" i="28"/>
  <c r="X256" i="28"/>
  <c r="T256" i="28"/>
  <c r="X255" i="28"/>
  <c r="T255" i="28"/>
  <c r="X254" i="28"/>
  <c r="T254" i="28"/>
  <c r="X253" i="28"/>
  <c r="T253" i="28"/>
  <c r="X252" i="28"/>
  <c r="T252" i="28"/>
  <c r="X251" i="28"/>
  <c r="T251" i="28"/>
  <c r="X250" i="28"/>
  <c r="T250" i="28"/>
  <c r="X249" i="28"/>
  <c r="T249" i="28"/>
  <c r="X248" i="28"/>
  <c r="T248" i="28"/>
  <c r="X247" i="28"/>
  <c r="T247" i="28"/>
  <c r="X246" i="28"/>
  <c r="T246" i="28"/>
  <c r="X245" i="28"/>
  <c r="T245" i="28"/>
  <c r="X244" i="28"/>
  <c r="T244" i="28"/>
  <c r="X243" i="28"/>
  <c r="T243" i="28"/>
  <c r="X242" i="28"/>
  <c r="T242" i="28"/>
  <c r="X241" i="28"/>
  <c r="T241" i="28"/>
  <c r="X240" i="28"/>
  <c r="T240" i="28"/>
  <c r="X239" i="28"/>
  <c r="T239" i="28"/>
  <c r="X238" i="28"/>
  <c r="T238" i="28"/>
  <c r="X237" i="28"/>
  <c r="T237" i="28"/>
  <c r="X236" i="28"/>
  <c r="T236" i="28"/>
  <c r="X235" i="28"/>
  <c r="T235" i="28"/>
  <c r="X234" i="28"/>
  <c r="T234" i="28"/>
  <c r="X233" i="28"/>
  <c r="T233" i="28"/>
  <c r="X232" i="28"/>
  <c r="T232" i="28"/>
  <c r="X231" i="28"/>
  <c r="T231" i="28"/>
  <c r="X230" i="28"/>
  <c r="T230" i="28"/>
  <c r="X229" i="28"/>
  <c r="T229" i="28"/>
  <c r="X228" i="28"/>
  <c r="T228" i="28"/>
  <c r="X227" i="28"/>
  <c r="T227" i="28"/>
  <c r="X226" i="28"/>
  <c r="T226" i="28"/>
  <c r="X225" i="28"/>
  <c r="T225" i="28"/>
  <c r="X224" i="28"/>
  <c r="T224" i="28"/>
  <c r="X223" i="28"/>
  <c r="T223" i="28"/>
  <c r="X222" i="28"/>
  <c r="T222" i="28"/>
  <c r="X221" i="28"/>
  <c r="T221" i="28"/>
  <c r="X220" i="28"/>
  <c r="T220" i="28"/>
  <c r="X219" i="28"/>
  <c r="T219" i="28"/>
  <c r="X218" i="28"/>
  <c r="T218" i="28"/>
  <c r="X217" i="28"/>
  <c r="T217" i="28"/>
  <c r="X216" i="28"/>
  <c r="T216" i="28"/>
  <c r="X215" i="28"/>
  <c r="T215" i="28"/>
  <c r="X214" i="28"/>
  <c r="T214" i="28"/>
  <c r="X213" i="28"/>
  <c r="T213" i="28"/>
  <c r="X212" i="28"/>
  <c r="T212" i="28"/>
  <c r="X211" i="28"/>
  <c r="T211" i="28"/>
  <c r="X210" i="28"/>
  <c r="T210" i="28"/>
  <c r="X209" i="28"/>
  <c r="T209" i="28"/>
  <c r="X208" i="28"/>
  <c r="T208" i="28"/>
  <c r="X207" i="28"/>
  <c r="T207" i="28"/>
  <c r="X206" i="28"/>
  <c r="T206" i="28"/>
  <c r="X205" i="28"/>
  <c r="T205" i="28"/>
  <c r="X204" i="28"/>
  <c r="T204" i="28"/>
  <c r="X203" i="28"/>
  <c r="T203" i="28"/>
  <c r="X202" i="28"/>
  <c r="T202" i="28"/>
  <c r="X201" i="28"/>
  <c r="T201" i="28"/>
  <c r="X200" i="28"/>
  <c r="T200" i="28"/>
  <c r="X199" i="28"/>
  <c r="T199" i="28"/>
  <c r="X198" i="28"/>
  <c r="T198" i="28"/>
  <c r="X197" i="28"/>
  <c r="T197" i="28"/>
  <c r="X196" i="28"/>
  <c r="T196" i="28"/>
  <c r="X195" i="28"/>
  <c r="T195" i="28"/>
  <c r="X194" i="28"/>
  <c r="T194" i="28"/>
  <c r="X193" i="28"/>
  <c r="T193" i="28"/>
  <c r="X192" i="28"/>
  <c r="T192" i="28"/>
  <c r="X191" i="28"/>
  <c r="T191" i="28"/>
  <c r="X190" i="28"/>
  <c r="T190" i="28"/>
  <c r="X189" i="28"/>
  <c r="T189" i="28"/>
  <c r="X188" i="28"/>
  <c r="T188" i="28"/>
  <c r="X187" i="28"/>
  <c r="T187" i="28"/>
  <c r="X186" i="28"/>
  <c r="T186" i="28"/>
  <c r="X185" i="28"/>
  <c r="T185" i="28"/>
  <c r="X184" i="28"/>
  <c r="T184" i="28"/>
  <c r="X183" i="28"/>
  <c r="T183" i="28"/>
  <c r="X182" i="28"/>
  <c r="T182" i="28"/>
  <c r="X181" i="28"/>
  <c r="T181" i="28"/>
  <c r="X180" i="28"/>
  <c r="T180" i="28"/>
  <c r="X179" i="28"/>
  <c r="T179" i="28"/>
  <c r="X178" i="28"/>
  <c r="T178" i="28"/>
  <c r="X177" i="28"/>
  <c r="T177" i="28"/>
  <c r="X176" i="28"/>
  <c r="T176" i="28"/>
  <c r="X175" i="28"/>
  <c r="T175" i="28"/>
  <c r="X174" i="28"/>
  <c r="T174" i="28"/>
  <c r="X173" i="28"/>
  <c r="T173" i="28"/>
  <c r="X172" i="28"/>
  <c r="T172" i="28"/>
  <c r="X171" i="28"/>
  <c r="T171" i="28"/>
  <c r="X170" i="28"/>
  <c r="T170" i="28"/>
  <c r="X169" i="28"/>
  <c r="T169" i="28"/>
  <c r="X168" i="28"/>
  <c r="T168" i="28"/>
  <c r="X167" i="28"/>
  <c r="T167" i="28"/>
  <c r="X166" i="28"/>
  <c r="T166" i="28"/>
  <c r="X165" i="28"/>
  <c r="T165" i="28"/>
  <c r="X164" i="28"/>
  <c r="T164" i="28"/>
  <c r="X163" i="28"/>
  <c r="T163" i="28"/>
  <c r="X162" i="28"/>
  <c r="T162" i="28"/>
  <c r="X161" i="28"/>
  <c r="T161" i="28"/>
  <c r="X160" i="28"/>
  <c r="T160" i="28"/>
  <c r="X159" i="28"/>
  <c r="T159" i="28"/>
  <c r="X158" i="28"/>
  <c r="T158" i="28"/>
  <c r="X157" i="28"/>
  <c r="T157" i="28"/>
  <c r="X156" i="28"/>
  <c r="T156" i="28"/>
  <c r="X155" i="28"/>
  <c r="T155" i="28"/>
  <c r="T154" i="28"/>
  <c r="X153" i="28"/>
  <c r="T153" i="28"/>
  <c r="X152" i="28"/>
  <c r="T152" i="28"/>
  <c r="X151" i="28"/>
  <c r="T151" i="28"/>
  <c r="X150" i="28"/>
  <c r="T150" i="28"/>
  <c r="X149" i="28"/>
  <c r="T149" i="28"/>
  <c r="X148" i="28"/>
  <c r="T148" i="28"/>
  <c r="X147" i="28"/>
  <c r="T147" i="28"/>
  <c r="X146" i="28"/>
  <c r="T146" i="28"/>
  <c r="X145" i="28"/>
  <c r="T145" i="28"/>
  <c r="X144" i="28"/>
  <c r="T144" i="28"/>
  <c r="X143" i="28"/>
  <c r="T143" i="28"/>
  <c r="X142" i="28"/>
  <c r="T142" i="28"/>
  <c r="X141" i="28"/>
  <c r="T141" i="28"/>
  <c r="X140" i="28"/>
  <c r="T140" i="28"/>
  <c r="X139" i="28"/>
  <c r="T139" i="28"/>
  <c r="X138" i="28"/>
  <c r="T138" i="28"/>
  <c r="X137" i="28"/>
  <c r="T137" i="28"/>
  <c r="X136" i="28"/>
  <c r="T136" i="28"/>
  <c r="X135" i="28"/>
  <c r="T135" i="28"/>
  <c r="X134" i="28"/>
  <c r="T134" i="28"/>
  <c r="X133" i="28"/>
  <c r="T133" i="28"/>
  <c r="X132" i="28"/>
  <c r="T132" i="28"/>
  <c r="X131" i="28"/>
  <c r="T131" i="28"/>
  <c r="X130" i="28"/>
  <c r="T130" i="28"/>
  <c r="X129" i="28"/>
  <c r="T129" i="28"/>
  <c r="X128" i="28"/>
  <c r="T128" i="28"/>
  <c r="X127" i="28"/>
  <c r="T127" i="28"/>
  <c r="X126" i="28"/>
  <c r="T126" i="28"/>
  <c r="X125" i="28"/>
  <c r="T125" i="28"/>
  <c r="X124" i="28"/>
  <c r="T124" i="28"/>
  <c r="X123" i="28"/>
  <c r="T123" i="28"/>
  <c r="X122" i="28"/>
  <c r="T122" i="28"/>
  <c r="X121" i="28"/>
  <c r="T121" i="28"/>
  <c r="X120" i="28"/>
  <c r="T120" i="28"/>
  <c r="X119" i="28"/>
  <c r="T119" i="28"/>
  <c r="X118" i="28"/>
  <c r="T118" i="28"/>
  <c r="X117" i="28"/>
  <c r="T117" i="28"/>
  <c r="X116" i="28"/>
  <c r="T116" i="28"/>
  <c r="X115" i="28"/>
  <c r="T115" i="28"/>
  <c r="X114" i="28"/>
  <c r="T114" i="28"/>
  <c r="X113" i="28"/>
  <c r="T113" i="28"/>
  <c r="X112" i="28"/>
  <c r="T112" i="28"/>
  <c r="X111" i="28"/>
  <c r="T111" i="28"/>
  <c r="X110" i="28"/>
  <c r="T110" i="28"/>
  <c r="X109" i="28"/>
  <c r="T109" i="28"/>
  <c r="X108" i="28"/>
  <c r="T108" i="28"/>
  <c r="X107" i="28"/>
  <c r="T107" i="28"/>
  <c r="X106" i="28"/>
  <c r="T106" i="28"/>
  <c r="X105" i="28"/>
  <c r="T105" i="28"/>
  <c r="X104" i="28"/>
  <c r="T104" i="28"/>
  <c r="X103" i="28"/>
  <c r="T103" i="28"/>
  <c r="X102" i="28"/>
  <c r="T102" i="28"/>
  <c r="X101" i="28"/>
  <c r="T101" i="28"/>
  <c r="X100" i="28"/>
  <c r="T100" i="28"/>
  <c r="X99" i="28"/>
  <c r="T99" i="28"/>
  <c r="X98" i="28"/>
  <c r="T98" i="28"/>
  <c r="X97" i="28"/>
  <c r="T97" i="28"/>
  <c r="X96" i="28"/>
  <c r="T96" i="28"/>
  <c r="X95" i="28"/>
  <c r="T95" i="28"/>
  <c r="X94" i="28"/>
  <c r="T94" i="28"/>
  <c r="X93" i="28"/>
  <c r="T93" i="28"/>
  <c r="X92" i="28"/>
  <c r="T92" i="28"/>
  <c r="X91" i="28"/>
  <c r="T91" i="28"/>
  <c r="X90" i="28"/>
  <c r="T90" i="28"/>
  <c r="X89" i="28"/>
  <c r="T89" i="28"/>
  <c r="X88" i="28"/>
  <c r="T88" i="28"/>
  <c r="X87" i="28"/>
  <c r="T87" i="28"/>
  <c r="X86" i="28"/>
  <c r="T86" i="28"/>
  <c r="X85" i="28"/>
  <c r="T85" i="28"/>
  <c r="X84" i="28"/>
  <c r="T84" i="28"/>
  <c r="X83" i="28"/>
  <c r="T83" i="28"/>
  <c r="X82" i="28"/>
  <c r="T82" i="28"/>
  <c r="X81" i="28"/>
  <c r="T81" i="28"/>
  <c r="X80" i="28"/>
  <c r="T80" i="28"/>
  <c r="X79" i="28"/>
  <c r="T79" i="28"/>
  <c r="X78" i="28"/>
  <c r="T78" i="28"/>
  <c r="X77" i="28"/>
  <c r="T77" i="28"/>
  <c r="X76" i="28"/>
  <c r="T76" i="28"/>
  <c r="X75" i="28"/>
  <c r="T75" i="28"/>
  <c r="X74" i="28"/>
  <c r="T74" i="28"/>
  <c r="X73" i="28"/>
  <c r="T73" i="28"/>
  <c r="X72" i="28"/>
  <c r="T72" i="28"/>
  <c r="X71" i="28"/>
  <c r="T71" i="28"/>
  <c r="X70" i="28"/>
  <c r="T70" i="28"/>
  <c r="X69" i="28"/>
  <c r="T69" i="28"/>
  <c r="X68" i="28"/>
  <c r="T68" i="28"/>
  <c r="X67" i="28"/>
  <c r="T67" i="28"/>
  <c r="X66" i="28"/>
  <c r="T66" i="28"/>
  <c r="X65" i="28"/>
  <c r="T65" i="28"/>
  <c r="X64" i="28"/>
  <c r="T64" i="28"/>
  <c r="X63" i="28"/>
  <c r="T63" i="28"/>
  <c r="X62" i="28"/>
  <c r="T62" i="28"/>
  <c r="X61" i="28"/>
  <c r="T61" i="28"/>
  <c r="X60" i="28"/>
  <c r="T60" i="28"/>
  <c r="X59" i="28"/>
  <c r="T59" i="28"/>
  <c r="X58" i="28"/>
  <c r="T58" i="28"/>
  <c r="X57" i="28"/>
  <c r="T57" i="28"/>
  <c r="X56" i="28"/>
  <c r="T56" i="28"/>
  <c r="X55" i="28"/>
  <c r="T55" i="28"/>
  <c r="X54" i="28"/>
  <c r="T54" i="28"/>
  <c r="X53" i="28"/>
  <c r="T53" i="28"/>
  <c r="X52" i="28"/>
  <c r="T52" i="28"/>
  <c r="X51" i="28"/>
  <c r="T51" i="28"/>
  <c r="X50" i="28"/>
  <c r="T50" i="28"/>
  <c r="X49" i="28"/>
  <c r="T49" i="28"/>
  <c r="X48" i="28"/>
  <c r="T48" i="28"/>
  <c r="X47" i="28"/>
  <c r="T47" i="28"/>
  <c r="X46" i="28"/>
  <c r="T46" i="28"/>
  <c r="X45" i="28"/>
  <c r="T45" i="28"/>
  <c r="X44" i="28"/>
  <c r="T44" i="28"/>
  <c r="X43" i="28"/>
  <c r="T43" i="28"/>
  <c r="X42" i="28"/>
  <c r="T42" i="28"/>
  <c r="X41" i="28"/>
  <c r="T41" i="28"/>
  <c r="X40" i="28"/>
  <c r="T40" i="28"/>
  <c r="X39" i="28"/>
  <c r="T39" i="28"/>
  <c r="X38" i="28"/>
  <c r="T38" i="28"/>
  <c r="X37" i="28"/>
  <c r="T37" i="28"/>
  <c r="X7" i="28"/>
  <c r="T7" i="28"/>
  <c r="U7" i="28" s="1"/>
  <c r="V7" i="28" s="1"/>
  <c r="X32" i="28"/>
  <c r="T32" i="28"/>
  <c r="U32" i="28" s="1"/>
  <c r="V32" i="28" s="1"/>
  <c r="X5" i="28"/>
  <c r="T5" i="28"/>
  <c r="U5" i="28" s="1"/>
  <c r="V5" i="28" s="1"/>
  <c r="X20" i="28"/>
  <c r="T20" i="28"/>
  <c r="U20" i="28" s="1"/>
  <c r="V20" i="28" s="1"/>
  <c r="X22" i="28"/>
  <c r="T22" i="28"/>
  <c r="U22" i="28" s="1"/>
  <c r="V22" i="28" s="1"/>
  <c r="X27" i="28"/>
  <c r="T27" i="28"/>
  <c r="U27" i="28" s="1"/>
  <c r="V27" i="28" s="1"/>
  <c r="X6" i="28"/>
  <c r="T6" i="28"/>
  <c r="U6" i="28" s="1"/>
  <c r="V6" i="28" s="1"/>
  <c r="X11" i="28"/>
  <c r="T11" i="28"/>
  <c r="U11" i="28" s="1"/>
  <c r="V11" i="28" s="1"/>
  <c r="X4" i="28"/>
  <c r="T4" i="28"/>
  <c r="U4" i="28" s="1"/>
  <c r="V4" i="28" s="1"/>
  <c r="X21" i="28"/>
  <c r="T21" i="28"/>
  <c r="U21" i="28" s="1"/>
  <c r="V21" i="28" s="1"/>
  <c r="X35" i="28"/>
  <c r="T35" i="28"/>
  <c r="U35" i="28" s="1"/>
  <c r="V35" i="28" s="1"/>
  <c r="X28" i="28"/>
  <c r="T28" i="28"/>
  <c r="U28" i="28" s="1"/>
  <c r="V28" i="28" s="1"/>
  <c r="X33" i="28"/>
  <c r="T33" i="28"/>
  <c r="U33" i="28" s="1"/>
  <c r="V33" i="28" s="1"/>
  <c r="X36" i="28"/>
  <c r="T36" i="28"/>
  <c r="U36" i="28" s="1"/>
  <c r="V36" i="28" s="1"/>
  <c r="X34" i="28"/>
  <c r="T34" i="28"/>
  <c r="U34" i="28" s="1"/>
  <c r="V34" i="28" s="1"/>
  <c r="X9" i="28"/>
  <c r="T9" i="28"/>
  <c r="U9" i="28" s="1"/>
  <c r="V9" i="28" s="1"/>
  <c r="X26" i="28"/>
  <c r="T26" i="28"/>
  <c r="U26" i="28" s="1"/>
  <c r="V26" i="28" s="1"/>
  <c r="X14" i="28"/>
  <c r="T14" i="28"/>
  <c r="U14" i="28" s="1"/>
  <c r="V14" i="28" s="1"/>
  <c r="X24" i="28"/>
  <c r="T24" i="28"/>
  <c r="U24" i="28" s="1"/>
  <c r="V24" i="28" s="1"/>
  <c r="X8" i="28"/>
  <c r="T8" i="28"/>
  <c r="U8" i="28" s="1"/>
  <c r="V8" i="28" s="1"/>
  <c r="X23" i="28"/>
  <c r="T23" i="28"/>
  <c r="U23" i="28" s="1"/>
  <c r="V23" i="28" s="1"/>
  <c r="X30" i="28"/>
  <c r="T30" i="28"/>
  <c r="U30" i="28" s="1"/>
  <c r="V30" i="28" s="1"/>
  <c r="X12" i="28"/>
  <c r="T12" i="28"/>
  <c r="U12" i="28" s="1"/>
  <c r="V12" i="28" s="1"/>
  <c r="X16" i="28"/>
  <c r="T16" i="28"/>
  <c r="U16" i="28" s="1"/>
  <c r="V16" i="28" s="1"/>
  <c r="X19" i="28"/>
  <c r="T19" i="28"/>
  <c r="U19" i="28" s="1"/>
  <c r="V19" i="28" s="1"/>
  <c r="X18" i="28"/>
  <c r="T18" i="28"/>
  <c r="U18" i="28" s="1"/>
  <c r="V18" i="28" s="1"/>
  <c r="X15" i="28"/>
  <c r="T15" i="28"/>
  <c r="U15" i="28" s="1"/>
  <c r="V15" i="28" s="1"/>
  <c r="X25" i="28"/>
  <c r="T25" i="28"/>
  <c r="U25" i="28" s="1"/>
  <c r="V25" i="28" s="1"/>
  <c r="X10" i="28"/>
  <c r="T10" i="28"/>
  <c r="U10" i="28" s="1"/>
  <c r="V10" i="28" s="1"/>
  <c r="X29" i="28"/>
  <c r="T29" i="28"/>
  <c r="U29" i="28" s="1"/>
  <c r="V29" i="28" s="1"/>
  <c r="X31" i="28"/>
  <c r="T31" i="28"/>
  <c r="U31" i="28" s="1"/>
  <c r="V31" i="28" s="1"/>
  <c r="X17" i="28"/>
  <c r="T17" i="28"/>
  <c r="U17" i="28" s="1"/>
  <c r="V17" i="28" s="1"/>
  <c r="X13" i="28"/>
  <c r="T13" i="28"/>
  <c r="U13" i="28" s="1"/>
  <c r="V13" i="28" s="1"/>
  <c r="W2" i="28"/>
  <c r="S2" i="28"/>
  <c r="R2" i="28"/>
  <c r="Q2" i="28"/>
  <c r="P2" i="28"/>
  <c r="O2" i="28"/>
  <c r="N2" i="28"/>
  <c r="M2" i="28"/>
  <c r="L2" i="28"/>
  <c r="K2" i="28"/>
  <c r="J2" i="28"/>
  <c r="I2" i="28"/>
  <c r="H2" i="28"/>
  <c r="G2" i="28"/>
  <c r="F2" i="28"/>
  <c r="U2" i="31" l="1"/>
  <c r="V2" i="31" s="1"/>
  <c r="T2" i="28"/>
  <c r="X2" i="28"/>
  <c r="U2" i="28"/>
  <c r="V2" i="28" s="1"/>
  <c r="T32" i="23" l="1"/>
  <c r="T33" i="23"/>
  <c r="T34" i="23"/>
  <c r="T35" i="23"/>
  <c r="T36" i="23"/>
  <c r="T37" i="23"/>
  <c r="T38" i="23"/>
  <c r="T39" i="23"/>
  <c r="T40" i="23"/>
  <c r="T41" i="23"/>
  <c r="T42" i="23"/>
  <c r="T43" i="23"/>
  <c r="T44" i="23"/>
  <c r="T45" i="23"/>
  <c r="T46" i="23"/>
  <c r="T47" i="23"/>
  <c r="T48" i="23"/>
  <c r="T49" i="23"/>
  <c r="T50" i="23"/>
  <c r="T51" i="23"/>
  <c r="T52" i="23"/>
  <c r="T53" i="23"/>
  <c r="T54" i="23"/>
  <c r="T55" i="23"/>
  <c r="T56" i="23"/>
  <c r="T57" i="23"/>
  <c r="T58" i="23"/>
  <c r="T59" i="23"/>
  <c r="T60" i="23"/>
  <c r="T61" i="23"/>
  <c r="T62" i="23"/>
  <c r="T63" i="23"/>
  <c r="T64" i="23"/>
  <c r="T65" i="23"/>
  <c r="T66" i="23"/>
  <c r="T67" i="23"/>
  <c r="T68" i="23"/>
  <c r="T69" i="23"/>
  <c r="T70" i="23"/>
  <c r="T71" i="23"/>
  <c r="T72" i="23"/>
  <c r="T73" i="23"/>
  <c r="T74" i="23"/>
  <c r="T75" i="23"/>
  <c r="T76" i="23"/>
  <c r="T77" i="23"/>
  <c r="T78" i="23"/>
  <c r="T79" i="23"/>
  <c r="T80" i="23"/>
  <c r="T81" i="23"/>
  <c r="T82" i="23"/>
  <c r="T83" i="23"/>
  <c r="T84" i="23"/>
  <c r="T85" i="23"/>
  <c r="T86" i="23"/>
  <c r="T87" i="23"/>
  <c r="T88" i="23"/>
  <c r="T89" i="23"/>
  <c r="T90" i="23"/>
  <c r="T91" i="23"/>
  <c r="T92" i="23"/>
  <c r="T93" i="23"/>
  <c r="T94" i="23"/>
  <c r="T95" i="23"/>
  <c r="T96" i="23"/>
  <c r="T97" i="23"/>
  <c r="T98" i="23"/>
  <c r="T99" i="23"/>
  <c r="T100" i="23"/>
  <c r="T101" i="23"/>
  <c r="T102" i="23"/>
  <c r="T103" i="23"/>
  <c r="T104" i="23"/>
  <c r="T105" i="23"/>
  <c r="T106" i="23"/>
  <c r="T107" i="23"/>
  <c r="T108" i="23"/>
  <c r="T109" i="23"/>
  <c r="T110" i="23"/>
  <c r="T111" i="23"/>
  <c r="T112" i="23"/>
  <c r="T113" i="23"/>
  <c r="T114" i="23"/>
  <c r="T115" i="23"/>
  <c r="T116" i="23"/>
  <c r="T117" i="23"/>
  <c r="T118" i="23"/>
  <c r="T119" i="23"/>
  <c r="T120" i="23"/>
  <c r="T121" i="23"/>
  <c r="T122" i="23"/>
  <c r="T123" i="23"/>
  <c r="T124" i="23"/>
  <c r="T125" i="23"/>
  <c r="T126" i="23"/>
  <c r="T127" i="23"/>
  <c r="T128" i="23"/>
  <c r="T129" i="23"/>
  <c r="T130" i="23"/>
  <c r="T131" i="23"/>
  <c r="T132" i="23"/>
  <c r="T133" i="23"/>
  <c r="T134" i="23"/>
  <c r="T135" i="23"/>
  <c r="T136" i="23"/>
  <c r="T137" i="23"/>
  <c r="T138" i="23"/>
  <c r="T139" i="23"/>
  <c r="T140" i="23"/>
  <c r="T141" i="23"/>
  <c r="T142" i="23"/>
  <c r="T143" i="23"/>
  <c r="T144" i="23"/>
  <c r="T145" i="23"/>
  <c r="T146" i="23"/>
  <c r="T147" i="23"/>
  <c r="T148" i="23"/>
  <c r="T149" i="23"/>
  <c r="T150" i="23"/>
  <c r="T151" i="23"/>
  <c r="T152" i="23"/>
  <c r="T153" i="23"/>
  <c r="T154" i="23"/>
  <c r="T155" i="23"/>
  <c r="T156" i="23"/>
  <c r="T157" i="23"/>
  <c r="T158" i="23"/>
  <c r="T159" i="23"/>
  <c r="T160" i="23"/>
  <c r="T161" i="23"/>
  <c r="T162" i="23"/>
  <c r="T163" i="23"/>
  <c r="T164" i="23"/>
  <c r="T165" i="23"/>
  <c r="T166" i="23"/>
  <c r="T167" i="23"/>
  <c r="T168" i="23"/>
  <c r="T169" i="23"/>
  <c r="T170" i="23"/>
  <c r="T171" i="23"/>
  <c r="T172" i="23"/>
  <c r="T173" i="23"/>
  <c r="T174" i="23"/>
  <c r="T175" i="23"/>
  <c r="T176" i="23"/>
  <c r="T177" i="23"/>
  <c r="T178" i="23"/>
  <c r="T179" i="23"/>
  <c r="T180" i="23"/>
  <c r="T181" i="23"/>
  <c r="T182" i="23"/>
  <c r="T183" i="23"/>
  <c r="T184" i="23"/>
  <c r="T185" i="23"/>
  <c r="T186" i="23"/>
  <c r="T187" i="23"/>
  <c r="T188" i="23"/>
  <c r="T189" i="23"/>
  <c r="T190" i="23"/>
  <c r="T191" i="23"/>
  <c r="T192" i="23"/>
  <c r="T193" i="23"/>
  <c r="T194" i="23"/>
  <c r="T195" i="23"/>
  <c r="T196" i="23"/>
  <c r="T197" i="23"/>
  <c r="T198" i="23"/>
  <c r="T199" i="23"/>
  <c r="T200" i="23"/>
  <c r="T201" i="23"/>
  <c r="T202" i="23"/>
  <c r="T203" i="23"/>
  <c r="T204" i="23"/>
  <c r="T205" i="23"/>
  <c r="T206" i="23"/>
  <c r="T207" i="23"/>
  <c r="T208" i="23"/>
  <c r="T209" i="23"/>
  <c r="T210" i="23"/>
  <c r="T211" i="23"/>
  <c r="T212" i="23"/>
  <c r="T213" i="23"/>
  <c r="T214" i="23"/>
  <c r="T215" i="23"/>
  <c r="T216" i="23"/>
  <c r="T217" i="23"/>
  <c r="T218" i="23"/>
  <c r="T219" i="23"/>
  <c r="T220" i="23"/>
  <c r="T221" i="23"/>
  <c r="T222" i="23"/>
  <c r="T223" i="23"/>
  <c r="T224" i="23"/>
  <c r="T225" i="23"/>
  <c r="T226" i="23"/>
  <c r="T227" i="23"/>
  <c r="T228" i="23"/>
  <c r="T229" i="23"/>
  <c r="T230" i="23"/>
  <c r="T231" i="23"/>
  <c r="T232" i="23"/>
  <c r="T233" i="23"/>
  <c r="T234" i="23"/>
  <c r="T235" i="23"/>
  <c r="T236" i="23"/>
  <c r="T237" i="23"/>
  <c r="T238" i="23"/>
  <c r="T239" i="23"/>
  <c r="T240" i="23"/>
  <c r="T241" i="23"/>
  <c r="T242" i="23"/>
  <c r="T243" i="23"/>
  <c r="T244" i="23"/>
  <c r="T245" i="23"/>
  <c r="T246" i="23"/>
  <c r="T247" i="23"/>
  <c r="T248" i="23"/>
  <c r="T249" i="23"/>
  <c r="T250" i="23"/>
  <c r="T251" i="23"/>
  <c r="T252" i="23"/>
  <c r="T253" i="23"/>
  <c r="T254" i="23"/>
  <c r="T255" i="23"/>
  <c r="T256" i="23"/>
  <c r="T257" i="23"/>
  <c r="T258" i="23"/>
  <c r="T259" i="23"/>
  <c r="T260" i="23"/>
  <c r="T261" i="23"/>
  <c r="T262" i="23"/>
  <c r="T263" i="23"/>
  <c r="T264" i="23"/>
  <c r="T265" i="23"/>
  <c r="T266" i="23"/>
  <c r="T267" i="23"/>
  <c r="T268" i="23"/>
  <c r="T269" i="23"/>
  <c r="T270" i="23"/>
  <c r="T271" i="23"/>
  <c r="T272" i="23"/>
  <c r="T273" i="23"/>
  <c r="T274" i="23"/>
  <c r="T275" i="23"/>
  <c r="T276" i="23"/>
  <c r="T277" i="23"/>
  <c r="T278" i="23"/>
  <c r="T279" i="23"/>
  <c r="T280" i="23"/>
  <c r="T281" i="23"/>
  <c r="T282" i="23"/>
  <c r="T283" i="23"/>
  <c r="T284" i="23"/>
  <c r="T285" i="23"/>
  <c r="T286" i="23"/>
  <c r="T287" i="23"/>
  <c r="T288" i="23"/>
  <c r="T289" i="23"/>
  <c r="T290" i="23"/>
  <c r="T291" i="23"/>
  <c r="T292" i="23"/>
  <c r="T293" i="23"/>
  <c r="T294" i="23"/>
  <c r="T295" i="23"/>
  <c r="T296" i="23"/>
  <c r="T297" i="23"/>
  <c r="T298" i="23"/>
  <c r="T299" i="23"/>
  <c r="T300" i="23"/>
  <c r="S32" i="23"/>
  <c r="S33" i="23"/>
  <c r="S34" i="23"/>
  <c r="S35" i="23"/>
  <c r="S36" i="23"/>
  <c r="S37" i="23"/>
  <c r="S38" i="23"/>
  <c r="S39" i="23"/>
  <c r="S40" i="23"/>
  <c r="S41" i="23"/>
  <c r="S42" i="23"/>
  <c r="S43" i="23"/>
  <c r="S44" i="23"/>
  <c r="S45" i="23"/>
  <c r="S46" i="23"/>
  <c r="S47" i="23"/>
  <c r="S48" i="23"/>
  <c r="S49" i="23"/>
  <c r="S50" i="23"/>
  <c r="S51" i="23"/>
  <c r="S52" i="23"/>
  <c r="S53" i="23"/>
  <c r="S54" i="23"/>
  <c r="S55" i="23"/>
  <c r="S56" i="23"/>
  <c r="S57" i="23"/>
  <c r="S58" i="23"/>
  <c r="S59" i="23"/>
  <c r="S60" i="23"/>
  <c r="S61" i="23"/>
  <c r="S62" i="23"/>
  <c r="S63" i="23"/>
  <c r="S64" i="23"/>
  <c r="S65" i="23"/>
  <c r="S66" i="23"/>
  <c r="S67" i="23"/>
  <c r="S68" i="23"/>
  <c r="S69" i="23"/>
  <c r="S70" i="23"/>
  <c r="S71" i="23"/>
  <c r="S72" i="23"/>
  <c r="S73" i="23"/>
  <c r="S74" i="23"/>
  <c r="S75" i="23"/>
  <c r="S76" i="23"/>
  <c r="S77" i="23"/>
  <c r="S78" i="23"/>
  <c r="S79" i="23"/>
  <c r="S80" i="23"/>
  <c r="S81" i="23"/>
  <c r="S82" i="23"/>
  <c r="S83" i="23"/>
  <c r="S84" i="23"/>
  <c r="S85" i="23"/>
  <c r="S86" i="23"/>
  <c r="S87" i="23"/>
  <c r="S88" i="23"/>
  <c r="S89" i="23"/>
  <c r="S90" i="23"/>
  <c r="S91" i="23"/>
  <c r="S92" i="23"/>
  <c r="S93" i="23"/>
  <c r="S94" i="23"/>
  <c r="S95" i="23"/>
  <c r="S96" i="23"/>
  <c r="S97" i="23"/>
  <c r="S98" i="23"/>
  <c r="S99" i="23"/>
  <c r="S100" i="23"/>
  <c r="S101" i="23"/>
  <c r="S102" i="23"/>
  <c r="S103" i="23"/>
  <c r="S104" i="23"/>
  <c r="S105" i="23"/>
  <c r="S106" i="23"/>
  <c r="S107" i="23"/>
  <c r="S108" i="23"/>
  <c r="S109" i="23"/>
  <c r="S110" i="23"/>
  <c r="S111" i="23"/>
  <c r="S112" i="23"/>
  <c r="S113" i="23"/>
  <c r="S114" i="23"/>
  <c r="S115" i="23"/>
  <c r="S116" i="23"/>
  <c r="S117" i="23"/>
  <c r="S118" i="23"/>
  <c r="S119" i="23"/>
  <c r="S120" i="23"/>
  <c r="S121" i="23"/>
  <c r="S122" i="23"/>
  <c r="S123" i="23"/>
  <c r="S124" i="23"/>
  <c r="S125" i="23"/>
  <c r="S126" i="23"/>
  <c r="S127" i="23"/>
  <c r="S128" i="23"/>
  <c r="S129" i="23"/>
  <c r="S130" i="23"/>
  <c r="S131" i="23"/>
  <c r="S132" i="23"/>
  <c r="S133" i="23"/>
  <c r="S134" i="23"/>
  <c r="S135" i="23"/>
  <c r="S136" i="23"/>
  <c r="S137" i="23"/>
  <c r="S138" i="23"/>
  <c r="S139" i="23"/>
  <c r="S140" i="23"/>
  <c r="S141" i="23"/>
  <c r="S142" i="23"/>
  <c r="S143" i="23"/>
  <c r="S144" i="23"/>
  <c r="S145" i="23"/>
  <c r="S146" i="23"/>
  <c r="S147" i="23"/>
  <c r="S148" i="23"/>
  <c r="S149" i="23"/>
  <c r="S150" i="23"/>
  <c r="S151" i="23"/>
  <c r="S152" i="23"/>
  <c r="S153" i="23"/>
  <c r="S154" i="23"/>
  <c r="S155" i="23"/>
  <c r="S156" i="23"/>
  <c r="S157" i="23"/>
  <c r="S158" i="23"/>
  <c r="S159" i="23"/>
  <c r="S160" i="23"/>
  <c r="S161" i="23"/>
  <c r="S162" i="23"/>
  <c r="S163" i="23"/>
  <c r="S164" i="23"/>
  <c r="S165" i="23"/>
  <c r="S166" i="23"/>
  <c r="S167" i="23"/>
  <c r="S168" i="23"/>
  <c r="S169" i="23"/>
  <c r="S170" i="23"/>
  <c r="S171" i="23"/>
  <c r="S172" i="23"/>
  <c r="S173" i="23"/>
  <c r="S174" i="23"/>
  <c r="S175" i="23"/>
  <c r="S176" i="23"/>
  <c r="S177" i="23"/>
  <c r="S178" i="23"/>
  <c r="S179" i="23"/>
  <c r="S180" i="23"/>
  <c r="S181" i="23"/>
  <c r="S182" i="23"/>
  <c r="S183" i="23"/>
  <c r="S184" i="23"/>
  <c r="S185" i="23"/>
  <c r="S186" i="23"/>
  <c r="S187" i="23"/>
  <c r="S188" i="23"/>
  <c r="S189" i="23"/>
  <c r="S190" i="23"/>
  <c r="S191" i="23"/>
  <c r="S192" i="23"/>
  <c r="S193" i="23"/>
  <c r="S194" i="23"/>
  <c r="S195" i="23"/>
  <c r="S196" i="23"/>
  <c r="S197" i="23"/>
  <c r="S198" i="23"/>
  <c r="S199" i="23"/>
  <c r="S200" i="23"/>
  <c r="S201" i="23"/>
  <c r="S202" i="23"/>
  <c r="S203" i="23"/>
  <c r="S204" i="23"/>
  <c r="S205" i="23"/>
  <c r="S206" i="23"/>
  <c r="S207" i="23"/>
  <c r="S208" i="23"/>
  <c r="S209" i="23"/>
  <c r="S210" i="23"/>
  <c r="S211" i="23"/>
  <c r="S212" i="23"/>
  <c r="S213" i="23"/>
  <c r="S214" i="23"/>
  <c r="S215" i="23"/>
  <c r="S216" i="23"/>
  <c r="S217" i="23"/>
  <c r="S218" i="23"/>
  <c r="S219" i="23"/>
  <c r="S220" i="23"/>
  <c r="S221" i="23"/>
  <c r="S222" i="23"/>
  <c r="S223" i="23"/>
  <c r="S224" i="23"/>
  <c r="S225" i="23"/>
  <c r="S226" i="23"/>
  <c r="S227" i="23"/>
  <c r="S228" i="23"/>
  <c r="S229" i="23"/>
  <c r="S230" i="23"/>
  <c r="S231" i="23"/>
  <c r="S232" i="23"/>
  <c r="S233" i="23"/>
  <c r="S234" i="23"/>
  <c r="S235" i="23"/>
  <c r="S236" i="23"/>
  <c r="S237" i="23"/>
  <c r="S238" i="23"/>
  <c r="S239" i="23"/>
  <c r="S240" i="23"/>
  <c r="S241" i="23"/>
  <c r="S242" i="23"/>
  <c r="S243" i="23"/>
  <c r="S244" i="23"/>
  <c r="S245" i="23"/>
  <c r="S246" i="23"/>
  <c r="S247" i="23"/>
  <c r="S248" i="23"/>
  <c r="S249" i="23"/>
  <c r="S250" i="23"/>
  <c r="S251" i="23"/>
  <c r="S252" i="23"/>
  <c r="S253" i="23"/>
  <c r="S254" i="23"/>
  <c r="S255" i="23"/>
  <c r="S256" i="23"/>
  <c r="S257" i="23"/>
  <c r="S258" i="23"/>
  <c r="S259" i="23"/>
  <c r="S260" i="23"/>
  <c r="S261" i="23"/>
  <c r="S262" i="23"/>
  <c r="S263" i="23"/>
  <c r="S264" i="23"/>
  <c r="S265" i="23"/>
  <c r="S266" i="23"/>
  <c r="S267" i="23"/>
  <c r="S268" i="23"/>
  <c r="S269" i="23"/>
  <c r="S270" i="23"/>
  <c r="S271" i="23"/>
  <c r="S272" i="23"/>
  <c r="S273" i="23"/>
  <c r="S274" i="23"/>
  <c r="S275" i="23"/>
  <c r="S276" i="23"/>
  <c r="S277" i="23"/>
  <c r="S278" i="23"/>
  <c r="S279" i="23"/>
  <c r="S280" i="23"/>
  <c r="S281" i="23"/>
  <c r="S282" i="23"/>
  <c r="S283" i="23"/>
  <c r="S284" i="23"/>
  <c r="S285" i="23"/>
  <c r="S286" i="23"/>
  <c r="S287" i="23"/>
  <c r="S288" i="23"/>
  <c r="S289" i="23"/>
  <c r="S290" i="23"/>
  <c r="S291" i="23"/>
  <c r="S292" i="23"/>
  <c r="S293" i="23"/>
  <c r="S294" i="23"/>
  <c r="S295" i="23"/>
  <c r="S296" i="23"/>
  <c r="S297" i="23"/>
  <c r="S298" i="23"/>
  <c r="S299" i="23"/>
  <c r="S300" i="23"/>
  <c r="C2" i="23" l="1"/>
  <c r="R25" i="23"/>
  <c r="S25" i="23" s="1"/>
  <c r="T25" i="23" s="1"/>
  <c r="R7" i="23"/>
  <c r="S7" i="23" s="1"/>
  <c r="T7" i="23" s="1"/>
  <c r="R8" i="23"/>
  <c r="S8" i="23" s="1"/>
  <c r="T8" i="23" s="1"/>
  <c r="R16" i="23"/>
  <c r="S16" i="23" s="1"/>
  <c r="T16" i="23" s="1"/>
  <c r="R18" i="23"/>
  <c r="S18" i="23" s="1"/>
  <c r="T18" i="23" s="1"/>
  <c r="R20" i="23"/>
  <c r="S20" i="23" s="1"/>
  <c r="T20" i="23" s="1"/>
  <c r="R26" i="23"/>
  <c r="S26" i="23" s="1"/>
  <c r="T26" i="23" s="1"/>
  <c r="R6" i="23"/>
  <c r="S6" i="23" s="1"/>
  <c r="T6" i="23" s="1"/>
  <c r="R14" i="23"/>
  <c r="S14" i="23" s="1"/>
  <c r="T14" i="23" s="1"/>
  <c r="R23" i="23"/>
  <c r="S23" i="23" s="1"/>
  <c r="T23" i="23" s="1"/>
  <c r="R12" i="23"/>
  <c r="S12" i="23" s="1"/>
  <c r="T12" i="23" s="1"/>
  <c r="R28" i="23"/>
  <c r="S28" i="23" s="1"/>
  <c r="T28" i="23" s="1"/>
  <c r="R27" i="23"/>
  <c r="S27" i="23" s="1"/>
  <c r="T27" i="23" s="1"/>
  <c r="R21" i="23"/>
  <c r="S21" i="23" s="1"/>
  <c r="T21" i="23" s="1"/>
  <c r="R4" i="23"/>
  <c r="S4" i="23" s="1"/>
  <c r="T4" i="23" s="1"/>
  <c r="R17" i="23"/>
  <c r="S17" i="23" s="1"/>
  <c r="T17" i="23" s="1"/>
  <c r="R5" i="23"/>
  <c r="S5" i="23" s="1"/>
  <c r="T5" i="23" s="1"/>
  <c r="R11" i="23"/>
  <c r="S11" i="23" s="1"/>
  <c r="T11" i="23" s="1"/>
  <c r="R10" i="23"/>
  <c r="S10" i="23" s="1"/>
  <c r="T10" i="23" s="1"/>
  <c r="R13" i="23"/>
  <c r="S13" i="23" s="1"/>
  <c r="T13" i="23" s="1"/>
  <c r="R15" i="23"/>
  <c r="S15" i="23" s="1"/>
  <c r="T15" i="23" s="1"/>
  <c r="R19" i="23"/>
  <c r="S19" i="23" s="1"/>
  <c r="T19" i="23" s="1"/>
  <c r="R22" i="23"/>
  <c r="S22" i="23" s="1"/>
  <c r="T22" i="23" s="1"/>
  <c r="R29" i="23"/>
  <c r="S29" i="23" s="1"/>
  <c r="T29" i="23" s="1"/>
  <c r="R30" i="23"/>
  <c r="S30" i="23" s="1"/>
  <c r="T30" i="23" s="1"/>
  <c r="R31" i="23"/>
  <c r="S31" i="23" s="1"/>
  <c r="T31" i="23" s="1"/>
  <c r="R32" i="23"/>
  <c r="R33" i="23"/>
  <c r="R34" i="23"/>
  <c r="R35" i="23"/>
  <c r="R36" i="23"/>
  <c r="R37" i="23"/>
  <c r="R38" i="23"/>
  <c r="R39" i="23"/>
  <c r="R40" i="23"/>
  <c r="R41" i="23"/>
  <c r="R42" i="23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6" i="23"/>
  <c r="R95" i="23"/>
  <c r="R97" i="23"/>
  <c r="R98" i="23"/>
  <c r="R99" i="23"/>
  <c r="R100" i="23"/>
  <c r="R101" i="23"/>
  <c r="R102" i="23"/>
  <c r="R103" i="23"/>
  <c r="R104" i="23"/>
  <c r="R158" i="23"/>
  <c r="R105" i="23"/>
  <c r="R106" i="23"/>
  <c r="R107" i="23"/>
  <c r="R108" i="23"/>
  <c r="R159" i="23"/>
  <c r="R109" i="23"/>
  <c r="R110" i="23"/>
  <c r="R111" i="23"/>
  <c r="R112" i="23"/>
  <c r="R113" i="23"/>
  <c r="R114" i="23"/>
  <c r="R115" i="23"/>
  <c r="R116" i="23"/>
  <c r="R118" i="23"/>
  <c r="R119" i="23"/>
  <c r="R121" i="23"/>
  <c r="R122" i="23"/>
  <c r="R123" i="23"/>
  <c r="R160" i="23"/>
  <c r="R124" i="23"/>
  <c r="R125" i="23"/>
  <c r="R126" i="23"/>
  <c r="R127" i="23"/>
  <c r="R128" i="23"/>
  <c r="R129" i="23"/>
  <c r="R130" i="23"/>
  <c r="R131" i="23"/>
  <c r="R133" i="23"/>
  <c r="R132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61" i="23"/>
  <c r="R156" i="23"/>
  <c r="R162" i="23"/>
  <c r="R157" i="23"/>
  <c r="R120" i="23"/>
  <c r="R117" i="23"/>
  <c r="R9" i="23"/>
  <c r="S9" i="23" s="1"/>
  <c r="T9" i="23" s="1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R205" i="23"/>
  <c r="R206" i="23"/>
  <c r="R207" i="23"/>
  <c r="R208" i="23"/>
  <c r="R209" i="23"/>
  <c r="R210" i="23"/>
  <c r="R211" i="23"/>
  <c r="R212" i="23"/>
  <c r="R213" i="23"/>
  <c r="R214" i="23"/>
  <c r="R215" i="23"/>
  <c r="R216" i="23"/>
  <c r="R217" i="23"/>
  <c r="R218" i="23"/>
  <c r="R219" i="23"/>
  <c r="R220" i="23"/>
  <c r="R221" i="23"/>
  <c r="R222" i="23"/>
  <c r="R223" i="23"/>
  <c r="R224" i="23"/>
  <c r="R225" i="23"/>
  <c r="R226" i="23"/>
  <c r="R227" i="23"/>
  <c r="R228" i="23"/>
  <c r="R229" i="23"/>
  <c r="R230" i="23"/>
  <c r="R231" i="23"/>
  <c r="R232" i="23"/>
  <c r="R233" i="23"/>
  <c r="R234" i="23"/>
  <c r="R235" i="23"/>
  <c r="R236" i="23"/>
  <c r="R237" i="23"/>
  <c r="R238" i="23"/>
  <c r="R239" i="23"/>
  <c r="R240" i="23"/>
  <c r="R241" i="23"/>
  <c r="R242" i="23"/>
  <c r="R243" i="23"/>
  <c r="R244" i="23"/>
  <c r="R245" i="23"/>
  <c r="R246" i="23"/>
  <c r="R247" i="23"/>
  <c r="R248" i="23"/>
  <c r="R249" i="23"/>
  <c r="R250" i="23"/>
  <c r="R251" i="23"/>
  <c r="R252" i="23"/>
  <c r="R253" i="23"/>
  <c r="R254" i="23"/>
  <c r="R255" i="23"/>
  <c r="R256" i="23"/>
  <c r="R257" i="23"/>
  <c r="R258" i="23"/>
  <c r="R259" i="23"/>
  <c r="R260" i="23"/>
  <c r="R261" i="23"/>
  <c r="R262" i="23"/>
  <c r="R263" i="23"/>
  <c r="R264" i="23"/>
  <c r="R265" i="23"/>
  <c r="R266" i="23"/>
  <c r="R267" i="23"/>
  <c r="R268" i="23"/>
  <c r="R269" i="23"/>
  <c r="R270" i="23"/>
  <c r="R271" i="23"/>
  <c r="R272" i="23"/>
  <c r="R273" i="23"/>
  <c r="R274" i="23"/>
  <c r="R275" i="23"/>
  <c r="R276" i="23"/>
  <c r="R277" i="23"/>
  <c r="R278" i="23"/>
  <c r="R279" i="23"/>
  <c r="R280" i="23"/>
  <c r="R281" i="23"/>
  <c r="R282" i="23"/>
  <c r="R283" i="23"/>
  <c r="R284" i="23"/>
  <c r="R285" i="23"/>
  <c r="R286" i="23"/>
  <c r="R287" i="23"/>
  <c r="R288" i="23"/>
  <c r="R289" i="23"/>
  <c r="R290" i="23"/>
  <c r="R291" i="23"/>
  <c r="R292" i="23"/>
  <c r="R293" i="23"/>
  <c r="R294" i="23"/>
  <c r="R295" i="23"/>
  <c r="R296" i="23"/>
  <c r="R297" i="23"/>
  <c r="R298" i="23"/>
  <c r="R299" i="23"/>
  <c r="R300" i="23"/>
  <c r="V300" i="23" l="1"/>
  <c r="V299" i="23"/>
  <c r="V298" i="23"/>
  <c r="V297" i="23"/>
  <c r="V296" i="23"/>
  <c r="V295" i="23"/>
  <c r="V294" i="23"/>
  <c r="V293" i="23"/>
  <c r="V292" i="23"/>
  <c r="V291" i="23"/>
  <c r="V290" i="23"/>
  <c r="V289" i="23"/>
  <c r="V288" i="23"/>
  <c r="V287" i="23"/>
  <c r="V286" i="23"/>
  <c r="V285" i="23"/>
  <c r="V284" i="23"/>
  <c r="V283" i="23"/>
  <c r="V282" i="23"/>
  <c r="V281" i="23"/>
  <c r="V280" i="23"/>
  <c r="V279" i="23"/>
  <c r="V278" i="23"/>
  <c r="V277" i="23"/>
  <c r="V276" i="23"/>
  <c r="V275" i="23"/>
  <c r="V274" i="23"/>
  <c r="V273" i="23"/>
  <c r="V272" i="23"/>
  <c r="V271" i="23"/>
  <c r="V270" i="23"/>
  <c r="V269" i="23"/>
  <c r="V268" i="23"/>
  <c r="V267" i="23"/>
  <c r="V266" i="23"/>
  <c r="V265" i="23"/>
  <c r="V264" i="23"/>
  <c r="V263" i="23"/>
  <c r="V262" i="23"/>
  <c r="V261" i="23"/>
  <c r="V260" i="23"/>
  <c r="V259" i="23"/>
  <c r="V258" i="23"/>
  <c r="V257" i="23"/>
  <c r="V256" i="23"/>
  <c r="V255" i="23"/>
  <c r="V254" i="23"/>
  <c r="V253" i="23"/>
  <c r="V252" i="23"/>
  <c r="V251" i="23"/>
  <c r="V250" i="23"/>
  <c r="V249" i="23"/>
  <c r="V248" i="23"/>
  <c r="V247" i="23"/>
  <c r="V246" i="23"/>
  <c r="V245" i="23"/>
  <c r="V244" i="23"/>
  <c r="V243" i="23"/>
  <c r="V242" i="23"/>
  <c r="V241" i="23"/>
  <c r="V240" i="23"/>
  <c r="V239" i="23"/>
  <c r="V238" i="23"/>
  <c r="V237" i="23"/>
  <c r="V236" i="23"/>
  <c r="V235" i="23"/>
  <c r="V234" i="23"/>
  <c r="V233" i="23"/>
  <c r="V232" i="23"/>
  <c r="V231" i="23"/>
  <c r="V230" i="23"/>
  <c r="V229" i="23"/>
  <c r="V228" i="23"/>
  <c r="V227" i="23"/>
  <c r="V226" i="23"/>
  <c r="V225" i="23"/>
  <c r="V224" i="23"/>
  <c r="V223" i="23"/>
  <c r="V222" i="23"/>
  <c r="V221" i="23"/>
  <c r="V220" i="23"/>
  <c r="V219" i="23"/>
  <c r="V218" i="23"/>
  <c r="V217" i="23"/>
  <c r="V216" i="23"/>
  <c r="V215" i="23"/>
  <c r="V214" i="23"/>
  <c r="V213" i="23"/>
  <c r="V212" i="23"/>
  <c r="V211" i="23"/>
  <c r="V210" i="23"/>
  <c r="V209" i="23"/>
  <c r="V208" i="23"/>
  <c r="V207" i="23"/>
  <c r="V206" i="23"/>
  <c r="V205" i="23"/>
  <c r="V204" i="23"/>
  <c r="V203" i="23"/>
  <c r="V202" i="23"/>
  <c r="V201" i="23"/>
  <c r="V200" i="23"/>
  <c r="V199" i="23"/>
  <c r="V198" i="23"/>
  <c r="V197" i="23"/>
  <c r="V196" i="23"/>
  <c r="V195" i="23"/>
  <c r="V194" i="23"/>
  <c r="V193" i="23"/>
  <c r="V192" i="23"/>
  <c r="V191" i="23"/>
  <c r="V190" i="23"/>
  <c r="V189" i="23"/>
  <c r="V188" i="23"/>
  <c r="V187" i="23"/>
  <c r="V186" i="23"/>
  <c r="V185" i="23"/>
  <c r="V184" i="23"/>
  <c r="V183" i="23"/>
  <c r="V182" i="23"/>
  <c r="V181" i="23"/>
  <c r="V180" i="23"/>
  <c r="V179" i="23"/>
  <c r="V178" i="23"/>
  <c r="V177" i="23"/>
  <c r="V176" i="23"/>
  <c r="V175" i="23"/>
  <c r="V174" i="23"/>
  <c r="V173" i="23"/>
  <c r="V172" i="23"/>
  <c r="V171" i="23"/>
  <c r="V170" i="23"/>
  <c r="V169" i="23"/>
  <c r="V168" i="23"/>
  <c r="V167" i="23"/>
  <c r="V166" i="23"/>
  <c r="V165" i="23"/>
  <c r="V164" i="23"/>
  <c r="V163" i="23"/>
  <c r="V9" i="23"/>
  <c r="V157" i="23"/>
  <c r="V139" i="23"/>
  <c r="V155" i="23"/>
  <c r="V154" i="23"/>
  <c r="V153" i="23"/>
  <c r="V152" i="23"/>
  <c r="V151" i="23"/>
  <c r="V150" i="23"/>
  <c r="V148" i="23"/>
  <c r="V147" i="23"/>
  <c r="V146" i="23"/>
  <c r="V145" i="23"/>
  <c r="V144" i="23"/>
  <c r="V143" i="23"/>
  <c r="V142" i="23"/>
  <c r="V141" i="23"/>
  <c r="V140" i="23"/>
  <c r="V138" i="23"/>
  <c r="V137" i="23"/>
  <c r="V136" i="23"/>
  <c r="V135" i="23"/>
  <c r="V117" i="23"/>
  <c r="V134" i="23"/>
  <c r="V132" i="23"/>
  <c r="V133" i="23"/>
  <c r="V131" i="23"/>
  <c r="V130" i="23"/>
  <c r="V129" i="23"/>
  <c r="V128" i="23"/>
  <c r="V127" i="23"/>
  <c r="V126" i="23"/>
  <c r="V125" i="23"/>
  <c r="V124" i="23"/>
  <c r="V160" i="23"/>
  <c r="V123" i="23"/>
  <c r="V122" i="23"/>
  <c r="V121" i="23"/>
  <c r="V119" i="23"/>
  <c r="V118" i="23"/>
  <c r="V116" i="23"/>
  <c r="V120" i="23"/>
  <c r="V115" i="23"/>
  <c r="V114" i="23"/>
  <c r="V113" i="23"/>
  <c r="V112" i="23"/>
  <c r="V111" i="23"/>
  <c r="V109" i="23"/>
  <c r="V159" i="23"/>
  <c r="V108" i="23"/>
  <c r="V107" i="23"/>
  <c r="V106" i="23"/>
  <c r="V105" i="23"/>
  <c r="V158" i="23"/>
  <c r="V104" i="23"/>
  <c r="V103" i="23"/>
  <c r="V102" i="23"/>
  <c r="V101" i="23"/>
  <c r="V100" i="23"/>
  <c r="V99" i="23"/>
  <c r="V98" i="23"/>
  <c r="V97" i="23"/>
  <c r="V95" i="23"/>
  <c r="V96" i="23"/>
  <c r="V94" i="23"/>
  <c r="V93" i="23"/>
  <c r="V92" i="23"/>
  <c r="V91" i="23"/>
  <c r="V90" i="23"/>
  <c r="V89" i="23"/>
  <c r="V88" i="23"/>
  <c r="V87" i="23"/>
  <c r="V86" i="23"/>
  <c r="V85" i="23"/>
  <c r="V84" i="23"/>
  <c r="V83" i="23"/>
  <c r="V82" i="23"/>
  <c r="V81" i="23"/>
  <c r="V80" i="23"/>
  <c r="V79" i="23"/>
  <c r="V78" i="23"/>
  <c r="V77" i="23"/>
  <c r="V76" i="23"/>
  <c r="V75" i="23"/>
  <c r="V74" i="23"/>
  <c r="V73" i="23"/>
  <c r="V72" i="23"/>
  <c r="V71" i="23"/>
  <c r="V70" i="23"/>
  <c r="V69" i="23"/>
  <c r="V68" i="23"/>
  <c r="V67" i="23"/>
  <c r="V66" i="23"/>
  <c r="V65" i="23"/>
  <c r="V64" i="23"/>
  <c r="V63" i="23"/>
  <c r="V62" i="23"/>
  <c r="V61" i="23"/>
  <c r="V110" i="23"/>
  <c r="V43" i="23"/>
  <c r="V17" i="23"/>
  <c r="V60" i="23"/>
  <c r="V59" i="23"/>
  <c r="V58" i="23"/>
  <c r="V57" i="23"/>
  <c r="V56" i="23"/>
  <c r="V55" i="23"/>
  <c r="V54" i="23"/>
  <c r="V53" i="23"/>
  <c r="V52" i="23"/>
  <c r="V51" i="23"/>
  <c r="V50" i="23"/>
  <c r="V49" i="23"/>
  <c r="V48" i="23"/>
  <c r="V47" i="23"/>
  <c r="V46" i="23"/>
  <c r="V45" i="23"/>
  <c r="V44" i="23"/>
  <c r="V42" i="23"/>
  <c r="V41" i="23"/>
  <c r="V40" i="23"/>
  <c r="V39" i="23"/>
  <c r="V38" i="23"/>
  <c r="V37" i="23"/>
  <c r="V36" i="23"/>
  <c r="V35" i="23"/>
  <c r="V149" i="23"/>
  <c r="V34" i="23"/>
  <c r="V33" i="23"/>
  <c r="V32" i="23"/>
  <c r="V31" i="23"/>
  <c r="V30" i="23"/>
  <c r="V29" i="23"/>
  <c r="V22" i="23"/>
  <c r="V19" i="23"/>
  <c r="V15" i="23"/>
  <c r="V13" i="23"/>
  <c r="V156" i="23"/>
  <c r="V10" i="23"/>
  <c r="V11" i="23"/>
  <c r="V5" i="23"/>
  <c r="V162" i="23"/>
  <c r="V4" i="23"/>
  <c r="V21" i="23"/>
  <c r="V27" i="23"/>
  <c r="V28" i="23"/>
  <c r="V12" i="23"/>
  <c r="V23" i="23"/>
  <c r="V14" i="23"/>
  <c r="V6" i="23"/>
  <c r="V26" i="23"/>
  <c r="V20" i="23"/>
  <c r="V18" i="23"/>
  <c r="V16" i="23"/>
  <c r="V8" i="23"/>
  <c r="V7" i="23"/>
  <c r="V25" i="23"/>
  <c r="V24" i="23"/>
  <c r="R24" i="23"/>
  <c r="S24" i="23" s="1"/>
  <c r="T24" i="23" s="1"/>
  <c r="V161" i="23"/>
  <c r="U2" i="23"/>
  <c r="Q2" i="23"/>
  <c r="P2" i="23"/>
  <c r="O2" i="23"/>
  <c r="N2" i="23"/>
  <c r="M2" i="23"/>
  <c r="L2" i="23"/>
  <c r="K2" i="23"/>
  <c r="J2" i="23"/>
  <c r="I2" i="23"/>
  <c r="H2" i="23"/>
  <c r="G2" i="23"/>
  <c r="F2" i="23"/>
  <c r="E2" i="23"/>
  <c r="D2" i="23"/>
  <c r="S2" i="23" l="1"/>
  <c r="T2" i="23" s="1"/>
  <c r="R2" i="23"/>
  <c r="V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Gramateia New</author>
  </authors>
  <commentList>
    <comment ref="A4" authorId="0" shapeId="0" xr:uid="{D960F02B-7D84-4308-AFCF-9DDDB0576C6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ΣΥΝΟΛΙΚΑ ΚΆΘΕ ΜΗΝΑ 500 ΕΥΡΩ ΚΑΙ ΓΙΑ ΤΟΥΣ ΔΥΟ ΓΙΑ ΜΕΛΕΤΗ ΚΑΙ ΑΓΓΛΙΚΑ</t>
        </r>
      </text>
    </comment>
    <comment ref="F4" authorId="0" shapeId="0" xr:uid="{9029A05D-B429-48AD-BD7C-8D30549D7A2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150*9</t>
        </r>
      </text>
    </comment>
    <comment ref="G4" authorId="0" shapeId="0" xr:uid="{D12CB4B4-F67A-4EA8-90AB-3A2C39210ED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13/5/25 95= 75+20</t>
        </r>
      </text>
    </comment>
    <comment ref="J4" authorId="0" shapeId="0" xr:uid="{91516405-8A59-49AC-9B1D-C77186D0757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27/10/25 ΚΑΤΑΘΕΣΗ</t>
        </r>
      </text>
    </comment>
    <comment ref="K4" authorId="0" shapeId="0" xr:uid="{BFC3BD4C-C74D-4CEB-838B-274A5EC1616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2/12/25 ΚΑΤΑΘΕΣΗ</t>
        </r>
      </text>
    </comment>
    <comment ref="L4" authorId="0" shapeId="0" xr:uid="{783035C3-3B80-45D3-965A-69A8804C8B8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7/1/26 ΚΑΤΑΘΕΣΗ ΣΥΝ ΜΕΤΑΦΟΡΑ</t>
        </r>
      </text>
    </comment>
    <comment ref="M4" authorId="0" shapeId="0" xr:uid="{8AAD99FF-7E60-46D2-A7FC-DC5618BA507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30/1/26 ΚΑΤΑΘΕΣΗ</t>
        </r>
      </text>
    </comment>
    <comment ref="F5" authorId="0" shapeId="0" xr:uid="{E9A72BC1-0A2A-4949-A9BD-DD52F5FF8E2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120*9</t>
        </r>
      </text>
    </comment>
    <comment ref="G5" authorId="0" shapeId="0" xr:uid="{30A96EB6-7AA2-4B30-9E79-5D18CFC9187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13/5/25 60+20 μεταφορα</t>
        </r>
      </text>
    </comment>
    <comment ref="I5" authorId="0" shapeId="0" xr:uid="{EA7CD2CE-70A0-47BF-BD83-BC92336B9EE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J5" authorId="0" shapeId="0" xr:uid="{48AD471E-4C43-473E-AD8B-97EC9EA8AFF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27/10/25 ΚΑΤΑΘΕΣΗ</t>
        </r>
      </text>
    </comment>
    <comment ref="K5" authorId="0" shapeId="0" xr:uid="{F1F9A170-7518-4098-A78D-176E1F9776F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2/12/25 ΚΑΤΑΘΕΣΗ</t>
        </r>
      </text>
    </comment>
    <comment ref="L5" authorId="0" shapeId="0" xr:uid="{2F281C58-C879-475F-A05F-6EE60CBDA0C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7/1/26 ΚΑΤΑΘΕΣΗ ΣΥΝ ΜΕΤΑΦΟΡΑ</t>
        </r>
      </text>
    </comment>
    <comment ref="M5" authorId="0" shapeId="0" xr:uid="{80DB205D-CB8E-4028-842A-976E65FAD63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30/1/26 ΚΑΤΑΘΕΣΗ</t>
        </r>
      </text>
    </comment>
    <comment ref="F6" authorId="0" shapeId="0" xr:uid="{C3B90532-3756-4681-B1A7-EE54BC4923F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200*9</t>
        </r>
      </text>
    </comment>
    <comment ref="H6" authorId="0" shapeId="0" xr:uid="{843D2B9F-7FCC-4D67-A09A-CF612D54E35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17/9/25 ΣΥΝ ΜΕΤΑΦΟΡΑ</t>
        </r>
      </text>
    </comment>
    <comment ref="I6" authorId="0" shapeId="0" xr:uid="{979B4667-ACF4-4AFA-9643-1708C60BED9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3/10/25 ΜΕΤΡΗΤΑ </t>
        </r>
      </text>
    </comment>
    <comment ref="J6" authorId="0" shapeId="0" xr:uid="{352A83E5-574A-4C38-A342-B89EA983D2C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11/11/25 ΜΕΤΡΗΤΑ</t>
        </r>
      </text>
    </comment>
    <comment ref="K6" authorId="0" shapeId="0" xr:uid="{35D9278B-8543-4561-9B94-8F687D726E7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16/12/25 ΜΕΤΡΗΤΑ ΣΥΝ ΜΕΤΑΦΟΡΑ</t>
        </r>
      </text>
    </comment>
    <comment ref="L6" authorId="0" shapeId="0" xr:uid="{08F20863-FA96-45E1-96C0-4F390442876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9/2/26 ΜΕΤΡΗΤΑ</t>
        </r>
      </text>
    </comment>
    <comment ref="F7" authorId="0" shapeId="0" xr:uid="{D8F0F080-F31C-4412-A302-8C0BA3FCC61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130*9</t>
        </r>
      </text>
    </comment>
    <comment ref="H7" authorId="0" shapeId="0" xr:uid="{A01BFEA6-EC27-4AC9-AF25-BCB088C52B4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2/10/25 + ΜΕΤΑΦΟΡΑ
ΜΕΤΡΗΤΑ</t>
        </r>
      </text>
    </comment>
    <comment ref="J7" authorId="0" shapeId="0" xr:uid="{E222787F-6550-438C-9906-07B841E8BE6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 ΣΥΝ ΜΕΤΑΦΟΡΑ</t>
        </r>
      </text>
    </comment>
    <comment ref="K7" authorId="0" shapeId="0" xr:uid="{05D43B87-190D-44AF-82D7-BB26AE0CE4B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22/12/25 ΜΕΤΡΗΤΑ ΣΥΝ ΜΕΤΑΦΟΡΑ</t>
        </r>
      </text>
    </comment>
    <comment ref="L7" authorId="0" shapeId="0" xr:uid="{4B0F752D-27BE-4FF1-A475-81AE9DADB15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20/1/26 ΜΕΡΗΤΑ ΣΥΝ ΜΕΤΑΦΟΡΑ</t>
        </r>
      </text>
    </comment>
    <comment ref="M7" authorId="0" shapeId="0" xr:uid="{46AB33DF-4251-496D-8BD0-18D54897F67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3/2/36 μετρητα συν μεταφορα</t>
        </r>
      </text>
    </comment>
    <comment ref="F8" authorId="0" shapeId="0" xr:uid="{1153F2B4-B5CE-45D5-901E-DA7F695C7D8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130*9</t>
        </r>
      </text>
    </comment>
    <comment ref="H8" authorId="0" shapeId="0" xr:uid="{1902A284-D569-4971-A0C4-9DC5E890C5E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2/10/25 + ΜΕΤΑΦΟΡΑ
ΜΕΤΡΗΤΑ</t>
        </r>
      </text>
    </comment>
    <comment ref="I8" authorId="0" shapeId="0" xr:uid="{ADB449AA-9795-4717-ADE7-0EC5A072E6F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24/10/25 ΜΕΤΡΗΤΑ</t>
        </r>
      </text>
    </comment>
    <comment ref="J8" authorId="0" shapeId="0" xr:uid="{904EEEA3-D76F-45E9-8118-BC2A0172604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 ΣΥΝ ΜΕΤΑΦΟΡΑ</t>
        </r>
      </text>
    </comment>
    <comment ref="K8" authorId="0" shapeId="0" xr:uid="{0EC11B09-62D2-4710-BA08-6F839374EEB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22/12/25 ΜΕΤΡΗΤΑ ΣΥΝ ΜΕΤΑΦΟΡΑ</t>
        </r>
      </text>
    </comment>
    <comment ref="L8" authorId="0" shapeId="0" xr:uid="{63BF7F99-A72C-47A3-B83D-0546D9A2851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20/1/26 ΜΕΤΡΗΤΑ ΣΥΝ ΜΕΤΑΦΟΡΑ</t>
        </r>
      </text>
    </comment>
    <comment ref="M8" authorId="0" shapeId="0" xr:uid="{81A4FF76-605B-4CB5-8C1B-748F7F3DF0D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μετρητα συν μεταφορα</t>
        </r>
      </text>
    </comment>
    <comment ref="F9" authorId="0" shapeId="0" xr:uid="{D8AE7768-C047-4DE5-A152-636DB94235F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150*9</t>
        </r>
      </text>
    </comment>
    <comment ref="H9" authorId="0" shapeId="0" xr:uid="{AA1E6744-0C98-4C53-B907-9CB06C2BF92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16/9/25 karta</t>
        </r>
      </text>
    </comment>
    <comment ref="I9" authorId="0" shapeId="0" xr:uid="{EE7873FF-D683-434F-8017-642C5DF51EB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3/10/25 ΚΑΡΤΑ ΣΥΝ ΜΤΦΡ</t>
        </r>
      </text>
    </comment>
    <comment ref="J9" authorId="0" shapeId="0" xr:uid="{325C3950-F2CF-4840-80DD-30C06B403A1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ΚΑΡΤΑ ΚΑΙ ΜΕΤΑΦΟΡΑ ΤΑ 10 ΕΥΡΩ ΜΙΑΣ ΕΒΔΟΜΑΔΑΣ </t>
        </r>
      </text>
    </comment>
    <comment ref="K9" authorId="0" shapeId="0" xr:uid="{C6B10792-52EF-4275-8ECF-712D85422F8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ΜΕΤΡΗΤΑ</t>
        </r>
      </text>
    </comment>
    <comment ref="L9" authorId="0" shapeId="0" xr:uid="{FA769E69-EC20-46D6-B10B-D012A4C65AB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ΜΕΤΡΗΤΑ</t>
        </r>
      </text>
    </comment>
    <comment ref="M9" authorId="0" shapeId="0" xr:uid="{3103CEB7-8198-422D-BBBA-F9DD6B9D30F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ΜΕΤΡΗΤΑ</t>
        </r>
      </text>
    </comment>
    <comment ref="I10" authorId="0" shapeId="0" xr:uid="{ACD3270E-FA6A-48DF-8528-96BA3A9D275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14/10/25 ΚΑΡΤΑ +60 ΜΕΤΑΦ</t>
        </r>
      </text>
    </comment>
    <comment ref="J10" authorId="0" shapeId="0" xr:uid="{BCA219F2-F4CC-4045-B3EF-3F94C275B64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12/11/25 ΚΑΡΤΑ ΣΥΝ ΜΕΤΑΦΟΡΙΚΑ</t>
        </r>
      </text>
    </comment>
    <comment ref="F11" authorId="0" shapeId="0" xr:uid="{761A1DD2-B047-45AC-AD0D-10BEE37290C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130*9</t>
        </r>
      </text>
    </comment>
    <comment ref="H11" authorId="0" shapeId="0" xr:uid="{F6C28B52-B77B-49FB-B9E8-88D992FBB7F2}">
      <text>
        <r>
          <rPr>
            <b/>
            <sz val="9"/>
            <color indexed="81"/>
            <rFont val="Tahoma"/>
            <family val="2"/>
            <charset val="161"/>
          </rPr>
          <t>Gramateia New:
5/9/2025 ΜΕΤΡΗΤΑ</t>
        </r>
      </text>
    </comment>
    <comment ref="I11" authorId="0" shapeId="0" xr:uid="{3E14A197-6D88-46B4-A144-ABD64D6E30C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6/10/25 ΜΕΤΡΗΤΑ ΣΥΝ 40 ΜΤΦΡ</t>
        </r>
      </text>
    </comment>
    <comment ref="J11" authorId="0" shapeId="0" xr:uid="{841CFD17-3A1B-48B0-B335-9BD03428FBC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ΜΕΤΡΗΤΑ</t>
        </r>
      </text>
    </comment>
    <comment ref="K11" authorId="0" shapeId="0" xr:uid="{19EDF02E-9F8F-42C8-BFE1-9AFB3913263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9/12/25 ΜΕΤΡΗΤΑ ΣΥΝ ΜΕΤΑΦΟΡΑ</t>
        </r>
      </text>
    </comment>
    <comment ref="L11" authorId="0" shapeId="0" xr:uid="{75983B94-0C6D-4C39-AB72-BA832B9D845F}">
      <text>
        <r>
          <rPr>
            <b/>
            <sz val="9"/>
            <color indexed="81"/>
            <rFont val="Tahoma"/>
            <family val="2"/>
            <charset val="161"/>
          </rPr>
          <t xml:space="preserve">Gramateia New: 
</t>
        </r>
        <r>
          <rPr>
            <sz val="9"/>
            <color indexed="81"/>
            <rFont val="Tahoma"/>
            <family val="2"/>
            <charset val="161"/>
          </rPr>
          <t>8/1/26 ΜΕΤΡΗΤΑ ΣΥΝ ΜΕΤΑΦΟΡΑ</t>
        </r>
      </text>
    </comment>
    <comment ref="M11" authorId="0" shapeId="0" xr:uid="{32EACFA6-08D1-47FC-B24C-60805A6508A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4/2/26 ΜΕΤΡΗΤΑ ΣΥΝ ΜΕΤΑΦΟΡΑ</t>
        </r>
      </text>
    </comment>
    <comment ref="F12" authorId="0" shapeId="0" xr:uid="{831985F8-B82E-4C45-B4F2-90736D1D6FA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200*9</t>
        </r>
      </text>
    </comment>
    <comment ref="H12" authorId="0" shapeId="0" xr:uid="{86340484-7195-43B9-8294-B71B240EF42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2/9/25</t>
        </r>
      </text>
    </comment>
    <comment ref="I12" authorId="0" shapeId="0" xr:uid="{7915A15C-E27D-441D-9658-48BFD6CBCA7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6/10/25 ΚΑΤΑΘΕΣΗ</t>
        </r>
      </text>
    </comment>
    <comment ref="J12" authorId="0" shapeId="0" xr:uid="{5986456C-9CC2-46B3-A677-B1C0E260080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καταθεση</t>
        </r>
      </text>
    </comment>
    <comment ref="K12" authorId="0" shapeId="0" xr:uid="{260A27FB-4EAE-4F3B-8862-F006E5C2E3F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2/12/25 ΚΑΤΑΘΕΣΗ</t>
        </r>
      </text>
    </comment>
    <comment ref="L12" authorId="0" shapeId="0" xr:uid="{DB17A9FD-BFB6-4F31-A998-61904BC607E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ΚΑΤΑΘΕΣΗ</t>
        </r>
      </text>
    </comment>
    <comment ref="M12" authorId="0" shapeId="0" xr:uid="{DE013150-A269-436D-A142-4680FC50E66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2/2/26 ΚΑΤΑΘΕΣΗ</t>
        </r>
      </text>
    </comment>
    <comment ref="F13" authorId="0" shapeId="0" xr:uid="{379F478F-8872-43DC-8A78-0973482509C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200*9</t>
        </r>
      </text>
    </comment>
    <comment ref="I13" authorId="0" shapeId="0" xr:uid="{782AE118-1FC5-4F7A-8EED-3969A1522F4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7/10/25 </t>
        </r>
      </text>
    </comment>
    <comment ref="J13" authorId="0" shapeId="0" xr:uid="{A82F020C-0EE6-4B5E-AE19-DF8FE4CAD37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11/11/25 ΚΑΡΤΑ</t>
        </r>
      </text>
    </comment>
    <comment ref="K13" authorId="0" shapeId="0" xr:uid="{239A0372-1648-4996-94FF-D8E14874A06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9/12/25 ΚΑΡΤΑ</t>
        </r>
      </text>
    </comment>
    <comment ref="L13" authorId="0" shapeId="0" xr:uid="{7DCA0191-01FC-4142-91B8-B4A6290BC66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13/1/26 ΚΑΡΤΑ</t>
        </r>
      </text>
    </comment>
    <comment ref="M13" authorId="0" shapeId="0" xr:uid="{3E653BAF-AF5B-47FA-9917-CCB33DCF697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17/2/26 ΜΕΤΡΗΤΑ</t>
        </r>
      </text>
    </comment>
    <comment ref="F14" authorId="0" shapeId="0" xr:uid="{47647714-97E7-4C4B-8178-B57B4DFD940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130*9</t>
        </r>
      </text>
    </comment>
    <comment ref="H14" authorId="0" shapeId="0" xr:uid="{28BC9E96-9C76-4A9B-8860-434E5CA77C6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22/9/25 ΚΑΡΤΑ
</t>
        </r>
      </text>
    </comment>
    <comment ref="I14" authorId="0" shapeId="0" xr:uid="{832C1391-14E8-4D41-AA5F-776934DFFF7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14/11/25 ΚΑΡΤΑ ΣΥΝ ΜΕΤΑΦΟΡΑ</t>
        </r>
      </text>
    </comment>
    <comment ref="J14" authorId="0" shapeId="0" xr:uid="{F0855D23-2C86-41E9-A38E-F14FB08EC0E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12/11/25 ΚΑΡΤΑ ΣΥΝ ΜΕΤΑΦΟΡΑ</t>
        </r>
      </text>
    </comment>
    <comment ref="K14" authorId="0" shapeId="0" xr:uid="{D7F5C52A-857C-4D10-B764-9ADF77C41A4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καρτα συν μεταφορα</t>
        </r>
      </text>
    </comment>
    <comment ref="L14" authorId="0" shapeId="0" xr:uid="{A95002D3-A6DC-4881-89A4-C6CBA081D85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ΚΑΡΤΑ ΣΥΝ ΜΕΤΑΦΟΡΑ</t>
        </r>
      </text>
    </comment>
    <comment ref="M14" authorId="0" shapeId="0" xr:uid="{B1B00196-86A1-41FA-97AE-7DB72399DFA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4/2/26 ΚΑΡΤΑ ΣΥΝ ΜΕΤΑΦΟΡΑ</t>
        </r>
      </text>
    </comment>
    <comment ref="F15" authorId="0" shapeId="0" xr:uid="{96D81407-4CED-465B-B874-3EFA8830104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120*9</t>
        </r>
      </text>
    </comment>
    <comment ref="H15" authorId="0" shapeId="0" xr:uid="{36A1FDDB-12FA-40F9-A1C5-C04E50E2F89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12/9/25 ΜΕΤΡΗΤΑ</t>
        </r>
      </text>
    </comment>
    <comment ref="I15" authorId="0" shapeId="0" xr:uid="{375D72F5-8B08-435E-BCA5-EF7947DA096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2/10/25 ΜΕΤΡΗΤΑ</t>
        </r>
      </text>
    </comment>
    <comment ref="J15" authorId="0" shapeId="0" xr:uid="{182696FC-3DF1-42C9-B801-E22D8D95D62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ΜΕΤΡΗΤΑ ΚΑΙ ΜΕΤΑΦΟΡΑ</t>
        </r>
      </text>
    </comment>
    <comment ref="K15" authorId="0" shapeId="0" xr:uid="{AF14C056-B6CB-4840-BA47-605D57D273A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</t>
        </r>
      </text>
    </comment>
    <comment ref="L15" authorId="0" shapeId="0" xr:uid="{F0377414-8D28-4C35-9F29-19DE8823A17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ΜΕΤΡΗΤΑ</t>
        </r>
      </text>
    </comment>
    <comment ref="M15" authorId="0" shapeId="0" xr:uid="{2B0EC7BD-3A5D-47F4-86B6-E3F8A9E6DFF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2/2/26 ΜΕΤΡΗΤΑ</t>
        </r>
      </text>
    </comment>
    <comment ref="F16" authorId="0" shapeId="0" xr:uid="{28FE53B5-F699-447B-A1CF-FC2C6B3FFC9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130*9</t>
        </r>
      </text>
    </comment>
    <comment ref="H16" authorId="0" shapeId="0" xr:uid="{72AAA1C5-53CA-4CCD-BDA5-508062CAE49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 ΚΑΡΤΑ</t>
        </r>
      </text>
    </comment>
    <comment ref="I16" authorId="0" shapeId="0" xr:uid="{CD382511-A285-4AEA-87DB-40105E703D3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9/10/25 ΚΑΡΤΑ</t>
        </r>
      </text>
    </comment>
    <comment ref="J16" authorId="0" shapeId="0" xr:uid="{90DF9080-23E2-483E-B8AE-71E08BE37D5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13/11/25 ΚΑΡΤΑ</t>
        </r>
      </text>
    </comment>
    <comment ref="K16" authorId="0" shapeId="0" xr:uid="{6108ECED-C76D-475D-9898-1C6A2623B5C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15/12/25 ΚΑΡΤΑ</t>
        </r>
      </text>
    </comment>
    <comment ref="L16" authorId="0" shapeId="0" xr:uid="{78F2E6B7-6AF8-44A5-A227-D9BC2B1D687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23/1/26 ΚΑΡΤΑ</t>
        </r>
      </text>
    </comment>
    <comment ref="F17" authorId="0" shapeId="0" xr:uid="{FDB5FF77-CCA4-4D6C-A1DC-A26C0F832A0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115*9</t>
        </r>
      </text>
    </comment>
    <comment ref="H17" authorId="0" shapeId="0" xr:uid="{DBD58701-03B2-46C3-B64A-BA295A20324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 ΚΑΡΤΑ</t>
        </r>
      </text>
    </comment>
    <comment ref="I17" authorId="0" shapeId="0" xr:uid="{8C8760F1-1A82-479B-8B9C-42E3884133D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9/10/25 ΚΑΡΤΑ</t>
        </r>
      </text>
    </comment>
    <comment ref="J17" authorId="0" shapeId="0" xr:uid="{516ACA7C-6DCB-4A82-BA18-4D43BA12DDA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13/11/25 ΚΑΡΤΑ</t>
        </r>
      </text>
    </comment>
    <comment ref="K17" authorId="0" shapeId="0" xr:uid="{5C5687D8-532D-4212-A658-9FCF6FDB32D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15/12/25 ΚΑΡΤΑ</t>
        </r>
      </text>
    </comment>
    <comment ref="L17" authorId="0" shapeId="0" xr:uid="{78D9B082-2AE7-461D-AAF9-E2EB01E8E3F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23/1/26 ΚΑΡΤΑ</t>
        </r>
      </text>
    </comment>
    <comment ref="F18" authorId="0" shapeId="0" xr:uid="{D854C602-AD61-4B4D-8234-B017A637BC8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150*9</t>
        </r>
      </text>
    </comment>
    <comment ref="I18" authorId="0" shapeId="0" xr:uid="{5378ABE3-8AFA-47AB-B629-1AB4ACCD298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2/10/25 ΜΕΤΡΗΤΑ + ΜΕΤΑΦΟΡΑ</t>
        </r>
      </text>
    </comment>
    <comment ref="J18" authorId="0" shapeId="0" xr:uid="{8969838F-0E61-477E-BDF7-8B2EE8F2AFB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24/10/25 ΜΕΤΡΗΤΑ ΚΑΙ ΜΕΤΑΦΟΡΑ</t>
        </r>
      </text>
    </comment>
    <comment ref="K18" authorId="0" shapeId="0" xr:uid="{D9C293EE-0CFB-4FCF-8000-A81607FF060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3/12/25 καρτα</t>
        </r>
      </text>
    </comment>
    <comment ref="L18" authorId="0" shapeId="0" xr:uid="{5D081244-ADF5-4F0A-AA29-6A81558B356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11/2/26 ΜΕΤΡΗΤΑ ΣΥΝ ΜΕΤΑΦΟΡΑ</t>
        </r>
      </text>
    </comment>
    <comment ref="F19" authorId="0" shapeId="0" xr:uid="{4A5BFD15-F03E-48DE-BB82-7D256818D7C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130*9</t>
        </r>
      </text>
    </comment>
    <comment ref="H19" authorId="0" shapeId="0" xr:uid="{98101E12-4676-444F-9B23-2D7D2983728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6/10/25 ΜΕΤΡΗΤΑ</t>
        </r>
      </text>
    </comment>
    <comment ref="I19" authorId="0" shapeId="0" xr:uid="{D999E836-0B52-46B7-BEA9-140A6400F79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ΜΕΤΡΗΤΑ</t>
        </r>
      </text>
    </comment>
    <comment ref="J19" authorId="0" shapeId="0" xr:uid="{9108FCF8-BB78-448C-9AFD-83640CD0FBB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4/11/25 ΚΑΤΑΘΕΣΗ ΣΥΝ ΜΕΤΑΦΟΡΑ</t>
        </r>
      </text>
    </comment>
    <comment ref="K19" authorId="0" shapeId="0" xr:uid="{C878F53B-2A31-42EE-9EC3-8B84299A7C8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10/12/25 ΜΕΤΡΗΤΑ ΣΥΝ ΜΕΤΑΦΟΡΑ</t>
        </r>
      </text>
    </comment>
    <comment ref="L19" authorId="0" shapeId="0" xr:uid="{D4584BD4-963C-4B95-BE29-C2674777AD7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ΜΕΤΡΗΤΑ ΣΥΝ ΜΕΤΑΦΟΡΑ</t>
        </r>
      </text>
    </comment>
    <comment ref="F20" authorId="0" shapeId="0" xr:uid="{83DC2F5F-6B22-4278-8AFE-BF024A1CC38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120*9 </t>
        </r>
      </text>
    </comment>
    <comment ref="H20" authorId="0" shapeId="0" xr:uid="{B6B888E4-1F1A-4CF9-892E-15BA514A96B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3/9/2025</t>
        </r>
      </text>
    </comment>
    <comment ref="I20" authorId="0" shapeId="0" xr:uid="{DCA57929-91FD-40C3-BC58-235972A5272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6/11/25 ΚΑΡΤΑ</t>
        </r>
      </text>
    </comment>
    <comment ref="J20" authorId="0" shapeId="0" xr:uid="{FD10A405-A1C3-4C47-B688-B4F5E93AF19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ΚΑΡΤΑ ΣΥΝ ΜΕΤΑΦΟΡΑ</t>
        </r>
      </text>
    </comment>
    <comment ref="K20" authorId="0" shapeId="0" xr:uid="{80D37056-C403-4BDD-856A-631F2384C06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22/12/25 ΚΑΡΤΑ ΣΥΝ ΜΕΤΑΦΟΡΑ</t>
        </r>
      </text>
    </comment>
    <comment ref="L20" authorId="0" shapeId="0" xr:uid="{17F7D4A1-07D1-4F09-A3D9-419805A2DE5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26/1/26 ΚΑΡΤΑ ΣΥΝ ΜΕΤΑΦΟΡΑ</t>
        </r>
      </text>
    </comment>
    <comment ref="F21" authorId="0" shapeId="0" xr:uid="{6E4C66F4-C46E-4635-A3D8-6AC6B9FC3F7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130*9</t>
        </r>
      </text>
    </comment>
    <comment ref="H21" authorId="0" shapeId="0" xr:uid="{30083A82-E9A8-4866-AB58-CA7DB214478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26/9/25 KATAUESH 20 ΜΕΤΑΦΟΡΑ</t>
        </r>
      </text>
    </comment>
    <comment ref="I21" authorId="0" shapeId="0" xr:uid="{A94B3A38-606D-48CA-94FA-1BD9707FAE6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27/10/25 ΚΑΤΑΘΕΣΗ ΣΥΝ ΜΕΤΑΦΟΡΑ</t>
        </r>
      </text>
    </comment>
    <comment ref="J21" authorId="0" shapeId="0" xr:uid="{4B56727D-A9F3-4145-942D-AB88FC9A2DB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ΚΑΡΤΑ ΣΥΝ ΜΕΤΑΦΟΡΑ</t>
        </r>
      </text>
    </comment>
    <comment ref="K21" authorId="0" shapeId="0" xr:uid="{84D63FC8-257E-4ED6-BF89-CAC7489122F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23/12/25 ΚΑΡΤΑ ΣΥΝ ΜΕΤΑΦΟΡΑ</t>
        </r>
      </text>
    </comment>
    <comment ref="F22" authorId="0" shapeId="0" xr:uid="{44831593-667A-4DA6-AD0B-945B3E5C777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110*9</t>
        </r>
      </text>
    </comment>
    <comment ref="H22" authorId="0" shapeId="0" xr:uid="{E17086F9-E67B-4AB4-A2CA-25BCBC19BF3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 ΜΕΤΡΗΤΑ ΑΠ 2000</t>
        </r>
      </text>
    </comment>
    <comment ref="I22" authorId="0" shapeId="0" xr:uid="{E70C83BB-1E8D-492F-ACF9-6AD6C63377A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1000 4/11/25</t>
        </r>
      </text>
    </comment>
    <comment ref="F23" authorId="0" shapeId="0" xr:uid="{9E5F4758-4457-4C47-996C-B0CB284D466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130*9</t>
        </r>
      </text>
    </comment>
    <comment ref="F24" authorId="0" shapeId="0" xr:uid="{E54992C3-B91C-43D2-AA50-CDD990C2A1F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120*9</t>
        </r>
      </text>
    </comment>
    <comment ref="I24" authorId="0" shapeId="0" xr:uid="{41EF2654-5274-4823-AFF0-C4AA21EC652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30/10/25 ΚΑΤΑΘΕΣΗ ΣΥΝ ΜΕΤΑΦΟΡΑ</t>
        </r>
      </text>
    </comment>
    <comment ref="J24" authorId="0" shapeId="0" xr:uid="{9595E7B4-EA39-41BE-AEF6-12E446DDE09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28/11/25 ΚΑΤΑΘΕΣΗ ΣΥΝ ΜΕΤΑΦΟΡΑ</t>
        </r>
      </text>
    </comment>
    <comment ref="K24" authorId="0" shapeId="0" xr:uid="{4DFA4B05-E71F-4FEE-87DC-31413714F6A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22/12/25 ΚΑΤΑΘΕΣΗ ΣΥΝ ΜΕΤΑΦΟΡΑ</t>
        </r>
      </text>
    </comment>
    <comment ref="L24" authorId="0" shapeId="0" xr:uid="{0C37E918-0BD9-4041-AE63-3E495413BA1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30/1/26 ΚΑΤΑΘΕΣΗ ΣΥΝ ΜΕΤΑΦΟΡΑ</t>
        </r>
      </text>
    </comment>
    <comment ref="F25" authorId="0" shapeId="0" xr:uid="{291DABE4-732D-4ADC-8490-43A04980C85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200*9</t>
        </r>
      </text>
    </comment>
    <comment ref="H25" authorId="0" shapeId="0" xr:uid="{7DF1B227-A36B-4513-A5EE-9B88F1B43E7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 1/10/25 KARTA</t>
        </r>
      </text>
    </comment>
    <comment ref="I25" authorId="0" shapeId="0" xr:uid="{7F6848C5-0AC3-4A19-8415-B4C9BDB8D3B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ΚΑΡΤΑ</t>
        </r>
      </text>
    </comment>
    <comment ref="J25" authorId="0" shapeId="0" xr:uid="{CC31E47E-2CE1-4727-BF91-14DD00010C3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ΚΑΡΤΑ</t>
        </r>
      </text>
    </comment>
    <comment ref="K25" authorId="0" shapeId="0" xr:uid="{ADC4A2C2-7E7A-4E6B-8B15-66322028BBC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ΚΑΡΤΑ</t>
        </r>
      </text>
    </comment>
    <comment ref="L25" authorId="0" shapeId="0" xr:uid="{B17E894E-CE1B-4C87-8E3A-EB8C8F31C83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6/2/26 ΚΑΡΤΑ</t>
        </r>
      </text>
    </comment>
    <comment ref="F26" authorId="0" shapeId="0" xr:uid="{9C351FCB-9382-4723-9A57-11A37A58514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65+130*7+65</t>
        </r>
      </text>
    </comment>
    <comment ref="I26" authorId="0" shapeId="0" xr:uid="{12B1859F-471F-4E5E-B41B-B5A9EE55625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14/10/25 ΚΑΡΤΑ</t>
        </r>
      </text>
    </comment>
    <comment ref="J26" authorId="0" shapeId="0" xr:uid="{8840BCE1-5123-4055-B7A1-8346FA6A2A8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31/10/25 ΚΑΡΤΑ</t>
        </r>
      </text>
    </comment>
    <comment ref="K26" authorId="0" shapeId="0" xr:uid="{03458E88-40B3-4A1A-BB2A-603F8E88ADA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ΚΑΡΤΑ</t>
        </r>
      </text>
    </comment>
    <comment ref="L26" authorId="0" shapeId="0" xr:uid="{1124B314-27E0-410D-BACB-4EE512C68B8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ΚΑΡΤΑ</t>
        </r>
      </text>
    </comment>
    <comment ref="M26" authorId="0" shapeId="0" xr:uid="{08A8F1BD-D9AD-43D0-A543-0AA82ACCDA0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ΚΑΡΤΑ</t>
        </r>
      </text>
    </comment>
    <comment ref="F28" authorId="0" shapeId="0" xr:uid="{4CA4020C-1557-457A-B5E8-81EFDC90D70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150*7</t>
        </r>
      </text>
    </comment>
    <comment ref="J28" authorId="0" shapeId="0" xr:uid="{7CA23AEA-8000-4754-93E3-12DFF34AAEF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4/11/25 ΜΕΤΡΗΤΑ</t>
        </r>
      </text>
    </comment>
    <comment ref="K28" authorId="0" shapeId="0" xr:uid="{BF5CDB4E-D781-4FE9-8955-53383F8BADB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4/11/25 ΠΛΗΡΩΣΕ ΠΑΡΑΠΑΝΩ ΜΕ ΜΕΤΡΗΤΑ ΚΑΙ 8/12/25 ΜΕΤΡΗΤΑ</t>
        </r>
      </text>
    </comment>
    <comment ref="L28" authorId="0" shapeId="0" xr:uid="{917C7723-6A04-4863-BA30-F31DFC6BCD9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ΜΕΤΡΗΤΑ</t>
        </r>
      </text>
    </comment>
    <comment ref="F29" authorId="0" shapeId="0" xr:uid="{07248225-2A76-47C5-94DD-36EE4B4B6E3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150*6 
ΝΟΕΜΒΡΗΣ ΚΑΙ ΙΟΥΝΙΟΣ= 75+20</t>
        </r>
      </text>
    </comment>
    <comment ref="J29" authorId="0" shapeId="0" xr:uid="{B03CB052-0654-4AD5-ADA5-87FC0BDEA3D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25/11/25 ΚΑΤΑΘΕΣΗ ΣΥΝ ΜΕΤΑΦΟΡΑ</t>
        </r>
      </text>
    </comment>
    <comment ref="K29" authorId="0" shapeId="0" xr:uid="{576FD2EE-B58D-4142-AB9B-4AF2A48DC58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23/12/25 ΚΑΤΑΘΕΣΗ ΣΥΝ ΜΕΤΑΦΟΡΑ</t>
        </r>
      </text>
    </comment>
    <comment ref="F30" authorId="0" shapeId="0" xr:uid="{4B614C1F-2D03-4751-823F-51EBD427027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90*4 + 45</t>
        </r>
      </text>
    </comment>
    <comment ref="M30" authorId="0" shapeId="0" xr:uid="{405BED98-1D93-4EB6-8FEF-6715114EF7A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ΜΕΤΡΗΤΑ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GRAMMATEIA</author>
    <author>Gramateia New</author>
  </authors>
  <commentList>
    <comment ref="F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200*9 + 40 ΜΤΦΡ</t>
        </r>
      </text>
    </comment>
    <comment ref="H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+40 μτφρ 
19/9/24 μετρητα</t>
        </r>
      </text>
    </comment>
    <comment ref="I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23/10/24 μετρητα</t>
        </r>
      </text>
    </comment>
    <comment ref="J4" authorId="1" shapeId="0" xr:uid="{FB6ED0C5-A9CC-4316-970A-D5F8FD6D8A6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19/11/24 ΜΕΤΡΗΤΑ + ΜΤΦΡ</t>
        </r>
      </text>
    </comment>
    <comment ref="K4" authorId="1" shapeId="0" xr:uid="{0D69A251-9AC9-49B7-ACDC-30422E8532B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ΜΕΤΡΗΤΑ</t>
        </r>
      </text>
    </comment>
    <comment ref="L4" authorId="1" shapeId="0" xr:uid="{82669FF3-DCAA-41B8-B86D-75A9A256969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31/1/25 ΜΕΤΡΗΤΑ</t>
        </r>
      </text>
    </comment>
    <comment ref="M4" authorId="1" shapeId="0" xr:uid="{B97E06AC-BEFD-404B-BA42-BCEE3D927F2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27/2/25 </t>
        </r>
      </text>
    </comment>
    <comment ref="N4" authorId="1" shapeId="0" xr:uid="{F6D4CD30-4EC0-469D-B673-5D734746D50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20/3/25 ΜΕΤΡΗΤΑ</t>
        </r>
      </text>
    </comment>
    <comment ref="O4" authorId="1" shapeId="0" xr:uid="{7C54107F-8B27-4E0B-AC78-248F97D91BB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11/4/25 ΜΕΤΡΗΤΑ</t>
        </r>
      </text>
    </comment>
    <comment ref="P4" authorId="1" shapeId="0" xr:uid="{4BB37620-DE9F-43D5-B755-E9A519D9754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6/6/25 ΚΑΡΤΑ</t>
        </r>
      </text>
    </comment>
    <comment ref="F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120*9</t>
        </r>
      </text>
    </comment>
    <comment ref="H5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18/9/24</t>
        </r>
      </text>
    </comment>
    <comment ref="I5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10/10/24 μετρητα +ΜΕΤΑΦΟΡΑ</t>
        </r>
      </text>
    </comment>
    <comment ref="J5" authorId="1" shapeId="0" xr:uid="{A85567E1-7264-4F0B-8E66-8A4017FEC2D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20/11/24 METRHTA
+ΜΕΤΑΦΟΡΑ</t>
        </r>
      </text>
    </comment>
    <comment ref="K5" authorId="1" shapeId="0" xr:uid="{74E913CD-1521-49BF-B3AA-05FDEB85AC0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ΜΕΤΡΗΤΑ</t>
        </r>
      </text>
    </comment>
    <comment ref="L5" authorId="1" shapeId="0" xr:uid="{0364D3A8-32E3-4B3A-9B56-2596AC36B53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ΜΕΤΡΗΤΑ</t>
        </r>
      </text>
    </comment>
    <comment ref="M5" authorId="1" shapeId="0" xr:uid="{BAA40206-521C-41F5-BD6E-58CE989FA0E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7/2/25 ΜΕΤΡΗΤΑ</t>
        </r>
      </text>
    </comment>
    <comment ref="N5" authorId="1" shapeId="0" xr:uid="{A5B16425-23AD-4794-AA1F-DC07E3DFEE1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11/3/25</t>
        </r>
      </text>
    </comment>
    <comment ref="O5" authorId="1" shapeId="0" xr:uid="{8CAC9D3B-41AF-448A-89CF-FCE35A5DFA7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ΜΕΤΡΗΤΑ</t>
        </r>
      </text>
    </comment>
    <comment ref="P5" authorId="1" shapeId="0" xr:uid="{46021A97-29E5-4D83-B24B-DF978AB7E87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27/5/25 ΜΕΤΡΗΤΑ</t>
        </r>
      </text>
    </comment>
    <comment ref="A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 ΕΥΡΩ Η ΜΕΤΑΦΟΡΑ ΚΑΙ ΓΙΑ ΤΟΥΣ ΔΥΟ: 290 ΣΥΝΟΛΙΚΑ Ο ΚΆΘΕ ΜΗΝΑΣ</t>
        </r>
      </text>
    </comment>
    <comment ref="F6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120*9 </t>
        </r>
      </text>
    </comment>
    <comment ref="H6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18/9/24</t>
        </r>
      </text>
    </comment>
    <comment ref="I6" authorId="0" shapeId="0" xr:uid="{00000000-0006-0000-0000-00000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10/10/24 μετρητα
+ΜΕΤΑΦΟΡΑ</t>
        </r>
      </text>
    </comment>
    <comment ref="J6" authorId="1" shapeId="0" xr:uid="{4CE9E4CC-C6A0-4097-8E69-D6564E71F06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20/11/24 METRHTA
+ΜΕΤΑΦΟΡΑ</t>
        </r>
      </text>
    </comment>
    <comment ref="K6" authorId="1" shapeId="0" xr:uid="{1EE56388-A8D3-4630-8B88-50CE13D3870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ΜΕΤΡΗΤΑ</t>
        </r>
      </text>
    </comment>
    <comment ref="L6" authorId="1" shapeId="0" xr:uid="{71EECAD8-6545-4197-B278-08AE4911224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</t>
        </r>
      </text>
    </comment>
    <comment ref="M6" authorId="1" shapeId="0" xr:uid="{C0BE5E24-78DE-4683-8947-B45334236DC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7/2/25 ΜΕΤΡΗΤΑ</t>
        </r>
      </text>
    </comment>
    <comment ref="O6" authorId="1" shapeId="0" xr:uid="{5893AFC8-4007-4FCE-9E11-F6B4BF1B2D2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ΜΕΤΡΗΤΑ</t>
        </r>
      </text>
    </comment>
    <comment ref="P6" authorId="1" shapeId="0" xr:uid="{A6D0A9FD-58D0-4548-A4DE-EE0B3BD566F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27/5/25 ΜΕΤΡΗΤΑ</t>
        </r>
      </text>
    </comment>
    <comment ref="F7" authorId="0" shapeId="0" xr:uid="{00000000-0006-0000-0000-00000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180*9 + 60 ΜΤΦΡ</t>
        </r>
      </text>
    </comment>
    <comment ref="J7" authorId="1" shapeId="0" xr:uid="{1A59DA0C-6914-4C53-A29C-568DBA86FC4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12/11/24 karta</t>
        </r>
      </text>
    </comment>
    <comment ref="K7" authorId="1" shapeId="0" xr:uid="{F320A728-A783-4D67-A091-4DE1F827F47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11/12/24 ΚΑΡΤΑ</t>
        </r>
      </text>
    </comment>
    <comment ref="L7" authorId="1" shapeId="0" xr:uid="{7672D62F-EC1F-4C48-A561-CA7D93BD40F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14/1/25 ΚΑΡΤΑ</t>
        </r>
      </text>
    </comment>
    <comment ref="M7" authorId="1" shapeId="0" xr:uid="{2B062ED7-B055-4FC4-9C24-FE1A61DEBD7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11/2/25 ΚΑΡΤΑ</t>
        </r>
      </text>
    </comment>
    <comment ref="N7" authorId="1" shapeId="0" xr:uid="{9F55BA5B-E197-4B61-BFCB-36A69EE67E5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11/3/25 καρτα</t>
        </r>
      </text>
    </comment>
    <comment ref="O7" authorId="1" shapeId="0" xr:uid="{9C3063E1-F45C-43A2-A1A1-76A17127610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11/4/25 καρτα</t>
        </r>
      </text>
    </comment>
    <comment ref="P7" authorId="1" shapeId="0" xr:uid="{3510794A-44F1-4F6A-A875-26551868448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13/5/25 ΚΑΡΤΑ</t>
        </r>
      </text>
    </comment>
    <comment ref="Q7" authorId="1" shapeId="0" xr:uid="{F4AD6651-2E4B-441E-8F95-26538B78A21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12/6/25 ΚΑΡΤΑ</t>
        </r>
      </text>
    </comment>
    <comment ref="F8" authorId="0" shapeId="0" xr:uid="{00000000-0006-0000-0000-00000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180*9</t>
        </r>
      </text>
    </comment>
    <comment ref="J8" authorId="1" shapeId="0" xr:uid="{3155409F-40AB-4621-B405-714DEFB5E1D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12/11/24 karta</t>
        </r>
      </text>
    </comment>
    <comment ref="K8" authorId="1" shapeId="0" xr:uid="{4FD29A3D-53DD-4618-B908-FCAE2697D30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11/12/24 ΚΑΡΤΑ</t>
        </r>
      </text>
    </comment>
    <comment ref="L8" authorId="1" shapeId="0" xr:uid="{7220BE28-21DC-4A03-8A86-89FE5E85AF2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14/1/25 ΚΑΡΤΑ</t>
        </r>
      </text>
    </comment>
    <comment ref="M8" authorId="1" shapeId="0" xr:uid="{04CC6668-64A3-4F0D-A3D8-8604D263E76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11/2/25 ΚΑΡΤΑ</t>
        </r>
      </text>
    </comment>
    <comment ref="O8" authorId="1" shapeId="0" xr:uid="{707FCC76-A7CB-4D39-B6FB-E68A08BCBC9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11/4/25 καρτα</t>
        </r>
      </text>
    </comment>
    <comment ref="P8" authorId="1" shapeId="0" xr:uid="{754F0552-4396-45E0-B40C-26D83B02C47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13/5/25 ΚΑΡΤΑ</t>
        </r>
      </text>
    </comment>
    <comment ref="Q8" authorId="1" shapeId="0" xr:uid="{F50407A2-1845-4ECE-9758-7B99F6998E3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12/6/25 ΚΑΡΤΑ</t>
        </r>
      </text>
    </comment>
    <comment ref="F9" authorId="0" shapeId="0" xr:uid="{00000000-0006-0000-0000-00000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150*9</t>
        </r>
      </text>
    </comment>
    <comment ref="H9" authorId="0" shapeId="0" xr:uid="{00000000-0006-0000-0000-00001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4/9/24 ΚΑΡΤΑ</t>
        </r>
      </text>
    </comment>
    <comment ref="I9" authorId="0" shapeId="0" xr:uid="{00000000-0006-0000-0000-00001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7/10/24 καταθεση</t>
        </r>
      </text>
    </comment>
    <comment ref="J9" authorId="0" shapeId="0" xr:uid="{00000000-0006-0000-0000-00001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ΚΑΤΑΘΕΣΗ</t>
        </r>
      </text>
    </comment>
    <comment ref="K9" authorId="1" shapeId="0" xr:uid="{47263BAF-2237-4365-B2BC-D00BCCE7A16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ΚΑΤΑΘΕΣΗ</t>
        </r>
      </text>
    </comment>
    <comment ref="L9" authorId="1" shapeId="0" xr:uid="{4E18F925-84C0-4DA3-9167-6A01A463C3A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7/1/25 καταθεση</t>
        </r>
      </text>
    </comment>
    <comment ref="M9" authorId="1" shapeId="0" xr:uid="{2E9CBD3F-6B50-41DF-A4FA-41386D48372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καταθεση</t>
        </r>
      </text>
    </comment>
    <comment ref="N9" authorId="1" shapeId="0" xr:uid="{BED59A1B-02EA-4127-8E7B-FC1EB207542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ΚΑΤΑΘΕΣΗ</t>
        </r>
      </text>
    </comment>
    <comment ref="O9" authorId="1" shapeId="0" xr:uid="{92743D53-8D8F-413A-9BA2-2E3C9E2D415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καταθεση</t>
        </r>
      </text>
    </comment>
    <comment ref="P9" authorId="1" shapeId="0" xr:uid="{F078D090-D528-42F0-8047-6BEF9EE2FA4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2/5/25 KATATHESI</t>
        </r>
      </text>
    </comment>
    <comment ref="Q9" authorId="1" shapeId="0" xr:uid="{DA037ADF-2598-4FDF-8257-F569C4C6080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2/6/25 katathesi</t>
        </r>
      </text>
    </comment>
    <comment ref="F10" authorId="0" shapeId="0" xr:uid="{00000000-0006-0000-0000-00001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120*9 + 40 ΜΤΦΡ</t>
        </r>
      </text>
    </comment>
    <comment ref="H10" authorId="0" shapeId="0" xr:uid="{00000000-0006-0000-0000-00001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120+40
12/9/24 καρτα</t>
        </r>
      </text>
    </comment>
    <comment ref="I10" authorId="0" shapeId="0" xr:uid="{00000000-0006-0000-0000-00001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8/10/24 + 40 μτφρ</t>
        </r>
      </text>
    </comment>
    <comment ref="J10" authorId="0" shapeId="0" xr:uid="{00000000-0006-0000-0000-00001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6/11/24 ΚΑΡΤΑ</t>
        </r>
      </text>
    </comment>
    <comment ref="K10" authorId="1" shapeId="0" xr:uid="{4E9B3649-D554-4E0B-9E05-1CC0AD81227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ΚΑΡΤΑ</t>
        </r>
      </text>
    </comment>
    <comment ref="L10" authorId="1" shapeId="0" xr:uid="{3FB1F572-6C83-4BA3-8DDA-C76E3BA2F97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ΚΑΡΤΑ</t>
        </r>
      </text>
    </comment>
    <comment ref="M10" authorId="1" shapeId="0" xr:uid="{637BB97E-FE2E-4C0A-B3F8-F824DF52206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5/2/25 ΚΑΡΤΑ</t>
        </r>
      </text>
    </comment>
    <comment ref="N10" authorId="1" shapeId="0" xr:uid="{F81E24D7-E01F-468A-B428-A0EA8B02E4E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ΚΑΡΤΑ</t>
        </r>
      </text>
    </comment>
    <comment ref="O10" authorId="1" shapeId="0" xr:uid="{5D5399D3-5387-4240-A827-C35700D3B94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4/4/25 καρτα</t>
        </r>
      </text>
    </comment>
    <comment ref="P10" authorId="1" shapeId="0" xr:uid="{0F2FCF99-BBEE-450B-A5DA-EA2A84D9490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ΜΕΤΡΗΤΑ</t>
        </r>
      </text>
    </comment>
    <comment ref="F11" authorId="0" shapeId="0" xr:uid="{00000000-0006-0000-0000-00001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120*9</t>
        </r>
      </text>
    </comment>
    <comment ref="H11" authorId="0" shapeId="0" xr:uid="{00000000-0006-0000-0000-00001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16/9/24 ΚΑΡΤΑ</t>
        </r>
      </text>
    </comment>
    <comment ref="I11" authorId="0" shapeId="0" xr:uid="{00000000-0006-0000-0000-00001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30/9/24 καρτα</t>
        </r>
      </text>
    </comment>
    <comment ref="J11" authorId="0" shapeId="0" xr:uid="{00000000-0006-0000-0000-00001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31/10/24 καρτα</t>
        </r>
      </text>
    </comment>
    <comment ref="K11" authorId="1" shapeId="0" xr:uid="{26385125-6430-4D97-BF21-8C582252027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29/1/24 karta</t>
        </r>
      </text>
    </comment>
    <comment ref="L11" authorId="1" shapeId="0" xr:uid="{2A86E873-643C-4F03-8A9F-A195FDD85F4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ΜΕΤΡΗΤΑ</t>
        </r>
      </text>
    </comment>
    <comment ref="M11" authorId="1" shapeId="0" xr:uid="{B886C8F4-E027-42DD-A504-1DB6AF94580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30/1/25 METRHTA</t>
        </r>
      </text>
    </comment>
    <comment ref="N11" authorId="1" shapeId="0" xr:uid="{86BE27D8-F9FB-4008-8DF1-B916FC90A88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27/2/25 μετρητα</t>
        </r>
      </text>
    </comment>
    <comment ref="O11" authorId="1" shapeId="0" xr:uid="{1FAC7077-2ACC-4073-9F8D-5B96E63A7FE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ΜΕΤΡΗΤΑ</t>
        </r>
      </text>
    </comment>
    <comment ref="P11" authorId="1" shapeId="0" xr:uid="{776557D1-1981-45C2-8795-19ADFC243BD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6/5/25</t>
        </r>
      </text>
    </comment>
    <comment ref="Q11" authorId="1" shapeId="0" xr:uid="{F035B8CD-83C0-4379-B4CB-E610716B4A1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4/6/25 μετρητα</t>
        </r>
      </text>
    </comment>
    <comment ref="F12" authorId="1" shapeId="0" xr:uid="{229F6578-FA8D-4A07-9B48-12A19D32FD0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65+130*4+65</t>
        </r>
      </text>
    </comment>
    <comment ref="L12" authorId="1" shapeId="0" xr:uid="{ECB3BE7D-A061-4431-972E-C46F6B2F57F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30/1/25 ΜΕΤΡΗΤΑ</t>
        </r>
      </text>
    </comment>
    <comment ref="M12" authorId="1" shapeId="0" xr:uid="{84329616-CE75-460A-BC28-2D96EF75D3C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12/2/25 ΚΑΡΤΑ</t>
        </r>
      </text>
    </comment>
    <comment ref="N12" authorId="1" shapeId="0" xr:uid="{93331CD2-6263-4F23-81CA-00E389FC739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ΚΑΡΤΑ</t>
        </r>
      </text>
    </comment>
    <comment ref="O12" authorId="1" shapeId="0" xr:uid="{19C94459-8FCF-4EBE-89E5-9A18F14D0C7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28/4/25 ΚΑΡΤΑ</t>
        </r>
      </text>
    </comment>
    <comment ref="P12" authorId="1" shapeId="0" xr:uid="{4F55A335-5D11-46F7-AA05-36ED2094089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2/6/25 ΚΑΡΤΑ</t>
        </r>
      </text>
    </comment>
    <comment ref="Q12" authorId="1" shapeId="0" xr:uid="{5E9CCFA7-F72C-4B10-A1D0-210B53C7F5B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ΗΤΑΝ Ο ΜΙΣΟΣ ΜΗΝΑΣ 30/6/25</t>
        </r>
      </text>
    </comment>
    <comment ref="F13" authorId="1" shapeId="0" xr:uid="{00F0E0AA-BAF7-4033-A98C-6111E5B502E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115*4+57</t>
        </r>
      </text>
    </comment>
    <comment ref="M13" authorId="1" shapeId="0" xr:uid="{888DE3C2-D1E7-4385-8309-FEA0EC68CAE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12/2/25 ΚΑΡΤΑ</t>
        </r>
      </text>
    </comment>
    <comment ref="N13" authorId="1" shapeId="0" xr:uid="{28A9702C-20C7-4449-B5E3-E962B885967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ΚΑΡΤΑ</t>
        </r>
      </text>
    </comment>
    <comment ref="O13" authorId="1" shapeId="0" xr:uid="{86AE92D6-5B86-4DE4-AA58-2B81474A825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28/4/25 ΚΑΡΤΑ</t>
        </r>
      </text>
    </comment>
    <comment ref="P13" authorId="1" shapeId="0" xr:uid="{FA415159-2574-49D5-93C9-44FE236C805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2/6/25 ΚΑΡΤΑ</t>
        </r>
      </text>
    </comment>
    <comment ref="Q13" authorId="1" shapeId="0" xr:uid="{D40BD8CF-6163-4648-870C-C84B17FDE4A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ΗΤΑΝ Ο ΜΙΣΟΣ ΜΗΝΑΣ 30/6/25</t>
        </r>
      </text>
    </comment>
    <comment ref="F14" authorId="0" shapeId="0" xr:uid="{00000000-0006-0000-0000-00001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200*9 + 30 MTFR</t>
        </r>
      </text>
    </comment>
    <comment ref="H14" authorId="0" shapeId="0" xr:uid="{00000000-0006-0000-0000-00001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30/9/24 καταθεση</t>
        </r>
      </text>
    </comment>
    <comment ref="F15" authorId="0" shapeId="0" xr:uid="{00000000-0006-0000-0000-00001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130*9 + ΜΤΦΡ</t>
        </r>
      </text>
    </comment>
    <comment ref="H15" authorId="0" shapeId="0" xr:uid="{00000000-0006-0000-0000-00001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26/9/24 METRHTA</t>
        </r>
      </text>
    </comment>
    <comment ref="I15" authorId="0" shapeId="0" xr:uid="{00000000-0006-0000-0000-00001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2/10/24 </t>
        </r>
      </text>
    </comment>
    <comment ref="J15" authorId="0" shapeId="0" xr:uid="{00000000-0006-0000-0000-00002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30/10/24 μετρητα 33 καρτα +40 μτφρ</t>
        </r>
      </text>
    </comment>
    <comment ref="K15" authorId="1" shapeId="0" xr:uid="{423438BC-2571-45FA-A871-171D223EA66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4/12/24 ΜΕΤΡΗΤΑ</t>
        </r>
      </text>
    </comment>
    <comment ref="L15" authorId="1" shapeId="0" xr:uid="{B8F64708-2178-493E-9683-2670CCC02B8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15/1/25 ΚΑΡΤΑ</t>
        </r>
      </text>
    </comment>
    <comment ref="M15" authorId="1" shapeId="0" xr:uid="{5252037F-3036-4D19-846A-16C0FF29457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27/1/25 ΚΑΡΤΑ</t>
        </r>
      </text>
    </comment>
    <comment ref="N15" authorId="1" shapeId="0" xr:uid="{8EAE772C-71C1-4A2C-A1A9-7098A4C0BB7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26/2/25 καρτα</t>
        </r>
      </text>
    </comment>
    <comment ref="O15" authorId="1" shapeId="0" xr:uid="{16109C94-FA10-4A46-84A4-3175C061C62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7/4/25 karta</t>
        </r>
      </text>
    </comment>
    <comment ref="F16" authorId="0" shapeId="0" xr:uid="{00000000-0006-0000-0000-00002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130*8+65</t>
        </r>
      </text>
    </comment>
    <comment ref="H16" authorId="0" shapeId="0" xr:uid="{00000000-0006-0000-0000-00002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2/10/24</t>
        </r>
      </text>
    </comment>
    <comment ref="I16" authorId="0" shapeId="0" xr:uid="{00000000-0006-0000-0000-00002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7/11/24</t>
        </r>
      </text>
    </comment>
    <comment ref="J16" authorId="0" shapeId="0" xr:uid="{00000000-0006-0000-0000-00002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7/11/24 karta</t>
        </r>
      </text>
    </comment>
    <comment ref="M16" authorId="1" shapeId="0" xr:uid="{E1D449C1-60C5-486A-A0F1-6E14D378F29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μετρητα</t>
        </r>
      </text>
    </comment>
    <comment ref="N16" authorId="1" shapeId="0" xr:uid="{CD1C2A42-461A-43C1-97F3-DA35E01B3BF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2/7/25 ΚΑΤΑΘΕΣΗ</t>
        </r>
      </text>
    </comment>
    <comment ref="F17" authorId="0" shapeId="0" xr:uid="{356685B4-C005-408C-BB79-87457594EFE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120*5 ΜΕΤΑΦΟΡΑ ΑΠΌ ΚΑΙ ΠΡΟΣ 60 €</t>
        </r>
      </text>
    </comment>
    <comment ref="H17" authorId="0" shapeId="0" xr:uid="{DFDC51F9-BB0B-45FD-84E4-50724C6F8F2F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2/10/24</t>
        </r>
      </text>
    </comment>
    <comment ref="I17" authorId="0" shapeId="0" xr:uid="{1920C63C-D402-4B2A-A746-120B2B59D966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1/11/24 καρτα</t>
        </r>
      </text>
    </comment>
    <comment ref="J17" authorId="1" shapeId="0" xr:uid="{00CD3DCF-9F3A-4577-8EC3-0A793EED596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4/12/24 ΚΑΡΤΑ</t>
        </r>
      </text>
    </comment>
    <comment ref="K17" authorId="1" shapeId="0" xr:uid="{57B31F23-F0F5-473F-B047-1ED074AA219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ΚΑΡΤΑ</t>
        </r>
      </text>
    </comment>
    <comment ref="L17" authorId="1" shapeId="0" xr:uid="{A144B60C-77BF-4976-B263-96EB1A765F7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13/1/25</t>
        </r>
      </text>
    </comment>
    <comment ref="N17" authorId="1" shapeId="0" xr:uid="{304FBC59-8F7D-4CDE-8792-B7BE4C9A14B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ΚΑΡΤΑ</t>
        </r>
      </text>
    </comment>
    <comment ref="O17" authorId="1" shapeId="0" xr:uid="{74B9198D-70F1-4433-83BF-34BF4C11517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10/4/25 καρτα</t>
        </r>
      </text>
    </comment>
    <comment ref="P17" authorId="1" shapeId="0" xr:uid="{7886405D-CE73-4F7F-8C68-31758C92B24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14/5/25 καρτα</t>
        </r>
      </text>
    </comment>
    <comment ref="F18" authorId="0" shapeId="0" xr:uid="{00000000-0006-0000-0000-00002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200*9 + 50 ΜΤΦΡ</t>
        </r>
      </text>
    </comment>
    <comment ref="H18" authorId="0" shapeId="0" xr:uid="{00000000-0006-0000-0000-00002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20/9/24 ΚΑΡΤΑ</t>
        </r>
      </text>
    </comment>
    <comment ref="I18" authorId="1" shapeId="0" xr:uid="{48048BE5-67BC-4BD6-884E-8737CE8D74D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27/11/24 ΚΑΡΤΑ</t>
        </r>
      </text>
    </comment>
    <comment ref="J18" authorId="1" shapeId="0" xr:uid="{175DD30D-FD9D-4F9B-AC5A-E1F01B82508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500 20/5/25 </t>
        </r>
      </text>
    </comment>
    <comment ref="F19" authorId="0" shapeId="0" xr:uid="{00000000-0006-0000-0000-00002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140*9</t>
        </r>
      </text>
    </comment>
    <comment ref="H19" authorId="0" shapeId="0" xr:uid="{00000000-0006-0000-0000-00002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16/9/24 ΚΑΡΤΑ</t>
        </r>
      </text>
    </comment>
    <comment ref="I19" authorId="0" shapeId="0" xr:uid="{00000000-0006-0000-0000-00002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24/10/24 καταθεση</t>
        </r>
      </text>
    </comment>
    <comment ref="J19" authorId="1" shapeId="0" xr:uid="{793FDC17-39E1-4223-87D8-2D824010E59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14/11/24 καταθεση</t>
        </r>
      </text>
    </comment>
    <comment ref="K19" authorId="1" shapeId="0" xr:uid="{280DF3D9-2CD9-43DE-900D-BF36928DAAD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ΜΕΤΡΗΤΑ ΚΑΡΤΑ</t>
        </r>
      </text>
    </comment>
    <comment ref="L19" authorId="1" shapeId="0" xr:uid="{0BE4C35D-6B0A-4941-8995-1F2F8D5C2F5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27/1/25 ΜΕΤΡΗΤΑ</t>
        </r>
      </text>
    </comment>
    <comment ref="M19" authorId="1" shapeId="0" xr:uid="{17ADE41C-496E-4773-8DF4-A3700B5E9EF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ΚΑΤΑΘΕΣΗ</t>
        </r>
      </text>
    </comment>
    <comment ref="N19" authorId="1" shapeId="0" xr:uid="{44A53DD1-6195-4B0B-88E3-485CB5C65BE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ΚΑΤΑΘΕΣΗ</t>
        </r>
      </text>
    </comment>
    <comment ref="O19" authorId="1" shapeId="0" xr:uid="{4BF732DD-BF52-4B79-8187-307E856DED1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28/4/25 καταθεση</t>
        </r>
      </text>
    </comment>
    <comment ref="P19" authorId="1" shapeId="0" xr:uid="{A28BA719-6876-4A69-9A11-E7A03871713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21/5/2025</t>
        </r>
      </text>
    </comment>
    <comment ref="Q19" authorId="1" shapeId="0" xr:uid="{0A2EE701-B54B-4993-AA59-1542ECC2915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13/6/25 ΚΑΤΑΘΕΣΗ</t>
        </r>
      </text>
    </comment>
    <comment ref="F20" authorId="0" shapeId="0" xr:uid="{00000000-0006-0000-0000-00002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200*9</t>
        </r>
      </text>
    </comment>
    <comment ref="H20" authorId="0" shapeId="0" xr:uid="{00000000-0006-0000-0000-00002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16/9/24 ΚΑΡΤΑ</t>
        </r>
      </text>
    </comment>
    <comment ref="I20" authorId="0" shapeId="0" xr:uid="{00000000-0006-0000-0000-00002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24/10/24 καταθεση</t>
        </r>
      </text>
    </comment>
    <comment ref="J20" authorId="1" shapeId="0" xr:uid="{472248FC-A2A4-478F-AE64-B12815B5F33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14/11/24 καταθεση</t>
        </r>
      </text>
    </comment>
    <comment ref="K20" authorId="1" shapeId="0" xr:uid="{53A49F33-0020-4C17-97B5-25CD60E012F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ΜΕΤΡΗΤΑ ΚΑΡΤΑ</t>
        </r>
      </text>
    </comment>
    <comment ref="L20" authorId="1" shapeId="0" xr:uid="{3E9BB44D-9AC5-4821-8A10-9443D11E11C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27/1/25 ΜΕΤΡΗΤΑ</t>
        </r>
      </text>
    </comment>
    <comment ref="M20" authorId="1" shapeId="0" xr:uid="{54B46D8F-E6AD-4F68-A1DD-262CFB361C9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ΚΑΤΑΘΕΣΗ</t>
        </r>
      </text>
    </comment>
    <comment ref="N20" authorId="1" shapeId="0" xr:uid="{E0E00D05-9417-4617-9509-CE7D7724841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ΚΑΤΑΘΕΣΗ</t>
        </r>
      </text>
    </comment>
    <comment ref="O20" authorId="1" shapeId="0" xr:uid="{F5018656-0C13-4E63-B07B-D5141BA9219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28/4/25 καταθεση</t>
        </r>
      </text>
    </comment>
    <comment ref="P20" authorId="1" shapeId="0" xr:uid="{D74AF0CA-22EB-47FC-BE06-B5202D21032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21/5/25</t>
        </r>
      </text>
    </comment>
    <comment ref="Q20" authorId="1" shapeId="0" xr:uid="{CE3EFA48-787F-4591-B58E-73277F8DACF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13/6/25 ΚΑΤΑΘΕΣΗ</t>
        </r>
      </text>
    </comment>
    <comment ref="F21" authorId="0" shapeId="0" xr:uid="{00000000-0006-0000-0000-00002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120*9 + 30 ΜΤΦΡ</t>
        </r>
      </text>
    </comment>
    <comment ref="H21" authorId="0" shapeId="0" xr:uid="{00000000-0006-0000-0000-00002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9/9/24 ΚΑΡΤΑ 60+15 ΜΙΣΟΣ ΜΗΝΑΣ</t>
        </r>
      </text>
    </comment>
    <comment ref="I21" authorId="0" shapeId="0" xr:uid="{00000000-0006-0000-0000-00002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4/10/24 </t>
        </r>
      </text>
    </comment>
    <comment ref="J21" authorId="0" shapeId="0" xr:uid="{00000000-0006-0000-0000-00003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ΚΑΡΤΑ</t>
        </r>
      </text>
    </comment>
    <comment ref="K21" authorId="1" shapeId="0" xr:uid="{7B02E2AD-4438-4047-901B-D0FFD543B45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6/12/24 ΚΑΡΤΑ</t>
        </r>
      </text>
    </comment>
    <comment ref="L21" authorId="1" shapeId="0" xr:uid="{A78429D8-956F-43DC-AFF6-7375B445417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20/12/24 καρτα</t>
        </r>
      </text>
    </comment>
    <comment ref="M21" authorId="1" shapeId="0" xr:uid="{FC76D417-8E71-4CC8-9E3C-D0422AA21EE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ΚΑΡΤΑ</t>
        </r>
      </text>
    </comment>
    <comment ref="N21" authorId="1" shapeId="0" xr:uid="{B7E82C0B-1600-4AB9-BAAC-F0AF95466BA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καρτα</t>
        </r>
      </text>
    </comment>
    <comment ref="O21" authorId="1" shapeId="0" xr:uid="{00D89495-869C-4871-A410-B4564FF5410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ΚΑΡΤΑ</t>
        </r>
      </text>
    </comment>
    <comment ref="P21" authorId="1" shapeId="0" xr:uid="{AF97A168-B37E-4F43-BA83-F4BB362BADD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7/5/25 ΚΑΡΤΑ</t>
        </r>
      </text>
    </comment>
    <comment ref="Q21" authorId="1" shapeId="0" xr:uid="{B3DBD56B-88A8-4478-AECB-81C25667F1E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6/6/25 καρτα</t>
        </r>
      </text>
    </comment>
    <comment ref="F22" authorId="0" shapeId="0" xr:uid="{00000000-0006-0000-0000-00003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130*9 + 40 ΜΤΦΡ</t>
        </r>
      </text>
    </comment>
    <comment ref="H22" authorId="0" shapeId="0" xr:uid="{00000000-0006-0000-0000-00003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1/10/24 ΜΕΤΡΗΤΑ</t>
        </r>
      </text>
    </comment>
    <comment ref="I22" authorId="0" shapeId="0" xr:uid="{00000000-0006-0000-0000-00003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21/10/24 καρτα</t>
        </r>
      </text>
    </comment>
    <comment ref="J22" authorId="0" shapeId="0" xr:uid="{00000000-0006-0000-0000-00003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6/11/24 ΚΑΡΤΑ</t>
        </r>
      </text>
    </comment>
    <comment ref="K22" authorId="1" shapeId="0" xr:uid="{ECA646D6-9845-4055-B5D9-4B4B5FE798F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4/12/24 ΚΑΡΤΑ</t>
        </r>
      </text>
    </comment>
    <comment ref="L22" authorId="1" shapeId="0" xr:uid="{C3593D67-63C5-4C82-8203-A4EB5A6CAED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ΚΑΡΤΑ</t>
        </r>
      </text>
    </comment>
    <comment ref="M22" authorId="1" shapeId="0" xr:uid="{D756D91A-4F9E-48E6-8C5F-04611D5C2A6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ΚΑΡΤΑ</t>
        </r>
      </text>
    </comment>
    <comment ref="N22" authorId="1" shapeId="0" xr:uid="{CF0573F2-BFA1-43DC-9D3F-441FF877595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ΚΑΡΤΑ</t>
        </r>
      </text>
    </comment>
    <comment ref="O22" authorId="1" shapeId="0" xr:uid="{89CBE2B7-EB18-430C-BC7D-86E2C4AC967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7/4/25 karta</t>
        </r>
      </text>
    </comment>
    <comment ref="P22" authorId="1" shapeId="0" xr:uid="{7CA5A259-0EC6-45BC-96A0-24038F9A8E3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7/5/25 ΚΑΡΤΑ</t>
        </r>
      </text>
    </comment>
    <comment ref="Q22" authorId="1" shapeId="0" xr:uid="{4D181599-F353-434E-A815-93F2B271A8A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17/6/25 ΚΑΡΤΑ +20 ΜΤΦΡ</t>
        </r>
      </text>
    </comment>
    <comment ref="F23" authorId="0" shapeId="0" xr:uid="{00000000-0006-0000-0000-00003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130*9 + 60 ΜΤΦΡ 
1700 CASH</t>
        </r>
      </text>
    </comment>
    <comment ref="G23" authorId="0" shapeId="0" xr:uid="{00000000-0006-0000-0000-00003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13/6/2024</t>
        </r>
      </text>
    </comment>
    <comment ref="F24" authorId="0" shapeId="0" xr:uid="{00000000-0006-0000-0000-00003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120*8+60</t>
        </r>
      </text>
    </comment>
    <comment ref="H24" authorId="0" shapeId="0" xr:uid="{00000000-0006-0000-0000-00003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30/9/24 καταθεση</t>
        </r>
      </text>
    </comment>
    <comment ref="I24" authorId="0" shapeId="0" xr:uid="{00000000-0006-0000-0000-00003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4/10/24 καταθεση</t>
        </r>
      </text>
    </comment>
    <comment ref="J24" authorId="0" shapeId="0" xr:uid="{00000000-0006-0000-0000-00003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6/11/24 ΚΑΤΑΘΕΣΗ</t>
        </r>
      </text>
    </comment>
    <comment ref="K24" authorId="1" shapeId="0" xr:uid="{9E408F87-BAEC-43F2-B59B-15C9B00604F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5/12/24 ΚΑΤΑΘΕΣΗ</t>
        </r>
      </text>
    </comment>
    <comment ref="L24" authorId="1" shapeId="0" xr:uid="{A4708F3A-318D-41E8-AF8D-82F1B70AECC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καταθεση</t>
        </r>
      </text>
    </comment>
    <comment ref="M24" authorId="1" shapeId="0" xr:uid="{912EB025-0266-484D-90FF-DB29C710810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7/2/25 ΚΑΤΑΘΕΣΗ</t>
        </r>
      </text>
    </comment>
    <comment ref="P24" authorId="1" shapeId="0" xr:uid="{501C4FA2-E836-4FB7-96E0-09B550CDA68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1/5/25 KATATHESI</t>
        </r>
      </text>
    </comment>
    <comment ref="F25" authorId="0" shapeId="0" xr:uid="{00000000-0006-0000-0000-00003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150*9</t>
        </r>
      </text>
    </comment>
    <comment ref="H25" authorId="0" shapeId="0" xr:uid="{00000000-0006-0000-0000-00003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2/10/24</t>
        </r>
      </text>
    </comment>
    <comment ref="I25" authorId="0" shapeId="0" xr:uid="{00000000-0006-0000-0000-00003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1/11/24 καρτα</t>
        </r>
      </text>
    </comment>
    <comment ref="J25" authorId="1" shapeId="0" xr:uid="{6815F706-D4C9-4088-AF7C-97A11AC3EFD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4/12/24 ΚΑΡΤΑ</t>
        </r>
      </text>
    </comment>
    <comment ref="K25" authorId="1" shapeId="0" xr:uid="{4149DA90-73DC-44DC-B7AB-90DE7A8E3F3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ΚΑΡΤΑ</t>
        </r>
      </text>
    </comment>
    <comment ref="L25" authorId="1" shapeId="0" xr:uid="{3E29C13D-3401-4F87-BA05-7F5D08A520F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6/2/25 καρτα</t>
        </r>
      </text>
    </comment>
    <comment ref="M25" authorId="1" shapeId="0" xr:uid="{61B07F9A-EB08-4253-A6B5-7FECF4D70C3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ΚΑΡΤΑ</t>
        </r>
      </text>
    </comment>
    <comment ref="N25" authorId="1" shapeId="0" xr:uid="{315A3F7E-E47C-46C4-9853-216F07604D3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ΚΑΡΤΑ</t>
        </r>
      </text>
    </comment>
    <comment ref="O25" authorId="1" shapeId="0" xr:uid="{B8B6C0F2-88E3-4B4A-80DC-F727E2C0FFA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ΚΑΡΤΑ</t>
        </r>
      </text>
    </comment>
    <comment ref="P25" authorId="1" shapeId="0" xr:uid="{39D897BA-0ADD-4F2D-B380-82E625020A6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2/6/25 ΚΑΡΤΑ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GRAMMATEIA</author>
    <author>Gramateia New</author>
  </authors>
  <commentList>
    <comment ref="F4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150*9</t>
        </r>
      </text>
    </comment>
    <comment ref="I4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5/10/23 καταθεση</t>
        </r>
      </text>
    </comment>
    <comment ref="J4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6/11/23 ΚΑΤΑΘΕΣΗ</t>
        </r>
      </text>
    </comment>
    <comment ref="K4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4/12/23 KATATHESI</t>
        </r>
      </text>
    </comment>
    <comment ref="L4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8/1/24 ΚΑΤΑΘΕΣΗ</t>
        </r>
      </text>
    </comment>
    <comment ref="M4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5/2/24 ΚΑΤΑΘΕΣΗ</t>
        </r>
      </text>
    </comment>
    <comment ref="N4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KATATHESI</t>
        </r>
      </text>
    </comment>
    <comment ref="O4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4/4/24 ΚΑΤΑΘΕΣΗ</t>
        </r>
      </text>
    </comment>
    <comment ref="P4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8/5/24 KATATHESI</t>
        </r>
      </text>
    </comment>
    <comment ref="Q4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13/6/24 KATATHESI</t>
        </r>
      </text>
    </comment>
    <comment ref="F5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200*4 + 40 ΜΕΤΑΦ</t>
        </r>
      </text>
    </comment>
    <comment ref="M5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1/2/24 ΜΕΤΡΗΤΑ 
+40 ΜΕΤΑΦΟΡΑ</t>
        </r>
      </text>
    </comment>
    <comment ref="N5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8/3/24 ΜΕΤΡΗΤΑ
+40 metafora</t>
        </r>
      </text>
    </comment>
    <comment ref="O5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15/4/24 ΜΕΤΡΗΤΑ
40 ΜΕΤΑΦΟΡΑ</t>
        </r>
      </text>
    </comment>
    <comment ref="P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μετρητα
40 μεταφορα</t>
        </r>
      </text>
    </comment>
    <comment ref="Q5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11/6/24 μετρητα</t>
        </r>
      </text>
    </comment>
    <comment ref="F6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75+150*8+75 IOYNIOS</t>
        </r>
      </text>
    </comment>
    <comment ref="G6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30/6/2023</t>
        </r>
      </text>
    </comment>
    <comment ref="H6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12/9/2023 KARTA</t>
        </r>
      </text>
    </comment>
    <comment ref="I6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3/10/23
</t>
        </r>
      </text>
    </comment>
    <comment ref="J6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8/11/23 ΚΑΡΤΑ
</t>
        </r>
      </text>
    </comment>
    <comment ref="K6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11/12/23 ΚΑΡΤΑ</t>
        </r>
      </text>
    </comment>
    <comment ref="L6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12/1/24 καρτα</t>
        </r>
      </text>
    </comment>
    <comment ref="M6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9/2/24 ΚΑΡΤΑ</t>
        </r>
      </text>
    </comment>
    <comment ref="N6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12/3/24 καρτα</t>
        </r>
      </text>
    </comment>
    <comment ref="O6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4/4/24 μετρητα</t>
        </r>
      </text>
    </comment>
    <comment ref="P6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20/5/24 ΜΕΤΡΗΤΑ</t>
        </r>
      </text>
    </comment>
    <comment ref="F7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120*2+60</t>
        </r>
      </text>
    </comment>
    <comment ref="F8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40ΠΡΟΚ + (130*8) + 90ΣΕΠ</t>
        </r>
      </text>
    </comment>
    <comment ref="G8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10/5/23</t>
        </r>
      </text>
    </comment>
    <comment ref="F9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130*9</t>
        </r>
      </text>
    </comment>
    <comment ref="H9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16/9/2023 ΚΑΤΑΘ</t>
        </r>
      </text>
    </comment>
    <comment ref="I9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16/10/23 ΚΑΤΑΘΕΣΗ
</t>
        </r>
      </text>
    </comment>
    <comment ref="J9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23/10/23 KATATHESI</t>
        </r>
      </text>
    </comment>
    <comment ref="K9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20/11/23 ΚΑΤΑΘΕΣΗ</t>
        </r>
      </text>
    </comment>
    <comment ref="L9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22/12/23 KATATHESI </t>
        </r>
      </text>
    </comment>
    <comment ref="M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24/1/24 ΚΑΤΑΘΕΣΗ</t>
        </r>
      </text>
    </comment>
    <comment ref="N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27/2/24 ΚΑΤΑΘΕΣΗ</t>
        </r>
      </text>
    </comment>
    <comment ref="O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26/3/24 KATATHESI</t>
        </r>
      </text>
    </comment>
    <comment ref="P9" authorId="1" shapeId="0" xr:uid="{63C3BB16-9026-4AB8-B233-E137DFE2A8F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23/12/24 καταθεση</t>
        </r>
      </text>
    </comment>
    <comment ref="F1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180*9 + 60 = 240</t>
        </r>
      </text>
    </comment>
    <comment ref="H1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20/9/2023</t>
        </r>
      </text>
    </comment>
    <comment ref="I1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11/10/23</t>
        </r>
      </text>
    </comment>
    <comment ref="J10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10/11/23</t>
        </r>
      </text>
    </comment>
    <comment ref="K10" authorId="0" shapeId="0" xr:uid="{00000000-0006-0000-0100-00002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14/12/23 ΜΕΤΡΗΤΑ</t>
        </r>
      </text>
    </comment>
    <comment ref="L10" authorId="0" shapeId="0" xr:uid="{00000000-0006-0000-0100-00002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11/1/24 ΚΑΡΤΑ + ΜΕΤΡΗΤΑ</t>
        </r>
      </text>
    </comment>
    <comment ref="M10" authorId="0" shapeId="0" xr:uid="{00000000-0006-0000-0100-00002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16/2/24 ΚΑΡΤΑ</t>
        </r>
      </text>
    </comment>
    <comment ref="N10" authorId="0" shapeId="0" xr:uid="{00000000-0006-0000-0100-00002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12/3/24 ΚΑΡΤΑ</t>
        </r>
      </text>
    </comment>
    <comment ref="O10" authorId="0" shapeId="0" xr:uid="{00000000-0006-0000-0100-00003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11/4/24 καρτα</t>
        </r>
      </text>
    </comment>
    <comment ref="P10" authorId="0" shapeId="0" xr:uid="{00000000-0006-0000-0100-00003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15/5/24 ΚΑΡΤΑ</t>
        </r>
      </text>
    </comment>
    <comment ref="F11" authorId="0" shapeId="0" xr:uid="{00000000-0006-0000-0100-00003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130*9 +60 = 190</t>
        </r>
      </text>
    </comment>
    <comment ref="H11" authorId="0" shapeId="0" xr:uid="{00000000-0006-0000-0100-00003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20/9/23 ΜΕΤΡΗΤΑ
</t>
        </r>
      </text>
    </comment>
    <comment ref="J11" authorId="0" shapeId="0" xr:uid="{00000000-0006-0000-0100-00003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10/11/23</t>
        </r>
      </text>
    </comment>
    <comment ref="K11" authorId="0" shapeId="0" xr:uid="{00000000-0006-0000-0100-00003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14/12/23 ΜΕΤΡΗΤΑ</t>
        </r>
      </text>
    </comment>
    <comment ref="L11" authorId="0" shapeId="0" xr:uid="{00000000-0006-0000-0100-00003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11/1/24 ΚΑΡΤΑ + ΜΕΤΡΗΤΑ</t>
        </r>
      </text>
    </comment>
    <comment ref="M11" authorId="0" shapeId="0" xr:uid="{00000000-0006-0000-0100-00003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16/2/24 ΚΑΡΤΑ</t>
        </r>
      </text>
    </comment>
    <comment ref="N11" authorId="0" shapeId="0" xr:uid="{00000000-0006-0000-0100-00003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12/3/24 ΚΑΡΤΑ</t>
        </r>
      </text>
    </comment>
    <comment ref="O11" authorId="0" shapeId="0" xr:uid="{00000000-0006-0000-0100-00003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11/4/24 καρτα</t>
        </r>
      </text>
    </comment>
    <comment ref="P11" authorId="0" shapeId="0" xr:uid="{00000000-0006-0000-0100-00003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15/5/24 ΚΑΡΤΑ</t>
        </r>
      </text>
    </comment>
    <comment ref="F12" authorId="0" shapeId="0" xr:uid="{00000000-0006-0000-0100-00003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120*9 ΜΕ ΜΕΤΑΦΟΡΑ
</t>
        </r>
      </text>
    </comment>
    <comment ref="H12" authorId="0" shapeId="0" xr:uid="{00000000-0006-0000-0100-00003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ΜΕΤΡΗΤΑ
</t>
        </r>
      </text>
    </comment>
    <comment ref="J12" authorId="0" shapeId="0" xr:uid="{00000000-0006-0000-0100-00003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2/11/2023 METRHTA</t>
        </r>
      </text>
    </comment>
    <comment ref="K12" authorId="0" shapeId="0" xr:uid="{00000000-0006-0000-0100-00003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ΜΕΤΡΗΤΑ</t>
        </r>
      </text>
    </comment>
    <comment ref="L12" authorId="0" shapeId="0" xr:uid="{00000000-0006-0000-0100-00003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8/1/24 ΜΕΤΡΗΤΑ</t>
        </r>
      </text>
    </comment>
    <comment ref="M12" authorId="0" shapeId="0" xr:uid="{00000000-0006-0000-0100-00004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5/2/24 ΜΕΤΡΗΤΑ</t>
        </r>
      </text>
    </comment>
    <comment ref="N12" authorId="0" shapeId="0" xr:uid="{00000000-0006-0000-0100-00004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ΜΕΤΡΗΤΑ</t>
        </r>
      </text>
    </comment>
    <comment ref="O12" authorId="0" shapeId="0" xr:uid="{00000000-0006-0000-0100-00004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3/4/24 ΜΕΤΡΗΤΑ</t>
        </r>
      </text>
    </comment>
    <comment ref="P12" authorId="0" shapeId="0" xr:uid="{00000000-0006-0000-0100-00004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ΜΕΤΡΗΤΑ</t>
        </r>
      </text>
    </comment>
    <comment ref="F13" authorId="0" shapeId="0" xr:uid="{00000000-0006-0000-0100-00004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230*9
30 METAFORA</t>
        </r>
      </text>
    </comment>
    <comment ref="H13" authorId="0" shapeId="0" xr:uid="{00000000-0006-0000-0100-00004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14/9/2023 KARTA</t>
        </r>
      </text>
    </comment>
    <comment ref="I13" authorId="0" shapeId="0" xr:uid="{00000000-0006-0000-0100-00004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5/10/23 ΚΑΡΤΑ
</t>
        </r>
      </text>
    </comment>
    <comment ref="J13" authorId="0" shapeId="0" xr:uid="{00000000-0006-0000-0100-00004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3/11/23 ΚΑΡΤΑ</t>
        </r>
      </text>
    </comment>
    <comment ref="K13" authorId="0" shapeId="0" xr:uid="{00000000-0006-0000-0100-00004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5/12/23 ΚΑΡΤΑ</t>
        </r>
      </text>
    </comment>
    <comment ref="L13" authorId="0" shapeId="0" xr:uid="{00000000-0006-0000-0100-00004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10/1/24 ΚΑΡΤΑ</t>
        </r>
      </text>
    </comment>
    <comment ref="M13" authorId="0" shapeId="0" xr:uid="{00000000-0006-0000-0100-00004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2/2/24 ΚΑΡΤΑ</t>
        </r>
      </text>
    </comment>
    <comment ref="N13" authorId="0" shapeId="0" xr:uid="{00000000-0006-0000-0100-00004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6/3/24 ΚΑΡΤΑ</t>
        </r>
      </text>
    </comment>
    <comment ref="O13" authorId="0" shapeId="0" xr:uid="{00000000-0006-0000-0100-00004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3/4/24 ΚΑΡΤΑ</t>
        </r>
      </text>
    </comment>
    <comment ref="P13" authorId="0" shapeId="0" xr:uid="{00000000-0006-0000-0100-00004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ΚΑΡΤΑ</t>
        </r>
      </text>
    </comment>
    <comment ref="A14" authorId="0" shapeId="0" xr:uid="{00000000-0006-0000-0100-00004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ΤΕΛΟΣ ΤΟΥ ΜΗΝΑ ΠΛΗΡΩΝΕΙ </t>
        </r>
      </text>
    </comment>
    <comment ref="F14" authorId="0" shapeId="0" xr:uid="{00000000-0006-0000-0100-00004F000000}">
      <text>
        <r>
          <rPr>
            <b/>
            <sz val="9"/>
            <color indexed="81"/>
            <rFont val="Tahoma"/>
            <family val="2"/>
            <charset val="161"/>
          </rPr>
          <t>GRAMMATEIA:
(120+30) *9</t>
        </r>
      </text>
    </comment>
    <comment ref="H14" authorId="0" shapeId="0" xr:uid="{00000000-0006-0000-0100-00005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KARTA</t>
        </r>
      </text>
    </comment>
    <comment ref="I14" authorId="0" shapeId="0" xr:uid="{00000000-0006-0000-0100-00005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
</t>
        </r>
      </text>
    </comment>
    <comment ref="F15" authorId="0" shapeId="0" xr:uid="{00000000-0006-0000-0100-00005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120*9</t>
        </r>
      </text>
    </comment>
    <comment ref="H15" authorId="0" shapeId="0" xr:uid="{00000000-0006-0000-0100-000053000000}">
      <text>
        <r>
          <rPr>
            <b/>
            <sz val="9"/>
            <color indexed="81"/>
            <rFont val="Tahoma"/>
            <family val="2"/>
            <charset val="161"/>
          </rPr>
          <t>GRAMMATEIA:
120+30 ΜΕΤΡΗΤΑ 12/9/23</t>
        </r>
      </text>
    </comment>
    <comment ref="I15" authorId="0" shapeId="0" xr:uid="{00000000-0006-0000-0100-00005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120+30 10/10/23 METRHTA
</t>
        </r>
      </text>
    </comment>
    <comment ref="J15" authorId="0" shapeId="0" xr:uid="{00000000-0006-0000-0100-00005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7/11/23 ΜΕΤΡΗΤΑ
120+30</t>
        </r>
      </text>
    </comment>
    <comment ref="K15" authorId="0" shapeId="0" xr:uid="{00000000-0006-0000-0100-00005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7/12/23 ΜΕΤΡΗΤΑ
120+30</t>
        </r>
      </text>
    </comment>
    <comment ref="L15" authorId="0" shapeId="0" xr:uid="{00000000-0006-0000-0100-00005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9/1/24 ΚΑΡΤΑ 
120+30</t>
        </r>
      </text>
    </comment>
    <comment ref="M15" authorId="0" shapeId="0" xr:uid="{00000000-0006-0000-0100-00005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2/2/24 ΚΑΡΤΑ
120+30</t>
        </r>
      </text>
    </comment>
    <comment ref="N15" authorId="0" shapeId="0" xr:uid="{00000000-0006-0000-0100-00005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ΜΕΤΡΗΤΑ 
120+30</t>
        </r>
      </text>
    </comment>
    <comment ref="O15" authorId="0" shapeId="0" xr:uid="{00000000-0006-0000-0100-00005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3/4/24 ΚΑΡΤΑ
120+30</t>
        </r>
      </text>
    </comment>
    <comment ref="P15" authorId="0" shapeId="0" xr:uid="{00000000-0006-0000-0100-00005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16/5/24 ΚΑΡΤΑ</t>
        </r>
      </text>
    </comment>
    <comment ref="F16" authorId="0" shapeId="0" xr:uid="{00000000-0006-0000-0100-00005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(110+20)*9</t>
        </r>
      </text>
    </comment>
    <comment ref="H16" authorId="0" shapeId="0" xr:uid="{00000000-0006-0000-0100-00005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110+20 ΚΑΡΤΑ 11/9/23
</t>
        </r>
      </text>
    </comment>
    <comment ref="F17" authorId="0" shapeId="0" xr:uid="{00000000-0006-0000-0100-00005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230*9 
(30 METAFORA)</t>
        </r>
      </text>
    </comment>
    <comment ref="H17" authorId="0" shapeId="0" xr:uid="{00000000-0006-0000-0100-00005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31/10/23 ΚΑΡΤΑ
</t>
        </r>
      </text>
    </comment>
    <comment ref="I17" authorId="0" shapeId="0" xr:uid="{00000000-0006-0000-0100-00006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31/10/23 ΚΑΡΤΑ
</t>
        </r>
      </text>
    </comment>
    <comment ref="J17" authorId="0" shapeId="0" xr:uid="{00000000-0006-0000-0100-00006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22/1/24 ΚΑΤΑΘΣΗ</t>
        </r>
      </text>
    </comment>
    <comment ref="K17" authorId="0" shapeId="0" xr:uid="{00000000-0006-0000-0100-00006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22/1/24 ΚΑΤΑΘΣΗ</t>
        </r>
      </text>
    </comment>
    <comment ref="L17" authorId="0" shapeId="0" xr:uid="{00000000-0006-0000-0100-00006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28/2/24 ΚΑΤΑΘΕΣΗ</t>
        </r>
      </text>
    </comment>
    <comment ref="M17" authorId="0" shapeId="0" xr:uid="{00000000-0006-0000-0100-00006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27/3/24 KATATHESI</t>
        </r>
      </text>
    </comment>
    <comment ref="N17" authorId="0" shapeId="0" xr:uid="{00000000-0006-0000-0100-00006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10/5/24 KATATHESI</t>
        </r>
      </text>
    </comment>
    <comment ref="Q17" authorId="0" shapeId="0" xr:uid="{00000000-0006-0000-0100-00006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28/6/24 katathesi</t>
        </r>
      </text>
    </comment>
    <comment ref="F18" authorId="0" shapeId="0" xr:uid="{00000000-0006-0000-0100-00006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110*9</t>
        </r>
      </text>
    </comment>
    <comment ref="H18" authorId="0" shapeId="0" xr:uid="{00000000-0006-0000-0100-00006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110+20 11/9 ΜΕΤΡΗΤΑ</t>
        </r>
      </text>
    </comment>
    <comment ref="I18" authorId="0" shapeId="0" xr:uid="{00000000-0006-0000-0100-00006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6/10/23 ΜΕΤΡΗΤΑ
</t>
        </r>
      </text>
    </comment>
    <comment ref="F19" authorId="0" shapeId="0" xr:uid="{00000000-0006-0000-0100-00006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110*9</t>
        </r>
      </text>
    </comment>
    <comment ref="H19" authorId="0" shapeId="0" xr:uid="{00000000-0006-0000-0100-00006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110+20 11/9 ΜΕΤΡΗΤΑ</t>
        </r>
      </text>
    </comment>
    <comment ref="I19" authorId="0" shapeId="0" xr:uid="{00000000-0006-0000-0100-00006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6/10/23 ΜΕΤΡΗΤΑ</t>
        </r>
      </text>
    </comment>
    <comment ref="F20" authorId="0" shapeId="0" xr:uid="{00000000-0006-0000-0100-00006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200*9</t>
        </r>
      </text>
    </comment>
    <comment ref="I20" authorId="0" shapeId="0" xr:uid="{00000000-0006-0000-0100-00006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17/10/23 ΚΑΤΑΘΕΣΗ
</t>
        </r>
      </text>
    </comment>
    <comment ref="J20" authorId="0" shapeId="0" xr:uid="{00000000-0006-0000-0100-00006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27/11/23 ΚΑΤΑΘΕΣΗ</t>
        </r>
      </text>
    </comment>
    <comment ref="K20" authorId="0" shapeId="0" xr:uid="{00000000-0006-0000-0100-00007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21/12/23 ΚΑΤΑΘΕΣΗ</t>
        </r>
      </text>
    </comment>
    <comment ref="L20" authorId="0" shapeId="0" xr:uid="{00000000-0006-0000-0100-00007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15/1/24 KATATHESI</t>
        </r>
      </text>
    </comment>
    <comment ref="M20" authorId="0" shapeId="0" xr:uid="{00000000-0006-0000-0100-00007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26/2/24 ΚΑΤΑΘΕΣΗ</t>
        </r>
      </text>
    </comment>
    <comment ref="N20" authorId="0" shapeId="0" xr:uid="{00000000-0006-0000-0100-00007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2/4/24 ΚΑΤΑΘΕΣΗ</t>
        </r>
      </text>
    </comment>
    <comment ref="O20" authorId="0" shapeId="0" xr:uid="{00000000-0006-0000-0100-00007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29/4/24 KATATHESI</t>
        </r>
      </text>
    </comment>
    <comment ref="P20" authorId="0" shapeId="0" xr:uid="{00000000-0006-0000-0100-00007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13/6/24 ΚΑΤΑΘΕΣΗ</t>
        </r>
      </text>
    </comment>
    <comment ref="F21" authorId="0" shapeId="0" xr:uid="{00000000-0006-0000-0100-00007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150*9</t>
        </r>
      </text>
    </comment>
    <comment ref="H21" authorId="0" shapeId="0" xr:uid="{00000000-0006-0000-0100-00007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430 ΚΑΤΑΘΕΣΗ 18/9/23</t>
        </r>
      </text>
    </comment>
    <comment ref="I21" authorId="0" shapeId="0" xr:uid="{00000000-0006-0000-0100-00007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17/10/23 ΚΑΤΑΘΕΣΗ</t>
        </r>
      </text>
    </comment>
    <comment ref="J21" authorId="0" shapeId="0" xr:uid="{00000000-0006-0000-0100-00007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27/11/23 ΚΑΤΑΘΕΣΗ</t>
        </r>
      </text>
    </comment>
    <comment ref="K21" authorId="0" shapeId="0" xr:uid="{00000000-0006-0000-0100-00007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21/12/23 ΚΑΤΑΘΕΣΗ</t>
        </r>
      </text>
    </comment>
    <comment ref="L21" authorId="0" shapeId="0" xr:uid="{00000000-0006-0000-0100-00007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15/1/24 KATATHESI</t>
        </r>
      </text>
    </comment>
    <comment ref="M21" authorId="0" shapeId="0" xr:uid="{00000000-0006-0000-0100-00007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26/2/24 ΚΑΤΑΘΕΣΗ</t>
        </r>
      </text>
    </comment>
    <comment ref="N21" authorId="0" shapeId="0" xr:uid="{00000000-0006-0000-0100-00007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2/4/24 ΚΑΤΑΘΕΣΗ</t>
        </r>
      </text>
    </comment>
    <comment ref="O21" authorId="0" shapeId="0" xr:uid="{00000000-0006-0000-0100-00007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29/4/24 KATATHESI</t>
        </r>
      </text>
    </comment>
    <comment ref="P21" authorId="0" shapeId="0" xr:uid="{00000000-0006-0000-0100-00007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13/6/24 ΚΑΤΑΘΕΣΗ</t>
        </r>
      </text>
    </comment>
    <comment ref="I22" authorId="0" shapeId="0" xr:uid="{00000000-0006-0000-0100-00008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230 ΜΕ ΜΕΤΑΦΟΡΑ ΚΑΤΑΘΕΣΗ 6/10/23
</t>
        </r>
      </text>
    </comment>
    <comment ref="F23" authorId="0" shapeId="0" xr:uid="{00000000-0006-0000-0100-00008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120*9</t>
        </r>
      </text>
    </comment>
    <comment ref="H23" authorId="0" shapeId="0" xr:uid="{00000000-0006-0000-0100-00008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120+30 ΚΑΡΤΑ 11/9/23</t>
        </r>
      </text>
    </comment>
    <comment ref="I23" authorId="0" shapeId="0" xr:uid="{00000000-0006-0000-0100-00008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11/10/23 KARTA
120+30
</t>
        </r>
      </text>
    </comment>
    <comment ref="F24" authorId="0" shapeId="0" xr:uid="{00000000-0006-0000-0100-00008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55*8,5</t>
        </r>
      </text>
    </comment>
    <comment ref="I24" authorId="0" shapeId="0" xr:uid="{00000000-0006-0000-0100-00008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27/9/23 ΜΕΤΡΗΤΑ
</t>
        </r>
      </text>
    </comment>
    <comment ref="J24" authorId="0" shapeId="0" xr:uid="{00000000-0006-0000-0100-00008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9/11/23 ΜΕΤΡΗΤΑ</t>
        </r>
      </text>
    </comment>
    <comment ref="F25" authorId="0" shapeId="0" xr:uid="{00000000-0006-0000-0100-00008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130*9
(110 + 20 ΜΕΤΑΦΟΡΑ)</t>
        </r>
      </text>
    </comment>
    <comment ref="G25" authorId="0" shapeId="0" xr:uid="{00000000-0006-0000-0100-00008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8/9/2023</t>
        </r>
      </text>
    </comment>
    <comment ref="F26" authorId="0" shapeId="0" xr:uid="{00000000-0006-0000-0100-00008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130*9</t>
        </r>
      </text>
    </comment>
    <comment ref="H26" authorId="0" shapeId="0" xr:uid="{00000000-0006-0000-0100-00008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8/9/23
130+30</t>
        </r>
      </text>
    </comment>
    <comment ref="I26" authorId="0" shapeId="0" xr:uid="{00000000-0006-0000-0100-00008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4/10/23 ΚΑΡΤΑ
130+30
</t>
        </r>
      </text>
    </comment>
    <comment ref="J26" authorId="0" shapeId="0" xr:uid="{00000000-0006-0000-0100-00008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2/11/23 ΜΕΤΡΗΤΑ 
130+30</t>
        </r>
      </text>
    </comment>
    <comment ref="K26" authorId="0" shapeId="0" xr:uid="{00000000-0006-0000-0100-00008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130+30 
27/11/23 ΚΑΡΤΑ ΚΑΙ ΜΕΤΡΗΤΑ</t>
        </r>
      </text>
    </comment>
    <comment ref="L26" authorId="0" shapeId="0" xr:uid="{00000000-0006-0000-0100-00008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8/1/23 ΜΕΤΡΗΤΑ 
130+30</t>
        </r>
      </text>
    </comment>
    <comment ref="M26" authorId="0" shapeId="0" xr:uid="{00000000-0006-0000-0100-00008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31/1/24 μετρητα
130+30</t>
        </r>
      </text>
    </comment>
    <comment ref="N26" authorId="0" shapeId="0" xr:uid="{00000000-0006-0000-0100-00009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ΜΕΤΡΗΤΑ
130+30</t>
        </r>
      </text>
    </comment>
    <comment ref="O26" authorId="0" shapeId="0" xr:uid="{00000000-0006-0000-0100-00009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1/4/24 μετρητα
130+30</t>
        </r>
      </text>
    </comment>
    <comment ref="P26" authorId="0" shapeId="0" xr:uid="{00000000-0006-0000-0100-00009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14/5/24 
130+30</t>
        </r>
      </text>
    </comment>
    <comment ref="F27" authorId="0" shapeId="0" xr:uid="{00000000-0006-0000-0100-00009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150*9</t>
        </r>
      </text>
    </comment>
    <comment ref="H27" authorId="0" shapeId="0" xr:uid="{00000000-0006-0000-0100-00009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21/9/2023 ΚΑΤΑΘΕΣΗ</t>
        </r>
      </text>
    </comment>
    <comment ref="I27" authorId="0" shapeId="0" xr:uid="{00000000-0006-0000-0100-00009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11/10/23 ΚΑΤΑΘΕΣΗ
</t>
        </r>
      </text>
    </comment>
    <comment ref="J27" authorId="0" shapeId="0" xr:uid="{00000000-0006-0000-0100-00009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11/11/23 KARTA</t>
        </r>
      </text>
    </comment>
    <comment ref="K27" authorId="0" shapeId="0" xr:uid="{00000000-0006-0000-0100-00009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18/12/223 ΚΑΡΤΑ</t>
        </r>
      </text>
    </comment>
    <comment ref="L27" authorId="0" shapeId="0" xr:uid="{00000000-0006-0000-0100-00009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18/1/24 καρτα</t>
        </r>
      </text>
    </comment>
    <comment ref="M27" authorId="0" shapeId="0" xr:uid="{00000000-0006-0000-0100-00009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20/2/24 ΚΑΡΤΑ</t>
        </r>
      </text>
    </comment>
    <comment ref="N27" authorId="0" shapeId="0" xr:uid="{00000000-0006-0000-0100-00009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6/3/24 ΚΑΡΤΑ</t>
        </r>
      </text>
    </comment>
    <comment ref="F28" authorId="0" shapeId="0" xr:uid="{00000000-0006-0000-0100-00009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130*9</t>
        </r>
      </text>
    </comment>
    <comment ref="H28" authorId="0" shapeId="0" xr:uid="{00000000-0006-0000-0100-00009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14/9/2023 ΚΑΡΤΑ
</t>
        </r>
      </text>
    </comment>
    <comment ref="I28" authorId="0" shapeId="0" xr:uid="{00000000-0006-0000-0100-00009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3/10/23 ΚΑΡΤΑ
</t>
        </r>
      </text>
    </comment>
    <comment ref="J28" authorId="0" shapeId="0" xr:uid="{00000000-0006-0000-0100-00009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3/11/23 ΚΑΤΑΘΕΣΗ</t>
        </r>
      </text>
    </comment>
    <comment ref="K28" authorId="0" shapeId="0" xr:uid="{00000000-0006-0000-0100-00009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12/12/23 καταθεση</t>
        </r>
      </text>
    </comment>
    <comment ref="L28" authorId="0" shapeId="0" xr:uid="{00000000-0006-0000-0100-0000A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17/01/24 ΚΑΡΤΑ</t>
        </r>
      </text>
    </comment>
    <comment ref="M28" authorId="0" shapeId="0" xr:uid="{00000000-0006-0000-0100-0000A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19/2/24 ΚΑΡΤΑ</t>
        </r>
      </text>
    </comment>
    <comment ref="N28" authorId="0" shapeId="0" xr:uid="{00000000-0006-0000-0100-0000A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26/3/24 katauesh</t>
        </r>
      </text>
    </comment>
    <comment ref="O28" authorId="0" shapeId="0" xr:uid="{00000000-0006-0000-0100-0000A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11/4/24 ΚΑΤΑΘΕΣΗ</t>
        </r>
      </text>
    </comment>
    <comment ref="P28" authorId="0" shapeId="0" xr:uid="{00000000-0006-0000-0100-0000A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15/5/24 KARTA</t>
        </r>
      </text>
    </comment>
    <comment ref="Q28" authorId="0" shapeId="0" xr:uid="{00000000-0006-0000-0100-0000A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6/6/24 katathesi</t>
        </r>
      </text>
    </comment>
    <comment ref="F29" authorId="0" shapeId="0" xr:uid="{00000000-0006-0000-0100-0000A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200*9</t>
        </r>
      </text>
    </comment>
    <comment ref="H29" authorId="0" shapeId="0" xr:uid="{00000000-0006-0000-0100-0000A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14/9/23 ΚΑΡΤΑ</t>
        </r>
      </text>
    </comment>
    <comment ref="I29" authorId="0" shapeId="0" xr:uid="{00000000-0006-0000-0100-0000A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3/10/23 ΚΑΡΤΑ
</t>
        </r>
      </text>
    </comment>
    <comment ref="J29" authorId="0" shapeId="0" xr:uid="{00000000-0006-0000-0100-0000A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3/11/23 ΚΑΤΑΘΕΣΗ
</t>
        </r>
      </text>
    </comment>
    <comment ref="M29" authorId="0" shapeId="0" xr:uid="{00000000-0006-0000-0100-0000A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19/2/24 ΚΑΡΤΑ</t>
        </r>
      </text>
    </comment>
    <comment ref="N29" authorId="0" shapeId="0" xr:uid="{00000000-0006-0000-0100-0000A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26/3/24 katauesh</t>
        </r>
      </text>
    </comment>
    <comment ref="O29" authorId="0" shapeId="0" xr:uid="{00000000-0006-0000-0100-0000A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11/4/24 ΚΑΤΑΘΕΣΗ</t>
        </r>
      </text>
    </comment>
    <comment ref="P29" authorId="0" shapeId="0" xr:uid="{00000000-0006-0000-0100-0000A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15/5/24 KARTA</t>
        </r>
      </text>
    </comment>
    <comment ref="Q29" authorId="0" shapeId="0" xr:uid="{00000000-0006-0000-0100-0000A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6/6/24 katathesi</t>
        </r>
      </text>
    </comment>
    <comment ref="F30" authorId="0" shapeId="0" xr:uid="{00000000-0006-0000-0100-0000A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120*9 
</t>
        </r>
      </text>
    </comment>
    <comment ref="H30" authorId="0" shapeId="0" xr:uid="{00000000-0006-0000-0100-0000B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4/9/2023 
120+30 KARTA</t>
        </r>
      </text>
    </comment>
    <comment ref="I30" authorId="0" shapeId="0" xr:uid="{00000000-0006-0000-0100-0000B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KARTA
120+30
</t>
        </r>
      </text>
    </comment>
    <comment ref="J30" authorId="0" shapeId="0" xr:uid="{00000000-0006-0000-0100-0000B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2/11/2023 KARTA
120+30</t>
        </r>
      </text>
    </comment>
    <comment ref="K30" authorId="0" shapeId="0" xr:uid="{00000000-0006-0000-0100-0000B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1/12/23 ΚΑΡΤΑ 
120+30</t>
        </r>
      </text>
    </comment>
    <comment ref="L30" authorId="0" shapeId="0" xr:uid="{00000000-0006-0000-0100-0000B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8/1/24 ΚΑΡΤΑ
120+30
</t>
        </r>
      </text>
    </comment>
    <comment ref="M30" authorId="0" shapeId="0" xr:uid="{00000000-0006-0000-0100-0000B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2/2/24 ΚΑΡΤΑ
120+30</t>
        </r>
      </text>
    </comment>
    <comment ref="N30" authorId="0" shapeId="0" xr:uid="{00000000-0006-0000-0100-0000B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
120+30</t>
        </r>
      </text>
    </comment>
    <comment ref="O30" authorId="0" shapeId="0" xr:uid="{00000000-0006-0000-0100-0000B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4/4/24
120+30</t>
        </r>
      </text>
    </comment>
    <comment ref="P30" authorId="0" shapeId="0" xr:uid="{00000000-0006-0000-0100-0000B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29/4/24 KARTA
120+50</t>
        </r>
      </text>
    </comment>
    <comment ref="F31" authorId="0" shapeId="0" xr:uid="{00000000-0006-0000-0100-0000B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140*8</t>
        </r>
      </text>
    </comment>
    <comment ref="I31" authorId="0" shapeId="0" xr:uid="{00000000-0006-0000-0100-0000B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26/10/23 ΚΑΤΑΘΕΣΗ</t>
        </r>
      </text>
    </comment>
    <comment ref="J31" authorId="0" shapeId="0" xr:uid="{00000000-0006-0000-0100-0000B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29/11/23 KATATHESI</t>
        </r>
      </text>
    </comment>
    <comment ref="K31" authorId="0" shapeId="0" xr:uid="{00000000-0006-0000-0100-0000B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21/12/23 KATATHESI </t>
        </r>
      </text>
    </comment>
    <comment ref="L31" authorId="0" shapeId="0" xr:uid="{00000000-0006-0000-0100-0000B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17/1/24 ΜΕΤΡΗΤΑ</t>
        </r>
      </text>
    </comment>
    <comment ref="F32" authorId="0" shapeId="0" xr:uid="{00000000-0006-0000-0100-0000B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120*3 + 60</t>
        </r>
      </text>
    </comment>
    <comment ref="N32" authorId="0" shapeId="0" xr:uid="{00000000-0006-0000-0100-0000B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8/3/24 ΚΑΡΤΑ</t>
        </r>
      </text>
    </comment>
    <comment ref="O32" authorId="0" shapeId="0" xr:uid="{00000000-0006-0000-0100-0000C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10/4/24 ΚΑΡΤΑ
</t>
        </r>
      </text>
    </comment>
    <comment ref="P32" authorId="0" shapeId="0" xr:uid="{00000000-0006-0000-0100-0000C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ΚΑΡΤΑ</t>
        </r>
      </text>
    </comment>
    <comment ref="F33" authorId="0" shapeId="0" xr:uid="{00000000-0006-0000-0100-0000C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130*9</t>
        </r>
      </text>
    </comment>
    <comment ref="H33" authorId="0" shapeId="0" xr:uid="{00000000-0006-0000-0100-0000C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7/9/2023 
130+40 karta
</t>
        </r>
      </text>
    </comment>
    <comment ref="I33" authorId="0" shapeId="0" xr:uid="{00000000-0006-0000-0100-0000C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4/10/23 ΚΑΡΤΑ
130+40</t>
        </r>
      </text>
    </comment>
    <comment ref="J33" authorId="0" shapeId="0" xr:uid="{00000000-0006-0000-0100-0000C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8/11/23 ΚΑΡΤΑ
130+40</t>
        </r>
      </text>
    </comment>
    <comment ref="K33" authorId="0" shapeId="0" xr:uid="{00000000-0006-0000-0100-0000C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ΚΑΡΤΑ
130+40</t>
        </r>
      </text>
    </comment>
    <comment ref="L33" authorId="0" shapeId="0" xr:uid="{00000000-0006-0000-0100-0000C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10/1/24 ΚΑΡΤΑ
130+40</t>
        </r>
      </text>
    </comment>
    <comment ref="M33" authorId="0" shapeId="0" xr:uid="{00000000-0006-0000-0100-0000C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7/2/24 μετρητα
130+40</t>
        </r>
      </text>
    </comment>
    <comment ref="N33" authorId="0" shapeId="0" xr:uid="{00000000-0006-0000-0100-0000C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6/3/24 ΜΕΤΡΗΤΑ 
130+40</t>
        </r>
      </text>
    </comment>
    <comment ref="O33" authorId="0" shapeId="0" xr:uid="{00000000-0006-0000-0100-0000C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8/4/24 ΚΑΡΤΆ
130+40</t>
        </r>
      </text>
    </comment>
    <comment ref="P33" authorId="0" shapeId="0" xr:uid="{00000000-0006-0000-0100-0000C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ΚΑΡΤΑ
13+40</t>
        </r>
      </text>
    </comment>
    <comment ref="F34" authorId="0" shapeId="0" xr:uid="{00000000-0006-0000-0100-0000C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130*9</t>
        </r>
      </text>
    </comment>
    <comment ref="H34" authorId="0" shapeId="0" xr:uid="{00000000-0006-0000-0100-0000C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ΣΕΠΤ+ΜΕΤΑΦ</t>
        </r>
      </text>
    </comment>
    <comment ref="I34" authorId="0" shapeId="0" xr:uid="{00000000-0006-0000-0100-0000C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03/09/2023</t>
        </r>
      </text>
    </comment>
    <comment ref="K34" authorId="0" shapeId="0" xr:uid="{00000000-0006-0000-0100-0000C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5/12/23 ΜΕΤΡΗΤΑ </t>
        </r>
      </text>
    </comment>
    <comment ref="L34" authorId="0" shapeId="0" xr:uid="{00000000-0006-0000-0100-0000D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12/012024</t>
        </r>
      </text>
    </comment>
    <comment ref="M34" authorId="0" shapeId="0" xr:uid="{00000000-0006-0000-0100-0000D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20/2/24 </t>
        </r>
      </text>
    </comment>
    <comment ref="P34" authorId="0" shapeId="0" xr:uid="{00000000-0006-0000-0100-0000D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28/5/24 μετρητα</t>
        </r>
      </text>
    </comment>
    <comment ref="H35" authorId="0" shapeId="0" xr:uid="{00000000-0006-0000-0100-0000D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2/10/2023 ΚΑΡΤΑ</t>
        </r>
      </text>
    </comment>
    <comment ref="I35" authorId="0" shapeId="0" xr:uid="{00000000-0006-0000-0100-0000D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3/11/23 ΚΑΡΤΑ</t>
        </r>
      </text>
    </comment>
    <comment ref="J35" authorId="0" shapeId="0" xr:uid="{00000000-0006-0000-0100-0000D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29/11/23 ΚΑΡΤΑ</t>
        </r>
      </text>
    </comment>
    <comment ref="K35" authorId="0" shapeId="0" xr:uid="{00000000-0006-0000-0100-0000D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13/12/23 ΚΑΡΤΑ</t>
        </r>
      </text>
    </comment>
    <comment ref="L35" authorId="0" shapeId="0" xr:uid="{00000000-0006-0000-0100-0000D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31/1/24 ΚΑΡΤΑ</t>
        </r>
      </text>
    </comment>
    <comment ref="M35" authorId="0" shapeId="0" xr:uid="{00000000-0006-0000-0100-0000D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ΚΑΡΤΑ
</t>
        </r>
      </text>
    </comment>
    <comment ref="N35" authorId="0" shapeId="0" xr:uid="{00000000-0006-0000-0100-0000D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1/4/24 ΚΑΡΤΑ</t>
        </r>
      </text>
    </comment>
    <comment ref="O35" authorId="0" shapeId="0" xr:uid="{00000000-0006-0000-0100-0000D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23/4/24 καρτα
(αποδειξη λεει μαλλισο)</t>
        </r>
      </text>
    </comment>
    <comment ref="P35" authorId="0" shapeId="0" xr:uid="{00000000-0006-0000-0100-0000D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3/6/24 ΚΑΡΤΑ</t>
        </r>
      </text>
    </comment>
    <comment ref="F36" authorId="0" shapeId="0" xr:uid="{00000000-0006-0000-0100-0000D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130*9</t>
        </r>
      </text>
    </comment>
    <comment ref="H36" authorId="0" shapeId="0" xr:uid="{00000000-0006-0000-0100-0000D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13/9/23 
130+30 ΜΕΤΡΗΤΑ</t>
        </r>
      </text>
    </comment>
    <comment ref="I36" authorId="0" shapeId="0" xr:uid="{00000000-0006-0000-0100-0000D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
130+30 METRHTA
</t>
        </r>
      </text>
    </comment>
    <comment ref="J36" authorId="0" shapeId="0" xr:uid="{00000000-0006-0000-0100-0000D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13/11/23 ΚΑΡΤΑ
130+30</t>
        </r>
      </text>
    </comment>
    <comment ref="K36" authorId="0" shapeId="0" xr:uid="{00000000-0006-0000-0100-0000E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ΚΑΡΤΑ
130+30</t>
        </r>
      </text>
    </comment>
    <comment ref="L36" authorId="0" shapeId="0" xr:uid="{00000000-0006-0000-0100-0000E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10/1/24 ΚΑΡΤΑ
130+30</t>
        </r>
      </text>
    </comment>
    <comment ref="M36" authorId="0" shapeId="0" xr:uid="{00000000-0006-0000-0100-0000E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2/2/24 ΚΑΡΤΑ
130+30</t>
        </r>
      </text>
    </comment>
    <comment ref="N36" authorId="0" shapeId="0" xr:uid="{00000000-0006-0000-0100-0000E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6/3/24 ΜΕΤΡΗΤΑ
130+30</t>
        </r>
      </text>
    </comment>
    <comment ref="O36" authorId="0" shapeId="0" xr:uid="{00000000-0006-0000-0100-0000E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3/4/24 μετρητα
130+30</t>
        </r>
      </text>
    </comment>
    <comment ref="P36" authorId="0" shapeId="0" xr:uid="{00000000-0006-0000-0100-0000E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21/5/24 ΜΕΤΡΗΤΑ
ΜΕΤΡΗΤΑ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GRAMMATEIA</author>
  </authors>
  <commentList>
    <comment ref="G4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5/10/22</t>
        </r>
      </text>
    </comment>
    <comment ref="H4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</t>
        </r>
      </text>
    </comment>
    <comment ref="I4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5/12/22</t>
        </r>
      </text>
    </comment>
    <comment ref="J4" authorId="0" shapeId="0" xr:uid="{00000000-0006-0000-0200-000004000000}">
      <text>
        <r>
          <rPr>
            <b/>
            <sz val="9"/>
            <color indexed="81"/>
            <rFont val="Tahoma"/>
            <family val="2"/>
            <charset val="161"/>
          </rPr>
          <t>GRAMMATEIA:9/1/2023 EUROBANK</t>
        </r>
      </text>
    </comment>
    <comment ref="K4" authorId="0" shapeId="0" xr:uid="{00000000-0006-0000-0200-00000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6/2/2023 ΕΥΡΟ</t>
        </r>
      </text>
    </comment>
    <comment ref="M4" authorId="0" shapeId="0" xr:uid="{00000000-0006-0000-0200-00000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4/4/2023 eur</t>
        </r>
      </text>
    </comment>
    <comment ref="N4" authorId="0" shapeId="0" xr:uid="{00000000-0006-0000-0200-00000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5/5/223 ΕΥΡΟΒΑΝΚ</t>
        </r>
      </text>
    </comment>
    <comment ref="O4" authorId="0" shapeId="0" xr:uid="{00000000-0006-0000-0200-00000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6/6/2023</t>
        </r>
      </text>
    </comment>
    <comment ref="I5" authorId="0" shapeId="0" xr:uid="{00000000-0006-0000-0200-00000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15/12/22</t>
        </r>
      </text>
    </comment>
    <comment ref="J5" authorId="0" shapeId="0" xr:uid="{00000000-0006-0000-0200-00000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11/1/23</t>
        </r>
      </text>
    </comment>
    <comment ref="L5" authorId="0" shapeId="0" xr:uid="{00000000-0006-0000-0200-00000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1/3/2023 ΚΑΡΤΑ</t>
        </r>
      </text>
    </comment>
    <comment ref="M5" authorId="0" shapeId="0" xr:uid="{00000000-0006-0000-0200-00000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3/4/2023 karta</t>
        </r>
      </text>
    </comment>
    <comment ref="H6" authorId="0" shapeId="0" xr:uid="{00000000-0006-0000-0200-00000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10/11/2022 ΚΑΡΤΑ</t>
        </r>
      </text>
    </comment>
    <comment ref="H7" authorId="0" shapeId="0" xr:uid="{00000000-0006-0000-0200-00000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</t>
        </r>
      </text>
    </comment>
    <comment ref="I7" authorId="0" shapeId="0" xr:uid="{00000000-0006-0000-0200-00000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7/12/22</t>
        </r>
      </text>
    </comment>
    <comment ref="J7" authorId="0" shapeId="0" xr:uid="{00000000-0006-0000-0200-00001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9/1/2023 EUROBANK</t>
        </r>
      </text>
    </comment>
    <comment ref="K7" authorId="0" shapeId="0" xr:uid="{00000000-0006-0000-0200-00001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6/2/2023 ΕΥΡΟΒΑΝΚ</t>
        </r>
      </text>
    </comment>
    <comment ref="L7" authorId="0" shapeId="0" xr:uid="{00000000-0006-0000-0200-00001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6/3/2023 ΕΥΡΟ</t>
        </r>
      </text>
    </comment>
    <comment ref="M7" authorId="0" shapeId="0" xr:uid="{00000000-0006-0000-0200-00001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6/4/23 ΕΥΡΟΒ</t>
        </r>
      </text>
    </comment>
    <comment ref="N7" authorId="0" shapeId="0" xr:uid="{00000000-0006-0000-0200-00001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9/5/23 ΕΥΡΟΒΑΝΚ</t>
        </r>
      </text>
    </comment>
    <comment ref="H9" authorId="0" shapeId="0" xr:uid="{00000000-0006-0000-0200-00001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3/11/2022</t>
        </r>
      </text>
    </comment>
    <comment ref="I9" authorId="0" shapeId="0" xr:uid="{00000000-0006-0000-0200-00001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2/12/2022 ΚΑΡΤΑ</t>
        </r>
      </text>
    </comment>
    <comment ref="J9" authorId="0" shapeId="0" xr:uid="{00000000-0006-0000-0200-00001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12/1/23 ΚΑΡΤΑ</t>
        </r>
      </text>
    </comment>
    <comment ref="L9" authorId="0" shapeId="0" xr:uid="{00000000-0006-0000-0200-00001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2/3/2023 καρτα</t>
        </r>
      </text>
    </comment>
    <comment ref="M9" authorId="0" shapeId="0" xr:uid="{00000000-0006-0000-0200-00001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6/4/2023 ΚΑΡΤΑ</t>
        </r>
      </text>
    </comment>
    <comment ref="N9" authorId="0" shapeId="0" xr:uid="{00000000-0006-0000-0200-00001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4/5/2023</t>
        </r>
      </text>
    </comment>
    <comment ref="O9" authorId="0" shapeId="0" xr:uid="{00000000-0006-0000-0200-00001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2/6/2023</t>
        </r>
      </text>
    </comment>
    <comment ref="G10" authorId="0" shapeId="0" xr:uid="{00000000-0006-0000-0200-00001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20/10/2022 METRHTA 510 460+50</t>
        </r>
      </text>
    </comment>
    <comment ref="H10" authorId="0" shapeId="0" xr:uid="{00000000-0006-0000-0200-00001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460 ευρω</t>
        </r>
      </text>
    </comment>
    <comment ref="J10" authorId="0" shapeId="0" xr:uid="{00000000-0006-0000-0200-00001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17/1/2023 920 metrhta</t>
        </r>
      </text>
    </comment>
    <comment ref="K10" authorId="0" shapeId="0" xr:uid="{00000000-0006-0000-0200-00001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460 2/3/2023 ΑΛΦΑ</t>
        </r>
      </text>
    </comment>
    <comment ref="L10" authorId="0" shapeId="0" xr:uid="{00000000-0006-0000-0200-00002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460 4/4/2023 ΑΛΦΑ</t>
        </r>
      </text>
    </comment>
    <comment ref="M10" authorId="0" shapeId="0" xr:uid="{00000000-0006-0000-0200-00002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460 9/5/23 alpha</t>
        </r>
      </text>
    </comment>
    <comment ref="N10" authorId="0" shapeId="0" xr:uid="{00000000-0006-0000-0200-00002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21/6/23</t>
        </r>
      </text>
    </comment>
    <comment ref="I12" authorId="0" shapeId="0" xr:uid="{00000000-0006-0000-0200-00002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1/12/22</t>
        </r>
      </text>
    </comment>
    <comment ref="J12" authorId="0" shapeId="0" xr:uid="{00000000-0006-0000-0200-00002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3/1/2023 ΕΘΝΙΚΗ</t>
        </r>
      </text>
    </comment>
    <comment ref="L12" authorId="0" shapeId="0" xr:uid="{00000000-0006-0000-0200-00002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2/3/2023 ΕΘΝ</t>
        </r>
      </text>
    </comment>
    <comment ref="M12" authorId="0" shapeId="0" xr:uid="{00000000-0006-0000-0200-00002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3/4/2023 ethniki</t>
        </r>
      </text>
    </comment>
    <comment ref="O12" authorId="0" shapeId="0" xr:uid="{00000000-0006-0000-0200-00002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30/05/2023</t>
        </r>
      </text>
    </comment>
    <comment ref="F13" authorId="0" shapeId="0" xr:uid="{00000000-0006-0000-0200-00002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16/9/2022</t>
        </r>
      </text>
    </comment>
    <comment ref="H13" authorId="0" shapeId="0" xr:uid="{00000000-0006-0000-0200-00002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3/11/2022</t>
        </r>
      </text>
    </comment>
    <comment ref="I13" authorId="0" shapeId="0" xr:uid="{00000000-0006-0000-0200-00002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130+20 ΜΕΤΑΦΟΡΑ 7/12/2022</t>
        </r>
      </text>
    </comment>
    <comment ref="J13" authorId="0" shapeId="0" xr:uid="{00000000-0006-0000-0200-00002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12/1/23</t>
        </r>
      </text>
    </comment>
    <comment ref="L13" authorId="0" shapeId="0" xr:uid="{00000000-0006-0000-0200-00002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150  3/3/2023 μετρητα</t>
        </r>
      </text>
    </comment>
    <comment ref="M13" authorId="0" shapeId="0" xr:uid="{00000000-0006-0000-0200-00002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3/4/2023 eunikh</t>
        </r>
      </text>
    </comment>
    <comment ref="N13" authorId="0" shapeId="0" xr:uid="{00000000-0006-0000-0200-00002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10/5/2023</t>
        </r>
      </text>
    </comment>
    <comment ref="O13" authorId="0" shapeId="0" xr:uid="{00000000-0006-0000-0200-00002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8/6/2023</t>
        </r>
      </text>
    </comment>
    <comment ref="F14" authorId="0" shapeId="0" xr:uid="{00000000-0006-0000-0200-00003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28/9/22</t>
        </r>
      </text>
    </comment>
    <comment ref="G14" authorId="0" shapeId="0" xr:uid="{00000000-0006-0000-0200-00003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27/10</t>
        </r>
      </text>
    </comment>
    <comment ref="I14" authorId="0" shapeId="0" xr:uid="{00000000-0006-0000-0200-00003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16/12/2022 PIRAIOS</t>
        </r>
      </text>
    </comment>
    <comment ref="J14" authorId="0" shapeId="0" xr:uid="{00000000-0006-0000-0200-00003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150 13/1/2023</t>
        </r>
      </text>
    </comment>
    <comment ref="K14" authorId="0" shapeId="0" xr:uid="{00000000-0006-0000-0200-00003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25/1/2023 ΠΕΙΡ</t>
        </r>
      </text>
    </comment>
    <comment ref="L14" authorId="0" shapeId="0" xr:uid="{00000000-0006-0000-0200-00003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28/3/2023 PEIR</t>
        </r>
      </text>
    </comment>
    <comment ref="M14" authorId="0" shapeId="0" xr:uid="{00000000-0006-0000-0200-00003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27/4/23 ΠΕΙΡΑΙΩΣ</t>
        </r>
      </text>
    </comment>
    <comment ref="N14" authorId="0" shapeId="0" xr:uid="{00000000-0006-0000-0200-00003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26/5/2023</t>
        </r>
      </text>
    </comment>
    <comment ref="G15" authorId="0" shapeId="0" xr:uid="{00000000-0006-0000-0200-00003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4/10/22 +10</t>
        </r>
      </text>
    </comment>
    <comment ref="H15" authorId="0" shapeId="0" xr:uid="{00000000-0006-0000-0200-00003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3/11/2022</t>
        </r>
      </text>
    </comment>
    <comment ref="I15" authorId="0" shapeId="0" xr:uid="{00000000-0006-0000-0200-00003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2/12/22</t>
        </r>
      </text>
    </comment>
    <comment ref="J15" authorId="0" shapeId="0" xr:uid="{00000000-0006-0000-0200-00003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21/12/2022 καρτα</t>
        </r>
      </text>
    </comment>
    <comment ref="L15" authorId="0" shapeId="0" xr:uid="{00000000-0006-0000-0200-00003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150 3/3/2023</t>
        </r>
      </text>
    </comment>
    <comment ref="M15" authorId="0" shapeId="0" xr:uid="{00000000-0006-0000-0200-00003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150 7/4/2023</t>
        </r>
      </text>
    </comment>
    <comment ref="N15" authorId="0" shapeId="0" xr:uid="{00000000-0006-0000-0200-00003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8/5/2023</t>
        </r>
      </text>
    </comment>
    <comment ref="H16" authorId="0" shapeId="0" xr:uid="{00000000-0006-0000-0200-00003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190+20 μεταφορα 9/11/2022</t>
        </r>
      </text>
    </comment>
    <comment ref="H18" authorId="0" shapeId="0" xr:uid="{00000000-0006-0000-0200-00004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2/11/2022 ΚΑΡΤΑ</t>
        </r>
      </text>
    </comment>
    <comment ref="I18" authorId="0" shapeId="0" xr:uid="{00000000-0006-0000-0200-00004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170 ΕΥΡΩ ΚΑΡΤΑ 5/12/2022</t>
        </r>
      </text>
    </comment>
    <comment ref="J18" authorId="0" shapeId="0" xr:uid="{00000000-0006-0000-0200-00004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21/12/2022 ΚΑΡΤΑ +30 ΜΕΤΑΦΟΡΑ</t>
        </r>
      </text>
    </comment>
    <comment ref="L18" authorId="0" shapeId="0" xr:uid="{00000000-0006-0000-0200-00004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1/3/2023 ΚΑΡΤΑ</t>
        </r>
      </text>
    </comment>
    <comment ref="M18" authorId="0" shapeId="0" xr:uid="{00000000-0006-0000-0200-00004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4/4/2023</t>
        </r>
      </text>
    </comment>
    <comment ref="N18" authorId="0" shapeId="0" xr:uid="{00000000-0006-0000-0200-00004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5/5/2023 ΚΑΡΤΑ</t>
        </r>
      </text>
    </comment>
    <comment ref="G19" authorId="0" shapeId="0" xr:uid="{00000000-0006-0000-0200-00004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04/10/2022 +10</t>
        </r>
      </text>
    </comment>
    <comment ref="H19" authorId="0" shapeId="0" xr:uid="{00000000-0006-0000-0200-00004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+20</t>
        </r>
      </text>
    </comment>
    <comment ref="I19" authorId="0" shapeId="0" xr:uid="{00000000-0006-0000-0200-00004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30/11/2022 +20 ΜΕΤ</t>
        </r>
      </text>
    </comment>
    <comment ref="J19" authorId="0" shapeId="0" xr:uid="{00000000-0006-0000-0200-00004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10/1/2023 +20</t>
        </r>
      </text>
    </comment>
    <comment ref="K19" authorId="0" shapeId="0" xr:uid="{00000000-0006-0000-0200-00004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01/02/2023</t>
        </r>
      </text>
    </comment>
    <comment ref="L19" authorId="0" shapeId="0" xr:uid="{00000000-0006-0000-0200-00004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3/3/2023 </t>
        </r>
      </text>
    </comment>
    <comment ref="M19" authorId="0" shapeId="0" xr:uid="{00000000-0006-0000-0200-00004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5/4/23</t>
        </r>
      </text>
    </comment>
    <comment ref="N19" authorId="0" shapeId="0" xr:uid="{00000000-0006-0000-0200-00004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9/5/2023 </t>
        </r>
      </text>
    </comment>
    <comment ref="G20" authorId="0" shapeId="0" xr:uid="{00000000-0006-0000-0200-00004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14/10/2022 karta</t>
        </r>
      </text>
    </comment>
    <comment ref="H20" authorId="0" shapeId="0" xr:uid="{00000000-0006-0000-0200-00004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14/11/22 ΚΑΡΤΑ</t>
        </r>
      </text>
    </comment>
    <comment ref="I20" authorId="0" shapeId="0" xr:uid="{00000000-0006-0000-0200-00005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21/12/2022 ΚΑΡΤΑ</t>
        </r>
      </text>
    </comment>
    <comment ref="J20" authorId="0" shapeId="0" xr:uid="{00000000-0006-0000-0200-00005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18/1/2023 ΚΑΡΤΑ</t>
        </r>
      </text>
    </comment>
    <comment ref="K20" authorId="0" shapeId="0" xr:uid="{00000000-0006-0000-0200-00005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22/2/2023</t>
        </r>
      </text>
    </comment>
    <comment ref="L20" authorId="0" shapeId="0" xr:uid="{00000000-0006-0000-0200-00005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17/3/2023 karta</t>
        </r>
      </text>
    </comment>
    <comment ref="M20" authorId="0" shapeId="0" xr:uid="{00000000-0006-0000-0200-00005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5/4/2023</t>
        </r>
      </text>
    </comment>
    <comment ref="C21" authorId="0" shapeId="0" xr:uid="{00000000-0006-0000-0200-00005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30+20</t>
        </r>
      </text>
    </comment>
    <comment ref="H21" authorId="0" shapeId="0" xr:uid="{00000000-0006-0000-0200-000056000000}">
      <text>
        <r>
          <rPr>
            <sz val="9"/>
            <color indexed="81"/>
            <rFont val="Tahoma"/>
            <family val="2"/>
            <charset val="161"/>
          </rPr>
          <t xml:space="preserve">2/11/2022
</t>
        </r>
      </text>
    </comment>
    <comment ref="J21" authorId="0" shapeId="0" xr:uid="{00000000-0006-0000-0200-00005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120+50 9/1/2022</t>
        </r>
      </text>
    </comment>
    <comment ref="L21" authorId="0" shapeId="0" xr:uid="{00000000-0006-0000-0200-00005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1/3/2023 ΚΑΡΤΑ</t>
        </r>
      </text>
    </comment>
    <comment ref="M21" authorId="0" shapeId="0" xr:uid="{00000000-0006-0000-0200-00005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150 5/4/2023</t>
        </r>
      </text>
    </comment>
    <comment ref="N21" authorId="0" shapeId="0" xr:uid="{00000000-0006-0000-0200-00005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8/5/2023</t>
        </r>
      </text>
    </comment>
    <comment ref="O21" authorId="0" shapeId="0" xr:uid="{00000000-0006-0000-0200-00005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15/9/2023 +15 ΕΥΡΩ ΜΕΤΑΦΟΡΑ</t>
        </r>
      </text>
    </comment>
    <comment ref="H23" authorId="0" shapeId="0" xr:uid="{00000000-0006-0000-0200-00005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180 </t>
        </r>
      </text>
    </comment>
    <comment ref="I23" authorId="0" shapeId="0" xr:uid="{00000000-0006-0000-0200-00005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19/12/2022 ΚΑΡΤΑ</t>
        </r>
      </text>
    </comment>
    <comment ref="K23" authorId="0" shapeId="0" xr:uid="{00000000-0006-0000-0200-00005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22/2/2023 ΚΑΡΤΑ</t>
        </r>
      </text>
    </comment>
    <comment ref="L23" authorId="0" shapeId="0" xr:uid="{00000000-0006-0000-0200-00005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22/3/2023 alpha</t>
        </r>
      </text>
    </comment>
    <comment ref="M23" authorId="0" shapeId="0" xr:uid="{00000000-0006-0000-0200-00006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26/4/23 ΑΛΦΑ</t>
        </r>
      </text>
    </comment>
    <comment ref="O23" authorId="0" shapeId="0" xr:uid="{00000000-0006-0000-0200-00006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29/9/2023 ΚΑΤΑΘΕΣΗ ALPHA</t>
        </r>
      </text>
    </comment>
    <comment ref="G24" authorId="0" shapeId="0" xr:uid="{00000000-0006-0000-0200-00006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14/10/22</t>
        </r>
      </text>
    </comment>
    <comment ref="H24" authorId="0" shapeId="0" xr:uid="{00000000-0006-0000-0200-00006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15/12/2022 PEIR</t>
        </r>
      </text>
    </comment>
    <comment ref="F25" authorId="0" shapeId="0" xr:uid="{00000000-0006-0000-0200-00006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13/9/2022 EUROBANK</t>
        </r>
      </text>
    </comment>
    <comment ref="G25" authorId="0" shapeId="0" xr:uid="{00000000-0006-0000-0200-00006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14/11/2022</t>
        </r>
      </text>
    </comment>
    <comment ref="F26" authorId="0" shapeId="0" xr:uid="{00000000-0006-0000-0200-00006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3/10/22 ΚΑΡΤΑ</t>
        </r>
      </text>
    </comment>
    <comment ref="G26" authorId="0" shapeId="0" xr:uid="{00000000-0006-0000-0200-00006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2/11/2022</t>
        </r>
      </text>
    </comment>
    <comment ref="H26" authorId="0" shapeId="0" xr:uid="{00000000-0006-0000-0200-00006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5/12/2022 ΚΑΡΤΑ</t>
        </r>
      </text>
    </comment>
    <comment ref="I26" authorId="0" shapeId="0" xr:uid="{00000000-0006-0000-0200-00006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11/01/2023</t>
        </r>
      </text>
    </comment>
    <comment ref="K26" authorId="0" shapeId="0" xr:uid="{00000000-0006-0000-0200-00006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22/2/2023 </t>
        </r>
      </text>
    </comment>
    <comment ref="L26" authorId="0" shapeId="0" xr:uid="{00000000-0006-0000-0200-00006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28/2/2023</t>
        </r>
      </text>
    </comment>
    <comment ref="M26" authorId="0" shapeId="0" xr:uid="{00000000-0006-0000-0200-00006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4/4/2023</t>
        </r>
      </text>
    </comment>
    <comment ref="N26" authorId="0" shapeId="0" xr:uid="{00000000-0006-0000-0200-00006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3/5/2023 karta</t>
        </r>
      </text>
    </comment>
    <comment ref="O26" authorId="0" shapeId="0" xr:uid="{00000000-0006-0000-0200-00006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7/6/2023 karta</t>
        </r>
      </text>
    </comment>
    <comment ref="D27" authorId="0" shapeId="0" xr:uid="{00000000-0006-0000-0200-00006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110+30 ΜΕΤΑΦΟΡΑ Ο ΜΗΝΑΣ</t>
        </r>
      </text>
    </comment>
    <comment ref="G27" authorId="0" shapeId="0" xr:uid="{00000000-0006-0000-0200-00007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+15 ΜΕΤΑΦΟΡΑ ΣΕΠΤ+30 ΜΕΤ ΟΚΤ 7/10/22</t>
        </r>
      </text>
    </comment>
    <comment ref="H27" authorId="0" shapeId="0" xr:uid="{00000000-0006-0000-0200-00007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30/11/2022 ΚΑΡΤΑ</t>
        </r>
      </text>
    </comment>
    <comment ref="I27" authorId="0" shapeId="0" xr:uid="{00000000-0006-0000-0200-00007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8/12/22</t>
        </r>
      </text>
    </comment>
    <comment ref="J27" authorId="0" shapeId="0" xr:uid="{00000000-0006-0000-0200-00007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1/2/2023 +30 ΜΕΤΑΦ 7/3/2023</t>
        </r>
      </text>
    </comment>
    <comment ref="K27" authorId="0" shapeId="0" xr:uid="{00000000-0006-0000-0200-00007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+30 ΜΕΤΑΦ 7/3/2023</t>
        </r>
      </text>
    </comment>
    <comment ref="L27" authorId="0" shapeId="0" xr:uid="{00000000-0006-0000-0200-00007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7/3/2023+30 ΜΕΤΑΦΟΡΑ ΚΑΡΤΑ</t>
        </r>
      </text>
    </comment>
    <comment ref="M27" authorId="0" shapeId="0" xr:uid="{00000000-0006-0000-0200-00007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24/4/2023
</t>
        </r>
      </text>
    </comment>
    <comment ref="G28" authorId="0" shapeId="0" xr:uid="{00000000-0006-0000-0200-00007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10/22 +30 ΜΕΤ</t>
        </r>
      </text>
    </comment>
    <comment ref="H28" authorId="0" shapeId="0" xr:uid="{00000000-0006-0000-0200-00007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31/10/22 +30</t>
        </r>
      </text>
    </comment>
    <comment ref="I28" authorId="0" shapeId="0" xr:uid="{00000000-0006-0000-0200-00007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30/11/2022 καρτα +30 μεταφορα</t>
        </r>
      </text>
    </comment>
    <comment ref="J28" authorId="0" shapeId="0" xr:uid="{00000000-0006-0000-0200-00007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150 9/1/2023</t>
        </r>
      </text>
    </comment>
    <comment ref="D29" authorId="0" shapeId="0" xr:uid="{00000000-0006-0000-0200-00007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7,5 ΜΗΝΕΣ</t>
        </r>
      </text>
    </comment>
    <comment ref="G29" authorId="0" shapeId="0" xr:uid="{00000000-0006-0000-0200-00007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 ΜΕΤΑΦΟΡΑ</t>
        </r>
      </text>
    </comment>
    <comment ref="H29" authorId="0" shapeId="0" xr:uid="{00000000-0006-0000-0200-00007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+20</t>
        </r>
      </text>
    </comment>
    <comment ref="I29" authorId="0" shapeId="0" xr:uid="{00000000-0006-0000-0200-00007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2/12/22</t>
        </r>
      </text>
    </comment>
    <comment ref="J29" authorId="0" shapeId="0" xr:uid="{00000000-0006-0000-0200-00007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11/1/23</t>
        </r>
      </text>
    </comment>
    <comment ref="K29" authorId="0" shapeId="0" xr:uid="{00000000-0006-0000-0200-00008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01/02/2023</t>
        </r>
      </text>
    </comment>
    <comment ref="J30" authorId="0" shapeId="0" xr:uid="{00000000-0006-0000-0200-00008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16/1/23</t>
        </r>
      </text>
    </comment>
    <comment ref="M30" authorId="0" shapeId="0" xr:uid="{00000000-0006-0000-0200-00008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5/4/23</t>
        </r>
      </text>
    </comment>
    <comment ref="N30" authorId="0" shapeId="0" xr:uid="{00000000-0006-0000-0200-00008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9/5/2023 150</t>
        </r>
      </text>
    </comment>
    <comment ref="M31" authorId="0" shapeId="0" xr:uid="{00000000-0006-0000-0200-00008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7/4/2023</t>
        </r>
      </text>
    </comment>
    <comment ref="N31" authorId="0" shapeId="0" xr:uid="{00000000-0006-0000-0200-00008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250 ΜΕΤ +ΜΑΡΙΑ+ΕΥΑ</t>
        </r>
      </text>
    </comment>
  </commentList>
</comments>
</file>

<file path=xl/sharedStrings.xml><?xml version="1.0" encoding="utf-8"?>
<sst xmlns="http://schemas.openxmlformats.org/spreadsheetml/2006/main" count="459" uniqueCount="160">
  <si>
    <t>ΣΥΝΟΛΟ</t>
  </si>
  <si>
    <t>ΟΝΟΜΑΤ/ΝΥΜΟ</t>
  </si>
  <si>
    <t>ΣΥΜΦΩΝΙΑ</t>
  </si>
  <si>
    <t>ΠΡΟΚ/ΛΗ</t>
  </si>
  <si>
    <t>ΣΕΠΤ</t>
  </si>
  <si>
    <t>ΟΚΤ</t>
  </si>
  <si>
    <t>ΝΟΕ</t>
  </si>
  <si>
    <t>ΔΕΚ</t>
  </si>
  <si>
    <t>ΙΑΝ</t>
  </si>
  <si>
    <t>ΦΕΒ</t>
  </si>
  <si>
    <t>ΜΑΡ</t>
  </si>
  <si>
    <t>ΑΠΡ</t>
  </si>
  <si>
    <t>ΜΑΪ</t>
  </si>
  <si>
    <t>ΙΟΥΝ</t>
  </si>
  <si>
    <t>ΙΟΥΛ</t>
  </si>
  <si>
    <t>ΑΥΓ</t>
  </si>
  <si>
    <t>ΕΙΣΠΡΑΞΗ</t>
  </si>
  <si>
    <t>ΥΠ</t>
  </si>
  <si>
    <t>ΕΞΕΛΙΞΗ ΠΛΗΡΩΜΗΣ</t>
  </si>
  <si>
    <t>ΔΙΑΚΟΠΗ</t>
  </si>
  <si>
    <t>ΜΗ ΕΙΣΠΡΑΞΙΜΑ</t>
  </si>
  <si>
    <t>ΜΕΛΕΤΗ ΔΗΜΟΤΙΚΟΥ 2022-2023</t>
  </si>
  <si>
    <t>ΤΣΑΠΑΡΑΣ ΓΙΩΡΓΟΣ</t>
  </si>
  <si>
    <t>ΤΣΙΟΤΑΣ ΓΙΩΡΓΟΣ</t>
  </si>
  <si>
    <t>ΖΑΡΡΑ ΑΝΑΣΤΑΣΙΑ</t>
  </si>
  <si>
    <t>ΛΙΑΝΟΣ ΔΗΜΗΤΡΗΣ</t>
  </si>
  <si>
    <t>ΠΡΩΤΟΠΑΠΑ ΒΑΣΙΛΕΙΑ</t>
  </si>
  <si>
    <t>ΦΑΡΑΣΟΠΟΥΛΟΣ ΛΕΥΤΕΡΗΣ</t>
  </si>
  <si>
    <t>ΔΕΔΕ ΣΤΕΛΛΑ</t>
  </si>
  <si>
    <t>ΚΩΝΣΤΑΝΤΙΝΙΔΗΣ ΘΕΜΙΣΤΟΚΛΗΣ</t>
  </si>
  <si>
    <t>ΖΑΧΑΡΑΚΗΣ ΔΗΜΟΣΘΕΝΗΣ</t>
  </si>
  <si>
    <t xml:space="preserve">ΤΣΑΟΥΣΗ ΣΕΜΕΛΗ </t>
  </si>
  <si>
    <t>ΚΑΡΜΑΝΙ ΣΟΥΖΑΝΑ</t>
  </si>
  <si>
    <t xml:space="preserve">ΦΡΑΓΚΟΥ ΑΛΕΞΑΝΔΡΑ </t>
  </si>
  <si>
    <t>ΦΡΑΓΚΟΣ ΘΕΜΗΣ</t>
  </si>
  <si>
    <t xml:space="preserve">ΤΣΑΓΚΑΡΑΚΗ ΕΛΕΑΝΝΑ </t>
  </si>
  <si>
    <t>ΑΝΑΤΣΟΥΤΣΟΛΑΣ ΑΓΓΕΛΟΣ</t>
  </si>
  <si>
    <t xml:space="preserve">ΜΑΚΑΣ ΘΑΝΟΣ </t>
  </si>
  <si>
    <t>ΒΑΣΙΛΙΚΗ ΔΕΔΕ</t>
  </si>
  <si>
    <t xml:space="preserve">ΤΑΞΗ </t>
  </si>
  <si>
    <t>ΚΑΖΒΙΚΗΣ ΚΩΝΣΤΑΝΤΙΝΟΣ</t>
  </si>
  <si>
    <t xml:space="preserve">ΚΑΖΒΙΚΗΣ ΑΛΕΞΑΝΔΡΟΣ </t>
  </si>
  <si>
    <t>ΖΑΡΡΑΣ ΝΙΚΟΛΑΣ</t>
  </si>
  <si>
    <t>ΣΤΡΑΤΑΚΗΣ ΓΙΑΝΝΗΣ</t>
  </si>
  <si>
    <t>1Γ</t>
  </si>
  <si>
    <t>ΤΣΑΜΠΑΝΗΣ ΔΗΜΗΤΡΗΣ</t>
  </si>
  <si>
    <t>ΜΕΤΑΦΟΡΑ</t>
  </si>
  <si>
    <t>ΚΟΣΜΑΔΑΚΗ ΟΛΥΜΠΙΑ</t>
  </si>
  <si>
    <t>ΛΑΖΙ ΟΡΕΣΤΗΣ</t>
  </si>
  <si>
    <t>ΡΑΜΑ ΜΑΡΙΑ</t>
  </si>
  <si>
    <t>n</t>
  </si>
  <si>
    <t>ΠΑΠΑΘΕΟΔΩΡΟΥ ΚΡΥΣΤΑΛΙΑ</t>
  </si>
  <si>
    <t>ΤΣΑΤΣΑΚΟΥ ΟΥΡΑΝΙΑ</t>
  </si>
  <si>
    <t>NO</t>
  </si>
  <si>
    <t>ν</t>
  </si>
  <si>
    <t>ΡΑΜΑ ΕΥΑ</t>
  </si>
  <si>
    <t>Ν</t>
  </si>
  <si>
    <t>2Γ</t>
  </si>
  <si>
    <t xml:space="preserve">ΤΣΑΓΚΑΡΑΚΗ ΕΛΕΑΝΑ </t>
  </si>
  <si>
    <t>ΑΥΓΟΥΣΤΙΝΟΥ ΔΙΟΝΥΣΙΑ</t>
  </si>
  <si>
    <t>ΣΤ</t>
  </si>
  <si>
    <t>Β</t>
  </si>
  <si>
    <t>Δ</t>
  </si>
  <si>
    <t>Ε</t>
  </si>
  <si>
    <t>ΤΑΞΗ</t>
  </si>
  <si>
    <t xml:space="preserve">ΓΑΒΑΛΛΑΣ ΑΝΤΩΝΗΣ </t>
  </si>
  <si>
    <t>ΓΥΔΑ ΕΛΕΩΝΟΡΑ</t>
  </si>
  <si>
    <t xml:space="preserve">ΜΠΟΓΡΗΣ ΑΧΙΛΛΕΑΣ </t>
  </si>
  <si>
    <t>Γ</t>
  </si>
  <si>
    <t>ΝΤΟΥΛΙΑΣ ΝΑΠΟΛΕΩΝ</t>
  </si>
  <si>
    <t>Α</t>
  </si>
  <si>
    <t>ΣΥΜΦΩΝΗΤΙΚΟ</t>
  </si>
  <si>
    <t>ΠΑΠΑΝΙΚΟΛΑΟΥ ΣΤΕΦΑΝΟΣ</t>
  </si>
  <si>
    <t>ΝΑΙ</t>
  </si>
  <si>
    <t>ΣΧΟΛΕΙΟ</t>
  </si>
  <si>
    <t>ΓΦ</t>
  </si>
  <si>
    <t>7Δ</t>
  </si>
  <si>
    <t>ΔΦ</t>
  </si>
  <si>
    <t>ΝΙ</t>
  </si>
  <si>
    <t>ΚΑΡΑΤΡΑΝΤΟΣ ΦΙΛΙΠΠΟΣ</t>
  </si>
  <si>
    <t xml:space="preserve">ΚΑΜΠΑΤΖΑΣ ΙΓΝΑΤΙΟΣ </t>
  </si>
  <si>
    <t xml:space="preserve">ΧΑΤΙΜΠ ΑΛΕΞΑΝΔΡΑ </t>
  </si>
  <si>
    <t>ΛΗΜΝΙΟΥ ΗΛΙΑΝΝΑ</t>
  </si>
  <si>
    <t>ΛΗΜΝΙΟΥ ΘΕΟΔΩΡΑ</t>
  </si>
  <si>
    <t>ΚΟΥΖΕΛΗΣ ΚΩΝΣΤΑΝΤΙΝΟΣ</t>
  </si>
  <si>
    <t>ΠΑΤΕΛΗ ΧΡΙΣΤΙΝΑ</t>
  </si>
  <si>
    <t>ΜΗΤΣΗΣ ΓΙΩΡΓΟΣ</t>
  </si>
  <si>
    <t xml:space="preserve">ΠΑΤΕΛΗΣ ΜΑΝΩΛΗΣ </t>
  </si>
  <si>
    <t>ΜΕΛΕΤΗ ΔΗΜΟΤΙΚΟΥ 2023 - 2024</t>
  </si>
  <si>
    <t>ΠΑΠΑΣΤΑΘΗΣ ΜΑΡΙΟΣ</t>
  </si>
  <si>
    <t>ΜΑΥΡΟΔΟΝΤΗΣ ΗΛΙΑΣ</t>
  </si>
  <si>
    <t>ΔΕΔΕ ΒΑΣΙΛΙΚΗ</t>
  </si>
  <si>
    <t>ΦΓ</t>
  </si>
  <si>
    <t>ΣΙΟΥΛΑΣ ΝΙΚΟΣ</t>
  </si>
  <si>
    <t>ναι</t>
  </si>
  <si>
    <t>ΕΔ</t>
  </si>
  <si>
    <t>nai</t>
  </si>
  <si>
    <t>ΜΑΥΡΙΔΗ ΔΑΝΑΗ</t>
  </si>
  <si>
    <t>ΜΑΥΡΙΔΗΣ ΓΙΑΝΝΗΣ</t>
  </si>
  <si>
    <t>ΑΝΔΡΙΚΟΠΟΥΛΟΥ ΑΝΑΣΤΑΣΙΑ</t>
  </si>
  <si>
    <t>ΣΟΥΝΤΟΥΚ ΑΓΑΠΗ</t>
  </si>
  <si>
    <t xml:space="preserve">ΒΑΙΛΑΚΑΚΗΣ ΜΑΝΟΣ </t>
  </si>
  <si>
    <t>NAI</t>
  </si>
  <si>
    <t>ΕΥΡΩΓΝΩΣΗ ********</t>
  </si>
  <si>
    <t>2Α ΔΗΜ</t>
  </si>
  <si>
    <t>7ο</t>
  </si>
  <si>
    <t>3Η ΔΗΜ</t>
  </si>
  <si>
    <t>ΤΣΑΓΚΑΡΑΚΗ ΕΛΕΑΝΑ</t>
  </si>
  <si>
    <t>5Η ΔΗΜ</t>
  </si>
  <si>
    <t>1Η ΓΥΜ</t>
  </si>
  <si>
    <t>3Η ΓΥΜ</t>
  </si>
  <si>
    <t>6Η ΔΗΜ</t>
  </si>
  <si>
    <t>ΠΑΤΕΛΗΣ ΜΑΝΩΛΗΣ</t>
  </si>
  <si>
    <t>2Α ΓΥΜ</t>
  </si>
  <si>
    <t>ΚΑΛΛΙΓΕΡΗΣ ΝΙΚΟΛΑΣ</t>
  </si>
  <si>
    <t xml:space="preserve">ΚΑΤΣΑΚΟΣ ΓΙΩΡΓΟΣ </t>
  </si>
  <si>
    <t>1Η ΔΗΜ</t>
  </si>
  <si>
    <t>ΒΑΙΛΑΚΑΚΗΣ ΜΑΝΟΣ</t>
  </si>
  <si>
    <t>ΒΑΙΛΑΚΑΚΗ ΜΑΡΙΑΝΘΗ</t>
  </si>
  <si>
    <t>4Η ΔΗΜ</t>
  </si>
  <si>
    <t>ΜΑΡΑΓΚΟΥΔΑΚΗΣ ΕΜΜΑΝΟΥΗΛ</t>
  </si>
  <si>
    <t>ΜΑΣΑΔΗΣ ΗΛΙΑΣ</t>
  </si>
  <si>
    <t>ΤΣΙΛΟΓΛΑΝΙΔΗΣ ΜΑΡΙΟΣ</t>
  </si>
  <si>
    <t>ΝΙΚΟΛΟΥΛΙΑΣ ΑΙΑΝΤΑΣ</t>
  </si>
  <si>
    <t xml:space="preserve"> </t>
  </si>
  <si>
    <t>ΠΑΝΤΟΣ ΑΛΕΞΑΝΔΡΟΣ</t>
  </si>
  <si>
    <t>2Η ΔΗΜ</t>
  </si>
  <si>
    <t>ΚΑΤΣΩΝΗ ΑΝΤΙΓΟΝΗ</t>
  </si>
  <si>
    <t>ΚΑΤΣΩΝΗ ΝΙΟΒΗ</t>
  </si>
  <si>
    <t>ΕΥΡΩΓΝΩΣΗ ΦΙΛΟΘΕΗΣ ΜΕΛΕΤΗ</t>
  </si>
  <si>
    <t>ΑΝΔΡΕΣΑΚΗΣ ΓΙΩΡΓΟΣ</t>
  </si>
  <si>
    <t>ΑΝΔΡΕΣΑΚΗΣ ΚΩΝΣΤΑΝΤΙΝΟΣ</t>
  </si>
  <si>
    <t>ΦΙΛ</t>
  </si>
  <si>
    <t xml:space="preserve">  </t>
  </si>
  <si>
    <t>ΚΑΤΣΑΚΟΣ ΓΙΩΡΓΟΣ</t>
  </si>
  <si>
    <t>ΝΙΚΟΛΟΥΛΙΑΣ ΑΙΑΣ</t>
  </si>
  <si>
    <t xml:space="preserve">ΠΑΝΤΟΣ ΑΛΕΞΑΝΔΡΟΣ </t>
  </si>
  <si>
    <t>ΤΣΑΤΣΑΚΟΣ ΓΙΑΝΝΗΣ</t>
  </si>
  <si>
    <t>Ν.ΙΩΝΙΑ</t>
  </si>
  <si>
    <t>ΚΑΡΑΚΑΤΣΑΝΗ ΝΕΦΕΛΗ</t>
  </si>
  <si>
    <t>10ο</t>
  </si>
  <si>
    <t>ΒΕΝΕΤΗ ΝΑΣΙΑ</t>
  </si>
  <si>
    <t>ΕΥΘΥΜΙΟΥ ΜΕΛΙΝΑ</t>
  </si>
  <si>
    <t>ΚΟΥΝΟΥΠA ΝΕΦΕΛΗ</t>
  </si>
  <si>
    <t>ΣΤΑΘΕΡΟ</t>
  </si>
  <si>
    <t>ΜΠΑΜΠΑΣ</t>
  </si>
  <si>
    <t>ΜΑΜΑ</t>
  </si>
  <si>
    <t>&gt;&gt;</t>
  </si>
  <si>
    <t>6984279217 / 6989453007</t>
  </si>
  <si>
    <t>Α ΓΥΜ</t>
  </si>
  <si>
    <t>Β ΓΥΜ</t>
  </si>
  <si>
    <t>ΠΑΡΑΣΚΕΥΑΣ ΔΗΜΟΣΘΕΝΗΣ</t>
  </si>
  <si>
    <t>6ο Ν. ΗΡΑΚΛ</t>
  </si>
  <si>
    <t>Γ ΓΥΜΝ</t>
  </si>
  <si>
    <t>ΒΑΡΔΑΚΑ ΑΝΑΣΤΑΣΙΑ</t>
  </si>
  <si>
    <t>Α ΓΥΜΝ</t>
  </si>
  <si>
    <t>ΚΟΥΒΕΛΗ ΕΛΕΝΗ</t>
  </si>
  <si>
    <t>10 Ν.ΙΩΝΙΑ</t>
  </si>
  <si>
    <t>ΣΤΑΜΑΤΕΑΣ ΝΙΚΟΛΑΣ</t>
  </si>
  <si>
    <t>ΠΟΥΛΑΚΙΔΑ ΜΑΡΓΑΡΙΤΑ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</si>
</sst>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3"/>
      <name val="Calibri"/>
      <family val="2"/>
      <charset val="161"/>
      <scheme val="minor"/>
    </font>
    <font>
      <b/>
      <sz val="14"/>
      <color theme="3"/>
      <name val="Calibri"/>
      <family val="2"/>
      <charset val="161"/>
      <scheme val="minor"/>
    </font>
    <font>
      <b/>
      <sz val="13"/>
      <color theme="4"/>
      <name val="Calibri"/>
      <family val="2"/>
      <charset val="161"/>
      <scheme val="minor"/>
    </font>
    <font>
      <b/>
      <sz val="12"/>
      <color theme="3"/>
      <name val="Calibri"/>
      <family val="2"/>
      <charset val="161"/>
      <scheme val="minor"/>
    </font>
    <font>
      <b/>
      <sz val="13"/>
      <color rgb="FFFF0000"/>
      <name val="Calibri"/>
      <family val="2"/>
      <charset val="161"/>
      <scheme val="minor"/>
    </font>
    <font>
      <b/>
      <sz val="12"/>
      <name val="Calibri"/>
      <family val="2"/>
      <charset val="161"/>
      <scheme val="minor"/>
    </font>
    <font>
      <sz val="9"/>
      <color indexed="81"/>
      <name val="Tahoma"/>
      <family val="2"/>
      <charset val="161"/>
    </font>
    <font>
      <b/>
      <sz val="9"/>
      <color indexed="81"/>
      <name val="Tahoma"/>
      <family val="2"/>
      <charset val="161"/>
    </font>
    <font>
      <b/>
      <sz val="14"/>
      <color rgb="FF1F497D"/>
      <name val="Calibri"/>
      <family val="2"/>
      <charset val="161"/>
    </font>
    <font>
      <b/>
      <sz val="13"/>
      <color rgb="FF1F497D"/>
      <name val="Calibri"/>
      <family val="2"/>
      <charset val="161"/>
    </font>
    <font>
      <b/>
      <sz val="12"/>
      <color rgb="FF1F497D"/>
      <name val="Calibri"/>
      <family val="2"/>
      <charset val="161"/>
    </font>
    <font>
      <b/>
      <sz val="13"/>
      <name val="Calibri"/>
      <family val="2"/>
      <charset val="161"/>
    </font>
    <font>
      <b/>
      <sz val="13"/>
      <color rgb="FFFF0000"/>
      <name val="Calibri"/>
      <family val="2"/>
      <charset val="161"/>
    </font>
    <font>
      <b/>
      <sz val="13"/>
      <color rgb="FF4F81BD"/>
      <name val="Calibri"/>
      <family val="2"/>
      <charset val="161"/>
    </font>
    <font>
      <b/>
      <sz val="12"/>
      <color rgb="FFFF0000"/>
      <name val="Calibri"/>
      <family val="2"/>
      <charset val="161"/>
    </font>
    <font>
      <sz val="12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106">
    <xf numFmtId="0" fontId="0" fillId="0" borderId="0" xfId="0"/>
    <xf numFmtId="0" fontId="1" fillId="0" borderId="2" xfId="1" applyFill="1" applyBorder="1" applyProtection="1">
      <protection hidden="1"/>
    </xf>
    <xf numFmtId="0" fontId="3" fillId="0" borderId="7" xfId="0" applyFont="1" applyBorder="1" applyAlignment="1" applyProtection="1">
      <alignment horizontal="left" wrapText="1"/>
      <protection hidden="1"/>
    </xf>
    <xf numFmtId="0" fontId="3" fillId="0" borderId="8" xfId="0" applyFont="1" applyBorder="1" applyAlignment="1" applyProtection="1">
      <alignment horizontal="center"/>
      <protection hidden="1"/>
    </xf>
    <xf numFmtId="9" fontId="3" fillId="0" borderId="9" xfId="1" applyNumberFormat="1" applyFont="1" applyFill="1" applyBorder="1" applyAlignment="1" applyProtection="1">
      <alignment horizontal="center"/>
      <protection hidden="1"/>
    </xf>
    <xf numFmtId="0" fontId="3" fillId="0" borderId="10" xfId="1" applyFont="1" applyFill="1" applyBorder="1" applyAlignment="1" applyProtection="1">
      <alignment horizontal="center"/>
      <protection hidden="1"/>
    </xf>
    <xf numFmtId="0" fontId="3" fillId="0" borderId="2" xfId="1" applyFont="1" applyFill="1" applyBorder="1" applyAlignment="1" applyProtection="1">
      <alignment horizontal="center"/>
      <protection hidden="1"/>
    </xf>
    <xf numFmtId="0" fontId="3" fillId="0" borderId="11" xfId="1" applyFont="1" applyFill="1" applyBorder="1" applyAlignment="1" applyProtection="1">
      <alignment wrapText="1"/>
      <protection hidden="1"/>
    </xf>
    <xf numFmtId="0" fontId="3" fillId="0" borderId="11" xfId="1" applyFont="1" applyFill="1" applyBorder="1" applyAlignment="1" applyProtection="1">
      <alignment horizontal="center"/>
      <protection hidden="1"/>
    </xf>
    <xf numFmtId="0" fontId="3" fillId="0" borderId="11" xfId="1" applyNumberFormat="1" applyFont="1" applyFill="1" applyBorder="1" applyAlignment="1" applyProtection="1">
      <alignment horizontal="center"/>
      <protection hidden="1"/>
    </xf>
    <xf numFmtId="9" fontId="3" fillId="0" borderId="11" xfId="1" applyNumberFormat="1" applyFont="1" applyFill="1" applyBorder="1" applyAlignment="1" applyProtection="1">
      <alignment horizontal="center"/>
      <protection hidden="1"/>
    </xf>
    <xf numFmtId="0" fontId="5" fillId="0" borderId="11" xfId="1" applyFont="1" applyFill="1" applyBorder="1" applyAlignment="1" applyProtection="1">
      <alignment horizontal="center"/>
      <protection hidden="1"/>
    </xf>
    <xf numFmtId="0" fontId="5" fillId="0" borderId="12" xfId="1" applyFont="1" applyFill="1" applyBorder="1" applyAlignment="1" applyProtection="1">
      <alignment horizontal="center"/>
      <protection hidden="1"/>
    </xf>
    <xf numFmtId="0" fontId="5" fillId="0" borderId="2" xfId="1" applyFont="1" applyFill="1" applyBorder="1" applyProtection="1">
      <protection hidden="1"/>
    </xf>
    <xf numFmtId="0" fontId="5" fillId="0" borderId="2" xfId="1" applyFont="1" applyFill="1" applyBorder="1" applyAlignment="1" applyProtection="1">
      <alignment wrapText="1"/>
      <protection locked="0" hidden="1"/>
    </xf>
    <xf numFmtId="0" fontId="5" fillId="0" borderId="2" xfId="1" applyFont="1" applyFill="1" applyBorder="1" applyAlignment="1" applyProtection="1">
      <alignment horizontal="center"/>
      <protection locked="0" hidden="1"/>
    </xf>
    <xf numFmtId="0" fontId="5" fillId="0" borderId="3" xfId="1" applyFont="1" applyFill="1" applyBorder="1" applyAlignment="1" applyProtection="1">
      <alignment horizontal="center"/>
      <protection locked="0" hidden="1"/>
    </xf>
    <xf numFmtId="0" fontId="5" fillId="0" borderId="3" xfId="1" applyNumberFormat="1" applyFont="1" applyFill="1" applyBorder="1" applyAlignment="1" applyProtection="1">
      <alignment horizontal="center"/>
      <protection hidden="1"/>
    </xf>
    <xf numFmtId="9" fontId="5" fillId="0" borderId="3" xfId="1" applyNumberFormat="1" applyFont="1" applyFill="1" applyBorder="1" applyAlignment="1" applyProtection="1">
      <alignment horizontal="center"/>
      <protection hidden="1"/>
    </xf>
    <xf numFmtId="0" fontId="5" fillId="0" borderId="2" xfId="1" applyFont="1" applyFill="1" applyBorder="1" applyAlignment="1" applyProtection="1">
      <alignment horizontal="center"/>
      <protection hidden="1"/>
    </xf>
    <xf numFmtId="0" fontId="1" fillId="0" borderId="2" xfId="1" applyFill="1" applyBorder="1" applyAlignment="1" applyProtection="1">
      <alignment horizontal="center"/>
      <protection locked="0" hidden="1"/>
    </xf>
    <xf numFmtId="0" fontId="1" fillId="0" borderId="3" xfId="1" applyFill="1" applyBorder="1" applyAlignment="1" applyProtection="1">
      <alignment horizontal="center"/>
      <protection locked="0" hidden="1"/>
    </xf>
    <xf numFmtId="0" fontId="1" fillId="0" borderId="2" xfId="1" applyNumberFormat="1" applyFill="1" applyBorder="1" applyAlignment="1" applyProtection="1">
      <alignment horizontal="center"/>
      <protection locked="0" hidden="1"/>
    </xf>
    <xf numFmtId="0" fontId="2" fillId="0" borderId="2" xfId="1" applyFont="1" applyFill="1" applyBorder="1" applyProtection="1">
      <protection hidden="1"/>
    </xf>
    <xf numFmtId="0" fontId="6" fillId="0" borderId="2" xfId="1" applyFont="1" applyFill="1" applyBorder="1" applyProtection="1">
      <protection hidden="1"/>
    </xf>
    <xf numFmtId="0" fontId="4" fillId="0" borderId="2" xfId="1" applyFont="1" applyFill="1" applyBorder="1" applyProtection="1">
      <protection hidden="1"/>
    </xf>
    <xf numFmtId="0" fontId="1" fillId="0" borderId="2" xfId="1" applyNumberFormat="1" applyFill="1" applyBorder="1" applyAlignment="1" applyProtection="1">
      <alignment horizontal="center"/>
      <protection hidden="1"/>
    </xf>
    <xf numFmtId="0" fontId="6" fillId="0" borderId="2" xfId="1" applyNumberFormat="1" applyFont="1" applyFill="1" applyBorder="1" applyAlignment="1" applyProtection="1">
      <alignment horizontal="center"/>
      <protection hidden="1"/>
    </xf>
    <xf numFmtId="9" fontId="6" fillId="0" borderId="2" xfId="1" applyNumberFormat="1" applyFont="1" applyFill="1" applyBorder="1" applyAlignment="1" applyProtection="1">
      <alignment horizontal="center"/>
      <protection hidden="1"/>
    </xf>
    <xf numFmtId="0" fontId="1" fillId="0" borderId="2" xfId="1" applyFill="1" applyBorder="1" applyAlignment="1" applyProtection="1">
      <alignment horizontal="center"/>
      <protection hidden="1"/>
    </xf>
    <xf numFmtId="0" fontId="5" fillId="0" borderId="2" xfId="1" applyFont="1" applyFill="1" applyBorder="1" applyProtection="1">
      <protection locked="0" hidden="1"/>
    </xf>
    <xf numFmtId="0" fontId="5" fillId="0" borderId="2" xfId="1" applyNumberFormat="1" applyFont="1" applyFill="1" applyBorder="1" applyAlignment="1" applyProtection="1">
      <alignment horizontal="center"/>
      <protection locked="0" hidden="1"/>
    </xf>
    <xf numFmtId="0" fontId="7" fillId="0" borderId="2" xfId="1" applyFont="1" applyFill="1" applyBorder="1" applyAlignment="1" applyProtection="1">
      <alignment horizontal="center"/>
      <protection locked="0" hidden="1"/>
    </xf>
    <xf numFmtId="0" fontId="7" fillId="0" borderId="2" xfId="1" applyFont="1" applyFill="1" applyBorder="1" applyProtection="1">
      <protection locked="0" hidden="1"/>
    </xf>
    <xf numFmtId="0" fontId="11" fillId="0" borderId="2" xfId="1" applyFont="1" applyFill="1" applyBorder="1" applyProtection="1">
      <protection hidden="1"/>
    </xf>
    <xf numFmtId="0" fontId="10" fillId="0" borderId="2" xfId="1" applyFont="1" applyFill="1" applyBorder="1" applyProtection="1">
      <protection hidden="1"/>
    </xf>
    <xf numFmtId="0" fontId="10" fillId="0" borderId="2" xfId="1" applyFont="1" applyFill="1" applyBorder="1" applyAlignment="1" applyProtection="1">
      <alignment horizontal="center"/>
      <protection hidden="1"/>
    </xf>
    <xf numFmtId="9" fontId="10" fillId="0" borderId="2" xfId="1" applyNumberFormat="1" applyFont="1" applyFill="1" applyBorder="1" applyAlignment="1" applyProtection="1">
      <alignment horizontal="center"/>
      <protection hidden="1"/>
    </xf>
    <xf numFmtId="0" fontId="10" fillId="0" borderId="12" xfId="1" applyFont="1" applyFill="1" applyBorder="1" applyProtection="1">
      <protection hidden="1"/>
    </xf>
    <xf numFmtId="0" fontId="10" fillId="0" borderId="12" xfId="1" applyFont="1" applyFill="1" applyBorder="1" applyAlignment="1" applyProtection="1">
      <alignment horizontal="center"/>
      <protection hidden="1"/>
    </xf>
    <xf numFmtId="0" fontId="10" fillId="0" borderId="12" xfId="1" applyNumberFormat="1" applyFont="1" applyFill="1" applyBorder="1" applyAlignment="1" applyProtection="1">
      <alignment horizontal="center"/>
      <protection hidden="1"/>
    </xf>
    <xf numFmtId="9" fontId="10" fillId="0" borderId="12" xfId="1" applyNumberFormat="1" applyFont="1" applyFill="1" applyBorder="1" applyAlignment="1" applyProtection="1">
      <alignment horizontal="center"/>
      <protection hidden="1"/>
    </xf>
    <xf numFmtId="0" fontId="12" fillId="0" borderId="12" xfId="1" applyFont="1" applyFill="1" applyBorder="1" applyAlignment="1" applyProtection="1">
      <alignment horizontal="center"/>
      <protection hidden="1"/>
    </xf>
    <xf numFmtId="0" fontId="12" fillId="0" borderId="2" xfId="1" applyFont="1" applyFill="1" applyBorder="1" applyProtection="1">
      <protection hidden="1"/>
    </xf>
    <xf numFmtId="0" fontId="12" fillId="0" borderId="3" xfId="1" applyFont="1" applyFill="1" applyBorder="1" applyProtection="1">
      <protection locked="0" hidden="1"/>
    </xf>
    <xf numFmtId="0" fontId="12" fillId="0" borderId="3" xfId="1" applyFont="1" applyFill="1" applyBorder="1" applyAlignment="1" applyProtection="1">
      <alignment horizontal="center"/>
      <protection locked="0" hidden="1"/>
    </xf>
    <xf numFmtId="0" fontId="12" fillId="0" borderId="3" xfId="1" applyFont="1" applyFill="1" applyBorder="1" applyAlignment="1" applyProtection="1">
      <alignment horizontal="center"/>
      <protection hidden="1"/>
    </xf>
    <xf numFmtId="0" fontId="12" fillId="0" borderId="2" xfId="1" applyFont="1" applyFill="1" applyBorder="1" applyProtection="1">
      <protection locked="0" hidden="1"/>
    </xf>
    <xf numFmtId="0" fontId="12" fillId="0" borderId="2" xfId="1" applyFont="1" applyFill="1" applyBorder="1" applyAlignment="1" applyProtection="1">
      <alignment horizontal="center"/>
      <protection locked="0" hidden="1"/>
    </xf>
    <xf numFmtId="0" fontId="11" fillId="0" borderId="2" xfId="1" applyFont="1" applyFill="1" applyBorder="1" applyAlignment="1" applyProtection="1">
      <alignment horizontal="center"/>
      <protection locked="0" hidden="1"/>
    </xf>
    <xf numFmtId="0" fontId="13" fillId="0" borderId="2" xfId="1" applyFont="1" applyFill="1" applyBorder="1" applyProtection="1">
      <protection hidden="1"/>
    </xf>
    <xf numFmtId="0" fontId="11" fillId="0" borderId="3" xfId="1" applyFont="1" applyFill="1" applyBorder="1" applyAlignment="1" applyProtection="1">
      <alignment horizontal="center"/>
      <protection locked="0" hidden="1"/>
    </xf>
    <xf numFmtId="3" fontId="12" fillId="0" borderId="3" xfId="1" applyNumberFormat="1" applyFont="1" applyFill="1" applyBorder="1" applyAlignment="1" applyProtection="1">
      <alignment horizontal="center"/>
      <protection locked="0" hidden="1"/>
    </xf>
    <xf numFmtId="0" fontId="11" fillId="0" borderId="2" xfId="1" applyNumberFormat="1" applyFont="1" applyFill="1" applyBorder="1" applyAlignment="1" applyProtection="1">
      <alignment horizontal="center"/>
      <protection locked="0" hidden="1"/>
    </xf>
    <xf numFmtId="0" fontId="14" fillId="0" borderId="2" xfId="1" applyFont="1" applyFill="1" applyBorder="1" applyProtection="1">
      <protection hidden="1"/>
    </xf>
    <xf numFmtId="0" fontId="11" fillId="0" borderId="3" xfId="1" applyNumberFormat="1" applyFont="1" applyFill="1" applyBorder="1" applyAlignment="1" applyProtection="1">
      <alignment horizontal="center"/>
      <protection locked="0" hidden="1"/>
    </xf>
    <xf numFmtId="0" fontId="15" fillId="0" borderId="2" xfId="1" applyFont="1" applyFill="1" applyBorder="1" applyProtection="1">
      <protection hidden="1"/>
    </xf>
    <xf numFmtId="0" fontId="16" fillId="0" borderId="2" xfId="1" applyFont="1" applyFill="1" applyBorder="1" applyProtection="1">
      <protection locked="0" hidden="1"/>
    </xf>
    <xf numFmtId="0" fontId="16" fillId="0" borderId="3" xfId="1" applyFont="1" applyFill="1" applyBorder="1" applyAlignment="1" applyProtection="1">
      <alignment horizontal="center"/>
      <protection locked="0" hidden="1"/>
    </xf>
    <xf numFmtId="0" fontId="16" fillId="0" borderId="2" xfId="1" applyFont="1" applyFill="1" applyBorder="1" applyAlignment="1" applyProtection="1">
      <alignment horizontal="center"/>
      <protection locked="0" hidden="1"/>
    </xf>
    <xf numFmtId="0" fontId="16" fillId="0" borderId="2" xfId="1" applyFont="1" applyFill="1" applyBorder="1" applyProtection="1">
      <protection hidden="1"/>
    </xf>
    <xf numFmtId="0" fontId="13" fillId="0" borderId="3" xfId="1" applyFont="1" applyFill="1" applyBorder="1" applyProtection="1">
      <protection locked="0" hidden="1"/>
    </xf>
    <xf numFmtId="0" fontId="14" fillId="0" borderId="2" xfId="1" applyNumberFormat="1" applyFont="1" applyFill="1" applyBorder="1" applyAlignment="1" applyProtection="1">
      <alignment horizontal="center"/>
      <protection hidden="1"/>
    </xf>
    <xf numFmtId="9" fontId="14" fillId="0" borderId="2" xfId="1" applyNumberFormat="1" applyFont="1" applyFill="1" applyBorder="1" applyAlignment="1" applyProtection="1">
      <alignment horizontal="center"/>
      <protection hidden="1"/>
    </xf>
    <xf numFmtId="0" fontId="11" fillId="0" borderId="2" xfId="1" applyNumberFormat="1" applyFont="1" applyFill="1" applyBorder="1" applyAlignment="1" applyProtection="1">
      <alignment horizontal="center"/>
      <protection hidden="1"/>
    </xf>
    <xf numFmtId="0" fontId="10" fillId="0" borderId="12" xfId="1" applyFont="1" applyFill="1" applyBorder="1" applyAlignment="1" applyProtection="1">
      <alignment horizontal="left"/>
      <protection hidden="1"/>
    </xf>
    <xf numFmtId="0" fontId="12" fillId="0" borderId="2" xfId="1" quotePrefix="1" applyFont="1" applyFill="1" applyBorder="1" applyAlignment="1" applyProtection="1">
      <alignment horizontal="center"/>
      <protection locked="0" hidden="1"/>
    </xf>
    <xf numFmtId="0" fontId="16" fillId="0" borderId="2" xfId="1" quotePrefix="1" applyFont="1" applyFill="1" applyBorder="1" applyAlignment="1" applyProtection="1">
      <alignment horizontal="center"/>
      <protection locked="0" hidden="1"/>
    </xf>
    <xf numFmtId="9" fontId="12" fillId="0" borderId="3" xfId="1" applyNumberFormat="1" applyFont="1" applyFill="1" applyBorder="1" applyAlignment="1" applyProtection="1">
      <alignment horizontal="center"/>
      <protection locked="0" hidden="1"/>
    </xf>
    <xf numFmtId="0" fontId="13" fillId="0" borderId="2" xfId="1" applyFont="1" applyFill="1" applyBorder="1" applyProtection="1">
      <protection locked="0" hidden="1"/>
    </xf>
    <xf numFmtId="0" fontId="13" fillId="0" borderId="3" xfId="1" applyFont="1" applyFill="1" applyBorder="1" applyAlignment="1" applyProtection="1">
      <alignment horizontal="center"/>
      <protection locked="0" hidden="1"/>
    </xf>
    <xf numFmtId="0" fontId="11" fillId="0" borderId="3" xfId="1" applyFont="1" applyFill="1" applyBorder="1" applyProtection="1">
      <protection locked="0" hidden="1"/>
    </xf>
    <xf numFmtId="9" fontId="12" fillId="0" borderId="3" xfId="1" applyNumberFormat="1" applyFont="1" applyFill="1" applyBorder="1" applyAlignment="1" applyProtection="1">
      <alignment horizontal="center"/>
      <protection hidden="1"/>
    </xf>
    <xf numFmtId="0" fontId="12" fillId="0" borderId="2" xfId="1" quotePrefix="1" applyFont="1" applyFill="1" applyBorder="1" applyAlignment="1" applyProtection="1">
      <alignment horizontal="center"/>
      <protection hidden="1"/>
    </xf>
    <xf numFmtId="0" fontId="13" fillId="0" borderId="3" xfId="1" applyFont="1" applyFill="1" applyBorder="1" applyProtection="1">
      <protection hidden="1"/>
    </xf>
    <xf numFmtId="0" fontId="16" fillId="0" borderId="2" xfId="1" quotePrefix="1" applyFont="1" applyFill="1" applyBorder="1" applyAlignment="1" applyProtection="1">
      <alignment horizontal="center"/>
      <protection hidden="1"/>
    </xf>
    <xf numFmtId="0" fontId="13" fillId="0" borderId="3" xfId="1" applyFont="1" applyFill="1" applyBorder="1" applyAlignment="1" applyProtection="1">
      <alignment horizontal="center"/>
      <protection hidden="1"/>
    </xf>
    <xf numFmtId="0" fontId="11" fillId="0" borderId="2" xfId="1" applyFont="1" applyFill="1" applyBorder="1" applyAlignment="1" applyProtection="1">
      <alignment horizontal="center"/>
      <protection hidden="1"/>
    </xf>
    <xf numFmtId="0" fontId="17" fillId="2" borderId="2" xfId="0" applyFont="1" applyFill="1" applyBorder="1" applyAlignment="1">
      <alignment horizontal="center"/>
    </xf>
    <xf numFmtId="0" fontId="0" fillId="2" borderId="2" xfId="0" applyFill="1" applyBorder="1"/>
    <xf numFmtId="0" fontId="17" fillId="2" borderId="2" xfId="0" applyFont="1" applyFill="1" applyBorder="1"/>
    <xf numFmtId="0" fontId="18" fillId="3" borderId="2" xfId="0" applyFont="1" applyFill="1" applyBorder="1" applyAlignment="1">
      <alignment horizontal="center"/>
    </xf>
    <xf numFmtId="0" fontId="17" fillId="2" borderId="0" xfId="0" applyFont="1" applyFill="1" applyAlignment="1">
      <alignment horizontal="center"/>
    </xf>
    <xf numFmtId="0" fontId="12" fillId="0" borderId="3" xfId="1" applyFont="1" applyFill="1" applyBorder="1" applyProtection="1">
      <protection locked="0"/>
    </xf>
    <xf numFmtId="0" fontId="12" fillId="0" borderId="3" xfId="1" applyFont="1" applyFill="1" applyBorder="1" applyAlignment="1" applyProtection="1">
      <alignment horizontal="center"/>
      <protection locked="0"/>
    </xf>
    <xf numFmtId="0" fontId="12" fillId="0" borderId="2" xfId="1" applyFont="1" applyFill="1" applyBorder="1" applyProtection="1">
      <protection locked="0"/>
    </xf>
    <xf numFmtId="0" fontId="12" fillId="0" borderId="2" xfId="1" applyFont="1" applyFill="1" applyBorder="1" applyAlignment="1" applyProtection="1">
      <alignment horizontal="center"/>
      <protection locked="0"/>
    </xf>
    <xf numFmtId="0" fontId="11" fillId="4" borderId="2" xfId="1" applyFont="1" applyFill="1" applyBorder="1" applyAlignment="1" applyProtection="1">
      <alignment horizontal="center"/>
      <protection locked="0"/>
    </xf>
    <xf numFmtId="0" fontId="11" fillId="0" borderId="2" xfId="1" applyFont="1" applyFill="1" applyBorder="1" applyAlignment="1" applyProtection="1">
      <alignment horizontal="center"/>
      <protection locked="0"/>
    </xf>
    <xf numFmtId="0" fontId="11" fillId="0" borderId="3" xfId="1" applyFont="1" applyFill="1" applyBorder="1" applyAlignment="1" applyProtection="1">
      <alignment horizontal="center"/>
      <protection locked="0"/>
    </xf>
    <xf numFmtId="0" fontId="12" fillId="4" borderId="2" xfId="1" applyFont="1" applyFill="1" applyBorder="1" applyAlignment="1" applyProtection="1">
      <alignment horizontal="center"/>
      <protection locked="0"/>
    </xf>
    <xf numFmtId="0" fontId="13" fillId="0" borderId="2" xfId="1" applyFont="1" applyFill="1" applyBorder="1" applyProtection="1"/>
    <xf numFmtId="0" fontId="13" fillId="0" borderId="3" xfId="1" applyFont="1" applyFill="1" applyBorder="1" applyProtection="1"/>
    <xf numFmtId="3" fontId="12" fillId="0" borderId="3" xfId="1" applyNumberFormat="1" applyFont="1" applyFill="1" applyBorder="1" applyAlignment="1" applyProtection="1">
      <alignment horizontal="center"/>
      <protection locked="0"/>
    </xf>
    <xf numFmtId="0" fontId="11" fillId="0" borderId="2" xfId="1" applyNumberFormat="1" applyFont="1" applyFill="1" applyBorder="1" applyAlignment="1" applyProtection="1">
      <alignment horizontal="center"/>
      <protection locked="0"/>
    </xf>
    <xf numFmtId="0" fontId="11" fillId="0" borderId="3" xfId="1" applyNumberFormat="1" applyFont="1" applyFill="1" applyBorder="1" applyAlignment="1" applyProtection="1">
      <alignment horizontal="center"/>
      <protection locked="0"/>
    </xf>
    <xf numFmtId="0" fontId="16" fillId="0" borderId="2" xfId="1" applyFont="1" applyFill="1" applyBorder="1" applyProtection="1">
      <protection locked="0"/>
    </xf>
    <xf numFmtId="0" fontId="16" fillId="0" borderId="3" xfId="1" applyFont="1" applyFill="1" applyBorder="1" applyAlignment="1" applyProtection="1">
      <alignment horizontal="center"/>
      <protection locked="0"/>
    </xf>
    <xf numFmtId="0" fontId="13" fillId="0" borderId="3" xfId="1" applyFont="1" applyFill="1" applyBorder="1" applyProtection="1">
      <protection locked="0"/>
    </xf>
    <xf numFmtId="0" fontId="13" fillId="0" borderId="3" xfId="1" applyFont="1" applyFill="1" applyBorder="1" applyAlignment="1" applyProtection="1">
      <alignment horizontal="center"/>
    </xf>
    <xf numFmtId="0" fontId="10" fillId="0" borderId="4" xfId="1" applyFont="1" applyFill="1" applyBorder="1" applyAlignment="1" applyProtection="1">
      <alignment horizontal="center"/>
      <protection locked="0"/>
    </xf>
    <xf numFmtId="0" fontId="10" fillId="0" borderId="5" xfId="1" applyFont="1" applyFill="1" applyBorder="1" applyAlignment="1" applyProtection="1">
      <alignment horizontal="center"/>
      <protection locked="0"/>
    </xf>
    <xf numFmtId="0" fontId="10" fillId="0" borderId="6" xfId="1" applyFont="1" applyFill="1" applyBorder="1" applyAlignment="1" applyProtection="1">
      <alignment horizontal="center"/>
      <protection locked="0"/>
    </xf>
    <xf numFmtId="0" fontId="3" fillId="0" borderId="4" xfId="1" applyFont="1" applyFill="1" applyBorder="1" applyAlignment="1" applyProtection="1">
      <alignment horizontal="center"/>
      <protection hidden="1"/>
    </xf>
    <xf numFmtId="0" fontId="3" fillId="0" borderId="5" xfId="1" applyFont="1" applyFill="1" applyBorder="1" applyAlignment="1" applyProtection="1">
      <alignment horizontal="center"/>
      <protection hidden="1"/>
    </xf>
    <xf numFmtId="0" fontId="3" fillId="0" borderId="6" xfId="1" applyFont="1" applyFill="1" applyBorder="1" applyAlignment="1" applyProtection="1">
      <alignment horizontal="center"/>
      <protection hidden="1"/>
    </xf>
  </cellXfs>
  <cellStyles count="2">
    <cellStyle name="Επικεφαλίδα 2" xfId="1" builtinId="17"/>
    <cellStyle name="Κανονικό" xfId="0" builtinId="0"/>
  </cellStyles>
  <dxfs count="25">
    <dxf>
      <font>
        <color theme="4"/>
      </font>
      <fill>
        <patternFill>
          <bgColor rgb="FF92D050"/>
        </patternFill>
      </fill>
    </dxf>
    <dxf>
      <font>
        <color theme="3"/>
      </font>
      <fill>
        <patternFill>
          <bgColor rgb="FFFFFF00"/>
        </patternFill>
      </fill>
    </dxf>
    <dxf>
      <font>
        <color theme="3"/>
      </font>
      <fill>
        <patternFill>
          <bgColor theme="9" tint="0.59996337778862885"/>
        </patternFill>
      </fill>
    </dxf>
    <dxf>
      <font>
        <color theme="3"/>
      </font>
      <fill>
        <patternFill>
          <bgColor rgb="FFFF0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FFF00"/>
        </patternFill>
      </fill>
    </dxf>
    <dxf>
      <font>
        <color rgb="FF1F497D"/>
      </font>
      <fill>
        <patternFill>
          <bgColor rgb="FFFCD5B4"/>
        </patternFill>
      </fill>
    </dxf>
    <dxf>
      <fill>
        <patternFill patternType="lightUp">
          <fgColor theme="0" tint="-0.24994659260841701"/>
        </patternFill>
      </fill>
    </dxf>
    <dxf>
      <font>
        <color rgb="FF1F497D"/>
      </font>
      <fill>
        <patternFill>
          <bgColor rgb="FFFF0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FFF00"/>
        </patternFill>
      </fill>
    </dxf>
    <dxf>
      <font>
        <color rgb="FF1F497D"/>
      </font>
      <fill>
        <patternFill>
          <bgColor rgb="FFFCD5B4"/>
        </patternFill>
      </fill>
    </dxf>
    <dxf>
      <fill>
        <patternFill patternType="lightUp">
          <fgColor theme="0" tint="-0.24994659260841701"/>
        </patternFill>
      </fill>
    </dxf>
    <dxf>
      <font>
        <color rgb="FF1F497D"/>
      </font>
      <fill>
        <patternFill>
          <bgColor rgb="FFFF0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FFF00"/>
        </patternFill>
      </fill>
    </dxf>
    <dxf>
      <font>
        <color rgb="FF1F497D"/>
      </font>
      <fill>
        <patternFill>
          <bgColor rgb="FFFCD5B4"/>
        </patternFill>
      </fill>
    </dxf>
    <dxf>
      <fill>
        <patternFill patternType="lightUp">
          <fgColor theme="0" tint="-0.24994659260841701"/>
        </patternFill>
      </fill>
    </dxf>
    <dxf>
      <font>
        <color rgb="FF1F497D"/>
      </font>
      <fill>
        <patternFill>
          <bgColor rgb="FFFF0000"/>
        </patternFill>
      </fill>
    </dxf>
    <dxf>
      <font>
        <color rgb="FF1F497D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CD5B4"/>
        </patternFill>
      </fill>
    </dxf>
    <dxf>
      <fill>
        <patternFill patternType="lightUp">
          <fgColor theme="0" tint="-0.24994659260841701"/>
        </patternFill>
      </fill>
    </dxf>
    <dxf>
      <font>
        <color rgb="FF1F497D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C238E-BABE-4DB8-AF8C-3CC33666B29B}">
  <sheetPr codeName="Φύλλο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1575-A7B9-475D-AB19-655A11EA2CC7}">
  <sheetPr codeName="Sheet1"/>
  <dimension ref="A1:XFC300"/>
  <sheetViews>
    <sheetView tabSelected="1" zoomScale="90" zoomScaleNormal="90" workbookViewId="0">
      <pane ySplit="3" topLeftCell="A4" activePane="bottomLeft" state="frozen"/>
      <selection activeCell="D1" sqref="D1"/>
      <selection pane="bottomLeft" activeCell="K13" sqref="K13"/>
    </sheetView>
  </sheetViews>
  <sheetFormatPr defaultColWidth="13" defaultRowHeight="17.25" x14ac:dyDescent="0.3"/>
  <cols>
    <col min="1" max="1" width="35.140625" style="47" customWidth="1"/>
    <col min="2" max="2" width="7.7109375" style="48" customWidth="1"/>
    <col min="3" max="3" width="12.7109375" style="49" bestFit="1" customWidth="1"/>
    <col min="4" max="4" width="16.7109375" style="49" bestFit="1" customWidth="1"/>
    <col min="5" max="5" width="13.5703125" style="49" customWidth="1"/>
    <col min="6" max="6" width="13.85546875" style="49" customWidth="1"/>
    <col min="7" max="7" width="15.42578125" style="49" customWidth="1"/>
    <col min="8" max="8" width="7.28515625" style="53" bestFit="1" customWidth="1"/>
    <col min="9" max="10" width="8.42578125" style="49" customWidth="1"/>
    <col min="11" max="11" width="9.7109375" style="49" customWidth="1"/>
    <col min="12" max="13" width="8.7109375" style="49" customWidth="1"/>
    <col min="14" max="14" width="9.28515625" style="49" customWidth="1"/>
    <col min="15" max="15" width="8.28515625" style="49" customWidth="1"/>
    <col min="16" max="16" width="8" style="49" customWidth="1"/>
    <col min="17" max="18" width="6.42578125" style="49" bestFit="1" customWidth="1"/>
    <col min="19" max="19" width="6.42578125" style="49" customWidth="1"/>
    <col min="20" max="20" width="11.42578125" style="64" bestFit="1" customWidth="1"/>
    <col min="21" max="21" width="9.42578125" style="62" bestFit="1" customWidth="1"/>
    <col min="22" max="22" width="26.7109375" style="63" customWidth="1"/>
    <col min="23" max="23" width="13" style="49"/>
    <col min="24" max="24" width="17.42578125" style="77" bestFit="1" customWidth="1"/>
    <col min="25" max="26" width="13.7109375" style="34" bestFit="1" customWidth="1"/>
    <col min="27" max="27" width="28.85546875" style="34" bestFit="1" customWidth="1"/>
    <col min="28" max="16384" width="13" style="34"/>
  </cols>
  <sheetData>
    <row r="1" spans="1:445" ht="18.75" x14ac:dyDescent="0.3">
      <c r="A1" s="100" t="s">
        <v>129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2"/>
    </row>
    <row r="2" spans="1:445" s="35" customFormat="1" ht="18.75" x14ac:dyDescent="0.3">
      <c r="A2" s="35" t="s">
        <v>0</v>
      </c>
      <c r="B2" s="36"/>
      <c r="C2" s="36"/>
      <c r="D2" s="36"/>
      <c r="E2" s="36">
        <f t="shared" ref="E2:T2" si="0">SUM(E4:E1048576)</f>
        <v>765</v>
      </c>
      <c r="F2" s="36">
        <f t="shared" si="0"/>
        <v>32195</v>
      </c>
      <c r="G2" s="36">
        <f t="shared" si="0"/>
        <v>135</v>
      </c>
      <c r="H2" s="36">
        <f t="shared" si="0"/>
        <v>2682.5</v>
      </c>
      <c r="I2" s="36">
        <f t="shared" si="0"/>
        <v>3890</v>
      </c>
      <c r="J2" s="36">
        <f t="shared" si="0"/>
        <v>3290</v>
      </c>
      <c r="K2" s="36">
        <f t="shared" si="0"/>
        <v>3185</v>
      </c>
      <c r="L2" s="36">
        <f t="shared" si="0"/>
        <v>3405</v>
      </c>
      <c r="M2" s="36">
        <f t="shared" si="0"/>
        <v>1680</v>
      </c>
      <c r="N2" s="36">
        <f t="shared" si="0"/>
        <v>0</v>
      </c>
      <c r="O2" s="36">
        <f t="shared" si="0"/>
        <v>0</v>
      </c>
      <c r="P2" s="36">
        <f t="shared" si="0"/>
        <v>0</v>
      </c>
      <c r="Q2" s="36">
        <f t="shared" si="0"/>
        <v>0</v>
      </c>
      <c r="R2" s="36">
        <f t="shared" si="0"/>
        <v>0</v>
      </c>
      <c r="S2" s="36">
        <f t="shared" si="0"/>
        <v>0</v>
      </c>
      <c r="T2" s="36">
        <f t="shared" si="0"/>
        <v>18267.5</v>
      </c>
      <c r="U2" s="36">
        <f>SUMIF(U4:U1048576,"&gt;=0")</f>
        <v>13167.5</v>
      </c>
      <c r="V2" s="37">
        <f>IF(AND(ISBLANK(E2),ISBLANK(F2), ISBLANK(G2), ISBLANK(H2), ISBLANK(I2), ISBLANK(J2), ISBLANK(K2), ISBLANK(L2), ISBLANK(M2),ISBLANK(N2), ISBLANK(O2), ISBLANK(P2), ISBLANK(Q2), ISBLANK(R2), ISBLANK(S2)), "",IFERROR(((F2+E2)-U2)/(F2+E2),""))</f>
        <v>0.6005006067961165</v>
      </c>
      <c r="W2" s="36">
        <f>COUNTA(W4:W1048576)</f>
        <v>2</v>
      </c>
      <c r="X2" s="36">
        <f>SUM(X4:X299)</f>
        <v>1260</v>
      </c>
    </row>
    <row r="3" spans="1:445" ht="19.5" thickBot="1" x14ac:dyDescent="0.35">
      <c r="A3" s="38" t="s">
        <v>1</v>
      </c>
      <c r="B3" s="65" t="s">
        <v>71</v>
      </c>
      <c r="C3" s="39" t="s">
        <v>64</v>
      </c>
      <c r="D3" s="39" t="s">
        <v>74</v>
      </c>
      <c r="E3" s="39" t="s">
        <v>46</v>
      </c>
      <c r="F3" s="39" t="s">
        <v>2</v>
      </c>
      <c r="G3" s="39" t="s">
        <v>3</v>
      </c>
      <c r="H3" s="39" t="s">
        <v>4</v>
      </c>
      <c r="I3" s="39" t="s">
        <v>5</v>
      </c>
      <c r="J3" s="39" t="s">
        <v>6</v>
      </c>
      <c r="K3" s="39" t="s">
        <v>7</v>
      </c>
      <c r="L3" s="39" t="s">
        <v>8</v>
      </c>
      <c r="M3" s="39" t="s">
        <v>9</v>
      </c>
      <c r="N3" s="39" t="s">
        <v>10</v>
      </c>
      <c r="O3" s="39" t="s">
        <v>11</v>
      </c>
      <c r="P3" s="39" t="s">
        <v>12</v>
      </c>
      <c r="Q3" s="39" t="s">
        <v>13</v>
      </c>
      <c r="R3" s="39" t="s">
        <v>14</v>
      </c>
      <c r="S3" s="39" t="s">
        <v>15</v>
      </c>
      <c r="T3" s="40" t="s">
        <v>16</v>
      </c>
      <c r="U3" s="40" t="s">
        <v>17</v>
      </c>
      <c r="V3" s="41" t="s">
        <v>18</v>
      </c>
      <c r="W3" s="42" t="s">
        <v>19</v>
      </c>
      <c r="X3" s="42" t="s">
        <v>20</v>
      </c>
      <c r="Y3" s="81" t="s">
        <v>144</v>
      </c>
      <c r="Z3" s="81" t="s">
        <v>145</v>
      </c>
      <c r="AA3" s="81" t="s">
        <v>146</v>
      </c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  <c r="EA3" s="43"/>
      <c r="EB3" s="43"/>
      <c r="EC3" s="43"/>
      <c r="ED3" s="43"/>
      <c r="EE3" s="43"/>
      <c r="EF3" s="43"/>
      <c r="EG3" s="43"/>
      <c r="EH3" s="43"/>
      <c r="EI3" s="43"/>
      <c r="EJ3" s="43"/>
      <c r="EK3" s="43"/>
      <c r="EL3" s="43"/>
      <c r="EM3" s="43"/>
      <c r="EN3" s="43"/>
      <c r="EO3" s="43"/>
      <c r="EP3" s="43"/>
      <c r="EQ3" s="43"/>
      <c r="ER3" s="43"/>
      <c r="ES3" s="43"/>
      <c r="ET3" s="43"/>
      <c r="EU3" s="43"/>
      <c r="EV3" s="43"/>
      <c r="EW3" s="43"/>
      <c r="EX3" s="43"/>
      <c r="EY3" s="43"/>
      <c r="EZ3" s="43"/>
      <c r="FA3" s="43"/>
      <c r="FB3" s="43"/>
      <c r="FC3" s="43"/>
      <c r="FD3" s="43"/>
      <c r="FE3" s="43"/>
      <c r="FF3" s="43"/>
      <c r="FG3" s="43"/>
      <c r="FH3" s="43"/>
      <c r="FI3" s="43"/>
      <c r="FJ3" s="43"/>
      <c r="FK3" s="43"/>
      <c r="FL3" s="43"/>
      <c r="FM3" s="43"/>
      <c r="FN3" s="43"/>
      <c r="FO3" s="43"/>
      <c r="FP3" s="43"/>
      <c r="FQ3" s="43"/>
      <c r="FR3" s="43"/>
      <c r="FS3" s="43"/>
      <c r="FT3" s="43"/>
      <c r="FU3" s="43"/>
      <c r="FV3" s="43"/>
      <c r="FW3" s="43"/>
      <c r="FX3" s="43"/>
      <c r="FY3" s="43"/>
      <c r="FZ3" s="43"/>
      <c r="GA3" s="43"/>
      <c r="GB3" s="43"/>
      <c r="GC3" s="43"/>
      <c r="GD3" s="43"/>
      <c r="GE3" s="43"/>
      <c r="GF3" s="43"/>
      <c r="GG3" s="43"/>
      <c r="GH3" s="43"/>
      <c r="GI3" s="43"/>
      <c r="GJ3" s="43"/>
      <c r="GK3" s="43"/>
      <c r="GL3" s="43"/>
      <c r="GM3" s="43"/>
      <c r="GN3" s="43"/>
      <c r="GO3" s="43"/>
      <c r="GP3" s="43"/>
      <c r="GQ3" s="43"/>
      <c r="GR3" s="43"/>
      <c r="GS3" s="43"/>
      <c r="GT3" s="43"/>
      <c r="GU3" s="43"/>
      <c r="GV3" s="43"/>
      <c r="GW3" s="43"/>
      <c r="GX3" s="43"/>
      <c r="GY3" s="43"/>
      <c r="GZ3" s="43"/>
      <c r="HA3" s="43"/>
      <c r="HB3" s="43"/>
      <c r="HC3" s="43"/>
      <c r="HD3" s="43"/>
      <c r="HE3" s="43"/>
      <c r="HF3" s="43"/>
      <c r="HG3" s="43"/>
      <c r="HH3" s="43"/>
      <c r="HI3" s="43"/>
      <c r="HJ3" s="43"/>
      <c r="HK3" s="43"/>
      <c r="HL3" s="43"/>
      <c r="HM3" s="43"/>
      <c r="HN3" s="43"/>
      <c r="HO3" s="43"/>
      <c r="HP3" s="43"/>
      <c r="HQ3" s="43"/>
      <c r="HR3" s="43"/>
      <c r="HS3" s="43"/>
      <c r="HT3" s="43"/>
      <c r="HU3" s="43"/>
      <c r="HV3" s="43"/>
      <c r="HW3" s="43"/>
      <c r="HX3" s="43"/>
      <c r="HY3" s="43"/>
      <c r="HZ3" s="43"/>
      <c r="IA3" s="43"/>
      <c r="IB3" s="43"/>
      <c r="IC3" s="43"/>
      <c r="ID3" s="43"/>
      <c r="IE3" s="43"/>
      <c r="IF3" s="43"/>
      <c r="IG3" s="43"/>
      <c r="IH3" s="43"/>
      <c r="II3" s="43"/>
      <c r="IJ3" s="43"/>
      <c r="IK3" s="43"/>
      <c r="IL3" s="43"/>
      <c r="IM3" s="43"/>
      <c r="IN3" s="43"/>
      <c r="IO3" s="43"/>
      <c r="IP3" s="43"/>
      <c r="IQ3" s="43"/>
      <c r="IR3" s="43"/>
      <c r="IS3" s="43"/>
      <c r="IT3" s="43"/>
      <c r="IU3" s="43"/>
      <c r="IV3" s="43"/>
      <c r="IW3" s="43"/>
      <c r="IX3" s="43"/>
      <c r="IY3" s="43"/>
      <c r="IZ3" s="43"/>
      <c r="JA3" s="43"/>
      <c r="JB3" s="43"/>
      <c r="JC3" s="43"/>
      <c r="JD3" s="43"/>
      <c r="JE3" s="43"/>
      <c r="JF3" s="43"/>
      <c r="JG3" s="43"/>
      <c r="JH3" s="43"/>
      <c r="JI3" s="43"/>
      <c r="JJ3" s="43"/>
      <c r="JK3" s="43"/>
      <c r="JL3" s="43"/>
      <c r="JM3" s="43"/>
      <c r="JN3" s="43"/>
      <c r="JO3" s="43"/>
      <c r="JP3" s="43"/>
      <c r="JQ3" s="43"/>
      <c r="JR3" s="43"/>
      <c r="JS3" s="43"/>
      <c r="JT3" s="43"/>
      <c r="JU3" s="43"/>
      <c r="JV3" s="43"/>
      <c r="JW3" s="43"/>
      <c r="JX3" s="43"/>
      <c r="JY3" s="43"/>
      <c r="JZ3" s="43"/>
      <c r="KA3" s="43"/>
      <c r="KB3" s="43"/>
      <c r="KC3" s="43"/>
      <c r="KD3" s="43"/>
      <c r="KE3" s="43"/>
      <c r="KF3" s="43"/>
      <c r="KG3" s="43"/>
      <c r="KH3" s="43"/>
      <c r="KI3" s="43"/>
      <c r="KJ3" s="43"/>
      <c r="KK3" s="43"/>
      <c r="KL3" s="43"/>
      <c r="KM3" s="43"/>
      <c r="KN3" s="43"/>
      <c r="KO3" s="43"/>
      <c r="KP3" s="43"/>
      <c r="KQ3" s="43"/>
      <c r="KR3" s="43"/>
      <c r="KS3" s="43"/>
      <c r="KT3" s="43"/>
      <c r="KU3" s="43"/>
      <c r="KV3" s="43"/>
      <c r="KW3" s="43"/>
      <c r="KX3" s="43"/>
      <c r="KY3" s="43"/>
      <c r="KZ3" s="43"/>
      <c r="LA3" s="43"/>
      <c r="LB3" s="43"/>
      <c r="LC3" s="43"/>
      <c r="LD3" s="43"/>
      <c r="LE3" s="43"/>
      <c r="LF3" s="43"/>
      <c r="LG3" s="43"/>
      <c r="LH3" s="43"/>
      <c r="LI3" s="43"/>
      <c r="LJ3" s="43"/>
      <c r="LK3" s="43"/>
      <c r="LL3" s="43"/>
      <c r="LM3" s="43"/>
      <c r="LN3" s="43"/>
      <c r="LO3" s="43"/>
      <c r="LP3" s="43"/>
      <c r="LQ3" s="43"/>
      <c r="LR3" s="43"/>
      <c r="LS3" s="43"/>
      <c r="LT3" s="43"/>
      <c r="LU3" s="43"/>
      <c r="LV3" s="43"/>
      <c r="LW3" s="43"/>
      <c r="LX3" s="43"/>
      <c r="LY3" s="43"/>
      <c r="LZ3" s="43"/>
      <c r="MA3" s="43"/>
      <c r="MB3" s="43"/>
      <c r="MC3" s="43"/>
      <c r="MD3" s="43"/>
      <c r="ME3" s="43"/>
      <c r="MF3" s="43"/>
      <c r="MG3" s="43"/>
      <c r="MH3" s="43"/>
      <c r="MI3" s="43"/>
      <c r="MJ3" s="43"/>
      <c r="MK3" s="43"/>
      <c r="ML3" s="43"/>
      <c r="MM3" s="43"/>
      <c r="MN3" s="43"/>
      <c r="MO3" s="43"/>
      <c r="MP3" s="43"/>
      <c r="MQ3" s="43"/>
      <c r="MR3" s="43"/>
      <c r="MS3" s="43"/>
      <c r="MT3" s="43"/>
      <c r="MU3" s="43"/>
      <c r="MV3" s="43"/>
      <c r="MW3" s="43"/>
      <c r="MX3" s="43"/>
      <c r="MY3" s="43"/>
      <c r="MZ3" s="43"/>
      <c r="NA3" s="43"/>
      <c r="NB3" s="43"/>
      <c r="NC3" s="43"/>
      <c r="ND3" s="43"/>
      <c r="NE3" s="43"/>
      <c r="NF3" s="43"/>
      <c r="NG3" s="43"/>
      <c r="NH3" s="43"/>
      <c r="NI3" s="43"/>
      <c r="NJ3" s="43"/>
      <c r="NK3" s="43"/>
      <c r="NL3" s="43"/>
      <c r="NM3" s="43"/>
      <c r="NN3" s="43"/>
      <c r="NO3" s="43"/>
      <c r="NP3" s="43"/>
      <c r="NQ3" s="43"/>
      <c r="NR3" s="43"/>
      <c r="NS3" s="43"/>
      <c r="NT3" s="43"/>
      <c r="NU3" s="43"/>
      <c r="NV3" s="43"/>
      <c r="NW3" s="43"/>
      <c r="NX3" s="43"/>
      <c r="NY3" s="43"/>
      <c r="NZ3" s="43"/>
      <c r="OA3" s="43"/>
      <c r="OB3" s="43"/>
      <c r="OC3" s="43"/>
      <c r="OD3" s="43"/>
      <c r="OE3" s="43"/>
      <c r="OF3" s="43"/>
      <c r="OG3" s="43"/>
      <c r="OH3" s="43"/>
      <c r="OI3" s="43"/>
      <c r="OJ3" s="43"/>
      <c r="OK3" s="43"/>
      <c r="OL3" s="43"/>
      <c r="OM3" s="43"/>
      <c r="ON3" s="43"/>
      <c r="OO3" s="43"/>
      <c r="OP3" s="43"/>
      <c r="OQ3" s="43"/>
      <c r="OR3" s="43"/>
      <c r="OS3" s="43"/>
      <c r="OT3" s="43"/>
      <c r="OU3" s="43"/>
      <c r="OV3" s="43"/>
      <c r="OW3" s="43"/>
      <c r="OX3" s="43"/>
      <c r="OY3" s="43"/>
      <c r="OZ3" s="43"/>
      <c r="PA3" s="43"/>
      <c r="PB3" s="43"/>
      <c r="PC3" s="43"/>
      <c r="PD3" s="43"/>
      <c r="PE3" s="43"/>
      <c r="PF3" s="43"/>
      <c r="PG3" s="43"/>
      <c r="PH3" s="43"/>
      <c r="PI3" s="43"/>
      <c r="PJ3" s="43"/>
      <c r="PK3" s="43"/>
      <c r="PL3" s="43"/>
      <c r="PM3" s="43"/>
      <c r="PN3" s="43"/>
      <c r="PO3" s="43"/>
      <c r="PP3" s="43"/>
      <c r="PQ3" s="43"/>
      <c r="PR3" s="43"/>
      <c r="PS3" s="43"/>
      <c r="PT3" s="43"/>
      <c r="PU3" s="43"/>
      <c r="PV3" s="43"/>
      <c r="PW3" s="43"/>
      <c r="PX3" s="43"/>
      <c r="PY3" s="43"/>
      <c r="PZ3" s="43"/>
      <c r="QA3" s="43"/>
      <c r="QB3" s="43"/>
      <c r="QC3" s="43"/>
    </row>
    <row r="4" spans="1:445" s="47" customFormat="1" ht="16.5" customHeight="1" x14ac:dyDescent="0.3">
      <c r="A4" s="83" t="s">
        <v>130</v>
      </c>
      <c r="B4" s="84"/>
      <c r="C4" s="84" t="s">
        <v>111</v>
      </c>
      <c r="D4" s="84" t="s">
        <v>105</v>
      </c>
      <c r="E4" s="84">
        <v>40</v>
      </c>
      <c r="F4" s="84">
        <v>1350</v>
      </c>
      <c r="G4" s="84">
        <v>75</v>
      </c>
      <c r="H4" s="84"/>
      <c r="I4" s="84">
        <v>150</v>
      </c>
      <c r="J4" s="84">
        <v>150</v>
      </c>
      <c r="K4" s="84">
        <v>150</v>
      </c>
      <c r="L4" s="84">
        <v>150</v>
      </c>
      <c r="M4" s="84">
        <v>150</v>
      </c>
      <c r="N4" s="84"/>
      <c r="O4" s="84"/>
      <c r="P4" s="84"/>
      <c r="Q4" s="84"/>
      <c r="R4" s="84"/>
      <c r="S4" s="84"/>
      <c r="T4" s="46">
        <f>IF(AND(ISBLANK(E4),ISBLANK(F4),ISBLANK(G4),ISBLANK(H4),ISBLANK(I4),ISBLANK(J4),ISBLANK(K4), ISBLANK(L4), ISBLANK(M4), ISBLANK(N4), ISBLANK(O4), ISBLANK(P4), ISBLANK(Q4), ISBLANK(R4), ISBLANK(S4)),"",SUM(G4:S4))</f>
        <v>825</v>
      </c>
      <c r="U4" s="46">
        <f>IF(W4&lt;&gt;0,0,IF(AND(ISBLANK(F4),ISBLANK(G4),ISBLANK(H4),ISBLANK(I4),ISBLANK(J4),ISBLANK(K4), ISBLANK(L4), ISBLANK(M4), ISBLANK(N4), ISBLANK(O4), ISBLANK(P4), ISBLANK(Q4), ISBLANK(R4), ISBLANK(S4)),"", F4-T4))</f>
        <v>525</v>
      </c>
      <c r="V4" s="72">
        <f>IF(AND(ISBLANK(E4),ISBLANK(F4), ISBLANK(G4), ISBLANK(H4), ISBLANK(I4), ISBLANK(J4), ISBLANK(K4), ISBLANK(L4), ISBLANK(M4),ISBLANK(N4), ISBLANK(O4), ISBLANK(P4), ISBLANK(Q4), ISBLANK(R4), ISBLANK(S4)), "",IFERROR(((F4+E4)-U4)/F4,""))</f>
        <v>0.64074074074074072</v>
      </c>
      <c r="W4" s="51"/>
      <c r="X4" s="73" t="str">
        <f>IF(W4&lt;&gt;"",F4 - (SUM(G4:S4)),"")</f>
        <v/>
      </c>
      <c r="Y4" s="78">
        <v>2130344263</v>
      </c>
      <c r="Z4" s="78">
        <v>6937436859</v>
      </c>
      <c r="AA4" s="78">
        <v>6946235198</v>
      </c>
    </row>
    <row r="5" spans="1:445" s="47" customFormat="1" ht="15.75" customHeight="1" x14ac:dyDescent="0.3">
      <c r="A5" s="85" t="s">
        <v>131</v>
      </c>
      <c r="B5" s="84"/>
      <c r="C5" s="84" t="s">
        <v>104</v>
      </c>
      <c r="D5" s="84" t="s">
        <v>105</v>
      </c>
      <c r="E5" s="84">
        <v>40</v>
      </c>
      <c r="F5" s="84">
        <v>1080</v>
      </c>
      <c r="G5" s="84">
        <v>60</v>
      </c>
      <c r="H5" s="84"/>
      <c r="I5" s="84">
        <v>120</v>
      </c>
      <c r="J5" s="84">
        <v>120</v>
      </c>
      <c r="K5" s="84">
        <v>120</v>
      </c>
      <c r="L5" s="84">
        <v>120</v>
      </c>
      <c r="M5" s="84">
        <v>120</v>
      </c>
      <c r="N5" s="84"/>
      <c r="O5" s="84"/>
      <c r="P5" s="84"/>
      <c r="Q5" s="84"/>
      <c r="R5" s="84"/>
      <c r="S5" s="84"/>
      <c r="T5" s="46">
        <f>IF(AND(ISBLANK(E5),ISBLANK(F5),ISBLANK(G5),ISBLANK(H5),ISBLANK(I5),ISBLANK(J5),ISBLANK(K5), ISBLANK(L5), ISBLANK(M5), ISBLANK(N5), ISBLANK(O5), ISBLANK(P5), ISBLANK(Q5), ISBLANK(R5), ISBLANK(S5)),"",SUM(G5:S5))</f>
        <v>660</v>
      </c>
      <c r="U5" s="46">
        <f>IF(W5&lt;&gt;0,0,IF(AND(ISBLANK(F5),ISBLANK(G5),ISBLANK(H5),ISBLANK(I5),ISBLANK(J5),ISBLANK(K5), ISBLANK(L5), ISBLANK(M5), ISBLANK(N5), ISBLANK(O5), ISBLANK(P5), ISBLANK(Q5), ISBLANK(R5), ISBLANK(S5)),"", F5-T5))</f>
        <v>420</v>
      </c>
      <c r="V5" s="72">
        <f>IF(AND(ISBLANK(E5),ISBLANK(F5), ISBLANK(G5), ISBLANK(H5), ISBLANK(I5), ISBLANK(J5), ISBLANK(K5), ISBLANK(L5), ISBLANK(M5),ISBLANK(N5), ISBLANK(O5), ISBLANK(P5), ISBLANK(Q5), ISBLANK(R5), ISBLANK(S5)), "",IFERROR(((F5+E5)-U5)/F5,""))</f>
        <v>0.64814814814814814</v>
      </c>
      <c r="W5" s="49"/>
      <c r="X5" s="73" t="str">
        <f>IF(W5&lt;&gt;"",F5 - (SUM(G5:S5)),"")</f>
        <v/>
      </c>
      <c r="Y5" s="79" t="s">
        <v>147</v>
      </c>
      <c r="Z5" s="79" t="s">
        <v>147</v>
      </c>
      <c r="AA5" s="79" t="s">
        <v>147</v>
      </c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  <c r="EA5" s="43"/>
      <c r="EB5" s="43"/>
      <c r="EC5" s="43"/>
      <c r="ED5" s="43"/>
      <c r="EE5" s="43"/>
      <c r="EF5" s="43"/>
      <c r="EG5" s="43"/>
      <c r="EH5" s="43"/>
      <c r="EI5" s="43"/>
      <c r="EJ5" s="43"/>
      <c r="EK5" s="43"/>
      <c r="EL5" s="43"/>
      <c r="EM5" s="43"/>
      <c r="EN5" s="43"/>
      <c r="EO5" s="43"/>
      <c r="EP5" s="43"/>
      <c r="EQ5" s="43"/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43"/>
      <c r="FI5" s="43"/>
      <c r="FJ5" s="43"/>
      <c r="FK5" s="43"/>
      <c r="FL5" s="43"/>
      <c r="FM5" s="43"/>
      <c r="FN5" s="43"/>
      <c r="FO5" s="43"/>
      <c r="FP5" s="43"/>
      <c r="FQ5" s="43"/>
      <c r="FR5" s="43"/>
      <c r="FS5" s="43"/>
      <c r="FT5" s="43"/>
      <c r="FU5" s="43"/>
      <c r="FV5" s="43"/>
      <c r="FW5" s="43"/>
      <c r="FX5" s="43"/>
      <c r="FY5" s="43"/>
      <c r="FZ5" s="43"/>
      <c r="GA5" s="43"/>
      <c r="GB5" s="43"/>
      <c r="GC5" s="43"/>
      <c r="GD5" s="43"/>
      <c r="GE5" s="43"/>
      <c r="GF5" s="43"/>
      <c r="GG5" s="43"/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43"/>
      <c r="GY5" s="43"/>
      <c r="GZ5" s="43"/>
      <c r="HA5" s="43"/>
      <c r="HB5" s="43"/>
      <c r="HC5" s="43"/>
      <c r="HD5" s="43"/>
      <c r="HE5" s="43"/>
      <c r="HF5" s="43"/>
      <c r="HG5" s="43"/>
      <c r="HH5" s="43"/>
      <c r="HI5" s="43"/>
      <c r="HJ5" s="43"/>
      <c r="HK5" s="43"/>
      <c r="HL5" s="43"/>
      <c r="HM5" s="43"/>
      <c r="HN5" s="43"/>
      <c r="HO5" s="43"/>
      <c r="HP5" s="43"/>
      <c r="HQ5" s="43"/>
      <c r="HR5" s="43"/>
      <c r="HS5" s="43"/>
      <c r="HT5" s="43"/>
      <c r="HU5" s="43"/>
      <c r="HV5" s="43"/>
      <c r="HW5" s="43"/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43"/>
      <c r="IO5" s="43"/>
      <c r="IP5" s="43"/>
      <c r="IQ5" s="43"/>
      <c r="IR5" s="43"/>
      <c r="IS5" s="43"/>
      <c r="IT5" s="43"/>
      <c r="IU5" s="43"/>
      <c r="IV5" s="43"/>
      <c r="IW5" s="43"/>
      <c r="IX5" s="43"/>
      <c r="IY5" s="43"/>
      <c r="IZ5" s="43"/>
      <c r="JA5" s="43"/>
      <c r="JB5" s="43"/>
      <c r="JC5" s="43"/>
      <c r="JD5" s="43"/>
      <c r="JE5" s="43"/>
      <c r="JF5" s="43"/>
      <c r="JG5" s="43"/>
      <c r="JH5" s="43"/>
      <c r="JI5" s="43"/>
      <c r="JJ5" s="43"/>
      <c r="JK5" s="43"/>
      <c r="JL5" s="43"/>
      <c r="JM5" s="43"/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43"/>
      <c r="KE5" s="43"/>
      <c r="KF5" s="43"/>
      <c r="KG5" s="43"/>
      <c r="KH5" s="43"/>
      <c r="KI5" s="43"/>
      <c r="KJ5" s="43"/>
      <c r="KK5" s="43"/>
      <c r="KL5" s="43"/>
      <c r="KM5" s="43"/>
      <c r="KN5" s="43"/>
      <c r="KO5" s="43"/>
      <c r="KP5" s="43"/>
      <c r="KQ5" s="43"/>
      <c r="KR5" s="43"/>
      <c r="KS5" s="43"/>
      <c r="KT5" s="43"/>
      <c r="KU5" s="43"/>
      <c r="KV5" s="43"/>
      <c r="KW5" s="43"/>
      <c r="KX5" s="43"/>
      <c r="KY5" s="43"/>
      <c r="KZ5" s="43"/>
      <c r="LA5" s="43"/>
      <c r="LB5" s="43"/>
      <c r="LC5" s="43"/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43"/>
      <c r="LU5" s="43"/>
      <c r="LV5" s="43"/>
      <c r="LW5" s="43"/>
      <c r="LX5" s="43"/>
      <c r="LY5" s="43"/>
      <c r="LZ5" s="43"/>
      <c r="MA5" s="43"/>
      <c r="MB5" s="43"/>
      <c r="MC5" s="43"/>
      <c r="MD5" s="43"/>
      <c r="ME5" s="43"/>
      <c r="MF5" s="43"/>
      <c r="MG5" s="43"/>
      <c r="MH5" s="43"/>
      <c r="MI5" s="43"/>
      <c r="MJ5" s="43"/>
      <c r="MK5" s="43"/>
      <c r="ML5" s="43"/>
      <c r="MM5" s="43"/>
      <c r="MN5" s="43"/>
      <c r="MO5" s="43"/>
      <c r="MP5" s="43"/>
      <c r="MQ5" s="43"/>
      <c r="MR5" s="43"/>
      <c r="MS5" s="43"/>
      <c r="MT5" s="43"/>
      <c r="MU5" s="43"/>
      <c r="MV5" s="43"/>
      <c r="MW5" s="43"/>
      <c r="MX5" s="43"/>
      <c r="MY5" s="43"/>
      <c r="MZ5" s="43"/>
      <c r="NA5" s="43"/>
      <c r="NB5" s="43"/>
      <c r="NC5" s="43"/>
      <c r="ND5" s="43"/>
      <c r="NE5" s="43"/>
      <c r="NF5" s="43"/>
      <c r="NG5" s="43"/>
      <c r="NH5" s="43"/>
      <c r="NI5" s="43"/>
      <c r="NJ5" s="43"/>
      <c r="NK5" s="43"/>
      <c r="NL5" s="43"/>
      <c r="NM5" s="43"/>
      <c r="NN5" s="43"/>
      <c r="NO5" s="43"/>
      <c r="NP5" s="43"/>
      <c r="NQ5" s="43"/>
      <c r="NR5" s="43"/>
      <c r="NS5" s="43"/>
      <c r="NT5" s="43"/>
      <c r="NU5" s="43"/>
      <c r="NV5" s="43"/>
      <c r="NW5" s="43"/>
      <c r="NX5" s="43"/>
      <c r="NY5" s="43"/>
      <c r="NZ5" s="43"/>
      <c r="OA5" s="43"/>
      <c r="OB5" s="43"/>
      <c r="OC5" s="43"/>
      <c r="OD5" s="43"/>
      <c r="OE5" s="43"/>
      <c r="OF5" s="43"/>
      <c r="OG5" s="43"/>
      <c r="OH5" s="43"/>
      <c r="OI5" s="43"/>
      <c r="OJ5" s="43"/>
      <c r="OK5" s="43"/>
      <c r="OL5" s="43"/>
      <c r="OM5" s="43"/>
      <c r="ON5" s="43"/>
      <c r="OO5" s="43"/>
      <c r="OP5" s="43"/>
      <c r="OQ5" s="43"/>
      <c r="OR5" s="43"/>
      <c r="OS5" s="43"/>
      <c r="OT5" s="43"/>
      <c r="OU5" s="43"/>
      <c r="OV5" s="43"/>
      <c r="OW5" s="43"/>
      <c r="OX5" s="43"/>
      <c r="OY5" s="43"/>
      <c r="OZ5" s="43"/>
      <c r="PA5" s="43"/>
      <c r="PB5" s="43"/>
      <c r="PC5" s="43"/>
      <c r="PD5" s="43"/>
      <c r="PE5" s="43"/>
      <c r="PF5" s="43"/>
      <c r="PG5" s="43"/>
      <c r="PH5" s="43"/>
      <c r="PI5" s="43"/>
      <c r="PJ5" s="43"/>
      <c r="PK5" s="43"/>
      <c r="PL5" s="43"/>
      <c r="PM5" s="43"/>
      <c r="PN5" s="43"/>
      <c r="PO5" s="43"/>
      <c r="PP5" s="43"/>
      <c r="PQ5" s="43"/>
      <c r="PR5" s="43"/>
      <c r="PS5" s="43"/>
      <c r="PT5" s="43"/>
      <c r="PU5" s="43"/>
      <c r="PV5" s="43"/>
      <c r="PW5" s="43"/>
      <c r="PX5" s="43"/>
      <c r="PY5" s="43"/>
      <c r="PZ5" s="43"/>
      <c r="QA5" s="43"/>
      <c r="QB5" s="43"/>
      <c r="QC5" s="43"/>
    </row>
    <row r="6" spans="1:445" x14ac:dyDescent="0.3">
      <c r="A6" s="85" t="s">
        <v>99</v>
      </c>
      <c r="B6" s="84" t="s">
        <v>73</v>
      </c>
      <c r="C6" s="84" t="s">
        <v>153</v>
      </c>
      <c r="D6" s="84"/>
      <c r="E6" s="84">
        <v>40</v>
      </c>
      <c r="F6" s="84">
        <v>1800</v>
      </c>
      <c r="G6" s="84"/>
      <c r="H6" s="84">
        <v>100</v>
      </c>
      <c r="I6" s="84">
        <v>200</v>
      </c>
      <c r="J6" s="84">
        <v>200</v>
      </c>
      <c r="K6" s="84">
        <v>200</v>
      </c>
      <c r="L6" s="84">
        <v>200</v>
      </c>
      <c r="M6" s="84"/>
      <c r="N6" s="84"/>
      <c r="O6" s="84"/>
      <c r="P6" s="84"/>
      <c r="Q6" s="84"/>
      <c r="R6" s="84"/>
      <c r="S6" s="84"/>
      <c r="T6" s="46">
        <f>IF(AND(ISBLANK(E6),ISBLANK(F6),ISBLANK(G6),ISBLANK(H6),ISBLANK(I6),ISBLANK(J6),ISBLANK(K6), ISBLANK(L6), ISBLANK(M6), ISBLANK(N6), ISBLANK(O6), ISBLANK(P6), ISBLANK(Q6), ISBLANK(R6), ISBLANK(S6)),"",SUM(G6:S6))</f>
        <v>900</v>
      </c>
      <c r="U6" s="46">
        <f>IF(W6&lt;&gt;0,0,IF(AND(ISBLANK(F6),ISBLANK(G6),ISBLANK(H6),ISBLANK(I6),ISBLANK(J6),ISBLANK(K6), ISBLANK(L6), ISBLANK(M6), ISBLANK(N6), ISBLANK(O6), ISBLANK(P6), ISBLANK(Q6), ISBLANK(R6), ISBLANK(S6)),"", F6-T6))</f>
        <v>900</v>
      </c>
      <c r="V6" s="72">
        <f>IF(AND(ISBLANK(E6),ISBLANK(F6), ISBLANK(G6), ISBLANK(H6), ISBLANK(I6), ISBLANK(J6), ISBLANK(K6), ISBLANK(L6), ISBLANK(M6),ISBLANK(N6), ISBLANK(O6), ISBLANK(P6), ISBLANK(Q6), ISBLANK(R6), ISBLANK(S6)), "",IFERROR(((F6+E6)-U6)/F6,""))</f>
        <v>0.52222222222222225</v>
      </c>
      <c r="X6" s="73" t="str">
        <f>IF(W6&lt;&gt;"",F6 - (SUM(G6:S6)),"")</f>
        <v/>
      </c>
      <c r="Y6" s="79"/>
      <c r="Z6" s="78">
        <v>6972907475</v>
      </c>
      <c r="AA6" s="78">
        <v>6944881488</v>
      </c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  <c r="CU6" s="43"/>
      <c r="CV6" s="43"/>
      <c r="CW6" s="43"/>
      <c r="CX6" s="43"/>
      <c r="CY6" s="43"/>
      <c r="CZ6" s="43"/>
      <c r="DA6" s="43"/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  <c r="EJ6" s="43"/>
      <c r="EK6" s="43"/>
      <c r="EL6" s="43"/>
      <c r="EM6" s="43"/>
      <c r="EN6" s="43"/>
      <c r="EO6" s="43"/>
      <c r="EP6" s="43"/>
      <c r="EQ6" s="43"/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43"/>
      <c r="FI6" s="43"/>
      <c r="FJ6" s="43"/>
      <c r="FK6" s="43"/>
      <c r="FL6" s="43"/>
      <c r="FM6" s="43"/>
      <c r="FN6" s="43"/>
      <c r="FO6" s="43"/>
      <c r="FP6" s="43"/>
      <c r="FQ6" s="43"/>
      <c r="FR6" s="43"/>
      <c r="FS6" s="43"/>
      <c r="FT6" s="43"/>
      <c r="FU6" s="43"/>
      <c r="FV6" s="43"/>
      <c r="FW6" s="43"/>
      <c r="FX6" s="43"/>
      <c r="FY6" s="43"/>
      <c r="FZ6" s="43"/>
      <c r="GA6" s="43"/>
      <c r="GB6" s="43"/>
      <c r="GC6" s="43"/>
      <c r="GD6" s="43"/>
      <c r="GE6" s="43"/>
      <c r="GF6" s="43"/>
      <c r="GG6" s="43"/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43"/>
      <c r="GY6" s="43"/>
      <c r="GZ6" s="43"/>
      <c r="HA6" s="43"/>
      <c r="HB6" s="43"/>
      <c r="HC6" s="43"/>
      <c r="HD6" s="43"/>
      <c r="HE6" s="43"/>
      <c r="HF6" s="43"/>
      <c r="HG6" s="43"/>
      <c r="HH6" s="43"/>
      <c r="HI6" s="43"/>
      <c r="HJ6" s="43"/>
      <c r="HK6" s="43"/>
      <c r="HL6" s="43"/>
      <c r="HM6" s="43"/>
      <c r="HN6" s="43"/>
      <c r="HO6" s="43"/>
      <c r="HP6" s="43"/>
      <c r="HQ6" s="43"/>
      <c r="HR6" s="43"/>
      <c r="HS6" s="43"/>
      <c r="HT6" s="43"/>
      <c r="HU6" s="43"/>
      <c r="HV6" s="43"/>
      <c r="HW6" s="43"/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43"/>
      <c r="IO6" s="43"/>
      <c r="IP6" s="43"/>
      <c r="IQ6" s="43"/>
      <c r="IR6" s="43"/>
      <c r="IS6" s="43"/>
      <c r="IT6" s="43"/>
      <c r="IU6" s="43"/>
      <c r="IV6" s="43"/>
      <c r="IW6" s="43"/>
      <c r="IX6" s="43"/>
      <c r="IY6" s="43"/>
      <c r="IZ6" s="43"/>
      <c r="JA6" s="43"/>
      <c r="JB6" s="43"/>
      <c r="JC6" s="43"/>
      <c r="JD6" s="43"/>
      <c r="JE6" s="43"/>
      <c r="JF6" s="43"/>
      <c r="JG6" s="43"/>
      <c r="JH6" s="43"/>
      <c r="JI6" s="43"/>
      <c r="JJ6" s="43"/>
      <c r="JK6" s="43"/>
      <c r="JL6" s="43"/>
      <c r="JM6" s="43"/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43"/>
      <c r="KE6" s="43"/>
      <c r="KF6" s="43"/>
      <c r="KG6" s="43"/>
      <c r="KH6" s="43"/>
      <c r="KI6" s="43"/>
      <c r="KJ6" s="43"/>
      <c r="KK6" s="43"/>
      <c r="KL6" s="43"/>
      <c r="KM6" s="43"/>
      <c r="KN6" s="43"/>
      <c r="KO6" s="43"/>
      <c r="KP6" s="43"/>
      <c r="KQ6" s="43"/>
      <c r="KR6" s="43"/>
      <c r="KS6" s="43"/>
      <c r="KT6" s="43"/>
      <c r="KU6" s="43"/>
      <c r="KV6" s="43"/>
      <c r="KW6" s="43"/>
      <c r="KX6" s="43"/>
      <c r="KY6" s="43"/>
      <c r="KZ6" s="43"/>
      <c r="LA6" s="43"/>
      <c r="LB6" s="43"/>
      <c r="LC6" s="43"/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43"/>
      <c r="LU6" s="43"/>
      <c r="LV6" s="43"/>
      <c r="LW6" s="43"/>
      <c r="LX6" s="43"/>
      <c r="LY6" s="43"/>
      <c r="LZ6" s="43"/>
      <c r="MA6" s="43"/>
      <c r="MB6" s="43"/>
      <c r="MC6" s="43"/>
      <c r="MD6" s="43"/>
      <c r="ME6" s="43"/>
      <c r="MF6" s="43"/>
      <c r="MG6" s="43"/>
      <c r="MH6" s="43"/>
      <c r="MI6" s="43"/>
      <c r="MJ6" s="43"/>
      <c r="MK6" s="43"/>
      <c r="ML6" s="43"/>
      <c r="MM6" s="43"/>
      <c r="MN6" s="43"/>
      <c r="MO6" s="43"/>
      <c r="MP6" s="43"/>
      <c r="MQ6" s="43"/>
      <c r="MR6" s="43"/>
      <c r="MS6" s="43"/>
      <c r="MT6" s="43"/>
      <c r="MU6" s="43"/>
      <c r="MV6" s="43"/>
      <c r="MW6" s="43"/>
      <c r="MX6" s="43"/>
      <c r="MY6" s="43"/>
      <c r="MZ6" s="43"/>
      <c r="NA6" s="43"/>
      <c r="NB6" s="43"/>
      <c r="NC6" s="43"/>
      <c r="ND6" s="43"/>
      <c r="NE6" s="43"/>
      <c r="NF6" s="43"/>
      <c r="NG6" s="43"/>
      <c r="NH6" s="43"/>
      <c r="NI6" s="43"/>
      <c r="NJ6" s="43"/>
      <c r="NK6" s="43"/>
      <c r="NL6" s="43"/>
      <c r="NM6" s="43"/>
      <c r="NN6" s="43"/>
      <c r="NO6" s="43"/>
      <c r="NP6" s="43"/>
      <c r="NQ6" s="43"/>
      <c r="NR6" s="43"/>
      <c r="NS6" s="43"/>
      <c r="NT6" s="43"/>
      <c r="NU6" s="43"/>
      <c r="NV6" s="43"/>
      <c r="NW6" s="43"/>
      <c r="NX6" s="43"/>
      <c r="NY6" s="43"/>
      <c r="NZ6" s="43"/>
      <c r="OA6" s="43"/>
      <c r="OB6" s="43"/>
      <c r="OC6" s="43"/>
      <c r="OD6" s="43"/>
      <c r="OE6" s="43"/>
      <c r="OF6" s="43"/>
      <c r="OG6" s="43"/>
      <c r="OH6" s="43"/>
      <c r="OI6" s="43"/>
      <c r="OJ6" s="43"/>
      <c r="OK6" s="43"/>
      <c r="OL6" s="43"/>
      <c r="OM6" s="43"/>
      <c r="ON6" s="43"/>
      <c r="OO6" s="43"/>
      <c r="OP6" s="43"/>
      <c r="OQ6" s="43"/>
      <c r="OR6" s="43"/>
      <c r="OS6" s="43"/>
      <c r="OT6" s="43"/>
      <c r="OU6" s="43"/>
      <c r="OV6" s="43"/>
      <c r="OW6" s="43"/>
      <c r="OX6" s="43"/>
      <c r="OY6" s="43"/>
      <c r="OZ6" s="43"/>
      <c r="PA6" s="43"/>
      <c r="PB6" s="43"/>
      <c r="PC6" s="43"/>
      <c r="PD6" s="43"/>
      <c r="PE6" s="43"/>
      <c r="PF6" s="43"/>
      <c r="PG6" s="43"/>
      <c r="PH6" s="43"/>
      <c r="PI6" s="43"/>
      <c r="PJ6" s="43"/>
      <c r="PK6" s="43"/>
      <c r="PL6" s="43"/>
      <c r="PM6" s="43"/>
      <c r="PN6" s="43"/>
      <c r="PO6" s="43"/>
      <c r="PP6" s="43"/>
      <c r="PQ6" s="43"/>
      <c r="PR6" s="43"/>
      <c r="PS6" s="43"/>
      <c r="PT6" s="43"/>
      <c r="PU6" s="43"/>
      <c r="PV6" s="43"/>
      <c r="PW6" s="43"/>
      <c r="PX6" s="43"/>
      <c r="PY6" s="43"/>
      <c r="PZ6" s="43"/>
      <c r="QA6" s="43"/>
      <c r="QB6" s="43"/>
      <c r="QC6" s="43"/>
    </row>
    <row r="7" spans="1:445" x14ac:dyDescent="0.3">
      <c r="A7" s="85" t="s">
        <v>118</v>
      </c>
      <c r="B7" s="84"/>
      <c r="C7" s="84" t="s">
        <v>119</v>
      </c>
      <c r="D7" s="84" t="s">
        <v>132</v>
      </c>
      <c r="E7" s="84">
        <v>33</v>
      </c>
      <c r="F7" s="84">
        <v>1170</v>
      </c>
      <c r="G7" s="84"/>
      <c r="H7" s="84">
        <v>65</v>
      </c>
      <c r="I7" s="84">
        <v>130</v>
      </c>
      <c r="J7" s="84">
        <v>130</v>
      </c>
      <c r="K7" s="84">
        <v>130</v>
      </c>
      <c r="L7" s="84">
        <v>130</v>
      </c>
      <c r="M7" s="84">
        <v>130</v>
      </c>
      <c r="N7" s="84"/>
      <c r="O7" s="84"/>
      <c r="P7" s="84"/>
      <c r="Q7" s="84"/>
      <c r="R7" s="84"/>
      <c r="S7" s="84"/>
      <c r="T7" s="46">
        <f>IF(AND(ISBLANK(E7),ISBLANK(F7),ISBLANK(G7),ISBLANK(H7),ISBLANK(I7),ISBLANK(J7),ISBLANK(K7), ISBLANK(L7), ISBLANK(M7), ISBLANK(N7), ISBLANK(O7), ISBLANK(P7), ISBLANK(Q7), ISBLANK(R7), ISBLANK(S7)),"",SUM(G7:S7))</f>
        <v>715</v>
      </c>
      <c r="U7" s="46">
        <f>IF(W7&lt;&gt;0,0,IF(AND(ISBLANK(F7),ISBLANK(G7),ISBLANK(H7),ISBLANK(I7),ISBLANK(J7),ISBLANK(K7), ISBLANK(L7), ISBLANK(M7), ISBLANK(N7), ISBLANK(O7), ISBLANK(P7), ISBLANK(Q7), ISBLANK(R7), ISBLANK(S7)),"", F7-T7))</f>
        <v>455</v>
      </c>
      <c r="V7" s="72">
        <f>IF(AND(ISBLANK(E7),ISBLANK(F7), ISBLANK(G7), ISBLANK(H7), ISBLANK(I7), ISBLANK(J7), ISBLANK(K7), ISBLANK(L7), ISBLANK(M7),ISBLANK(N7), ISBLANK(O7), ISBLANK(P7), ISBLANK(Q7), ISBLANK(R7), ISBLANK(S7)), "",IFERROR(((F7+E7)-U7)/F7,""))</f>
        <v>0.63931623931623927</v>
      </c>
      <c r="W7" s="48"/>
      <c r="X7" s="73" t="str">
        <f>IF(W7&lt;&gt;"",F7 - (SUM(G7:S7)),"")</f>
        <v/>
      </c>
      <c r="Y7" s="79"/>
      <c r="Z7" s="79" t="s">
        <v>147</v>
      </c>
      <c r="AA7" s="79" t="s">
        <v>147</v>
      </c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/>
      <c r="CS7" s="43"/>
      <c r="CT7" s="43"/>
      <c r="CU7" s="43"/>
      <c r="CV7" s="43"/>
      <c r="CW7" s="43"/>
      <c r="CX7" s="43"/>
      <c r="CY7" s="43"/>
      <c r="CZ7" s="43"/>
      <c r="DA7" s="43"/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43"/>
      <c r="DS7" s="43"/>
      <c r="DT7" s="43"/>
      <c r="DU7" s="43"/>
      <c r="DV7" s="43"/>
      <c r="DW7" s="43"/>
      <c r="DX7" s="43"/>
      <c r="DY7" s="43"/>
      <c r="DZ7" s="43"/>
      <c r="EA7" s="43"/>
      <c r="EB7" s="43"/>
      <c r="EC7" s="43"/>
      <c r="ED7" s="43"/>
      <c r="EE7" s="43"/>
      <c r="EF7" s="43"/>
      <c r="EG7" s="43"/>
      <c r="EH7" s="43"/>
      <c r="EI7" s="43"/>
      <c r="EJ7" s="43"/>
      <c r="EK7" s="43"/>
      <c r="EL7" s="43"/>
      <c r="EM7" s="43"/>
      <c r="EN7" s="43"/>
      <c r="EO7" s="43"/>
      <c r="EP7" s="43"/>
      <c r="EQ7" s="43"/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43"/>
      <c r="FI7" s="43"/>
      <c r="FJ7" s="43"/>
      <c r="FK7" s="43"/>
      <c r="FL7" s="43"/>
      <c r="FM7" s="43"/>
      <c r="FN7" s="43"/>
      <c r="FO7" s="43"/>
      <c r="FP7" s="43"/>
      <c r="FQ7" s="43"/>
      <c r="FR7" s="43"/>
      <c r="FS7" s="43"/>
      <c r="FT7" s="43"/>
      <c r="FU7" s="43"/>
      <c r="FV7" s="43"/>
      <c r="FW7" s="43"/>
      <c r="FX7" s="43"/>
      <c r="FY7" s="43"/>
      <c r="FZ7" s="43"/>
      <c r="GA7" s="43"/>
      <c r="GB7" s="43"/>
      <c r="GC7" s="43"/>
      <c r="GD7" s="43"/>
      <c r="GE7" s="43"/>
      <c r="GF7" s="43"/>
      <c r="GG7" s="43"/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43"/>
      <c r="GY7" s="43"/>
      <c r="GZ7" s="43"/>
      <c r="HA7" s="43"/>
      <c r="HB7" s="43"/>
      <c r="HC7" s="43"/>
      <c r="HD7" s="43"/>
      <c r="HE7" s="43"/>
      <c r="HF7" s="43"/>
      <c r="HG7" s="43"/>
      <c r="HH7" s="43"/>
      <c r="HI7" s="43"/>
      <c r="HJ7" s="43"/>
      <c r="HK7" s="43"/>
      <c r="HL7" s="43"/>
      <c r="HM7" s="43"/>
      <c r="HN7" s="43"/>
      <c r="HO7" s="43"/>
      <c r="HP7" s="43"/>
      <c r="HQ7" s="43"/>
      <c r="HR7" s="43"/>
      <c r="HS7" s="43"/>
      <c r="HT7" s="43"/>
      <c r="HU7" s="43"/>
      <c r="HV7" s="43"/>
      <c r="HW7" s="43"/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43"/>
      <c r="IO7" s="43"/>
      <c r="IP7" s="43"/>
      <c r="IQ7" s="43"/>
      <c r="IR7" s="43"/>
      <c r="IS7" s="43"/>
      <c r="IT7" s="43"/>
      <c r="IU7" s="43"/>
      <c r="IV7" s="43"/>
      <c r="IW7" s="43"/>
      <c r="IX7" s="43"/>
      <c r="IY7" s="43"/>
      <c r="IZ7" s="43"/>
      <c r="JA7" s="43"/>
      <c r="JB7" s="43"/>
      <c r="JC7" s="43"/>
      <c r="JD7" s="43"/>
      <c r="JE7" s="43"/>
      <c r="JF7" s="43"/>
      <c r="JG7" s="43"/>
      <c r="JH7" s="43"/>
      <c r="JI7" s="43"/>
      <c r="JJ7" s="43"/>
      <c r="JK7" s="43"/>
      <c r="JL7" s="43"/>
      <c r="JM7" s="43"/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43"/>
      <c r="KE7" s="43"/>
      <c r="KF7" s="43"/>
      <c r="KG7" s="43"/>
      <c r="KH7" s="43"/>
      <c r="KI7" s="43"/>
      <c r="KJ7" s="43"/>
      <c r="KK7" s="43"/>
      <c r="KL7" s="43"/>
      <c r="KM7" s="43"/>
      <c r="KN7" s="43"/>
      <c r="KO7" s="43"/>
      <c r="KP7" s="43"/>
      <c r="KQ7" s="43"/>
      <c r="KR7" s="43"/>
      <c r="KS7" s="43"/>
      <c r="KT7" s="43"/>
      <c r="KU7" s="43"/>
      <c r="KV7" s="43"/>
      <c r="KW7" s="43"/>
      <c r="KX7" s="43"/>
      <c r="KY7" s="43"/>
      <c r="KZ7" s="43"/>
      <c r="LA7" s="43"/>
      <c r="LB7" s="43"/>
      <c r="LC7" s="43"/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43"/>
      <c r="LU7" s="43"/>
      <c r="LV7" s="43"/>
      <c r="LW7" s="43"/>
      <c r="LX7" s="43"/>
      <c r="LY7" s="43"/>
      <c r="LZ7" s="43"/>
      <c r="MA7" s="43"/>
      <c r="MB7" s="43"/>
      <c r="MC7" s="43"/>
      <c r="MD7" s="43"/>
      <c r="ME7" s="43"/>
      <c r="MF7" s="43"/>
      <c r="MG7" s="43"/>
      <c r="MH7" s="43"/>
      <c r="MI7" s="43"/>
      <c r="MJ7" s="43"/>
      <c r="MK7" s="43"/>
      <c r="ML7" s="43"/>
      <c r="MM7" s="43"/>
      <c r="MN7" s="43"/>
      <c r="MO7" s="43"/>
      <c r="MP7" s="43"/>
      <c r="MQ7" s="43"/>
      <c r="MR7" s="43"/>
      <c r="MS7" s="43"/>
      <c r="MT7" s="43"/>
      <c r="MU7" s="43"/>
      <c r="MV7" s="43"/>
      <c r="MW7" s="43"/>
      <c r="MX7" s="43"/>
      <c r="MY7" s="43"/>
      <c r="MZ7" s="43"/>
      <c r="NA7" s="43"/>
      <c r="NB7" s="43"/>
      <c r="NC7" s="43"/>
      <c r="ND7" s="43"/>
      <c r="NE7" s="43"/>
      <c r="NF7" s="43"/>
      <c r="NG7" s="43"/>
      <c r="NH7" s="43"/>
      <c r="NI7" s="43"/>
      <c r="NJ7" s="43"/>
      <c r="NK7" s="43"/>
      <c r="NL7" s="43"/>
      <c r="NM7" s="43"/>
      <c r="NN7" s="43"/>
      <c r="NO7" s="43"/>
      <c r="NP7" s="43"/>
      <c r="NQ7" s="43"/>
      <c r="NR7" s="43"/>
      <c r="NS7" s="43"/>
      <c r="NT7" s="43"/>
      <c r="NU7" s="43"/>
      <c r="NV7" s="43"/>
      <c r="NW7" s="43"/>
      <c r="NX7" s="43"/>
      <c r="NY7" s="43"/>
      <c r="NZ7" s="43"/>
      <c r="OA7" s="43"/>
      <c r="OB7" s="43"/>
      <c r="OC7" s="43"/>
      <c r="OD7" s="43"/>
      <c r="OE7" s="43"/>
      <c r="OF7" s="43"/>
      <c r="OG7" s="43"/>
      <c r="OH7" s="43"/>
      <c r="OI7" s="43"/>
      <c r="OJ7" s="43"/>
      <c r="OK7" s="43"/>
      <c r="OL7" s="43"/>
      <c r="OM7" s="43"/>
      <c r="ON7" s="43"/>
      <c r="OO7" s="43"/>
      <c r="OP7" s="43"/>
      <c r="OQ7" s="43"/>
      <c r="OR7" s="43"/>
      <c r="OS7" s="43"/>
      <c r="OT7" s="43"/>
      <c r="OU7" s="43"/>
      <c r="OV7" s="43"/>
      <c r="OW7" s="43"/>
      <c r="OX7" s="43"/>
      <c r="OY7" s="43"/>
      <c r="OZ7" s="43"/>
      <c r="PA7" s="43"/>
      <c r="PB7" s="43"/>
      <c r="PC7" s="43"/>
      <c r="PD7" s="43"/>
      <c r="PE7" s="43"/>
      <c r="PF7" s="43"/>
      <c r="PG7" s="43"/>
      <c r="PH7" s="43"/>
      <c r="PI7" s="43"/>
      <c r="PJ7" s="43"/>
      <c r="PK7" s="43"/>
      <c r="PL7" s="43"/>
      <c r="PM7" s="43"/>
      <c r="PN7" s="43"/>
      <c r="PO7" s="43"/>
      <c r="PP7" s="43"/>
      <c r="PQ7" s="43"/>
      <c r="PR7" s="43"/>
      <c r="PS7" s="43"/>
      <c r="PT7" s="43"/>
      <c r="PU7" s="43"/>
      <c r="PV7" s="43"/>
      <c r="PW7" s="43"/>
      <c r="PX7" s="43"/>
      <c r="PY7" s="43"/>
      <c r="PZ7" s="43"/>
      <c r="QA7" s="43"/>
      <c r="QB7" s="43"/>
      <c r="QC7" s="43"/>
    </row>
    <row r="8" spans="1:445" x14ac:dyDescent="0.3">
      <c r="A8" s="85" t="s">
        <v>117</v>
      </c>
      <c r="B8" s="84"/>
      <c r="C8" s="84" t="s">
        <v>108</v>
      </c>
      <c r="D8" s="84" t="s">
        <v>132</v>
      </c>
      <c r="E8" s="84">
        <v>32</v>
      </c>
      <c r="F8" s="84">
        <v>1170</v>
      </c>
      <c r="G8" s="86"/>
      <c r="H8" s="84">
        <v>65</v>
      </c>
      <c r="I8" s="84">
        <v>130</v>
      </c>
      <c r="J8" s="84">
        <v>130</v>
      </c>
      <c r="K8" s="84">
        <v>130</v>
      </c>
      <c r="L8" s="84">
        <v>130</v>
      </c>
      <c r="M8" s="84">
        <v>130</v>
      </c>
      <c r="N8" s="84"/>
      <c r="O8" s="84"/>
      <c r="P8" s="84"/>
      <c r="Q8" s="84"/>
      <c r="R8" s="84"/>
      <c r="S8" s="84"/>
      <c r="T8" s="46">
        <f>IF(AND(ISBLANK(E8),ISBLANK(F8),ISBLANK(G8),ISBLANK(H8),ISBLANK(I8),ISBLANK(J8),ISBLANK(K8), ISBLANK(L8), ISBLANK(M8), ISBLANK(N8), ISBLANK(O8), ISBLANK(P8), ISBLANK(Q8), ISBLANK(R8), ISBLANK(S8)),"",SUM(G8:S8))</f>
        <v>715</v>
      </c>
      <c r="U8" s="46">
        <f>IF(W8&lt;&gt;0,0,IF(AND(ISBLANK(F8),ISBLANK(G8),ISBLANK(H8),ISBLANK(I8),ISBLANK(J8),ISBLANK(K8), ISBLANK(L8), ISBLANK(M8), ISBLANK(N8), ISBLANK(O8), ISBLANK(P8), ISBLANK(Q8), ISBLANK(R8), ISBLANK(S8)),"", F8-T8))</f>
        <v>455</v>
      </c>
      <c r="V8" s="72">
        <f>IF(AND(ISBLANK(E8),ISBLANK(F8), ISBLANK(G8), ISBLANK(H8), ISBLANK(I8), ISBLANK(J8), ISBLANK(K8), ISBLANK(L8), ISBLANK(M8),ISBLANK(N8), ISBLANK(O8), ISBLANK(P8), ISBLANK(Q8), ISBLANK(R8), ISBLANK(S8)), "",IFERROR(((F8+E8)-U8)/F8,""))</f>
        <v>0.63846153846153841</v>
      </c>
      <c r="X8" s="73" t="str">
        <f>IF(W8&lt;&gt;"",F8 - (SUM(G8:S8)),"")</f>
        <v/>
      </c>
      <c r="Y8" s="78">
        <v>2102846992</v>
      </c>
      <c r="Z8" s="78">
        <v>6959996335</v>
      </c>
      <c r="AA8" s="78">
        <v>6974367074</v>
      </c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  <c r="CU8" s="43"/>
      <c r="CV8" s="43"/>
      <c r="CW8" s="43"/>
      <c r="CX8" s="43"/>
      <c r="CY8" s="43"/>
      <c r="CZ8" s="43"/>
      <c r="DA8" s="43"/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43"/>
      <c r="DS8" s="43"/>
      <c r="DT8" s="43"/>
      <c r="DU8" s="43"/>
      <c r="DV8" s="43"/>
      <c r="DW8" s="43"/>
      <c r="DX8" s="43"/>
      <c r="DY8" s="43"/>
      <c r="DZ8" s="43"/>
      <c r="EA8" s="43"/>
      <c r="EB8" s="43"/>
      <c r="EC8" s="43"/>
      <c r="ED8" s="43"/>
      <c r="EE8" s="43"/>
      <c r="EF8" s="43"/>
      <c r="EG8" s="43"/>
      <c r="EH8" s="43"/>
      <c r="EI8" s="43"/>
      <c r="EJ8" s="43"/>
      <c r="EK8" s="43"/>
      <c r="EL8" s="43"/>
      <c r="EM8" s="43"/>
      <c r="EN8" s="43"/>
      <c r="EO8" s="43"/>
      <c r="EP8" s="43"/>
      <c r="EQ8" s="43"/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43"/>
      <c r="FI8" s="43"/>
      <c r="FJ8" s="43"/>
      <c r="FK8" s="43"/>
      <c r="FL8" s="43"/>
      <c r="FM8" s="43"/>
      <c r="FN8" s="43"/>
      <c r="FO8" s="43"/>
      <c r="FP8" s="43"/>
      <c r="FQ8" s="43"/>
      <c r="FR8" s="43"/>
      <c r="FS8" s="43"/>
      <c r="FT8" s="43"/>
      <c r="FU8" s="43"/>
      <c r="FV8" s="43"/>
      <c r="FW8" s="43"/>
      <c r="FX8" s="43"/>
      <c r="FY8" s="43"/>
      <c r="FZ8" s="43"/>
      <c r="GA8" s="43"/>
      <c r="GB8" s="43"/>
      <c r="GC8" s="43"/>
      <c r="GD8" s="43"/>
      <c r="GE8" s="43"/>
      <c r="GF8" s="43"/>
      <c r="GG8" s="43"/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43"/>
      <c r="GY8" s="43"/>
      <c r="GZ8" s="43"/>
      <c r="HA8" s="43"/>
      <c r="HB8" s="43"/>
      <c r="HC8" s="43"/>
      <c r="HD8" s="43"/>
      <c r="HE8" s="43"/>
      <c r="HF8" s="43"/>
      <c r="HG8" s="43"/>
      <c r="HH8" s="43"/>
      <c r="HI8" s="43"/>
      <c r="HJ8" s="43"/>
      <c r="HK8" s="43"/>
      <c r="HL8" s="43"/>
      <c r="HM8" s="43"/>
      <c r="HN8" s="43"/>
      <c r="HO8" s="43"/>
      <c r="HP8" s="43"/>
      <c r="HQ8" s="43"/>
      <c r="HR8" s="43"/>
      <c r="HS8" s="43"/>
      <c r="HT8" s="43"/>
      <c r="HU8" s="43"/>
      <c r="HV8" s="43"/>
      <c r="HW8" s="43"/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43"/>
      <c r="IO8" s="43"/>
      <c r="IP8" s="43"/>
      <c r="IQ8" s="43"/>
      <c r="IR8" s="43"/>
      <c r="IS8" s="43"/>
      <c r="IT8" s="43"/>
      <c r="IU8" s="43"/>
      <c r="IV8" s="43"/>
      <c r="IW8" s="43"/>
      <c r="IX8" s="43"/>
      <c r="IY8" s="43"/>
      <c r="IZ8" s="43"/>
      <c r="JA8" s="43"/>
      <c r="JB8" s="43"/>
      <c r="JC8" s="43"/>
      <c r="JD8" s="43"/>
      <c r="JE8" s="43"/>
      <c r="JF8" s="43"/>
      <c r="JG8" s="43"/>
      <c r="JH8" s="43"/>
      <c r="JI8" s="43"/>
      <c r="JJ8" s="43"/>
      <c r="JK8" s="43"/>
      <c r="JL8" s="43"/>
      <c r="JM8" s="43"/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43"/>
      <c r="KE8" s="43"/>
      <c r="KF8" s="43"/>
      <c r="KG8" s="43"/>
      <c r="KH8" s="43"/>
      <c r="KI8" s="43"/>
      <c r="KJ8" s="43"/>
      <c r="KK8" s="43"/>
      <c r="KL8" s="43"/>
      <c r="KM8" s="43"/>
      <c r="KN8" s="43"/>
      <c r="KO8" s="43"/>
      <c r="KP8" s="43"/>
      <c r="KQ8" s="43"/>
      <c r="KR8" s="43"/>
      <c r="KS8" s="43"/>
      <c r="KT8" s="43"/>
      <c r="KU8" s="43"/>
      <c r="KV8" s="43"/>
      <c r="KW8" s="43"/>
      <c r="KX8" s="43"/>
      <c r="KY8" s="43"/>
      <c r="KZ8" s="43"/>
      <c r="LA8" s="43"/>
      <c r="LB8" s="43"/>
      <c r="LC8" s="43"/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43"/>
      <c r="LU8" s="43"/>
      <c r="LV8" s="43"/>
      <c r="LW8" s="43"/>
      <c r="LX8" s="43"/>
      <c r="LY8" s="43"/>
      <c r="LZ8" s="43"/>
      <c r="MA8" s="43"/>
      <c r="MB8" s="43"/>
      <c r="MC8" s="43"/>
      <c r="MD8" s="43"/>
      <c r="ME8" s="43"/>
      <c r="MF8" s="43"/>
      <c r="MG8" s="43"/>
      <c r="MH8" s="43"/>
      <c r="MI8" s="43"/>
      <c r="MJ8" s="43"/>
      <c r="MK8" s="43"/>
      <c r="ML8" s="43"/>
      <c r="MM8" s="43"/>
      <c r="MN8" s="43"/>
      <c r="MO8" s="43"/>
      <c r="MP8" s="43"/>
      <c r="MQ8" s="43"/>
      <c r="MR8" s="43"/>
      <c r="MS8" s="43"/>
      <c r="MT8" s="43"/>
      <c r="MU8" s="43"/>
      <c r="MV8" s="43"/>
      <c r="MW8" s="43"/>
      <c r="MX8" s="43"/>
      <c r="MY8" s="43"/>
      <c r="MZ8" s="43"/>
      <c r="NA8" s="43"/>
      <c r="NB8" s="43"/>
      <c r="NC8" s="43"/>
      <c r="ND8" s="43"/>
      <c r="NE8" s="43"/>
      <c r="NF8" s="43"/>
      <c r="NG8" s="43"/>
      <c r="NH8" s="43"/>
      <c r="NI8" s="43"/>
      <c r="NJ8" s="43"/>
      <c r="NK8" s="43"/>
      <c r="NL8" s="43"/>
      <c r="NM8" s="43"/>
      <c r="NN8" s="43"/>
      <c r="NO8" s="43"/>
      <c r="NP8" s="43"/>
      <c r="NQ8" s="43"/>
      <c r="NR8" s="43"/>
      <c r="NS8" s="43"/>
      <c r="NT8" s="43"/>
      <c r="NU8" s="43"/>
      <c r="NV8" s="43"/>
      <c r="NW8" s="43"/>
      <c r="NX8" s="43"/>
      <c r="NY8" s="43"/>
      <c r="NZ8" s="43"/>
      <c r="OA8" s="43"/>
      <c r="OB8" s="43"/>
      <c r="OC8" s="43"/>
      <c r="OD8" s="43"/>
      <c r="OE8" s="43"/>
      <c r="OF8" s="43"/>
      <c r="OG8" s="43"/>
      <c r="OH8" s="43"/>
      <c r="OI8" s="43"/>
      <c r="OJ8" s="43"/>
      <c r="OK8" s="43"/>
      <c r="OL8" s="43"/>
      <c r="OM8" s="43"/>
      <c r="ON8" s="43"/>
      <c r="OO8" s="43"/>
      <c r="OP8" s="43"/>
      <c r="OQ8" s="43"/>
      <c r="OR8" s="43"/>
      <c r="OS8" s="43"/>
      <c r="OT8" s="43"/>
      <c r="OU8" s="43"/>
      <c r="OV8" s="43"/>
      <c r="OW8" s="43"/>
      <c r="OX8" s="43"/>
      <c r="OY8" s="43"/>
      <c r="OZ8" s="43"/>
      <c r="PA8" s="43"/>
      <c r="PB8" s="43"/>
      <c r="PC8" s="43"/>
      <c r="PD8" s="43"/>
      <c r="PE8" s="43"/>
      <c r="PF8" s="43"/>
      <c r="PG8" s="43"/>
      <c r="PH8" s="43"/>
      <c r="PI8" s="43"/>
      <c r="PJ8" s="43"/>
      <c r="PK8" s="43"/>
      <c r="PL8" s="43"/>
      <c r="PM8" s="43"/>
      <c r="PN8" s="43"/>
      <c r="PO8" s="43"/>
      <c r="PP8" s="43"/>
      <c r="PQ8" s="43"/>
      <c r="PR8" s="43"/>
      <c r="PS8" s="43"/>
      <c r="PT8" s="43"/>
      <c r="PU8" s="43"/>
      <c r="PV8" s="43"/>
      <c r="PW8" s="43"/>
      <c r="PX8" s="43"/>
      <c r="PY8" s="43"/>
      <c r="PZ8" s="43"/>
      <c r="QA8" s="43"/>
      <c r="QB8" s="43"/>
      <c r="QC8" s="43"/>
    </row>
    <row r="9" spans="1:445" x14ac:dyDescent="0.3">
      <c r="A9" s="85" t="s">
        <v>141</v>
      </c>
      <c r="B9" s="84" t="s">
        <v>73</v>
      </c>
      <c r="C9" s="84" t="s">
        <v>111</v>
      </c>
      <c r="D9" s="84" t="s">
        <v>140</v>
      </c>
      <c r="E9" s="84"/>
      <c r="F9" s="84">
        <v>1350</v>
      </c>
      <c r="G9" s="87"/>
      <c r="H9" s="84">
        <v>150</v>
      </c>
      <c r="I9" s="84">
        <v>150</v>
      </c>
      <c r="J9" s="84">
        <v>150</v>
      </c>
      <c r="K9" s="84">
        <v>150</v>
      </c>
      <c r="L9" s="84">
        <v>150</v>
      </c>
      <c r="M9" s="84">
        <v>150</v>
      </c>
      <c r="N9" s="84"/>
      <c r="O9" s="84"/>
      <c r="P9" s="84"/>
      <c r="Q9" s="84"/>
      <c r="R9" s="84"/>
      <c r="S9" s="84"/>
      <c r="T9" s="46">
        <f>IF(AND(ISBLANK(E9),ISBLANK(F9),ISBLANK(H9),ISBLANK(#REF!),ISBLANK(I9),ISBLANK(J9),ISBLANK(K9), ISBLANK(L9), ISBLANK(M9), ISBLANK(N9), ISBLANK(O9), ISBLANK(P9), ISBLANK(Q9), ISBLANK(R9), ISBLANK(S9)),"",SUM(H9:S9))</f>
        <v>900</v>
      </c>
      <c r="U9" s="46">
        <f>IF(W9&lt;&gt;0,0,IF(AND(ISBLANK(F9),ISBLANK(H9),ISBLANK(#REF!),ISBLANK(I9),ISBLANK(J9),ISBLANK(K9), ISBLANK(L9), ISBLANK(M9), ISBLANK(N9), ISBLANK(O9), ISBLANK(P9), ISBLANK(Q9), ISBLANK(R9), ISBLANK(S9)),"", F9-T9))</f>
        <v>450</v>
      </c>
      <c r="V9" s="72">
        <f>IF(AND(ISBLANK(E9),ISBLANK(F9), ISBLANK(H9), ISBLANK(#REF!), ISBLANK(I9), ISBLANK(J9), ISBLANK(K9), ISBLANK(L9), ISBLANK(M9),ISBLANK(N9), ISBLANK(O9), ISBLANK(P9), ISBLANK(Q9), ISBLANK(R9), ISBLANK(S9)), "",IFERROR(((F9+E9)-U9)/F9,""))</f>
        <v>0.66666666666666663</v>
      </c>
      <c r="X9" s="73" t="str">
        <f>IF(W9&lt;&gt;"",F9 - (SUM(H9:S9)),"")</f>
        <v/>
      </c>
      <c r="Y9" s="78">
        <v>2112154406</v>
      </c>
      <c r="Z9" s="78">
        <v>6977774632</v>
      </c>
      <c r="AA9" s="80" t="s">
        <v>148</v>
      </c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  <c r="CW9" s="43"/>
      <c r="CX9" s="43"/>
      <c r="CY9" s="43"/>
      <c r="CZ9" s="43"/>
      <c r="DA9" s="43"/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43"/>
      <c r="DS9" s="43"/>
      <c r="DT9" s="43"/>
      <c r="DU9" s="43"/>
      <c r="DV9" s="43"/>
      <c r="DW9" s="43"/>
      <c r="DX9" s="43"/>
      <c r="DY9" s="43"/>
      <c r="DZ9" s="43"/>
      <c r="EA9" s="43"/>
      <c r="EB9" s="43"/>
      <c r="EC9" s="43"/>
      <c r="ED9" s="43"/>
      <c r="EE9" s="43"/>
      <c r="EF9" s="43"/>
      <c r="EG9" s="43"/>
      <c r="EH9" s="43"/>
      <c r="EI9" s="43"/>
      <c r="EJ9" s="43"/>
      <c r="EK9" s="43"/>
      <c r="EL9" s="43"/>
      <c r="EM9" s="43"/>
      <c r="EN9" s="43"/>
      <c r="EO9" s="43"/>
      <c r="EP9" s="43"/>
      <c r="EQ9" s="43"/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43"/>
      <c r="FI9" s="43"/>
      <c r="FJ9" s="43"/>
      <c r="FK9" s="43"/>
      <c r="FL9" s="43"/>
      <c r="FM9" s="43"/>
      <c r="FN9" s="43"/>
      <c r="FO9" s="43"/>
      <c r="FP9" s="43"/>
      <c r="FQ9" s="43"/>
      <c r="FR9" s="43"/>
      <c r="FS9" s="43"/>
      <c r="FT9" s="43"/>
      <c r="FU9" s="43"/>
      <c r="FV9" s="43"/>
      <c r="FW9" s="43"/>
      <c r="FX9" s="43"/>
      <c r="FY9" s="43"/>
      <c r="FZ9" s="43"/>
      <c r="GA9" s="43"/>
      <c r="GB9" s="43"/>
      <c r="GC9" s="43"/>
      <c r="GD9" s="43"/>
      <c r="GE9" s="43"/>
      <c r="GF9" s="43"/>
      <c r="GG9" s="43"/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43"/>
      <c r="GY9" s="43"/>
      <c r="GZ9" s="43"/>
      <c r="HA9" s="43"/>
      <c r="HB9" s="43"/>
      <c r="HC9" s="43"/>
      <c r="HD9" s="43"/>
      <c r="HE9" s="43"/>
      <c r="HF9" s="43"/>
      <c r="HG9" s="43"/>
      <c r="HH9" s="43"/>
      <c r="HI9" s="43"/>
      <c r="HJ9" s="43"/>
      <c r="HK9" s="43"/>
      <c r="HL9" s="43"/>
      <c r="HM9" s="43"/>
      <c r="HN9" s="43"/>
      <c r="HO9" s="43"/>
      <c r="HP9" s="43"/>
      <c r="HQ9" s="43"/>
      <c r="HR9" s="43"/>
      <c r="HS9" s="43"/>
      <c r="HT9" s="43"/>
      <c r="HU9" s="43"/>
      <c r="HV9" s="43"/>
      <c r="HW9" s="43"/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43"/>
      <c r="IO9" s="43"/>
      <c r="IP9" s="43"/>
      <c r="IQ9" s="43"/>
      <c r="IR9" s="43"/>
      <c r="IS9" s="43"/>
      <c r="IT9" s="43"/>
      <c r="IU9" s="43"/>
      <c r="IV9" s="43"/>
      <c r="IW9" s="43"/>
      <c r="IX9" s="43"/>
      <c r="IY9" s="43"/>
      <c r="IZ9" s="43"/>
      <c r="JA9" s="43"/>
      <c r="JB9" s="43"/>
      <c r="JC9" s="43"/>
      <c r="JD9" s="43"/>
      <c r="JE9" s="43"/>
      <c r="JF9" s="43"/>
      <c r="JG9" s="43"/>
      <c r="JH9" s="43"/>
      <c r="JI9" s="43"/>
      <c r="JJ9" s="43"/>
      <c r="JK9" s="43"/>
      <c r="JL9" s="43"/>
      <c r="JM9" s="43"/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43"/>
      <c r="KE9" s="43"/>
      <c r="KF9" s="43"/>
      <c r="KG9" s="43"/>
      <c r="KH9" s="43"/>
      <c r="KI9" s="43"/>
      <c r="KJ9" s="43"/>
      <c r="KK9" s="43"/>
      <c r="KL9" s="43"/>
      <c r="KM9" s="43"/>
      <c r="KN9" s="43"/>
      <c r="KO9" s="43"/>
      <c r="KP9" s="43"/>
      <c r="KQ9" s="43"/>
      <c r="KR9" s="43"/>
      <c r="KS9" s="43"/>
      <c r="KT9" s="43"/>
      <c r="KU9" s="43"/>
      <c r="KV9" s="43"/>
      <c r="KW9" s="43"/>
      <c r="KX9" s="43"/>
      <c r="KY9" s="43"/>
      <c r="KZ9" s="43"/>
      <c r="LA9" s="43"/>
      <c r="LB9" s="43"/>
      <c r="LC9" s="43"/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43"/>
      <c r="LU9" s="43"/>
      <c r="LV9" s="43"/>
      <c r="LW9" s="43"/>
      <c r="LX9" s="43"/>
      <c r="LY9" s="43"/>
      <c r="LZ9" s="43"/>
      <c r="MA9" s="43"/>
      <c r="MB9" s="43"/>
      <c r="MC9" s="43"/>
      <c r="MD9" s="43"/>
      <c r="ME9" s="43"/>
      <c r="MF9" s="43"/>
      <c r="MG9" s="43"/>
      <c r="MH9" s="43"/>
      <c r="MI9" s="43"/>
      <c r="MJ9" s="43"/>
      <c r="MK9" s="43"/>
      <c r="ML9" s="43"/>
      <c r="MM9" s="43"/>
      <c r="MN9" s="43"/>
      <c r="MO9" s="43"/>
      <c r="MP9" s="43"/>
      <c r="MQ9" s="43"/>
      <c r="MR9" s="43"/>
      <c r="MS9" s="43"/>
      <c r="MT9" s="43"/>
      <c r="MU9" s="43"/>
      <c r="MV9" s="43"/>
      <c r="MW9" s="43"/>
      <c r="MX9" s="43"/>
      <c r="MY9" s="43"/>
      <c r="MZ9" s="43"/>
      <c r="NA9" s="43"/>
      <c r="NB9" s="43"/>
      <c r="NC9" s="43"/>
      <c r="ND9" s="43"/>
      <c r="NE9" s="43"/>
      <c r="NF9" s="43"/>
      <c r="NG9" s="43"/>
      <c r="NH9" s="43"/>
      <c r="NI9" s="43"/>
      <c r="NJ9" s="43"/>
      <c r="NK9" s="43"/>
      <c r="NL9" s="43"/>
      <c r="NM9" s="43"/>
      <c r="NN9" s="43"/>
      <c r="NO9" s="43"/>
      <c r="NP9" s="43"/>
      <c r="NQ9" s="43"/>
      <c r="NR9" s="43"/>
      <c r="NS9" s="43"/>
      <c r="NT9" s="43"/>
      <c r="NU9" s="43"/>
      <c r="NV9" s="43"/>
      <c r="NW9" s="43"/>
      <c r="NX9" s="43"/>
      <c r="NY9" s="43"/>
      <c r="NZ9" s="43"/>
      <c r="OA9" s="43"/>
      <c r="OB9" s="43"/>
      <c r="OC9" s="43"/>
      <c r="OD9" s="43"/>
      <c r="OE9" s="43"/>
      <c r="OF9" s="43"/>
      <c r="OG9" s="43"/>
      <c r="OH9" s="43"/>
      <c r="OI9" s="43"/>
      <c r="OJ9" s="43"/>
      <c r="OK9" s="43"/>
      <c r="OL9" s="43"/>
      <c r="OM9" s="43"/>
      <c r="ON9" s="43"/>
      <c r="OO9" s="43"/>
      <c r="OP9" s="43"/>
      <c r="OQ9" s="43"/>
      <c r="OR9" s="43"/>
      <c r="OS9" s="43"/>
      <c r="OT9" s="43"/>
      <c r="OU9" s="43"/>
      <c r="OV9" s="43"/>
      <c r="OW9" s="43"/>
      <c r="OX9" s="43"/>
      <c r="OY9" s="43"/>
      <c r="OZ9" s="43"/>
      <c r="PA9" s="43"/>
      <c r="PB9" s="43"/>
      <c r="PC9" s="43"/>
      <c r="PD9" s="43"/>
      <c r="PE9" s="43"/>
      <c r="PF9" s="43"/>
      <c r="PG9" s="43"/>
      <c r="PH9" s="43"/>
      <c r="PI9" s="43"/>
      <c r="PJ9" s="43"/>
      <c r="PK9" s="43"/>
      <c r="PL9" s="43"/>
      <c r="PM9" s="43"/>
      <c r="PN9" s="43"/>
      <c r="PO9" s="43"/>
      <c r="PP9" s="43"/>
      <c r="PQ9" s="43"/>
      <c r="PR9" s="43"/>
      <c r="PS9" s="43"/>
      <c r="PT9" s="43"/>
      <c r="PU9" s="43"/>
      <c r="PV9" s="43"/>
      <c r="PW9" s="43"/>
      <c r="PX9" s="43"/>
      <c r="PY9" s="43"/>
      <c r="PZ9" s="43"/>
      <c r="QA9" s="43"/>
      <c r="QB9" s="43"/>
      <c r="QC9" s="43"/>
    </row>
    <row r="10" spans="1:445" x14ac:dyDescent="0.3">
      <c r="A10" s="85" t="s">
        <v>28</v>
      </c>
      <c r="B10" s="84"/>
      <c r="C10" s="84" t="s">
        <v>150</v>
      </c>
      <c r="D10" s="84"/>
      <c r="E10" s="84">
        <v>60</v>
      </c>
      <c r="F10" s="84">
        <v>1620</v>
      </c>
      <c r="G10" s="88"/>
      <c r="H10" s="84"/>
      <c r="I10" s="84">
        <v>180</v>
      </c>
      <c r="J10" s="84">
        <v>180</v>
      </c>
      <c r="K10" s="84"/>
      <c r="L10" s="84"/>
      <c r="M10" s="84"/>
      <c r="N10" s="84"/>
      <c r="O10" s="84"/>
      <c r="P10" s="84"/>
      <c r="Q10" s="84"/>
      <c r="R10" s="84"/>
      <c r="S10" s="84"/>
      <c r="T10" s="46">
        <f>IF(AND(ISBLANK(E10),ISBLANK(F10),ISBLANK(H10),ISBLANK(#REF!),ISBLANK(I10),ISBLANK(J10),ISBLANK(K10), ISBLANK(L10), ISBLANK(M10), ISBLANK(N10), ISBLANK(O10), ISBLANK(P10), ISBLANK(Q10), ISBLANK(R10), ISBLANK(S10)),"",SUM(H10:S10))</f>
        <v>360</v>
      </c>
      <c r="U10" s="46">
        <f>IF(W10&lt;&gt;0,0,IF(AND(ISBLANK(F10),ISBLANK(H10),ISBLANK(#REF!),ISBLANK(I10),ISBLANK(J10),ISBLANK(K10), ISBLANK(L10), ISBLANK(M10), ISBLANK(N10), ISBLANK(O10), ISBLANK(P10), ISBLANK(Q10), ISBLANK(R10), ISBLANK(S10)),"", F10-T10))</f>
        <v>0</v>
      </c>
      <c r="V10" s="72">
        <f>IF(AND(ISBLANK(E10),ISBLANK(F10), ISBLANK(H10), ISBLANK(#REF!), ISBLANK(I10), ISBLANK(J10), ISBLANK(K10), ISBLANK(L10), ISBLANK(M10),ISBLANK(N10), ISBLANK(O10), ISBLANK(P10), ISBLANK(Q10), ISBLANK(R10), ISBLANK(S10)), "",IFERROR(((F10+E10)-U10)/F10,""))</f>
        <v>1.037037037037037</v>
      </c>
      <c r="W10" s="48" t="s">
        <v>73</v>
      </c>
      <c r="X10" s="73">
        <f>IF(W10&lt;&gt;"",F10 - (SUM(H10:S10)),"")</f>
        <v>1260</v>
      </c>
      <c r="Y10" s="79"/>
      <c r="Z10" s="78">
        <v>6945659713</v>
      </c>
      <c r="AA10" s="78">
        <v>6937244357</v>
      </c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  <c r="CU10" s="43"/>
      <c r="CV10" s="43"/>
      <c r="CW10" s="43"/>
      <c r="CX10" s="43"/>
      <c r="CY10" s="43"/>
      <c r="CZ10" s="43"/>
      <c r="DA10" s="43"/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43"/>
      <c r="DS10" s="43"/>
      <c r="DT10" s="43"/>
      <c r="DU10" s="43"/>
      <c r="DV10" s="43"/>
      <c r="DW10" s="43"/>
      <c r="DX10" s="43"/>
      <c r="DY10" s="43"/>
      <c r="DZ10" s="43"/>
      <c r="EA10" s="43"/>
      <c r="EB10" s="43"/>
      <c r="EC10" s="43"/>
      <c r="ED10" s="43"/>
      <c r="EE10" s="43"/>
      <c r="EF10" s="43"/>
      <c r="EG10" s="43"/>
      <c r="EH10" s="43"/>
      <c r="EI10" s="43"/>
      <c r="EJ10" s="43"/>
      <c r="EK10" s="43"/>
      <c r="EL10" s="43"/>
      <c r="EM10" s="43"/>
      <c r="EN10" s="43"/>
      <c r="EO10" s="43"/>
      <c r="EP10" s="43"/>
      <c r="EQ10" s="43"/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43"/>
      <c r="FI10" s="43"/>
      <c r="FJ10" s="43"/>
      <c r="FK10" s="43"/>
      <c r="FL10" s="43"/>
      <c r="FM10" s="43"/>
      <c r="FN10" s="43"/>
      <c r="FO10" s="43"/>
      <c r="FP10" s="43"/>
      <c r="FQ10" s="43"/>
      <c r="FR10" s="43"/>
      <c r="FS10" s="43"/>
      <c r="FT10" s="43"/>
      <c r="FU10" s="43"/>
      <c r="FV10" s="43"/>
      <c r="FW10" s="43"/>
      <c r="FX10" s="43"/>
      <c r="FY10" s="43"/>
      <c r="FZ10" s="43"/>
      <c r="GA10" s="43"/>
      <c r="GB10" s="43"/>
      <c r="GC10" s="43"/>
      <c r="GD10" s="43"/>
      <c r="GE10" s="43"/>
      <c r="GF10" s="43"/>
      <c r="GG10" s="43"/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43"/>
      <c r="GY10" s="43"/>
      <c r="GZ10" s="43"/>
      <c r="HA10" s="43"/>
      <c r="HB10" s="43"/>
      <c r="HC10" s="43"/>
      <c r="HD10" s="43"/>
      <c r="HE10" s="43"/>
      <c r="HF10" s="43"/>
      <c r="HG10" s="43"/>
      <c r="HH10" s="43"/>
      <c r="HI10" s="43"/>
      <c r="HJ10" s="43"/>
      <c r="HK10" s="43"/>
      <c r="HL10" s="43"/>
      <c r="HM10" s="43"/>
      <c r="HN10" s="43"/>
      <c r="HO10" s="43"/>
      <c r="HP10" s="43"/>
      <c r="HQ10" s="43"/>
      <c r="HR10" s="43"/>
      <c r="HS10" s="43"/>
      <c r="HT10" s="43"/>
      <c r="HU10" s="43"/>
      <c r="HV10" s="43"/>
      <c r="HW10" s="43"/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43"/>
      <c r="IO10" s="43"/>
      <c r="IP10" s="43"/>
      <c r="IQ10" s="43"/>
      <c r="IR10" s="43"/>
      <c r="IS10" s="43"/>
      <c r="IT10" s="43"/>
      <c r="IU10" s="43"/>
      <c r="IV10" s="43"/>
      <c r="IW10" s="43"/>
      <c r="IX10" s="43"/>
      <c r="IY10" s="43"/>
      <c r="IZ10" s="43"/>
      <c r="JA10" s="43"/>
      <c r="JB10" s="43"/>
      <c r="JC10" s="43"/>
      <c r="JD10" s="43"/>
      <c r="JE10" s="43"/>
      <c r="JF10" s="43"/>
      <c r="JG10" s="43"/>
      <c r="JH10" s="43"/>
      <c r="JI10" s="43"/>
      <c r="JJ10" s="43"/>
      <c r="JK10" s="43"/>
      <c r="JL10" s="43"/>
      <c r="JM10" s="43"/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43"/>
      <c r="KE10" s="43"/>
      <c r="KF10" s="43"/>
      <c r="KG10" s="43"/>
      <c r="KH10" s="43"/>
      <c r="KI10" s="43"/>
      <c r="KJ10" s="43"/>
      <c r="KK10" s="43"/>
      <c r="KL10" s="43"/>
      <c r="KM10" s="43"/>
      <c r="KN10" s="43"/>
      <c r="KO10" s="43"/>
      <c r="KP10" s="43"/>
      <c r="KQ10" s="43"/>
      <c r="KR10" s="43"/>
      <c r="KS10" s="43"/>
      <c r="KT10" s="43"/>
      <c r="KU10" s="43"/>
      <c r="KV10" s="43"/>
      <c r="KW10" s="43"/>
      <c r="KX10" s="43"/>
      <c r="KY10" s="43"/>
      <c r="KZ10" s="43"/>
      <c r="LA10" s="43"/>
      <c r="LB10" s="43"/>
      <c r="LC10" s="43"/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43"/>
      <c r="LU10" s="43"/>
      <c r="LV10" s="43"/>
      <c r="LW10" s="43"/>
      <c r="LX10" s="43"/>
      <c r="LY10" s="43"/>
      <c r="LZ10" s="43"/>
      <c r="MA10" s="43"/>
      <c r="MB10" s="43"/>
      <c r="MC10" s="43"/>
      <c r="MD10" s="43"/>
      <c r="ME10" s="43"/>
      <c r="MF10" s="43"/>
      <c r="MG10" s="43"/>
      <c r="MH10" s="43"/>
      <c r="MI10" s="43"/>
      <c r="MJ10" s="43"/>
      <c r="MK10" s="43"/>
      <c r="ML10" s="43"/>
      <c r="MM10" s="43"/>
      <c r="MN10" s="43"/>
      <c r="MO10" s="43"/>
      <c r="MP10" s="43"/>
      <c r="MQ10" s="43"/>
      <c r="MR10" s="43"/>
      <c r="MS10" s="43"/>
      <c r="MT10" s="43"/>
      <c r="MU10" s="43"/>
      <c r="MV10" s="43"/>
      <c r="MW10" s="43"/>
      <c r="MX10" s="43"/>
      <c r="MY10" s="43"/>
      <c r="MZ10" s="43"/>
      <c r="NA10" s="43"/>
      <c r="NB10" s="43"/>
      <c r="NC10" s="43"/>
      <c r="ND10" s="43"/>
      <c r="NE10" s="43"/>
      <c r="NF10" s="43"/>
      <c r="NG10" s="43"/>
      <c r="NH10" s="43"/>
      <c r="NI10" s="43"/>
      <c r="NJ10" s="43"/>
      <c r="NK10" s="43"/>
      <c r="NL10" s="43"/>
      <c r="NM10" s="43"/>
      <c r="NN10" s="43"/>
      <c r="NO10" s="43"/>
      <c r="NP10" s="43"/>
      <c r="NQ10" s="43"/>
      <c r="NR10" s="43"/>
      <c r="NS10" s="43"/>
      <c r="NT10" s="43"/>
      <c r="NU10" s="43"/>
      <c r="NV10" s="43"/>
      <c r="NW10" s="43"/>
      <c r="NX10" s="43"/>
      <c r="NY10" s="43"/>
      <c r="NZ10" s="43"/>
      <c r="OA10" s="43"/>
      <c r="OB10" s="43"/>
      <c r="OC10" s="43"/>
      <c r="OD10" s="43"/>
      <c r="OE10" s="43"/>
      <c r="OF10" s="43"/>
      <c r="OG10" s="43"/>
      <c r="OH10" s="43"/>
      <c r="OI10" s="43"/>
      <c r="OJ10" s="43"/>
      <c r="OK10" s="43"/>
      <c r="OL10" s="43"/>
      <c r="OM10" s="43"/>
      <c r="ON10" s="43"/>
      <c r="OO10" s="43"/>
      <c r="OP10" s="43"/>
      <c r="OQ10" s="43"/>
      <c r="OR10" s="43"/>
      <c r="OS10" s="43"/>
      <c r="OT10" s="43"/>
      <c r="OU10" s="43"/>
      <c r="OV10" s="43"/>
      <c r="OW10" s="43"/>
      <c r="OX10" s="43"/>
      <c r="OY10" s="43"/>
      <c r="OZ10" s="43"/>
      <c r="PA10" s="43"/>
      <c r="PB10" s="43"/>
      <c r="PC10" s="43"/>
      <c r="PD10" s="43"/>
      <c r="PE10" s="43"/>
      <c r="PF10" s="43"/>
      <c r="PG10" s="43"/>
      <c r="PH10" s="43"/>
      <c r="PI10" s="43"/>
      <c r="PJ10" s="43"/>
      <c r="PK10" s="43"/>
      <c r="PL10" s="43"/>
      <c r="PM10" s="43"/>
      <c r="PN10" s="43"/>
      <c r="PO10" s="43"/>
      <c r="PP10" s="43"/>
      <c r="PQ10" s="43"/>
      <c r="PR10" s="43"/>
      <c r="PS10" s="43"/>
      <c r="PT10" s="43"/>
      <c r="PU10" s="43"/>
      <c r="PV10" s="43"/>
      <c r="PW10" s="43"/>
      <c r="PX10" s="43"/>
      <c r="PY10" s="43"/>
      <c r="PZ10" s="43"/>
      <c r="QA10" s="43"/>
      <c r="QB10" s="43"/>
      <c r="QC10" s="43"/>
    </row>
    <row r="11" spans="1:445" x14ac:dyDescent="0.3">
      <c r="A11" s="85" t="s">
        <v>142</v>
      </c>
      <c r="B11" s="84" t="s">
        <v>73</v>
      </c>
      <c r="C11" s="84" t="s">
        <v>106</v>
      </c>
      <c r="D11" s="84" t="s">
        <v>132</v>
      </c>
      <c r="E11" s="84">
        <v>40</v>
      </c>
      <c r="F11" s="84">
        <v>1170</v>
      </c>
      <c r="G11" s="89"/>
      <c r="H11" s="84">
        <v>130</v>
      </c>
      <c r="I11" s="84">
        <v>130</v>
      </c>
      <c r="J11" s="84">
        <v>130</v>
      </c>
      <c r="K11" s="84">
        <v>130</v>
      </c>
      <c r="L11" s="84">
        <v>130</v>
      </c>
      <c r="M11" s="84">
        <v>130</v>
      </c>
      <c r="N11" s="84"/>
      <c r="O11" s="84"/>
      <c r="P11" s="84"/>
      <c r="Q11" s="84"/>
      <c r="R11" s="84"/>
      <c r="S11" s="84"/>
      <c r="T11" s="46">
        <f>IF(AND(ISBLANK(E11),ISBLANK(F11),ISBLANK(H11),ISBLANK(#REF!),ISBLANK(I11),ISBLANK(J11),ISBLANK(K11), ISBLANK(L11), ISBLANK(M11), ISBLANK(N11), ISBLANK(O11), ISBLANK(P11), ISBLANK(Q11), ISBLANK(R11), ISBLANK(S11)),"",SUM(H11:S11))</f>
        <v>780</v>
      </c>
      <c r="U11" s="46">
        <f>IF(W11&lt;&gt;0,0,IF(AND(ISBLANK(F11),ISBLANK(H11),ISBLANK(#REF!),ISBLANK(I11),ISBLANK(J11),ISBLANK(K11), ISBLANK(L11), ISBLANK(M11), ISBLANK(N11), ISBLANK(O11), ISBLANK(P11), ISBLANK(Q11), ISBLANK(R11), ISBLANK(S11)),"", F11-T11))</f>
        <v>390</v>
      </c>
      <c r="V11" s="72">
        <f>IF(AND(ISBLANK(E11),ISBLANK(F11), ISBLANK(H11), ISBLANK(#REF!), ISBLANK(I11), ISBLANK(J11), ISBLANK(K11), ISBLANK(L11), ISBLANK(M11),ISBLANK(N11), ISBLANK(O11), ISBLANK(P11), ISBLANK(Q11), ISBLANK(R11), ISBLANK(S11)), "",IFERROR(((F11+E11)-U11)/F11,""))</f>
        <v>0.70085470085470081</v>
      </c>
      <c r="W11" s="48"/>
      <c r="X11" s="73" t="str">
        <f>IF(W11&lt;&gt;"",F11 - (SUM(H11:S11)),"")</f>
        <v/>
      </c>
      <c r="Y11" s="79"/>
      <c r="Z11" s="79"/>
      <c r="AA11" s="78">
        <v>6937048105</v>
      </c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  <c r="CW11" s="43"/>
      <c r="CX11" s="43"/>
      <c r="CY11" s="43"/>
      <c r="CZ11" s="43"/>
      <c r="DA11" s="43"/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43"/>
      <c r="DS11" s="43"/>
      <c r="DT11" s="43"/>
      <c r="DU11" s="43"/>
      <c r="DV11" s="43"/>
      <c r="DW11" s="43"/>
      <c r="DX11" s="43"/>
      <c r="DY11" s="43"/>
      <c r="DZ11" s="43"/>
      <c r="EA11" s="43"/>
      <c r="EB11" s="43"/>
      <c r="EC11" s="43"/>
      <c r="ED11" s="43"/>
      <c r="EE11" s="43"/>
      <c r="EF11" s="43"/>
      <c r="EG11" s="43"/>
      <c r="EH11" s="43"/>
      <c r="EI11" s="43"/>
      <c r="EJ11" s="43"/>
      <c r="EK11" s="43"/>
      <c r="EL11" s="43"/>
      <c r="EM11" s="43"/>
      <c r="EN11" s="43"/>
      <c r="EO11" s="43"/>
      <c r="EP11" s="43"/>
      <c r="EQ11" s="43"/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43"/>
      <c r="FI11" s="43"/>
      <c r="FJ11" s="43"/>
      <c r="FK11" s="43"/>
      <c r="FL11" s="43"/>
      <c r="FM11" s="43"/>
      <c r="FN11" s="43"/>
      <c r="FO11" s="43"/>
      <c r="FP11" s="43"/>
      <c r="FQ11" s="43"/>
      <c r="FR11" s="43"/>
      <c r="FS11" s="43"/>
      <c r="FT11" s="43"/>
      <c r="FU11" s="43"/>
      <c r="FV11" s="43"/>
      <c r="FW11" s="43"/>
      <c r="FX11" s="43"/>
      <c r="FY11" s="43"/>
      <c r="FZ11" s="43"/>
      <c r="GA11" s="43"/>
      <c r="GB11" s="43"/>
      <c r="GC11" s="43"/>
      <c r="GD11" s="43"/>
      <c r="GE11" s="43"/>
      <c r="GF11" s="43"/>
      <c r="GG11" s="43"/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43"/>
      <c r="GY11" s="43"/>
      <c r="GZ11" s="43"/>
      <c r="HA11" s="43"/>
      <c r="HB11" s="43"/>
      <c r="HC11" s="43"/>
      <c r="HD11" s="43"/>
      <c r="HE11" s="43"/>
      <c r="HF11" s="43"/>
      <c r="HG11" s="43"/>
      <c r="HH11" s="43"/>
      <c r="HI11" s="43"/>
      <c r="HJ11" s="43"/>
      <c r="HK11" s="43"/>
      <c r="HL11" s="43"/>
      <c r="HM11" s="43"/>
      <c r="HN11" s="43"/>
      <c r="HO11" s="43"/>
      <c r="HP11" s="43"/>
      <c r="HQ11" s="43"/>
      <c r="HR11" s="43"/>
      <c r="HS11" s="43"/>
      <c r="HT11" s="43"/>
      <c r="HU11" s="43"/>
      <c r="HV11" s="43"/>
      <c r="HW11" s="43"/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43"/>
      <c r="IO11" s="43"/>
      <c r="IP11" s="43"/>
      <c r="IQ11" s="43"/>
      <c r="IR11" s="43"/>
      <c r="IS11" s="43"/>
      <c r="IT11" s="43"/>
      <c r="IU11" s="43"/>
      <c r="IV11" s="43"/>
      <c r="IW11" s="43"/>
      <c r="IX11" s="43"/>
      <c r="IY11" s="43"/>
      <c r="IZ11" s="43"/>
      <c r="JA11" s="43"/>
      <c r="JB11" s="43"/>
      <c r="JC11" s="43"/>
      <c r="JD11" s="43"/>
      <c r="JE11" s="43"/>
      <c r="JF11" s="43"/>
      <c r="JG11" s="43"/>
      <c r="JH11" s="43"/>
      <c r="JI11" s="43"/>
      <c r="JJ11" s="43"/>
      <c r="JK11" s="43"/>
      <c r="JL11" s="43"/>
      <c r="JM11" s="43"/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43"/>
      <c r="KE11" s="43"/>
      <c r="KF11" s="43"/>
      <c r="KG11" s="43"/>
      <c r="KH11" s="43"/>
      <c r="KI11" s="43"/>
      <c r="KJ11" s="43"/>
      <c r="KK11" s="43"/>
      <c r="KL11" s="43"/>
      <c r="KM11" s="43"/>
      <c r="KN11" s="43"/>
      <c r="KO11" s="43"/>
      <c r="KP11" s="43"/>
      <c r="KQ11" s="43"/>
      <c r="KR11" s="43"/>
      <c r="KS11" s="43"/>
      <c r="KT11" s="43"/>
      <c r="KU11" s="43"/>
      <c r="KV11" s="43"/>
      <c r="KW11" s="43"/>
      <c r="KX11" s="43"/>
      <c r="KY11" s="43"/>
      <c r="KZ11" s="43"/>
      <c r="LA11" s="43"/>
      <c r="LB11" s="43"/>
      <c r="LC11" s="43"/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43"/>
      <c r="LU11" s="43"/>
      <c r="LV11" s="43"/>
      <c r="LW11" s="43"/>
      <c r="LX11" s="43"/>
      <c r="LY11" s="43"/>
      <c r="LZ11" s="43"/>
      <c r="MA11" s="43"/>
      <c r="MB11" s="43"/>
      <c r="MC11" s="43"/>
      <c r="MD11" s="43"/>
      <c r="ME11" s="43"/>
      <c r="MF11" s="43"/>
      <c r="MG11" s="43"/>
      <c r="MH11" s="43"/>
      <c r="MI11" s="43"/>
      <c r="MJ11" s="43"/>
      <c r="MK11" s="43"/>
      <c r="ML11" s="43"/>
      <c r="MM11" s="43"/>
      <c r="MN11" s="43"/>
      <c r="MO11" s="43"/>
      <c r="MP11" s="43"/>
      <c r="MQ11" s="43"/>
      <c r="MR11" s="43"/>
      <c r="MS11" s="43"/>
      <c r="MT11" s="43"/>
      <c r="MU11" s="43"/>
      <c r="MV11" s="43"/>
      <c r="MW11" s="43"/>
      <c r="MX11" s="43"/>
      <c r="MY11" s="43"/>
      <c r="MZ11" s="43"/>
      <c r="NA11" s="43"/>
      <c r="NB11" s="43"/>
      <c r="NC11" s="43"/>
      <c r="ND11" s="43"/>
      <c r="NE11" s="43"/>
      <c r="NF11" s="43"/>
      <c r="NG11" s="43"/>
      <c r="NH11" s="43"/>
      <c r="NI11" s="43"/>
      <c r="NJ11" s="43"/>
      <c r="NK11" s="43"/>
      <c r="NL11" s="43"/>
      <c r="NM11" s="43"/>
      <c r="NN11" s="43"/>
      <c r="NO11" s="43"/>
      <c r="NP11" s="43"/>
      <c r="NQ11" s="43"/>
      <c r="NR11" s="43"/>
      <c r="NS11" s="43"/>
      <c r="NT11" s="43"/>
      <c r="NU11" s="43"/>
      <c r="NV11" s="43"/>
      <c r="NW11" s="43"/>
      <c r="NX11" s="43"/>
      <c r="NY11" s="43"/>
      <c r="NZ11" s="43"/>
      <c r="OA11" s="43"/>
      <c r="OB11" s="43"/>
      <c r="OC11" s="43"/>
      <c r="OD11" s="43"/>
      <c r="OE11" s="43"/>
      <c r="OF11" s="43"/>
      <c r="OG11" s="43"/>
      <c r="OH11" s="43"/>
      <c r="OI11" s="43"/>
      <c r="OJ11" s="43"/>
      <c r="OK11" s="43"/>
      <c r="OL11" s="43"/>
      <c r="OM11" s="43"/>
      <c r="ON11" s="43"/>
      <c r="OO11" s="43"/>
      <c r="OP11" s="43"/>
      <c r="OQ11" s="43"/>
      <c r="OR11" s="43"/>
      <c r="OS11" s="43"/>
      <c r="OT11" s="43"/>
      <c r="OU11" s="43"/>
      <c r="OV11" s="43"/>
      <c r="OW11" s="43"/>
      <c r="OX11" s="43"/>
      <c r="OY11" s="43"/>
      <c r="OZ11" s="43"/>
      <c r="PA11" s="43"/>
      <c r="PB11" s="43"/>
      <c r="PC11" s="43"/>
      <c r="PD11" s="43"/>
      <c r="PE11" s="43"/>
      <c r="PF11" s="43"/>
      <c r="PG11" s="43"/>
      <c r="PH11" s="43"/>
      <c r="PI11" s="43"/>
      <c r="PJ11" s="43"/>
      <c r="PK11" s="43"/>
      <c r="PL11" s="43"/>
      <c r="PM11" s="43"/>
      <c r="PN11" s="43"/>
      <c r="PO11" s="43"/>
      <c r="PP11" s="43"/>
      <c r="PQ11" s="43"/>
      <c r="PR11" s="43"/>
      <c r="PS11" s="43"/>
      <c r="PT11" s="43"/>
      <c r="PU11" s="43"/>
      <c r="PV11" s="43"/>
      <c r="PW11" s="43"/>
      <c r="PX11" s="43"/>
      <c r="PY11" s="43"/>
      <c r="PZ11" s="43"/>
      <c r="QA11" s="43"/>
      <c r="QB11" s="43"/>
      <c r="QC11" s="43"/>
    </row>
    <row r="12" spans="1:445" x14ac:dyDescent="0.3">
      <c r="A12" s="85" t="s">
        <v>114</v>
      </c>
      <c r="B12" s="84"/>
      <c r="C12" s="84" t="s">
        <v>149</v>
      </c>
      <c r="D12" s="84" t="s">
        <v>133</v>
      </c>
      <c r="E12" s="84"/>
      <c r="F12" s="84">
        <v>1800</v>
      </c>
      <c r="G12" s="84"/>
      <c r="H12" s="84">
        <v>100</v>
      </c>
      <c r="I12" s="84">
        <v>200</v>
      </c>
      <c r="J12" s="84">
        <v>200</v>
      </c>
      <c r="K12" s="84">
        <v>200</v>
      </c>
      <c r="L12" s="84">
        <v>200</v>
      </c>
      <c r="M12" s="84">
        <v>200</v>
      </c>
      <c r="N12" s="84"/>
      <c r="O12" s="84"/>
      <c r="P12" s="84"/>
      <c r="Q12" s="84"/>
      <c r="R12" s="84"/>
      <c r="S12" s="84"/>
      <c r="T12" s="46">
        <f>IF(AND(ISBLANK(E12),ISBLANK(F12),ISBLANK(G12),ISBLANK(H12),ISBLANK(I12),ISBLANK(J12),ISBLANK(K12), ISBLANK(L12), ISBLANK(M12), ISBLANK(N12), ISBLANK(O12), ISBLANK(P12), ISBLANK(Q12), ISBLANK(R12), ISBLANK(S12)),"",SUM(G12:S12))</f>
        <v>1100</v>
      </c>
      <c r="U12" s="46">
        <f>IF(W12&lt;&gt;0,0,IF(AND(ISBLANK(F12),ISBLANK(G12),ISBLANK(H12),ISBLANK(I12),ISBLANK(J12),ISBLANK(K12), ISBLANK(L12), ISBLANK(M12), ISBLANK(N12), ISBLANK(O12), ISBLANK(P12), ISBLANK(Q12), ISBLANK(R12), ISBLANK(S12)),"", F12-T12))</f>
        <v>700</v>
      </c>
      <c r="V12" s="72">
        <f>IF(AND(ISBLANK(E12),ISBLANK(F12), ISBLANK(G12), ISBLANK(H12), ISBLANK(I12), ISBLANK(J12), ISBLANK(K12), ISBLANK(L12), ISBLANK(M12),ISBLANK(N12), ISBLANK(O12), ISBLANK(P12), ISBLANK(Q12), ISBLANK(R12), ISBLANK(S12)), "",IFERROR(((F12+E12)-U12)/F12,""))</f>
        <v>0.61111111111111116</v>
      </c>
      <c r="W12" s="48"/>
      <c r="X12" s="73" t="str">
        <f>IF(W12&lt;&gt;"",F12 - (SUM(G12:S12)),"")</f>
        <v/>
      </c>
      <c r="Y12" s="78">
        <v>2102724197</v>
      </c>
      <c r="Z12" s="78">
        <v>6978847917</v>
      </c>
      <c r="AA12" s="78">
        <v>6980060945</v>
      </c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3"/>
      <c r="EM12" s="43"/>
      <c r="EN12" s="43"/>
      <c r="EO12" s="43"/>
      <c r="EP12" s="43"/>
      <c r="EQ12" s="43"/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43"/>
      <c r="FI12" s="43"/>
      <c r="FJ12" s="43"/>
      <c r="FK12" s="43"/>
      <c r="FL12" s="43"/>
      <c r="FM12" s="43"/>
      <c r="FN12" s="43"/>
      <c r="FO12" s="43"/>
      <c r="FP12" s="43"/>
      <c r="FQ12" s="43"/>
      <c r="FR12" s="43"/>
      <c r="FS12" s="43"/>
      <c r="FT12" s="43"/>
      <c r="FU12" s="43"/>
      <c r="FV12" s="43"/>
      <c r="FW12" s="43"/>
      <c r="FX12" s="43"/>
      <c r="FY12" s="43"/>
      <c r="FZ12" s="43"/>
      <c r="GA12" s="43"/>
      <c r="GB12" s="43"/>
      <c r="GC12" s="43"/>
      <c r="GD12" s="43"/>
      <c r="GE12" s="43"/>
      <c r="GF12" s="43"/>
      <c r="GG12" s="43"/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43"/>
      <c r="GY12" s="43"/>
      <c r="GZ12" s="43"/>
      <c r="HA12" s="43"/>
      <c r="HB12" s="43"/>
      <c r="HC12" s="43"/>
      <c r="HD12" s="43"/>
      <c r="HE12" s="43"/>
      <c r="HF12" s="43"/>
      <c r="HG12" s="43"/>
      <c r="HH12" s="43"/>
      <c r="HI12" s="43"/>
      <c r="HJ12" s="43"/>
      <c r="HK12" s="43"/>
      <c r="HL12" s="43"/>
      <c r="HM12" s="43"/>
      <c r="HN12" s="43"/>
      <c r="HO12" s="43"/>
      <c r="HP12" s="43"/>
      <c r="HQ12" s="43"/>
      <c r="HR12" s="43"/>
      <c r="HS12" s="43"/>
      <c r="HT12" s="43"/>
      <c r="HU12" s="43"/>
      <c r="HV12" s="43"/>
      <c r="HW12" s="43"/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43"/>
      <c r="IO12" s="43"/>
      <c r="IP12" s="43"/>
      <c r="IQ12" s="43"/>
      <c r="IR12" s="43"/>
      <c r="IS12" s="43"/>
      <c r="IT12" s="43"/>
      <c r="IU12" s="43"/>
      <c r="IV12" s="43"/>
      <c r="IW12" s="43"/>
      <c r="IX12" s="43"/>
      <c r="IY12" s="43"/>
      <c r="IZ12" s="43"/>
      <c r="JA12" s="43"/>
      <c r="JB12" s="43"/>
      <c r="JC12" s="43"/>
      <c r="JD12" s="43"/>
      <c r="JE12" s="43"/>
      <c r="JF12" s="43"/>
      <c r="JG12" s="43"/>
      <c r="JH12" s="43"/>
      <c r="JI12" s="43"/>
      <c r="JJ12" s="43"/>
      <c r="JK12" s="43"/>
      <c r="JL12" s="43"/>
      <c r="JM12" s="43"/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43"/>
      <c r="KE12" s="43"/>
      <c r="KF12" s="43"/>
      <c r="KG12" s="43"/>
      <c r="KH12" s="43"/>
      <c r="KI12" s="43"/>
      <c r="KJ12" s="43"/>
      <c r="KK12" s="43"/>
      <c r="KL12" s="43"/>
      <c r="KM12" s="43"/>
      <c r="KN12" s="43"/>
      <c r="KO12" s="43"/>
      <c r="KP12" s="43"/>
      <c r="KQ12" s="43"/>
      <c r="KR12" s="43"/>
      <c r="KS12" s="43"/>
      <c r="KT12" s="43"/>
      <c r="KU12" s="43"/>
      <c r="KV12" s="43"/>
      <c r="KW12" s="43"/>
      <c r="KX12" s="43"/>
      <c r="KY12" s="43"/>
      <c r="KZ12" s="43"/>
      <c r="LA12" s="43"/>
      <c r="LB12" s="43"/>
      <c r="LC12" s="43"/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43"/>
      <c r="LU12" s="43"/>
      <c r="LV12" s="43"/>
      <c r="LW12" s="43"/>
      <c r="LX12" s="43"/>
      <c r="LY12" s="43"/>
      <c r="LZ12" s="43"/>
      <c r="MA12" s="43"/>
      <c r="MB12" s="43"/>
      <c r="MC12" s="43"/>
      <c r="MD12" s="43"/>
      <c r="ME12" s="43"/>
      <c r="MF12" s="43"/>
      <c r="MG12" s="43"/>
      <c r="MH12" s="43"/>
      <c r="MI12" s="43"/>
      <c r="MJ12" s="43"/>
      <c r="MK12" s="43"/>
      <c r="ML12" s="43"/>
      <c r="MM12" s="43"/>
      <c r="MN12" s="43"/>
      <c r="MO12" s="43"/>
      <c r="MP12" s="43"/>
      <c r="MQ12" s="43"/>
      <c r="MR12" s="43"/>
      <c r="MS12" s="43"/>
      <c r="MT12" s="43"/>
      <c r="MU12" s="43"/>
      <c r="MV12" s="43"/>
      <c r="MW12" s="43"/>
      <c r="MX12" s="43"/>
      <c r="MY12" s="43"/>
      <c r="MZ12" s="43"/>
      <c r="NA12" s="43"/>
      <c r="NB12" s="43"/>
      <c r="NC12" s="43"/>
      <c r="ND12" s="43"/>
      <c r="NE12" s="43"/>
      <c r="NF12" s="43"/>
      <c r="NG12" s="43"/>
      <c r="NH12" s="43"/>
      <c r="NI12" s="43"/>
      <c r="NJ12" s="43"/>
      <c r="NK12" s="43"/>
      <c r="NL12" s="43"/>
      <c r="NM12" s="43"/>
      <c r="NN12" s="43"/>
      <c r="NO12" s="43"/>
      <c r="NP12" s="43"/>
      <c r="NQ12" s="43"/>
      <c r="NR12" s="43"/>
      <c r="NS12" s="43"/>
      <c r="NT12" s="43"/>
      <c r="NU12" s="43"/>
      <c r="NV12" s="43"/>
      <c r="NW12" s="43"/>
      <c r="NX12" s="43"/>
      <c r="NY12" s="43"/>
      <c r="NZ12" s="43"/>
      <c r="OA12" s="43"/>
      <c r="OB12" s="43"/>
      <c r="OC12" s="43"/>
      <c r="OD12" s="43"/>
      <c r="OE12" s="43"/>
      <c r="OF12" s="43"/>
      <c r="OG12" s="43"/>
      <c r="OH12" s="43"/>
      <c r="OI12" s="43"/>
      <c r="OJ12" s="43"/>
      <c r="OK12" s="43"/>
      <c r="OL12" s="43"/>
      <c r="OM12" s="43"/>
      <c r="ON12" s="43"/>
      <c r="OO12" s="43"/>
      <c r="OP12" s="43"/>
      <c r="OQ12" s="43"/>
      <c r="OR12" s="43"/>
      <c r="OS12" s="43"/>
      <c r="OT12" s="43"/>
      <c r="OU12" s="43"/>
      <c r="OV12" s="43"/>
      <c r="OW12" s="43"/>
      <c r="OX12" s="43"/>
      <c r="OY12" s="43"/>
      <c r="OZ12" s="43"/>
      <c r="PA12" s="43"/>
      <c r="PB12" s="43"/>
      <c r="PC12" s="43"/>
      <c r="PD12" s="43"/>
      <c r="PE12" s="43"/>
      <c r="PF12" s="43"/>
      <c r="PG12" s="43"/>
      <c r="PH12" s="43"/>
      <c r="PI12" s="43"/>
      <c r="PJ12" s="43"/>
      <c r="PK12" s="43"/>
      <c r="PL12" s="43"/>
      <c r="PM12" s="43"/>
      <c r="PN12" s="43"/>
      <c r="PO12" s="43"/>
      <c r="PP12" s="43"/>
      <c r="PQ12" s="43"/>
      <c r="PR12" s="43"/>
      <c r="PS12" s="43"/>
      <c r="PT12" s="43"/>
      <c r="PU12" s="43"/>
      <c r="PV12" s="43"/>
      <c r="PW12" s="43"/>
      <c r="PX12" s="43"/>
      <c r="PY12" s="43"/>
      <c r="PZ12" s="43"/>
      <c r="QA12" s="43"/>
      <c r="QB12" s="43"/>
      <c r="QC12" s="43"/>
    </row>
    <row r="13" spans="1:445" x14ac:dyDescent="0.3">
      <c r="A13" s="85" t="s">
        <v>139</v>
      </c>
      <c r="B13" s="84" t="s">
        <v>73</v>
      </c>
      <c r="C13" s="84" t="s">
        <v>150</v>
      </c>
      <c r="D13" s="84"/>
      <c r="E13" s="84"/>
      <c r="F13" s="84">
        <v>1800</v>
      </c>
      <c r="G13" s="84"/>
      <c r="H13" s="84"/>
      <c r="I13" s="84">
        <v>200</v>
      </c>
      <c r="J13" s="84">
        <v>200</v>
      </c>
      <c r="K13" s="84">
        <v>200</v>
      </c>
      <c r="L13" s="84">
        <v>200</v>
      </c>
      <c r="M13" s="84">
        <v>200</v>
      </c>
      <c r="N13" s="84"/>
      <c r="O13" s="84"/>
      <c r="P13" s="84"/>
      <c r="Q13" s="84"/>
      <c r="R13" s="84"/>
      <c r="S13" s="84"/>
      <c r="T13" s="46">
        <f>IF(AND(ISBLANK(E13),ISBLANK(F13),ISBLANK(G13),ISBLANK(H13),ISBLANK(I13),ISBLANK(J13),ISBLANK(K13), ISBLANK(L13), ISBLANK(M13), ISBLANK(N13), ISBLANK(O13), ISBLANK(P13), ISBLANK(Q13), ISBLANK(R13), ISBLANK(S13)),"",SUM(G13:S13))</f>
        <v>1000</v>
      </c>
      <c r="U13" s="46">
        <f>IF(W13&lt;&gt;0,0,IF(AND(ISBLANK(F13),ISBLANK(G13),ISBLANK(H13),ISBLANK(I13),ISBLANK(J13),ISBLANK(K13), ISBLANK(L13), ISBLANK(M13), ISBLANK(N13), ISBLANK(O13), ISBLANK(P13), ISBLANK(Q13), ISBLANK(R13), ISBLANK(S13)),"", F13-T13))</f>
        <v>800</v>
      </c>
      <c r="V13" s="72">
        <f>IF(AND(ISBLANK(E13),ISBLANK(F13), ISBLANK(G13), ISBLANK(H13), ISBLANK(I13), ISBLANK(J13), ISBLANK(K13), ISBLANK(L13), ISBLANK(M13),ISBLANK(N13), ISBLANK(O13), ISBLANK(P13), ISBLANK(Q13), ISBLANK(R13), ISBLANK(S13)), "",IFERROR(((F13+E13)-U13)/F13,""))</f>
        <v>0.55555555555555558</v>
      </c>
      <c r="X13" s="73" t="str">
        <f>IF(W13&lt;&gt;"",F13 - (SUM(G13:S13)),"")</f>
        <v/>
      </c>
      <c r="Y13" s="79"/>
      <c r="Z13" s="78">
        <v>6947629881</v>
      </c>
      <c r="AA13" s="78">
        <v>6942731233</v>
      </c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43"/>
      <c r="CY13" s="43"/>
      <c r="CZ13" s="43"/>
      <c r="DA13" s="43"/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43"/>
      <c r="DS13" s="43"/>
      <c r="DT13" s="43"/>
      <c r="DU13" s="43"/>
      <c r="DV13" s="43"/>
      <c r="DW13" s="43"/>
      <c r="DX13" s="43"/>
      <c r="DY13" s="43"/>
      <c r="DZ13" s="43"/>
      <c r="EA13" s="43"/>
      <c r="EB13" s="43"/>
      <c r="EC13" s="43"/>
      <c r="ED13" s="43"/>
      <c r="EE13" s="43"/>
      <c r="EF13" s="43"/>
      <c r="EG13" s="43"/>
      <c r="EH13" s="43"/>
      <c r="EI13" s="43"/>
      <c r="EJ13" s="43"/>
      <c r="EK13" s="43"/>
      <c r="EL13" s="43"/>
      <c r="EM13" s="43"/>
      <c r="EN13" s="43"/>
      <c r="EO13" s="43"/>
      <c r="EP13" s="43"/>
      <c r="EQ13" s="43"/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43"/>
      <c r="FI13" s="43"/>
      <c r="FJ13" s="43"/>
      <c r="FK13" s="43"/>
      <c r="FL13" s="43"/>
      <c r="FM13" s="43"/>
      <c r="FN13" s="43"/>
      <c r="FO13" s="43"/>
      <c r="FP13" s="43"/>
      <c r="FQ13" s="43"/>
      <c r="FR13" s="43"/>
      <c r="FS13" s="43"/>
      <c r="FT13" s="43"/>
      <c r="FU13" s="43"/>
      <c r="FV13" s="43"/>
      <c r="FW13" s="43"/>
      <c r="FX13" s="43"/>
      <c r="FY13" s="43"/>
      <c r="FZ13" s="43"/>
      <c r="GA13" s="43"/>
      <c r="GB13" s="43"/>
      <c r="GC13" s="43"/>
      <c r="GD13" s="43"/>
      <c r="GE13" s="43"/>
      <c r="GF13" s="43"/>
      <c r="GG13" s="43"/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43"/>
      <c r="GY13" s="43"/>
      <c r="GZ13" s="43"/>
      <c r="HA13" s="43"/>
      <c r="HB13" s="43"/>
      <c r="HC13" s="43"/>
      <c r="HD13" s="43"/>
      <c r="HE13" s="43"/>
      <c r="HF13" s="43"/>
      <c r="HG13" s="43"/>
      <c r="HH13" s="43"/>
      <c r="HI13" s="43"/>
      <c r="HJ13" s="43"/>
      <c r="HK13" s="43"/>
      <c r="HL13" s="43"/>
      <c r="HM13" s="43"/>
      <c r="HN13" s="43"/>
      <c r="HO13" s="43"/>
      <c r="HP13" s="43"/>
      <c r="HQ13" s="43"/>
      <c r="HR13" s="43"/>
      <c r="HS13" s="43"/>
      <c r="HT13" s="43"/>
      <c r="HU13" s="43"/>
      <c r="HV13" s="43"/>
      <c r="HW13" s="43"/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43"/>
      <c r="IO13" s="43"/>
      <c r="IP13" s="43"/>
      <c r="IQ13" s="43"/>
      <c r="IR13" s="43"/>
      <c r="IS13" s="43"/>
      <c r="IT13" s="43"/>
      <c r="IU13" s="43"/>
      <c r="IV13" s="43"/>
      <c r="IW13" s="43"/>
      <c r="IX13" s="43"/>
      <c r="IY13" s="43"/>
      <c r="IZ13" s="43"/>
      <c r="JA13" s="43"/>
      <c r="JB13" s="43"/>
      <c r="JC13" s="43"/>
      <c r="JD13" s="43"/>
      <c r="JE13" s="43"/>
      <c r="JF13" s="43"/>
      <c r="JG13" s="43"/>
      <c r="JH13" s="43"/>
      <c r="JI13" s="43"/>
      <c r="JJ13" s="43"/>
      <c r="JK13" s="43"/>
      <c r="JL13" s="43"/>
      <c r="JM13" s="43"/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43"/>
      <c r="KE13" s="43"/>
      <c r="KF13" s="43"/>
      <c r="KG13" s="43"/>
      <c r="KH13" s="43"/>
      <c r="KI13" s="43"/>
      <c r="KJ13" s="43"/>
      <c r="KK13" s="43"/>
      <c r="KL13" s="43"/>
      <c r="KM13" s="43"/>
      <c r="KN13" s="43"/>
      <c r="KO13" s="43"/>
      <c r="KP13" s="43"/>
      <c r="KQ13" s="43"/>
      <c r="KR13" s="43"/>
      <c r="KS13" s="43"/>
      <c r="KT13" s="43"/>
      <c r="KU13" s="43"/>
      <c r="KV13" s="43"/>
      <c r="KW13" s="43"/>
      <c r="KX13" s="43"/>
      <c r="KY13" s="43"/>
      <c r="KZ13" s="43"/>
      <c r="LA13" s="43"/>
      <c r="LB13" s="43"/>
      <c r="LC13" s="43"/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43"/>
      <c r="LU13" s="43"/>
      <c r="LV13" s="43"/>
      <c r="LW13" s="43"/>
      <c r="LX13" s="43"/>
      <c r="LY13" s="43"/>
      <c r="LZ13" s="43"/>
      <c r="MA13" s="43"/>
      <c r="MB13" s="43"/>
      <c r="MC13" s="43"/>
      <c r="MD13" s="43"/>
      <c r="ME13" s="43"/>
      <c r="MF13" s="43"/>
      <c r="MG13" s="43"/>
      <c r="MH13" s="43"/>
      <c r="MI13" s="43"/>
      <c r="MJ13" s="43"/>
      <c r="MK13" s="43"/>
      <c r="ML13" s="43"/>
      <c r="MM13" s="43"/>
      <c r="MN13" s="43"/>
      <c r="MO13" s="43"/>
      <c r="MP13" s="43"/>
      <c r="MQ13" s="43"/>
      <c r="MR13" s="43"/>
      <c r="MS13" s="43"/>
      <c r="MT13" s="43"/>
      <c r="MU13" s="43"/>
      <c r="MV13" s="43"/>
      <c r="MW13" s="43"/>
      <c r="MX13" s="43"/>
      <c r="MY13" s="43"/>
      <c r="MZ13" s="43"/>
      <c r="NA13" s="43"/>
      <c r="NB13" s="43"/>
      <c r="NC13" s="43"/>
      <c r="ND13" s="43"/>
      <c r="NE13" s="43"/>
      <c r="NF13" s="43"/>
      <c r="NG13" s="43"/>
      <c r="NH13" s="43"/>
      <c r="NI13" s="43"/>
      <c r="NJ13" s="43"/>
      <c r="NK13" s="43"/>
      <c r="NL13" s="43"/>
      <c r="NM13" s="43"/>
      <c r="NN13" s="43"/>
      <c r="NO13" s="43"/>
      <c r="NP13" s="43"/>
      <c r="NQ13" s="43"/>
      <c r="NR13" s="43"/>
      <c r="NS13" s="43"/>
      <c r="NT13" s="43"/>
      <c r="NU13" s="43"/>
      <c r="NV13" s="43"/>
      <c r="NW13" s="43"/>
      <c r="NX13" s="43"/>
      <c r="NY13" s="43"/>
      <c r="NZ13" s="43"/>
      <c r="OA13" s="43"/>
      <c r="OB13" s="43"/>
      <c r="OC13" s="43"/>
      <c r="OD13" s="43"/>
      <c r="OE13" s="43"/>
      <c r="OF13" s="43"/>
      <c r="OG13" s="43"/>
      <c r="OH13" s="43"/>
      <c r="OI13" s="43"/>
      <c r="OJ13" s="43"/>
      <c r="OK13" s="43"/>
      <c r="OL13" s="43"/>
      <c r="OM13" s="43"/>
      <c r="ON13" s="43"/>
      <c r="OO13" s="43"/>
      <c r="OP13" s="43"/>
      <c r="OQ13" s="43"/>
      <c r="OR13" s="43"/>
      <c r="OS13" s="43"/>
      <c r="OT13" s="43"/>
      <c r="OU13" s="43"/>
      <c r="OV13" s="43"/>
      <c r="OW13" s="43"/>
      <c r="OX13" s="43"/>
      <c r="OY13" s="43"/>
      <c r="OZ13" s="43"/>
      <c r="PA13" s="43"/>
      <c r="PB13" s="43"/>
      <c r="PC13" s="43"/>
      <c r="PD13" s="43"/>
      <c r="PE13" s="43"/>
      <c r="PF13" s="43"/>
      <c r="PG13" s="43"/>
      <c r="PH13" s="43"/>
      <c r="PI13" s="43"/>
      <c r="PJ13" s="43"/>
      <c r="PK13" s="43"/>
      <c r="PL13" s="43"/>
      <c r="PM13" s="43"/>
      <c r="PN13" s="43"/>
      <c r="PO13" s="43"/>
      <c r="PP13" s="43"/>
      <c r="PQ13" s="43"/>
      <c r="PR13" s="43"/>
      <c r="PS13" s="43"/>
      <c r="PT13" s="43"/>
      <c r="PU13" s="43"/>
      <c r="PV13" s="43"/>
      <c r="PW13" s="43"/>
      <c r="PX13" s="43"/>
      <c r="PY13" s="43"/>
      <c r="PZ13" s="43"/>
      <c r="QA13" s="43"/>
      <c r="QB13" s="43"/>
      <c r="QC13" s="43"/>
    </row>
    <row r="14" spans="1:445" x14ac:dyDescent="0.3">
      <c r="A14" s="85" t="s">
        <v>79</v>
      </c>
      <c r="B14" s="84" t="s">
        <v>73</v>
      </c>
      <c r="C14" s="84" t="s">
        <v>106</v>
      </c>
      <c r="D14" s="84" t="s">
        <v>105</v>
      </c>
      <c r="E14" s="84">
        <v>40</v>
      </c>
      <c r="F14" s="84">
        <v>1170</v>
      </c>
      <c r="G14" s="90"/>
      <c r="H14" s="84">
        <v>130</v>
      </c>
      <c r="I14" s="84">
        <v>130</v>
      </c>
      <c r="J14" s="84">
        <v>130</v>
      </c>
      <c r="K14" s="84">
        <v>130</v>
      </c>
      <c r="L14" s="84">
        <v>130</v>
      </c>
      <c r="M14" s="84">
        <v>130</v>
      </c>
      <c r="N14" s="84"/>
      <c r="O14" s="84"/>
      <c r="P14" s="84"/>
      <c r="Q14" s="84"/>
      <c r="R14" s="84"/>
      <c r="S14" s="84"/>
      <c r="T14" s="46">
        <f>IF(AND(ISBLANK(E14),ISBLANK(F14),ISBLANK(G14),ISBLANK(H14),ISBLANK(I14),ISBLANK(J14),ISBLANK(K14), ISBLANK(L14), ISBLANK(M14), ISBLANK(N14), ISBLANK(O14), ISBLANK(P14), ISBLANK(Q14), ISBLANK(R14), ISBLANK(S14)),"",SUM(G14:S14))</f>
        <v>780</v>
      </c>
      <c r="U14" s="46">
        <f>IF(W14&lt;&gt;0,0,IF(AND(ISBLANK(F14),ISBLANK(G14),ISBLANK(H14),ISBLANK(I14),ISBLANK(J14),ISBLANK(K14), ISBLANK(L14), ISBLANK(M14), ISBLANK(N14), ISBLANK(O14), ISBLANK(P14), ISBLANK(Q14), ISBLANK(R14), ISBLANK(S14)),"", F14-T14))</f>
        <v>390</v>
      </c>
      <c r="V14" s="72">
        <f>IF(AND(ISBLANK(E14),ISBLANK(F14), ISBLANK(G14), ISBLANK(H14), ISBLANK(I14), ISBLANK(J14), ISBLANK(K14), ISBLANK(L14), ISBLANK(M14),ISBLANK(N14), ISBLANK(O14), ISBLANK(P14), ISBLANK(Q14), ISBLANK(R14), ISBLANK(S14)), "",IFERROR(((F14+E14)-U14)/F14,""))</f>
        <v>0.70085470085470081</v>
      </c>
      <c r="W14" s="48"/>
      <c r="X14" s="73" t="str">
        <f>IF(W14&lt;&gt;"",F14 - (SUM(G14:S14)),"")</f>
        <v/>
      </c>
      <c r="Y14" s="79"/>
      <c r="Z14" s="79"/>
      <c r="AA14" s="79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/>
      <c r="CS14" s="43"/>
      <c r="CT14" s="43"/>
      <c r="CU14" s="43"/>
      <c r="CV14" s="43"/>
      <c r="CW14" s="43"/>
      <c r="CX14" s="43"/>
      <c r="CY14" s="43"/>
      <c r="CZ14" s="43"/>
      <c r="DA14" s="43"/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43"/>
      <c r="DS14" s="43"/>
      <c r="DT14" s="43"/>
      <c r="DU14" s="43"/>
      <c r="DV14" s="43"/>
      <c r="DW14" s="43"/>
      <c r="DX14" s="43"/>
      <c r="DY14" s="43"/>
      <c r="DZ14" s="43"/>
      <c r="EA14" s="43"/>
      <c r="EB14" s="43"/>
      <c r="EC14" s="43"/>
      <c r="ED14" s="43"/>
      <c r="EE14" s="43"/>
      <c r="EF14" s="43"/>
      <c r="EG14" s="43"/>
      <c r="EH14" s="43"/>
      <c r="EI14" s="43"/>
      <c r="EJ14" s="43"/>
      <c r="EK14" s="43"/>
      <c r="EL14" s="43"/>
      <c r="EM14" s="43"/>
      <c r="EN14" s="43"/>
      <c r="EO14" s="43"/>
      <c r="EP14" s="43"/>
      <c r="EQ14" s="43"/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43"/>
      <c r="FI14" s="43"/>
      <c r="FJ14" s="43"/>
      <c r="FK14" s="43"/>
      <c r="FL14" s="43"/>
      <c r="FM14" s="43"/>
      <c r="FN14" s="43"/>
      <c r="FO14" s="43"/>
      <c r="FP14" s="43"/>
      <c r="FQ14" s="43"/>
      <c r="FR14" s="43"/>
      <c r="FS14" s="43"/>
      <c r="FT14" s="43"/>
      <c r="FU14" s="43"/>
      <c r="FV14" s="43"/>
      <c r="FW14" s="43"/>
      <c r="FX14" s="43"/>
      <c r="FY14" s="43"/>
      <c r="FZ14" s="43"/>
      <c r="GA14" s="43"/>
      <c r="GB14" s="43"/>
      <c r="GC14" s="43"/>
      <c r="GD14" s="43"/>
      <c r="GE14" s="43"/>
      <c r="GF14" s="43"/>
      <c r="GG14" s="43"/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43"/>
      <c r="GY14" s="43"/>
      <c r="GZ14" s="43"/>
      <c r="HA14" s="43"/>
      <c r="HB14" s="43"/>
      <c r="HC14" s="43"/>
      <c r="HD14" s="43"/>
      <c r="HE14" s="43"/>
      <c r="HF14" s="43"/>
      <c r="HG14" s="43"/>
      <c r="HH14" s="43"/>
      <c r="HI14" s="43"/>
      <c r="HJ14" s="43"/>
      <c r="HK14" s="43"/>
      <c r="HL14" s="43"/>
      <c r="HM14" s="43"/>
      <c r="HN14" s="43"/>
      <c r="HO14" s="43"/>
      <c r="HP14" s="43"/>
      <c r="HQ14" s="43"/>
      <c r="HR14" s="43"/>
      <c r="HS14" s="43"/>
      <c r="HT14" s="43"/>
      <c r="HU14" s="43"/>
      <c r="HV14" s="43"/>
      <c r="HW14" s="43"/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43"/>
      <c r="IO14" s="43"/>
      <c r="IP14" s="43"/>
      <c r="IQ14" s="43"/>
      <c r="IR14" s="43"/>
      <c r="IS14" s="43"/>
      <c r="IT14" s="43"/>
      <c r="IU14" s="43"/>
      <c r="IV14" s="43"/>
      <c r="IW14" s="43"/>
      <c r="IX14" s="43"/>
      <c r="IY14" s="43"/>
      <c r="IZ14" s="43"/>
      <c r="JA14" s="43"/>
      <c r="JB14" s="43"/>
      <c r="JC14" s="43"/>
      <c r="JD14" s="43"/>
      <c r="JE14" s="43"/>
      <c r="JF14" s="43"/>
      <c r="JG14" s="43"/>
      <c r="JH14" s="43"/>
      <c r="JI14" s="43"/>
      <c r="JJ14" s="43"/>
      <c r="JK14" s="43"/>
      <c r="JL14" s="43"/>
      <c r="JM14" s="43"/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43"/>
      <c r="KE14" s="43"/>
      <c r="KF14" s="43"/>
      <c r="KG14" s="43"/>
      <c r="KH14" s="43"/>
      <c r="KI14" s="43"/>
      <c r="KJ14" s="43"/>
      <c r="KK14" s="43"/>
      <c r="KL14" s="43"/>
      <c r="KM14" s="43"/>
      <c r="KN14" s="43"/>
      <c r="KO14" s="43"/>
      <c r="KP14" s="43"/>
      <c r="KQ14" s="43"/>
      <c r="KR14" s="43"/>
      <c r="KS14" s="43"/>
      <c r="KT14" s="43"/>
      <c r="KU14" s="43"/>
      <c r="KV14" s="43"/>
      <c r="KW14" s="43"/>
      <c r="KX14" s="43"/>
      <c r="KY14" s="43"/>
      <c r="KZ14" s="43"/>
      <c r="LA14" s="43"/>
      <c r="LB14" s="43"/>
      <c r="LC14" s="43"/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43"/>
      <c r="LU14" s="43"/>
      <c r="LV14" s="43"/>
      <c r="LW14" s="43"/>
      <c r="LX14" s="43"/>
      <c r="LY14" s="43"/>
      <c r="LZ14" s="43"/>
      <c r="MA14" s="43"/>
      <c r="MB14" s="43"/>
      <c r="MC14" s="43"/>
      <c r="MD14" s="43"/>
      <c r="ME14" s="43"/>
      <c r="MF14" s="43"/>
      <c r="MG14" s="43"/>
      <c r="MH14" s="43"/>
      <c r="MI14" s="43"/>
      <c r="MJ14" s="43"/>
      <c r="MK14" s="43"/>
      <c r="ML14" s="43"/>
      <c r="MM14" s="43"/>
      <c r="MN14" s="43"/>
      <c r="MO14" s="43"/>
      <c r="MP14" s="43"/>
      <c r="MQ14" s="43"/>
      <c r="MR14" s="43"/>
      <c r="MS14" s="43"/>
      <c r="MT14" s="43"/>
      <c r="MU14" s="43"/>
      <c r="MV14" s="43"/>
      <c r="MW14" s="43"/>
      <c r="MX14" s="43"/>
      <c r="MY14" s="43"/>
      <c r="MZ14" s="43"/>
      <c r="NA14" s="43"/>
      <c r="NB14" s="43"/>
      <c r="NC14" s="43"/>
      <c r="ND14" s="43"/>
      <c r="NE14" s="43"/>
      <c r="NF14" s="43"/>
      <c r="NG14" s="43"/>
      <c r="NH14" s="43"/>
      <c r="NI14" s="43"/>
      <c r="NJ14" s="43"/>
      <c r="NK14" s="43"/>
      <c r="NL14" s="43"/>
      <c r="NM14" s="43"/>
      <c r="NN14" s="43"/>
      <c r="NO14" s="43"/>
      <c r="NP14" s="43"/>
      <c r="NQ14" s="43"/>
      <c r="NR14" s="43"/>
      <c r="NS14" s="43"/>
      <c r="NT14" s="43"/>
      <c r="NU14" s="43"/>
      <c r="NV14" s="43"/>
      <c r="NW14" s="43"/>
      <c r="NX14" s="43"/>
      <c r="NY14" s="43"/>
      <c r="NZ14" s="43"/>
      <c r="OA14" s="43"/>
      <c r="OB14" s="43"/>
      <c r="OC14" s="43"/>
      <c r="OD14" s="43"/>
      <c r="OE14" s="43"/>
      <c r="OF14" s="43"/>
      <c r="OG14" s="43"/>
      <c r="OH14" s="43"/>
      <c r="OI14" s="43"/>
      <c r="OJ14" s="43"/>
      <c r="OK14" s="43"/>
      <c r="OL14" s="43"/>
      <c r="OM14" s="43"/>
      <c r="ON14" s="43"/>
      <c r="OO14" s="43"/>
      <c r="OP14" s="43"/>
      <c r="OQ14" s="43"/>
      <c r="OR14" s="43"/>
      <c r="OS14" s="43"/>
      <c r="OT14" s="43"/>
      <c r="OU14" s="43"/>
      <c r="OV14" s="43"/>
      <c r="OW14" s="43"/>
      <c r="OX14" s="43"/>
      <c r="OY14" s="43"/>
      <c r="OZ14" s="43"/>
      <c r="PA14" s="43"/>
      <c r="PB14" s="43"/>
      <c r="PC14" s="43"/>
      <c r="PD14" s="43"/>
      <c r="PE14" s="43"/>
      <c r="PF14" s="43"/>
      <c r="PG14" s="43"/>
      <c r="PH14" s="43"/>
      <c r="PI14" s="43"/>
      <c r="PJ14" s="43"/>
      <c r="PK14" s="43"/>
      <c r="PL14" s="43"/>
      <c r="PM14" s="43"/>
      <c r="PN14" s="43"/>
      <c r="PO14" s="43"/>
      <c r="PP14" s="43"/>
      <c r="PQ14" s="43"/>
      <c r="PR14" s="43"/>
      <c r="PS14" s="43"/>
      <c r="PT14" s="43"/>
      <c r="PU14" s="43"/>
      <c r="PV14" s="43"/>
      <c r="PW14" s="43"/>
      <c r="PX14" s="43"/>
      <c r="PY14" s="43"/>
      <c r="PZ14" s="43"/>
      <c r="QA14" s="43"/>
      <c r="QB14" s="43"/>
      <c r="QC14" s="43"/>
    </row>
    <row r="15" spans="1:445" x14ac:dyDescent="0.3">
      <c r="A15" s="85" t="s">
        <v>134</v>
      </c>
      <c r="B15" s="84" t="s">
        <v>73</v>
      </c>
      <c r="C15" s="84" t="s">
        <v>104</v>
      </c>
      <c r="D15" s="84"/>
      <c r="E15" s="84"/>
      <c r="F15" s="84">
        <v>1080</v>
      </c>
      <c r="G15" s="87"/>
      <c r="H15" s="84">
        <v>60</v>
      </c>
      <c r="I15" s="84">
        <v>120</v>
      </c>
      <c r="J15" s="84">
        <v>120</v>
      </c>
      <c r="K15" s="84">
        <v>120</v>
      </c>
      <c r="L15" s="84">
        <v>120</v>
      </c>
      <c r="M15" s="84">
        <v>120</v>
      </c>
      <c r="N15" s="84"/>
      <c r="O15" s="84"/>
      <c r="P15" s="84"/>
      <c r="Q15" s="84"/>
      <c r="R15" s="84"/>
      <c r="S15" s="84"/>
      <c r="T15" s="46">
        <f>IF(AND(ISBLANK(E15),ISBLANK(F15),ISBLANK(H15),ISBLANK(#REF!),ISBLANK(I15),ISBLANK(J15),ISBLANK(K15), ISBLANK(L15), ISBLANK(M15), ISBLANK(N15), ISBLANK(O15), ISBLANK(P15), ISBLANK(Q15), ISBLANK(R15), ISBLANK(S15)),"",SUM(H15:S15))</f>
        <v>660</v>
      </c>
      <c r="U15" s="46">
        <f>IF(W15&lt;&gt;0,0,IF(AND(ISBLANK(F15),ISBLANK(H15),ISBLANK(#REF!),ISBLANK(I15),ISBLANK(J15),ISBLANK(K15), ISBLANK(L15), ISBLANK(M15), ISBLANK(N15), ISBLANK(O15), ISBLANK(P15), ISBLANK(Q15), ISBLANK(R15), ISBLANK(S15)),"", F15-T15))</f>
        <v>420</v>
      </c>
      <c r="V15" s="72">
        <f>IF(AND(ISBLANK(E15),ISBLANK(F15), ISBLANK(H15), ISBLANK(#REF!), ISBLANK(I15), ISBLANK(J15), ISBLANK(K15), ISBLANK(L15), ISBLANK(M15),ISBLANK(N15), ISBLANK(O15), ISBLANK(P15), ISBLANK(Q15), ISBLANK(R15), ISBLANK(S15)), "",IFERROR(((F15+E15)-U15)/F15,""))</f>
        <v>0.61111111111111116</v>
      </c>
      <c r="X15" s="73" t="str">
        <f t="shared" ref="X15:X21" si="1">IF(W15&lt;&gt;"",F15 - (SUM(H15:S15)),"")</f>
        <v/>
      </c>
      <c r="Y15" s="78">
        <v>2130482306</v>
      </c>
      <c r="Z15" s="78">
        <v>6974506843</v>
      </c>
      <c r="AA15" s="78">
        <v>6909578876</v>
      </c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  <c r="CU15" s="43"/>
      <c r="CV15" s="43"/>
      <c r="CW15" s="43"/>
      <c r="CX15" s="43"/>
      <c r="CY15" s="43"/>
      <c r="CZ15" s="43"/>
      <c r="DA15" s="43"/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43"/>
      <c r="DS15" s="43"/>
      <c r="DT15" s="43"/>
      <c r="DU15" s="43"/>
      <c r="DV15" s="43"/>
      <c r="DW15" s="43"/>
      <c r="DX15" s="43"/>
      <c r="DY15" s="43"/>
      <c r="DZ15" s="43"/>
      <c r="EA15" s="43"/>
      <c r="EB15" s="43"/>
      <c r="EC15" s="43"/>
      <c r="ED15" s="43"/>
      <c r="EE15" s="43"/>
      <c r="EF15" s="43"/>
      <c r="EG15" s="43"/>
      <c r="EH15" s="43"/>
      <c r="EI15" s="43"/>
      <c r="EJ15" s="43"/>
      <c r="EK15" s="43"/>
      <c r="EL15" s="43"/>
      <c r="EM15" s="43"/>
      <c r="EN15" s="43"/>
      <c r="EO15" s="43"/>
      <c r="EP15" s="43"/>
      <c r="EQ15" s="43"/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43"/>
      <c r="FI15" s="43"/>
      <c r="FJ15" s="43"/>
      <c r="FK15" s="43"/>
      <c r="FL15" s="43"/>
      <c r="FM15" s="43"/>
      <c r="FN15" s="43"/>
      <c r="FO15" s="43"/>
      <c r="FP15" s="43"/>
      <c r="FQ15" s="43"/>
      <c r="FR15" s="43"/>
      <c r="FS15" s="43"/>
      <c r="FT15" s="43"/>
      <c r="FU15" s="43"/>
      <c r="FV15" s="43"/>
      <c r="FW15" s="43"/>
      <c r="FX15" s="43"/>
      <c r="FY15" s="43"/>
      <c r="FZ15" s="43"/>
      <c r="GA15" s="43"/>
      <c r="GB15" s="43"/>
      <c r="GC15" s="43"/>
      <c r="GD15" s="43"/>
      <c r="GE15" s="43"/>
      <c r="GF15" s="43"/>
      <c r="GG15" s="43"/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43"/>
      <c r="GY15" s="43"/>
      <c r="GZ15" s="43"/>
      <c r="HA15" s="43"/>
      <c r="HB15" s="43"/>
      <c r="HC15" s="43"/>
      <c r="HD15" s="43"/>
      <c r="HE15" s="43"/>
      <c r="HF15" s="43"/>
      <c r="HG15" s="43"/>
      <c r="HH15" s="43"/>
      <c r="HI15" s="43"/>
      <c r="HJ15" s="43"/>
      <c r="HK15" s="43"/>
      <c r="HL15" s="43"/>
      <c r="HM15" s="43"/>
      <c r="HN15" s="43"/>
      <c r="HO15" s="43"/>
      <c r="HP15" s="43"/>
      <c r="HQ15" s="43"/>
      <c r="HR15" s="43"/>
      <c r="HS15" s="43"/>
      <c r="HT15" s="43"/>
      <c r="HU15" s="43"/>
      <c r="HV15" s="43"/>
      <c r="HW15" s="43"/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43"/>
      <c r="IO15" s="43"/>
      <c r="IP15" s="43"/>
      <c r="IQ15" s="43"/>
      <c r="IR15" s="43"/>
      <c r="IS15" s="43"/>
      <c r="IT15" s="43"/>
      <c r="IU15" s="43"/>
      <c r="IV15" s="43"/>
      <c r="IW15" s="43"/>
      <c r="IX15" s="43"/>
      <c r="IY15" s="43"/>
      <c r="IZ15" s="43"/>
      <c r="JA15" s="43"/>
      <c r="JB15" s="43"/>
      <c r="JC15" s="43"/>
      <c r="JD15" s="43"/>
      <c r="JE15" s="43"/>
      <c r="JF15" s="43"/>
      <c r="JG15" s="43"/>
      <c r="JH15" s="43"/>
      <c r="JI15" s="43"/>
      <c r="JJ15" s="43"/>
      <c r="JK15" s="43"/>
      <c r="JL15" s="43"/>
      <c r="JM15" s="43"/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43"/>
      <c r="KE15" s="43"/>
      <c r="KF15" s="43"/>
      <c r="KG15" s="43"/>
      <c r="KH15" s="43"/>
      <c r="KI15" s="43"/>
      <c r="KJ15" s="43"/>
      <c r="KK15" s="43"/>
      <c r="KL15" s="43"/>
      <c r="KM15" s="43"/>
      <c r="KN15" s="43"/>
      <c r="KO15" s="43"/>
      <c r="KP15" s="43"/>
      <c r="KQ15" s="43"/>
      <c r="KR15" s="43"/>
      <c r="KS15" s="43"/>
      <c r="KT15" s="43"/>
      <c r="KU15" s="43"/>
      <c r="KV15" s="43"/>
      <c r="KW15" s="43"/>
      <c r="KX15" s="43"/>
      <c r="KY15" s="43"/>
      <c r="KZ15" s="43"/>
      <c r="LA15" s="43"/>
      <c r="LB15" s="43"/>
      <c r="LC15" s="43"/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43"/>
      <c r="LU15" s="43"/>
      <c r="LV15" s="43"/>
      <c r="LW15" s="43"/>
      <c r="LX15" s="43"/>
      <c r="LY15" s="43"/>
      <c r="LZ15" s="43"/>
      <c r="MA15" s="43"/>
      <c r="MB15" s="43"/>
      <c r="MC15" s="43"/>
      <c r="MD15" s="43"/>
      <c r="ME15" s="43"/>
      <c r="MF15" s="43"/>
      <c r="MG15" s="43"/>
      <c r="MH15" s="43"/>
      <c r="MI15" s="43"/>
      <c r="MJ15" s="43"/>
      <c r="MK15" s="43"/>
      <c r="ML15" s="43"/>
      <c r="MM15" s="43"/>
      <c r="MN15" s="43"/>
      <c r="MO15" s="43"/>
      <c r="MP15" s="43"/>
      <c r="MQ15" s="43"/>
      <c r="MR15" s="43"/>
      <c r="MS15" s="43"/>
      <c r="MT15" s="43"/>
      <c r="MU15" s="43"/>
      <c r="MV15" s="43"/>
      <c r="MW15" s="43"/>
      <c r="MX15" s="43"/>
      <c r="MY15" s="43"/>
      <c r="MZ15" s="43"/>
      <c r="NA15" s="43"/>
      <c r="NB15" s="43"/>
      <c r="NC15" s="43"/>
      <c r="ND15" s="43"/>
      <c r="NE15" s="43"/>
      <c r="NF15" s="43"/>
      <c r="NG15" s="43"/>
      <c r="NH15" s="43"/>
      <c r="NI15" s="43"/>
      <c r="NJ15" s="43"/>
      <c r="NK15" s="43"/>
      <c r="NL15" s="43"/>
      <c r="NM15" s="43"/>
      <c r="NN15" s="43"/>
      <c r="NO15" s="43"/>
      <c r="NP15" s="43"/>
      <c r="NQ15" s="43"/>
      <c r="NR15" s="43"/>
      <c r="NS15" s="43"/>
      <c r="NT15" s="43"/>
      <c r="NU15" s="43"/>
      <c r="NV15" s="43"/>
      <c r="NW15" s="43"/>
      <c r="NX15" s="43"/>
      <c r="NY15" s="43"/>
      <c r="NZ15" s="43"/>
      <c r="OA15" s="43"/>
      <c r="OB15" s="43"/>
      <c r="OC15" s="43"/>
      <c r="OD15" s="43"/>
      <c r="OE15" s="43"/>
      <c r="OF15" s="43"/>
      <c r="OG15" s="43"/>
      <c r="OH15" s="43"/>
      <c r="OI15" s="43"/>
      <c r="OJ15" s="43"/>
      <c r="OK15" s="43"/>
      <c r="OL15" s="43"/>
      <c r="OM15" s="43"/>
      <c r="ON15" s="43"/>
      <c r="OO15" s="43"/>
      <c r="OP15" s="43"/>
      <c r="OQ15" s="43"/>
      <c r="OR15" s="43"/>
      <c r="OS15" s="43"/>
      <c r="OT15" s="43"/>
      <c r="OU15" s="43"/>
      <c r="OV15" s="43"/>
      <c r="OW15" s="43"/>
      <c r="OX15" s="43"/>
      <c r="OY15" s="43"/>
      <c r="OZ15" s="43"/>
      <c r="PA15" s="43"/>
      <c r="PB15" s="43"/>
      <c r="PC15" s="43"/>
      <c r="PD15" s="43"/>
      <c r="PE15" s="43"/>
      <c r="PF15" s="43"/>
      <c r="PG15" s="43"/>
      <c r="PH15" s="43"/>
      <c r="PI15" s="43"/>
      <c r="PJ15" s="43"/>
      <c r="PK15" s="43"/>
      <c r="PL15" s="43"/>
      <c r="PM15" s="43"/>
      <c r="PN15" s="43"/>
      <c r="PO15" s="43"/>
      <c r="PP15" s="43"/>
      <c r="PQ15" s="43"/>
      <c r="PR15" s="43"/>
      <c r="PS15" s="43"/>
      <c r="PT15" s="43"/>
      <c r="PU15" s="43"/>
      <c r="PV15" s="43"/>
      <c r="PW15" s="43"/>
      <c r="PX15" s="43"/>
      <c r="PY15" s="43"/>
      <c r="PZ15" s="43"/>
      <c r="QA15" s="43"/>
      <c r="QB15" s="43"/>
      <c r="QC15" s="43"/>
    </row>
    <row r="16" spans="1:445" x14ac:dyDescent="0.3">
      <c r="A16" s="85" t="s">
        <v>127</v>
      </c>
      <c r="B16" s="84"/>
      <c r="C16" s="84" t="s">
        <v>119</v>
      </c>
      <c r="D16" s="84" t="s">
        <v>132</v>
      </c>
      <c r="E16" s="84"/>
      <c r="F16" s="84">
        <v>1170</v>
      </c>
      <c r="G16" s="88"/>
      <c r="H16" s="84">
        <v>65</v>
      </c>
      <c r="I16" s="84">
        <v>130</v>
      </c>
      <c r="J16" s="84">
        <v>130</v>
      </c>
      <c r="K16" s="84">
        <v>130</v>
      </c>
      <c r="L16" s="84">
        <v>130</v>
      </c>
      <c r="M16" s="84"/>
      <c r="N16" s="84"/>
      <c r="O16" s="84"/>
      <c r="P16" s="84"/>
      <c r="Q16" s="84"/>
      <c r="R16" s="84"/>
      <c r="S16" s="84"/>
      <c r="T16" s="46">
        <f>IF(AND(ISBLANK(E16),ISBLANK(F16),ISBLANK(H16),ISBLANK(#REF!),ISBLANK(I16),ISBLANK(J16),ISBLANK(K16), ISBLANK(L16), ISBLANK(M16), ISBLANK(N16), ISBLANK(O16), ISBLANK(P16), ISBLANK(Q16), ISBLANK(R16), ISBLANK(S16)),"",SUM(H16:S16))</f>
        <v>585</v>
      </c>
      <c r="U16" s="46">
        <f>IF(W16&lt;&gt;0,0,IF(AND(ISBLANK(F16),ISBLANK(H16),ISBLANK(#REF!),ISBLANK(I16),ISBLANK(J16),ISBLANK(K16), ISBLANK(L16), ISBLANK(M16), ISBLANK(N16), ISBLANK(O16), ISBLANK(P16), ISBLANK(Q16), ISBLANK(R16), ISBLANK(S16)),"", F16-T16))</f>
        <v>585</v>
      </c>
      <c r="V16" s="72">
        <f>IF(AND(ISBLANK(E16),ISBLANK(F16), ISBLANK(H16), ISBLANK(#REF!), ISBLANK(I16), ISBLANK(J16), ISBLANK(K16), ISBLANK(L16), ISBLANK(M16),ISBLANK(N16), ISBLANK(O16), ISBLANK(P16), ISBLANK(Q16), ISBLANK(R16), ISBLANK(S16)), "",IFERROR(((F16+E16)-U16)/F16,""))</f>
        <v>0.5</v>
      </c>
      <c r="X16" s="73" t="str">
        <f t="shared" si="1"/>
        <v/>
      </c>
      <c r="Y16" s="79"/>
      <c r="Z16" s="78">
        <v>6947652630</v>
      </c>
      <c r="AA16" s="79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  <c r="CW16" s="43"/>
      <c r="CX16" s="43"/>
      <c r="CY16" s="43"/>
      <c r="CZ16" s="43"/>
      <c r="DA16" s="43"/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43"/>
      <c r="DS16" s="43"/>
      <c r="DT16" s="43"/>
      <c r="DU16" s="43"/>
      <c r="DV16" s="43"/>
      <c r="DW16" s="43"/>
      <c r="DX16" s="43"/>
      <c r="DY16" s="43"/>
      <c r="DZ16" s="43"/>
      <c r="EA16" s="43"/>
      <c r="EB16" s="43"/>
      <c r="EC16" s="43"/>
      <c r="ED16" s="43"/>
      <c r="EE16" s="43"/>
      <c r="EF16" s="43"/>
      <c r="EG16" s="43"/>
      <c r="EH16" s="43"/>
      <c r="EI16" s="43"/>
      <c r="EJ16" s="43"/>
      <c r="EK16" s="43"/>
      <c r="EL16" s="43"/>
      <c r="EM16" s="43"/>
      <c r="EN16" s="43"/>
      <c r="EO16" s="43"/>
      <c r="EP16" s="43"/>
      <c r="EQ16" s="43"/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43"/>
      <c r="FI16" s="43"/>
      <c r="FJ16" s="43"/>
      <c r="FK16" s="43"/>
      <c r="FL16" s="43"/>
      <c r="FM16" s="43"/>
      <c r="FN16" s="43"/>
      <c r="FO16" s="43"/>
      <c r="FP16" s="43"/>
      <c r="FQ16" s="43"/>
      <c r="FR16" s="43"/>
      <c r="FS16" s="43"/>
      <c r="FT16" s="43"/>
      <c r="FU16" s="43"/>
      <c r="FV16" s="43"/>
      <c r="FW16" s="43"/>
      <c r="FX16" s="43"/>
      <c r="FY16" s="43"/>
      <c r="FZ16" s="43"/>
      <c r="GA16" s="43"/>
      <c r="GB16" s="43"/>
      <c r="GC16" s="43"/>
      <c r="GD16" s="43"/>
      <c r="GE16" s="43"/>
      <c r="GF16" s="43"/>
      <c r="GG16" s="43"/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43"/>
      <c r="GY16" s="43"/>
      <c r="GZ16" s="43"/>
      <c r="HA16" s="43"/>
      <c r="HB16" s="43"/>
      <c r="HC16" s="43"/>
      <c r="HD16" s="43"/>
      <c r="HE16" s="43"/>
      <c r="HF16" s="43"/>
      <c r="HG16" s="43"/>
      <c r="HH16" s="43"/>
      <c r="HI16" s="43"/>
      <c r="HJ16" s="43"/>
      <c r="HK16" s="43"/>
      <c r="HL16" s="43"/>
      <c r="HM16" s="43"/>
      <c r="HN16" s="43"/>
      <c r="HO16" s="43"/>
      <c r="HP16" s="43"/>
      <c r="HQ16" s="43"/>
      <c r="HR16" s="43"/>
      <c r="HS16" s="43"/>
      <c r="HT16" s="43"/>
      <c r="HU16" s="43"/>
      <c r="HV16" s="43"/>
      <c r="HW16" s="43"/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43"/>
      <c r="IO16" s="43"/>
      <c r="IP16" s="43"/>
      <c r="IQ16" s="43"/>
      <c r="IR16" s="43"/>
      <c r="IS16" s="43"/>
      <c r="IT16" s="43"/>
      <c r="IU16" s="43"/>
      <c r="IV16" s="43"/>
      <c r="IW16" s="43"/>
      <c r="IX16" s="43"/>
      <c r="IY16" s="43"/>
      <c r="IZ16" s="43"/>
      <c r="JA16" s="43"/>
      <c r="JB16" s="43"/>
      <c r="JC16" s="43"/>
      <c r="JD16" s="43"/>
      <c r="JE16" s="43"/>
      <c r="JF16" s="43"/>
      <c r="JG16" s="43"/>
      <c r="JH16" s="43"/>
      <c r="JI16" s="43"/>
      <c r="JJ16" s="43"/>
      <c r="JK16" s="43"/>
      <c r="JL16" s="43"/>
      <c r="JM16" s="43"/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43"/>
      <c r="KE16" s="43"/>
      <c r="KF16" s="43"/>
      <c r="KG16" s="43"/>
      <c r="KH16" s="43"/>
      <c r="KI16" s="43"/>
      <c r="KJ16" s="43"/>
      <c r="KK16" s="43"/>
      <c r="KL16" s="43"/>
      <c r="KM16" s="43"/>
      <c r="KN16" s="43"/>
      <c r="KO16" s="43"/>
      <c r="KP16" s="43"/>
      <c r="KQ16" s="43"/>
      <c r="KR16" s="43"/>
      <c r="KS16" s="43"/>
      <c r="KT16" s="43"/>
      <c r="KU16" s="43"/>
      <c r="KV16" s="43"/>
      <c r="KW16" s="43"/>
      <c r="KX16" s="43"/>
      <c r="KY16" s="43"/>
      <c r="KZ16" s="43"/>
      <c r="LA16" s="43"/>
      <c r="LB16" s="43"/>
      <c r="LC16" s="43"/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43"/>
      <c r="LU16" s="43"/>
      <c r="LV16" s="43"/>
      <c r="LW16" s="43"/>
      <c r="LX16" s="43"/>
      <c r="LY16" s="43"/>
      <c r="LZ16" s="43"/>
      <c r="MA16" s="43"/>
      <c r="MB16" s="43"/>
      <c r="MC16" s="43"/>
      <c r="MD16" s="43"/>
      <c r="ME16" s="43"/>
      <c r="MF16" s="43"/>
      <c r="MG16" s="43"/>
      <c r="MH16" s="43"/>
      <c r="MI16" s="43"/>
      <c r="MJ16" s="43"/>
      <c r="MK16" s="43"/>
      <c r="ML16" s="43"/>
      <c r="MM16" s="43"/>
      <c r="MN16" s="43"/>
      <c r="MO16" s="43"/>
      <c r="MP16" s="43"/>
      <c r="MQ16" s="43"/>
      <c r="MR16" s="43"/>
      <c r="MS16" s="43"/>
      <c r="MT16" s="43"/>
      <c r="MU16" s="43"/>
      <c r="MV16" s="43"/>
      <c r="MW16" s="43"/>
      <c r="MX16" s="43"/>
      <c r="MY16" s="43"/>
      <c r="MZ16" s="43"/>
      <c r="NA16" s="43"/>
      <c r="NB16" s="43"/>
      <c r="NC16" s="43"/>
      <c r="ND16" s="43"/>
      <c r="NE16" s="43"/>
      <c r="NF16" s="43"/>
      <c r="NG16" s="43"/>
      <c r="NH16" s="43"/>
      <c r="NI16" s="43"/>
      <c r="NJ16" s="43"/>
      <c r="NK16" s="43"/>
      <c r="NL16" s="43"/>
      <c r="NM16" s="43"/>
      <c r="NN16" s="43"/>
      <c r="NO16" s="43"/>
      <c r="NP16" s="43"/>
      <c r="NQ16" s="43"/>
      <c r="NR16" s="43"/>
      <c r="NS16" s="43"/>
      <c r="NT16" s="43"/>
      <c r="NU16" s="43"/>
      <c r="NV16" s="43"/>
      <c r="NW16" s="43"/>
      <c r="NX16" s="43"/>
      <c r="NY16" s="43"/>
      <c r="NZ16" s="43"/>
      <c r="OA16" s="43"/>
      <c r="OB16" s="43"/>
      <c r="OC16" s="43"/>
      <c r="OD16" s="43"/>
      <c r="OE16" s="43"/>
      <c r="OF16" s="43"/>
      <c r="OG16" s="43"/>
      <c r="OH16" s="43"/>
      <c r="OI16" s="43"/>
      <c r="OJ16" s="43"/>
      <c r="OK16" s="43"/>
      <c r="OL16" s="43"/>
      <c r="OM16" s="43"/>
      <c r="ON16" s="43"/>
      <c r="OO16" s="43"/>
      <c r="OP16" s="43"/>
      <c r="OQ16" s="43"/>
      <c r="OR16" s="43"/>
      <c r="OS16" s="43"/>
      <c r="OT16" s="43"/>
      <c r="OU16" s="43"/>
      <c r="OV16" s="43"/>
      <c r="OW16" s="43"/>
      <c r="OX16" s="43"/>
      <c r="OY16" s="43"/>
      <c r="OZ16" s="43"/>
      <c r="PA16" s="43"/>
      <c r="PB16" s="43"/>
      <c r="PC16" s="43"/>
      <c r="PD16" s="43"/>
      <c r="PE16" s="43"/>
      <c r="PF16" s="43"/>
      <c r="PG16" s="43"/>
      <c r="PH16" s="43"/>
      <c r="PI16" s="43"/>
      <c r="PJ16" s="43"/>
      <c r="PK16" s="43"/>
      <c r="PL16" s="43"/>
      <c r="PM16" s="43"/>
      <c r="PN16" s="43"/>
      <c r="PO16" s="43"/>
      <c r="PP16" s="43"/>
      <c r="PQ16" s="43"/>
      <c r="PR16" s="43"/>
      <c r="PS16" s="43"/>
      <c r="PT16" s="43"/>
      <c r="PU16" s="43"/>
      <c r="PV16" s="43"/>
      <c r="PW16" s="43"/>
      <c r="PX16" s="43"/>
      <c r="PY16" s="43"/>
      <c r="PZ16" s="43"/>
      <c r="QA16" s="43"/>
      <c r="QB16" s="43"/>
      <c r="QC16" s="43"/>
    </row>
    <row r="17" spans="1:445" x14ac:dyDescent="0.3">
      <c r="A17" s="85" t="s">
        <v>128</v>
      </c>
      <c r="B17" s="84"/>
      <c r="C17" s="84" t="s">
        <v>104</v>
      </c>
      <c r="D17" s="84" t="s">
        <v>132</v>
      </c>
      <c r="E17" s="84"/>
      <c r="F17" s="84">
        <v>1035</v>
      </c>
      <c r="G17" s="88"/>
      <c r="H17" s="84">
        <v>57.5</v>
      </c>
      <c r="I17" s="84">
        <v>115</v>
      </c>
      <c r="J17" s="84">
        <v>115</v>
      </c>
      <c r="K17" s="84">
        <v>115</v>
      </c>
      <c r="L17" s="84">
        <v>115</v>
      </c>
      <c r="M17" s="84"/>
      <c r="N17" s="84"/>
      <c r="O17" s="84"/>
      <c r="P17" s="84"/>
      <c r="Q17" s="84"/>
      <c r="R17" s="84"/>
      <c r="S17" s="84"/>
      <c r="T17" s="46">
        <f>IF(AND(ISBLANK(E17),ISBLANK(F17),ISBLANK(H17),ISBLANK(#REF!),ISBLANK(I17),ISBLANK(J17),ISBLANK(K17), ISBLANK(L17), ISBLANK(M17), ISBLANK(N17), ISBLANK(O17), ISBLANK(P17), ISBLANK(Q17), ISBLANK(R17), ISBLANK(S17)),"",SUM(H17:S17))</f>
        <v>517.5</v>
      </c>
      <c r="U17" s="46">
        <f>IF(W17&lt;&gt;0,0,IF(AND(ISBLANK(F17),ISBLANK(H17),ISBLANK(#REF!),ISBLANK(I17),ISBLANK(J17),ISBLANK(K17), ISBLANK(L17), ISBLANK(M17), ISBLANK(N17), ISBLANK(O17), ISBLANK(P17), ISBLANK(Q17), ISBLANK(R17), ISBLANK(S17)),"", F17-T17))</f>
        <v>517.5</v>
      </c>
      <c r="V17" s="72">
        <f>IF(AND(ISBLANK(E17),ISBLANK(F17), ISBLANK(H17), ISBLANK(#REF!), ISBLANK(I17), ISBLANK(J17), ISBLANK(K17), ISBLANK(L17), ISBLANK(M17),ISBLANK(N17), ISBLANK(O17), ISBLANK(P17), ISBLANK(Q17), ISBLANK(R17), ISBLANK(S17)), "",IFERROR(((F17+E17)-U17)/F17,""))</f>
        <v>0.5</v>
      </c>
      <c r="X17" s="73" t="str">
        <f t="shared" si="1"/>
        <v/>
      </c>
      <c r="Y17" s="79"/>
      <c r="Z17" s="78">
        <v>6976111444</v>
      </c>
      <c r="AA17" s="79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3"/>
      <c r="EM17" s="43"/>
      <c r="EN17" s="43"/>
      <c r="EO17" s="43"/>
      <c r="EP17" s="43"/>
      <c r="EQ17" s="43"/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43"/>
      <c r="FI17" s="43"/>
      <c r="FJ17" s="43"/>
      <c r="FK17" s="43"/>
      <c r="FL17" s="43"/>
      <c r="FM17" s="43"/>
      <c r="FN17" s="43"/>
      <c r="FO17" s="43"/>
      <c r="FP17" s="43"/>
      <c r="FQ17" s="43"/>
      <c r="FR17" s="43"/>
      <c r="FS17" s="43"/>
      <c r="FT17" s="43"/>
      <c r="FU17" s="43"/>
      <c r="FV17" s="43"/>
      <c r="FW17" s="43"/>
      <c r="FX17" s="43"/>
      <c r="FY17" s="43"/>
      <c r="FZ17" s="43"/>
      <c r="GA17" s="43"/>
      <c r="GB17" s="43"/>
      <c r="GC17" s="43"/>
      <c r="GD17" s="43"/>
      <c r="GE17" s="43"/>
      <c r="GF17" s="43"/>
      <c r="GG17" s="43"/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43"/>
      <c r="GY17" s="43"/>
      <c r="GZ17" s="43"/>
      <c r="HA17" s="43"/>
      <c r="HB17" s="43"/>
      <c r="HC17" s="43"/>
      <c r="HD17" s="43"/>
      <c r="HE17" s="43"/>
      <c r="HF17" s="43"/>
      <c r="HG17" s="43"/>
      <c r="HH17" s="43"/>
      <c r="HI17" s="43"/>
      <c r="HJ17" s="43"/>
      <c r="HK17" s="43"/>
      <c r="HL17" s="43"/>
      <c r="HM17" s="43"/>
      <c r="HN17" s="43"/>
      <c r="HO17" s="43"/>
      <c r="HP17" s="43"/>
      <c r="HQ17" s="43"/>
      <c r="HR17" s="43"/>
      <c r="HS17" s="43"/>
      <c r="HT17" s="43"/>
      <c r="HU17" s="43"/>
      <c r="HV17" s="43"/>
      <c r="HW17" s="43"/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43"/>
      <c r="IO17" s="43"/>
      <c r="IP17" s="43"/>
      <c r="IQ17" s="43"/>
      <c r="IR17" s="43"/>
      <c r="IS17" s="43"/>
      <c r="IT17" s="43"/>
      <c r="IU17" s="43"/>
      <c r="IV17" s="43"/>
      <c r="IW17" s="43"/>
      <c r="IX17" s="43"/>
      <c r="IY17" s="43"/>
      <c r="IZ17" s="43"/>
      <c r="JA17" s="43"/>
      <c r="JB17" s="43"/>
      <c r="JC17" s="43"/>
      <c r="JD17" s="43"/>
      <c r="JE17" s="43"/>
      <c r="JF17" s="43"/>
      <c r="JG17" s="43"/>
      <c r="JH17" s="43"/>
      <c r="JI17" s="43"/>
      <c r="JJ17" s="43"/>
      <c r="JK17" s="43"/>
      <c r="JL17" s="43"/>
      <c r="JM17" s="43"/>
      <c r="JN17" s="43"/>
      <c r="JO17" s="43"/>
      <c r="JP17" s="43"/>
      <c r="JQ17" s="43"/>
      <c r="JR17" s="43"/>
      <c r="JS17" s="43"/>
      <c r="JT17" s="43"/>
      <c r="JU17" s="43"/>
      <c r="JV17" s="43"/>
      <c r="JW17" s="43"/>
      <c r="JX17" s="43"/>
      <c r="JY17" s="43"/>
      <c r="JZ17" s="43"/>
      <c r="KA17" s="43"/>
      <c r="KB17" s="43"/>
      <c r="KC17" s="43"/>
      <c r="KD17" s="43"/>
      <c r="KE17" s="43"/>
      <c r="KF17" s="43"/>
      <c r="KG17" s="43"/>
      <c r="KH17" s="43"/>
      <c r="KI17" s="43"/>
      <c r="KJ17" s="43"/>
      <c r="KK17" s="43"/>
      <c r="KL17" s="43"/>
      <c r="KM17" s="43"/>
      <c r="KN17" s="43"/>
      <c r="KO17" s="43"/>
      <c r="KP17" s="43"/>
      <c r="KQ17" s="43"/>
      <c r="KR17" s="43"/>
      <c r="KS17" s="43"/>
      <c r="KT17" s="43"/>
      <c r="KU17" s="43"/>
      <c r="KV17" s="43"/>
      <c r="KW17" s="43"/>
      <c r="KX17" s="43"/>
      <c r="KY17" s="43"/>
      <c r="KZ17" s="43"/>
      <c r="LA17" s="43"/>
      <c r="LB17" s="43"/>
      <c r="LC17" s="43"/>
      <c r="LD17" s="43"/>
      <c r="LE17" s="43"/>
      <c r="LF17" s="43"/>
      <c r="LG17" s="43"/>
      <c r="LH17" s="43"/>
      <c r="LI17" s="43"/>
      <c r="LJ17" s="43"/>
      <c r="LK17" s="43"/>
      <c r="LL17" s="43"/>
      <c r="LM17" s="43"/>
      <c r="LN17" s="43"/>
      <c r="LO17" s="43"/>
      <c r="LP17" s="43"/>
      <c r="LQ17" s="43"/>
      <c r="LR17" s="43"/>
      <c r="LS17" s="43"/>
      <c r="LT17" s="43"/>
      <c r="LU17" s="43"/>
      <c r="LV17" s="43"/>
      <c r="LW17" s="43"/>
      <c r="LX17" s="43"/>
      <c r="LY17" s="43"/>
      <c r="LZ17" s="43"/>
      <c r="MA17" s="43"/>
      <c r="MB17" s="43"/>
      <c r="MC17" s="43"/>
      <c r="MD17" s="43"/>
      <c r="ME17" s="43"/>
      <c r="MF17" s="43"/>
      <c r="MG17" s="43"/>
      <c r="MH17" s="43"/>
      <c r="MI17" s="43"/>
      <c r="MJ17" s="43"/>
      <c r="MK17" s="43"/>
      <c r="ML17" s="43"/>
      <c r="MM17" s="43"/>
      <c r="MN17" s="43"/>
      <c r="MO17" s="43"/>
      <c r="MP17" s="43"/>
      <c r="MQ17" s="43"/>
      <c r="MR17" s="43"/>
      <c r="MS17" s="43"/>
      <c r="MT17" s="43"/>
      <c r="MU17" s="43"/>
      <c r="MV17" s="43"/>
      <c r="MW17" s="43"/>
      <c r="MX17" s="43"/>
      <c r="MY17" s="43"/>
      <c r="MZ17" s="43"/>
      <c r="NA17" s="43"/>
      <c r="NB17" s="43"/>
      <c r="NC17" s="43"/>
      <c r="ND17" s="43"/>
      <c r="NE17" s="43"/>
      <c r="NF17" s="43"/>
      <c r="NG17" s="43"/>
      <c r="NH17" s="43"/>
      <c r="NI17" s="43"/>
      <c r="NJ17" s="43"/>
      <c r="NK17" s="43"/>
      <c r="NL17" s="43"/>
      <c r="NM17" s="43"/>
      <c r="NN17" s="43"/>
      <c r="NO17" s="43"/>
      <c r="NP17" s="43"/>
      <c r="NQ17" s="43"/>
      <c r="NR17" s="43"/>
      <c r="NS17" s="43"/>
      <c r="NT17" s="43"/>
      <c r="NU17" s="43"/>
      <c r="NV17" s="43"/>
      <c r="NW17" s="43"/>
      <c r="NX17" s="43"/>
      <c r="NY17" s="43"/>
      <c r="NZ17" s="43"/>
      <c r="OA17" s="43"/>
      <c r="OB17" s="43"/>
      <c r="OC17" s="43"/>
      <c r="OD17" s="43"/>
      <c r="OE17" s="43"/>
      <c r="OF17" s="43"/>
      <c r="OG17" s="43"/>
      <c r="OH17" s="43"/>
      <c r="OI17" s="43"/>
      <c r="OJ17" s="43"/>
      <c r="OK17" s="43"/>
      <c r="OL17" s="43"/>
      <c r="OM17" s="43"/>
      <c r="ON17" s="43"/>
      <c r="OO17" s="43"/>
      <c r="OP17" s="43"/>
      <c r="OQ17" s="43"/>
      <c r="OR17" s="43"/>
      <c r="OS17" s="43"/>
      <c r="OT17" s="43"/>
      <c r="OU17" s="43"/>
      <c r="OV17" s="43"/>
      <c r="OW17" s="43"/>
      <c r="OX17" s="43"/>
      <c r="OY17" s="43"/>
      <c r="OZ17" s="43"/>
      <c r="PA17" s="43"/>
      <c r="PB17" s="43"/>
      <c r="PC17" s="43"/>
      <c r="PD17" s="43"/>
      <c r="PE17" s="43"/>
      <c r="PF17" s="43"/>
      <c r="PG17" s="43"/>
      <c r="PH17" s="43"/>
      <c r="PI17" s="43"/>
      <c r="PJ17" s="43"/>
      <c r="PK17" s="43"/>
      <c r="PL17" s="43"/>
      <c r="PM17" s="43"/>
      <c r="PN17" s="43"/>
      <c r="PO17" s="43"/>
      <c r="PP17" s="43"/>
      <c r="PQ17" s="43"/>
      <c r="PR17" s="43"/>
      <c r="PS17" s="43"/>
      <c r="PT17" s="43"/>
      <c r="PU17" s="43"/>
      <c r="PV17" s="43"/>
      <c r="PW17" s="43"/>
      <c r="PX17" s="43"/>
      <c r="PY17" s="43"/>
      <c r="PZ17" s="43"/>
      <c r="QA17" s="43"/>
      <c r="QB17" s="43"/>
      <c r="QC17" s="43"/>
    </row>
    <row r="18" spans="1:445" x14ac:dyDescent="0.3">
      <c r="A18" s="85" t="s">
        <v>143</v>
      </c>
      <c r="B18" s="84" t="s">
        <v>73</v>
      </c>
      <c r="C18" s="84" t="s">
        <v>108</v>
      </c>
      <c r="D18" s="84" t="s">
        <v>140</v>
      </c>
      <c r="E18" s="84">
        <v>40</v>
      </c>
      <c r="F18" s="84">
        <v>1350</v>
      </c>
      <c r="G18" s="87"/>
      <c r="H18" s="84">
        <v>75</v>
      </c>
      <c r="I18" s="84">
        <v>150</v>
      </c>
      <c r="J18" s="84">
        <v>150</v>
      </c>
      <c r="K18" s="84">
        <v>150</v>
      </c>
      <c r="L18" s="84">
        <v>150</v>
      </c>
      <c r="M18" s="84"/>
      <c r="N18" s="84"/>
      <c r="O18" s="84"/>
      <c r="P18" s="84"/>
      <c r="Q18" s="84"/>
      <c r="R18" s="84"/>
      <c r="S18" s="84"/>
      <c r="T18" s="46">
        <f>IF(AND(ISBLANK(E18),ISBLANK(F18),ISBLANK(H18),ISBLANK(#REF!),ISBLANK(I18),ISBLANK(J18),ISBLANK(K18), ISBLANK(L18), ISBLANK(M18), ISBLANK(N18), ISBLANK(O18), ISBLANK(P18), ISBLANK(Q18), ISBLANK(R18), ISBLANK(S18)),"",SUM(H18:S18))</f>
        <v>675</v>
      </c>
      <c r="U18" s="46">
        <f>IF(W18&lt;&gt;0,0,IF(AND(ISBLANK(F18),ISBLANK(H18),ISBLANK(#REF!),ISBLANK(I18),ISBLANK(J18),ISBLANK(K18), ISBLANK(L18), ISBLANK(M18), ISBLANK(N18), ISBLANK(O18), ISBLANK(P18), ISBLANK(Q18), ISBLANK(R18), ISBLANK(S18)),"", F18-T18))</f>
        <v>675</v>
      </c>
      <c r="V18" s="72">
        <f>IF(AND(ISBLANK(E18),ISBLANK(F18), ISBLANK(H18), ISBLANK(#REF!), ISBLANK(I18), ISBLANK(J18), ISBLANK(K18), ISBLANK(L18), ISBLANK(M18),ISBLANK(N18), ISBLANK(O18), ISBLANK(P18), ISBLANK(Q18), ISBLANK(R18), ISBLANK(S18)), "",IFERROR(((F18+E18)-U18)/F18,""))</f>
        <v>0.52962962962962967</v>
      </c>
      <c r="W18" s="48"/>
      <c r="X18" s="73" t="str">
        <f t="shared" si="1"/>
        <v/>
      </c>
      <c r="Y18" s="79"/>
      <c r="Z18" s="79" t="s">
        <v>147</v>
      </c>
      <c r="AA18" s="79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  <c r="CW18" s="43"/>
      <c r="CX18" s="43"/>
      <c r="CY18" s="43"/>
      <c r="CZ18" s="43"/>
      <c r="DA18" s="43"/>
      <c r="DB18" s="43"/>
      <c r="DC18" s="43"/>
      <c r="DD18" s="43"/>
      <c r="DE18" s="43"/>
      <c r="DF18" s="43"/>
      <c r="DG18" s="43"/>
      <c r="DH18" s="43"/>
      <c r="DI18" s="43"/>
      <c r="DJ18" s="43"/>
      <c r="DK18" s="43"/>
      <c r="DL18" s="43"/>
      <c r="DM18" s="43"/>
      <c r="DN18" s="43"/>
      <c r="DO18" s="43"/>
      <c r="DP18" s="43"/>
      <c r="DQ18" s="43"/>
      <c r="DR18" s="43"/>
      <c r="DS18" s="43"/>
      <c r="DT18" s="43"/>
      <c r="DU18" s="43"/>
      <c r="DV18" s="43"/>
      <c r="DW18" s="43"/>
      <c r="DX18" s="43"/>
      <c r="DY18" s="43"/>
      <c r="DZ18" s="43"/>
      <c r="EA18" s="43"/>
      <c r="EB18" s="43"/>
      <c r="EC18" s="43"/>
      <c r="ED18" s="43"/>
      <c r="EE18" s="43"/>
      <c r="EF18" s="43"/>
      <c r="EG18" s="43"/>
      <c r="EH18" s="43"/>
      <c r="EI18" s="43"/>
      <c r="EJ18" s="43"/>
      <c r="EK18" s="43"/>
      <c r="EL18" s="43"/>
      <c r="EM18" s="43"/>
      <c r="EN18" s="43"/>
      <c r="EO18" s="43"/>
      <c r="EP18" s="43"/>
      <c r="EQ18" s="43"/>
      <c r="ER18" s="43"/>
      <c r="ES18" s="43"/>
      <c r="ET18" s="43"/>
      <c r="EU18" s="43"/>
      <c r="EV18" s="43"/>
      <c r="EW18" s="43"/>
      <c r="EX18" s="43"/>
      <c r="EY18" s="43"/>
      <c r="EZ18" s="43"/>
      <c r="FA18" s="43"/>
      <c r="FB18" s="43"/>
      <c r="FC18" s="43"/>
      <c r="FD18" s="43"/>
      <c r="FE18" s="43"/>
      <c r="FF18" s="43"/>
      <c r="FG18" s="43"/>
      <c r="FH18" s="43"/>
      <c r="FI18" s="43"/>
      <c r="FJ18" s="43"/>
      <c r="FK18" s="43"/>
      <c r="FL18" s="43"/>
      <c r="FM18" s="43"/>
      <c r="FN18" s="43"/>
      <c r="FO18" s="43"/>
      <c r="FP18" s="43"/>
      <c r="FQ18" s="43"/>
      <c r="FR18" s="43"/>
      <c r="FS18" s="43"/>
      <c r="FT18" s="43"/>
      <c r="FU18" s="43"/>
      <c r="FV18" s="43"/>
      <c r="FW18" s="43"/>
      <c r="FX18" s="43"/>
      <c r="FY18" s="43"/>
      <c r="FZ18" s="43"/>
      <c r="GA18" s="43"/>
      <c r="GB18" s="43"/>
      <c r="GC18" s="43"/>
      <c r="GD18" s="43"/>
      <c r="GE18" s="43"/>
      <c r="GF18" s="43"/>
      <c r="GG18" s="43"/>
      <c r="GH18" s="43"/>
      <c r="GI18" s="43"/>
      <c r="GJ18" s="43"/>
      <c r="GK18" s="43"/>
      <c r="GL18" s="43"/>
      <c r="GM18" s="43"/>
      <c r="GN18" s="43"/>
      <c r="GO18" s="43"/>
      <c r="GP18" s="43"/>
      <c r="GQ18" s="43"/>
      <c r="GR18" s="43"/>
      <c r="GS18" s="43"/>
      <c r="GT18" s="43"/>
      <c r="GU18" s="43"/>
      <c r="GV18" s="43"/>
      <c r="GW18" s="43"/>
      <c r="GX18" s="43"/>
      <c r="GY18" s="43"/>
      <c r="GZ18" s="43"/>
      <c r="HA18" s="43"/>
      <c r="HB18" s="43"/>
      <c r="HC18" s="43"/>
      <c r="HD18" s="43"/>
      <c r="HE18" s="43"/>
      <c r="HF18" s="43"/>
      <c r="HG18" s="43"/>
      <c r="HH18" s="43"/>
      <c r="HI18" s="43"/>
      <c r="HJ18" s="43"/>
      <c r="HK18" s="43"/>
      <c r="HL18" s="43"/>
      <c r="HM18" s="43"/>
      <c r="HN18" s="43"/>
      <c r="HO18" s="43"/>
      <c r="HP18" s="43"/>
      <c r="HQ18" s="43"/>
      <c r="HR18" s="43"/>
      <c r="HS18" s="43"/>
      <c r="HT18" s="43"/>
      <c r="HU18" s="43"/>
      <c r="HV18" s="43"/>
      <c r="HW18" s="43"/>
      <c r="HX18" s="43"/>
      <c r="HY18" s="43"/>
      <c r="HZ18" s="43"/>
      <c r="IA18" s="43"/>
      <c r="IB18" s="43"/>
      <c r="IC18" s="43"/>
      <c r="ID18" s="43"/>
      <c r="IE18" s="43"/>
      <c r="IF18" s="43"/>
      <c r="IG18" s="43"/>
      <c r="IH18" s="43"/>
      <c r="II18" s="43"/>
      <c r="IJ18" s="43"/>
      <c r="IK18" s="43"/>
      <c r="IL18" s="43"/>
      <c r="IM18" s="43"/>
      <c r="IN18" s="43"/>
      <c r="IO18" s="43"/>
      <c r="IP18" s="43"/>
      <c r="IQ18" s="43"/>
      <c r="IR18" s="43"/>
      <c r="IS18" s="43"/>
      <c r="IT18" s="43"/>
      <c r="IU18" s="43"/>
      <c r="IV18" s="43"/>
      <c r="IW18" s="43"/>
      <c r="IX18" s="43"/>
      <c r="IY18" s="43"/>
      <c r="IZ18" s="43"/>
      <c r="JA18" s="43"/>
      <c r="JB18" s="43"/>
      <c r="JC18" s="43"/>
      <c r="JD18" s="43"/>
      <c r="JE18" s="43"/>
      <c r="JF18" s="43"/>
      <c r="JG18" s="43"/>
      <c r="JH18" s="43"/>
      <c r="JI18" s="43"/>
      <c r="JJ18" s="43"/>
      <c r="JK18" s="43"/>
      <c r="JL18" s="43"/>
      <c r="JM18" s="43"/>
      <c r="JN18" s="43"/>
      <c r="JO18" s="43"/>
      <c r="JP18" s="43"/>
      <c r="JQ18" s="43"/>
      <c r="JR18" s="43"/>
      <c r="JS18" s="43"/>
      <c r="JT18" s="43"/>
      <c r="JU18" s="43"/>
      <c r="JV18" s="43"/>
      <c r="JW18" s="43"/>
      <c r="JX18" s="43"/>
      <c r="JY18" s="43"/>
      <c r="JZ18" s="43"/>
      <c r="KA18" s="43"/>
      <c r="KB18" s="43"/>
      <c r="KC18" s="43"/>
      <c r="KD18" s="43"/>
      <c r="KE18" s="43"/>
      <c r="KF18" s="43"/>
      <c r="KG18" s="43"/>
      <c r="KH18" s="43"/>
      <c r="KI18" s="43"/>
      <c r="KJ18" s="43"/>
      <c r="KK18" s="43"/>
      <c r="KL18" s="43"/>
      <c r="KM18" s="43"/>
      <c r="KN18" s="43"/>
      <c r="KO18" s="43"/>
      <c r="KP18" s="43"/>
      <c r="KQ18" s="43"/>
      <c r="KR18" s="43"/>
      <c r="KS18" s="43"/>
      <c r="KT18" s="43"/>
      <c r="KU18" s="43"/>
      <c r="KV18" s="43"/>
      <c r="KW18" s="43"/>
      <c r="KX18" s="43"/>
      <c r="KY18" s="43"/>
      <c r="KZ18" s="43"/>
      <c r="LA18" s="43"/>
      <c r="LB18" s="43"/>
      <c r="LC18" s="43"/>
      <c r="LD18" s="43"/>
      <c r="LE18" s="43"/>
      <c r="LF18" s="43"/>
      <c r="LG18" s="43"/>
      <c r="LH18" s="43"/>
      <c r="LI18" s="43"/>
      <c r="LJ18" s="43"/>
      <c r="LK18" s="43"/>
      <c r="LL18" s="43"/>
      <c r="LM18" s="43"/>
      <c r="LN18" s="43"/>
      <c r="LO18" s="43"/>
      <c r="LP18" s="43"/>
      <c r="LQ18" s="43"/>
      <c r="LR18" s="43"/>
      <c r="LS18" s="43"/>
      <c r="LT18" s="43"/>
      <c r="LU18" s="43"/>
      <c r="LV18" s="43"/>
      <c r="LW18" s="43"/>
      <c r="LX18" s="43"/>
      <c r="LY18" s="43"/>
      <c r="LZ18" s="43"/>
      <c r="MA18" s="43"/>
      <c r="MB18" s="43"/>
      <c r="MC18" s="43"/>
      <c r="MD18" s="43"/>
      <c r="ME18" s="43"/>
      <c r="MF18" s="43"/>
      <c r="MG18" s="43"/>
      <c r="MH18" s="43"/>
      <c r="MI18" s="43"/>
      <c r="MJ18" s="43"/>
      <c r="MK18" s="43"/>
      <c r="ML18" s="43"/>
      <c r="MM18" s="43"/>
      <c r="MN18" s="43"/>
      <c r="MO18" s="43"/>
      <c r="MP18" s="43"/>
      <c r="MQ18" s="43"/>
      <c r="MR18" s="43"/>
      <c r="MS18" s="43"/>
      <c r="MT18" s="43"/>
      <c r="MU18" s="43"/>
      <c r="MV18" s="43"/>
      <c r="MW18" s="43"/>
      <c r="MX18" s="43"/>
      <c r="MY18" s="43"/>
      <c r="MZ18" s="43"/>
      <c r="NA18" s="43"/>
      <c r="NB18" s="43"/>
      <c r="NC18" s="43"/>
      <c r="ND18" s="43"/>
      <c r="NE18" s="43"/>
      <c r="NF18" s="43"/>
      <c r="NG18" s="43"/>
      <c r="NH18" s="43"/>
      <c r="NI18" s="43"/>
      <c r="NJ18" s="43"/>
      <c r="NK18" s="43"/>
      <c r="NL18" s="43"/>
      <c r="NM18" s="43"/>
      <c r="NN18" s="43"/>
      <c r="NO18" s="43"/>
      <c r="NP18" s="43"/>
      <c r="NQ18" s="43"/>
      <c r="NR18" s="43"/>
      <c r="NS18" s="43"/>
      <c r="NT18" s="43"/>
      <c r="NU18" s="43"/>
      <c r="NV18" s="43"/>
      <c r="NW18" s="43"/>
      <c r="NX18" s="43"/>
      <c r="NY18" s="43"/>
      <c r="NZ18" s="43"/>
      <c r="OA18" s="43"/>
      <c r="OB18" s="43"/>
      <c r="OC18" s="43"/>
      <c r="OD18" s="43"/>
      <c r="OE18" s="43"/>
      <c r="OF18" s="43"/>
      <c r="OG18" s="43"/>
      <c r="OH18" s="43"/>
      <c r="OI18" s="43"/>
      <c r="OJ18" s="43"/>
      <c r="OK18" s="43"/>
      <c r="OL18" s="43"/>
      <c r="OM18" s="43"/>
      <c r="ON18" s="43"/>
      <c r="OO18" s="43"/>
      <c r="OP18" s="43"/>
      <c r="OQ18" s="43"/>
      <c r="OR18" s="43"/>
      <c r="OS18" s="43"/>
      <c r="OT18" s="43"/>
      <c r="OU18" s="43"/>
      <c r="OV18" s="43"/>
      <c r="OW18" s="43"/>
      <c r="OX18" s="43"/>
      <c r="OY18" s="43"/>
      <c r="OZ18" s="43"/>
      <c r="PA18" s="43"/>
      <c r="PB18" s="43"/>
      <c r="PC18" s="43"/>
      <c r="PD18" s="43"/>
      <c r="PE18" s="43"/>
      <c r="PF18" s="43"/>
      <c r="PG18" s="43"/>
      <c r="PH18" s="43"/>
      <c r="PI18" s="43"/>
      <c r="PJ18" s="43"/>
      <c r="PK18" s="43"/>
      <c r="PL18" s="43"/>
      <c r="PM18" s="43"/>
      <c r="PN18" s="43"/>
      <c r="PO18" s="43"/>
      <c r="PP18" s="43"/>
      <c r="PQ18" s="43"/>
      <c r="PR18" s="43"/>
      <c r="PS18" s="43"/>
      <c r="PT18" s="43"/>
      <c r="PU18" s="43"/>
      <c r="PV18" s="43"/>
      <c r="PW18" s="43"/>
      <c r="PX18" s="43"/>
      <c r="PY18" s="43"/>
      <c r="PZ18" s="43"/>
      <c r="QA18" s="43"/>
      <c r="QB18" s="43"/>
      <c r="QC18" s="43"/>
    </row>
    <row r="19" spans="1:445" x14ac:dyDescent="0.3">
      <c r="A19" s="85" t="s">
        <v>135</v>
      </c>
      <c r="B19" s="84" t="s">
        <v>73</v>
      </c>
      <c r="C19" s="84" t="s">
        <v>119</v>
      </c>
      <c r="D19" s="84" t="s">
        <v>132</v>
      </c>
      <c r="E19" s="84">
        <v>40</v>
      </c>
      <c r="F19" s="84">
        <v>1170</v>
      </c>
      <c r="G19" s="87"/>
      <c r="H19" s="84">
        <v>130</v>
      </c>
      <c r="I19" s="84">
        <v>130</v>
      </c>
      <c r="J19" s="84">
        <v>130</v>
      </c>
      <c r="K19" s="84">
        <v>130</v>
      </c>
      <c r="L19" s="84">
        <v>130</v>
      </c>
      <c r="M19" s="84"/>
      <c r="N19" s="84"/>
      <c r="O19" s="84"/>
      <c r="P19" s="84"/>
      <c r="Q19" s="84"/>
      <c r="R19" s="84"/>
      <c r="S19" s="84"/>
      <c r="T19" s="46">
        <f>IF(AND(ISBLANK(E19),ISBLANK(F19),ISBLANK(H19),ISBLANK(#REF!),ISBLANK(I19),ISBLANK(J19),ISBLANK(K19), ISBLANK(L19), ISBLANK(M19), ISBLANK(N19), ISBLANK(O19), ISBLANK(P19), ISBLANK(Q19), ISBLANK(R19), ISBLANK(S19)),"",SUM(H19:S19))</f>
        <v>650</v>
      </c>
      <c r="U19" s="46">
        <f>IF(W19&lt;&gt;0,0,IF(AND(ISBLANK(F19),ISBLANK(H19),ISBLANK(#REF!),ISBLANK(I19),ISBLANK(J19),ISBLANK(K19), ISBLANK(L19), ISBLANK(M19), ISBLANK(N19), ISBLANK(O19), ISBLANK(P19), ISBLANK(Q19), ISBLANK(R19), ISBLANK(S19)),"", F19-T19))</f>
        <v>520</v>
      </c>
      <c r="V19" s="72">
        <f>IF(AND(ISBLANK(E19),ISBLANK(F19), ISBLANK(H19), ISBLANK(#REF!), ISBLANK(I19), ISBLANK(J19), ISBLANK(K19), ISBLANK(L19), ISBLANK(M19),ISBLANK(N19), ISBLANK(O19), ISBLANK(P19), ISBLANK(Q19), ISBLANK(R19), ISBLANK(S19)), "",IFERROR(((F19+E19)-U19)/F19,""))</f>
        <v>0.58974358974358976</v>
      </c>
      <c r="X19" s="73" t="str">
        <f t="shared" si="1"/>
        <v/>
      </c>
      <c r="Y19" s="79"/>
      <c r="Z19" s="78">
        <v>6931151049</v>
      </c>
      <c r="AA19" s="82">
        <v>6986324459</v>
      </c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  <c r="IW19" s="43"/>
      <c r="IX19" s="43"/>
      <c r="IY19" s="43"/>
      <c r="IZ19" s="43"/>
      <c r="JA19" s="43"/>
      <c r="JB19" s="43"/>
      <c r="JC19" s="43"/>
      <c r="JD19" s="43"/>
      <c r="JE19" s="43"/>
      <c r="JF19" s="43"/>
      <c r="JG19" s="43"/>
      <c r="JH19" s="43"/>
      <c r="JI19" s="43"/>
      <c r="JJ19" s="43"/>
      <c r="JK19" s="43"/>
      <c r="JL19" s="43"/>
      <c r="JM19" s="43"/>
      <c r="JN19" s="43"/>
      <c r="JO19" s="43"/>
      <c r="JP19" s="43"/>
      <c r="JQ19" s="43"/>
      <c r="JR19" s="43"/>
      <c r="JS19" s="43"/>
      <c r="JT19" s="43"/>
      <c r="JU19" s="43"/>
      <c r="JV19" s="43"/>
      <c r="JW19" s="43"/>
      <c r="JX19" s="43"/>
      <c r="JY19" s="43"/>
      <c r="JZ19" s="43"/>
      <c r="KA19" s="43"/>
      <c r="KB19" s="43"/>
      <c r="KC19" s="43"/>
      <c r="KD19" s="43"/>
      <c r="KE19" s="43"/>
      <c r="KF19" s="43"/>
      <c r="KG19" s="43"/>
      <c r="KH19" s="43"/>
      <c r="KI19" s="43"/>
      <c r="KJ19" s="43"/>
      <c r="KK19" s="43"/>
      <c r="KL19" s="43"/>
      <c r="KM19" s="43"/>
      <c r="KN19" s="43"/>
      <c r="KO19" s="43"/>
      <c r="KP19" s="43"/>
      <c r="KQ19" s="43"/>
      <c r="KR19" s="43"/>
      <c r="KS19" s="43"/>
      <c r="KT19" s="43"/>
      <c r="KU19" s="43"/>
      <c r="KV19" s="43"/>
      <c r="KW19" s="43"/>
      <c r="KX19" s="43"/>
      <c r="KY19" s="43"/>
      <c r="KZ19" s="43"/>
      <c r="LA19" s="43"/>
      <c r="LB19" s="43"/>
      <c r="LC19" s="43"/>
      <c r="LD19" s="43"/>
      <c r="LE19" s="43"/>
      <c r="LF19" s="43"/>
      <c r="LG19" s="43"/>
      <c r="LH19" s="43"/>
      <c r="LI19" s="43"/>
      <c r="LJ19" s="43"/>
      <c r="LK19" s="43"/>
      <c r="LL19" s="43"/>
      <c r="LM19" s="43"/>
      <c r="LN19" s="43"/>
      <c r="LO19" s="43"/>
      <c r="LP19" s="43"/>
      <c r="LQ19" s="43"/>
      <c r="LR19" s="43"/>
      <c r="LS19" s="43"/>
      <c r="LT19" s="43"/>
      <c r="LU19" s="43"/>
      <c r="LV19" s="43"/>
      <c r="LW19" s="43"/>
      <c r="LX19" s="43"/>
      <c r="LY19" s="43"/>
      <c r="LZ19" s="43"/>
      <c r="MA19" s="43"/>
      <c r="MB19" s="43"/>
      <c r="MC19" s="43"/>
      <c r="MD19" s="43"/>
      <c r="ME19" s="43"/>
      <c r="MF19" s="43"/>
      <c r="MG19" s="43"/>
      <c r="MH19" s="43"/>
      <c r="MI19" s="43"/>
      <c r="MJ19" s="43"/>
      <c r="MK19" s="43"/>
      <c r="ML19" s="43"/>
      <c r="MM19" s="43"/>
      <c r="MN19" s="43"/>
      <c r="MO19" s="43"/>
      <c r="MP19" s="43"/>
      <c r="MQ19" s="43"/>
      <c r="MR19" s="43"/>
      <c r="MS19" s="43"/>
      <c r="MT19" s="43"/>
      <c r="MU19" s="43"/>
      <c r="MV19" s="43"/>
      <c r="MW19" s="43"/>
      <c r="MX19" s="43"/>
      <c r="MY19" s="43"/>
      <c r="MZ19" s="43"/>
      <c r="NA19" s="43"/>
      <c r="NB19" s="43"/>
      <c r="NC19" s="43"/>
      <c r="ND19" s="43"/>
      <c r="NE19" s="43"/>
      <c r="NF19" s="43"/>
      <c r="NG19" s="43"/>
      <c r="NH19" s="43"/>
      <c r="NI19" s="43"/>
      <c r="NJ19" s="43"/>
      <c r="NK19" s="43"/>
      <c r="NL19" s="43"/>
      <c r="NM19" s="43"/>
      <c r="NN19" s="43"/>
      <c r="NO19" s="43"/>
      <c r="NP19" s="43"/>
      <c r="NQ19" s="43"/>
      <c r="NR19" s="43"/>
      <c r="NS19" s="43"/>
      <c r="NT19" s="43"/>
      <c r="NU19" s="43"/>
      <c r="NV19" s="43"/>
      <c r="NW19" s="43"/>
      <c r="NX19" s="43"/>
      <c r="NY19" s="43"/>
      <c r="NZ19" s="43"/>
      <c r="OA19" s="43"/>
      <c r="OB19" s="43"/>
      <c r="OC19" s="43"/>
      <c r="OD19" s="43"/>
      <c r="OE19" s="43"/>
      <c r="OF19" s="43"/>
      <c r="OG19" s="43"/>
      <c r="OH19" s="43"/>
      <c r="OI19" s="43"/>
      <c r="OJ19" s="43"/>
      <c r="OK19" s="43"/>
      <c r="OL19" s="43"/>
      <c r="OM19" s="43"/>
      <c r="ON19" s="43"/>
      <c r="OO19" s="43"/>
      <c r="OP19" s="43"/>
      <c r="OQ19" s="43"/>
      <c r="OR19" s="43"/>
      <c r="OS19" s="43"/>
      <c r="OT19" s="43"/>
      <c r="OU19" s="43"/>
      <c r="OV19" s="43"/>
      <c r="OW19" s="43"/>
      <c r="OX19" s="43"/>
      <c r="OY19" s="43"/>
      <c r="OZ19" s="43"/>
      <c r="PA19" s="43"/>
      <c r="PB19" s="43"/>
      <c r="PC19" s="43"/>
      <c r="PD19" s="43"/>
      <c r="PE19" s="43"/>
      <c r="PF19" s="43"/>
      <c r="PG19" s="43"/>
      <c r="PH19" s="43"/>
      <c r="PI19" s="43"/>
      <c r="PJ19" s="43"/>
      <c r="PK19" s="43"/>
      <c r="PL19" s="43"/>
      <c r="PM19" s="43"/>
      <c r="PN19" s="43"/>
      <c r="PO19" s="43"/>
      <c r="PP19" s="43"/>
      <c r="PQ19" s="43"/>
      <c r="PR19" s="43"/>
      <c r="PS19" s="43"/>
      <c r="PT19" s="43"/>
      <c r="PU19" s="43"/>
      <c r="PV19" s="43"/>
      <c r="PW19" s="43"/>
      <c r="PX19" s="43"/>
      <c r="PY19" s="43"/>
      <c r="PZ19" s="43"/>
      <c r="QA19" s="43"/>
      <c r="QB19" s="43"/>
      <c r="QC19" s="43"/>
    </row>
    <row r="20" spans="1:445" x14ac:dyDescent="0.3">
      <c r="A20" s="85" t="s">
        <v>136</v>
      </c>
      <c r="B20" s="84" t="s">
        <v>73</v>
      </c>
      <c r="C20" s="84" t="s">
        <v>106</v>
      </c>
      <c r="D20" s="84" t="s">
        <v>138</v>
      </c>
      <c r="E20" s="84">
        <v>80</v>
      </c>
      <c r="F20" s="84">
        <v>1080</v>
      </c>
      <c r="G20" s="89"/>
      <c r="H20" s="84">
        <v>120</v>
      </c>
      <c r="I20" s="84">
        <v>120</v>
      </c>
      <c r="J20" s="84">
        <v>120</v>
      </c>
      <c r="K20" s="84">
        <v>120</v>
      </c>
      <c r="L20" s="84">
        <v>120</v>
      </c>
      <c r="M20" s="84"/>
      <c r="N20" s="84"/>
      <c r="O20" s="84"/>
      <c r="P20" s="84"/>
      <c r="Q20" s="84"/>
      <c r="R20" s="84"/>
      <c r="S20" s="84"/>
      <c r="T20" s="46">
        <f>IF(AND(ISBLANK(E20),ISBLANK(F20),ISBLANK(H20),ISBLANK(#REF!),ISBLANK(I20),ISBLANK(J20),ISBLANK(K20), ISBLANK(L20), ISBLANK(M20), ISBLANK(N20), ISBLANK(O20), ISBLANK(P20), ISBLANK(Q20), ISBLANK(R20), ISBLANK(S20)),"",SUM(H20:S20))</f>
        <v>600</v>
      </c>
      <c r="U20" s="46">
        <f>IF(W20&lt;&gt;0,0,IF(AND(ISBLANK(F20),ISBLANK(H20),ISBLANK(#REF!),ISBLANK(I20),ISBLANK(J20),ISBLANK(K20), ISBLANK(L20), ISBLANK(M20), ISBLANK(N20), ISBLANK(O20), ISBLANK(P20), ISBLANK(Q20), ISBLANK(R20), ISBLANK(S20)),"", F20-T20))</f>
        <v>480</v>
      </c>
      <c r="V20" s="72">
        <f>IF(AND(ISBLANK(E20),ISBLANK(F20), ISBLANK(H20), ISBLANK(#REF!), ISBLANK(I20), ISBLANK(J20), ISBLANK(K20), ISBLANK(L20), ISBLANK(M20),ISBLANK(N20), ISBLANK(O20), ISBLANK(P20), ISBLANK(Q20), ISBLANK(R20), ISBLANK(S20)), "",IFERROR(((F20+E20)-U20)/F20,""))</f>
        <v>0.62962962962962965</v>
      </c>
      <c r="W20" s="48"/>
      <c r="X20" s="73" t="str">
        <f t="shared" si="1"/>
        <v/>
      </c>
      <c r="Y20" s="79"/>
      <c r="Z20" s="78">
        <v>6942966766</v>
      </c>
      <c r="AA20" s="78">
        <v>6951062013</v>
      </c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  <c r="GT20" s="43"/>
      <c r="GU20" s="43"/>
      <c r="GV20" s="43"/>
      <c r="GW20" s="43"/>
      <c r="GX20" s="43"/>
      <c r="GY20" s="43"/>
      <c r="GZ20" s="43"/>
      <c r="HA20" s="43"/>
      <c r="HB20" s="43"/>
      <c r="HC20" s="43"/>
      <c r="HD20" s="43"/>
      <c r="HE20" s="43"/>
      <c r="HF20" s="43"/>
      <c r="HG20" s="43"/>
      <c r="HH20" s="43"/>
      <c r="HI20" s="43"/>
      <c r="HJ20" s="43"/>
      <c r="HK20" s="43"/>
      <c r="HL20" s="43"/>
      <c r="HM20" s="43"/>
      <c r="HN20" s="43"/>
      <c r="HO20" s="43"/>
      <c r="HP20" s="43"/>
      <c r="HQ20" s="43"/>
      <c r="HR20" s="43"/>
      <c r="HS20" s="43"/>
      <c r="HT20" s="43"/>
      <c r="HU20" s="43"/>
      <c r="HV20" s="43"/>
      <c r="HW20" s="43"/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  <c r="IM20" s="43"/>
      <c r="IN20" s="43"/>
      <c r="IO20" s="43"/>
      <c r="IP20" s="43"/>
      <c r="IQ20" s="43"/>
      <c r="IR20" s="43"/>
      <c r="IS20" s="43"/>
      <c r="IT20" s="43"/>
      <c r="IU20" s="43"/>
      <c r="IV20" s="43"/>
      <c r="IW20" s="43"/>
      <c r="IX20" s="43"/>
      <c r="IY20" s="43"/>
      <c r="IZ20" s="43"/>
      <c r="JA20" s="43"/>
      <c r="JB20" s="43"/>
      <c r="JC20" s="43"/>
      <c r="JD20" s="43"/>
      <c r="JE20" s="43"/>
      <c r="JF20" s="43"/>
      <c r="JG20" s="43"/>
      <c r="JH20" s="43"/>
      <c r="JI20" s="43"/>
      <c r="JJ20" s="43"/>
      <c r="JK20" s="43"/>
      <c r="JL20" s="43"/>
      <c r="JM20" s="43"/>
      <c r="JN20" s="43"/>
      <c r="JO20" s="43"/>
      <c r="JP20" s="43"/>
      <c r="JQ20" s="43"/>
      <c r="JR20" s="43"/>
      <c r="JS20" s="43"/>
      <c r="JT20" s="43"/>
      <c r="JU20" s="43"/>
      <c r="JV20" s="43"/>
      <c r="JW20" s="43"/>
      <c r="JX20" s="43"/>
      <c r="JY20" s="43"/>
      <c r="JZ20" s="43"/>
      <c r="KA20" s="43"/>
      <c r="KB20" s="43"/>
      <c r="KC20" s="43"/>
      <c r="KD20" s="43"/>
      <c r="KE20" s="43"/>
      <c r="KF20" s="43"/>
      <c r="KG20" s="43"/>
      <c r="KH20" s="43"/>
      <c r="KI20" s="43"/>
      <c r="KJ20" s="43"/>
      <c r="KK20" s="43"/>
      <c r="KL20" s="43"/>
      <c r="KM20" s="43"/>
      <c r="KN20" s="43"/>
      <c r="KO20" s="43"/>
      <c r="KP20" s="43"/>
      <c r="KQ20" s="43"/>
      <c r="KR20" s="43"/>
      <c r="KS20" s="43"/>
      <c r="KT20" s="43"/>
      <c r="KU20" s="43"/>
      <c r="KV20" s="43"/>
      <c r="KW20" s="43"/>
      <c r="KX20" s="43"/>
      <c r="KY20" s="43"/>
      <c r="KZ20" s="43"/>
      <c r="LA20" s="43"/>
      <c r="LB20" s="43"/>
      <c r="LC20" s="43"/>
      <c r="LD20" s="43"/>
      <c r="LE20" s="43"/>
      <c r="LF20" s="43"/>
      <c r="LG20" s="43"/>
      <c r="LH20" s="43"/>
      <c r="LI20" s="43"/>
      <c r="LJ20" s="43"/>
      <c r="LK20" s="43"/>
      <c r="LL20" s="43"/>
      <c r="LM20" s="43"/>
      <c r="LN20" s="43"/>
      <c r="LO20" s="43"/>
      <c r="LP20" s="43"/>
      <c r="LQ20" s="43"/>
      <c r="LR20" s="43"/>
      <c r="LS20" s="43"/>
      <c r="LT20" s="43"/>
      <c r="LU20" s="43"/>
      <c r="LV20" s="43"/>
      <c r="LW20" s="43"/>
      <c r="LX20" s="43"/>
      <c r="LY20" s="43"/>
      <c r="LZ20" s="43"/>
      <c r="MA20" s="43"/>
      <c r="MB20" s="43"/>
      <c r="MC20" s="43"/>
      <c r="MD20" s="43"/>
      <c r="ME20" s="43"/>
      <c r="MF20" s="43"/>
      <c r="MG20" s="43"/>
      <c r="MH20" s="43"/>
      <c r="MI20" s="43"/>
      <c r="MJ20" s="43"/>
      <c r="MK20" s="43"/>
      <c r="ML20" s="43"/>
      <c r="MM20" s="43"/>
      <c r="MN20" s="43"/>
      <c r="MO20" s="43"/>
      <c r="MP20" s="43"/>
      <c r="MQ20" s="43"/>
      <c r="MR20" s="43"/>
      <c r="MS20" s="43"/>
      <c r="MT20" s="43"/>
      <c r="MU20" s="43"/>
      <c r="MV20" s="43"/>
      <c r="MW20" s="43"/>
      <c r="MX20" s="43"/>
      <c r="MY20" s="43"/>
      <c r="MZ20" s="43"/>
      <c r="NA20" s="43"/>
      <c r="NB20" s="43"/>
      <c r="NC20" s="43"/>
      <c r="ND20" s="43"/>
      <c r="NE20" s="43"/>
      <c r="NF20" s="43"/>
      <c r="NG20" s="43"/>
      <c r="NH20" s="43"/>
      <c r="NI20" s="43"/>
      <c r="NJ20" s="43"/>
      <c r="NK20" s="43"/>
      <c r="NL20" s="43"/>
      <c r="NM20" s="43"/>
      <c r="NN20" s="43"/>
      <c r="NO20" s="43"/>
      <c r="NP20" s="43"/>
      <c r="NQ20" s="43"/>
      <c r="NR20" s="43"/>
      <c r="NS20" s="43"/>
      <c r="NT20" s="43"/>
      <c r="NU20" s="43"/>
      <c r="NV20" s="43"/>
      <c r="NW20" s="43"/>
      <c r="NX20" s="43"/>
      <c r="NY20" s="43"/>
      <c r="NZ20" s="43"/>
      <c r="OA20" s="43"/>
      <c r="OB20" s="43"/>
      <c r="OC20" s="43"/>
      <c r="OD20" s="43"/>
      <c r="OE20" s="43"/>
      <c r="OF20" s="43"/>
      <c r="OG20" s="43"/>
      <c r="OH20" s="43"/>
      <c r="OI20" s="43"/>
      <c r="OJ20" s="43"/>
      <c r="OK20" s="43"/>
      <c r="OL20" s="43"/>
      <c r="OM20" s="43"/>
      <c r="ON20" s="43"/>
      <c r="OO20" s="43"/>
      <c r="OP20" s="43"/>
      <c r="OQ20" s="43"/>
      <c r="OR20" s="43"/>
      <c r="OS20" s="43"/>
      <c r="OT20" s="43"/>
      <c r="OU20" s="43"/>
      <c r="OV20" s="43"/>
      <c r="OW20" s="43"/>
      <c r="OX20" s="43"/>
      <c r="OY20" s="43"/>
      <c r="OZ20" s="43"/>
      <c r="PA20" s="43"/>
      <c r="PB20" s="43"/>
      <c r="PC20" s="43"/>
      <c r="PD20" s="43"/>
      <c r="PE20" s="43"/>
      <c r="PF20" s="43"/>
      <c r="PG20" s="43"/>
      <c r="PH20" s="43"/>
      <c r="PI20" s="43"/>
      <c r="PJ20" s="43"/>
      <c r="PK20" s="43"/>
      <c r="PL20" s="43"/>
      <c r="PM20" s="43"/>
      <c r="PN20" s="43"/>
      <c r="PO20" s="43"/>
      <c r="PP20" s="43"/>
      <c r="PQ20" s="43"/>
      <c r="PR20" s="43"/>
      <c r="PS20" s="43"/>
      <c r="PT20" s="43"/>
      <c r="PU20" s="43"/>
      <c r="PV20" s="43"/>
      <c r="PW20" s="43"/>
      <c r="PX20" s="43"/>
      <c r="PY20" s="43"/>
      <c r="PZ20" s="43"/>
      <c r="QA20" s="43"/>
      <c r="QB20" s="43"/>
      <c r="QC20" s="43"/>
    </row>
    <row r="21" spans="1:445" x14ac:dyDescent="0.3">
      <c r="A21" s="85" t="s">
        <v>151</v>
      </c>
      <c r="B21" s="84"/>
      <c r="C21" s="84" t="s">
        <v>119</v>
      </c>
      <c r="D21" s="84" t="s">
        <v>152</v>
      </c>
      <c r="E21" s="84">
        <v>40</v>
      </c>
      <c r="F21" s="84">
        <v>1170</v>
      </c>
      <c r="G21" s="89"/>
      <c r="H21" s="84">
        <v>65</v>
      </c>
      <c r="I21" s="84">
        <v>130</v>
      </c>
      <c r="J21" s="84">
        <v>130</v>
      </c>
      <c r="K21" s="84">
        <v>130</v>
      </c>
      <c r="L21" s="84"/>
      <c r="M21" s="84"/>
      <c r="N21" s="84"/>
      <c r="O21" s="84"/>
      <c r="P21" s="84"/>
      <c r="Q21" s="84"/>
      <c r="R21" s="84"/>
      <c r="S21" s="84"/>
      <c r="T21" s="46">
        <f>IF(AND(ISBLANK(E21),ISBLANK(F21),ISBLANK(H21),ISBLANK(#REF!),ISBLANK(I21),ISBLANK(J21),ISBLANK(K21), ISBLANK(L21), ISBLANK(M21), ISBLANK(N21), ISBLANK(O21), ISBLANK(P21), ISBLANK(Q21), ISBLANK(R21), ISBLANK(S21)),"",SUM(H21:S21))</f>
        <v>455</v>
      </c>
      <c r="U21" s="46">
        <f>IF(W21&lt;&gt;0,0,IF(AND(ISBLANK(F21),ISBLANK(H21),ISBLANK(#REF!),ISBLANK(I21),ISBLANK(J21),ISBLANK(K21), ISBLANK(L21), ISBLANK(M21), ISBLANK(N21), ISBLANK(O21), ISBLANK(P21), ISBLANK(Q21), ISBLANK(R21), ISBLANK(S21)),"", F21-T21))</f>
        <v>715</v>
      </c>
      <c r="V21" s="72">
        <f>IF(AND(ISBLANK(E21),ISBLANK(F21), ISBLANK(H21), ISBLANK(#REF!), ISBLANK(I21), ISBLANK(J21), ISBLANK(K21), ISBLANK(L21), ISBLANK(M21),ISBLANK(N21), ISBLANK(O21), ISBLANK(P21), ISBLANK(Q21), ISBLANK(R21), ISBLANK(S21)), "",IFERROR(((F21+E21)-U21)/F21,""))</f>
        <v>0.42307692307692307</v>
      </c>
      <c r="X21" s="73" t="str">
        <f t="shared" si="1"/>
        <v/>
      </c>
      <c r="Y21" s="79"/>
      <c r="Z21" s="80">
        <v>6974165472</v>
      </c>
      <c r="AA21" s="79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  <c r="CW21" s="43"/>
      <c r="CX21" s="43"/>
      <c r="CY21" s="43"/>
      <c r="CZ21" s="43"/>
      <c r="DA21" s="43"/>
      <c r="DB21" s="43"/>
      <c r="DC21" s="43"/>
      <c r="DD21" s="43"/>
      <c r="DE21" s="43"/>
      <c r="DF21" s="43"/>
      <c r="DG21" s="43"/>
      <c r="DH21" s="43"/>
      <c r="DI21" s="43"/>
      <c r="DJ21" s="43"/>
      <c r="DK21" s="43"/>
      <c r="DL21" s="43"/>
      <c r="DM21" s="43"/>
      <c r="DN21" s="43"/>
      <c r="DO21" s="43"/>
      <c r="DP21" s="43"/>
      <c r="DQ21" s="43"/>
      <c r="DR21" s="43"/>
      <c r="DS21" s="43"/>
      <c r="DT21" s="43"/>
      <c r="DU21" s="43"/>
      <c r="DV21" s="43"/>
      <c r="DW21" s="43"/>
      <c r="DX21" s="43"/>
      <c r="DY21" s="43"/>
      <c r="DZ21" s="43"/>
      <c r="EA21" s="43"/>
      <c r="EB21" s="43"/>
      <c r="EC21" s="43"/>
      <c r="ED21" s="43"/>
      <c r="EE21" s="43"/>
      <c r="EF21" s="43"/>
      <c r="EG21" s="43"/>
      <c r="EH21" s="43"/>
      <c r="EI21" s="43"/>
      <c r="EJ21" s="43"/>
      <c r="EK21" s="43"/>
      <c r="EL21" s="43"/>
      <c r="EM21" s="43"/>
      <c r="EN21" s="43"/>
      <c r="EO21" s="43"/>
      <c r="EP21" s="43"/>
      <c r="EQ21" s="43"/>
      <c r="ER21" s="43"/>
      <c r="ES21" s="43"/>
      <c r="ET21" s="43"/>
      <c r="EU21" s="43"/>
      <c r="EV21" s="43"/>
      <c r="EW21" s="43"/>
      <c r="EX21" s="43"/>
      <c r="EY21" s="43"/>
      <c r="EZ21" s="43"/>
      <c r="FA21" s="43"/>
      <c r="FB21" s="43"/>
      <c r="FC21" s="43"/>
      <c r="FD21" s="43"/>
      <c r="FE21" s="43"/>
      <c r="FF21" s="43"/>
      <c r="FG21" s="43"/>
      <c r="FH21" s="43"/>
      <c r="FI21" s="43"/>
      <c r="FJ21" s="43"/>
      <c r="FK21" s="43"/>
      <c r="FL21" s="43"/>
      <c r="FM21" s="43"/>
      <c r="FN21" s="43"/>
      <c r="FO21" s="43"/>
      <c r="FP21" s="43"/>
      <c r="FQ21" s="43"/>
      <c r="FR21" s="43"/>
      <c r="FS21" s="43"/>
      <c r="FT21" s="43"/>
      <c r="FU21" s="43"/>
      <c r="FV21" s="43"/>
      <c r="FW21" s="43"/>
      <c r="FX21" s="43"/>
      <c r="FY21" s="43"/>
      <c r="FZ21" s="43"/>
      <c r="GA21" s="43"/>
      <c r="GB21" s="43"/>
      <c r="GC21" s="43"/>
      <c r="GD21" s="43"/>
      <c r="GE21" s="43"/>
      <c r="GF21" s="43"/>
      <c r="GG21" s="43"/>
      <c r="GH21" s="43"/>
      <c r="GI21" s="43"/>
      <c r="GJ21" s="43"/>
      <c r="GK21" s="43"/>
      <c r="GL21" s="43"/>
      <c r="GM21" s="43"/>
      <c r="GN21" s="43"/>
      <c r="GO21" s="43"/>
      <c r="GP21" s="43"/>
      <c r="GQ21" s="43"/>
      <c r="GR21" s="43"/>
      <c r="GS21" s="43"/>
      <c r="GT21" s="43"/>
      <c r="GU21" s="43"/>
      <c r="GV21" s="43"/>
      <c r="GW21" s="43"/>
      <c r="GX21" s="43"/>
      <c r="GY21" s="43"/>
      <c r="GZ21" s="43"/>
      <c r="HA21" s="43"/>
      <c r="HB21" s="43"/>
      <c r="HC21" s="43"/>
      <c r="HD21" s="43"/>
      <c r="HE21" s="43"/>
      <c r="HF21" s="43"/>
      <c r="HG21" s="43"/>
      <c r="HH21" s="43"/>
      <c r="HI21" s="43"/>
      <c r="HJ21" s="43"/>
      <c r="HK21" s="43"/>
      <c r="HL21" s="43"/>
      <c r="HM21" s="43"/>
      <c r="HN21" s="43"/>
      <c r="HO21" s="43"/>
      <c r="HP21" s="43"/>
      <c r="HQ21" s="43"/>
      <c r="HR21" s="43"/>
      <c r="HS21" s="43"/>
      <c r="HT21" s="43"/>
      <c r="HU21" s="43"/>
      <c r="HV21" s="43"/>
      <c r="HW21" s="43"/>
      <c r="HX21" s="43"/>
      <c r="HY21" s="43"/>
      <c r="HZ21" s="43"/>
      <c r="IA21" s="43"/>
      <c r="IB21" s="43"/>
      <c r="IC21" s="43"/>
      <c r="ID21" s="43"/>
      <c r="IE21" s="43"/>
      <c r="IF21" s="43"/>
      <c r="IG21" s="43"/>
      <c r="IH21" s="43"/>
      <c r="II21" s="43"/>
      <c r="IJ21" s="43"/>
      <c r="IK21" s="43"/>
      <c r="IL21" s="43"/>
      <c r="IM21" s="43"/>
      <c r="IN21" s="43"/>
      <c r="IO21" s="43"/>
      <c r="IP21" s="43"/>
      <c r="IQ21" s="43"/>
      <c r="IR21" s="43"/>
      <c r="IS21" s="43"/>
      <c r="IT21" s="43"/>
      <c r="IU21" s="43"/>
      <c r="IV21" s="43"/>
      <c r="IW21" s="43"/>
      <c r="IX21" s="43"/>
      <c r="IY21" s="43"/>
      <c r="IZ21" s="43"/>
      <c r="JA21" s="43"/>
      <c r="JB21" s="43"/>
      <c r="JC21" s="43"/>
      <c r="JD21" s="43"/>
      <c r="JE21" s="43"/>
      <c r="JF21" s="43"/>
      <c r="JG21" s="43"/>
      <c r="JH21" s="43"/>
      <c r="JI21" s="43"/>
      <c r="JJ21" s="43"/>
      <c r="JK21" s="43"/>
      <c r="JL21" s="43"/>
      <c r="JM21" s="43"/>
      <c r="JN21" s="43"/>
      <c r="JO21" s="43"/>
      <c r="JP21" s="43"/>
      <c r="JQ21" s="43"/>
      <c r="JR21" s="43"/>
      <c r="JS21" s="43"/>
      <c r="JT21" s="43"/>
      <c r="JU21" s="43"/>
      <c r="JV21" s="43"/>
      <c r="JW21" s="43"/>
      <c r="JX21" s="43"/>
      <c r="JY21" s="43"/>
      <c r="JZ21" s="43"/>
      <c r="KA21" s="43"/>
      <c r="KB21" s="43"/>
      <c r="KC21" s="43"/>
      <c r="KD21" s="43"/>
      <c r="KE21" s="43"/>
      <c r="KF21" s="43"/>
      <c r="KG21" s="43"/>
      <c r="KH21" s="43"/>
      <c r="KI21" s="43"/>
      <c r="KJ21" s="43"/>
      <c r="KK21" s="43"/>
      <c r="KL21" s="43"/>
      <c r="KM21" s="43"/>
      <c r="KN21" s="43"/>
      <c r="KO21" s="43"/>
      <c r="KP21" s="43"/>
      <c r="KQ21" s="43"/>
      <c r="KR21" s="43"/>
      <c r="KS21" s="43"/>
      <c r="KT21" s="43"/>
      <c r="KU21" s="43"/>
      <c r="KV21" s="43"/>
      <c r="KW21" s="43"/>
      <c r="KX21" s="43"/>
      <c r="KY21" s="43"/>
      <c r="KZ21" s="43"/>
      <c r="LA21" s="43"/>
      <c r="LB21" s="43"/>
      <c r="LC21" s="43"/>
      <c r="LD21" s="43"/>
      <c r="LE21" s="43"/>
      <c r="LF21" s="43"/>
      <c r="LG21" s="43"/>
      <c r="LH21" s="43"/>
      <c r="LI21" s="43"/>
      <c r="LJ21" s="43"/>
      <c r="LK21" s="43"/>
      <c r="LL21" s="43"/>
      <c r="LM21" s="43"/>
      <c r="LN21" s="43"/>
      <c r="LO21" s="43"/>
      <c r="LP21" s="43"/>
      <c r="LQ21" s="43"/>
      <c r="LR21" s="43"/>
      <c r="LS21" s="43"/>
      <c r="LT21" s="43"/>
      <c r="LU21" s="43"/>
      <c r="LV21" s="43"/>
      <c r="LW21" s="43"/>
      <c r="LX21" s="43"/>
      <c r="LY21" s="43"/>
      <c r="LZ21" s="43"/>
      <c r="MA21" s="43"/>
      <c r="MB21" s="43"/>
      <c r="MC21" s="43"/>
      <c r="MD21" s="43"/>
      <c r="ME21" s="43"/>
      <c r="MF21" s="43"/>
      <c r="MG21" s="43"/>
      <c r="MH21" s="43"/>
      <c r="MI21" s="43"/>
      <c r="MJ21" s="43"/>
      <c r="MK21" s="43"/>
      <c r="ML21" s="43"/>
      <c r="MM21" s="43"/>
      <c r="MN21" s="43"/>
      <c r="MO21" s="43"/>
      <c r="MP21" s="43"/>
      <c r="MQ21" s="43"/>
      <c r="MR21" s="43"/>
      <c r="MS21" s="43"/>
      <c r="MT21" s="43"/>
      <c r="MU21" s="43"/>
      <c r="MV21" s="43"/>
      <c r="MW21" s="43"/>
      <c r="MX21" s="43"/>
      <c r="MY21" s="43"/>
      <c r="MZ21" s="43"/>
      <c r="NA21" s="43"/>
      <c r="NB21" s="43"/>
      <c r="NC21" s="43"/>
      <c r="ND21" s="43"/>
      <c r="NE21" s="43"/>
      <c r="NF21" s="43"/>
      <c r="NG21" s="43"/>
      <c r="NH21" s="43"/>
      <c r="NI21" s="43"/>
      <c r="NJ21" s="43"/>
      <c r="NK21" s="43"/>
      <c r="NL21" s="43"/>
      <c r="NM21" s="43"/>
      <c r="NN21" s="43"/>
      <c r="NO21" s="43"/>
      <c r="NP21" s="43"/>
      <c r="NQ21" s="43"/>
      <c r="NR21" s="43"/>
      <c r="NS21" s="43"/>
      <c r="NT21" s="43"/>
      <c r="NU21" s="43"/>
      <c r="NV21" s="43"/>
      <c r="NW21" s="43"/>
      <c r="NX21" s="43"/>
      <c r="NY21" s="43"/>
      <c r="NZ21" s="43"/>
      <c r="OA21" s="43"/>
      <c r="OB21" s="43"/>
      <c r="OC21" s="43"/>
      <c r="OD21" s="43"/>
      <c r="OE21" s="43"/>
      <c r="OF21" s="43"/>
      <c r="OG21" s="43"/>
      <c r="OH21" s="43"/>
      <c r="OI21" s="43"/>
      <c r="OJ21" s="43"/>
      <c r="OK21" s="43"/>
      <c r="OL21" s="43"/>
      <c r="OM21" s="43"/>
      <c r="ON21" s="43"/>
      <c r="OO21" s="43"/>
      <c r="OP21" s="43"/>
      <c r="OQ21" s="43"/>
      <c r="OR21" s="43"/>
      <c r="OS21" s="43"/>
      <c r="OT21" s="43"/>
      <c r="OU21" s="43"/>
      <c r="OV21" s="43"/>
      <c r="OW21" s="43"/>
      <c r="OX21" s="43"/>
      <c r="OY21" s="43"/>
      <c r="OZ21" s="43"/>
      <c r="PA21" s="43"/>
      <c r="PB21" s="43"/>
      <c r="PC21" s="43"/>
      <c r="PD21" s="43"/>
      <c r="PE21" s="43"/>
      <c r="PF21" s="43"/>
      <c r="PG21" s="43"/>
      <c r="PH21" s="43"/>
      <c r="PI21" s="43"/>
      <c r="PJ21" s="43"/>
      <c r="PK21" s="43"/>
      <c r="PL21" s="43"/>
      <c r="PM21" s="43"/>
      <c r="PN21" s="43"/>
      <c r="PO21" s="43"/>
      <c r="PP21" s="43"/>
      <c r="PQ21" s="43"/>
      <c r="PR21" s="43"/>
      <c r="PS21" s="43"/>
      <c r="PT21" s="43"/>
      <c r="PU21" s="43"/>
      <c r="PV21" s="43"/>
      <c r="PW21" s="43"/>
      <c r="PX21" s="43"/>
      <c r="PY21" s="43"/>
      <c r="PZ21" s="43"/>
      <c r="QA21" s="43"/>
      <c r="QB21" s="43"/>
      <c r="QC21" s="43"/>
    </row>
    <row r="22" spans="1:445" x14ac:dyDescent="0.3">
      <c r="A22" s="85" t="s">
        <v>137</v>
      </c>
      <c r="B22" s="84" t="s">
        <v>73</v>
      </c>
      <c r="C22" s="84" t="s">
        <v>116</v>
      </c>
      <c r="D22" s="84" t="s">
        <v>105</v>
      </c>
      <c r="E22" s="84">
        <v>40</v>
      </c>
      <c r="F22" s="84">
        <v>990</v>
      </c>
      <c r="G22" s="84"/>
      <c r="H22" s="86">
        <v>550</v>
      </c>
      <c r="I22" s="84">
        <v>440</v>
      </c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46">
        <f t="shared" ref="T22:T30" si="2">IF(AND(ISBLANK(E22),ISBLANK(F22),ISBLANK(G22),ISBLANK(H22),ISBLANK(I22),ISBLANK(J22),ISBLANK(K22), ISBLANK(L22), ISBLANK(M22), ISBLANK(N22), ISBLANK(O22), ISBLANK(P22), ISBLANK(Q22), ISBLANK(R22), ISBLANK(S22)),"",SUM(G22:S22))</f>
        <v>990</v>
      </c>
      <c r="U22" s="46">
        <f t="shared" ref="U22:U30" si="3">IF(W22&lt;&gt;0,0,IF(AND(ISBLANK(F22),ISBLANK(G22),ISBLANK(H22),ISBLANK(I22),ISBLANK(J22),ISBLANK(K22), ISBLANK(L22), ISBLANK(M22), ISBLANK(N22), ISBLANK(O22), ISBLANK(P22), ISBLANK(Q22), ISBLANK(R22), ISBLANK(S22)),"", F22-T22))</f>
        <v>0</v>
      </c>
      <c r="V22" s="72">
        <f t="shared" ref="V22:V85" si="4">IF(AND(ISBLANK(E22),ISBLANK(F22), ISBLANK(G22), ISBLANK(H22), ISBLANK(I22), ISBLANK(J22), ISBLANK(K22), ISBLANK(L22), ISBLANK(M22),ISBLANK(N22), ISBLANK(O22), ISBLANK(P22), ISBLANK(Q22), ISBLANK(R22), ISBLANK(S22)), "",IFERROR(((F22+E22)-U22)/F22,""))</f>
        <v>1.0404040404040404</v>
      </c>
      <c r="W22" s="48"/>
      <c r="X22" s="73" t="str">
        <f t="shared" ref="X22:X53" si="5">IF(W22&lt;&gt;"",F22 - (SUM(G22:S22)),"")</f>
        <v/>
      </c>
      <c r="Y22" s="79"/>
      <c r="Z22" s="80">
        <v>6984461386</v>
      </c>
      <c r="AA22" s="80">
        <v>6980744091</v>
      </c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  <c r="CW22" s="43"/>
      <c r="CX22" s="43"/>
      <c r="CY22" s="43"/>
      <c r="CZ22" s="43"/>
      <c r="DA22" s="43"/>
      <c r="DB22" s="43"/>
      <c r="DC22" s="43"/>
      <c r="DD22" s="43"/>
      <c r="DE22" s="43"/>
      <c r="DF22" s="43"/>
      <c r="DG22" s="43"/>
      <c r="DH22" s="43"/>
      <c r="DI22" s="43"/>
      <c r="DJ22" s="43"/>
      <c r="DK22" s="43"/>
      <c r="DL22" s="43"/>
      <c r="DM22" s="43"/>
      <c r="DN22" s="43"/>
      <c r="DO22" s="43"/>
      <c r="DP22" s="43"/>
      <c r="DQ22" s="43"/>
      <c r="DR22" s="43"/>
      <c r="DS22" s="43"/>
      <c r="DT22" s="43"/>
      <c r="DU22" s="43"/>
      <c r="DV22" s="43"/>
      <c r="DW22" s="43"/>
      <c r="DX22" s="43"/>
      <c r="DY22" s="43"/>
      <c r="DZ22" s="43"/>
      <c r="EA22" s="43"/>
      <c r="EB22" s="43"/>
      <c r="EC22" s="43"/>
      <c r="ED22" s="43"/>
      <c r="EE22" s="43"/>
      <c r="EF22" s="43"/>
      <c r="EG22" s="43"/>
      <c r="EH22" s="43"/>
      <c r="EI22" s="43"/>
      <c r="EJ22" s="43"/>
      <c r="EK22" s="43"/>
      <c r="EL22" s="43"/>
      <c r="EM22" s="43"/>
      <c r="EN22" s="43"/>
      <c r="EO22" s="43"/>
      <c r="EP22" s="43"/>
      <c r="EQ22" s="43"/>
      <c r="ER22" s="43"/>
      <c r="ES22" s="43"/>
      <c r="ET22" s="43"/>
      <c r="EU22" s="43"/>
      <c r="EV22" s="43"/>
      <c r="EW22" s="43"/>
      <c r="EX22" s="43"/>
      <c r="EY22" s="43"/>
      <c r="EZ22" s="43"/>
      <c r="FA22" s="43"/>
      <c r="FB22" s="43"/>
      <c r="FC22" s="43"/>
      <c r="FD22" s="43"/>
      <c r="FE22" s="43"/>
      <c r="FF22" s="43"/>
      <c r="FG22" s="43"/>
      <c r="FH22" s="43"/>
      <c r="FI22" s="43"/>
      <c r="FJ22" s="43"/>
      <c r="FK22" s="43"/>
      <c r="FL22" s="43"/>
      <c r="FM22" s="43"/>
      <c r="FN22" s="43"/>
      <c r="FO22" s="43"/>
      <c r="FP22" s="43"/>
      <c r="FQ22" s="43"/>
      <c r="FR22" s="43"/>
      <c r="FS22" s="43"/>
      <c r="FT22" s="43"/>
      <c r="FU22" s="43"/>
      <c r="FV22" s="43"/>
      <c r="FW22" s="43"/>
      <c r="FX22" s="43"/>
      <c r="FY22" s="43"/>
      <c r="FZ22" s="43"/>
      <c r="GA22" s="43"/>
      <c r="GB22" s="43"/>
      <c r="GC22" s="43"/>
      <c r="GD22" s="43"/>
      <c r="GE22" s="43"/>
      <c r="GF22" s="43"/>
      <c r="GG22" s="43"/>
      <c r="GH22" s="43"/>
      <c r="GI22" s="43"/>
      <c r="GJ22" s="43"/>
      <c r="GK22" s="43"/>
      <c r="GL22" s="43"/>
      <c r="GM22" s="43"/>
      <c r="GN22" s="43"/>
      <c r="GO22" s="43"/>
      <c r="GP22" s="43"/>
      <c r="GQ22" s="43"/>
      <c r="GR22" s="43"/>
      <c r="GS22" s="43"/>
      <c r="GT22" s="43"/>
      <c r="GU22" s="43"/>
      <c r="GV22" s="43"/>
      <c r="GW22" s="43"/>
      <c r="GX22" s="43"/>
      <c r="GY22" s="43"/>
      <c r="GZ22" s="43"/>
      <c r="HA22" s="43"/>
      <c r="HB22" s="43"/>
      <c r="HC22" s="43"/>
      <c r="HD22" s="43"/>
      <c r="HE22" s="43"/>
      <c r="HF22" s="43"/>
      <c r="HG22" s="43"/>
      <c r="HH22" s="43"/>
      <c r="HI22" s="43"/>
      <c r="HJ22" s="43"/>
      <c r="HK22" s="43"/>
      <c r="HL22" s="43"/>
      <c r="HM22" s="43"/>
      <c r="HN22" s="43"/>
      <c r="HO22" s="43"/>
      <c r="HP22" s="43"/>
      <c r="HQ22" s="43"/>
      <c r="HR22" s="43"/>
      <c r="HS22" s="43"/>
      <c r="HT22" s="43"/>
      <c r="HU22" s="43"/>
      <c r="HV22" s="43"/>
      <c r="HW22" s="43"/>
      <c r="HX22" s="43"/>
      <c r="HY22" s="43"/>
      <c r="HZ22" s="43"/>
      <c r="IA22" s="43"/>
      <c r="IB22" s="43"/>
      <c r="IC22" s="43"/>
      <c r="ID22" s="43"/>
      <c r="IE22" s="43"/>
      <c r="IF22" s="43"/>
      <c r="IG22" s="43"/>
      <c r="IH22" s="43"/>
      <c r="II22" s="43"/>
      <c r="IJ22" s="43"/>
      <c r="IK22" s="43"/>
      <c r="IL22" s="43"/>
      <c r="IM22" s="43"/>
      <c r="IN22" s="43"/>
      <c r="IO22" s="43"/>
      <c r="IP22" s="43"/>
      <c r="IQ22" s="43"/>
      <c r="IR22" s="43"/>
      <c r="IS22" s="43"/>
      <c r="IT22" s="43"/>
      <c r="IU22" s="43"/>
      <c r="IV22" s="43"/>
      <c r="IW22" s="43"/>
      <c r="IX22" s="43"/>
      <c r="IY22" s="43"/>
      <c r="IZ22" s="43"/>
      <c r="JA22" s="43"/>
      <c r="JB22" s="43"/>
      <c r="JC22" s="43"/>
      <c r="JD22" s="43"/>
      <c r="JE22" s="43"/>
      <c r="JF22" s="43"/>
      <c r="JG22" s="43"/>
      <c r="JH22" s="43"/>
      <c r="JI22" s="43"/>
      <c r="JJ22" s="43"/>
      <c r="JK22" s="43"/>
      <c r="JL22" s="43"/>
      <c r="JM22" s="43"/>
      <c r="JN22" s="43"/>
      <c r="JO22" s="43"/>
      <c r="JP22" s="43"/>
      <c r="JQ22" s="43"/>
      <c r="JR22" s="43"/>
      <c r="JS22" s="43"/>
      <c r="JT22" s="43"/>
      <c r="JU22" s="43"/>
      <c r="JV22" s="43"/>
      <c r="JW22" s="43"/>
      <c r="JX22" s="43"/>
      <c r="JY22" s="43"/>
      <c r="JZ22" s="43"/>
      <c r="KA22" s="43"/>
      <c r="KB22" s="43"/>
      <c r="KC22" s="43"/>
      <c r="KD22" s="43"/>
      <c r="KE22" s="43"/>
      <c r="KF22" s="43"/>
      <c r="KG22" s="43"/>
      <c r="KH22" s="43"/>
      <c r="KI22" s="43"/>
      <c r="KJ22" s="43"/>
      <c r="KK22" s="43"/>
      <c r="KL22" s="43"/>
      <c r="KM22" s="43"/>
      <c r="KN22" s="43"/>
      <c r="KO22" s="43"/>
      <c r="KP22" s="43"/>
      <c r="KQ22" s="43"/>
      <c r="KR22" s="43"/>
      <c r="KS22" s="43"/>
      <c r="KT22" s="43"/>
      <c r="KU22" s="43"/>
      <c r="KV22" s="43"/>
      <c r="KW22" s="43"/>
      <c r="KX22" s="43"/>
      <c r="KY22" s="43"/>
      <c r="KZ22" s="43"/>
      <c r="LA22" s="43"/>
      <c r="LB22" s="43"/>
      <c r="LC22" s="43"/>
      <c r="LD22" s="43"/>
      <c r="LE22" s="43"/>
      <c r="LF22" s="43"/>
      <c r="LG22" s="43"/>
      <c r="LH22" s="43"/>
      <c r="LI22" s="43"/>
      <c r="LJ22" s="43"/>
      <c r="LK22" s="43"/>
      <c r="LL22" s="43"/>
      <c r="LM22" s="43"/>
      <c r="LN22" s="43"/>
      <c r="LO22" s="43"/>
      <c r="LP22" s="43"/>
      <c r="LQ22" s="43"/>
      <c r="LR22" s="43"/>
      <c r="LS22" s="43"/>
      <c r="LT22" s="43"/>
      <c r="LU22" s="43"/>
      <c r="LV22" s="43"/>
      <c r="LW22" s="43"/>
      <c r="LX22" s="43"/>
      <c r="LY22" s="43"/>
      <c r="LZ22" s="43"/>
      <c r="MA22" s="43"/>
      <c r="MB22" s="43"/>
      <c r="MC22" s="43"/>
      <c r="MD22" s="43"/>
      <c r="ME22" s="43"/>
      <c r="MF22" s="43"/>
      <c r="MG22" s="43"/>
      <c r="MH22" s="43"/>
      <c r="MI22" s="43"/>
      <c r="MJ22" s="43"/>
      <c r="MK22" s="43"/>
      <c r="ML22" s="43"/>
      <c r="MM22" s="43"/>
      <c r="MN22" s="43"/>
      <c r="MO22" s="43"/>
      <c r="MP22" s="43"/>
      <c r="MQ22" s="43"/>
      <c r="MR22" s="43"/>
      <c r="MS22" s="43"/>
      <c r="MT22" s="43"/>
      <c r="MU22" s="43"/>
      <c r="MV22" s="43"/>
      <c r="MW22" s="43"/>
      <c r="MX22" s="43"/>
      <c r="MY22" s="43"/>
      <c r="MZ22" s="43"/>
      <c r="NA22" s="43"/>
      <c r="NB22" s="43"/>
      <c r="NC22" s="43"/>
      <c r="ND22" s="43"/>
      <c r="NE22" s="43"/>
      <c r="NF22" s="43"/>
      <c r="NG22" s="43"/>
      <c r="NH22" s="43"/>
      <c r="NI22" s="43"/>
      <c r="NJ22" s="43"/>
      <c r="NK22" s="43"/>
      <c r="NL22" s="43"/>
      <c r="NM22" s="43"/>
      <c r="NN22" s="43"/>
      <c r="NO22" s="43"/>
      <c r="NP22" s="43"/>
      <c r="NQ22" s="43"/>
      <c r="NR22" s="43"/>
      <c r="NS22" s="43"/>
      <c r="NT22" s="43"/>
      <c r="NU22" s="43"/>
      <c r="NV22" s="43"/>
      <c r="NW22" s="43"/>
      <c r="NX22" s="43"/>
      <c r="NY22" s="43"/>
      <c r="NZ22" s="43"/>
      <c r="OA22" s="43"/>
      <c r="OB22" s="43"/>
      <c r="OC22" s="43"/>
      <c r="OD22" s="43"/>
      <c r="OE22" s="43"/>
      <c r="OF22" s="43"/>
      <c r="OG22" s="43"/>
      <c r="OH22" s="43"/>
      <c r="OI22" s="43"/>
      <c r="OJ22" s="43"/>
      <c r="OK22" s="43"/>
      <c r="OL22" s="43"/>
      <c r="OM22" s="43"/>
      <c r="ON22" s="43"/>
      <c r="OO22" s="43"/>
      <c r="OP22" s="43"/>
      <c r="OQ22" s="43"/>
      <c r="OR22" s="43"/>
      <c r="OS22" s="43"/>
      <c r="OT22" s="43"/>
      <c r="OU22" s="43"/>
      <c r="OV22" s="43"/>
      <c r="OW22" s="43"/>
      <c r="OX22" s="43"/>
      <c r="OY22" s="43"/>
      <c r="OZ22" s="43"/>
      <c r="PA22" s="43"/>
      <c r="PB22" s="43"/>
      <c r="PC22" s="43"/>
      <c r="PD22" s="43"/>
      <c r="PE22" s="43"/>
      <c r="PF22" s="43"/>
      <c r="PG22" s="43"/>
      <c r="PH22" s="43"/>
      <c r="PI22" s="43"/>
      <c r="PJ22" s="43"/>
      <c r="PK22" s="43"/>
      <c r="PL22" s="43"/>
      <c r="PM22" s="43"/>
      <c r="PN22" s="43"/>
      <c r="PO22" s="43"/>
      <c r="PP22" s="43"/>
      <c r="PQ22" s="43"/>
      <c r="PR22" s="43"/>
      <c r="PS22" s="43"/>
      <c r="PT22" s="43"/>
      <c r="PU22" s="43"/>
      <c r="PV22" s="43"/>
      <c r="PW22" s="43"/>
      <c r="PX22" s="43"/>
      <c r="PY22" s="43"/>
      <c r="PZ22" s="43"/>
      <c r="QA22" s="43"/>
      <c r="QB22" s="43"/>
      <c r="QC22" s="43"/>
    </row>
    <row r="23" spans="1:445" x14ac:dyDescent="0.3">
      <c r="A23" s="85" t="s">
        <v>52</v>
      </c>
      <c r="B23" s="84" t="s">
        <v>73</v>
      </c>
      <c r="C23" s="84" t="s">
        <v>111</v>
      </c>
      <c r="D23" s="84" t="s">
        <v>105</v>
      </c>
      <c r="E23" s="84">
        <v>80</v>
      </c>
      <c r="F23" s="84">
        <v>1170</v>
      </c>
      <c r="G23" s="84"/>
      <c r="H23" s="84">
        <v>720</v>
      </c>
      <c r="I23" s="84">
        <v>450</v>
      </c>
      <c r="J23" s="84"/>
      <c r="K23" s="84"/>
      <c r="L23" s="84">
        <v>500</v>
      </c>
      <c r="M23" s="84"/>
      <c r="N23" s="84"/>
      <c r="O23" s="84"/>
      <c r="P23" s="84"/>
      <c r="Q23" s="84"/>
      <c r="R23" s="84"/>
      <c r="S23" s="84"/>
      <c r="T23" s="46">
        <f t="shared" si="2"/>
        <v>1670</v>
      </c>
      <c r="U23" s="46">
        <f t="shared" si="3"/>
        <v>-500</v>
      </c>
      <c r="V23" s="72">
        <f t="shared" si="4"/>
        <v>1.4957264957264957</v>
      </c>
      <c r="W23" s="48"/>
      <c r="X23" s="73" t="str">
        <f t="shared" si="5"/>
        <v/>
      </c>
      <c r="Y23" s="79"/>
      <c r="Z23" s="78">
        <v>6972172282</v>
      </c>
      <c r="AA23" s="78">
        <v>6983927527</v>
      </c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43"/>
      <c r="CY23" s="43"/>
      <c r="CZ23" s="43"/>
      <c r="DA23" s="43"/>
      <c r="DB23" s="43"/>
      <c r="DC23" s="43"/>
      <c r="DD23" s="43"/>
      <c r="DE23" s="43"/>
      <c r="DF23" s="43"/>
      <c r="DG23" s="43"/>
      <c r="DH23" s="43"/>
      <c r="DI23" s="43"/>
      <c r="DJ23" s="43"/>
      <c r="DK23" s="43"/>
      <c r="DL23" s="43"/>
      <c r="DM23" s="43"/>
      <c r="DN23" s="43"/>
      <c r="DO23" s="43"/>
      <c r="DP23" s="43"/>
      <c r="DQ23" s="43"/>
      <c r="DR23" s="43"/>
      <c r="DS23" s="43"/>
      <c r="DT23" s="43"/>
      <c r="DU23" s="43"/>
      <c r="DV23" s="43"/>
      <c r="DW23" s="43"/>
      <c r="DX23" s="43"/>
      <c r="DY23" s="43"/>
      <c r="DZ23" s="43"/>
      <c r="EA23" s="43"/>
      <c r="EB23" s="43"/>
      <c r="EC23" s="43"/>
      <c r="ED23" s="43"/>
      <c r="EE23" s="43"/>
      <c r="EF23" s="43"/>
      <c r="EG23" s="43"/>
      <c r="EH23" s="43"/>
      <c r="EI23" s="43"/>
      <c r="EJ23" s="43"/>
      <c r="EK23" s="43"/>
      <c r="EL23" s="43"/>
      <c r="EM23" s="43"/>
      <c r="EN23" s="43"/>
      <c r="EO23" s="43"/>
      <c r="EP23" s="43"/>
      <c r="EQ23" s="43"/>
      <c r="ER23" s="43"/>
      <c r="ES23" s="43"/>
      <c r="ET23" s="43"/>
      <c r="EU23" s="43"/>
      <c r="EV23" s="43"/>
      <c r="EW23" s="43"/>
      <c r="EX23" s="43"/>
      <c r="EY23" s="43"/>
      <c r="EZ23" s="43"/>
      <c r="FA23" s="43"/>
      <c r="FB23" s="43"/>
      <c r="FC23" s="43"/>
      <c r="FD23" s="43"/>
      <c r="FE23" s="43"/>
      <c r="FF23" s="43"/>
      <c r="FG23" s="43"/>
      <c r="FH23" s="43"/>
      <c r="FI23" s="43"/>
      <c r="FJ23" s="43"/>
      <c r="FK23" s="43"/>
      <c r="FL23" s="43"/>
      <c r="FM23" s="43"/>
      <c r="FN23" s="43"/>
      <c r="FO23" s="43"/>
      <c r="FP23" s="43"/>
      <c r="FQ23" s="43"/>
      <c r="FR23" s="43"/>
      <c r="FS23" s="43"/>
      <c r="FT23" s="43"/>
      <c r="FU23" s="43"/>
      <c r="FV23" s="43"/>
      <c r="FW23" s="43"/>
      <c r="FX23" s="43"/>
      <c r="FY23" s="43"/>
      <c r="FZ23" s="43"/>
      <c r="GA23" s="43"/>
      <c r="GB23" s="43"/>
      <c r="GC23" s="43"/>
      <c r="GD23" s="43"/>
      <c r="GE23" s="43"/>
      <c r="GF23" s="43"/>
      <c r="GG23" s="43"/>
      <c r="GH23" s="43"/>
      <c r="GI23" s="43"/>
      <c r="GJ23" s="43"/>
      <c r="GK23" s="43"/>
      <c r="GL23" s="43"/>
      <c r="GM23" s="43"/>
      <c r="GN23" s="43"/>
      <c r="GO23" s="43"/>
      <c r="GP23" s="43"/>
      <c r="GQ23" s="43"/>
      <c r="GR23" s="43"/>
      <c r="GS23" s="43"/>
      <c r="GT23" s="43"/>
      <c r="GU23" s="43"/>
      <c r="GV23" s="43"/>
      <c r="GW23" s="43"/>
      <c r="GX23" s="43"/>
      <c r="GY23" s="43"/>
      <c r="GZ23" s="43"/>
      <c r="HA23" s="43"/>
      <c r="HB23" s="43"/>
      <c r="HC23" s="43"/>
      <c r="HD23" s="43"/>
      <c r="HE23" s="43"/>
      <c r="HF23" s="43"/>
      <c r="HG23" s="43"/>
      <c r="HH23" s="43"/>
      <c r="HI23" s="43"/>
      <c r="HJ23" s="43"/>
      <c r="HK23" s="43"/>
      <c r="HL23" s="43"/>
      <c r="HM23" s="43"/>
      <c r="HN23" s="43"/>
      <c r="HO23" s="43"/>
      <c r="HP23" s="43"/>
      <c r="HQ23" s="43"/>
      <c r="HR23" s="43"/>
      <c r="HS23" s="43"/>
      <c r="HT23" s="43"/>
      <c r="HU23" s="43"/>
      <c r="HV23" s="43"/>
      <c r="HW23" s="43"/>
      <c r="HX23" s="43"/>
      <c r="HY23" s="43"/>
      <c r="HZ23" s="43"/>
      <c r="IA23" s="43"/>
      <c r="IB23" s="43"/>
      <c r="IC23" s="43"/>
      <c r="ID23" s="43"/>
      <c r="IE23" s="43"/>
      <c r="IF23" s="43"/>
      <c r="IG23" s="43"/>
      <c r="IH23" s="43"/>
      <c r="II23" s="43"/>
      <c r="IJ23" s="43"/>
      <c r="IK23" s="43"/>
      <c r="IL23" s="43"/>
      <c r="IM23" s="43"/>
      <c r="IN23" s="43"/>
      <c r="IO23" s="43"/>
      <c r="IP23" s="43"/>
      <c r="IQ23" s="43"/>
      <c r="IR23" s="43"/>
      <c r="IS23" s="43"/>
      <c r="IT23" s="43"/>
      <c r="IU23" s="43"/>
      <c r="IV23" s="43"/>
      <c r="IW23" s="43"/>
      <c r="IX23" s="43"/>
      <c r="IY23" s="43"/>
      <c r="IZ23" s="43"/>
      <c r="JA23" s="43"/>
      <c r="JB23" s="43"/>
      <c r="JC23" s="43"/>
      <c r="JD23" s="43"/>
      <c r="JE23" s="43"/>
      <c r="JF23" s="43"/>
      <c r="JG23" s="43"/>
      <c r="JH23" s="43"/>
      <c r="JI23" s="43"/>
      <c r="JJ23" s="43"/>
      <c r="JK23" s="43"/>
      <c r="JL23" s="43"/>
      <c r="JM23" s="43"/>
      <c r="JN23" s="43"/>
      <c r="JO23" s="43"/>
      <c r="JP23" s="43"/>
      <c r="JQ23" s="43"/>
      <c r="JR23" s="43"/>
      <c r="JS23" s="43"/>
      <c r="JT23" s="43"/>
      <c r="JU23" s="43"/>
      <c r="JV23" s="43"/>
      <c r="JW23" s="43"/>
      <c r="JX23" s="43"/>
      <c r="JY23" s="43"/>
      <c r="JZ23" s="43"/>
      <c r="KA23" s="43"/>
      <c r="KB23" s="43"/>
      <c r="KC23" s="43"/>
      <c r="KD23" s="43"/>
      <c r="KE23" s="43"/>
      <c r="KF23" s="43"/>
      <c r="KG23" s="43"/>
      <c r="KH23" s="43"/>
      <c r="KI23" s="43"/>
      <c r="KJ23" s="43"/>
      <c r="KK23" s="43"/>
      <c r="KL23" s="43"/>
      <c r="KM23" s="43"/>
      <c r="KN23" s="43"/>
      <c r="KO23" s="43"/>
      <c r="KP23" s="43"/>
      <c r="KQ23" s="43"/>
      <c r="KR23" s="43"/>
      <c r="KS23" s="43"/>
      <c r="KT23" s="43"/>
      <c r="KU23" s="43"/>
      <c r="KV23" s="43"/>
      <c r="KW23" s="43"/>
      <c r="KX23" s="43"/>
      <c r="KY23" s="43"/>
      <c r="KZ23" s="43"/>
      <c r="LA23" s="43"/>
      <c r="LB23" s="43"/>
      <c r="LC23" s="43"/>
      <c r="LD23" s="43"/>
      <c r="LE23" s="43"/>
      <c r="LF23" s="43"/>
      <c r="LG23" s="43"/>
      <c r="LH23" s="43"/>
      <c r="LI23" s="43"/>
      <c r="LJ23" s="43"/>
      <c r="LK23" s="43"/>
      <c r="LL23" s="43"/>
      <c r="LM23" s="43"/>
      <c r="LN23" s="43"/>
      <c r="LO23" s="43"/>
      <c r="LP23" s="43"/>
      <c r="LQ23" s="43"/>
      <c r="LR23" s="43"/>
      <c r="LS23" s="43"/>
      <c r="LT23" s="43"/>
      <c r="LU23" s="43"/>
      <c r="LV23" s="43"/>
      <c r="LW23" s="43"/>
      <c r="LX23" s="43"/>
      <c r="LY23" s="43"/>
      <c r="LZ23" s="43"/>
      <c r="MA23" s="43"/>
      <c r="MB23" s="43"/>
      <c r="MC23" s="43"/>
      <c r="MD23" s="43"/>
      <c r="ME23" s="43"/>
      <c r="MF23" s="43"/>
      <c r="MG23" s="43"/>
      <c r="MH23" s="43"/>
      <c r="MI23" s="43"/>
      <c r="MJ23" s="43"/>
      <c r="MK23" s="43"/>
      <c r="ML23" s="43"/>
      <c r="MM23" s="43"/>
      <c r="MN23" s="43"/>
      <c r="MO23" s="43"/>
      <c r="MP23" s="43"/>
      <c r="MQ23" s="43"/>
      <c r="MR23" s="43"/>
      <c r="MS23" s="43"/>
      <c r="MT23" s="43"/>
      <c r="MU23" s="43"/>
      <c r="MV23" s="43"/>
      <c r="MW23" s="43"/>
      <c r="MX23" s="43"/>
      <c r="MY23" s="43"/>
      <c r="MZ23" s="43"/>
      <c r="NA23" s="43"/>
      <c r="NB23" s="43"/>
      <c r="NC23" s="43"/>
      <c r="ND23" s="43"/>
      <c r="NE23" s="43"/>
      <c r="NF23" s="43"/>
      <c r="NG23" s="43"/>
      <c r="NH23" s="43"/>
      <c r="NI23" s="43"/>
      <c r="NJ23" s="43"/>
      <c r="NK23" s="43"/>
      <c r="NL23" s="43"/>
      <c r="NM23" s="43"/>
      <c r="NN23" s="43"/>
      <c r="NO23" s="43"/>
      <c r="NP23" s="43"/>
      <c r="NQ23" s="43"/>
      <c r="NR23" s="43"/>
      <c r="NS23" s="43"/>
      <c r="NT23" s="43"/>
      <c r="NU23" s="43"/>
      <c r="NV23" s="43"/>
      <c r="NW23" s="43"/>
      <c r="NX23" s="43"/>
      <c r="NY23" s="43"/>
      <c r="NZ23" s="43"/>
      <c r="OA23" s="43"/>
      <c r="OB23" s="43"/>
      <c r="OC23" s="43"/>
      <c r="OD23" s="43"/>
      <c r="OE23" s="43"/>
      <c r="OF23" s="43"/>
      <c r="OG23" s="43"/>
      <c r="OH23" s="43"/>
      <c r="OI23" s="43"/>
      <c r="OJ23" s="43"/>
      <c r="OK23" s="43"/>
      <c r="OL23" s="43"/>
      <c r="OM23" s="43"/>
      <c r="ON23" s="43"/>
      <c r="OO23" s="43"/>
      <c r="OP23" s="43"/>
      <c r="OQ23" s="43"/>
      <c r="OR23" s="43"/>
      <c r="OS23" s="43"/>
      <c r="OT23" s="43"/>
      <c r="OU23" s="43"/>
      <c r="OV23" s="43"/>
      <c r="OW23" s="43"/>
      <c r="OX23" s="43"/>
      <c r="OY23" s="43"/>
      <c r="OZ23" s="43"/>
      <c r="PA23" s="43"/>
      <c r="PB23" s="43"/>
      <c r="PC23" s="43"/>
      <c r="PD23" s="43"/>
      <c r="PE23" s="43"/>
      <c r="PF23" s="43"/>
      <c r="PG23" s="43"/>
      <c r="PH23" s="43"/>
      <c r="PI23" s="43"/>
      <c r="PJ23" s="43"/>
      <c r="PK23" s="43"/>
      <c r="PL23" s="43"/>
      <c r="PM23" s="43"/>
      <c r="PN23" s="43"/>
      <c r="PO23" s="43"/>
      <c r="PP23" s="43"/>
      <c r="PQ23" s="43"/>
      <c r="PR23" s="43"/>
      <c r="PS23" s="43"/>
      <c r="PT23" s="43"/>
      <c r="PU23" s="43"/>
      <c r="PV23" s="43"/>
      <c r="PW23" s="43"/>
      <c r="PX23" s="43"/>
      <c r="PY23" s="43"/>
      <c r="PZ23" s="43"/>
      <c r="QA23" s="43"/>
      <c r="QB23" s="43"/>
      <c r="QC23" s="43"/>
    </row>
    <row r="24" spans="1:445" x14ac:dyDescent="0.3">
      <c r="A24" s="85" t="s">
        <v>122</v>
      </c>
      <c r="B24" s="84" t="s">
        <v>73</v>
      </c>
      <c r="C24" s="84" t="s">
        <v>106</v>
      </c>
      <c r="D24" s="84" t="s">
        <v>138</v>
      </c>
      <c r="E24" s="84">
        <v>80</v>
      </c>
      <c r="F24" s="84">
        <v>1080</v>
      </c>
      <c r="G24" s="90"/>
      <c r="H24" s="84"/>
      <c r="I24" s="84">
        <v>120</v>
      </c>
      <c r="J24" s="84">
        <v>120</v>
      </c>
      <c r="K24" s="84">
        <v>120</v>
      </c>
      <c r="L24" s="84">
        <v>120</v>
      </c>
      <c r="M24" s="84"/>
      <c r="N24" s="84"/>
      <c r="O24" s="84"/>
      <c r="P24" s="84"/>
      <c r="Q24" s="84"/>
      <c r="R24" s="84"/>
      <c r="S24" s="84"/>
      <c r="T24" s="46">
        <f t="shared" si="2"/>
        <v>480</v>
      </c>
      <c r="U24" s="46">
        <f t="shared" si="3"/>
        <v>600</v>
      </c>
      <c r="V24" s="72">
        <f t="shared" si="4"/>
        <v>0.51851851851851849</v>
      </c>
      <c r="X24" s="73" t="str">
        <f t="shared" si="5"/>
        <v/>
      </c>
    </row>
    <row r="25" spans="1:445" s="50" customFormat="1" x14ac:dyDescent="0.3">
      <c r="A25" s="85" t="s">
        <v>27</v>
      </c>
      <c r="B25" s="84" t="s">
        <v>73</v>
      </c>
      <c r="C25" s="84" t="s">
        <v>149</v>
      </c>
      <c r="D25" s="84" t="s">
        <v>138</v>
      </c>
      <c r="E25" s="84"/>
      <c r="F25" s="84">
        <v>1800</v>
      </c>
      <c r="G25" s="84"/>
      <c r="H25" s="84">
        <v>100</v>
      </c>
      <c r="I25" s="84">
        <v>200</v>
      </c>
      <c r="J25" s="84">
        <v>200</v>
      </c>
      <c r="K25" s="84">
        <v>200</v>
      </c>
      <c r="L25" s="84">
        <v>200</v>
      </c>
      <c r="M25" s="84"/>
      <c r="N25" s="84"/>
      <c r="O25" s="84"/>
      <c r="P25" s="84"/>
      <c r="Q25" s="84"/>
      <c r="R25" s="84"/>
      <c r="S25" s="84"/>
      <c r="T25" s="46">
        <f t="shared" si="2"/>
        <v>900</v>
      </c>
      <c r="U25" s="46">
        <f t="shared" si="3"/>
        <v>900</v>
      </c>
      <c r="V25" s="72">
        <f t="shared" si="4"/>
        <v>0.5</v>
      </c>
      <c r="W25" s="48"/>
      <c r="X25" s="73" t="str">
        <f t="shared" si="5"/>
        <v/>
      </c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43"/>
      <c r="CY25" s="43"/>
      <c r="CZ25" s="43"/>
      <c r="DA25" s="43"/>
      <c r="DB25" s="43"/>
      <c r="DC25" s="43"/>
      <c r="DD25" s="43"/>
      <c r="DE25" s="43"/>
      <c r="DF25" s="43"/>
      <c r="DG25" s="43"/>
      <c r="DH25" s="43"/>
      <c r="DI25" s="43"/>
      <c r="DJ25" s="43"/>
      <c r="DK25" s="43"/>
      <c r="DL25" s="43"/>
      <c r="DM25" s="43"/>
      <c r="DN25" s="43"/>
      <c r="DO25" s="43"/>
      <c r="DP25" s="43"/>
      <c r="DQ25" s="43"/>
      <c r="DR25" s="43"/>
      <c r="DS25" s="43"/>
      <c r="DT25" s="43"/>
      <c r="DU25" s="43"/>
      <c r="DV25" s="43"/>
      <c r="DW25" s="43"/>
      <c r="DX25" s="43"/>
      <c r="DY25" s="43"/>
      <c r="DZ25" s="43"/>
      <c r="EA25" s="43"/>
      <c r="EB25" s="43"/>
      <c r="EC25" s="43"/>
      <c r="ED25" s="43"/>
      <c r="EE25" s="43"/>
      <c r="EF25" s="43"/>
      <c r="EG25" s="43"/>
      <c r="EH25" s="43"/>
      <c r="EI25" s="43"/>
      <c r="EJ25" s="43"/>
      <c r="EK25" s="43"/>
      <c r="EL25" s="43"/>
      <c r="EM25" s="43"/>
      <c r="EN25" s="43"/>
      <c r="EO25" s="43"/>
      <c r="EP25" s="43"/>
      <c r="EQ25" s="43"/>
      <c r="ER25" s="43"/>
      <c r="ES25" s="43"/>
      <c r="ET25" s="43"/>
      <c r="EU25" s="43"/>
      <c r="EV25" s="43"/>
      <c r="EW25" s="43"/>
      <c r="EX25" s="43"/>
      <c r="EY25" s="43"/>
      <c r="EZ25" s="43"/>
      <c r="FA25" s="43"/>
      <c r="FB25" s="43"/>
      <c r="FC25" s="43"/>
      <c r="FD25" s="43"/>
      <c r="FE25" s="43"/>
      <c r="FF25" s="43"/>
      <c r="FG25" s="43"/>
      <c r="FH25" s="43"/>
      <c r="FI25" s="43"/>
      <c r="FJ25" s="43"/>
      <c r="FK25" s="43"/>
      <c r="FL25" s="43"/>
      <c r="FM25" s="43"/>
      <c r="FN25" s="43"/>
      <c r="FO25" s="43"/>
      <c r="FP25" s="43"/>
      <c r="FQ25" s="43"/>
      <c r="FR25" s="43"/>
      <c r="FS25" s="43"/>
      <c r="FT25" s="43"/>
      <c r="FU25" s="43"/>
      <c r="FV25" s="43"/>
      <c r="FW25" s="43"/>
      <c r="FX25" s="43"/>
      <c r="FY25" s="43"/>
      <c r="FZ25" s="43"/>
      <c r="GA25" s="43"/>
      <c r="GB25" s="43"/>
      <c r="GC25" s="43"/>
      <c r="GD25" s="43"/>
      <c r="GE25" s="43"/>
      <c r="GF25" s="43"/>
      <c r="GG25" s="43"/>
      <c r="GH25" s="43"/>
      <c r="GI25" s="43"/>
      <c r="GJ25" s="43"/>
      <c r="GK25" s="43"/>
      <c r="GL25" s="43"/>
      <c r="GM25" s="43"/>
      <c r="GN25" s="43"/>
      <c r="GO25" s="43"/>
      <c r="GP25" s="43"/>
      <c r="GQ25" s="43"/>
      <c r="GR25" s="43"/>
      <c r="GS25" s="43"/>
      <c r="GT25" s="43"/>
      <c r="GU25" s="43"/>
      <c r="GV25" s="43"/>
      <c r="GW25" s="43"/>
      <c r="GX25" s="43"/>
      <c r="GY25" s="43"/>
      <c r="GZ25" s="43"/>
      <c r="HA25" s="43"/>
      <c r="HB25" s="43"/>
      <c r="HC25" s="43"/>
      <c r="HD25" s="43"/>
      <c r="HE25" s="43"/>
      <c r="HF25" s="43"/>
      <c r="HG25" s="43"/>
      <c r="HH25" s="43"/>
      <c r="HI25" s="43"/>
      <c r="HJ25" s="43"/>
      <c r="HK25" s="43"/>
      <c r="HL25" s="43"/>
      <c r="HM25" s="43"/>
      <c r="HN25" s="43"/>
      <c r="HO25" s="43"/>
      <c r="HP25" s="43"/>
      <c r="HQ25" s="43"/>
      <c r="HR25" s="43"/>
      <c r="HS25" s="43"/>
      <c r="HT25" s="43"/>
      <c r="HU25" s="43"/>
      <c r="HV25" s="43"/>
      <c r="HW25" s="43"/>
      <c r="HX25" s="43"/>
      <c r="HY25" s="43"/>
      <c r="HZ25" s="43"/>
      <c r="IA25" s="43"/>
      <c r="IB25" s="43"/>
      <c r="IC25" s="43"/>
      <c r="ID25" s="43"/>
      <c r="IE25" s="43"/>
      <c r="IF25" s="43"/>
      <c r="IG25" s="43"/>
      <c r="IH25" s="43"/>
      <c r="II25" s="43"/>
      <c r="IJ25" s="43"/>
      <c r="IK25" s="43"/>
      <c r="IL25" s="43"/>
      <c r="IM25" s="43"/>
      <c r="IN25" s="43"/>
      <c r="IO25" s="43"/>
      <c r="IP25" s="43"/>
      <c r="IQ25" s="43"/>
      <c r="IR25" s="43"/>
      <c r="IS25" s="43"/>
      <c r="IT25" s="43"/>
      <c r="IU25" s="43"/>
      <c r="IV25" s="43"/>
      <c r="IW25" s="43"/>
      <c r="IX25" s="43"/>
      <c r="IY25" s="43"/>
      <c r="IZ25" s="43"/>
      <c r="JA25" s="43"/>
      <c r="JB25" s="43"/>
      <c r="JC25" s="43"/>
      <c r="JD25" s="43"/>
      <c r="JE25" s="43"/>
      <c r="JF25" s="43"/>
      <c r="JG25" s="43"/>
      <c r="JH25" s="43"/>
      <c r="JI25" s="43"/>
      <c r="JJ25" s="43"/>
      <c r="JK25" s="43"/>
      <c r="JL25" s="43"/>
      <c r="JM25" s="43"/>
      <c r="JN25" s="43"/>
      <c r="JO25" s="43"/>
      <c r="JP25" s="43"/>
      <c r="JQ25" s="43"/>
      <c r="JR25" s="43"/>
      <c r="JS25" s="43"/>
      <c r="JT25" s="43"/>
      <c r="JU25" s="43"/>
      <c r="JV25" s="43"/>
      <c r="JW25" s="43"/>
      <c r="JX25" s="43"/>
      <c r="JY25" s="43"/>
      <c r="JZ25" s="43"/>
      <c r="KA25" s="43"/>
      <c r="KB25" s="43"/>
      <c r="KC25" s="43"/>
      <c r="KD25" s="43"/>
      <c r="KE25" s="43"/>
      <c r="KF25" s="43"/>
      <c r="KG25" s="43"/>
      <c r="KH25" s="43"/>
      <c r="KI25" s="43"/>
      <c r="KJ25" s="43"/>
      <c r="KK25" s="43"/>
      <c r="KL25" s="43"/>
      <c r="KM25" s="43"/>
      <c r="KN25" s="43"/>
      <c r="KO25" s="43"/>
      <c r="KP25" s="43"/>
      <c r="KQ25" s="43"/>
      <c r="KR25" s="43"/>
      <c r="KS25" s="43"/>
      <c r="KT25" s="43"/>
      <c r="KU25" s="43"/>
      <c r="KV25" s="43"/>
      <c r="KW25" s="43"/>
      <c r="KX25" s="43"/>
      <c r="KY25" s="43"/>
      <c r="KZ25" s="43"/>
      <c r="LA25" s="43"/>
      <c r="LB25" s="43"/>
      <c r="LC25" s="43"/>
      <c r="LD25" s="43"/>
      <c r="LE25" s="43"/>
      <c r="LF25" s="43"/>
      <c r="LG25" s="43"/>
      <c r="LH25" s="43"/>
      <c r="LI25" s="43"/>
      <c r="LJ25" s="43"/>
      <c r="LK25" s="43"/>
      <c r="LL25" s="43"/>
      <c r="LM25" s="43"/>
      <c r="LN25" s="43"/>
      <c r="LO25" s="43"/>
      <c r="LP25" s="43"/>
      <c r="LQ25" s="43"/>
      <c r="LR25" s="43"/>
      <c r="LS25" s="43"/>
      <c r="LT25" s="43"/>
      <c r="LU25" s="43"/>
      <c r="LV25" s="43"/>
      <c r="LW25" s="43"/>
      <c r="LX25" s="43"/>
      <c r="LY25" s="43"/>
      <c r="LZ25" s="43"/>
      <c r="MA25" s="43"/>
      <c r="MB25" s="43"/>
      <c r="MC25" s="43"/>
      <c r="MD25" s="43"/>
      <c r="ME25" s="43"/>
      <c r="MF25" s="43"/>
      <c r="MG25" s="43"/>
      <c r="MH25" s="43"/>
      <c r="MI25" s="43"/>
      <c r="MJ25" s="43"/>
      <c r="MK25" s="43"/>
      <c r="ML25" s="43"/>
      <c r="MM25" s="43"/>
      <c r="MN25" s="43"/>
      <c r="MO25" s="43"/>
      <c r="MP25" s="43"/>
      <c r="MQ25" s="43"/>
      <c r="MR25" s="43"/>
      <c r="MS25" s="43"/>
      <c r="MT25" s="43"/>
      <c r="MU25" s="43"/>
      <c r="MV25" s="43"/>
      <c r="MW25" s="43"/>
      <c r="MX25" s="43"/>
      <c r="MY25" s="43"/>
      <c r="MZ25" s="43"/>
      <c r="NA25" s="43"/>
      <c r="NB25" s="43"/>
      <c r="NC25" s="43"/>
      <c r="ND25" s="43"/>
      <c r="NE25" s="43"/>
      <c r="NF25" s="43"/>
      <c r="NG25" s="43"/>
      <c r="NH25" s="43"/>
      <c r="NI25" s="43"/>
      <c r="NJ25" s="43"/>
      <c r="NK25" s="43"/>
      <c r="NL25" s="43"/>
      <c r="NM25" s="43"/>
      <c r="NN25" s="43"/>
      <c r="NO25" s="43"/>
      <c r="NP25" s="43"/>
      <c r="NQ25" s="43"/>
      <c r="NR25" s="43"/>
      <c r="NS25" s="43"/>
      <c r="NT25" s="43"/>
      <c r="NU25" s="43"/>
      <c r="NV25" s="43"/>
      <c r="NW25" s="43"/>
      <c r="NX25" s="43"/>
      <c r="NY25" s="43"/>
      <c r="NZ25" s="43"/>
      <c r="OA25" s="43"/>
      <c r="OB25" s="43"/>
      <c r="OC25" s="43"/>
      <c r="OD25" s="43"/>
      <c r="OE25" s="43"/>
      <c r="OF25" s="43"/>
      <c r="OG25" s="43"/>
      <c r="OH25" s="43"/>
      <c r="OI25" s="43"/>
      <c r="OJ25" s="43"/>
      <c r="OK25" s="43"/>
      <c r="OL25" s="43"/>
      <c r="OM25" s="43"/>
      <c r="ON25" s="43"/>
      <c r="OO25" s="43"/>
      <c r="OP25" s="43"/>
      <c r="OQ25" s="43"/>
      <c r="OR25" s="43"/>
      <c r="OS25" s="43"/>
      <c r="OT25" s="43"/>
      <c r="OU25" s="43"/>
      <c r="OV25" s="43"/>
      <c r="OW25" s="43"/>
      <c r="OX25" s="43"/>
      <c r="OY25" s="43"/>
      <c r="OZ25" s="43"/>
      <c r="PA25" s="43"/>
      <c r="PB25" s="43"/>
      <c r="PC25" s="43"/>
      <c r="PD25" s="43"/>
      <c r="PE25" s="43"/>
      <c r="PF25" s="43"/>
      <c r="PG25" s="43"/>
      <c r="PH25" s="43"/>
      <c r="PI25" s="43"/>
      <c r="PJ25" s="43"/>
      <c r="PK25" s="43"/>
      <c r="PL25" s="43"/>
      <c r="PM25" s="43"/>
      <c r="PN25" s="43"/>
      <c r="PO25" s="43"/>
      <c r="PP25" s="43"/>
      <c r="PQ25" s="43"/>
      <c r="PR25" s="43"/>
      <c r="PS25" s="43"/>
      <c r="PT25" s="43"/>
      <c r="PU25" s="43"/>
      <c r="PV25" s="43"/>
      <c r="PW25" s="43"/>
      <c r="PX25" s="43"/>
      <c r="PY25" s="43"/>
      <c r="PZ25" s="43"/>
      <c r="QA25" s="43"/>
      <c r="QB25" s="43"/>
      <c r="QC25" s="43"/>
    </row>
    <row r="26" spans="1:445" s="50" customFormat="1" x14ac:dyDescent="0.3">
      <c r="A26" s="85" t="s">
        <v>154</v>
      </c>
      <c r="B26" s="84"/>
      <c r="C26" s="84" t="s">
        <v>119</v>
      </c>
      <c r="D26" s="84"/>
      <c r="E26" s="84"/>
      <c r="F26" s="84">
        <v>1040</v>
      </c>
      <c r="G26" s="84"/>
      <c r="H26" s="84"/>
      <c r="I26" s="84">
        <v>65</v>
      </c>
      <c r="J26" s="84">
        <v>130</v>
      </c>
      <c r="K26" s="84">
        <v>130</v>
      </c>
      <c r="L26" s="84">
        <v>130</v>
      </c>
      <c r="M26" s="84">
        <v>130</v>
      </c>
      <c r="N26" s="84"/>
      <c r="O26" s="84"/>
      <c r="P26" s="84"/>
      <c r="Q26" s="84"/>
      <c r="R26" s="84"/>
      <c r="S26" s="84"/>
      <c r="T26" s="46">
        <f t="shared" si="2"/>
        <v>585</v>
      </c>
      <c r="U26" s="46">
        <f t="shared" si="3"/>
        <v>455</v>
      </c>
      <c r="V26" s="72">
        <f t="shared" si="4"/>
        <v>0.5625</v>
      </c>
      <c r="W26" s="48"/>
      <c r="X26" s="73" t="str">
        <f t="shared" si="5"/>
        <v/>
      </c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43"/>
      <c r="CY26" s="43"/>
      <c r="CZ26" s="43"/>
      <c r="DA26" s="43"/>
      <c r="DB26" s="43"/>
      <c r="DC26" s="43"/>
      <c r="DD26" s="43"/>
      <c r="DE26" s="43"/>
      <c r="DF26" s="43"/>
      <c r="DG26" s="43"/>
      <c r="DH26" s="43"/>
      <c r="DI26" s="43"/>
      <c r="DJ26" s="43"/>
      <c r="DK26" s="43"/>
      <c r="DL26" s="43"/>
      <c r="DM26" s="43"/>
      <c r="DN26" s="43"/>
      <c r="DO26" s="43"/>
      <c r="DP26" s="43"/>
      <c r="DQ26" s="43"/>
      <c r="DR26" s="43"/>
      <c r="DS26" s="43"/>
      <c r="DT26" s="43"/>
      <c r="DU26" s="43"/>
      <c r="DV26" s="43"/>
      <c r="DW26" s="43"/>
      <c r="DX26" s="43"/>
      <c r="DY26" s="43"/>
      <c r="DZ26" s="43"/>
      <c r="EA26" s="43"/>
      <c r="EB26" s="43"/>
      <c r="EC26" s="43"/>
      <c r="ED26" s="43"/>
      <c r="EE26" s="43"/>
      <c r="EF26" s="43"/>
      <c r="EG26" s="43"/>
      <c r="EH26" s="43"/>
      <c r="EI26" s="43"/>
      <c r="EJ26" s="43"/>
      <c r="EK26" s="43"/>
      <c r="EL26" s="43"/>
      <c r="EM26" s="43"/>
      <c r="EN26" s="43"/>
      <c r="EO26" s="43"/>
      <c r="EP26" s="43"/>
      <c r="EQ26" s="43"/>
      <c r="ER26" s="43"/>
      <c r="ES26" s="43"/>
      <c r="ET26" s="43"/>
      <c r="EU26" s="43"/>
      <c r="EV26" s="43"/>
      <c r="EW26" s="43"/>
      <c r="EX26" s="43"/>
      <c r="EY26" s="43"/>
      <c r="EZ26" s="43"/>
      <c r="FA26" s="43"/>
      <c r="FB26" s="43"/>
      <c r="FC26" s="43"/>
      <c r="FD26" s="43"/>
      <c r="FE26" s="43"/>
      <c r="FF26" s="43"/>
      <c r="FG26" s="43"/>
      <c r="FH26" s="43"/>
      <c r="FI26" s="43"/>
      <c r="FJ26" s="43"/>
      <c r="FK26" s="43"/>
      <c r="FL26" s="43"/>
      <c r="FM26" s="43"/>
      <c r="FN26" s="43"/>
      <c r="FO26" s="43"/>
      <c r="FP26" s="43"/>
      <c r="FQ26" s="43"/>
      <c r="FR26" s="43"/>
      <c r="FS26" s="43"/>
      <c r="FT26" s="43"/>
      <c r="FU26" s="43"/>
      <c r="FV26" s="43"/>
      <c r="FW26" s="43"/>
      <c r="FX26" s="43"/>
      <c r="FY26" s="43"/>
      <c r="FZ26" s="43"/>
      <c r="GA26" s="43"/>
      <c r="GB26" s="43"/>
      <c r="GC26" s="43"/>
      <c r="GD26" s="43"/>
      <c r="GE26" s="43"/>
      <c r="GF26" s="43"/>
      <c r="GG26" s="43"/>
      <c r="GH26" s="43"/>
      <c r="GI26" s="43"/>
      <c r="GJ26" s="43"/>
      <c r="GK26" s="43"/>
      <c r="GL26" s="43"/>
      <c r="GM26" s="43"/>
      <c r="GN26" s="43"/>
      <c r="GO26" s="43"/>
      <c r="GP26" s="43"/>
      <c r="GQ26" s="43"/>
      <c r="GR26" s="43"/>
      <c r="GS26" s="43"/>
      <c r="GT26" s="43"/>
      <c r="GU26" s="43"/>
      <c r="GV26" s="43"/>
      <c r="GW26" s="43"/>
      <c r="GX26" s="43"/>
      <c r="GY26" s="43"/>
      <c r="GZ26" s="43"/>
      <c r="HA26" s="43"/>
      <c r="HB26" s="43"/>
      <c r="HC26" s="43"/>
      <c r="HD26" s="43"/>
      <c r="HE26" s="43"/>
      <c r="HF26" s="43"/>
      <c r="HG26" s="43"/>
      <c r="HH26" s="43"/>
      <c r="HI26" s="43"/>
      <c r="HJ26" s="43"/>
      <c r="HK26" s="43"/>
      <c r="HL26" s="43"/>
      <c r="HM26" s="43"/>
      <c r="HN26" s="43"/>
      <c r="HO26" s="43"/>
      <c r="HP26" s="43"/>
      <c r="HQ26" s="43"/>
      <c r="HR26" s="43"/>
      <c r="HS26" s="43"/>
      <c r="HT26" s="43"/>
      <c r="HU26" s="43"/>
      <c r="HV26" s="43"/>
      <c r="HW26" s="43"/>
      <c r="HX26" s="43"/>
      <c r="HY26" s="43"/>
      <c r="HZ26" s="43"/>
      <c r="IA26" s="43"/>
      <c r="IB26" s="43"/>
      <c r="IC26" s="43"/>
      <c r="ID26" s="43"/>
      <c r="IE26" s="43"/>
      <c r="IF26" s="43"/>
      <c r="IG26" s="43"/>
      <c r="IH26" s="43"/>
      <c r="II26" s="43"/>
      <c r="IJ26" s="43"/>
      <c r="IK26" s="43"/>
      <c r="IL26" s="43"/>
      <c r="IM26" s="43"/>
      <c r="IN26" s="43"/>
      <c r="IO26" s="43"/>
      <c r="IP26" s="43"/>
      <c r="IQ26" s="43"/>
      <c r="IR26" s="43"/>
      <c r="IS26" s="43"/>
      <c r="IT26" s="43"/>
      <c r="IU26" s="43"/>
      <c r="IV26" s="43"/>
      <c r="IW26" s="43"/>
      <c r="IX26" s="43"/>
      <c r="IY26" s="43"/>
      <c r="IZ26" s="43"/>
      <c r="JA26" s="43"/>
      <c r="JB26" s="43"/>
      <c r="JC26" s="43"/>
      <c r="JD26" s="43"/>
      <c r="JE26" s="43"/>
      <c r="JF26" s="43"/>
      <c r="JG26" s="43"/>
      <c r="JH26" s="43"/>
      <c r="JI26" s="43"/>
      <c r="JJ26" s="43"/>
      <c r="JK26" s="43"/>
      <c r="JL26" s="43"/>
      <c r="JM26" s="43"/>
      <c r="JN26" s="43"/>
      <c r="JO26" s="43"/>
      <c r="JP26" s="43"/>
      <c r="JQ26" s="43"/>
      <c r="JR26" s="43"/>
      <c r="JS26" s="43"/>
      <c r="JT26" s="43"/>
      <c r="JU26" s="43"/>
      <c r="JV26" s="43"/>
      <c r="JW26" s="43"/>
      <c r="JX26" s="43"/>
      <c r="JY26" s="43"/>
      <c r="JZ26" s="43"/>
      <c r="KA26" s="43"/>
      <c r="KB26" s="43"/>
      <c r="KC26" s="43"/>
      <c r="KD26" s="43"/>
      <c r="KE26" s="43"/>
      <c r="KF26" s="43"/>
      <c r="KG26" s="43"/>
      <c r="KH26" s="43"/>
      <c r="KI26" s="43"/>
      <c r="KJ26" s="43"/>
      <c r="KK26" s="43"/>
      <c r="KL26" s="43"/>
      <c r="KM26" s="43"/>
      <c r="KN26" s="43"/>
      <c r="KO26" s="43"/>
      <c r="KP26" s="43"/>
      <c r="KQ26" s="43"/>
      <c r="KR26" s="43"/>
      <c r="KS26" s="43"/>
      <c r="KT26" s="43"/>
      <c r="KU26" s="43"/>
      <c r="KV26" s="43"/>
      <c r="KW26" s="43"/>
      <c r="KX26" s="43"/>
      <c r="KY26" s="43"/>
      <c r="KZ26" s="43"/>
      <c r="LA26" s="43"/>
      <c r="LB26" s="43"/>
      <c r="LC26" s="43"/>
      <c r="LD26" s="43"/>
      <c r="LE26" s="43"/>
      <c r="LF26" s="43"/>
      <c r="LG26" s="43"/>
      <c r="LH26" s="43"/>
      <c r="LI26" s="43"/>
      <c r="LJ26" s="43"/>
      <c r="LK26" s="43"/>
      <c r="LL26" s="43"/>
      <c r="LM26" s="43"/>
      <c r="LN26" s="43"/>
      <c r="LO26" s="43"/>
      <c r="LP26" s="43"/>
      <c r="LQ26" s="43"/>
      <c r="LR26" s="43"/>
      <c r="LS26" s="43"/>
      <c r="LT26" s="43"/>
      <c r="LU26" s="43"/>
      <c r="LV26" s="43"/>
      <c r="LW26" s="43"/>
      <c r="LX26" s="43"/>
      <c r="LY26" s="43"/>
      <c r="LZ26" s="43"/>
      <c r="MA26" s="43"/>
      <c r="MB26" s="43"/>
      <c r="MC26" s="43"/>
      <c r="MD26" s="43"/>
      <c r="ME26" s="43"/>
      <c r="MF26" s="43"/>
      <c r="MG26" s="43"/>
      <c r="MH26" s="43"/>
      <c r="MI26" s="43"/>
      <c r="MJ26" s="43"/>
      <c r="MK26" s="43"/>
      <c r="ML26" s="43"/>
      <c r="MM26" s="43"/>
      <c r="MN26" s="43"/>
      <c r="MO26" s="43"/>
      <c r="MP26" s="43"/>
      <c r="MQ26" s="43"/>
      <c r="MR26" s="43"/>
      <c r="MS26" s="43"/>
      <c r="MT26" s="43"/>
      <c r="MU26" s="43"/>
      <c r="MV26" s="43"/>
      <c r="MW26" s="43"/>
      <c r="MX26" s="43"/>
      <c r="MY26" s="43"/>
      <c r="MZ26" s="43"/>
      <c r="NA26" s="43"/>
      <c r="NB26" s="43"/>
      <c r="NC26" s="43"/>
      <c r="ND26" s="43"/>
      <c r="NE26" s="43"/>
      <c r="NF26" s="43"/>
      <c r="NG26" s="43"/>
      <c r="NH26" s="43"/>
      <c r="NI26" s="43"/>
      <c r="NJ26" s="43"/>
      <c r="NK26" s="43"/>
      <c r="NL26" s="43"/>
      <c r="NM26" s="43"/>
      <c r="NN26" s="43"/>
      <c r="NO26" s="43"/>
      <c r="NP26" s="43"/>
      <c r="NQ26" s="43"/>
      <c r="NR26" s="43"/>
      <c r="NS26" s="43"/>
      <c r="NT26" s="43"/>
      <c r="NU26" s="43"/>
      <c r="NV26" s="43"/>
      <c r="NW26" s="43"/>
      <c r="NX26" s="43"/>
      <c r="NY26" s="43"/>
      <c r="NZ26" s="43"/>
      <c r="OA26" s="43"/>
      <c r="OB26" s="43"/>
      <c r="OC26" s="43"/>
      <c r="OD26" s="43"/>
      <c r="OE26" s="43"/>
      <c r="OF26" s="43"/>
      <c r="OG26" s="43"/>
      <c r="OH26" s="43"/>
      <c r="OI26" s="43"/>
      <c r="OJ26" s="43"/>
      <c r="OK26" s="43"/>
      <c r="OL26" s="43"/>
      <c r="OM26" s="43"/>
      <c r="ON26" s="43"/>
      <c r="OO26" s="43"/>
      <c r="OP26" s="43"/>
      <c r="OQ26" s="43"/>
      <c r="OR26" s="43"/>
      <c r="OS26" s="43"/>
      <c r="OT26" s="43"/>
      <c r="OU26" s="43"/>
      <c r="OV26" s="43"/>
      <c r="OW26" s="43"/>
      <c r="OX26" s="43"/>
      <c r="OY26" s="43"/>
      <c r="OZ26" s="43"/>
      <c r="PA26" s="43"/>
      <c r="PB26" s="43"/>
      <c r="PC26" s="43"/>
      <c r="PD26" s="43"/>
      <c r="PE26" s="43"/>
      <c r="PF26" s="43"/>
      <c r="PG26" s="43"/>
      <c r="PH26" s="43"/>
      <c r="PI26" s="43"/>
      <c r="PJ26" s="43"/>
      <c r="PK26" s="43"/>
      <c r="PL26" s="43"/>
      <c r="PM26" s="43"/>
      <c r="PN26" s="43"/>
      <c r="PO26" s="43"/>
      <c r="PP26" s="43"/>
      <c r="PQ26" s="43"/>
      <c r="PR26" s="43"/>
      <c r="PS26" s="43"/>
      <c r="PT26" s="43"/>
      <c r="PU26" s="43"/>
      <c r="PV26" s="43"/>
      <c r="PW26" s="43"/>
      <c r="PX26" s="43"/>
      <c r="PY26" s="43"/>
      <c r="PZ26" s="43"/>
      <c r="QA26" s="43"/>
      <c r="QB26" s="43"/>
      <c r="QC26" s="43"/>
    </row>
    <row r="27" spans="1:445" s="50" customFormat="1" x14ac:dyDescent="0.3">
      <c r="A27" s="85" t="s">
        <v>85</v>
      </c>
      <c r="B27" s="84"/>
      <c r="C27" s="84" t="s">
        <v>155</v>
      </c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46" t="str">
        <f t="shared" si="2"/>
        <v/>
      </c>
      <c r="U27" s="46">
        <f t="shared" si="3"/>
        <v>0</v>
      </c>
      <c r="V27" s="72" t="str">
        <f t="shared" si="4"/>
        <v/>
      </c>
      <c r="W27" s="48" t="s">
        <v>73</v>
      </c>
      <c r="X27" s="73">
        <f t="shared" si="5"/>
        <v>0</v>
      </c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43"/>
      <c r="CY27" s="43"/>
      <c r="CZ27" s="43"/>
      <c r="DA27" s="43"/>
      <c r="DB27" s="43"/>
      <c r="DC27" s="43"/>
      <c r="DD27" s="43"/>
      <c r="DE27" s="43"/>
      <c r="DF27" s="43"/>
      <c r="DG27" s="43"/>
      <c r="DH27" s="43"/>
      <c r="DI27" s="43"/>
      <c r="DJ27" s="43"/>
      <c r="DK27" s="43"/>
      <c r="DL27" s="43"/>
      <c r="DM27" s="43"/>
      <c r="DN27" s="43"/>
      <c r="DO27" s="43"/>
      <c r="DP27" s="43"/>
      <c r="DQ27" s="43"/>
      <c r="DR27" s="43"/>
      <c r="DS27" s="43"/>
      <c r="DT27" s="43"/>
      <c r="DU27" s="43"/>
      <c r="DV27" s="43"/>
      <c r="DW27" s="43"/>
      <c r="DX27" s="43"/>
      <c r="DY27" s="43"/>
      <c r="DZ27" s="43"/>
      <c r="EA27" s="43"/>
      <c r="EB27" s="43"/>
      <c r="EC27" s="43"/>
      <c r="ED27" s="43"/>
      <c r="EE27" s="43"/>
      <c r="EF27" s="43"/>
      <c r="EG27" s="43"/>
      <c r="EH27" s="43"/>
      <c r="EI27" s="43"/>
      <c r="EJ27" s="43"/>
      <c r="EK27" s="43"/>
      <c r="EL27" s="43"/>
      <c r="EM27" s="43"/>
      <c r="EN27" s="43"/>
      <c r="EO27" s="43"/>
      <c r="EP27" s="43"/>
      <c r="EQ27" s="43"/>
      <c r="ER27" s="43"/>
      <c r="ES27" s="43"/>
      <c r="ET27" s="43"/>
      <c r="EU27" s="43"/>
      <c r="EV27" s="43"/>
      <c r="EW27" s="43"/>
      <c r="EX27" s="43"/>
      <c r="EY27" s="43"/>
      <c r="EZ27" s="43"/>
      <c r="FA27" s="43"/>
      <c r="FB27" s="43"/>
      <c r="FC27" s="43"/>
      <c r="FD27" s="43"/>
      <c r="FE27" s="43"/>
      <c r="FF27" s="43"/>
      <c r="FG27" s="43"/>
      <c r="FH27" s="43"/>
      <c r="FI27" s="43"/>
      <c r="FJ27" s="43"/>
      <c r="FK27" s="43"/>
      <c r="FL27" s="43"/>
      <c r="FM27" s="43"/>
      <c r="FN27" s="43"/>
      <c r="FO27" s="43"/>
      <c r="FP27" s="43"/>
      <c r="FQ27" s="43"/>
      <c r="FR27" s="43"/>
      <c r="FS27" s="43"/>
      <c r="FT27" s="43"/>
      <c r="FU27" s="43"/>
      <c r="FV27" s="43"/>
      <c r="FW27" s="43"/>
      <c r="FX27" s="43"/>
      <c r="FY27" s="43"/>
      <c r="FZ27" s="43"/>
      <c r="GA27" s="43"/>
      <c r="GB27" s="43"/>
      <c r="GC27" s="43"/>
      <c r="GD27" s="43"/>
      <c r="GE27" s="43"/>
      <c r="GF27" s="43"/>
      <c r="GG27" s="43"/>
      <c r="GH27" s="43"/>
      <c r="GI27" s="43"/>
      <c r="GJ27" s="43"/>
      <c r="GK27" s="43"/>
      <c r="GL27" s="43"/>
      <c r="GM27" s="43"/>
      <c r="GN27" s="43"/>
      <c r="GO27" s="43"/>
      <c r="GP27" s="43"/>
      <c r="GQ27" s="43"/>
      <c r="GR27" s="43"/>
      <c r="GS27" s="43"/>
      <c r="GT27" s="43"/>
      <c r="GU27" s="43"/>
      <c r="GV27" s="43"/>
      <c r="GW27" s="43"/>
      <c r="GX27" s="43"/>
      <c r="GY27" s="43"/>
      <c r="GZ27" s="43"/>
      <c r="HA27" s="43"/>
      <c r="HB27" s="43"/>
      <c r="HC27" s="43"/>
      <c r="HD27" s="43"/>
      <c r="HE27" s="43"/>
      <c r="HF27" s="43"/>
      <c r="HG27" s="43"/>
      <c r="HH27" s="43"/>
      <c r="HI27" s="43"/>
      <c r="HJ27" s="43"/>
      <c r="HK27" s="43"/>
      <c r="HL27" s="43"/>
      <c r="HM27" s="43"/>
      <c r="HN27" s="43"/>
      <c r="HO27" s="43"/>
      <c r="HP27" s="43"/>
      <c r="HQ27" s="43"/>
      <c r="HR27" s="43"/>
      <c r="HS27" s="43"/>
      <c r="HT27" s="43"/>
      <c r="HU27" s="43"/>
      <c r="HV27" s="43"/>
      <c r="HW27" s="43"/>
      <c r="HX27" s="43"/>
      <c r="HY27" s="43"/>
      <c r="HZ27" s="43"/>
      <c r="IA27" s="43"/>
      <c r="IB27" s="43"/>
      <c r="IC27" s="43"/>
      <c r="ID27" s="43"/>
      <c r="IE27" s="43"/>
      <c r="IF27" s="43"/>
      <c r="IG27" s="43"/>
      <c r="IH27" s="43"/>
      <c r="II27" s="43"/>
      <c r="IJ27" s="43"/>
      <c r="IK27" s="43"/>
      <c r="IL27" s="43"/>
      <c r="IM27" s="43"/>
      <c r="IN27" s="43"/>
      <c r="IO27" s="43"/>
      <c r="IP27" s="43"/>
      <c r="IQ27" s="43"/>
      <c r="IR27" s="43"/>
      <c r="IS27" s="43"/>
      <c r="IT27" s="43"/>
      <c r="IU27" s="43"/>
      <c r="IV27" s="43"/>
      <c r="IW27" s="43"/>
      <c r="IX27" s="43"/>
      <c r="IY27" s="43"/>
      <c r="IZ27" s="43"/>
      <c r="JA27" s="43"/>
      <c r="JB27" s="43"/>
      <c r="JC27" s="43"/>
      <c r="JD27" s="43"/>
      <c r="JE27" s="43"/>
      <c r="JF27" s="43"/>
      <c r="JG27" s="43"/>
      <c r="JH27" s="43"/>
      <c r="JI27" s="43"/>
      <c r="JJ27" s="43"/>
      <c r="JK27" s="43"/>
      <c r="JL27" s="43"/>
      <c r="JM27" s="43"/>
      <c r="JN27" s="43"/>
      <c r="JO27" s="43"/>
      <c r="JP27" s="43"/>
      <c r="JQ27" s="43"/>
      <c r="JR27" s="43"/>
      <c r="JS27" s="43"/>
      <c r="JT27" s="43"/>
      <c r="JU27" s="43"/>
      <c r="JV27" s="43"/>
      <c r="JW27" s="43"/>
      <c r="JX27" s="43"/>
      <c r="JY27" s="43"/>
      <c r="JZ27" s="43"/>
      <c r="KA27" s="43"/>
      <c r="KB27" s="43"/>
      <c r="KC27" s="43"/>
      <c r="KD27" s="43"/>
      <c r="KE27" s="43"/>
      <c r="KF27" s="43"/>
      <c r="KG27" s="43"/>
      <c r="KH27" s="43"/>
      <c r="KI27" s="43"/>
      <c r="KJ27" s="43"/>
      <c r="KK27" s="43"/>
      <c r="KL27" s="43"/>
      <c r="KM27" s="43"/>
      <c r="KN27" s="43"/>
      <c r="KO27" s="43"/>
      <c r="KP27" s="43"/>
      <c r="KQ27" s="43"/>
      <c r="KR27" s="43"/>
      <c r="KS27" s="43"/>
      <c r="KT27" s="43"/>
      <c r="KU27" s="43"/>
      <c r="KV27" s="43"/>
      <c r="KW27" s="43"/>
      <c r="KX27" s="43"/>
      <c r="KY27" s="43"/>
      <c r="KZ27" s="43"/>
      <c r="LA27" s="43"/>
      <c r="LB27" s="43"/>
      <c r="LC27" s="43"/>
      <c r="LD27" s="43"/>
      <c r="LE27" s="43"/>
      <c r="LF27" s="43"/>
      <c r="LG27" s="43"/>
      <c r="LH27" s="43"/>
      <c r="LI27" s="43"/>
      <c r="LJ27" s="43"/>
      <c r="LK27" s="43"/>
      <c r="LL27" s="43"/>
      <c r="LM27" s="43"/>
      <c r="LN27" s="43"/>
      <c r="LO27" s="43"/>
      <c r="LP27" s="43"/>
      <c r="LQ27" s="43"/>
      <c r="LR27" s="43"/>
      <c r="LS27" s="43"/>
      <c r="LT27" s="43"/>
      <c r="LU27" s="43"/>
      <c r="LV27" s="43"/>
      <c r="LW27" s="43"/>
      <c r="LX27" s="43"/>
      <c r="LY27" s="43"/>
      <c r="LZ27" s="43"/>
      <c r="MA27" s="43"/>
      <c r="MB27" s="43"/>
      <c r="MC27" s="43"/>
      <c r="MD27" s="43"/>
      <c r="ME27" s="43"/>
      <c r="MF27" s="43"/>
      <c r="MG27" s="43"/>
      <c r="MH27" s="43"/>
      <c r="MI27" s="43"/>
      <c r="MJ27" s="43"/>
      <c r="MK27" s="43"/>
      <c r="ML27" s="43"/>
      <c r="MM27" s="43"/>
      <c r="MN27" s="43"/>
      <c r="MO27" s="43"/>
      <c r="MP27" s="43"/>
      <c r="MQ27" s="43"/>
      <c r="MR27" s="43"/>
      <c r="MS27" s="43"/>
      <c r="MT27" s="43"/>
      <c r="MU27" s="43"/>
      <c r="MV27" s="43"/>
      <c r="MW27" s="43"/>
      <c r="MX27" s="43"/>
      <c r="MY27" s="43"/>
      <c r="MZ27" s="43"/>
      <c r="NA27" s="43"/>
      <c r="NB27" s="43"/>
      <c r="NC27" s="43"/>
      <c r="ND27" s="43"/>
      <c r="NE27" s="43"/>
      <c r="NF27" s="43"/>
      <c r="NG27" s="43"/>
      <c r="NH27" s="43"/>
      <c r="NI27" s="43"/>
      <c r="NJ27" s="43"/>
      <c r="NK27" s="43"/>
      <c r="NL27" s="43"/>
      <c r="NM27" s="43"/>
      <c r="NN27" s="43"/>
      <c r="NO27" s="43"/>
      <c r="NP27" s="43"/>
      <c r="NQ27" s="43"/>
      <c r="NR27" s="43"/>
      <c r="NS27" s="43"/>
      <c r="NT27" s="43"/>
      <c r="NU27" s="43"/>
      <c r="NV27" s="43"/>
      <c r="NW27" s="43"/>
      <c r="NX27" s="43"/>
      <c r="NY27" s="43"/>
      <c r="NZ27" s="43"/>
      <c r="OA27" s="43"/>
      <c r="OB27" s="43"/>
      <c r="OC27" s="43"/>
      <c r="OD27" s="43"/>
      <c r="OE27" s="43"/>
      <c r="OF27" s="43"/>
      <c r="OG27" s="43"/>
      <c r="OH27" s="43"/>
      <c r="OI27" s="43"/>
      <c r="OJ27" s="43"/>
      <c r="OK27" s="43"/>
      <c r="OL27" s="43"/>
      <c r="OM27" s="43"/>
      <c r="ON27" s="43"/>
      <c r="OO27" s="43"/>
      <c r="OP27" s="43"/>
      <c r="OQ27" s="43"/>
      <c r="OR27" s="43"/>
      <c r="OS27" s="43"/>
      <c r="OT27" s="43"/>
      <c r="OU27" s="43"/>
      <c r="OV27" s="43"/>
      <c r="OW27" s="43"/>
      <c r="OX27" s="43"/>
      <c r="OY27" s="43"/>
      <c r="OZ27" s="43"/>
      <c r="PA27" s="43"/>
      <c r="PB27" s="43"/>
      <c r="PC27" s="43"/>
      <c r="PD27" s="43"/>
      <c r="PE27" s="43"/>
      <c r="PF27" s="43"/>
      <c r="PG27" s="43"/>
      <c r="PH27" s="43"/>
      <c r="PI27" s="43"/>
      <c r="PJ27" s="43"/>
      <c r="PK27" s="43"/>
      <c r="PL27" s="43"/>
      <c r="PM27" s="43"/>
      <c r="PN27" s="43"/>
      <c r="PO27" s="43"/>
      <c r="PP27" s="43"/>
      <c r="PQ27" s="43"/>
      <c r="PR27" s="43"/>
      <c r="PS27" s="43"/>
      <c r="PT27" s="43"/>
      <c r="PU27" s="43"/>
      <c r="PV27" s="43"/>
      <c r="PW27" s="43"/>
      <c r="PX27" s="43"/>
      <c r="PY27" s="43"/>
      <c r="PZ27" s="43"/>
      <c r="QA27" s="43"/>
      <c r="QB27" s="43"/>
      <c r="QC27" s="43"/>
    </row>
    <row r="28" spans="1:445" s="50" customFormat="1" x14ac:dyDescent="0.3">
      <c r="A28" s="85" t="s">
        <v>156</v>
      </c>
      <c r="B28" s="84"/>
      <c r="C28" s="84" t="s">
        <v>108</v>
      </c>
      <c r="D28" s="84" t="s">
        <v>157</v>
      </c>
      <c r="E28" s="84"/>
      <c r="F28" s="84">
        <v>1125</v>
      </c>
      <c r="G28" s="84"/>
      <c r="H28" s="84"/>
      <c r="I28" s="84"/>
      <c r="J28" s="84">
        <v>150</v>
      </c>
      <c r="K28" s="84">
        <v>150</v>
      </c>
      <c r="L28" s="84">
        <v>150</v>
      </c>
      <c r="M28" s="84"/>
      <c r="N28" s="84"/>
      <c r="O28" s="84"/>
      <c r="P28" s="84"/>
      <c r="Q28" s="84"/>
      <c r="R28" s="84"/>
      <c r="S28" s="84"/>
      <c r="T28" s="46">
        <f t="shared" si="2"/>
        <v>450</v>
      </c>
      <c r="U28" s="46">
        <f t="shared" si="3"/>
        <v>675</v>
      </c>
      <c r="V28" s="72">
        <f>IF(AND(ISBLANK(E28),ISBLANK(F28), ISBLANK(G28), ISBLANK(H28), ISBLANK(I28), ISBLANK(J28), ISBLANK(K28), ISBLANK(L28), ISBLANK(M28),ISBLANK(N28), ISBLANK(O28), ISBLANK(P28), ISBLANK(Q28), ISBLANK(R28), ISBLANK(S28)), "",IFERROR(((F28+E28)-U28)/F28,""))</f>
        <v>0.4</v>
      </c>
      <c r="W28" s="48"/>
      <c r="X28" s="73" t="str">
        <f t="shared" si="5"/>
        <v/>
      </c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43"/>
      <c r="CY28" s="43"/>
      <c r="CZ28" s="43"/>
      <c r="DA28" s="43"/>
      <c r="DB28" s="43"/>
      <c r="DC28" s="43"/>
      <c r="DD28" s="43"/>
      <c r="DE28" s="43"/>
      <c r="DF28" s="43"/>
      <c r="DG28" s="43"/>
      <c r="DH28" s="43"/>
      <c r="DI28" s="43"/>
      <c r="DJ28" s="43"/>
      <c r="DK28" s="43"/>
      <c r="DL28" s="43"/>
      <c r="DM28" s="43"/>
      <c r="DN28" s="43"/>
      <c r="DO28" s="43"/>
      <c r="DP28" s="43"/>
      <c r="DQ28" s="43"/>
      <c r="DR28" s="43"/>
      <c r="DS28" s="43"/>
      <c r="DT28" s="43"/>
      <c r="DU28" s="43"/>
      <c r="DV28" s="43"/>
      <c r="DW28" s="43"/>
      <c r="DX28" s="43"/>
      <c r="DY28" s="43"/>
      <c r="DZ28" s="43"/>
      <c r="EA28" s="43"/>
      <c r="EB28" s="43"/>
      <c r="EC28" s="43"/>
      <c r="ED28" s="43"/>
      <c r="EE28" s="43"/>
      <c r="EF28" s="43"/>
      <c r="EG28" s="43"/>
      <c r="EH28" s="43"/>
      <c r="EI28" s="43"/>
      <c r="EJ28" s="43"/>
      <c r="EK28" s="43"/>
      <c r="EL28" s="43"/>
      <c r="EM28" s="43"/>
      <c r="EN28" s="43"/>
      <c r="EO28" s="43"/>
      <c r="EP28" s="43"/>
      <c r="EQ28" s="43"/>
      <c r="ER28" s="43"/>
      <c r="ES28" s="43"/>
      <c r="ET28" s="43"/>
      <c r="EU28" s="43"/>
      <c r="EV28" s="43"/>
      <c r="EW28" s="43"/>
      <c r="EX28" s="43"/>
      <c r="EY28" s="43"/>
      <c r="EZ28" s="43"/>
      <c r="FA28" s="43"/>
      <c r="FB28" s="43"/>
      <c r="FC28" s="43"/>
      <c r="FD28" s="43"/>
      <c r="FE28" s="43"/>
      <c r="FF28" s="43"/>
      <c r="FG28" s="43"/>
      <c r="FH28" s="43"/>
      <c r="FI28" s="43"/>
      <c r="FJ28" s="43"/>
      <c r="FK28" s="43"/>
      <c r="FL28" s="43"/>
      <c r="FM28" s="43"/>
      <c r="FN28" s="43"/>
      <c r="FO28" s="43"/>
      <c r="FP28" s="43"/>
      <c r="FQ28" s="43"/>
      <c r="FR28" s="43"/>
      <c r="FS28" s="43"/>
      <c r="FT28" s="43"/>
      <c r="FU28" s="43"/>
      <c r="FV28" s="43"/>
      <c r="FW28" s="43"/>
      <c r="FX28" s="43"/>
      <c r="FY28" s="43"/>
      <c r="FZ28" s="43"/>
      <c r="GA28" s="43"/>
      <c r="GB28" s="43"/>
      <c r="GC28" s="43"/>
      <c r="GD28" s="43"/>
      <c r="GE28" s="43"/>
      <c r="GF28" s="43"/>
      <c r="GG28" s="43"/>
      <c r="GH28" s="43"/>
      <c r="GI28" s="43"/>
      <c r="GJ28" s="43"/>
      <c r="GK28" s="43"/>
      <c r="GL28" s="43"/>
      <c r="GM28" s="43"/>
      <c r="GN28" s="43"/>
      <c r="GO28" s="43"/>
      <c r="GP28" s="43"/>
      <c r="GQ28" s="43"/>
      <c r="GR28" s="43"/>
      <c r="GS28" s="43"/>
      <c r="GT28" s="43"/>
      <c r="GU28" s="43"/>
      <c r="GV28" s="43"/>
      <c r="GW28" s="43"/>
      <c r="GX28" s="43"/>
      <c r="GY28" s="43"/>
      <c r="GZ28" s="43"/>
      <c r="HA28" s="43"/>
      <c r="HB28" s="43"/>
      <c r="HC28" s="43"/>
      <c r="HD28" s="43"/>
      <c r="HE28" s="43"/>
      <c r="HF28" s="43"/>
      <c r="HG28" s="43"/>
      <c r="HH28" s="43"/>
      <c r="HI28" s="43"/>
      <c r="HJ28" s="43"/>
      <c r="HK28" s="43"/>
      <c r="HL28" s="43"/>
      <c r="HM28" s="43"/>
      <c r="HN28" s="43"/>
      <c r="HO28" s="43"/>
      <c r="HP28" s="43"/>
      <c r="HQ28" s="43"/>
      <c r="HR28" s="43"/>
      <c r="HS28" s="43"/>
      <c r="HT28" s="43"/>
      <c r="HU28" s="43"/>
      <c r="HV28" s="43"/>
      <c r="HW28" s="43"/>
      <c r="HX28" s="43"/>
      <c r="HY28" s="43"/>
      <c r="HZ28" s="43"/>
      <c r="IA28" s="43"/>
      <c r="IB28" s="43"/>
      <c r="IC28" s="43"/>
      <c r="ID28" s="43"/>
      <c r="IE28" s="43"/>
      <c r="IF28" s="43"/>
      <c r="IG28" s="43"/>
      <c r="IH28" s="43"/>
      <c r="II28" s="43"/>
      <c r="IJ28" s="43"/>
      <c r="IK28" s="43"/>
      <c r="IL28" s="43"/>
      <c r="IM28" s="43"/>
      <c r="IN28" s="43"/>
      <c r="IO28" s="43"/>
      <c r="IP28" s="43"/>
      <c r="IQ28" s="43"/>
      <c r="IR28" s="43"/>
      <c r="IS28" s="43"/>
      <c r="IT28" s="43"/>
      <c r="IU28" s="43"/>
      <c r="IV28" s="43"/>
      <c r="IW28" s="43"/>
      <c r="IX28" s="43"/>
      <c r="IY28" s="43"/>
      <c r="IZ28" s="43"/>
      <c r="JA28" s="43"/>
      <c r="JB28" s="43"/>
      <c r="JC28" s="43"/>
      <c r="JD28" s="43"/>
      <c r="JE28" s="43"/>
      <c r="JF28" s="43"/>
      <c r="JG28" s="43"/>
      <c r="JH28" s="43"/>
      <c r="JI28" s="43"/>
      <c r="JJ28" s="43"/>
      <c r="JK28" s="43"/>
      <c r="JL28" s="43"/>
      <c r="JM28" s="43"/>
      <c r="JN28" s="43"/>
      <c r="JO28" s="43"/>
      <c r="JP28" s="43"/>
      <c r="JQ28" s="43"/>
      <c r="JR28" s="43"/>
      <c r="JS28" s="43"/>
      <c r="JT28" s="43"/>
      <c r="JU28" s="43"/>
      <c r="JV28" s="43"/>
      <c r="JW28" s="43"/>
      <c r="JX28" s="43"/>
      <c r="JY28" s="43"/>
      <c r="JZ28" s="43"/>
      <c r="KA28" s="43"/>
      <c r="KB28" s="43"/>
      <c r="KC28" s="43"/>
      <c r="KD28" s="43"/>
      <c r="KE28" s="43"/>
      <c r="KF28" s="43"/>
      <c r="KG28" s="43"/>
      <c r="KH28" s="43"/>
      <c r="KI28" s="43"/>
      <c r="KJ28" s="43"/>
      <c r="KK28" s="43"/>
      <c r="KL28" s="43"/>
      <c r="KM28" s="43"/>
      <c r="KN28" s="43"/>
      <c r="KO28" s="43"/>
      <c r="KP28" s="43"/>
      <c r="KQ28" s="43"/>
      <c r="KR28" s="43"/>
      <c r="KS28" s="43"/>
      <c r="KT28" s="43"/>
      <c r="KU28" s="43"/>
      <c r="KV28" s="43"/>
      <c r="KW28" s="43"/>
      <c r="KX28" s="43"/>
      <c r="KY28" s="43"/>
      <c r="KZ28" s="43"/>
      <c r="LA28" s="43"/>
      <c r="LB28" s="43"/>
      <c r="LC28" s="43"/>
      <c r="LD28" s="43"/>
      <c r="LE28" s="43"/>
      <c r="LF28" s="43"/>
      <c r="LG28" s="43"/>
      <c r="LH28" s="43"/>
      <c r="LI28" s="43"/>
      <c r="LJ28" s="43"/>
      <c r="LK28" s="43"/>
      <c r="LL28" s="43"/>
      <c r="LM28" s="43"/>
      <c r="LN28" s="43"/>
      <c r="LO28" s="43"/>
      <c r="LP28" s="43"/>
      <c r="LQ28" s="43"/>
      <c r="LR28" s="43"/>
      <c r="LS28" s="43"/>
      <c r="LT28" s="43"/>
      <c r="LU28" s="43"/>
      <c r="LV28" s="43"/>
      <c r="LW28" s="43"/>
      <c r="LX28" s="43"/>
      <c r="LY28" s="43"/>
      <c r="LZ28" s="43"/>
      <c r="MA28" s="43"/>
      <c r="MB28" s="43"/>
      <c r="MC28" s="43"/>
      <c r="MD28" s="43"/>
      <c r="ME28" s="43"/>
      <c r="MF28" s="43"/>
      <c r="MG28" s="43"/>
      <c r="MH28" s="43"/>
      <c r="MI28" s="43"/>
      <c r="MJ28" s="43"/>
      <c r="MK28" s="43"/>
      <c r="ML28" s="43"/>
      <c r="MM28" s="43"/>
      <c r="MN28" s="43"/>
      <c r="MO28" s="43"/>
      <c r="MP28" s="43"/>
      <c r="MQ28" s="43"/>
      <c r="MR28" s="43"/>
      <c r="MS28" s="43"/>
      <c r="MT28" s="43"/>
      <c r="MU28" s="43"/>
      <c r="MV28" s="43"/>
      <c r="MW28" s="43"/>
      <c r="MX28" s="43"/>
      <c r="MY28" s="43"/>
      <c r="MZ28" s="43"/>
      <c r="NA28" s="43"/>
      <c r="NB28" s="43"/>
      <c r="NC28" s="43"/>
      <c r="ND28" s="43"/>
      <c r="NE28" s="43"/>
      <c r="NF28" s="43"/>
      <c r="NG28" s="43"/>
      <c r="NH28" s="43"/>
      <c r="NI28" s="43"/>
      <c r="NJ28" s="43"/>
      <c r="NK28" s="43"/>
      <c r="NL28" s="43"/>
      <c r="NM28" s="43"/>
      <c r="NN28" s="43"/>
      <c r="NO28" s="43"/>
      <c r="NP28" s="43"/>
      <c r="NQ28" s="43"/>
      <c r="NR28" s="43"/>
      <c r="NS28" s="43"/>
      <c r="NT28" s="43"/>
      <c r="NU28" s="43"/>
      <c r="NV28" s="43"/>
      <c r="NW28" s="43"/>
      <c r="NX28" s="43"/>
      <c r="NY28" s="43"/>
      <c r="NZ28" s="43"/>
      <c r="OA28" s="43"/>
      <c r="OB28" s="43"/>
      <c r="OC28" s="43"/>
      <c r="OD28" s="43"/>
      <c r="OE28" s="43"/>
      <c r="OF28" s="43"/>
      <c r="OG28" s="43"/>
      <c r="OH28" s="43"/>
      <c r="OI28" s="43"/>
      <c r="OJ28" s="43"/>
      <c r="OK28" s="43"/>
      <c r="OL28" s="43"/>
      <c r="OM28" s="43"/>
      <c r="ON28" s="43"/>
      <c r="OO28" s="43"/>
      <c r="OP28" s="43"/>
      <c r="OQ28" s="43"/>
      <c r="OR28" s="43"/>
      <c r="OS28" s="43"/>
      <c r="OT28" s="43"/>
      <c r="OU28" s="43"/>
      <c r="OV28" s="43"/>
      <c r="OW28" s="43"/>
      <c r="OX28" s="43"/>
      <c r="OY28" s="43"/>
      <c r="OZ28" s="43"/>
      <c r="PA28" s="43"/>
      <c r="PB28" s="43"/>
      <c r="PC28" s="43"/>
      <c r="PD28" s="43"/>
      <c r="PE28" s="43"/>
      <c r="PF28" s="43"/>
      <c r="PG28" s="43"/>
      <c r="PH28" s="43"/>
      <c r="PI28" s="43"/>
      <c r="PJ28" s="43"/>
      <c r="PK28" s="43"/>
      <c r="PL28" s="43"/>
      <c r="PM28" s="43"/>
      <c r="PN28" s="43"/>
      <c r="PO28" s="43"/>
      <c r="PP28" s="43"/>
      <c r="PQ28" s="43"/>
      <c r="PR28" s="43"/>
      <c r="PS28" s="43"/>
      <c r="PT28" s="43"/>
      <c r="PU28" s="43"/>
      <c r="PV28" s="43"/>
      <c r="PW28" s="43"/>
      <c r="PX28" s="43"/>
      <c r="PY28" s="43"/>
      <c r="PZ28" s="43"/>
      <c r="QA28" s="43"/>
      <c r="QB28" s="43"/>
      <c r="QC28" s="43"/>
    </row>
    <row r="29" spans="1:445" s="50" customFormat="1" x14ac:dyDescent="0.3">
      <c r="A29" s="85" t="s">
        <v>158</v>
      </c>
      <c r="B29" s="84"/>
      <c r="C29" s="84" t="s">
        <v>111</v>
      </c>
      <c r="D29" s="84" t="s">
        <v>152</v>
      </c>
      <c r="E29" s="84">
        <v>40</v>
      </c>
      <c r="F29" s="84">
        <v>1050</v>
      </c>
      <c r="G29" s="84"/>
      <c r="H29" s="84"/>
      <c r="I29" s="84"/>
      <c r="J29" s="84">
        <v>75</v>
      </c>
      <c r="K29" s="84">
        <v>150</v>
      </c>
      <c r="L29" s="84"/>
      <c r="M29" s="84"/>
      <c r="N29" s="84"/>
      <c r="O29" s="84"/>
      <c r="P29" s="84"/>
      <c r="Q29" s="84"/>
      <c r="R29" s="84"/>
      <c r="S29" s="84"/>
      <c r="T29" s="46">
        <f t="shared" si="2"/>
        <v>225</v>
      </c>
      <c r="U29" s="46">
        <f t="shared" si="3"/>
        <v>825</v>
      </c>
      <c r="V29" s="72">
        <f t="shared" si="4"/>
        <v>0.25238095238095237</v>
      </c>
      <c r="W29" s="48"/>
      <c r="X29" s="73" t="str">
        <f t="shared" si="5"/>
        <v/>
      </c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43"/>
      <c r="CY29" s="43"/>
      <c r="CZ29" s="43"/>
      <c r="DA29" s="43"/>
      <c r="DB29" s="43"/>
      <c r="DC29" s="43"/>
      <c r="DD29" s="43"/>
      <c r="DE29" s="43"/>
      <c r="DF29" s="43"/>
      <c r="DG29" s="43"/>
      <c r="DH29" s="43"/>
      <c r="DI29" s="43"/>
      <c r="DJ29" s="43"/>
      <c r="DK29" s="43"/>
      <c r="DL29" s="43"/>
      <c r="DM29" s="43"/>
      <c r="DN29" s="43"/>
      <c r="DO29" s="43"/>
      <c r="DP29" s="43"/>
      <c r="DQ29" s="43"/>
      <c r="DR29" s="43"/>
      <c r="DS29" s="43"/>
      <c r="DT29" s="43"/>
      <c r="DU29" s="43"/>
      <c r="DV29" s="43"/>
      <c r="DW29" s="43"/>
      <c r="DX29" s="43"/>
      <c r="DY29" s="43"/>
      <c r="DZ29" s="43"/>
      <c r="EA29" s="43"/>
      <c r="EB29" s="43"/>
      <c r="EC29" s="43"/>
      <c r="ED29" s="43"/>
      <c r="EE29" s="43"/>
      <c r="EF29" s="43"/>
      <c r="EG29" s="43"/>
      <c r="EH29" s="43"/>
      <c r="EI29" s="43"/>
      <c r="EJ29" s="43"/>
      <c r="EK29" s="43"/>
      <c r="EL29" s="43"/>
      <c r="EM29" s="43"/>
      <c r="EN29" s="43"/>
      <c r="EO29" s="43"/>
      <c r="EP29" s="43"/>
      <c r="EQ29" s="43"/>
      <c r="ER29" s="43"/>
      <c r="ES29" s="43"/>
      <c r="ET29" s="43"/>
      <c r="EU29" s="43"/>
      <c r="EV29" s="43"/>
      <c r="EW29" s="43"/>
      <c r="EX29" s="43"/>
      <c r="EY29" s="43"/>
      <c r="EZ29" s="43"/>
      <c r="FA29" s="43"/>
      <c r="FB29" s="43"/>
      <c r="FC29" s="43"/>
      <c r="FD29" s="43"/>
      <c r="FE29" s="43"/>
      <c r="FF29" s="43"/>
      <c r="FG29" s="43"/>
      <c r="FH29" s="43"/>
      <c r="FI29" s="43"/>
      <c r="FJ29" s="43"/>
      <c r="FK29" s="43"/>
      <c r="FL29" s="43"/>
      <c r="FM29" s="43"/>
      <c r="FN29" s="43"/>
      <c r="FO29" s="43"/>
      <c r="FP29" s="43"/>
      <c r="FQ29" s="43"/>
      <c r="FR29" s="43"/>
      <c r="FS29" s="43"/>
      <c r="FT29" s="43"/>
      <c r="FU29" s="43"/>
      <c r="FV29" s="43"/>
      <c r="FW29" s="43"/>
      <c r="FX29" s="43"/>
      <c r="FY29" s="43"/>
      <c r="FZ29" s="43"/>
      <c r="GA29" s="43"/>
      <c r="GB29" s="43"/>
      <c r="GC29" s="43"/>
      <c r="GD29" s="43"/>
      <c r="GE29" s="43"/>
      <c r="GF29" s="43"/>
      <c r="GG29" s="43"/>
      <c r="GH29" s="43"/>
      <c r="GI29" s="43"/>
      <c r="GJ29" s="43"/>
      <c r="GK29" s="43"/>
      <c r="GL29" s="43"/>
      <c r="GM29" s="43"/>
      <c r="GN29" s="43"/>
      <c r="GO29" s="43"/>
      <c r="GP29" s="43"/>
      <c r="GQ29" s="43"/>
      <c r="GR29" s="43"/>
      <c r="GS29" s="43"/>
      <c r="GT29" s="43"/>
      <c r="GU29" s="43"/>
      <c r="GV29" s="43"/>
      <c r="GW29" s="43"/>
      <c r="GX29" s="43"/>
      <c r="GY29" s="43"/>
      <c r="GZ29" s="43"/>
      <c r="HA29" s="43"/>
      <c r="HB29" s="43"/>
      <c r="HC29" s="43"/>
      <c r="HD29" s="43"/>
      <c r="HE29" s="43"/>
      <c r="HF29" s="43"/>
      <c r="HG29" s="43"/>
      <c r="HH29" s="43"/>
      <c r="HI29" s="43"/>
      <c r="HJ29" s="43"/>
      <c r="HK29" s="43"/>
      <c r="HL29" s="43"/>
      <c r="HM29" s="43"/>
      <c r="HN29" s="43"/>
      <c r="HO29" s="43"/>
      <c r="HP29" s="43"/>
      <c r="HQ29" s="43"/>
      <c r="HR29" s="43"/>
      <c r="HS29" s="43"/>
      <c r="HT29" s="43"/>
      <c r="HU29" s="43"/>
      <c r="HV29" s="43"/>
      <c r="HW29" s="43"/>
      <c r="HX29" s="43"/>
      <c r="HY29" s="43"/>
      <c r="HZ29" s="43"/>
      <c r="IA29" s="43"/>
      <c r="IB29" s="43"/>
      <c r="IC29" s="43"/>
      <c r="ID29" s="43"/>
      <c r="IE29" s="43"/>
      <c r="IF29" s="43"/>
      <c r="IG29" s="43"/>
      <c r="IH29" s="43"/>
      <c r="II29" s="43"/>
      <c r="IJ29" s="43"/>
      <c r="IK29" s="43"/>
      <c r="IL29" s="43"/>
      <c r="IM29" s="43"/>
      <c r="IN29" s="43"/>
      <c r="IO29" s="43"/>
      <c r="IP29" s="43"/>
      <c r="IQ29" s="43"/>
      <c r="IR29" s="43"/>
      <c r="IS29" s="43"/>
      <c r="IT29" s="43"/>
      <c r="IU29" s="43"/>
      <c r="IV29" s="43"/>
      <c r="IW29" s="43"/>
      <c r="IX29" s="43"/>
      <c r="IY29" s="43"/>
      <c r="IZ29" s="43"/>
      <c r="JA29" s="43"/>
      <c r="JB29" s="43"/>
      <c r="JC29" s="43"/>
      <c r="JD29" s="43"/>
      <c r="JE29" s="43"/>
      <c r="JF29" s="43"/>
      <c r="JG29" s="43"/>
      <c r="JH29" s="43"/>
      <c r="JI29" s="43"/>
      <c r="JJ29" s="43"/>
      <c r="JK29" s="43"/>
      <c r="JL29" s="43"/>
      <c r="JM29" s="43"/>
      <c r="JN29" s="43"/>
      <c r="JO29" s="43"/>
      <c r="JP29" s="43"/>
      <c r="JQ29" s="43"/>
      <c r="JR29" s="43"/>
      <c r="JS29" s="43"/>
      <c r="JT29" s="43"/>
      <c r="JU29" s="43"/>
      <c r="JV29" s="43"/>
      <c r="JW29" s="43"/>
      <c r="JX29" s="43"/>
      <c r="JY29" s="43"/>
      <c r="JZ29" s="43"/>
      <c r="KA29" s="43"/>
      <c r="KB29" s="43"/>
      <c r="KC29" s="43"/>
      <c r="KD29" s="43"/>
      <c r="KE29" s="43"/>
      <c r="KF29" s="43"/>
      <c r="KG29" s="43"/>
      <c r="KH29" s="43"/>
      <c r="KI29" s="43"/>
      <c r="KJ29" s="43"/>
      <c r="KK29" s="43"/>
      <c r="KL29" s="43"/>
      <c r="KM29" s="43"/>
      <c r="KN29" s="43"/>
      <c r="KO29" s="43"/>
      <c r="KP29" s="43"/>
      <c r="KQ29" s="43"/>
      <c r="KR29" s="43"/>
      <c r="KS29" s="43"/>
      <c r="KT29" s="43"/>
      <c r="KU29" s="43"/>
      <c r="KV29" s="43"/>
      <c r="KW29" s="43"/>
      <c r="KX29" s="43"/>
      <c r="KY29" s="43"/>
      <c r="KZ29" s="43"/>
      <c r="LA29" s="43"/>
      <c r="LB29" s="43"/>
      <c r="LC29" s="43"/>
      <c r="LD29" s="43"/>
      <c r="LE29" s="43"/>
      <c r="LF29" s="43"/>
      <c r="LG29" s="43"/>
      <c r="LH29" s="43"/>
      <c r="LI29" s="43"/>
      <c r="LJ29" s="43"/>
      <c r="LK29" s="43"/>
      <c r="LL29" s="43"/>
      <c r="LM29" s="43"/>
      <c r="LN29" s="43"/>
      <c r="LO29" s="43"/>
      <c r="LP29" s="43"/>
      <c r="LQ29" s="43"/>
      <c r="LR29" s="43"/>
      <c r="LS29" s="43"/>
      <c r="LT29" s="43"/>
      <c r="LU29" s="43"/>
      <c r="LV29" s="43"/>
      <c r="LW29" s="43"/>
      <c r="LX29" s="43"/>
      <c r="LY29" s="43"/>
      <c r="LZ29" s="43"/>
      <c r="MA29" s="43"/>
      <c r="MB29" s="43"/>
      <c r="MC29" s="43"/>
      <c r="MD29" s="43"/>
      <c r="ME29" s="43"/>
      <c r="MF29" s="43"/>
      <c r="MG29" s="43"/>
      <c r="MH29" s="43"/>
      <c r="MI29" s="43"/>
      <c r="MJ29" s="43"/>
      <c r="MK29" s="43"/>
      <c r="ML29" s="43"/>
      <c r="MM29" s="43"/>
      <c r="MN29" s="43"/>
      <c r="MO29" s="43"/>
      <c r="MP29" s="43"/>
      <c r="MQ29" s="43"/>
      <c r="MR29" s="43"/>
      <c r="MS29" s="43"/>
      <c r="MT29" s="43"/>
      <c r="MU29" s="43"/>
      <c r="MV29" s="43"/>
      <c r="MW29" s="43"/>
      <c r="MX29" s="43"/>
      <c r="MY29" s="43"/>
      <c r="MZ29" s="43"/>
      <c r="NA29" s="43"/>
      <c r="NB29" s="43"/>
      <c r="NC29" s="43"/>
      <c r="ND29" s="43"/>
      <c r="NE29" s="43"/>
      <c r="NF29" s="43"/>
      <c r="NG29" s="43"/>
      <c r="NH29" s="43"/>
      <c r="NI29" s="43"/>
      <c r="NJ29" s="43"/>
      <c r="NK29" s="43"/>
      <c r="NL29" s="43"/>
      <c r="NM29" s="43"/>
      <c r="NN29" s="43"/>
      <c r="NO29" s="43"/>
      <c r="NP29" s="43"/>
      <c r="NQ29" s="43"/>
      <c r="NR29" s="43"/>
      <c r="NS29" s="43"/>
      <c r="NT29" s="43"/>
      <c r="NU29" s="43"/>
      <c r="NV29" s="43"/>
      <c r="NW29" s="43"/>
      <c r="NX29" s="43"/>
      <c r="NY29" s="43"/>
      <c r="NZ29" s="43"/>
      <c r="OA29" s="43"/>
      <c r="OB29" s="43"/>
      <c r="OC29" s="43"/>
      <c r="OD29" s="43"/>
      <c r="OE29" s="43"/>
      <c r="OF29" s="43"/>
      <c r="OG29" s="43"/>
      <c r="OH29" s="43"/>
      <c r="OI29" s="43"/>
      <c r="OJ29" s="43"/>
      <c r="OK29" s="43"/>
      <c r="OL29" s="43"/>
      <c r="OM29" s="43"/>
      <c r="ON29" s="43"/>
      <c r="OO29" s="43"/>
      <c r="OP29" s="43"/>
      <c r="OQ29" s="43"/>
      <c r="OR29" s="43"/>
      <c r="OS29" s="43"/>
      <c r="OT29" s="43"/>
      <c r="OU29" s="43"/>
      <c r="OV29" s="43"/>
      <c r="OW29" s="43"/>
      <c r="OX29" s="43"/>
      <c r="OY29" s="43"/>
      <c r="OZ29" s="43"/>
      <c r="PA29" s="43"/>
      <c r="PB29" s="43"/>
      <c r="PC29" s="43"/>
      <c r="PD29" s="43"/>
      <c r="PE29" s="43"/>
      <c r="PF29" s="43"/>
      <c r="PG29" s="43"/>
      <c r="PH29" s="43"/>
      <c r="PI29" s="43"/>
      <c r="PJ29" s="43"/>
      <c r="PK29" s="43"/>
      <c r="PL29" s="43"/>
      <c r="PM29" s="43"/>
      <c r="PN29" s="43"/>
      <c r="PO29" s="43"/>
      <c r="PP29" s="43"/>
      <c r="PQ29" s="43"/>
      <c r="PR29" s="43"/>
      <c r="PS29" s="43"/>
      <c r="PT29" s="43"/>
      <c r="PU29" s="43"/>
      <c r="PV29" s="43"/>
      <c r="PW29" s="43"/>
      <c r="PX29" s="43"/>
      <c r="PY29" s="43"/>
      <c r="PZ29" s="43"/>
      <c r="QA29" s="43"/>
      <c r="QB29" s="43"/>
      <c r="QC29" s="43"/>
    </row>
    <row r="30" spans="1:445" s="50" customFormat="1" x14ac:dyDescent="0.3">
      <c r="A30" s="85" t="s">
        <v>159</v>
      </c>
      <c r="B30" s="84"/>
      <c r="C30" s="84" t="s">
        <v>111</v>
      </c>
      <c r="D30" s="84" t="s">
        <v>132</v>
      </c>
      <c r="E30" s="84"/>
      <c r="F30" s="84">
        <v>405</v>
      </c>
      <c r="G30" s="84"/>
      <c r="H30" s="84"/>
      <c r="I30" s="84"/>
      <c r="J30" s="84"/>
      <c r="K30" s="84"/>
      <c r="L30" s="84"/>
      <c r="M30" s="84">
        <v>90</v>
      </c>
      <c r="N30" s="84"/>
      <c r="O30" s="84"/>
      <c r="P30" s="84"/>
      <c r="Q30" s="84"/>
      <c r="R30" s="84"/>
      <c r="S30" s="84"/>
      <c r="T30" s="46">
        <f t="shared" si="2"/>
        <v>90</v>
      </c>
      <c r="U30" s="46">
        <f t="shared" si="3"/>
        <v>315</v>
      </c>
      <c r="V30" s="72">
        <f t="shared" si="4"/>
        <v>0.22222222222222221</v>
      </c>
      <c r="W30" s="48"/>
      <c r="X30" s="73" t="str">
        <f t="shared" si="5"/>
        <v/>
      </c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43"/>
      <c r="CY30" s="43"/>
      <c r="CZ30" s="43"/>
      <c r="DA30" s="43"/>
      <c r="DB30" s="43"/>
      <c r="DC30" s="43"/>
      <c r="DD30" s="43"/>
      <c r="DE30" s="43"/>
      <c r="DF30" s="43"/>
      <c r="DG30" s="43"/>
      <c r="DH30" s="43"/>
      <c r="DI30" s="43"/>
      <c r="DJ30" s="43"/>
      <c r="DK30" s="43"/>
      <c r="DL30" s="43"/>
      <c r="DM30" s="43"/>
      <c r="DN30" s="43"/>
      <c r="DO30" s="43"/>
      <c r="DP30" s="43"/>
      <c r="DQ30" s="43"/>
      <c r="DR30" s="43"/>
      <c r="DS30" s="43"/>
      <c r="DT30" s="43"/>
      <c r="DU30" s="43"/>
      <c r="DV30" s="43"/>
      <c r="DW30" s="43"/>
      <c r="DX30" s="43"/>
      <c r="DY30" s="43"/>
      <c r="DZ30" s="43"/>
      <c r="EA30" s="43"/>
      <c r="EB30" s="43"/>
      <c r="EC30" s="43"/>
      <c r="ED30" s="43"/>
      <c r="EE30" s="43"/>
      <c r="EF30" s="43"/>
      <c r="EG30" s="43"/>
      <c r="EH30" s="43"/>
      <c r="EI30" s="43"/>
      <c r="EJ30" s="43"/>
      <c r="EK30" s="43"/>
      <c r="EL30" s="43"/>
      <c r="EM30" s="43"/>
      <c r="EN30" s="43"/>
      <c r="EO30" s="43"/>
      <c r="EP30" s="43"/>
      <c r="EQ30" s="43"/>
      <c r="ER30" s="43"/>
      <c r="ES30" s="43"/>
      <c r="ET30" s="43"/>
      <c r="EU30" s="43"/>
      <c r="EV30" s="43"/>
      <c r="EW30" s="43"/>
      <c r="EX30" s="43"/>
      <c r="EY30" s="43"/>
      <c r="EZ30" s="43"/>
      <c r="FA30" s="43"/>
      <c r="FB30" s="43"/>
      <c r="FC30" s="43"/>
      <c r="FD30" s="43"/>
      <c r="FE30" s="43"/>
      <c r="FF30" s="43"/>
      <c r="FG30" s="43"/>
      <c r="FH30" s="43"/>
      <c r="FI30" s="43"/>
      <c r="FJ30" s="43"/>
      <c r="FK30" s="43"/>
      <c r="FL30" s="43"/>
      <c r="FM30" s="43"/>
      <c r="FN30" s="43"/>
      <c r="FO30" s="43"/>
      <c r="FP30" s="43"/>
      <c r="FQ30" s="43"/>
      <c r="FR30" s="43"/>
      <c r="FS30" s="43"/>
      <c r="FT30" s="43"/>
      <c r="FU30" s="43"/>
      <c r="FV30" s="43"/>
      <c r="FW30" s="43"/>
      <c r="FX30" s="43"/>
      <c r="FY30" s="43"/>
      <c r="FZ30" s="43"/>
      <c r="GA30" s="43"/>
      <c r="GB30" s="43"/>
      <c r="GC30" s="43"/>
      <c r="GD30" s="43"/>
      <c r="GE30" s="43"/>
      <c r="GF30" s="43"/>
      <c r="GG30" s="43"/>
      <c r="GH30" s="43"/>
      <c r="GI30" s="43"/>
      <c r="GJ30" s="43"/>
      <c r="GK30" s="43"/>
      <c r="GL30" s="43"/>
      <c r="GM30" s="43"/>
      <c r="GN30" s="43"/>
      <c r="GO30" s="43"/>
      <c r="GP30" s="43"/>
      <c r="GQ30" s="43"/>
      <c r="GR30" s="43"/>
      <c r="GS30" s="43"/>
      <c r="GT30" s="43"/>
      <c r="GU30" s="43"/>
      <c r="GV30" s="43"/>
      <c r="GW30" s="43"/>
      <c r="GX30" s="43"/>
      <c r="GY30" s="43"/>
      <c r="GZ30" s="43"/>
      <c r="HA30" s="43"/>
      <c r="HB30" s="43"/>
      <c r="HC30" s="43"/>
      <c r="HD30" s="43"/>
      <c r="HE30" s="43"/>
      <c r="HF30" s="43"/>
      <c r="HG30" s="43"/>
      <c r="HH30" s="43"/>
      <c r="HI30" s="43"/>
      <c r="HJ30" s="43"/>
      <c r="HK30" s="43"/>
      <c r="HL30" s="43"/>
      <c r="HM30" s="43"/>
      <c r="HN30" s="43"/>
      <c r="HO30" s="43"/>
      <c r="HP30" s="43"/>
      <c r="HQ30" s="43"/>
      <c r="HR30" s="43"/>
      <c r="HS30" s="43"/>
      <c r="HT30" s="43"/>
      <c r="HU30" s="43"/>
      <c r="HV30" s="43"/>
      <c r="HW30" s="43"/>
      <c r="HX30" s="43"/>
      <c r="HY30" s="43"/>
      <c r="HZ30" s="43"/>
      <c r="IA30" s="43"/>
      <c r="IB30" s="43"/>
      <c r="IC30" s="43"/>
      <c r="ID30" s="43"/>
      <c r="IE30" s="43"/>
      <c r="IF30" s="43"/>
      <c r="IG30" s="43"/>
      <c r="IH30" s="43"/>
      <c r="II30" s="43"/>
      <c r="IJ30" s="43"/>
      <c r="IK30" s="43"/>
      <c r="IL30" s="43"/>
      <c r="IM30" s="43"/>
      <c r="IN30" s="43"/>
      <c r="IO30" s="43"/>
      <c r="IP30" s="43"/>
      <c r="IQ30" s="43"/>
      <c r="IR30" s="43"/>
      <c r="IS30" s="43"/>
      <c r="IT30" s="43"/>
      <c r="IU30" s="43"/>
      <c r="IV30" s="43"/>
      <c r="IW30" s="43"/>
      <c r="IX30" s="43"/>
      <c r="IY30" s="43"/>
      <c r="IZ30" s="43"/>
      <c r="JA30" s="43"/>
      <c r="JB30" s="43"/>
      <c r="JC30" s="43"/>
      <c r="JD30" s="43"/>
      <c r="JE30" s="43"/>
      <c r="JF30" s="43"/>
      <c r="JG30" s="43"/>
      <c r="JH30" s="43"/>
      <c r="JI30" s="43"/>
      <c r="JJ30" s="43"/>
      <c r="JK30" s="43"/>
      <c r="JL30" s="43"/>
      <c r="JM30" s="43"/>
      <c r="JN30" s="43"/>
      <c r="JO30" s="43"/>
      <c r="JP30" s="43"/>
      <c r="JQ30" s="43"/>
      <c r="JR30" s="43"/>
      <c r="JS30" s="43"/>
      <c r="JT30" s="43"/>
      <c r="JU30" s="43"/>
      <c r="JV30" s="43"/>
      <c r="JW30" s="43"/>
      <c r="JX30" s="43"/>
      <c r="JY30" s="43"/>
      <c r="JZ30" s="43"/>
      <c r="KA30" s="43"/>
      <c r="KB30" s="43"/>
      <c r="KC30" s="43"/>
      <c r="KD30" s="43"/>
      <c r="KE30" s="43"/>
      <c r="KF30" s="43"/>
      <c r="KG30" s="43"/>
      <c r="KH30" s="43"/>
      <c r="KI30" s="43"/>
      <c r="KJ30" s="43"/>
      <c r="KK30" s="43"/>
      <c r="KL30" s="43"/>
      <c r="KM30" s="43"/>
      <c r="KN30" s="43"/>
      <c r="KO30" s="43"/>
      <c r="KP30" s="43"/>
      <c r="KQ30" s="43"/>
      <c r="KR30" s="43"/>
      <c r="KS30" s="43"/>
      <c r="KT30" s="43"/>
      <c r="KU30" s="43"/>
      <c r="KV30" s="43"/>
      <c r="KW30" s="43"/>
      <c r="KX30" s="43"/>
      <c r="KY30" s="43"/>
      <c r="KZ30" s="43"/>
      <c r="LA30" s="43"/>
      <c r="LB30" s="43"/>
      <c r="LC30" s="43"/>
      <c r="LD30" s="43"/>
      <c r="LE30" s="43"/>
      <c r="LF30" s="43"/>
      <c r="LG30" s="43"/>
      <c r="LH30" s="43"/>
      <c r="LI30" s="43"/>
      <c r="LJ30" s="43"/>
      <c r="LK30" s="43"/>
      <c r="LL30" s="43"/>
      <c r="LM30" s="43"/>
      <c r="LN30" s="43"/>
      <c r="LO30" s="43"/>
      <c r="LP30" s="43"/>
      <c r="LQ30" s="43"/>
      <c r="LR30" s="43"/>
      <c r="LS30" s="43"/>
      <c r="LT30" s="43"/>
      <c r="LU30" s="43"/>
      <c r="LV30" s="43"/>
      <c r="LW30" s="43"/>
      <c r="LX30" s="43"/>
      <c r="LY30" s="43"/>
      <c r="LZ30" s="43"/>
      <c r="MA30" s="43"/>
      <c r="MB30" s="43"/>
      <c r="MC30" s="43"/>
      <c r="MD30" s="43"/>
      <c r="ME30" s="43"/>
      <c r="MF30" s="43"/>
      <c r="MG30" s="43"/>
      <c r="MH30" s="43"/>
      <c r="MI30" s="43"/>
      <c r="MJ30" s="43"/>
      <c r="MK30" s="43"/>
      <c r="ML30" s="43"/>
      <c r="MM30" s="43"/>
      <c r="MN30" s="43"/>
      <c r="MO30" s="43"/>
      <c r="MP30" s="43"/>
      <c r="MQ30" s="43"/>
      <c r="MR30" s="43"/>
      <c r="MS30" s="43"/>
      <c r="MT30" s="43"/>
      <c r="MU30" s="43"/>
      <c r="MV30" s="43"/>
      <c r="MW30" s="43"/>
      <c r="MX30" s="43"/>
      <c r="MY30" s="43"/>
      <c r="MZ30" s="43"/>
      <c r="NA30" s="43"/>
      <c r="NB30" s="43"/>
      <c r="NC30" s="43"/>
      <c r="ND30" s="43"/>
      <c r="NE30" s="43"/>
      <c r="NF30" s="43"/>
      <c r="NG30" s="43"/>
      <c r="NH30" s="43"/>
      <c r="NI30" s="43"/>
      <c r="NJ30" s="43"/>
      <c r="NK30" s="43"/>
      <c r="NL30" s="43"/>
      <c r="NM30" s="43"/>
      <c r="NN30" s="43"/>
      <c r="NO30" s="43"/>
      <c r="NP30" s="43"/>
      <c r="NQ30" s="43"/>
      <c r="NR30" s="43"/>
      <c r="NS30" s="43"/>
      <c r="NT30" s="43"/>
      <c r="NU30" s="43"/>
      <c r="NV30" s="43"/>
      <c r="NW30" s="43"/>
      <c r="NX30" s="43"/>
      <c r="NY30" s="43"/>
      <c r="NZ30" s="43"/>
      <c r="OA30" s="43"/>
      <c r="OB30" s="43"/>
      <c r="OC30" s="43"/>
      <c r="OD30" s="43"/>
      <c r="OE30" s="43"/>
      <c r="OF30" s="43"/>
      <c r="OG30" s="43"/>
      <c r="OH30" s="43"/>
      <c r="OI30" s="43"/>
      <c r="OJ30" s="43"/>
      <c r="OK30" s="43"/>
      <c r="OL30" s="43"/>
      <c r="OM30" s="43"/>
      <c r="ON30" s="43"/>
      <c r="OO30" s="43"/>
      <c r="OP30" s="43"/>
      <c r="OQ30" s="43"/>
      <c r="OR30" s="43"/>
      <c r="OS30" s="43"/>
      <c r="OT30" s="43"/>
      <c r="OU30" s="43"/>
      <c r="OV30" s="43"/>
      <c r="OW30" s="43"/>
      <c r="OX30" s="43"/>
      <c r="OY30" s="43"/>
      <c r="OZ30" s="43"/>
      <c r="PA30" s="43"/>
      <c r="PB30" s="43"/>
      <c r="PC30" s="43"/>
      <c r="PD30" s="43"/>
      <c r="PE30" s="43"/>
      <c r="PF30" s="43"/>
      <c r="PG30" s="43"/>
      <c r="PH30" s="43"/>
      <c r="PI30" s="43"/>
      <c r="PJ30" s="43"/>
      <c r="PK30" s="43"/>
      <c r="PL30" s="43"/>
      <c r="PM30" s="43"/>
      <c r="PN30" s="43"/>
      <c r="PO30" s="43"/>
      <c r="PP30" s="43"/>
      <c r="PQ30" s="43"/>
      <c r="PR30" s="43"/>
      <c r="PS30" s="43"/>
      <c r="PT30" s="43"/>
      <c r="PU30" s="43"/>
      <c r="PV30" s="43"/>
      <c r="PW30" s="43"/>
      <c r="PX30" s="43"/>
      <c r="PY30" s="43"/>
      <c r="PZ30" s="43"/>
      <c r="QA30" s="43"/>
      <c r="QB30" s="43"/>
      <c r="QC30" s="43"/>
    </row>
    <row r="31" spans="1:445" s="50" customFormat="1" x14ac:dyDescent="0.3">
      <c r="A31" s="85"/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46" t="str">
        <f t="shared" ref="T31:T74" si="6">IF(AND(ISBLANK(E31),ISBLANK(F31),ISBLANK(G31),ISBLANK(H31),ISBLANK(I31),ISBLANK(J31),ISBLANK(K31), ISBLANK(L31), ISBLANK(M31), ISBLANK(N31), ISBLANK(O31), ISBLANK(P31), ISBLANK(Q31), ISBLANK(R31), ISBLANK(S31)),"",SUM(G31:S31))</f>
        <v/>
      </c>
      <c r="U31" s="46" t="str">
        <f t="shared" ref="U31:U74" si="7">IF(W31&lt;&gt;0,0,IF(AND(ISBLANK(F31),ISBLANK(G31),ISBLANK(H31),ISBLANK(I31),ISBLANK(J31),ISBLANK(K31), ISBLANK(L31), ISBLANK(M31), ISBLANK(N31), ISBLANK(O31), ISBLANK(P31), ISBLANK(Q31), ISBLANK(R31), ISBLANK(S31)),"", F31-T31))</f>
        <v/>
      </c>
      <c r="V31" s="72" t="str">
        <f t="shared" si="4"/>
        <v/>
      </c>
      <c r="W31" s="48"/>
      <c r="X31" s="73" t="str">
        <f t="shared" si="5"/>
        <v/>
      </c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43"/>
      <c r="CY31" s="43"/>
      <c r="CZ31" s="43"/>
      <c r="DA31" s="43"/>
      <c r="DB31" s="43"/>
      <c r="DC31" s="43"/>
      <c r="DD31" s="43"/>
      <c r="DE31" s="43"/>
      <c r="DF31" s="43"/>
      <c r="DG31" s="43"/>
      <c r="DH31" s="43"/>
      <c r="DI31" s="43"/>
      <c r="DJ31" s="43"/>
      <c r="DK31" s="43"/>
      <c r="DL31" s="43"/>
      <c r="DM31" s="43"/>
      <c r="DN31" s="43"/>
      <c r="DO31" s="43"/>
      <c r="DP31" s="43"/>
      <c r="DQ31" s="43"/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 s="43"/>
      <c r="EI31" s="43"/>
      <c r="EJ31" s="43"/>
      <c r="EK31" s="43"/>
      <c r="EL31" s="43"/>
      <c r="EM31" s="43"/>
      <c r="EN31" s="43"/>
      <c r="EO31" s="43"/>
      <c r="EP31" s="43"/>
      <c r="EQ31" s="43"/>
      <c r="ER31" s="43"/>
      <c r="ES31" s="43"/>
      <c r="ET31" s="43"/>
      <c r="EU31" s="43"/>
      <c r="EV31" s="43"/>
      <c r="EW31" s="43"/>
      <c r="EX31" s="43"/>
      <c r="EY31" s="43"/>
      <c r="EZ31" s="43"/>
      <c r="FA31" s="43"/>
      <c r="FB31" s="43"/>
      <c r="FC31" s="43"/>
      <c r="FD31" s="43"/>
      <c r="FE31" s="43"/>
      <c r="FF31" s="43"/>
      <c r="FG31" s="43"/>
      <c r="FH31" s="43"/>
      <c r="FI31" s="43"/>
      <c r="FJ31" s="43"/>
      <c r="FK31" s="43"/>
      <c r="FL31" s="43"/>
      <c r="FM31" s="43"/>
      <c r="FN31" s="43"/>
      <c r="FO31" s="43"/>
      <c r="FP31" s="43"/>
      <c r="FQ31" s="43"/>
      <c r="FR31" s="43"/>
      <c r="FS31" s="43"/>
      <c r="FT31" s="43"/>
      <c r="FU31" s="43"/>
      <c r="FV31" s="43"/>
      <c r="FW31" s="43"/>
      <c r="FX31" s="43"/>
      <c r="FY31" s="43"/>
      <c r="FZ31" s="43"/>
      <c r="GA31" s="43"/>
      <c r="GB31" s="43"/>
      <c r="GC31" s="43"/>
      <c r="GD31" s="43"/>
      <c r="GE31" s="43"/>
      <c r="GF31" s="43"/>
      <c r="GG31" s="43"/>
      <c r="GH31" s="43"/>
      <c r="GI31" s="43"/>
      <c r="GJ31" s="43"/>
      <c r="GK31" s="43"/>
      <c r="GL31" s="43"/>
      <c r="GM31" s="43"/>
      <c r="GN31" s="43"/>
      <c r="GO31" s="43"/>
      <c r="GP31" s="43"/>
      <c r="GQ31" s="43"/>
      <c r="GR31" s="43"/>
      <c r="GS31" s="43"/>
      <c r="GT31" s="43"/>
      <c r="GU31" s="43"/>
      <c r="GV31" s="43"/>
      <c r="GW31" s="43"/>
      <c r="GX31" s="43"/>
      <c r="GY31" s="43"/>
      <c r="GZ31" s="43"/>
      <c r="HA31" s="43"/>
      <c r="HB31" s="43"/>
      <c r="HC31" s="43"/>
      <c r="HD31" s="43"/>
      <c r="HE31" s="43"/>
      <c r="HF31" s="43"/>
      <c r="HG31" s="43"/>
      <c r="HH31" s="43"/>
      <c r="HI31" s="43"/>
      <c r="HJ31" s="43"/>
      <c r="HK31" s="43"/>
      <c r="HL31" s="43"/>
      <c r="HM31" s="43"/>
      <c r="HN31" s="43"/>
      <c r="HO31" s="43"/>
      <c r="HP31" s="43"/>
      <c r="HQ31" s="43"/>
      <c r="HR31" s="43"/>
      <c r="HS31" s="43"/>
      <c r="HT31" s="43"/>
      <c r="HU31" s="43"/>
      <c r="HV31" s="43"/>
      <c r="HW31" s="43"/>
      <c r="HX31" s="43"/>
      <c r="HY31" s="43"/>
      <c r="HZ31" s="43"/>
      <c r="IA31" s="43"/>
      <c r="IB31" s="43"/>
      <c r="IC31" s="43"/>
      <c r="ID31" s="43"/>
      <c r="IE31" s="43"/>
      <c r="IF31" s="43"/>
      <c r="IG31" s="43"/>
      <c r="IH31" s="43"/>
      <c r="II31" s="43"/>
      <c r="IJ31" s="43"/>
      <c r="IK31" s="43"/>
      <c r="IL31" s="43"/>
      <c r="IM31" s="43"/>
      <c r="IN31" s="43"/>
      <c r="IO31" s="43"/>
      <c r="IP31" s="43"/>
      <c r="IQ31" s="43"/>
      <c r="IR31" s="43"/>
      <c r="IS31" s="43"/>
      <c r="IT31" s="43"/>
      <c r="IU31" s="43"/>
      <c r="IV31" s="43"/>
      <c r="IW31" s="43"/>
      <c r="IX31" s="43"/>
      <c r="IY31" s="43"/>
      <c r="IZ31" s="43"/>
      <c r="JA31" s="43"/>
      <c r="JB31" s="43"/>
      <c r="JC31" s="43"/>
      <c r="JD31" s="43"/>
      <c r="JE31" s="43"/>
      <c r="JF31" s="43"/>
      <c r="JG31" s="43"/>
      <c r="JH31" s="43"/>
      <c r="JI31" s="43"/>
      <c r="JJ31" s="43"/>
      <c r="JK31" s="43"/>
      <c r="JL31" s="43"/>
      <c r="JM31" s="43"/>
      <c r="JN31" s="43"/>
      <c r="JO31" s="43"/>
      <c r="JP31" s="43"/>
      <c r="JQ31" s="43"/>
      <c r="JR31" s="43"/>
      <c r="JS31" s="43"/>
      <c r="JT31" s="43"/>
      <c r="JU31" s="43"/>
      <c r="JV31" s="43"/>
      <c r="JW31" s="43"/>
      <c r="JX31" s="43"/>
      <c r="JY31" s="43"/>
      <c r="JZ31" s="43"/>
      <c r="KA31" s="43"/>
      <c r="KB31" s="43"/>
      <c r="KC31" s="43"/>
      <c r="KD31" s="43"/>
      <c r="KE31" s="43"/>
      <c r="KF31" s="43"/>
      <c r="KG31" s="43"/>
      <c r="KH31" s="43"/>
      <c r="KI31" s="43"/>
      <c r="KJ31" s="43"/>
      <c r="KK31" s="43"/>
      <c r="KL31" s="43"/>
      <c r="KM31" s="43"/>
      <c r="KN31" s="43"/>
      <c r="KO31" s="43"/>
      <c r="KP31" s="43"/>
      <c r="KQ31" s="43"/>
      <c r="KR31" s="43"/>
      <c r="KS31" s="43"/>
      <c r="KT31" s="43"/>
      <c r="KU31" s="43"/>
      <c r="KV31" s="43"/>
      <c r="KW31" s="43"/>
      <c r="KX31" s="43"/>
      <c r="KY31" s="43"/>
      <c r="KZ31" s="43"/>
      <c r="LA31" s="43"/>
      <c r="LB31" s="43"/>
      <c r="LC31" s="43"/>
      <c r="LD31" s="43"/>
      <c r="LE31" s="43"/>
      <c r="LF31" s="43"/>
      <c r="LG31" s="43"/>
      <c r="LH31" s="43"/>
      <c r="LI31" s="43"/>
      <c r="LJ31" s="43"/>
      <c r="LK31" s="43"/>
      <c r="LL31" s="43"/>
      <c r="LM31" s="43"/>
      <c r="LN31" s="43"/>
      <c r="LO31" s="43"/>
      <c r="LP31" s="43"/>
      <c r="LQ31" s="43"/>
      <c r="LR31" s="43"/>
      <c r="LS31" s="43"/>
      <c r="LT31" s="43"/>
      <c r="LU31" s="43"/>
      <c r="LV31" s="43"/>
      <c r="LW31" s="43"/>
      <c r="LX31" s="43"/>
      <c r="LY31" s="43"/>
      <c r="LZ31" s="43"/>
      <c r="MA31" s="43"/>
      <c r="MB31" s="43"/>
      <c r="MC31" s="43"/>
      <c r="MD31" s="43"/>
      <c r="ME31" s="43"/>
      <c r="MF31" s="43"/>
      <c r="MG31" s="43"/>
      <c r="MH31" s="43"/>
      <c r="MI31" s="43"/>
      <c r="MJ31" s="43"/>
      <c r="MK31" s="43"/>
      <c r="ML31" s="43"/>
      <c r="MM31" s="43"/>
      <c r="MN31" s="43"/>
      <c r="MO31" s="43"/>
      <c r="MP31" s="43"/>
      <c r="MQ31" s="43"/>
      <c r="MR31" s="43"/>
      <c r="MS31" s="43"/>
      <c r="MT31" s="43"/>
      <c r="MU31" s="43"/>
      <c r="MV31" s="43"/>
      <c r="MW31" s="43"/>
      <c r="MX31" s="43"/>
      <c r="MY31" s="43"/>
      <c r="MZ31" s="43"/>
      <c r="NA31" s="43"/>
      <c r="NB31" s="43"/>
      <c r="NC31" s="43"/>
      <c r="ND31" s="43"/>
      <c r="NE31" s="43"/>
      <c r="NF31" s="43"/>
      <c r="NG31" s="43"/>
      <c r="NH31" s="43"/>
      <c r="NI31" s="43"/>
      <c r="NJ31" s="43"/>
      <c r="NK31" s="43"/>
      <c r="NL31" s="43"/>
      <c r="NM31" s="43"/>
      <c r="NN31" s="43"/>
      <c r="NO31" s="43"/>
      <c r="NP31" s="43"/>
      <c r="NQ31" s="43"/>
      <c r="NR31" s="43"/>
      <c r="NS31" s="43"/>
      <c r="NT31" s="43"/>
      <c r="NU31" s="43"/>
      <c r="NV31" s="43"/>
      <c r="NW31" s="43"/>
      <c r="NX31" s="43"/>
      <c r="NY31" s="43"/>
      <c r="NZ31" s="43"/>
      <c r="OA31" s="43"/>
      <c r="OB31" s="43"/>
      <c r="OC31" s="43"/>
      <c r="OD31" s="43"/>
      <c r="OE31" s="43"/>
      <c r="OF31" s="43"/>
      <c r="OG31" s="43"/>
      <c r="OH31" s="43"/>
      <c r="OI31" s="43"/>
      <c r="OJ31" s="43"/>
      <c r="OK31" s="43"/>
      <c r="OL31" s="43"/>
      <c r="OM31" s="43"/>
      <c r="ON31" s="43"/>
      <c r="OO31" s="43"/>
      <c r="OP31" s="43"/>
      <c r="OQ31" s="43"/>
      <c r="OR31" s="43"/>
      <c r="OS31" s="43"/>
      <c r="OT31" s="43"/>
      <c r="OU31" s="43"/>
      <c r="OV31" s="43"/>
      <c r="OW31" s="43"/>
      <c r="OX31" s="43"/>
      <c r="OY31" s="43"/>
      <c r="OZ31" s="43"/>
      <c r="PA31" s="43"/>
      <c r="PB31" s="43"/>
      <c r="PC31" s="43"/>
      <c r="PD31" s="43"/>
      <c r="PE31" s="43"/>
      <c r="PF31" s="43"/>
      <c r="PG31" s="43"/>
      <c r="PH31" s="43"/>
      <c r="PI31" s="43"/>
      <c r="PJ31" s="43"/>
      <c r="PK31" s="43"/>
      <c r="PL31" s="43"/>
      <c r="PM31" s="43"/>
      <c r="PN31" s="43"/>
      <c r="PO31" s="43"/>
      <c r="PP31" s="43"/>
      <c r="PQ31" s="43"/>
      <c r="PR31" s="43"/>
      <c r="PS31" s="43"/>
      <c r="PT31" s="43"/>
      <c r="PU31" s="43"/>
      <c r="PV31" s="43"/>
      <c r="PW31" s="43"/>
      <c r="PX31" s="43"/>
      <c r="PY31" s="43"/>
      <c r="PZ31" s="43"/>
      <c r="QA31" s="43"/>
      <c r="QB31" s="43"/>
      <c r="QC31" s="43"/>
    </row>
    <row r="32" spans="1:445" s="50" customFormat="1" x14ac:dyDescent="0.3">
      <c r="A32" s="85"/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46" t="str">
        <f t="shared" si="6"/>
        <v/>
      </c>
      <c r="U32" s="46" t="str">
        <f t="shared" si="7"/>
        <v/>
      </c>
      <c r="V32" s="72" t="str">
        <f t="shared" si="4"/>
        <v/>
      </c>
      <c r="W32" s="48"/>
      <c r="X32" s="73" t="str">
        <f t="shared" si="5"/>
        <v/>
      </c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43"/>
      <c r="CY32" s="43"/>
      <c r="CZ32" s="43"/>
      <c r="DA32" s="43"/>
      <c r="DB32" s="43"/>
      <c r="DC32" s="43"/>
      <c r="DD32" s="43"/>
      <c r="DE32" s="43"/>
      <c r="DF32" s="43"/>
      <c r="DG32" s="43"/>
      <c r="DH32" s="43"/>
      <c r="DI32" s="43"/>
      <c r="DJ32" s="43"/>
      <c r="DK32" s="43"/>
      <c r="DL32" s="43"/>
      <c r="DM32" s="43"/>
      <c r="DN32" s="43"/>
      <c r="DO32" s="43"/>
      <c r="DP32" s="43"/>
      <c r="DQ32" s="43"/>
      <c r="DR32" s="43"/>
      <c r="DS32" s="43"/>
      <c r="DT32" s="43"/>
      <c r="DU32" s="43"/>
      <c r="DV32" s="43"/>
      <c r="DW32" s="43"/>
      <c r="DX32" s="43"/>
      <c r="DY32" s="43"/>
      <c r="DZ32" s="43"/>
      <c r="EA32" s="43"/>
      <c r="EB32" s="43"/>
      <c r="EC32" s="43"/>
      <c r="ED32" s="43"/>
      <c r="EE32" s="43"/>
      <c r="EF32" s="43"/>
      <c r="EG32" s="43"/>
      <c r="EH32" s="43"/>
      <c r="EI32" s="43"/>
      <c r="EJ32" s="43"/>
      <c r="EK32" s="43"/>
      <c r="EL32" s="43"/>
      <c r="EM32" s="43"/>
      <c r="EN32" s="43"/>
      <c r="EO32" s="43"/>
      <c r="EP32" s="43"/>
      <c r="EQ32" s="43"/>
      <c r="ER32" s="43"/>
      <c r="ES32" s="43"/>
      <c r="ET32" s="43"/>
      <c r="EU32" s="43"/>
      <c r="EV32" s="43"/>
      <c r="EW32" s="43"/>
      <c r="EX32" s="43"/>
      <c r="EY32" s="43"/>
      <c r="EZ32" s="43"/>
      <c r="FA32" s="43"/>
      <c r="FB32" s="43"/>
      <c r="FC32" s="43"/>
      <c r="FD32" s="43"/>
      <c r="FE32" s="43"/>
      <c r="FF32" s="43"/>
      <c r="FG32" s="43"/>
      <c r="FH32" s="43"/>
      <c r="FI32" s="43"/>
      <c r="FJ32" s="43"/>
      <c r="FK32" s="43"/>
      <c r="FL32" s="43"/>
      <c r="FM32" s="43"/>
      <c r="FN32" s="43"/>
      <c r="FO32" s="43"/>
      <c r="FP32" s="43"/>
      <c r="FQ32" s="43"/>
      <c r="FR32" s="43"/>
      <c r="FS32" s="43"/>
      <c r="FT32" s="43"/>
      <c r="FU32" s="43"/>
      <c r="FV32" s="43"/>
      <c r="FW32" s="43"/>
      <c r="FX32" s="43"/>
      <c r="FY32" s="43"/>
      <c r="FZ32" s="43"/>
      <c r="GA32" s="43"/>
      <c r="GB32" s="43"/>
      <c r="GC32" s="43"/>
      <c r="GD32" s="43"/>
      <c r="GE32" s="43"/>
      <c r="GF32" s="43"/>
      <c r="GG32" s="43"/>
      <c r="GH32" s="43"/>
      <c r="GI32" s="43"/>
      <c r="GJ32" s="43"/>
      <c r="GK32" s="43"/>
      <c r="GL32" s="43"/>
      <c r="GM32" s="43"/>
      <c r="GN32" s="43"/>
      <c r="GO32" s="43"/>
      <c r="GP32" s="43"/>
      <c r="GQ32" s="43"/>
      <c r="GR32" s="43"/>
      <c r="GS32" s="43"/>
      <c r="GT32" s="43"/>
      <c r="GU32" s="43"/>
      <c r="GV32" s="43"/>
      <c r="GW32" s="43"/>
      <c r="GX32" s="43"/>
      <c r="GY32" s="43"/>
      <c r="GZ32" s="43"/>
      <c r="HA32" s="43"/>
      <c r="HB32" s="43"/>
      <c r="HC32" s="43"/>
      <c r="HD32" s="43"/>
      <c r="HE32" s="43"/>
      <c r="HF32" s="43"/>
      <c r="HG32" s="43"/>
      <c r="HH32" s="43"/>
      <c r="HI32" s="43"/>
      <c r="HJ32" s="43"/>
      <c r="HK32" s="43"/>
      <c r="HL32" s="43"/>
      <c r="HM32" s="43"/>
      <c r="HN32" s="43"/>
      <c r="HO32" s="43"/>
      <c r="HP32" s="43"/>
      <c r="HQ32" s="43"/>
      <c r="HR32" s="43"/>
      <c r="HS32" s="43"/>
      <c r="HT32" s="43"/>
      <c r="HU32" s="43"/>
      <c r="HV32" s="43"/>
      <c r="HW32" s="43"/>
      <c r="HX32" s="43"/>
      <c r="HY32" s="43"/>
      <c r="HZ32" s="43"/>
      <c r="IA32" s="43"/>
      <c r="IB32" s="43"/>
      <c r="IC32" s="43"/>
      <c r="ID32" s="43"/>
      <c r="IE32" s="43"/>
      <c r="IF32" s="43"/>
      <c r="IG32" s="43"/>
      <c r="IH32" s="43"/>
      <c r="II32" s="43"/>
      <c r="IJ32" s="43"/>
      <c r="IK32" s="43"/>
      <c r="IL32" s="43"/>
      <c r="IM32" s="43"/>
      <c r="IN32" s="43"/>
      <c r="IO32" s="43"/>
      <c r="IP32" s="43"/>
      <c r="IQ32" s="43"/>
      <c r="IR32" s="43"/>
      <c r="IS32" s="43"/>
      <c r="IT32" s="43"/>
      <c r="IU32" s="43"/>
      <c r="IV32" s="43"/>
      <c r="IW32" s="43"/>
      <c r="IX32" s="43"/>
      <c r="IY32" s="43"/>
      <c r="IZ32" s="43"/>
      <c r="JA32" s="43"/>
      <c r="JB32" s="43"/>
      <c r="JC32" s="43"/>
      <c r="JD32" s="43"/>
      <c r="JE32" s="43"/>
      <c r="JF32" s="43"/>
      <c r="JG32" s="43"/>
      <c r="JH32" s="43"/>
      <c r="JI32" s="43"/>
      <c r="JJ32" s="43"/>
      <c r="JK32" s="43"/>
      <c r="JL32" s="43"/>
      <c r="JM32" s="43"/>
      <c r="JN32" s="43"/>
      <c r="JO32" s="43"/>
      <c r="JP32" s="43"/>
      <c r="JQ32" s="43"/>
      <c r="JR32" s="43"/>
      <c r="JS32" s="43"/>
      <c r="JT32" s="43"/>
      <c r="JU32" s="43"/>
      <c r="JV32" s="43"/>
      <c r="JW32" s="43"/>
      <c r="JX32" s="43"/>
      <c r="JY32" s="43"/>
      <c r="JZ32" s="43"/>
      <c r="KA32" s="43"/>
      <c r="KB32" s="43"/>
      <c r="KC32" s="43"/>
      <c r="KD32" s="43"/>
      <c r="KE32" s="43"/>
      <c r="KF32" s="43"/>
      <c r="KG32" s="43"/>
      <c r="KH32" s="43"/>
      <c r="KI32" s="43"/>
      <c r="KJ32" s="43"/>
      <c r="KK32" s="43"/>
      <c r="KL32" s="43"/>
      <c r="KM32" s="43"/>
      <c r="KN32" s="43"/>
      <c r="KO32" s="43"/>
      <c r="KP32" s="43"/>
      <c r="KQ32" s="43"/>
      <c r="KR32" s="43"/>
      <c r="KS32" s="43"/>
      <c r="KT32" s="43"/>
      <c r="KU32" s="43"/>
      <c r="KV32" s="43"/>
      <c r="KW32" s="43"/>
      <c r="KX32" s="43"/>
      <c r="KY32" s="43"/>
      <c r="KZ32" s="43"/>
      <c r="LA32" s="43"/>
      <c r="LB32" s="43"/>
      <c r="LC32" s="43"/>
      <c r="LD32" s="43"/>
      <c r="LE32" s="43"/>
      <c r="LF32" s="43"/>
      <c r="LG32" s="43"/>
      <c r="LH32" s="43"/>
      <c r="LI32" s="43"/>
      <c r="LJ32" s="43"/>
      <c r="LK32" s="43"/>
      <c r="LL32" s="43"/>
      <c r="LM32" s="43"/>
      <c r="LN32" s="43"/>
      <c r="LO32" s="43"/>
      <c r="LP32" s="43"/>
      <c r="LQ32" s="43"/>
      <c r="LR32" s="43"/>
      <c r="LS32" s="43"/>
      <c r="LT32" s="43"/>
      <c r="LU32" s="43"/>
      <c r="LV32" s="43"/>
      <c r="LW32" s="43"/>
      <c r="LX32" s="43"/>
      <c r="LY32" s="43"/>
      <c r="LZ32" s="43"/>
      <c r="MA32" s="43"/>
      <c r="MB32" s="43"/>
      <c r="MC32" s="43"/>
      <c r="MD32" s="43"/>
      <c r="ME32" s="43"/>
      <c r="MF32" s="43"/>
      <c r="MG32" s="43"/>
      <c r="MH32" s="43"/>
      <c r="MI32" s="43"/>
      <c r="MJ32" s="43"/>
      <c r="MK32" s="43"/>
      <c r="ML32" s="43"/>
      <c r="MM32" s="43"/>
      <c r="MN32" s="43"/>
      <c r="MO32" s="43"/>
      <c r="MP32" s="43"/>
      <c r="MQ32" s="43"/>
      <c r="MR32" s="43"/>
      <c r="MS32" s="43"/>
      <c r="MT32" s="43"/>
      <c r="MU32" s="43"/>
      <c r="MV32" s="43"/>
      <c r="MW32" s="43"/>
      <c r="MX32" s="43"/>
      <c r="MY32" s="43"/>
      <c r="MZ32" s="43"/>
      <c r="NA32" s="43"/>
      <c r="NB32" s="43"/>
      <c r="NC32" s="43"/>
      <c r="ND32" s="43"/>
      <c r="NE32" s="43"/>
      <c r="NF32" s="43"/>
      <c r="NG32" s="43"/>
      <c r="NH32" s="43"/>
      <c r="NI32" s="43"/>
      <c r="NJ32" s="43"/>
      <c r="NK32" s="43"/>
      <c r="NL32" s="43"/>
      <c r="NM32" s="43"/>
      <c r="NN32" s="43"/>
      <c r="NO32" s="43"/>
      <c r="NP32" s="43"/>
      <c r="NQ32" s="43"/>
      <c r="NR32" s="43"/>
      <c r="NS32" s="43"/>
      <c r="NT32" s="43"/>
      <c r="NU32" s="43"/>
      <c r="NV32" s="43"/>
      <c r="NW32" s="43"/>
      <c r="NX32" s="43"/>
      <c r="NY32" s="43"/>
      <c r="NZ32" s="43"/>
      <c r="OA32" s="43"/>
      <c r="OB32" s="43"/>
      <c r="OC32" s="43"/>
      <c r="OD32" s="43"/>
      <c r="OE32" s="43"/>
      <c r="OF32" s="43"/>
      <c r="OG32" s="43"/>
      <c r="OH32" s="43"/>
      <c r="OI32" s="43"/>
      <c r="OJ32" s="43"/>
      <c r="OK32" s="43"/>
      <c r="OL32" s="43"/>
      <c r="OM32" s="43"/>
      <c r="ON32" s="43"/>
      <c r="OO32" s="43"/>
      <c r="OP32" s="43"/>
      <c r="OQ32" s="43"/>
      <c r="OR32" s="43"/>
      <c r="OS32" s="43"/>
      <c r="OT32" s="43"/>
      <c r="OU32" s="43"/>
      <c r="OV32" s="43"/>
      <c r="OW32" s="43"/>
      <c r="OX32" s="43"/>
      <c r="OY32" s="43"/>
      <c r="OZ32" s="43"/>
      <c r="PA32" s="43"/>
      <c r="PB32" s="43"/>
      <c r="PC32" s="43"/>
      <c r="PD32" s="43"/>
      <c r="PE32" s="43"/>
      <c r="PF32" s="43"/>
      <c r="PG32" s="43"/>
      <c r="PH32" s="43"/>
      <c r="PI32" s="43"/>
      <c r="PJ32" s="43"/>
      <c r="PK32" s="43"/>
      <c r="PL32" s="43"/>
      <c r="PM32" s="43"/>
      <c r="PN32" s="43"/>
      <c r="PO32" s="43"/>
      <c r="PP32" s="43"/>
      <c r="PQ32" s="43"/>
      <c r="PR32" s="43"/>
      <c r="PS32" s="43"/>
      <c r="PT32" s="43"/>
      <c r="PU32" s="43"/>
      <c r="PV32" s="43"/>
      <c r="PW32" s="43"/>
      <c r="PX32" s="43"/>
      <c r="PY32" s="43"/>
      <c r="PZ32" s="43"/>
      <c r="QA32" s="43"/>
      <c r="QB32" s="43"/>
      <c r="QC32" s="43"/>
    </row>
    <row r="33" spans="1:16383" s="50" customFormat="1" x14ac:dyDescent="0.3">
      <c r="A33" s="85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46" t="str">
        <f t="shared" si="6"/>
        <v/>
      </c>
      <c r="U33" s="46" t="str">
        <f t="shared" si="7"/>
        <v/>
      </c>
      <c r="V33" s="72" t="str">
        <f t="shared" si="4"/>
        <v/>
      </c>
      <c r="W33" s="48"/>
      <c r="X33" s="73" t="str">
        <f t="shared" si="5"/>
        <v/>
      </c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43"/>
      <c r="CY33" s="43"/>
      <c r="CZ33" s="43"/>
      <c r="DA33" s="43"/>
      <c r="DB33" s="43"/>
      <c r="DC33" s="43"/>
      <c r="DD33" s="43"/>
      <c r="DE33" s="43"/>
      <c r="DF33" s="43"/>
      <c r="DG33" s="43"/>
      <c r="DH33" s="43"/>
      <c r="DI33" s="43"/>
      <c r="DJ33" s="43"/>
      <c r="DK33" s="43"/>
      <c r="DL33" s="43"/>
      <c r="DM33" s="43"/>
      <c r="DN33" s="43"/>
      <c r="DO33" s="43"/>
      <c r="DP33" s="43"/>
      <c r="DQ33" s="43"/>
      <c r="DR33" s="43"/>
      <c r="DS33" s="43"/>
      <c r="DT33" s="43"/>
      <c r="DU33" s="43"/>
      <c r="DV33" s="43"/>
      <c r="DW33" s="43"/>
      <c r="DX33" s="43"/>
      <c r="DY33" s="43"/>
      <c r="DZ33" s="43"/>
      <c r="EA33" s="43"/>
      <c r="EB33" s="43"/>
      <c r="EC33" s="43"/>
      <c r="ED33" s="43"/>
      <c r="EE33" s="43"/>
      <c r="EF33" s="43"/>
      <c r="EG33" s="43"/>
      <c r="EH33" s="43"/>
      <c r="EI33" s="43"/>
      <c r="EJ33" s="43"/>
      <c r="EK33" s="43"/>
      <c r="EL33" s="43"/>
      <c r="EM33" s="43"/>
      <c r="EN33" s="43"/>
      <c r="EO33" s="43"/>
      <c r="EP33" s="43"/>
      <c r="EQ33" s="43"/>
      <c r="ER33" s="43"/>
      <c r="ES33" s="43"/>
      <c r="ET33" s="43"/>
      <c r="EU33" s="43"/>
      <c r="EV33" s="43"/>
      <c r="EW33" s="43"/>
      <c r="EX33" s="43"/>
      <c r="EY33" s="43"/>
      <c r="EZ33" s="43"/>
      <c r="FA33" s="43"/>
      <c r="FB33" s="43"/>
      <c r="FC33" s="43"/>
      <c r="FD33" s="43"/>
      <c r="FE33" s="43"/>
      <c r="FF33" s="43"/>
      <c r="FG33" s="43"/>
      <c r="FH33" s="43"/>
      <c r="FI33" s="43"/>
      <c r="FJ33" s="43"/>
      <c r="FK33" s="43"/>
      <c r="FL33" s="43"/>
      <c r="FM33" s="43"/>
      <c r="FN33" s="43"/>
      <c r="FO33" s="43"/>
      <c r="FP33" s="43"/>
      <c r="FQ33" s="43"/>
      <c r="FR33" s="43"/>
      <c r="FS33" s="43"/>
      <c r="FT33" s="43"/>
      <c r="FU33" s="43"/>
      <c r="FV33" s="43"/>
      <c r="FW33" s="43"/>
      <c r="FX33" s="43"/>
      <c r="FY33" s="43"/>
      <c r="FZ33" s="43"/>
      <c r="GA33" s="43"/>
      <c r="GB33" s="43"/>
      <c r="GC33" s="43"/>
      <c r="GD33" s="43"/>
      <c r="GE33" s="43"/>
      <c r="GF33" s="43"/>
      <c r="GG33" s="43"/>
      <c r="GH33" s="43"/>
      <c r="GI33" s="43"/>
      <c r="GJ33" s="43"/>
      <c r="GK33" s="43"/>
      <c r="GL33" s="43"/>
      <c r="GM33" s="43"/>
      <c r="GN33" s="43"/>
      <c r="GO33" s="43"/>
      <c r="GP33" s="43"/>
      <c r="GQ33" s="43"/>
      <c r="GR33" s="43"/>
      <c r="GS33" s="43"/>
      <c r="GT33" s="43"/>
      <c r="GU33" s="43"/>
      <c r="GV33" s="43"/>
      <c r="GW33" s="43"/>
      <c r="GX33" s="43"/>
      <c r="GY33" s="43"/>
      <c r="GZ33" s="43"/>
      <c r="HA33" s="43"/>
      <c r="HB33" s="43"/>
      <c r="HC33" s="43"/>
      <c r="HD33" s="43"/>
      <c r="HE33" s="43"/>
      <c r="HF33" s="43"/>
      <c r="HG33" s="43"/>
      <c r="HH33" s="43"/>
      <c r="HI33" s="43"/>
      <c r="HJ33" s="43"/>
      <c r="HK33" s="43"/>
      <c r="HL33" s="43"/>
      <c r="HM33" s="43"/>
      <c r="HN33" s="43"/>
      <c r="HO33" s="43"/>
      <c r="HP33" s="43"/>
      <c r="HQ33" s="43"/>
      <c r="HR33" s="43"/>
      <c r="HS33" s="43"/>
      <c r="HT33" s="43"/>
      <c r="HU33" s="43"/>
      <c r="HV33" s="43"/>
      <c r="HW33" s="43"/>
      <c r="HX33" s="43"/>
      <c r="HY33" s="43"/>
      <c r="HZ33" s="43"/>
      <c r="IA33" s="43"/>
      <c r="IB33" s="43"/>
      <c r="IC33" s="43"/>
      <c r="ID33" s="43"/>
      <c r="IE33" s="43"/>
      <c r="IF33" s="43"/>
      <c r="IG33" s="43"/>
      <c r="IH33" s="43"/>
      <c r="II33" s="43"/>
      <c r="IJ33" s="43"/>
      <c r="IK33" s="43"/>
      <c r="IL33" s="43"/>
      <c r="IM33" s="43"/>
      <c r="IN33" s="43"/>
      <c r="IO33" s="43"/>
      <c r="IP33" s="43"/>
      <c r="IQ33" s="43"/>
      <c r="IR33" s="43"/>
      <c r="IS33" s="43"/>
      <c r="IT33" s="43"/>
      <c r="IU33" s="43"/>
      <c r="IV33" s="43"/>
      <c r="IW33" s="43"/>
      <c r="IX33" s="43"/>
      <c r="IY33" s="43"/>
      <c r="IZ33" s="43"/>
      <c r="JA33" s="43"/>
      <c r="JB33" s="43"/>
      <c r="JC33" s="43"/>
      <c r="JD33" s="43"/>
      <c r="JE33" s="43"/>
      <c r="JF33" s="43"/>
      <c r="JG33" s="43"/>
      <c r="JH33" s="43"/>
      <c r="JI33" s="43"/>
      <c r="JJ33" s="43"/>
      <c r="JK33" s="43"/>
      <c r="JL33" s="43"/>
      <c r="JM33" s="43"/>
      <c r="JN33" s="43"/>
      <c r="JO33" s="43"/>
      <c r="JP33" s="43"/>
      <c r="JQ33" s="43"/>
      <c r="JR33" s="43"/>
      <c r="JS33" s="43"/>
      <c r="JT33" s="43"/>
      <c r="JU33" s="43"/>
      <c r="JV33" s="43"/>
      <c r="JW33" s="43"/>
      <c r="JX33" s="43"/>
      <c r="JY33" s="43"/>
      <c r="JZ33" s="43"/>
      <c r="KA33" s="43"/>
      <c r="KB33" s="43"/>
      <c r="KC33" s="43"/>
      <c r="KD33" s="43"/>
      <c r="KE33" s="43"/>
      <c r="KF33" s="43"/>
      <c r="KG33" s="43"/>
      <c r="KH33" s="43"/>
      <c r="KI33" s="43"/>
      <c r="KJ33" s="43"/>
      <c r="KK33" s="43"/>
      <c r="KL33" s="43"/>
      <c r="KM33" s="43"/>
      <c r="KN33" s="43"/>
      <c r="KO33" s="43"/>
      <c r="KP33" s="43"/>
      <c r="KQ33" s="43"/>
      <c r="KR33" s="43"/>
      <c r="KS33" s="43"/>
      <c r="KT33" s="43"/>
      <c r="KU33" s="43"/>
      <c r="KV33" s="43"/>
      <c r="KW33" s="43"/>
      <c r="KX33" s="43"/>
      <c r="KY33" s="43"/>
      <c r="KZ33" s="43"/>
      <c r="LA33" s="43"/>
      <c r="LB33" s="43"/>
      <c r="LC33" s="43"/>
      <c r="LD33" s="43"/>
      <c r="LE33" s="43"/>
      <c r="LF33" s="43"/>
      <c r="LG33" s="43"/>
      <c r="LH33" s="43"/>
      <c r="LI33" s="43"/>
      <c r="LJ33" s="43"/>
      <c r="LK33" s="43"/>
      <c r="LL33" s="43"/>
      <c r="LM33" s="43"/>
      <c r="LN33" s="43"/>
      <c r="LO33" s="43"/>
      <c r="LP33" s="43"/>
      <c r="LQ33" s="43"/>
      <c r="LR33" s="43"/>
      <c r="LS33" s="43"/>
      <c r="LT33" s="43"/>
      <c r="LU33" s="43"/>
      <c r="LV33" s="43"/>
      <c r="LW33" s="43"/>
      <c r="LX33" s="43"/>
      <c r="LY33" s="43"/>
      <c r="LZ33" s="43"/>
      <c r="MA33" s="43"/>
      <c r="MB33" s="43"/>
      <c r="MC33" s="43"/>
      <c r="MD33" s="43"/>
      <c r="ME33" s="43"/>
      <c r="MF33" s="43"/>
      <c r="MG33" s="43"/>
      <c r="MH33" s="43"/>
      <c r="MI33" s="43"/>
      <c r="MJ33" s="43"/>
      <c r="MK33" s="43"/>
      <c r="ML33" s="43"/>
      <c r="MM33" s="43"/>
      <c r="MN33" s="43"/>
      <c r="MO33" s="43"/>
      <c r="MP33" s="43"/>
      <c r="MQ33" s="43"/>
      <c r="MR33" s="43"/>
      <c r="MS33" s="43"/>
      <c r="MT33" s="43"/>
      <c r="MU33" s="43"/>
      <c r="MV33" s="43"/>
      <c r="MW33" s="43"/>
      <c r="MX33" s="43"/>
      <c r="MY33" s="43"/>
      <c r="MZ33" s="43"/>
      <c r="NA33" s="43"/>
      <c r="NB33" s="43"/>
      <c r="NC33" s="43"/>
      <c r="ND33" s="43"/>
      <c r="NE33" s="43"/>
      <c r="NF33" s="43"/>
      <c r="NG33" s="43"/>
      <c r="NH33" s="43"/>
      <c r="NI33" s="43"/>
      <c r="NJ33" s="43"/>
      <c r="NK33" s="43"/>
      <c r="NL33" s="43"/>
      <c r="NM33" s="43"/>
      <c r="NN33" s="43"/>
      <c r="NO33" s="43"/>
      <c r="NP33" s="43"/>
      <c r="NQ33" s="43"/>
      <c r="NR33" s="43"/>
      <c r="NS33" s="43"/>
      <c r="NT33" s="43"/>
      <c r="NU33" s="43"/>
      <c r="NV33" s="43"/>
      <c r="NW33" s="43"/>
      <c r="NX33" s="43"/>
      <c r="NY33" s="43"/>
      <c r="NZ33" s="43"/>
      <c r="OA33" s="43"/>
      <c r="OB33" s="43"/>
      <c r="OC33" s="43"/>
      <c r="OD33" s="43"/>
      <c r="OE33" s="43"/>
      <c r="OF33" s="43"/>
      <c r="OG33" s="43"/>
      <c r="OH33" s="43"/>
      <c r="OI33" s="43"/>
      <c r="OJ33" s="43"/>
      <c r="OK33" s="43"/>
      <c r="OL33" s="43"/>
      <c r="OM33" s="43"/>
      <c r="ON33" s="43"/>
      <c r="OO33" s="43"/>
      <c r="OP33" s="43"/>
      <c r="OQ33" s="43"/>
      <c r="OR33" s="43"/>
      <c r="OS33" s="43"/>
      <c r="OT33" s="43"/>
      <c r="OU33" s="43"/>
      <c r="OV33" s="43"/>
      <c r="OW33" s="43"/>
      <c r="OX33" s="43"/>
      <c r="OY33" s="43"/>
      <c r="OZ33" s="43"/>
      <c r="PA33" s="43"/>
      <c r="PB33" s="43"/>
      <c r="PC33" s="43"/>
      <c r="PD33" s="43"/>
      <c r="PE33" s="43"/>
      <c r="PF33" s="43"/>
      <c r="PG33" s="43"/>
      <c r="PH33" s="43"/>
      <c r="PI33" s="43"/>
      <c r="PJ33" s="43"/>
      <c r="PK33" s="43"/>
      <c r="PL33" s="43"/>
      <c r="PM33" s="43"/>
      <c r="PN33" s="43"/>
      <c r="PO33" s="43"/>
      <c r="PP33" s="43"/>
      <c r="PQ33" s="43"/>
      <c r="PR33" s="43"/>
      <c r="PS33" s="43"/>
      <c r="PT33" s="43"/>
      <c r="PU33" s="43"/>
      <c r="PV33" s="43"/>
      <c r="PW33" s="43"/>
      <c r="PX33" s="43"/>
      <c r="PY33" s="43"/>
      <c r="PZ33" s="43"/>
      <c r="QA33" s="43"/>
      <c r="QB33" s="43"/>
      <c r="QC33" s="43"/>
    </row>
    <row r="34" spans="1:16383" s="50" customFormat="1" x14ac:dyDescent="0.3">
      <c r="A34" s="85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46" t="str">
        <f t="shared" si="6"/>
        <v/>
      </c>
      <c r="U34" s="46" t="str">
        <f t="shared" si="7"/>
        <v/>
      </c>
      <c r="V34" s="72" t="str">
        <f t="shared" si="4"/>
        <v/>
      </c>
      <c r="W34" s="48"/>
      <c r="X34" s="73" t="str">
        <f t="shared" si="5"/>
        <v/>
      </c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43"/>
      <c r="CY34" s="43"/>
      <c r="CZ34" s="43"/>
      <c r="DA34" s="43"/>
      <c r="DB34" s="43"/>
      <c r="DC34" s="43"/>
      <c r="DD34" s="43"/>
      <c r="DE34" s="43"/>
      <c r="DF34" s="43"/>
      <c r="DG34" s="43"/>
      <c r="DH34" s="43"/>
      <c r="DI34" s="43"/>
      <c r="DJ34" s="43"/>
      <c r="DK34" s="43"/>
      <c r="DL34" s="43"/>
      <c r="DM34" s="43"/>
      <c r="DN34" s="43"/>
      <c r="DO34" s="43"/>
      <c r="DP34" s="43"/>
      <c r="DQ34" s="43"/>
      <c r="DR34" s="43"/>
      <c r="DS34" s="43"/>
      <c r="DT34" s="43"/>
      <c r="DU34" s="43"/>
      <c r="DV34" s="43"/>
      <c r="DW34" s="43"/>
      <c r="DX34" s="43"/>
      <c r="DY34" s="43"/>
      <c r="DZ34" s="43"/>
      <c r="EA34" s="43"/>
      <c r="EB34" s="43"/>
      <c r="EC34" s="43"/>
      <c r="ED34" s="43"/>
      <c r="EE34" s="43"/>
      <c r="EF34" s="43"/>
      <c r="EG34" s="43"/>
      <c r="EH34" s="43"/>
      <c r="EI34" s="43"/>
      <c r="EJ34" s="43"/>
      <c r="EK34" s="43"/>
      <c r="EL34" s="43"/>
      <c r="EM34" s="43"/>
      <c r="EN34" s="43"/>
      <c r="EO34" s="43"/>
      <c r="EP34" s="43"/>
      <c r="EQ34" s="43"/>
      <c r="ER34" s="43"/>
      <c r="ES34" s="43"/>
      <c r="ET34" s="43"/>
      <c r="EU34" s="43"/>
      <c r="EV34" s="43"/>
      <c r="EW34" s="43"/>
      <c r="EX34" s="43"/>
      <c r="EY34" s="43"/>
      <c r="EZ34" s="43"/>
      <c r="FA34" s="43"/>
      <c r="FB34" s="43"/>
      <c r="FC34" s="43"/>
      <c r="FD34" s="43"/>
      <c r="FE34" s="43"/>
      <c r="FF34" s="43"/>
      <c r="FG34" s="43"/>
      <c r="FH34" s="43"/>
      <c r="FI34" s="43"/>
      <c r="FJ34" s="43"/>
      <c r="FK34" s="43"/>
      <c r="FL34" s="43"/>
      <c r="FM34" s="43"/>
      <c r="FN34" s="43"/>
      <c r="FO34" s="43"/>
      <c r="FP34" s="43"/>
      <c r="FQ34" s="43"/>
      <c r="FR34" s="43"/>
      <c r="FS34" s="43"/>
      <c r="FT34" s="43"/>
      <c r="FU34" s="43"/>
      <c r="FV34" s="43"/>
      <c r="FW34" s="43"/>
      <c r="FX34" s="43"/>
      <c r="FY34" s="43"/>
      <c r="FZ34" s="43"/>
      <c r="GA34" s="43"/>
      <c r="GB34" s="43"/>
      <c r="GC34" s="43"/>
      <c r="GD34" s="43"/>
      <c r="GE34" s="43"/>
      <c r="GF34" s="43"/>
      <c r="GG34" s="43"/>
      <c r="GH34" s="43"/>
      <c r="GI34" s="43"/>
      <c r="GJ34" s="43"/>
      <c r="GK34" s="43"/>
      <c r="GL34" s="43"/>
      <c r="GM34" s="43"/>
      <c r="GN34" s="43"/>
      <c r="GO34" s="43"/>
      <c r="GP34" s="43"/>
      <c r="GQ34" s="43"/>
      <c r="GR34" s="43"/>
      <c r="GS34" s="43"/>
      <c r="GT34" s="43"/>
      <c r="GU34" s="43"/>
      <c r="GV34" s="43"/>
      <c r="GW34" s="43"/>
      <c r="GX34" s="43"/>
      <c r="GY34" s="43"/>
      <c r="GZ34" s="43"/>
      <c r="HA34" s="43"/>
      <c r="HB34" s="43"/>
      <c r="HC34" s="43"/>
      <c r="HD34" s="43"/>
      <c r="HE34" s="43"/>
      <c r="HF34" s="43"/>
      <c r="HG34" s="43"/>
      <c r="HH34" s="43"/>
      <c r="HI34" s="43"/>
      <c r="HJ34" s="43"/>
      <c r="HK34" s="43"/>
      <c r="HL34" s="43"/>
      <c r="HM34" s="43"/>
      <c r="HN34" s="43"/>
      <c r="HO34" s="43"/>
      <c r="HP34" s="43"/>
      <c r="HQ34" s="43"/>
      <c r="HR34" s="43"/>
      <c r="HS34" s="43"/>
      <c r="HT34" s="43"/>
      <c r="HU34" s="43"/>
      <c r="HV34" s="43"/>
      <c r="HW34" s="43"/>
      <c r="HX34" s="43"/>
      <c r="HY34" s="43"/>
      <c r="HZ34" s="43"/>
      <c r="IA34" s="43"/>
      <c r="IB34" s="43"/>
      <c r="IC34" s="43"/>
      <c r="ID34" s="43"/>
      <c r="IE34" s="43"/>
      <c r="IF34" s="43"/>
      <c r="IG34" s="43"/>
      <c r="IH34" s="43"/>
      <c r="II34" s="43"/>
      <c r="IJ34" s="43"/>
      <c r="IK34" s="43"/>
      <c r="IL34" s="43"/>
      <c r="IM34" s="43"/>
      <c r="IN34" s="43"/>
      <c r="IO34" s="43"/>
      <c r="IP34" s="43"/>
      <c r="IQ34" s="43"/>
      <c r="IR34" s="43"/>
      <c r="IS34" s="43"/>
      <c r="IT34" s="43"/>
      <c r="IU34" s="43"/>
      <c r="IV34" s="43"/>
      <c r="IW34" s="43"/>
      <c r="IX34" s="43"/>
      <c r="IY34" s="43"/>
      <c r="IZ34" s="43"/>
      <c r="JA34" s="43"/>
      <c r="JB34" s="43"/>
      <c r="JC34" s="43"/>
      <c r="JD34" s="43"/>
      <c r="JE34" s="43"/>
      <c r="JF34" s="43"/>
      <c r="JG34" s="43"/>
      <c r="JH34" s="43"/>
      <c r="JI34" s="43"/>
      <c r="JJ34" s="43"/>
      <c r="JK34" s="43"/>
      <c r="JL34" s="43"/>
      <c r="JM34" s="43"/>
      <c r="JN34" s="43"/>
      <c r="JO34" s="43"/>
      <c r="JP34" s="43"/>
      <c r="JQ34" s="43"/>
      <c r="JR34" s="43"/>
      <c r="JS34" s="43"/>
      <c r="JT34" s="43"/>
      <c r="JU34" s="43"/>
      <c r="JV34" s="43"/>
      <c r="JW34" s="43"/>
      <c r="JX34" s="43"/>
      <c r="JY34" s="43"/>
      <c r="JZ34" s="43"/>
      <c r="KA34" s="43"/>
      <c r="KB34" s="43"/>
      <c r="KC34" s="43"/>
      <c r="KD34" s="43"/>
      <c r="KE34" s="43"/>
      <c r="KF34" s="43"/>
      <c r="KG34" s="43"/>
      <c r="KH34" s="43"/>
      <c r="KI34" s="43"/>
      <c r="KJ34" s="43"/>
      <c r="KK34" s="43"/>
      <c r="KL34" s="43"/>
      <c r="KM34" s="43"/>
      <c r="KN34" s="43"/>
      <c r="KO34" s="43"/>
      <c r="KP34" s="43"/>
      <c r="KQ34" s="43"/>
      <c r="KR34" s="43"/>
      <c r="KS34" s="43"/>
      <c r="KT34" s="43"/>
      <c r="KU34" s="43"/>
      <c r="KV34" s="43"/>
      <c r="KW34" s="43"/>
      <c r="KX34" s="43"/>
      <c r="KY34" s="43"/>
      <c r="KZ34" s="43"/>
      <c r="LA34" s="43"/>
      <c r="LB34" s="43"/>
      <c r="LC34" s="43"/>
      <c r="LD34" s="43"/>
      <c r="LE34" s="43"/>
      <c r="LF34" s="43"/>
      <c r="LG34" s="43"/>
      <c r="LH34" s="43"/>
      <c r="LI34" s="43"/>
      <c r="LJ34" s="43"/>
      <c r="LK34" s="43"/>
      <c r="LL34" s="43"/>
      <c r="LM34" s="43"/>
      <c r="LN34" s="43"/>
      <c r="LO34" s="43"/>
      <c r="LP34" s="43"/>
      <c r="LQ34" s="43"/>
      <c r="LR34" s="43"/>
      <c r="LS34" s="43"/>
      <c r="LT34" s="43"/>
      <c r="LU34" s="43"/>
      <c r="LV34" s="43"/>
      <c r="LW34" s="43"/>
      <c r="LX34" s="43"/>
      <c r="LY34" s="43"/>
      <c r="LZ34" s="43"/>
      <c r="MA34" s="43"/>
      <c r="MB34" s="43"/>
      <c r="MC34" s="43"/>
      <c r="MD34" s="43"/>
      <c r="ME34" s="43"/>
      <c r="MF34" s="43"/>
      <c r="MG34" s="43"/>
      <c r="MH34" s="43"/>
      <c r="MI34" s="43"/>
      <c r="MJ34" s="43"/>
      <c r="MK34" s="43"/>
      <c r="ML34" s="43"/>
      <c r="MM34" s="43"/>
      <c r="MN34" s="43"/>
      <c r="MO34" s="43"/>
      <c r="MP34" s="43"/>
      <c r="MQ34" s="43"/>
      <c r="MR34" s="43"/>
      <c r="MS34" s="43"/>
      <c r="MT34" s="43"/>
      <c r="MU34" s="43"/>
      <c r="MV34" s="43"/>
      <c r="MW34" s="43"/>
      <c r="MX34" s="43"/>
      <c r="MY34" s="43"/>
      <c r="MZ34" s="43"/>
      <c r="NA34" s="43"/>
      <c r="NB34" s="43"/>
      <c r="NC34" s="43"/>
      <c r="ND34" s="43"/>
      <c r="NE34" s="43"/>
      <c r="NF34" s="43"/>
      <c r="NG34" s="43"/>
      <c r="NH34" s="43"/>
      <c r="NI34" s="43"/>
      <c r="NJ34" s="43"/>
      <c r="NK34" s="43"/>
      <c r="NL34" s="43"/>
      <c r="NM34" s="43"/>
      <c r="NN34" s="43"/>
      <c r="NO34" s="43"/>
      <c r="NP34" s="43"/>
      <c r="NQ34" s="43"/>
      <c r="NR34" s="43"/>
      <c r="NS34" s="43"/>
      <c r="NT34" s="43"/>
      <c r="NU34" s="43"/>
      <c r="NV34" s="43"/>
      <c r="NW34" s="43"/>
      <c r="NX34" s="43"/>
      <c r="NY34" s="43"/>
      <c r="NZ34" s="43"/>
      <c r="OA34" s="43"/>
      <c r="OB34" s="43"/>
      <c r="OC34" s="43"/>
      <c r="OD34" s="43"/>
      <c r="OE34" s="43"/>
      <c r="OF34" s="43"/>
      <c r="OG34" s="43"/>
      <c r="OH34" s="43"/>
      <c r="OI34" s="43"/>
      <c r="OJ34" s="43"/>
      <c r="OK34" s="43"/>
      <c r="OL34" s="43"/>
      <c r="OM34" s="43"/>
      <c r="ON34" s="43"/>
      <c r="OO34" s="43"/>
      <c r="OP34" s="43"/>
      <c r="OQ34" s="43"/>
      <c r="OR34" s="43"/>
      <c r="OS34" s="43"/>
      <c r="OT34" s="43"/>
      <c r="OU34" s="43"/>
      <c r="OV34" s="43"/>
      <c r="OW34" s="43"/>
      <c r="OX34" s="43"/>
      <c r="OY34" s="43"/>
      <c r="OZ34" s="43"/>
      <c r="PA34" s="43"/>
      <c r="PB34" s="43"/>
      <c r="PC34" s="43"/>
      <c r="PD34" s="43"/>
      <c r="PE34" s="43"/>
      <c r="PF34" s="43"/>
      <c r="PG34" s="43"/>
      <c r="PH34" s="43"/>
      <c r="PI34" s="43"/>
      <c r="PJ34" s="43"/>
      <c r="PK34" s="43"/>
      <c r="PL34" s="43"/>
      <c r="PM34" s="43"/>
      <c r="PN34" s="43"/>
      <c r="PO34" s="43"/>
      <c r="PP34" s="43"/>
      <c r="PQ34" s="43"/>
      <c r="PR34" s="43"/>
      <c r="PS34" s="43"/>
      <c r="PT34" s="43"/>
      <c r="PU34" s="43"/>
      <c r="PV34" s="43"/>
      <c r="PW34" s="43"/>
      <c r="PX34" s="43"/>
      <c r="PY34" s="43"/>
      <c r="PZ34" s="43"/>
      <c r="QA34" s="43"/>
      <c r="QB34" s="43"/>
      <c r="QC34" s="43"/>
    </row>
    <row r="35" spans="1:16383" s="50" customFormat="1" x14ac:dyDescent="0.3">
      <c r="A35" s="85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46" t="str">
        <f t="shared" si="6"/>
        <v/>
      </c>
      <c r="U35" s="46" t="str">
        <f t="shared" si="7"/>
        <v/>
      </c>
      <c r="V35" s="72" t="str">
        <f t="shared" si="4"/>
        <v/>
      </c>
      <c r="W35" s="49"/>
      <c r="X35" s="73" t="str">
        <f t="shared" si="5"/>
        <v/>
      </c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43"/>
      <c r="CY35" s="43"/>
      <c r="CZ35" s="43"/>
      <c r="DA35" s="43"/>
      <c r="DB35" s="43"/>
      <c r="DC35" s="43"/>
      <c r="DD35" s="43"/>
      <c r="DE35" s="43"/>
      <c r="DF35" s="43"/>
      <c r="DG35" s="43"/>
      <c r="DH35" s="43"/>
      <c r="DI35" s="43"/>
      <c r="DJ35" s="43"/>
      <c r="DK35" s="43"/>
      <c r="DL35" s="43"/>
      <c r="DM35" s="43"/>
      <c r="DN35" s="43"/>
      <c r="DO35" s="43"/>
      <c r="DP35" s="43"/>
      <c r="DQ35" s="43"/>
      <c r="DR35" s="43"/>
      <c r="DS35" s="43"/>
      <c r="DT35" s="43"/>
      <c r="DU35" s="43"/>
      <c r="DV35" s="43"/>
      <c r="DW35" s="43"/>
      <c r="DX35" s="43"/>
      <c r="DY35" s="43"/>
      <c r="DZ35" s="43"/>
      <c r="EA35" s="43"/>
      <c r="EB35" s="43"/>
      <c r="EC35" s="43"/>
      <c r="ED35" s="43"/>
      <c r="EE35" s="43"/>
      <c r="EF35" s="43"/>
      <c r="EG35" s="43"/>
      <c r="EH35" s="43"/>
      <c r="EI35" s="43"/>
      <c r="EJ35" s="43"/>
      <c r="EK35" s="43"/>
      <c r="EL35" s="43"/>
      <c r="EM35" s="43"/>
      <c r="EN35" s="43"/>
      <c r="EO35" s="43"/>
      <c r="EP35" s="43"/>
      <c r="EQ35" s="43"/>
      <c r="ER35" s="43"/>
      <c r="ES35" s="43"/>
      <c r="ET35" s="43"/>
      <c r="EU35" s="43"/>
      <c r="EV35" s="43"/>
      <c r="EW35" s="43"/>
      <c r="EX35" s="43"/>
      <c r="EY35" s="43"/>
      <c r="EZ35" s="43"/>
      <c r="FA35" s="43"/>
      <c r="FB35" s="43"/>
      <c r="FC35" s="43"/>
      <c r="FD35" s="43"/>
      <c r="FE35" s="43"/>
      <c r="FF35" s="43"/>
      <c r="FG35" s="43"/>
      <c r="FH35" s="43"/>
      <c r="FI35" s="43"/>
      <c r="FJ35" s="43"/>
      <c r="FK35" s="43"/>
      <c r="FL35" s="43"/>
      <c r="FM35" s="43"/>
      <c r="FN35" s="43"/>
      <c r="FO35" s="43"/>
      <c r="FP35" s="43"/>
      <c r="FQ35" s="43"/>
      <c r="FR35" s="43"/>
      <c r="FS35" s="43"/>
      <c r="FT35" s="43"/>
      <c r="FU35" s="43"/>
      <c r="FV35" s="43"/>
      <c r="FW35" s="43"/>
      <c r="FX35" s="43"/>
      <c r="FY35" s="43"/>
      <c r="FZ35" s="43"/>
      <c r="GA35" s="43"/>
      <c r="GB35" s="43"/>
      <c r="GC35" s="43"/>
      <c r="GD35" s="43"/>
      <c r="GE35" s="43"/>
      <c r="GF35" s="43"/>
      <c r="GG35" s="43"/>
      <c r="GH35" s="43"/>
      <c r="GI35" s="43"/>
      <c r="GJ35" s="43"/>
      <c r="GK35" s="43"/>
      <c r="GL35" s="43"/>
      <c r="GM35" s="43"/>
      <c r="GN35" s="43"/>
      <c r="GO35" s="43"/>
      <c r="GP35" s="43"/>
      <c r="GQ35" s="43"/>
      <c r="GR35" s="43"/>
      <c r="GS35" s="43"/>
      <c r="GT35" s="43"/>
      <c r="GU35" s="43"/>
      <c r="GV35" s="43"/>
      <c r="GW35" s="43"/>
      <c r="GX35" s="43"/>
      <c r="GY35" s="43"/>
      <c r="GZ35" s="43"/>
      <c r="HA35" s="43"/>
      <c r="HB35" s="43"/>
      <c r="HC35" s="43"/>
      <c r="HD35" s="43"/>
      <c r="HE35" s="43"/>
      <c r="HF35" s="43"/>
      <c r="HG35" s="43"/>
      <c r="HH35" s="43"/>
      <c r="HI35" s="43"/>
      <c r="HJ35" s="43"/>
      <c r="HK35" s="43"/>
      <c r="HL35" s="43"/>
      <c r="HM35" s="43"/>
      <c r="HN35" s="43"/>
      <c r="HO35" s="43"/>
      <c r="HP35" s="43"/>
      <c r="HQ35" s="43"/>
      <c r="HR35" s="43"/>
      <c r="HS35" s="43"/>
      <c r="HT35" s="43"/>
      <c r="HU35" s="43"/>
      <c r="HV35" s="43"/>
      <c r="HW35" s="43"/>
      <c r="HX35" s="43"/>
      <c r="HY35" s="43"/>
      <c r="HZ35" s="43"/>
      <c r="IA35" s="43"/>
      <c r="IB35" s="43"/>
      <c r="IC35" s="43"/>
      <c r="ID35" s="43"/>
      <c r="IE35" s="43"/>
      <c r="IF35" s="43"/>
      <c r="IG35" s="43"/>
      <c r="IH35" s="43"/>
      <c r="II35" s="43"/>
      <c r="IJ35" s="43"/>
      <c r="IK35" s="43"/>
      <c r="IL35" s="43"/>
      <c r="IM35" s="43"/>
      <c r="IN35" s="43"/>
      <c r="IO35" s="43"/>
      <c r="IP35" s="43"/>
      <c r="IQ35" s="43"/>
      <c r="IR35" s="43"/>
      <c r="IS35" s="43"/>
      <c r="IT35" s="43"/>
      <c r="IU35" s="43"/>
      <c r="IV35" s="43"/>
      <c r="IW35" s="43"/>
      <c r="IX35" s="43"/>
      <c r="IY35" s="43"/>
      <c r="IZ35" s="43"/>
      <c r="JA35" s="43"/>
      <c r="JB35" s="43"/>
      <c r="JC35" s="43"/>
      <c r="JD35" s="43"/>
      <c r="JE35" s="43"/>
      <c r="JF35" s="43"/>
      <c r="JG35" s="43"/>
      <c r="JH35" s="43"/>
      <c r="JI35" s="43"/>
      <c r="JJ35" s="43"/>
      <c r="JK35" s="43"/>
      <c r="JL35" s="43"/>
      <c r="JM35" s="43"/>
      <c r="JN35" s="43"/>
      <c r="JO35" s="43"/>
      <c r="JP35" s="43"/>
      <c r="JQ35" s="43"/>
      <c r="JR35" s="43"/>
      <c r="JS35" s="43"/>
      <c r="JT35" s="43"/>
      <c r="JU35" s="43"/>
      <c r="JV35" s="43"/>
      <c r="JW35" s="43"/>
      <c r="JX35" s="43"/>
      <c r="JY35" s="43"/>
      <c r="JZ35" s="43"/>
      <c r="KA35" s="43"/>
      <c r="KB35" s="43"/>
      <c r="KC35" s="43"/>
      <c r="KD35" s="43"/>
      <c r="KE35" s="43"/>
      <c r="KF35" s="43"/>
      <c r="KG35" s="43"/>
      <c r="KH35" s="43"/>
      <c r="KI35" s="43"/>
      <c r="KJ35" s="43"/>
      <c r="KK35" s="43"/>
      <c r="KL35" s="43"/>
      <c r="KM35" s="43"/>
      <c r="KN35" s="43"/>
      <c r="KO35" s="43"/>
      <c r="KP35" s="43"/>
      <c r="KQ35" s="43"/>
      <c r="KR35" s="43"/>
      <c r="KS35" s="43"/>
      <c r="KT35" s="43"/>
      <c r="KU35" s="43"/>
      <c r="KV35" s="43"/>
      <c r="KW35" s="43"/>
      <c r="KX35" s="43"/>
      <c r="KY35" s="43"/>
      <c r="KZ35" s="43"/>
      <c r="LA35" s="43"/>
      <c r="LB35" s="43"/>
      <c r="LC35" s="43"/>
      <c r="LD35" s="43"/>
      <c r="LE35" s="43"/>
      <c r="LF35" s="43"/>
      <c r="LG35" s="43"/>
      <c r="LH35" s="43"/>
      <c r="LI35" s="43"/>
      <c r="LJ35" s="43"/>
      <c r="LK35" s="43"/>
      <c r="LL35" s="43"/>
      <c r="LM35" s="43"/>
      <c r="LN35" s="43"/>
      <c r="LO35" s="43"/>
      <c r="LP35" s="43"/>
      <c r="LQ35" s="43"/>
      <c r="LR35" s="43"/>
      <c r="LS35" s="43"/>
      <c r="LT35" s="43"/>
      <c r="LU35" s="43"/>
      <c r="LV35" s="43"/>
      <c r="LW35" s="43"/>
      <c r="LX35" s="43"/>
      <c r="LY35" s="43"/>
      <c r="LZ35" s="43"/>
      <c r="MA35" s="43"/>
      <c r="MB35" s="43"/>
      <c r="MC35" s="43"/>
      <c r="MD35" s="43"/>
      <c r="ME35" s="43"/>
      <c r="MF35" s="43"/>
      <c r="MG35" s="43"/>
      <c r="MH35" s="43"/>
      <c r="MI35" s="43"/>
      <c r="MJ35" s="43"/>
      <c r="MK35" s="43"/>
      <c r="ML35" s="43"/>
      <c r="MM35" s="43"/>
      <c r="MN35" s="43"/>
      <c r="MO35" s="43"/>
      <c r="MP35" s="43"/>
      <c r="MQ35" s="43"/>
      <c r="MR35" s="43"/>
      <c r="MS35" s="43"/>
      <c r="MT35" s="43"/>
      <c r="MU35" s="43"/>
      <c r="MV35" s="43"/>
      <c r="MW35" s="43"/>
      <c r="MX35" s="43"/>
      <c r="MY35" s="43"/>
      <c r="MZ35" s="43"/>
      <c r="NA35" s="43"/>
      <c r="NB35" s="43"/>
      <c r="NC35" s="43"/>
      <c r="ND35" s="43"/>
      <c r="NE35" s="43"/>
      <c r="NF35" s="43"/>
      <c r="NG35" s="43"/>
      <c r="NH35" s="43"/>
      <c r="NI35" s="43"/>
      <c r="NJ35" s="43"/>
      <c r="NK35" s="43"/>
      <c r="NL35" s="43"/>
      <c r="NM35" s="43"/>
      <c r="NN35" s="43"/>
      <c r="NO35" s="43"/>
      <c r="NP35" s="43"/>
      <c r="NQ35" s="43"/>
      <c r="NR35" s="43"/>
      <c r="NS35" s="43"/>
      <c r="NT35" s="43"/>
      <c r="NU35" s="43"/>
      <c r="NV35" s="43"/>
      <c r="NW35" s="43"/>
      <c r="NX35" s="43"/>
      <c r="NY35" s="43"/>
      <c r="NZ35" s="43"/>
      <c r="OA35" s="43"/>
      <c r="OB35" s="43"/>
      <c r="OC35" s="43"/>
      <c r="OD35" s="43"/>
      <c r="OE35" s="43"/>
      <c r="OF35" s="43"/>
      <c r="OG35" s="43"/>
      <c r="OH35" s="43"/>
      <c r="OI35" s="43"/>
      <c r="OJ35" s="43"/>
      <c r="OK35" s="43"/>
      <c r="OL35" s="43"/>
      <c r="OM35" s="43"/>
      <c r="ON35" s="43"/>
      <c r="OO35" s="43"/>
      <c r="OP35" s="43"/>
      <c r="OQ35" s="43"/>
      <c r="OR35" s="43"/>
      <c r="OS35" s="43"/>
      <c r="OT35" s="43"/>
      <c r="OU35" s="43"/>
      <c r="OV35" s="43"/>
      <c r="OW35" s="43"/>
      <c r="OX35" s="43"/>
      <c r="OY35" s="43"/>
      <c r="OZ35" s="43"/>
      <c r="PA35" s="43"/>
      <c r="PB35" s="43"/>
      <c r="PC35" s="43"/>
      <c r="PD35" s="43"/>
      <c r="PE35" s="43"/>
      <c r="PF35" s="43"/>
      <c r="PG35" s="43"/>
      <c r="PH35" s="43"/>
      <c r="PI35" s="43"/>
      <c r="PJ35" s="43"/>
      <c r="PK35" s="43"/>
      <c r="PL35" s="43"/>
      <c r="PM35" s="43"/>
      <c r="PN35" s="43"/>
      <c r="PO35" s="43"/>
      <c r="PP35" s="43"/>
      <c r="PQ35" s="43"/>
      <c r="PR35" s="43"/>
      <c r="PS35" s="43"/>
      <c r="PT35" s="43"/>
      <c r="PU35" s="43"/>
      <c r="PV35" s="43"/>
      <c r="PW35" s="43"/>
      <c r="PX35" s="43"/>
      <c r="PY35" s="43"/>
      <c r="PZ35" s="43"/>
      <c r="QA35" s="43"/>
      <c r="QB35" s="43"/>
      <c r="QC35" s="43"/>
    </row>
    <row r="36" spans="1:16383" s="50" customFormat="1" x14ac:dyDescent="0.3">
      <c r="A36" s="85"/>
      <c r="B36" s="84"/>
      <c r="C36" s="84"/>
      <c r="D36" s="84"/>
      <c r="E36" s="84"/>
      <c r="F36" s="84"/>
      <c r="G36" s="84"/>
      <c r="H36" s="84"/>
      <c r="I36" s="84"/>
      <c r="J36" s="89"/>
      <c r="K36" s="84"/>
      <c r="L36" s="84"/>
      <c r="M36" s="84"/>
      <c r="N36" s="84"/>
      <c r="O36" s="84"/>
      <c r="P36" s="84"/>
      <c r="Q36" s="84"/>
      <c r="R36" s="84"/>
      <c r="S36" s="84"/>
      <c r="T36" s="46" t="str">
        <f t="shared" si="6"/>
        <v/>
      </c>
      <c r="U36" s="46" t="str">
        <f t="shared" si="7"/>
        <v/>
      </c>
      <c r="V36" s="72" t="str">
        <f t="shared" si="4"/>
        <v/>
      </c>
      <c r="W36" s="48"/>
      <c r="X36" s="73" t="str">
        <f t="shared" si="5"/>
        <v/>
      </c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43"/>
      <c r="CY36" s="43"/>
      <c r="CZ36" s="43"/>
      <c r="DA36" s="43"/>
      <c r="DB36" s="43"/>
      <c r="DC36" s="43"/>
      <c r="DD36" s="43"/>
      <c r="DE36" s="43"/>
      <c r="DF36" s="43"/>
      <c r="DG36" s="43"/>
      <c r="DH36" s="43"/>
      <c r="DI36" s="43"/>
      <c r="DJ36" s="43"/>
      <c r="DK36" s="43"/>
      <c r="DL36" s="43"/>
      <c r="DM36" s="43"/>
      <c r="DN36" s="43"/>
      <c r="DO36" s="43"/>
      <c r="DP36" s="43"/>
      <c r="DQ36" s="43"/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43"/>
      <c r="EM36" s="43"/>
      <c r="EN36" s="43"/>
      <c r="EO36" s="43"/>
      <c r="EP36" s="43"/>
      <c r="EQ36" s="43"/>
      <c r="ER36" s="43"/>
      <c r="ES36" s="43"/>
      <c r="ET36" s="43"/>
      <c r="EU36" s="43"/>
      <c r="EV36" s="43"/>
      <c r="EW36" s="43"/>
      <c r="EX36" s="43"/>
      <c r="EY36" s="43"/>
      <c r="EZ36" s="43"/>
      <c r="FA36" s="43"/>
      <c r="FB36" s="43"/>
      <c r="FC36" s="43"/>
      <c r="FD36" s="43"/>
      <c r="FE36" s="43"/>
      <c r="FF36" s="43"/>
      <c r="FG36" s="43"/>
      <c r="FH36" s="43"/>
      <c r="FI36" s="43"/>
      <c r="FJ36" s="43"/>
      <c r="FK36" s="43"/>
      <c r="FL36" s="43"/>
      <c r="FM36" s="43"/>
      <c r="FN36" s="43"/>
      <c r="FO36" s="43"/>
      <c r="FP36" s="43"/>
      <c r="FQ36" s="43"/>
      <c r="FR36" s="43"/>
      <c r="FS36" s="43"/>
      <c r="FT36" s="43"/>
      <c r="FU36" s="43"/>
      <c r="FV36" s="43"/>
      <c r="FW36" s="43"/>
      <c r="FX36" s="43"/>
      <c r="FY36" s="43"/>
      <c r="FZ36" s="43"/>
      <c r="GA36" s="43"/>
      <c r="GB36" s="43"/>
      <c r="GC36" s="43"/>
      <c r="GD36" s="43"/>
      <c r="GE36" s="43"/>
      <c r="GF36" s="43"/>
      <c r="GG36" s="43"/>
      <c r="GH36" s="43"/>
      <c r="GI36" s="43"/>
      <c r="GJ36" s="43"/>
      <c r="GK36" s="43"/>
      <c r="GL36" s="43"/>
      <c r="GM36" s="43"/>
      <c r="GN36" s="43"/>
      <c r="GO36" s="43"/>
      <c r="GP36" s="43"/>
      <c r="GQ36" s="43"/>
      <c r="GR36" s="43"/>
      <c r="GS36" s="43"/>
      <c r="GT36" s="43"/>
      <c r="GU36" s="43"/>
      <c r="GV36" s="43"/>
      <c r="GW36" s="43"/>
      <c r="GX36" s="43"/>
      <c r="GY36" s="43"/>
      <c r="GZ36" s="43"/>
      <c r="HA36" s="43"/>
      <c r="HB36" s="43"/>
      <c r="HC36" s="43"/>
      <c r="HD36" s="43"/>
      <c r="HE36" s="43"/>
      <c r="HF36" s="43"/>
      <c r="HG36" s="43"/>
      <c r="HH36" s="43"/>
      <c r="HI36" s="43"/>
      <c r="HJ36" s="43"/>
      <c r="HK36" s="43"/>
      <c r="HL36" s="43"/>
      <c r="HM36" s="43"/>
      <c r="HN36" s="43"/>
      <c r="HO36" s="43"/>
      <c r="HP36" s="43"/>
      <c r="HQ36" s="43"/>
      <c r="HR36" s="43"/>
      <c r="HS36" s="43"/>
      <c r="HT36" s="43"/>
      <c r="HU36" s="43"/>
      <c r="HV36" s="43"/>
      <c r="HW36" s="43"/>
      <c r="HX36" s="43"/>
      <c r="HY36" s="43"/>
      <c r="HZ36" s="43"/>
      <c r="IA36" s="43"/>
      <c r="IB36" s="43"/>
      <c r="IC36" s="43"/>
      <c r="ID36" s="43"/>
      <c r="IE36" s="43"/>
      <c r="IF36" s="43"/>
      <c r="IG36" s="43"/>
      <c r="IH36" s="43"/>
      <c r="II36" s="43"/>
      <c r="IJ36" s="43"/>
      <c r="IK36" s="43"/>
      <c r="IL36" s="43"/>
      <c r="IM36" s="43"/>
      <c r="IN36" s="43"/>
      <c r="IO36" s="43"/>
      <c r="IP36" s="43"/>
      <c r="IQ36" s="43"/>
      <c r="IR36" s="43"/>
      <c r="IS36" s="43"/>
      <c r="IT36" s="43"/>
      <c r="IU36" s="43"/>
      <c r="IV36" s="43"/>
      <c r="IW36" s="43"/>
      <c r="IX36" s="43"/>
      <c r="IY36" s="43"/>
      <c r="IZ36" s="43"/>
      <c r="JA36" s="43"/>
      <c r="JB36" s="43"/>
      <c r="JC36" s="43"/>
      <c r="JD36" s="43"/>
      <c r="JE36" s="43"/>
      <c r="JF36" s="43"/>
      <c r="JG36" s="43"/>
      <c r="JH36" s="43"/>
      <c r="JI36" s="43"/>
      <c r="JJ36" s="43"/>
      <c r="JK36" s="43"/>
      <c r="JL36" s="43"/>
      <c r="JM36" s="43"/>
      <c r="JN36" s="43"/>
      <c r="JO36" s="43"/>
      <c r="JP36" s="43"/>
      <c r="JQ36" s="43"/>
      <c r="JR36" s="43"/>
      <c r="JS36" s="43"/>
      <c r="JT36" s="43"/>
      <c r="JU36" s="43"/>
      <c r="JV36" s="43"/>
      <c r="JW36" s="43"/>
      <c r="JX36" s="43"/>
      <c r="JY36" s="43"/>
      <c r="JZ36" s="43"/>
      <c r="KA36" s="43"/>
      <c r="KB36" s="43"/>
      <c r="KC36" s="43"/>
      <c r="KD36" s="43"/>
      <c r="KE36" s="43"/>
      <c r="KF36" s="43"/>
      <c r="KG36" s="43"/>
      <c r="KH36" s="43"/>
      <c r="KI36" s="43"/>
      <c r="KJ36" s="43"/>
      <c r="KK36" s="43"/>
      <c r="KL36" s="43"/>
      <c r="KM36" s="43"/>
      <c r="KN36" s="43"/>
      <c r="KO36" s="43"/>
      <c r="KP36" s="43"/>
      <c r="KQ36" s="43"/>
      <c r="KR36" s="43"/>
      <c r="KS36" s="43"/>
      <c r="KT36" s="43"/>
      <c r="KU36" s="43"/>
      <c r="KV36" s="43"/>
      <c r="KW36" s="43"/>
      <c r="KX36" s="43"/>
      <c r="KY36" s="43"/>
      <c r="KZ36" s="43"/>
      <c r="LA36" s="43"/>
      <c r="LB36" s="43"/>
      <c r="LC36" s="43"/>
      <c r="LD36" s="43"/>
      <c r="LE36" s="43"/>
      <c r="LF36" s="43"/>
      <c r="LG36" s="43"/>
      <c r="LH36" s="43"/>
      <c r="LI36" s="43"/>
      <c r="LJ36" s="43"/>
      <c r="LK36" s="43"/>
      <c r="LL36" s="43"/>
      <c r="LM36" s="43"/>
      <c r="LN36" s="43"/>
      <c r="LO36" s="43"/>
      <c r="LP36" s="43"/>
      <c r="LQ36" s="43"/>
      <c r="LR36" s="43"/>
      <c r="LS36" s="43"/>
      <c r="LT36" s="43"/>
      <c r="LU36" s="43"/>
      <c r="LV36" s="43"/>
      <c r="LW36" s="43"/>
      <c r="LX36" s="43"/>
      <c r="LY36" s="43"/>
      <c r="LZ36" s="43"/>
      <c r="MA36" s="43"/>
      <c r="MB36" s="43"/>
      <c r="MC36" s="43"/>
      <c r="MD36" s="43"/>
      <c r="ME36" s="43"/>
      <c r="MF36" s="43"/>
      <c r="MG36" s="43"/>
      <c r="MH36" s="43"/>
      <c r="MI36" s="43"/>
      <c r="MJ36" s="43"/>
      <c r="MK36" s="43"/>
      <c r="ML36" s="43"/>
      <c r="MM36" s="43"/>
      <c r="MN36" s="43"/>
      <c r="MO36" s="43"/>
      <c r="MP36" s="43"/>
      <c r="MQ36" s="43"/>
      <c r="MR36" s="43"/>
      <c r="MS36" s="43"/>
      <c r="MT36" s="43"/>
      <c r="MU36" s="43"/>
      <c r="MV36" s="43"/>
      <c r="MW36" s="43"/>
      <c r="MX36" s="43"/>
      <c r="MY36" s="43"/>
      <c r="MZ36" s="43"/>
      <c r="NA36" s="43"/>
      <c r="NB36" s="43"/>
      <c r="NC36" s="43"/>
      <c r="ND36" s="43"/>
      <c r="NE36" s="43"/>
      <c r="NF36" s="43"/>
      <c r="NG36" s="43"/>
      <c r="NH36" s="43"/>
      <c r="NI36" s="43"/>
      <c r="NJ36" s="43"/>
      <c r="NK36" s="43"/>
      <c r="NL36" s="43"/>
      <c r="NM36" s="43"/>
      <c r="NN36" s="43"/>
      <c r="NO36" s="43"/>
      <c r="NP36" s="43"/>
      <c r="NQ36" s="43"/>
      <c r="NR36" s="43"/>
      <c r="NS36" s="43"/>
      <c r="NT36" s="43"/>
      <c r="NU36" s="43"/>
      <c r="NV36" s="43"/>
      <c r="NW36" s="43"/>
      <c r="NX36" s="43"/>
      <c r="NY36" s="43"/>
      <c r="NZ36" s="43"/>
      <c r="OA36" s="43"/>
      <c r="OB36" s="43"/>
      <c r="OC36" s="43"/>
      <c r="OD36" s="43"/>
      <c r="OE36" s="43"/>
      <c r="OF36" s="43"/>
      <c r="OG36" s="43"/>
      <c r="OH36" s="43"/>
      <c r="OI36" s="43"/>
      <c r="OJ36" s="43"/>
      <c r="OK36" s="43"/>
      <c r="OL36" s="43"/>
      <c r="OM36" s="43"/>
      <c r="ON36" s="43"/>
      <c r="OO36" s="43"/>
      <c r="OP36" s="43"/>
      <c r="OQ36" s="43"/>
      <c r="OR36" s="43"/>
      <c r="OS36" s="43"/>
      <c r="OT36" s="43"/>
      <c r="OU36" s="43"/>
      <c r="OV36" s="43"/>
      <c r="OW36" s="43"/>
      <c r="OX36" s="43"/>
      <c r="OY36" s="43"/>
      <c r="OZ36" s="43"/>
      <c r="PA36" s="43"/>
      <c r="PB36" s="43"/>
      <c r="PC36" s="43"/>
      <c r="PD36" s="43"/>
      <c r="PE36" s="43"/>
      <c r="PF36" s="43"/>
      <c r="PG36" s="43"/>
      <c r="PH36" s="43"/>
      <c r="PI36" s="43"/>
      <c r="PJ36" s="43"/>
      <c r="PK36" s="43"/>
      <c r="PL36" s="43"/>
      <c r="PM36" s="43"/>
      <c r="PN36" s="43"/>
      <c r="PO36" s="43"/>
      <c r="PP36" s="43"/>
      <c r="PQ36" s="43"/>
      <c r="PR36" s="43"/>
      <c r="PS36" s="43"/>
      <c r="PT36" s="43"/>
      <c r="PU36" s="43"/>
      <c r="PV36" s="43"/>
      <c r="PW36" s="43"/>
      <c r="PX36" s="43"/>
      <c r="PY36" s="43"/>
      <c r="PZ36" s="43"/>
      <c r="QA36" s="43"/>
      <c r="QB36" s="43"/>
      <c r="QC36" s="43"/>
    </row>
    <row r="37" spans="1:16383" s="50" customFormat="1" x14ac:dyDescent="0.3">
      <c r="A37" s="85"/>
      <c r="B37" s="84"/>
      <c r="C37" s="84"/>
      <c r="D37" s="84"/>
      <c r="E37" s="84"/>
      <c r="F37" s="84"/>
      <c r="G37" s="84"/>
      <c r="H37" s="84"/>
      <c r="I37" s="84"/>
      <c r="J37" s="91"/>
      <c r="K37" s="84"/>
      <c r="L37" s="84"/>
      <c r="M37" s="84"/>
      <c r="N37" s="84"/>
      <c r="O37" s="84"/>
      <c r="P37" s="84"/>
      <c r="Q37" s="84"/>
      <c r="R37" s="84"/>
      <c r="S37" s="84"/>
      <c r="T37" s="46" t="str">
        <f t="shared" si="6"/>
        <v/>
      </c>
      <c r="U37" s="46" t="str">
        <f t="shared" si="7"/>
        <v/>
      </c>
      <c r="V37" s="72" t="str">
        <f t="shared" si="4"/>
        <v/>
      </c>
      <c r="W37" s="48"/>
      <c r="X37" s="73" t="str">
        <f t="shared" si="5"/>
        <v/>
      </c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43"/>
      <c r="CY37" s="43"/>
      <c r="CZ37" s="43"/>
      <c r="DA37" s="43"/>
      <c r="DB37" s="43"/>
      <c r="DC37" s="43"/>
      <c r="DD37" s="43"/>
      <c r="DE37" s="43"/>
      <c r="DF37" s="43"/>
      <c r="DG37" s="43"/>
      <c r="DH37" s="43"/>
      <c r="DI37" s="43"/>
      <c r="DJ37" s="43"/>
      <c r="DK37" s="43"/>
      <c r="DL37" s="43"/>
      <c r="DM37" s="43"/>
      <c r="DN37" s="43"/>
      <c r="DO37" s="43"/>
      <c r="DP37" s="43"/>
      <c r="DQ37" s="43"/>
      <c r="DR37" s="43"/>
      <c r="DS37" s="43"/>
      <c r="DT37" s="43"/>
      <c r="DU37" s="43"/>
      <c r="DV37" s="43"/>
      <c r="DW37" s="43"/>
      <c r="DX37" s="43"/>
      <c r="DY37" s="43"/>
      <c r="DZ37" s="43"/>
      <c r="EA37" s="43"/>
      <c r="EB37" s="43"/>
      <c r="EC37" s="43"/>
      <c r="ED37" s="43"/>
      <c r="EE37" s="43"/>
      <c r="EF37" s="43"/>
      <c r="EG37" s="43"/>
      <c r="EH37" s="43"/>
      <c r="EI37" s="43"/>
      <c r="EJ37" s="43"/>
      <c r="EK37" s="43"/>
      <c r="EL37" s="43"/>
      <c r="EM37" s="43"/>
      <c r="EN37" s="43"/>
      <c r="EO37" s="43"/>
      <c r="EP37" s="43"/>
      <c r="EQ37" s="43"/>
      <c r="ER37" s="43"/>
      <c r="ES37" s="43"/>
      <c r="ET37" s="43"/>
      <c r="EU37" s="43"/>
      <c r="EV37" s="43"/>
      <c r="EW37" s="43"/>
      <c r="EX37" s="43"/>
      <c r="EY37" s="43"/>
      <c r="EZ37" s="43"/>
      <c r="FA37" s="43"/>
      <c r="FB37" s="43"/>
      <c r="FC37" s="43"/>
      <c r="FD37" s="43"/>
      <c r="FE37" s="43"/>
      <c r="FF37" s="43"/>
      <c r="FG37" s="43"/>
      <c r="FH37" s="43"/>
      <c r="FI37" s="43"/>
      <c r="FJ37" s="43"/>
      <c r="FK37" s="43"/>
      <c r="FL37" s="43"/>
      <c r="FM37" s="43"/>
      <c r="FN37" s="43"/>
      <c r="FO37" s="43"/>
      <c r="FP37" s="43"/>
      <c r="FQ37" s="43"/>
      <c r="FR37" s="43"/>
      <c r="FS37" s="43"/>
      <c r="FT37" s="43"/>
      <c r="FU37" s="43"/>
      <c r="FV37" s="43"/>
      <c r="FW37" s="43"/>
      <c r="FX37" s="43"/>
      <c r="FY37" s="43"/>
      <c r="FZ37" s="43"/>
      <c r="GA37" s="43"/>
      <c r="GB37" s="43"/>
      <c r="GC37" s="43"/>
      <c r="GD37" s="43"/>
      <c r="GE37" s="43"/>
      <c r="GF37" s="43"/>
      <c r="GG37" s="43"/>
      <c r="GH37" s="43"/>
      <c r="GI37" s="43"/>
      <c r="GJ37" s="43"/>
      <c r="GK37" s="43"/>
      <c r="GL37" s="43"/>
      <c r="GM37" s="43"/>
      <c r="GN37" s="43"/>
      <c r="GO37" s="43"/>
      <c r="GP37" s="43"/>
      <c r="GQ37" s="43"/>
      <c r="GR37" s="43"/>
      <c r="GS37" s="43"/>
      <c r="GT37" s="43"/>
      <c r="GU37" s="43"/>
      <c r="GV37" s="43"/>
      <c r="GW37" s="43"/>
      <c r="GX37" s="43"/>
      <c r="GY37" s="43"/>
      <c r="GZ37" s="43"/>
      <c r="HA37" s="43"/>
      <c r="HB37" s="43"/>
      <c r="HC37" s="43"/>
      <c r="HD37" s="43"/>
      <c r="HE37" s="43"/>
      <c r="HF37" s="43"/>
      <c r="HG37" s="43"/>
      <c r="HH37" s="43"/>
      <c r="HI37" s="43"/>
      <c r="HJ37" s="43"/>
      <c r="HK37" s="43"/>
      <c r="HL37" s="43"/>
      <c r="HM37" s="43"/>
      <c r="HN37" s="43"/>
      <c r="HO37" s="43"/>
      <c r="HP37" s="43"/>
      <c r="HQ37" s="43"/>
      <c r="HR37" s="43"/>
      <c r="HS37" s="43"/>
      <c r="HT37" s="43"/>
      <c r="HU37" s="43"/>
      <c r="HV37" s="43"/>
      <c r="HW37" s="43"/>
      <c r="HX37" s="43"/>
      <c r="HY37" s="43"/>
      <c r="HZ37" s="43"/>
      <c r="IA37" s="43"/>
      <c r="IB37" s="43"/>
      <c r="IC37" s="43"/>
      <c r="ID37" s="43"/>
      <c r="IE37" s="43"/>
      <c r="IF37" s="43"/>
      <c r="IG37" s="43"/>
      <c r="IH37" s="43"/>
      <c r="II37" s="43"/>
      <c r="IJ37" s="43"/>
      <c r="IK37" s="43"/>
      <c r="IL37" s="43"/>
      <c r="IM37" s="43"/>
      <c r="IN37" s="43"/>
      <c r="IO37" s="43"/>
      <c r="IP37" s="43"/>
      <c r="IQ37" s="43"/>
      <c r="IR37" s="43"/>
      <c r="IS37" s="43"/>
      <c r="IT37" s="43"/>
      <c r="IU37" s="43"/>
      <c r="IV37" s="43"/>
      <c r="IW37" s="43"/>
      <c r="IX37" s="43"/>
      <c r="IY37" s="43"/>
      <c r="IZ37" s="43"/>
      <c r="JA37" s="43"/>
      <c r="JB37" s="43"/>
      <c r="JC37" s="43"/>
      <c r="JD37" s="43"/>
      <c r="JE37" s="43"/>
      <c r="JF37" s="43"/>
      <c r="JG37" s="43"/>
      <c r="JH37" s="43"/>
      <c r="JI37" s="43"/>
      <c r="JJ37" s="43"/>
      <c r="JK37" s="43"/>
      <c r="JL37" s="43"/>
      <c r="JM37" s="43"/>
      <c r="JN37" s="43"/>
      <c r="JO37" s="43"/>
      <c r="JP37" s="43"/>
      <c r="JQ37" s="43"/>
      <c r="JR37" s="43"/>
      <c r="JS37" s="43"/>
      <c r="JT37" s="43"/>
      <c r="JU37" s="43"/>
      <c r="JV37" s="43"/>
      <c r="JW37" s="43"/>
      <c r="JX37" s="43"/>
      <c r="JY37" s="43"/>
      <c r="JZ37" s="43"/>
      <c r="KA37" s="43"/>
      <c r="KB37" s="43"/>
      <c r="KC37" s="43"/>
      <c r="KD37" s="43"/>
      <c r="KE37" s="43"/>
      <c r="KF37" s="43"/>
      <c r="KG37" s="43"/>
      <c r="KH37" s="43"/>
      <c r="KI37" s="43"/>
      <c r="KJ37" s="43"/>
      <c r="KK37" s="43"/>
      <c r="KL37" s="43"/>
      <c r="KM37" s="43"/>
      <c r="KN37" s="43"/>
      <c r="KO37" s="43"/>
      <c r="KP37" s="43"/>
      <c r="KQ37" s="43"/>
      <c r="KR37" s="43"/>
      <c r="KS37" s="43"/>
      <c r="KT37" s="43"/>
      <c r="KU37" s="43"/>
      <c r="KV37" s="43"/>
      <c r="KW37" s="43"/>
      <c r="KX37" s="43"/>
      <c r="KY37" s="43"/>
      <c r="KZ37" s="43"/>
      <c r="LA37" s="43"/>
      <c r="LB37" s="43"/>
      <c r="LC37" s="43"/>
      <c r="LD37" s="43"/>
      <c r="LE37" s="43"/>
      <c r="LF37" s="43"/>
      <c r="LG37" s="43"/>
      <c r="LH37" s="43"/>
      <c r="LI37" s="43"/>
      <c r="LJ37" s="43"/>
      <c r="LK37" s="43"/>
      <c r="LL37" s="43"/>
      <c r="LM37" s="43"/>
      <c r="LN37" s="43"/>
      <c r="LO37" s="43"/>
      <c r="LP37" s="43"/>
      <c r="LQ37" s="43"/>
      <c r="LR37" s="43"/>
      <c r="LS37" s="43"/>
      <c r="LT37" s="43"/>
      <c r="LU37" s="43"/>
      <c r="LV37" s="43"/>
      <c r="LW37" s="43"/>
      <c r="LX37" s="43"/>
      <c r="LY37" s="43"/>
      <c r="LZ37" s="43"/>
      <c r="MA37" s="43"/>
      <c r="MB37" s="43"/>
      <c r="MC37" s="43"/>
      <c r="MD37" s="43"/>
      <c r="ME37" s="43"/>
      <c r="MF37" s="43"/>
      <c r="MG37" s="43"/>
      <c r="MH37" s="43"/>
      <c r="MI37" s="43"/>
      <c r="MJ37" s="43"/>
      <c r="MK37" s="43"/>
      <c r="ML37" s="43"/>
      <c r="MM37" s="43"/>
      <c r="MN37" s="43"/>
      <c r="MO37" s="43"/>
      <c r="MP37" s="43"/>
      <c r="MQ37" s="43"/>
      <c r="MR37" s="43"/>
      <c r="MS37" s="43"/>
      <c r="MT37" s="43"/>
      <c r="MU37" s="43"/>
      <c r="MV37" s="43"/>
      <c r="MW37" s="43"/>
      <c r="MX37" s="43"/>
      <c r="MY37" s="43"/>
      <c r="MZ37" s="43"/>
      <c r="NA37" s="43"/>
      <c r="NB37" s="43"/>
      <c r="NC37" s="43"/>
      <c r="ND37" s="43"/>
      <c r="NE37" s="43"/>
      <c r="NF37" s="43"/>
      <c r="NG37" s="43"/>
      <c r="NH37" s="43"/>
      <c r="NI37" s="43"/>
      <c r="NJ37" s="43"/>
      <c r="NK37" s="43"/>
      <c r="NL37" s="43"/>
      <c r="NM37" s="43"/>
      <c r="NN37" s="43"/>
      <c r="NO37" s="43"/>
      <c r="NP37" s="43"/>
      <c r="NQ37" s="43"/>
      <c r="NR37" s="43"/>
      <c r="NS37" s="43"/>
      <c r="NT37" s="43"/>
      <c r="NU37" s="43"/>
      <c r="NV37" s="43"/>
      <c r="NW37" s="43"/>
      <c r="NX37" s="43"/>
      <c r="NY37" s="43"/>
      <c r="NZ37" s="43"/>
      <c r="OA37" s="43"/>
      <c r="OB37" s="43"/>
      <c r="OC37" s="43"/>
      <c r="OD37" s="43"/>
      <c r="OE37" s="43"/>
      <c r="OF37" s="43"/>
      <c r="OG37" s="43"/>
      <c r="OH37" s="43"/>
      <c r="OI37" s="43"/>
      <c r="OJ37" s="43"/>
      <c r="OK37" s="43"/>
      <c r="OL37" s="43"/>
      <c r="OM37" s="43"/>
      <c r="ON37" s="43"/>
      <c r="OO37" s="43"/>
      <c r="OP37" s="43"/>
      <c r="OQ37" s="43"/>
      <c r="OR37" s="43"/>
      <c r="OS37" s="43"/>
      <c r="OT37" s="43"/>
      <c r="OU37" s="43"/>
      <c r="OV37" s="43"/>
      <c r="OW37" s="43"/>
      <c r="OX37" s="43"/>
      <c r="OY37" s="43"/>
      <c r="OZ37" s="43"/>
      <c r="PA37" s="43"/>
      <c r="PB37" s="43"/>
      <c r="PC37" s="43"/>
      <c r="PD37" s="43"/>
      <c r="PE37" s="43"/>
      <c r="PF37" s="43"/>
      <c r="PG37" s="43"/>
      <c r="PH37" s="43"/>
      <c r="PI37" s="43"/>
      <c r="PJ37" s="43"/>
      <c r="PK37" s="43"/>
      <c r="PL37" s="43"/>
      <c r="PM37" s="43"/>
      <c r="PN37" s="43"/>
      <c r="PO37" s="43"/>
      <c r="PP37" s="43"/>
      <c r="PQ37" s="43"/>
      <c r="PR37" s="43"/>
      <c r="PS37" s="43"/>
      <c r="PT37" s="43"/>
      <c r="PU37" s="43"/>
      <c r="PV37" s="43"/>
      <c r="PW37" s="43"/>
      <c r="PX37" s="43"/>
      <c r="PY37" s="43"/>
      <c r="PZ37" s="43"/>
      <c r="QA37" s="43"/>
      <c r="QB37" s="43"/>
      <c r="QC37" s="43"/>
    </row>
    <row r="38" spans="1:16383" s="50" customFormat="1" x14ac:dyDescent="0.3">
      <c r="A38" s="85"/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46" t="str">
        <f t="shared" si="6"/>
        <v/>
      </c>
      <c r="U38" s="46" t="str">
        <f t="shared" si="7"/>
        <v/>
      </c>
      <c r="V38" s="72" t="str">
        <f t="shared" si="4"/>
        <v/>
      </c>
      <c r="W38" s="48"/>
      <c r="X38" s="73" t="str">
        <f t="shared" si="5"/>
        <v/>
      </c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5"/>
      <c r="AP38" s="46"/>
      <c r="AQ38" s="46"/>
      <c r="AR38" s="47"/>
      <c r="AS38" s="48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48"/>
      <c r="BE38" s="48"/>
      <c r="BF38" s="48"/>
      <c r="BG38" s="48"/>
      <c r="BH38" s="48"/>
      <c r="BI38" s="48"/>
      <c r="BJ38" s="48"/>
      <c r="BK38" s="45"/>
      <c r="BL38" s="46"/>
      <c r="BM38" s="46"/>
      <c r="BN38" s="47"/>
      <c r="BO38" s="48"/>
      <c r="BP38" s="48"/>
      <c r="BQ38" s="48"/>
      <c r="BR38" s="48"/>
      <c r="BS38" s="48"/>
      <c r="BT38" s="48"/>
      <c r="BU38" s="48"/>
      <c r="BV38" s="48"/>
      <c r="BW38" s="48"/>
      <c r="BX38" s="48"/>
      <c r="BY38" s="48"/>
      <c r="BZ38" s="48"/>
      <c r="CA38" s="48"/>
      <c r="CB38" s="48"/>
      <c r="CC38" s="48"/>
      <c r="CD38" s="48"/>
      <c r="CE38" s="48"/>
      <c r="CF38" s="48"/>
      <c r="CG38" s="45"/>
      <c r="CH38" s="46"/>
      <c r="CI38" s="46"/>
      <c r="CJ38" s="47"/>
      <c r="CK38" s="48"/>
      <c r="CL38" s="48"/>
      <c r="CM38" s="48"/>
      <c r="CN38" s="48"/>
      <c r="CO38" s="48"/>
      <c r="CP38" s="48"/>
      <c r="CQ38" s="48"/>
      <c r="CR38" s="48"/>
      <c r="CS38" s="48"/>
      <c r="CT38" s="48"/>
      <c r="CU38" s="48"/>
      <c r="CV38" s="48"/>
      <c r="CW38" s="48"/>
      <c r="CX38" s="48"/>
      <c r="CY38" s="48"/>
      <c r="CZ38" s="48"/>
      <c r="DA38" s="48"/>
      <c r="DB38" s="48"/>
      <c r="DC38" s="45"/>
      <c r="DD38" s="46"/>
      <c r="DE38" s="46"/>
      <c r="DF38" s="47"/>
      <c r="DG38" s="48"/>
      <c r="DH38" s="48"/>
      <c r="DI38" s="48"/>
      <c r="DJ38" s="48"/>
      <c r="DK38" s="48"/>
      <c r="DL38" s="48"/>
      <c r="DM38" s="48"/>
      <c r="DN38" s="48"/>
      <c r="DO38" s="48"/>
      <c r="DP38" s="48"/>
      <c r="DQ38" s="48"/>
      <c r="DR38" s="48"/>
      <c r="DS38" s="48"/>
      <c r="DT38" s="48"/>
      <c r="DU38" s="48"/>
      <c r="DV38" s="48"/>
      <c r="DW38" s="48"/>
      <c r="DX38" s="48"/>
      <c r="DY38" s="45"/>
      <c r="DZ38" s="46"/>
      <c r="EA38" s="46"/>
      <c r="EB38" s="47"/>
      <c r="EC38" s="48"/>
      <c r="ED38" s="48"/>
      <c r="EE38" s="48"/>
      <c r="EF38" s="48"/>
      <c r="EG38" s="48"/>
      <c r="EH38" s="48"/>
      <c r="EI38" s="48"/>
      <c r="EJ38" s="48"/>
      <c r="EK38" s="48"/>
      <c r="EL38" s="48"/>
      <c r="EM38" s="48"/>
      <c r="EN38" s="48"/>
      <c r="EO38" s="48"/>
      <c r="EP38" s="48"/>
      <c r="EQ38" s="48"/>
      <c r="ER38" s="48"/>
      <c r="ES38" s="48"/>
      <c r="ET38" s="48"/>
      <c r="EU38" s="45"/>
      <c r="EV38" s="46"/>
      <c r="EW38" s="46"/>
      <c r="EX38" s="47"/>
      <c r="EY38" s="48"/>
      <c r="EZ38" s="48"/>
      <c r="FA38" s="48"/>
      <c r="FB38" s="48"/>
      <c r="FC38" s="48"/>
      <c r="FD38" s="48"/>
      <c r="FE38" s="48"/>
      <c r="FF38" s="48"/>
      <c r="FG38" s="48"/>
      <c r="FH38" s="48"/>
      <c r="FI38" s="48"/>
      <c r="FJ38" s="48"/>
      <c r="FK38" s="48"/>
      <c r="FL38" s="48"/>
      <c r="FM38" s="48"/>
      <c r="FN38" s="48"/>
      <c r="FO38" s="48"/>
      <c r="FP38" s="48"/>
      <c r="FQ38" s="45"/>
      <c r="FR38" s="46"/>
      <c r="FS38" s="46"/>
      <c r="FT38" s="47"/>
      <c r="FU38" s="48"/>
      <c r="FV38" s="48"/>
      <c r="FW38" s="48"/>
      <c r="FX38" s="48"/>
      <c r="FY38" s="48"/>
      <c r="FZ38" s="48"/>
      <c r="GA38" s="48"/>
      <c r="GB38" s="48"/>
      <c r="GC38" s="48"/>
      <c r="GD38" s="48"/>
      <c r="GE38" s="48"/>
      <c r="GF38" s="48"/>
      <c r="GG38" s="48"/>
      <c r="GH38" s="48"/>
      <c r="GI38" s="48"/>
      <c r="GJ38" s="48"/>
      <c r="GK38" s="48"/>
      <c r="GL38" s="48"/>
      <c r="GM38" s="45"/>
      <c r="GN38" s="46"/>
      <c r="GO38" s="46"/>
      <c r="GP38" s="47"/>
      <c r="GQ38" s="48"/>
      <c r="GR38" s="48"/>
      <c r="GS38" s="48"/>
      <c r="GT38" s="48"/>
      <c r="GU38" s="48"/>
      <c r="GV38" s="48"/>
      <c r="GW38" s="48"/>
      <c r="GX38" s="48"/>
      <c r="GY38" s="48"/>
      <c r="GZ38" s="48"/>
      <c r="HA38" s="48"/>
      <c r="HB38" s="48"/>
      <c r="HC38" s="48"/>
      <c r="HD38" s="48"/>
      <c r="HE38" s="48"/>
      <c r="HF38" s="48"/>
      <c r="HG38" s="48"/>
      <c r="HH38" s="48"/>
      <c r="HI38" s="45"/>
      <c r="HJ38" s="46"/>
      <c r="HK38" s="46"/>
      <c r="HL38" s="47"/>
      <c r="HM38" s="48"/>
      <c r="HN38" s="48"/>
      <c r="HO38" s="48"/>
      <c r="HP38" s="48"/>
      <c r="HQ38" s="48"/>
      <c r="HR38" s="48"/>
      <c r="HS38" s="48"/>
      <c r="HT38" s="48"/>
      <c r="HU38" s="48"/>
      <c r="HV38" s="48"/>
      <c r="HW38" s="48"/>
      <c r="HX38" s="48"/>
      <c r="HY38" s="48"/>
      <c r="HZ38" s="48"/>
      <c r="IA38" s="48"/>
      <c r="IB38" s="48"/>
      <c r="IC38" s="48"/>
      <c r="ID38" s="48"/>
      <c r="IE38" s="45"/>
      <c r="IF38" s="46"/>
      <c r="IG38" s="46"/>
      <c r="IH38" s="47"/>
      <c r="II38" s="48"/>
      <c r="IJ38" s="48"/>
      <c r="IK38" s="48"/>
      <c r="IL38" s="48"/>
      <c r="IM38" s="48"/>
      <c r="IN38" s="48"/>
      <c r="IO38" s="48"/>
      <c r="IP38" s="48"/>
      <c r="IQ38" s="48"/>
      <c r="IR38" s="48"/>
      <c r="IS38" s="48"/>
      <c r="IT38" s="48"/>
      <c r="IU38" s="48"/>
      <c r="IV38" s="48"/>
      <c r="IW38" s="48"/>
      <c r="IX38" s="48"/>
      <c r="IY38" s="48"/>
      <c r="IZ38" s="48"/>
      <c r="JA38" s="45"/>
      <c r="JB38" s="46"/>
      <c r="JC38" s="46"/>
      <c r="JD38" s="47"/>
      <c r="JE38" s="48"/>
      <c r="JF38" s="48"/>
      <c r="JG38" s="48"/>
      <c r="JH38" s="48"/>
      <c r="JI38" s="48"/>
      <c r="JJ38" s="48"/>
      <c r="JK38" s="48"/>
      <c r="JL38" s="48"/>
      <c r="JM38" s="48"/>
      <c r="JN38" s="48"/>
      <c r="JO38" s="48"/>
      <c r="JP38" s="48"/>
      <c r="JQ38" s="48"/>
      <c r="JR38" s="48"/>
      <c r="JS38" s="48"/>
      <c r="JT38" s="48"/>
      <c r="JU38" s="48"/>
      <c r="JV38" s="48"/>
      <c r="JW38" s="45"/>
      <c r="JX38" s="46"/>
      <c r="JY38" s="46"/>
      <c r="JZ38" s="47"/>
      <c r="KA38" s="48"/>
      <c r="KB38" s="48"/>
      <c r="KC38" s="48"/>
      <c r="KD38" s="48"/>
      <c r="KE38" s="48"/>
      <c r="KF38" s="48"/>
      <c r="KG38" s="48"/>
      <c r="KH38" s="48"/>
      <c r="KI38" s="48"/>
      <c r="KJ38" s="48"/>
      <c r="KK38" s="48"/>
      <c r="KL38" s="48"/>
      <c r="KM38" s="48"/>
      <c r="KN38" s="48"/>
      <c r="KO38" s="48"/>
      <c r="KP38" s="48"/>
      <c r="KQ38" s="48"/>
      <c r="KR38" s="48"/>
      <c r="KS38" s="45"/>
      <c r="KT38" s="46"/>
      <c r="KU38" s="46"/>
      <c r="KV38" s="47"/>
      <c r="KW38" s="48"/>
      <c r="KX38" s="48"/>
      <c r="KY38" s="48"/>
      <c r="KZ38" s="48"/>
      <c r="LA38" s="48"/>
      <c r="LB38" s="48"/>
      <c r="LC38" s="48"/>
      <c r="LD38" s="48"/>
      <c r="LE38" s="48"/>
      <c r="LF38" s="48"/>
      <c r="LG38" s="48"/>
      <c r="LH38" s="48"/>
      <c r="LI38" s="48"/>
      <c r="LJ38" s="48"/>
      <c r="LK38" s="48"/>
      <c r="LL38" s="48"/>
      <c r="LM38" s="48"/>
      <c r="LN38" s="48"/>
      <c r="LO38" s="45"/>
      <c r="LP38" s="46"/>
      <c r="LQ38" s="46"/>
      <c r="LR38" s="47"/>
      <c r="LS38" s="48"/>
      <c r="LT38" s="48"/>
      <c r="LU38" s="48"/>
      <c r="LV38" s="48"/>
      <c r="LW38" s="48"/>
      <c r="LX38" s="48"/>
      <c r="LY38" s="48"/>
      <c r="LZ38" s="48"/>
      <c r="MA38" s="48"/>
      <c r="MB38" s="48"/>
      <c r="MC38" s="48"/>
      <c r="MD38" s="48"/>
      <c r="ME38" s="48"/>
      <c r="MF38" s="48"/>
      <c r="MG38" s="48"/>
      <c r="MH38" s="48"/>
      <c r="MI38" s="48"/>
      <c r="MJ38" s="48"/>
      <c r="MK38" s="45"/>
      <c r="ML38" s="46"/>
      <c r="MM38" s="46"/>
      <c r="MN38" s="47"/>
      <c r="MO38" s="48"/>
      <c r="MP38" s="48"/>
      <c r="MQ38" s="48"/>
      <c r="MR38" s="48"/>
      <c r="MS38" s="48"/>
      <c r="MT38" s="48"/>
      <c r="MU38" s="48"/>
      <c r="MV38" s="48"/>
      <c r="MW38" s="48"/>
      <c r="MX38" s="48"/>
      <c r="MY38" s="48"/>
      <c r="MZ38" s="48"/>
      <c r="NA38" s="48"/>
      <c r="NB38" s="48"/>
      <c r="NC38" s="48"/>
      <c r="ND38" s="48"/>
      <c r="NE38" s="48"/>
      <c r="NF38" s="48"/>
      <c r="NG38" s="45"/>
      <c r="NH38" s="46"/>
      <c r="NI38" s="46"/>
      <c r="NJ38" s="47"/>
      <c r="NK38" s="48"/>
      <c r="NL38" s="48"/>
      <c r="NM38" s="48"/>
      <c r="NN38" s="48"/>
      <c r="NO38" s="48"/>
      <c r="NP38" s="48"/>
      <c r="NQ38" s="48"/>
      <c r="NR38" s="48"/>
      <c r="NS38" s="48"/>
      <c r="NT38" s="48"/>
      <c r="NU38" s="48"/>
      <c r="NV38" s="48"/>
      <c r="NW38" s="48"/>
      <c r="NX38" s="48"/>
      <c r="NY38" s="48"/>
      <c r="NZ38" s="48"/>
      <c r="OA38" s="48"/>
      <c r="OB38" s="48"/>
      <c r="OC38" s="45"/>
      <c r="OD38" s="46"/>
      <c r="OE38" s="46"/>
      <c r="OF38" s="47"/>
      <c r="OG38" s="48"/>
      <c r="OH38" s="48"/>
      <c r="OI38" s="48"/>
      <c r="OJ38" s="48"/>
      <c r="OK38" s="48"/>
      <c r="OL38" s="48"/>
      <c r="OM38" s="48"/>
      <c r="ON38" s="48"/>
      <c r="OO38" s="48"/>
      <c r="OP38" s="48"/>
      <c r="OQ38" s="48"/>
      <c r="OR38" s="48"/>
      <c r="OS38" s="48"/>
      <c r="OT38" s="48"/>
      <c r="OU38" s="48"/>
      <c r="OV38" s="48"/>
      <c r="OW38" s="48"/>
      <c r="OX38" s="48"/>
      <c r="OY38" s="45"/>
      <c r="OZ38" s="46"/>
      <c r="PA38" s="46"/>
      <c r="PB38" s="47"/>
      <c r="PC38" s="48"/>
      <c r="PD38" s="48"/>
      <c r="PE38" s="48"/>
      <c r="PF38" s="48"/>
      <c r="PG38" s="48"/>
      <c r="PH38" s="48"/>
      <c r="PI38" s="48"/>
      <c r="PJ38" s="48"/>
      <c r="PK38" s="48"/>
      <c r="PL38" s="48"/>
      <c r="PM38" s="48"/>
      <c r="PN38" s="48"/>
      <c r="PO38" s="48"/>
      <c r="PP38" s="48"/>
      <c r="PQ38" s="48"/>
      <c r="PR38" s="48"/>
      <c r="PS38" s="48"/>
      <c r="PT38" s="48"/>
      <c r="PU38" s="45"/>
      <c r="PV38" s="46"/>
      <c r="PW38" s="46"/>
      <c r="PX38" s="47"/>
      <c r="PY38" s="48"/>
      <c r="PZ38" s="48"/>
      <c r="QA38" s="48"/>
      <c r="QB38" s="48"/>
      <c r="QC38" s="48"/>
      <c r="QD38" s="48"/>
      <c r="QE38" s="48"/>
      <c r="QF38" s="48"/>
      <c r="QG38" s="48"/>
      <c r="QH38" s="48"/>
      <c r="QI38" s="48"/>
      <c r="QJ38" s="48"/>
      <c r="QK38" s="48"/>
      <c r="QL38" s="48"/>
      <c r="QM38" s="48"/>
      <c r="QN38" s="48"/>
      <c r="QO38" s="48"/>
      <c r="QP38" s="48"/>
      <c r="QQ38" s="45"/>
      <c r="QR38" s="46"/>
      <c r="QS38" s="46"/>
      <c r="QT38" s="47"/>
      <c r="QU38" s="48"/>
      <c r="QV38" s="48"/>
      <c r="QW38" s="48"/>
      <c r="QX38" s="48"/>
      <c r="QY38" s="48"/>
      <c r="QZ38" s="48"/>
      <c r="RA38" s="48"/>
      <c r="RB38" s="48"/>
      <c r="RC38" s="48"/>
      <c r="RD38" s="48"/>
      <c r="RE38" s="48"/>
      <c r="RF38" s="48"/>
      <c r="RG38" s="48"/>
      <c r="RH38" s="48"/>
      <c r="RI38" s="48"/>
      <c r="RJ38" s="48"/>
      <c r="RK38" s="48"/>
      <c r="RL38" s="48"/>
      <c r="RM38" s="45"/>
      <c r="RN38" s="46"/>
      <c r="RO38" s="46"/>
      <c r="RP38" s="47"/>
      <c r="RQ38" s="48"/>
      <c r="RR38" s="48"/>
      <c r="RS38" s="48"/>
      <c r="RT38" s="48"/>
      <c r="RU38" s="48"/>
      <c r="RV38" s="48"/>
      <c r="RW38" s="48"/>
      <c r="RX38" s="48"/>
      <c r="RY38" s="48"/>
      <c r="RZ38" s="48"/>
      <c r="SA38" s="48"/>
      <c r="SB38" s="48"/>
      <c r="SC38" s="48"/>
      <c r="SD38" s="48"/>
      <c r="SE38" s="48"/>
      <c r="SF38" s="48"/>
      <c r="SG38" s="48"/>
      <c r="SH38" s="48"/>
      <c r="SI38" s="45"/>
      <c r="SJ38" s="46"/>
      <c r="SK38" s="46"/>
      <c r="SL38" s="47"/>
      <c r="SM38" s="48"/>
      <c r="SN38" s="48"/>
      <c r="SO38" s="48"/>
      <c r="SP38" s="48"/>
      <c r="SQ38" s="48"/>
      <c r="SR38" s="48"/>
      <c r="SS38" s="48"/>
      <c r="ST38" s="48"/>
      <c r="SU38" s="48"/>
      <c r="SV38" s="48"/>
      <c r="SW38" s="48"/>
      <c r="SX38" s="48"/>
      <c r="SY38" s="48"/>
      <c r="SZ38" s="48"/>
      <c r="TA38" s="48"/>
      <c r="TB38" s="48"/>
      <c r="TC38" s="48"/>
      <c r="TD38" s="48"/>
      <c r="TE38" s="45"/>
      <c r="TF38" s="46"/>
      <c r="TG38" s="46"/>
      <c r="TH38" s="47"/>
      <c r="TI38" s="48"/>
      <c r="TJ38" s="48"/>
      <c r="TK38" s="48"/>
      <c r="TL38" s="48"/>
      <c r="TM38" s="48"/>
      <c r="TN38" s="48"/>
      <c r="TO38" s="48"/>
      <c r="TP38" s="48"/>
      <c r="TQ38" s="48"/>
      <c r="TR38" s="48"/>
      <c r="TS38" s="48"/>
      <c r="TT38" s="48"/>
      <c r="TU38" s="48"/>
      <c r="TV38" s="48"/>
      <c r="TW38" s="48"/>
      <c r="TX38" s="48"/>
      <c r="TY38" s="48"/>
      <c r="TZ38" s="48"/>
      <c r="UA38" s="45"/>
      <c r="UB38" s="46"/>
      <c r="UC38" s="46"/>
      <c r="UD38" s="47"/>
      <c r="UE38" s="48"/>
      <c r="UF38" s="48"/>
      <c r="UG38" s="48"/>
      <c r="UH38" s="48"/>
      <c r="UI38" s="48"/>
      <c r="UJ38" s="48"/>
      <c r="UK38" s="48"/>
      <c r="UL38" s="48"/>
      <c r="UM38" s="48"/>
      <c r="UN38" s="48"/>
      <c r="UO38" s="48"/>
      <c r="UP38" s="48"/>
      <c r="UQ38" s="48"/>
      <c r="UR38" s="48"/>
      <c r="US38" s="48"/>
      <c r="UT38" s="48"/>
      <c r="UU38" s="48"/>
      <c r="UV38" s="48"/>
      <c r="UW38" s="45"/>
      <c r="UX38" s="46"/>
      <c r="UY38" s="46"/>
      <c r="UZ38" s="47"/>
      <c r="VA38" s="48"/>
      <c r="VB38" s="48"/>
      <c r="VC38" s="48"/>
      <c r="VD38" s="48"/>
      <c r="VE38" s="48"/>
      <c r="VF38" s="48"/>
      <c r="VG38" s="48"/>
      <c r="VH38" s="48"/>
      <c r="VI38" s="48"/>
      <c r="VJ38" s="48"/>
      <c r="VK38" s="48"/>
      <c r="VL38" s="48"/>
      <c r="VM38" s="48"/>
      <c r="VN38" s="48"/>
      <c r="VO38" s="48"/>
      <c r="VP38" s="48"/>
      <c r="VQ38" s="48"/>
      <c r="VR38" s="48"/>
      <c r="VS38" s="45"/>
      <c r="VT38" s="46"/>
      <c r="VU38" s="46"/>
      <c r="VV38" s="47"/>
      <c r="VW38" s="48"/>
      <c r="VX38" s="48"/>
      <c r="VY38" s="48"/>
      <c r="VZ38" s="48"/>
      <c r="WA38" s="48"/>
      <c r="WB38" s="48"/>
      <c r="WC38" s="48"/>
      <c r="WD38" s="48"/>
      <c r="WE38" s="48"/>
      <c r="WF38" s="48"/>
      <c r="WG38" s="48"/>
      <c r="WH38" s="48"/>
      <c r="WI38" s="48"/>
      <c r="WJ38" s="48"/>
      <c r="WK38" s="48"/>
      <c r="WL38" s="48"/>
      <c r="WM38" s="48"/>
      <c r="WN38" s="48"/>
      <c r="WO38" s="45"/>
      <c r="WP38" s="46"/>
      <c r="WQ38" s="46"/>
      <c r="WR38" s="47"/>
      <c r="WS38" s="48"/>
      <c r="WT38" s="48"/>
      <c r="WU38" s="48"/>
      <c r="WV38" s="48"/>
      <c r="WW38" s="48"/>
      <c r="WX38" s="48"/>
      <c r="WY38" s="48"/>
      <c r="WZ38" s="48"/>
      <c r="XA38" s="48"/>
      <c r="XB38" s="48"/>
      <c r="XC38" s="48"/>
      <c r="XD38" s="48"/>
      <c r="XE38" s="48"/>
      <c r="XF38" s="48"/>
      <c r="XG38" s="48"/>
      <c r="XH38" s="48"/>
      <c r="XI38" s="48"/>
      <c r="XJ38" s="48"/>
      <c r="XK38" s="45"/>
      <c r="XL38" s="46"/>
      <c r="XM38" s="46"/>
      <c r="XN38" s="47"/>
      <c r="XO38" s="48"/>
      <c r="XP38" s="48"/>
      <c r="XQ38" s="48"/>
      <c r="XR38" s="48"/>
      <c r="XS38" s="48"/>
      <c r="XT38" s="48"/>
      <c r="XU38" s="48"/>
      <c r="XV38" s="48"/>
      <c r="XW38" s="48"/>
      <c r="XX38" s="48"/>
      <c r="XY38" s="48"/>
      <c r="XZ38" s="48"/>
      <c r="YA38" s="48"/>
      <c r="YB38" s="48"/>
      <c r="YC38" s="48"/>
      <c r="YD38" s="48"/>
      <c r="YE38" s="48"/>
      <c r="YF38" s="48"/>
      <c r="YG38" s="45"/>
      <c r="YH38" s="46"/>
      <c r="YI38" s="46"/>
      <c r="YJ38" s="47"/>
      <c r="YK38" s="48"/>
      <c r="YL38" s="48"/>
      <c r="YM38" s="48"/>
      <c r="YN38" s="48"/>
      <c r="YO38" s="48"/>
      <c r="YP38" s="48"/>
      <c r="YQ38" s="48"/>
      <c r="YR38" s="48"/>
      <c r="YS38" s="48"/>
      <c r="YT38" s="48"/>
      <c r="YU38" s="48"/>
      <c r="YV38" s="48"/>
      <c r="YW38" s="48"/>
      <c r="YX38" s="48"/>
      <c r="YY38" s="48"/>
      <c r="YZ38" s="48"/>
      <c r="ZA38" s="48"/>
      <c r="ZB38" s="48"/>
      <c r="ZC38" s="45"/>
      <c r="ZD38" s="46"/>
      <c r="ZE38" s="46"/>
      <c r="ZF38" s="47"/>
      <c r="ZG38" s="48"/>
      <c r="ZH38" s="48"/>
      <c r="ZI38" s="48"/>
      <c r="ZJ38" s="48"/>
      <c r="ZK38" s="48"/>
      <c r="ZL38" s="48"/>
      <c r="ZM38" s="48"/>
      <c r="ZN38" s="48"/>
      <c r="ZO38" s="48"/>
      <c r="ZP38" s="48"/>
      <c r="ZQ38" s="48"/>
      <c r="ZR38" s="48"/>
      <c r="ZS38" s="48"/>
      <c r="ZT38" s="48"/>
      <c r="ZU38" s="48"/>
      <c r="ZV38" s="48"/>
      <c r="ZW38" s="48"/>
      <c r="ZX38" s="48"/>
      <c r="ZY38" s="45"/>
      <c r="ZZ38" s="46"/>
      <c r="AAA38" s="46"/>
      <c r="AAB38" s="47"/>
      <c r="AAC38" s="48"/>
      <c r="AAD38" s="48"/>
      <c r="AAE38" s="48"/>
      <c r="AAF38" s="48"/>
      <c r="AAG38" s="48"/>
      <c r="AAH38" s="48"/>
      <c r="AAI38" s="48"/>
      <c r="AAJ38" s="48"/>
      <c r="AAK38" s="48"/>
      <c r="AAL38" s="48"/>
      <c r="AAM38" s="48"/>
      <c r="AAN38" s="48"/>
      <c r="AAO38" s="48"/>
      <c r="AAP38" s="48"/>
      <c r="AAQ38" s="48"/>
      <c r="AAR38" s="48"/>
      <c r="AAS38" s="48"/>
      <c r="AAT38" s="48"/>
      <c r="AAU38" s="45"/>
      <c r="AAV38" s="46"/>
      <c r="AAW38" s="46"/>
      <c r="AAX38" s="47"/>
      <c r="AAY38" s="48"/>
      <c r="AAZ38" s="48"/>
      <c r="ABA38" s="48"/>
      <c r="ABB38" s="48"/>
      <c r="ABC38" s="48"/>
      <c r="ABD38" s="48"/>
      <c r="ABE38" s="48"/>
      <c r="ABF38" s="48"/>
      <c r="ABG38" s="48"/>
      <c r="ABH38" s="48"/>
      <c r="ABI38" s="48"/>
      <c r="ABJ38" s="48"/>
      <c r="ABK38" s="48"/>
      <c r="ABL38" s="48"/>
      <c r="ABM38" s="48"/>
      <c r="ABN38" s="48"/>
      <c r="ABO38" s="48"/>
      <c r="ABP38" s="48"/>
      <c r="ABQ38" s="45"/>
      <c r="ABR38" s="46"/>
      <c r="ABS38" s="46"/>
      <c r="ABT38" s="47"/>
      <c r="ABU38" s="48"/>
      <c r="ABV38" s="48"/>
      <c r="ABW38" s="48"/>
      <c r="ABX38" s="48"/>
      <c r="ABY38" s="48"/>
      <c r="ABZ38" s="48"/>
      <c r="ACA38" s="48"/>
      <c r="ACB38" s="48"/>
      <c r="ACC38" s="48"/>
      <c r="ACD38" s="48"/>
      <c r="ACE38" s="48"/>
      <c r="ACF38" s="48"/>
      <c r="ACG38" s="48"/>
      <c r="ACH38" s="48"/>
      <c r="ACI38" s="48"/>
      <c r="ACJ38" s="48"/>
      <c r="ACK38" s="48"/>
      <c r="ACL38" s="48"/>
      <c r="ACM38" s="45"/>
      <c r="ACN38" s="46"/>
      <c r="ACO38" s="46"/>
      <c r="ACP38" s="47"/>
      <c r="ACQ38" s="48"/>
      <c r="ACR38" s="48"/>
      <c r="ACS38" s="48"/>
      <c r="ACT38" s="48"/>
      <c r="ACU38" s="48"/>
      <c r="ACV38" s="48"/>
      <c r="ACW38" s="48"/>
      <c r="ACX38" s="48"/>
      <c r="ACY38" s="48"/>
      <c r="ACZ38" s="48"/>
      <c r="ADA38" s="48"/>
      <c r="ADB38" s="48"/>
      <c r="ADC38" s="48"/>
      <c r="ADD38" s="48"/>
      <c r="ADE38" s="48"/>
      <c r="ADF38" s="48"/>
      <c r="ADG38" s="48"/>
      <c r="ADH38" s="48"/>
      <c r="ADI38" s="45"/>
      <c r="ADJ38" s="46"/>
      <c r="ADK38" s="46"/>
      <c r="ADL38" s="47"/>
      <c r="ADM38" s="48"/>
      <c r="ADN38" s="48"/>
      <c r="ADO38" s="48"/>
      <c r="ADP38" s="48"/>
      <c r="ADQ38" s="48"/>
      <c r="ADR38" s="48"/>
      <c r="ADS38" s="48"/>
      <c r="ADT38" s="48"/>
      <c r="ADU38" s="48"/>
      <c r="ADV38" s="48"/>
      <c r="ADW38" s="48"/>
      <c r="ADX38" s="48"/>
      <c r="ADY38" s="48"/>
      <c r="ADZ38" s="48"/>
      <c r="AEA38" s="48"/>
      <c r="AEB38" s="48"/>
      <c r="AEC38" s="48"/>
      <c r="AED38" s="48"/>
      <c r="AEE38" s="45"/>
      <c r="AEF38" s="46"/>
      <c r="AEG38" s="46"/>
      <c r="AEH38" s="47"/>
      <c r="AEI38" s="48"/>
      <c r="AEJ38" s="48"/>
      <c r="AEK38" s="48"/>
      <c r="AEL38" s="48"/>
      <c r="AEM38" s="48"/>
      <c r="AEN38" s="48"/>
      <c r="AEO38" s="48"/>
      <c r="AEP38" s="48"/>
      <c r="AEQ38" s="48"/>
      <c r="AER38" s="48"/>
      <c r="AES38" s="48"/>
      <c r="AET38" s="48"/>
      <c r="AEU38" s="48"/>
      <c r="AEV38" s="48"/>
      <c r="AEW38" s="48"/>
      <c r="AEX38" s="48"/>
      <c r="AEY38" s="48"/>
      <c r="AEZ38" s="48"/>
      <c r="AFA38" s="45"/>
      <c r="AFB38" s="46"/>
      <c r="AFC38" s="46"/>
      <c r="AFD38" s="47"/>
      <c r="AFE38" s="48"/>
      <c r="AFF38" s="48"/>
      <c r="AFG38" s="48"/>
      <c r="AFH38" s="48"/>
      <c r="AFI38" s="48"/>
      <c r="AFJ38" s="48"/>
      <c r="AFK38" s="48"/>
      <c r="AFL38" s="48"/>
      <c r="AFM38" s="48"/>
      <c r="AFN38" s="48"/>
      <c r="AFO38" s="48"/>
      <c r="AFP38" s="48"/>
      <c r="AFQ38" s="48"/>
      <c r="AFR38" s="48"/>
      <c r="AFS38" s="48"/>
      <c r="AFT38" s="48"/>
      <c r="AFU38" s="48"/>
      <c r="AFV38" s="48"/>
      <c r="AFW38" s="45"/>
      <c r="AFX38" s="46"/>
      <c r="AFY38" s="46"/>
      <c r="AFZ38" s="47"/>
      <c r="AGA38" s="48"/>
      <c r="AGB38" s="48"/>
      <c r="AGC38" s="48"/>
      <c r="AGD38" s="48"/>
      <c r="AGE38" s="48"/>
      <c r="AGF38" s="48"/>
      <c r="AGG38" s="48"/>
      <c r="AGH38" s="48"/>
      <c r="AGI38" s="48"/>
      <c r="AGJ38" s="48"/>
      <c r="AGK38" s="48"/>
      <c r="AGL38" s="48"/>
      <c r="AGM38" s="48"/>
      <c r="AGN38" s="48"/>
      <c r="AGO38" s="48"/>
      <c r="AGP38" s="48"/>
      <c r="AGQ38" s="48"/>
      <c r="AGR38" s="48"/>
      <c r="AGS38" s="45"/>
      <c r="AGT38" s="46"/>
      <c r="AGU38" s="46"/>
      <c r="AGV38" s="47"/>
      <c r="AGW38" s="48"/>
      <c r="AGX38" s="48"/>
      <c r="AGY38" s="48"/>
      <c r="AGZ38" s="48"/>
      <c r="AHA38" s="48"/>
      <c r="AHB38" s="48"/>
      <c r="AHC38" s="48"/>
      <c r="AHD38" s="48"/>
      <c r="AHE38" s="48"/>
      <c r="AHF38" s="48"/>
      <c r="AHG38" s="48"/>
      <c r="AHH38" s="48"/>
      <c r="AHI38" s="48"/>
      <c r="AHJ38" s="48"/>
      <c r="AHK38" s="48"/>
      <c r="AHL38" s="48"/>
      <c r="AHM38" s="48"/>
      <c r="AHN38" s="48"/>
      <c r="AHO38" s="45"/>
      <c r="AHP38" s="46"/>
      <c r="AHQ38" s="46"/>
      <c r="AHR38" s="47"/>
      <c r="AHS38" s="48"/>
      <c r="AHT38" s="48"/>
      <c r="AHU38" s="48"/>
      <c r="AHV38" s="48"/>
      <c r="AHW38" s="48"/>
      <c r="AHX38" s="48"/>
      <c r="AHY38" s="48"/>
      <c r="AHZ38" s="48"/>
      <c r="AIA38" s="48"/>
      <c r="AIB38" s="48"/>
      <c r="AIC38" s="48"/>
      <c r="AID38" s="48"/>
      <c r="AIE38" s="48"/>
      <c r="AIF38" s="48"/>
      <c r="AIG38" s="48"/>
      <c r="AIH38" s="48"/>
      <c r="AII38" s="48"/>
      <c r="AIJ38" s="48"/>
      <c r="AIK38" s="45"/>
      <c r="AIL38" s="46"/>
      <c r="AIM38" s="46"/>
      <c r="AIN38" s="47"/>
      <c r="AIO38" s="48"/>
      <c r="AIP38" s="48"/>
      <c r="AIQ38" s="48"/>
      <c r="AIR38" s="48"/>
      <c r="AIS38" s="48"/>
      <c r="AIT38" s="48"/>
      <c r="AIU38" s="48"/>
      <c r="AIV38" s="48"/>
      <c r="AIW38" s="48"/>
      <c r="AIX38" s="48"/>
      <c r="AIY38" s="48"/>
      <c r="AIZ38" s="48"/>
      <c r="AJA38" s="48"/>
      <c r="AJB38" s="48"/>
      <c r="AJC38" s="48"/>
      <c r="AJD38" s="48"/>
      <c r="AJE38" s="48"/>
      <c r="AJF38" s="48"/>
      <c r="AJG38" s="45"/>
      <c r="AJH38" s="46"/>
      <c r="AJI38" s="46"/>
      <c r="AJJ38" s="47"/>
      <c r="AJK38" s="48"/>
      <c r="AJL38" s="48"/>
      <c r="AJM38" s="48"/>
      <c r="AJN38" s="48"/>
      <c r="AJO38" s="48"/>
      <c r="AJP38" s="48"/>
      <c r="AJQ38" s="48"/>
      <c r="AJR38" s="48"/>
      <c r="AJS38" s="48"/>
      <c r="AJT38" s="48"/>
      <c r="AJU38" s="48"/>
      <c r="AJV38" s="48"/>
      <c r="AJW38" s="48"/>
      <c r="AJX38" s="48"/>
      <c r="AJY38" s="48"/>
      <c r="AJZ38" s="48"/>
      <c r="AKA38" s="48"/>
      <c r="AKB38" s="48"/>
      <c r="AKC38" s="45"/>
      <c r="AKD38" s="46"/>
      <c r="AKE38" s="46"/>
      <c r="AKF38" s="47"/>
      <c r="AKG38" s="48"/>
      <c r="AKH38" s="48"/>
      <c r="AKI38" s="48"/>
      <c r="AKJ38" s="48"/>
      <c r="AKK38" s="48"/>
      <c r="AKL38" s="48"/>
      <c r="AKM38" s="48"/>
      <c r="AKN38" s="48"/>
      <c r="AKO38" s="48"/>
      <c r="AKP38" s="48"/>
      <c r="AKQ38" s="48"/>
      <c r="AKR38" s="48"/>
      <c r="AKS38" s="48"/>
      <c r="AKT38" s="48"/>
      <c r="AKU38" s="48"/>
      <c r="AKV38" s="48"/>
      <c r="AKW38" s="48"/>
      <c r="AKX38" s="48"/>
      <c r="AKY38" s="45"/>
      <c r="AKZ38" s="46"/>
      <c r="ALA38" s="46"/>
      <c r="ALB38" s="47"/>
      <c r="ALC38" s="48"/>
      <c r="ALD38" s="48"/>
      <c r="ALE38" s="48"/>
      <c r="ALF38" s="48"/>
      <c r="ALG38" s="48"/>
      <c r="ALH38" s="48"/>
      <c r="ALI38" s="48"/>
      <c r="ALJ38" s="48"/>
      <c r="ALK38" s="48"/>
      <c r="ALL38" s="48"/>
      <c r="ALM38" s="48"/>
      <c r="ALN38" s="48"/>
      <c r="ALO38" s="48"/>
      <c r="ALP38" s="48"/>
      <c r="ALQ38" s="48"/>
      <c r="ALR38" s="48"/>
      <c r="ALS38" s="48"/>
      <c r="ALT38" s="48"/>
      <c r="ALU38" s="45"/>
      <c r="ALV38" s="46"/>
      <c r="ALW38" s="46"/>
      <c r="ALX38" s="47"/>
      <c r="ALY38" s="48"/>
      <c r="ALZ38" s="48"/>
      <c r="AMA38" s="48"/>
      <c r="AMB38" s="48"/>
      <c r="AMC38" s="48"/>
      <c r="AMD38" s="48"/>
      <c r="AME38" s="48"/>
      <c r="AMF38" s="48"/>
      <c r="AMG38" s="48"/>
      <c r="AMH38" s="48"/>
      <c r="AMI38" s="48"/>
      <c r="AMJ38" s="48"/>
      <c r="AMK38" s="48"/>
      <c r="AML38" s="48"/>
      <c r="AMM38" s="48"/>
      <c r="AMN38" s="48"/>
      <c r="AMO38" s="48"/>
      <c r="AMP38" s="48"/>
      <c r="AMQ38" s="45"/>
      <c r="AMR38" s="46"/>
      <c r="AMS38" s="46"/>
      <c r="AMT38" s="47"/>
      <c r="AMU38" s="48"/>
      <c r="AMV38" s="48"/>
      <c r="AMW38" s="48"/>
      <c r="AMX38" s="48"/>
      <c r="AMY38" s="48"/>
      <c r="AMZ38" s="48"/>
      <c r="ANA38" s="48"/>
      <c r="ANB38" s="48"/>
      <c r="ANC38" s="48"/>
      <c r="AND38" s="48"/>
      <c r="ANE38" s="48"/>
      <c r="ANF38" s="48"/>
      <c r="ANG38" s="48"/>
      <c r="ANH38" s="48"/>
      <c r="ANI38" s="48"/>
      <c r="ANJ38" s="48"/>
      <c r="ANK38" s="48"/>
      <c r="ANL38" s="48"/>
      <c r="ANM38" s="45"/>
      <c r="ANN38" s="46"/>
      <c r="ANO38" s="46"/>
      <c r="ANP38" s="47"/>
      <c r="ANQ38" s="48"/>
      <c r="ANR38" s="48"/>
      <c r="ANS38" s="48"/>
      <c r="ANT38" s="48"/>
      <c r="ANU38" s="48"/>
      <c r="ANV38" s="48"/>
      <c r="ANW38" s="48"/>
      <c r="ANX38" s="48"/>
      <c r="ANY38" s="48"/>
      <c r="ANZ38" s="48"/>
      <c r="AOA38" s="48"/>
      <c r="AOB38" s="48"/>
      <c r="AOC38" s="48"/>
      <c r="AOD38" s="48"/>
      <c r="AOE38" s="48"/>
      <c r="AOF38" s="48"/>
      <c r="AOG38" s="48"/>
      <c r="AOH38" s="48"/>
      <c r="AOI38" s="45"/>
      <c r="AOJ38" s="46"/>
      <c r="AOK38" s="46"/>
      <c r="AOL38" s="47"/>
      <c r="AOM38" s="48"/>
      <c r="AON38" s="48"/>
      <c r="AOO38" s="48"/>
      <c r="AOP38" s="48"/>
      <c r="AOQ38" s="48"/>
      <c r="AOR38" s="48"/>
      <c r="AOS38" s="48"/>
      <c r="AOT38" s="48"/>
      <c r="AOU38" s="48"/>
      <c r="AOV38" s="48"/>
      <c r="AOW38" s="48"/>
      <c r="AOX38" s="48"/>
      <c r="AOY38" s="48"/>
      <c r="AOZ38" s="48"/>
      <c r="APA38" s="48"/>
      <c r="APB38" s="48"/>
      <c r="APC38" s="48"/>
      <c r="APD38" s="48"/>
      <c r="APE38" s="45"/>
      <c r="APF38" s="46"/>
      <c r="APG38" s="46"/>
      <c r="APH38" s="47"/>
      <c r="API38" s="48"/>
      <c r="APJ38" s="48"/>
      <c r="APK38" s="48"/>
      <c r="APL38" s="48"/>
      <c r="APM38" s="48"/>
      <c r="APN38" s="48"/>
      <c r="APO38" s="48"/>
      <c r="APP38" s="48"/>
      <c r="APQ38" s="48"/>
      <c r="APR38" s="48"/>
      <c r="APS38" s="48"/>
      <c r="APT38" s="48"/>
      <c r="APU38" s="48"/>
      <c r="APV38" s="48"/>
      <c r="APW38" s="48"/>
      <c r="APX38" s="48"/>
      <c r="APY38" s="48"/>
      <c r="APZ38" s="48"/>
      <c r="AQA38" s="45"/>
      <c r="AQB38" s="46"/>
      <c r="AQC38" s="46"/>
      <c r="AQD38" s="47"/>
      <c r="AQE38" s="48"/>
      <c r="AQF38" s="48"/>
      <c r="AQG38" s="48"/>
      <c r="AQH38" s="48"/>
      <c r="AQI38" s="48"/>
      <c r="AQJ38" s="48"/>
      <c r="AQK38" s="48"/>
      <c r="AQL38" s="48"/>
      <c r="AQM38" s="48"/>
      <c r="AQN38" s="48"/>
      <c r="AQO38" s="48"/>
      <c r="AQP38" s="48"/>
      <c r="AQQ38" s="48"/>
      <c r="AQR38" s="48"/>
      <c r="AQS38" s="48"/>
      <c r="AQT38" s="48"/>
      <c r="AQU38" s="48"/>
      <c r="AQV38" s="48"/>
      <c r="AQW38" s="45"/>
      <c r="AQX38" s="46"/>
      <c r="AQY38" s="46"/>
      <c r="AQZ38" s="47"/>
      <c r="ARA38" s="48"/>
      <c r="ARB38" s="48"/>
      <c r="ARC38" s="48"/>
      <c r="ARD38" s="48"/>
      <c r="ARE38" s="48"/>
      <c r="ARF38" s="48"/>
      <c r="ARG38" s="48"/>
      <c r="ARH38" s="48"/>
      <c r="ARI38" s="48"/>
      <c r="ARJ38" s="48"/>
      <c r="ARK38" s="48"/>
      <c r="ARL38" s="48"/>
      <c r="ARM38" s="48"/>
      <c r="ARN38" s="48"/>
      <c r="ARO38" s="48"/>
      <c r="ARP38" s="48"/>
      <c r="ARQ38" s="48"/>
      <c r="ARR38" s="48"/>
      <c r="ARS38" s="45"/>
      <c r="ART38" s="46"/>
      <c r="ARU38" s="46"/>
      <c r="ARV38" s="47"/>
      <c r="ARW38" s="48"/>
      <c r="ARX38" s="48"/>
      <c r="ARY38" s="48"/>
      <c r="ARZ38" s="48"/>
      <c r="ASA38" s="48"/>
      <c r="ASB38" s="48"/>
      <c r="ASC38" s="48"/>
      <c r="ASD38" s="48"/>
      <c r="ASE38" s="48"/>
      <c r="ASF38" s="48"/>
      <c r="ASG38" s="48"/>
      <c r="ASH38" s="48"/>
      <c r="ASI38" s="48"/>
      <c r="ASJ38" s="48"/>
      <c r="ASK38" s="48"/>
      <c r="ASL38" s="48"/>
      <c r="ASM38" s="48"/>
      <c r="ASN38" s="48"/>
      <c r="ASO38" s="45"/>
      <c r="ASP38" s="46"/>
      <c r="ASQ38" s="46"/>
      <c r="ASR38" s="47"/>
      <c r="ASS38" s="48"/>
      <c r="AST38" s="48"/>
      <c r="ASU38" s="48"/>
      <c r="ASV38" s="48"/>
      <c r="ASW38" s="48"/>
      <c r="ASX38" s="48"/>
      <c r="ASY38" s="48"/>
      <c r="ASZ38" s="48"/>
      <c r="ATA38" s="48"/>
      <c r="ATB38" s="48"/>
      <c r="ATC38" s="48"/>
      <c r="ATD38" s="48"/>
      <c r="ATE38" s="48"/>
      <c r="ATF38" s="48"/>
      <c r="ATG38" s="48"/>
      <c r="ATH38" s="48"/>
      <c r="ATI38" s="48"/>
      <c r="ATJ38" s="48"/>
      <c r="ATK38" s="45"/>
      <c r="ATL38" s="46"/>
      <c r="ATM38" s="46"/>
      <c r="ATN38" s="47"/>
      <c r="ATO38" s="48"/>
      <c r="ATP38" s="48"/>
      <c r="ATQ38" s="48"/>
      <c r="ATR38" s="48"/>
      <c r="ATS38" s="48"/>
      <c r="ATT38" s="48"/>
      <c r="ATU38" s="48"/>
      <c r="ATV38" s="48"/>
      <c r="ATW38" s="48"/>
      <c r="ATX38" s="48"/>
      <c r="ATY38" s="48"/>
      <c r="ATZ38" s="48"/>
      <c r="AUA38" s="48"/>
      <c r="AUB38" s="48"/>
      <c r="AUC38" s="48"/>
      <c r="AUD38" s="48"/>
      <c r="AUE38" s="48"/>
      <c r="AUF38" s="48"/>
      <c r="AUG38" s="45"/>
      <c r="AUH38" s="46"/>
      <c r="AUI38" s="46"/>
      <c r="AUJ38" s="47"/>
      <c r="AUK38" s="48"/>
      <c r="AUL38" s="48"/>
      <c r="AUM38" s="48"/>
      <c r="AUN38" s="48"/>
      <c r="AUO38" s="48"/>
      <c r="AUP38" s="48"/>
      <c r="AUQ38" s="48"/>
      <c r="AUR38" s="48"/>
      <c r="AUS38" s="48"/>
      <c r="AUT38" s="48"/>
      <c r="AUU38" s="48"/>
      <c r="AUV38" s="48"/>
      <c r="AUW38" s="48"/>
      <c r="AUX38" s="48"/>
      <c r="AUY38" s="48"/>
      <c r="AUZ38" s="48"/>
      <c r="AVA38" s="48"/>
      <c r="AVB38" s="48"/>
      <c r="AVC38" s="45"/>
      <c r="AVD38" s="46"/>
      <c r="AVE38" s="46"/>
      <c r="AVF38" s="47"/>
      <c r="AVG38" s="48"/>
      <c r="AVH38" s="48"/>
      <c r="AVI38" s="48"/>
      <c r="AVJ38" s="48"/>
      <c r="AVK38" s="48"/>
      <c r="AVL38" s="48"/>
      <c r="AVM38" s="48"/>
      <c r="AVN38" s="48"/>
      <c r="AVO38" s="48"/>
      <c r="AVP38" s="48"/>
      <c r="AVQ38" s="48"/>
      <c r="AVR38" s="48"/>
      <c r="AVS38" s="48"/>
      <c r="AVT38" s="48"/>
      <c r="AVU38" s="48"/>
      <c r="AVV38" s="48"/>
      <c r="AVW38" s="48"/>
      <c r="AVX38" s="48"/>
      <c r="AVY38" s="45"/>
      <c r="AVZ38" s="46"/>
      <c r="AWA38" s="46"/>
      <c r="AWB38" s="47"/>
      <c r="AWC38" s="48"/>
      <c r="AWD38" s="48"/>
      <c r="AWE38" s="48"/>
      <c r="AWF38" s="48"/>
      <c r="AWG38" s="48"/>
      <c r="AWH38" s="48"/>
      <c r="AWI38" s="48"/>
      <c r="AWJ38" s="48"/>
      <c r="AWK38" s="48"/>
      <c r="AWL38" s="48"/>
      <c r="AWM38" s="48"/>
      <c r="AWN38" s="48"/>
      <c r="AWO38" s="48"/>
      <c r="AWP38" s="48"/>
      <c r="AWQ38" s="48"/>
      <c r="AWR38" s="48"/>
      <c r="AWS38" s="48"/>
      <c r="AWT38" s="48"/>
      <c r="AWU38" s="45"/>
      <c r="AWV38" s="46"/>
      <c r="AWW38" s="46"/>
      <c r="AWX38" s="47"/>
      <c r="AWY38" s="48"/>
      <c r="AWZ38" s="48"/>
      <c r="AXA38" s="48"/>
      <c r="AXB38" s="48"/>
      <c r="AXC38" s="48"/>
      <c r="AXD38" s="48"/>
      <c r="AXE38" s="48"/>
      <c r="AXF38" s="48"/>
      <c r="AXG38" s="48"/>
      <c r="AXH38" s="48"/>
      <c r="AXI38" s="48"/>
      <c r="AXJ38" s="48"/>
      <c r="AXK38" s="48"/>
      <c r="AXL38" s="48"/>
      <c r="AXM38" s="48"/>
      <c r="AXN38" s="48"/>
      <c r="AXO38" s="48"/>
      <c r="AXP38" s="48"/>
      <c r="AXQ38" s="45"/>
      <c r="AXR38" s="46"/>
      <c r="AXS38" s="46"/>
      <c r="AXT38" s="47"/>
      <c r="AXU38" s="48"/>
      <c r="AXV38" s="48"/>
      <c r="AXW38" s="48"/>
      <c r="AXX38" s="48"/>
      <c r="AXY38" s="48"/>
      <c r="AXZ38" s="48"/>
      <c r="AYA38" s="48"/>
      <c r="AYB38" s="48"/>
      <c r="AYC38" s="48"/>
      <c r="AYD38" s="48"/>
      <c r="AYE38" s="48"/>
      <c r="AYF38" s="48"/>
      <c r="AYG38" s="48"/>
      <c r="AYH38" s="48"/>
      <c r="AYI38" s="48"/>
      <c r="AYJ38" s="48"/>
      <c r="AYK38" s="48"/>
      <c r="AYL38" s="48"/>
      <c r="AYM38" s="45"/>
      <c r="AYN38" s="46"/>
      <c r="AYO38" s="46"/>
      <c r="AYP38" s="47"/>
      <c r="AYQ38" s="48"/>
      <c r="AYR38" s="48"/>
      <c r="AYS38" s="48"/>
      <c r="AYT38" s="48"/>
      <c r="AYU38" s="48"/>
      <c r="AYV38" s="48"/>
      <c r="AYW38" s="48"/>
      <c r="AYX38" s="48"/>
      <c r="AYY38" s="48"/>
      <c r="AYZ38" s="48"/>
      <c r="AZA38" s="48"/>
      <c r="AZB38" s="48"/>
      <c r="AZC38" s="48"/>
      <c r="AZD38" s="48"/>
      <c r="AZE38" s="48"/>
      <c r="AZF38" s="48"/>
      <c r="AZG38" s="48"/>
      <c r="AZH38" s="48"/>
      <c r="AZI38" s="45"/>
      <c r="AZJ38" s="46"/>
      <c r="AZK38" s="46"/>
      <c r="AZL38" s="47"/>
      <c r="AZM38" s="48"/>
      <c r="AZN38" s="48"/>
      <c r="AZO38" s="48"/>
      <c r="AZP38" s="48"/>
      <c r="AZQ38" s="48"/>
      <c r="AZR38" s="48"/>
      <c r="AZS38" s="48"/>
      <c r="AZT38" s="48"/>
      <c r="AZU38" s="48"/>
      <c r="AZV38" s="48"/>
      <c r="AZW38" s="48"/>
      <c r="AZX38" s="48"/>
      <c r="AZY38" s="48"/>
      <c r="AZZ38" s="48"/>
      <c r="BAA38" s="48"/>
      <c r="BAB38" s="48"/>
      <c r="BAC38" s="48"/>
      <c r="BAD38" s="48"/>
      <c r="BAE38" s="45"/>
      <c r="BAF38" s="46"/>
      <c r="BAG38" s="46"/>
      <c r="BAH38" s="47"/>
      <c r="BAI38" s="48"/>
      <c r="BAJ38" s="48"/>
      <c r="BAK38" s="48"/>
      <c r="BAL38" s="48"/>
      <c r="BAM38" s="48"/>
      <c r="BAN38" s="48"/>
      <c r="BAO38" s="48"/>
      <c r="BAP38" s="48"/>
      <c r="BAQ38" s="48"/>
      <c r="BAR38" s="48"/>
      <c r="BAS38" s="48"/>
      <c r="BAT38" s="48"/>
      <c r="BAU38" s="48"/>
      <c r="BAV38" s="48"/>
      <c r="BAW38" s="48"/>
      <c r="BAX38" s="48"/>
      <c r="BAY38" s="48"/>
      <c r="BAZ38" s="48"/>
      <c r="BBA38" s="45"/>
      <c r="BBB38" s="46"/>
      <c r="BBC38" s="46"/>
      <c r="BBD38" s="47"/>
      <c r="BBE38" s="48"/>
      <c r="BBF38" s="48"/>
      <c r="BBG38" s="48"/>
      <c r="BBH38" s="48"/>
      <c r="BBI38" s="48"/>
      <c r="BBJ38" s="48"/>
      <c r="BBK38" s="48"/>
      <c r="BBL38" s="48"/>
      <c r="BBM38" s="48"/>
      <c r="BBN38" s="48"/>
      <c r="BBO38" s="48"/>
      <c r="BBP38" s="48"/>
      <c r="BBQ38" s="48"/>
      <c r="BBR38" s="48"/>
      <c r="BBS38" s="48"/>
      <c r="BBT38" s="48"/>
      <c r="BBU38" s="48"/>
      <c r="BBV38" s="48"/>
      <c r="BBW38" s="45"/>
      <c r="BBX38" s="46"/>
      <c r="BBY38" s="46"/>
      <c r="BBZ38" s="47"/>
      <c r="BCA38" s="48"/>
      <c r="BCB38" s="48"/>
      <c r="BCC38" s="48"/>
      <c r="BCD38" s="48"/>
      <c r="BCE38" s="48"/>
      <c r="BCF38" s="48"/>
      <c r="BCG38" s="48"/>
      <c r="BCH38" s="48"/>
      <c r="BCI38" s="48"/>
      <c r="BCJ38" s="48"/>
      <c r="BCK38" s="48"/>
      <c r="BCL38" s="48"/>
      <c r="BCM38" s="48"/>
      <c r="BCN38" s="48"/>
      <c r="BCO38" s="48"/>
      <c r="BCP38" s="48"/>
      <c r="BCQ38" s="48"/>
      <c r="BCR38" s="48"/>
      <c r="BCS38" s="45"/>
      <c r="BCT38" s="46"/>
      <c r="BCU38" s="46"/>
      <c r="BCV38" s="47"/>
      <c r="BCW38" s="48"/>
      <c r="BCX38" s="48"/>
      <c r="BCY38" s="48"/>
      <c r="BCZ38" s="48"/>
      <c r="BDA38" s="48"/>
      <c r="BDB38" s="48"/>
      <c r="BDC38" s="48"/>
      <c r="BDD38" s="48"/>
      <c r="BDE38" s="48"/>
      <c r="BDF38" s="48"/>
      <c r="BDG38" s="48"/>
      <c r="BDH38" s="48"/>
      <c r="BDI38" s="48"/>
      <c r="BDJ38" s="48"/>
      <c r="BDK38" s="48"/>
      <c r="BDL38" s="48"/>
      <c r="BDM38" s="48"/>
      <c r="BDN38" s="48"/>
      <c r="BDO38" s="45"/>
      <c r="BDP38" s="46"/>
      <c r="BDQ38" s="46"/>
      <c r="BDR38" s="47"/>
      <c r="BDS38" s="48"/>
      <c r="BDT38" s="48"/>
      <c r="BDU38" s="48"/>
      <c r="BDV38" s="48"/>
      <c r="BDW38" s="48"/>
      <c r="BDX38" s="48"/>
      <c r="BDY38" s="48"/>
      <c r="BDZ38" s="48"/>
      <c r="BEA38" s="48"/>
      <c r="BEB38" s="48"/>
      <c r="BEC38" s="48"/>
      <c r="BED38" s="48"/>
      <c r="BEE38" s="48"/>
      <c r="BEF38" s="48"/>
      <c r="BEG38" s="48"/>
      <c r="BEH38" s="48"/>
      <c r="BEI38" s="48"/>
      <c r="BEJ38" s="48"/>
      <c r="BEK38" s="45"/>
      <c r="BEL38" s="46"/>
      <c r="BEM38" s="46"/>
      <c r="BEN38" s="47"/>
      <c r="BEO38" s="48"/>
      <c r="BEP38" s="48"/>
      <c r="BEQ38" s="48"/>
      <c r="BER38" s="48"/>
      <c r="BES38" s="48"/>
      <c r="BET38" s="48"/>
      <c r="BEU38" s="48"/>
      <c r="BEV38" s="48"/>
      <c r="BEW38" s="48"/>
      <c r="BEX38" s="48"/>
      <c r="BEY38" s="48"/>
      <c r="BEZ38" s="48"/>
      <c r="BFA38" s="48"/>
      <c r="BFB38" s="48"/>
      <c r="BFC38" s="48"/>
      <c r="BFD38" s="48"/>
      <c r="BFE38" s="48"/>
      <c r="BFF38" s="48"/>
      <c r="BFG38" s="45"/>
      <c r="BFH38" s="46"/>
      <c r="BFI38" s="46"/>
      <c r="BFJ38" s="47"/>
      <c r="BFK38" s="48"/>
      <c r="BFL38" s="48"/>
      <c r="BFM38" s="48"/>
      <c r="BFN38" s="48"/>
      <c r="BFO38" s="48"/>
      <c r="BFP38" s="48"/>
      <c r="BFQ38" s="48"/>
      <c r="BFR38" s="48"/>
      <c r="BFS38" s="48"/>
      <c r="BFT38" s="48"/>
      <c r="BFU38" s="48"/>
      <c r="BFV38" s="48"/>
      <c r="BFW38" s="48"/>
      <c r="BFX38" s="48"/>
      <c r="BFY38" s="48"/>
      <c r="BFZ38" s="48"/>
      <c r="BGA38" s="48"/>
      <c r="BGB38" s="48"/>
      <c r="BGC38" s="45"/>
      <c r="BGD38" s="46"/>
      <c r="BGE38" s="46"/>
      <c r="BGF38" s="47"/>
      <c r="BGG38" s="48"/>
      <c r="BGH38" s="48"/>
      <c r="BGI38" s="48"/>
      <c r="BGJ38" s="48"/>
      <c r="BGK38" s="48"/>
      <c r="BGL38" s="48"/>
      <c r="BGM38" s="48"/>
      <c r="BGN38" s="48"/>
      <c r="BGO38" s="48"/>
      <c r="BGP38" s="48"/>
      <c r="BGQ38" s="48"/>
      <c r="BGR38" s="48"/>
      <c r="BGS38" s="48"/>
      <c r="BGT38" s="48"/>
      <c r="BGU38" s="48"/>
      <c r="BGV38" s="48"/>
      <c r="BGW38" s="48"/>
      <c r="BGX38" s="48"/>
      <c r="BGY38" s="45"/>
      <c r="BGZ38" s="46"/>
      <c r="BHA38" s="46"/>
      <c r="BHB38" s="47"/>
      <c r="BHC38" s="48"/>
      <c r="BHD38" s="48"/>
      <c r="BHE38" s="48"/>
      <c r="BHF38" s="48"/>
      <c r="BHG38" s="48"/>
      <c r="BHH38" s="48"/>
      <c r="BHI38" s="48"/>
      <c r="BHJ38" s="48"/>
      <c r="BHK38" s="48"/>
      <c r="BHL38" s="48"/>
      <c r="BHM38" s="48"/>
      <c r="BHN38" s="48"/>
      <c r="BHO38" s="48"/>
      <c r="BHP38" s="48"/>
      <c r="BHQ38" s="48"/>
      <c r="BHR38" s="48"/>
      <c r="BHS38" s="48"/>
      <c r="BHT38" s="48"/>
      <c r="BHU38" s="45"/>
      <c r="BHV38" s="46"/>
      <c r="BHW38" s="46"/>
      <c r="BHX38" s="47"/>
      <c r="BHY38" s="48"/>
      <c r="BHZ38" s="48"/>
      <c r="BIA38" s="48"/>
      <c r="BIB38" s="48"/>
      <c r="BIC38" s="48"/>
      <c r="BID38" s="48"/>
      <c r="BIE38" s="48"/>
      <c r="BIF38" s="48"/>
      <c r="BIG38" s="48"/>
      <c r="BIH38" s="48"/>
      <c r="BII38" s="48"/>
      <c r="BIJ38" s="48"/>
      <c r="BIK38" s="48"/>
      <c r="BIL38" s="48"/>
      <c r="BIM38" s="48"/>
      <c r="BIN38" s="48"/>
      <c r="BIO38" s="48"/>
      <c r="BIP38" s="48"/>
      <c r="BIQ38" s="45"/>
      <c r="BIR38" s="46"/>
      <c r="BIS38" s="46"/>
      <c r="BIT38" s="47"/>
      <c r="BIU38" s="48"/>
      <c r="BIV38" s="48"/>
      <c r="BIW38" s="48"/>
      <c r="BIX38" s="48"/>
      <c r="BIY38" s="48"/>
      <c r="BIZ38" s="48"/>
      <c r="BJA38" s="48"/>
      <c r="BJB38" s="48"/>
      <c r="BJC38" s="48"/>
      <c r="BJD38" s="48"/>
      <c r="BJE38" s="48"/>
      <c r="BJF38" s="48"/>
      <c r="BJG38" s="48"/>
      <c r="BJH38" s="48"/>
      <c r="BJI38" s="48"/>
      <c r="BJJ38" s="48"/>
      <c r="BJK38" s="48"/>
      <c r="BJL38" s="48"/>
      <c r="BJM38" s="45"/>
      <c r="BJN38" s="46"/>
      <c r="BJO38" s="46"/>
      <c r="BJP38" s="47"/>
      <c r="BJQ38" s="48"/>
      <c r="BJR38" s="48"/>
      <c r="BJS38" s="48"/>
      <c r="BJT38" s="48"/>
      <c r="BJU38" s="48"/>
      <c r="BJV38" s="48"/>
      <c r="BJW38" s="48"/>
      <c r="BJX38" s="48"/>
      <c r="BJY38" s="48"/>
      <c r="BJZ38" s="48"/>
      <c r="BKA38" s="48"/>
      <c r="BKB38" s="48"/>
      <c r="BKC38" s="48"/>
      <c r="BKD38" s="48"/>
      <c r="BKE38" s="48"/>
      <c r="BKF38" s="48"/>
      <c r="BKG38" s="48"/>
      <c r="BKH38" s="48"/>
      <c r="BKI38" s="45"/>
      <c r="BKJ38" s="46"/>
      <c r="BKK38" s="46"/>
      <c r="BKL38" s="47"/>
      <c r="BKM38" s="48"/>
      <c r="BKN38" s="48"/>
      <c r="BKO38" s="48"/>
      <c r="BKP38" s="48"/>
      <c r="BKQ38" s="48"/>
      <c r="BKR38" s="48"/>
      <c r="BKS38" s="48"/>
      <c r="BKT38" s="48"/>
      <c r="BKU38" s="48"/>
      <c r="BKV38" s="48"/>
      <c r="BKW38" s="48"/>
      <c r="BKX38" s="48"/>
      <c r="BKY38" s="48"/>
      <c r="BKZ38" s="48"/>
      <c r="BLA38" s="48"/>
      <c r="BLB38" s="48"/>
      <c r="BLC38" s="48"/>
      <c r="BLD38" s="48"/>
      <c r="BLE38" s="45"/>
      <c r="BLF38" s="46"/>
      <c r="BLG38" s="46"/>
      <c r="BLH38" s="47"/>
      <c r="BLI38" s="48"/>
      <c r="BLJ38" s="48"/>
      <c r="BLK38" s="48"/>
      <c r="BLL38" s="48"/>
      <c r="BLM38" s="48"/>
      <c r="BLN38" s="48"/>
      <c r="BLO38" s="48"/>
      <c r="BLP38" s="48"/>
      <c r="BLQ38" s="48"/>
      <c r="BLR38" s="48"/>
      <c r="BLS38" s="48"/>
      <c r="BLT38" s="48"/>
      <c r="BLU38" s="48"/>
      <c r="BLV38" s="48"/>
      <c r="BLW38" s="48"/>
      <c r="BLX38" s="48"/>
      <c r="BLY38" s="48"/>
      <c r="BLZ38" s="48"/>
      <c r="BMA38" s="45"/>
      <c r="BMB38" s="46"/>
      <c r="BMC38" s="46"/>
      <c r="BMD38" s="47"/>
      <c r="BME38" s="48"/>
      <c r="BMF38" s="48"/>
      <c r="BMG38" s="48"/>
      <c r="BMH38" s="48"/>
      <c r="BMI38" s="48"/>
      <c r="BMJ38" s="48"/>
      <c r="BMK38" s="48"/>
      <c r="BML38" s="48"/>
      <c r="BMM38" s="48"/>
      <c r="BMN38" s="48"/>
      <c r="BMO38" s="48"/>
      <c r="BMP38" s="48"/>
      <c r="BMQ38" s="48"/>
      <c r="BMR38" s="48"/>
      <c r="BMS38" s="48"/>
      <c r="BMT38" s="48"/>
      <c r="BMU38" s="48"/>
      <c r="BMV38" s="48"/>
      <c r="BMW38" s="45"/>
      <c r="BMX38" s="46"/>
      <c r="BMY38" s="46"/>
      <c r="BMZ38" s="47"/>
      <c r="BNA38" s="48"/>
      <c r="BNB38" s="48"/>
      <c r="BNC38" s="48"/>
      <c r="BND38" s="48"/>
      <c r="BNE38" s="48"/>
      <c r="BNF38" s="48"/>
      <c r="BNG38" s="48"/>
      <c r="BNH38" s="48"/>
      <c r="BNI38" s="48"/>
      <c r="BNJ38" s="48"/>
      <c r="BNK38" s="48"/>
      <c r="BNL38" s="48"/>
      <c r="BNM38" s="48"/>
      <c r="BNN38" s="48"/>
      <c r="BNO38" s="48"/>
      <c r="BNP38" s="48"/>
      <c r="BNQ38" s="48"/>
      <c r="BNR38" s="48"/>
      <c r="BNS38" s="45"/>
      <c r="BNT38" s="46"/>
      <c r="BNU38" s="46"/>
      <c r="BNV38" s="47"/>
      <c r="BNW38" s="48"/>
      <c r="BNX38" s="48"/>
      <c r="BNY38" s="48"/>
      <c r="BNZ38" s="48"/>
      <c r="BOA38" s="48"/>
      <c r="BOB38" s="48"/>
      <c r="BOC38" s="48"/>
      <c r="BOD38" s="48"/>
      <c r="BOE38" s="48"/>
      <c r="BOF38" s="48"/>
      <c r="BOG38" s="48"/>
      <c r="BOH38" s="48"/>
      <c r="BOI38" s="48"/>
      <c r="BOJ38" s="48"/>
      <c r="BOK38" s="48"/>
      <c r="BOL38" s="48"/>
      <c r="BOM38" s="48"/>
      <c r="BON38" s="48"/>
      <c r="BOO38" s="45"/>
      <c r="BOP38" s="46"/>
      <c r="BOQ38" s="46"/>
      <c r="BOR38" s="47"/>
      <c r="BOS38" s="48"/>
      <c r="BOT38" s="48"/>
      <c r="BOU38" s="48"/>
      <c r="BOV38" s="48"/>
      <c r="BOW38" s="48"/>
      <c r="BOX38" s="48"/>
      <c r="BOY38" s="48"/>
      <c r="BOZ38" s="48"/>
      <c r="BPA38" s="48"/>
      <c r="BPB38" s="48"/>
      <c r="BPC38" s="48"/>
      <c r="BPD38" s="48"/>
      <c r="BPE38" s="48"/>
      <c r="BPF38" s="48"/>
      <c r="BPG38" s="48"/>
      <c r="BPH38" s="48"/>
      <c r="BPI38" s="48"/>
      <c r="BPJ38" s="48"/>
      <c r="BPK38" s="45"/>
      <c r="BPL38" s="46"/>
      <c r="BPM38" s="46"/>
      <c r="BPN38" s="47"/>
      <c r="BPO38" s="48"/>
      <c r="BPP38" s="48"/>
      <c r="BPQ38" s="48"/>
      <c r="BPR38" s="48"/>
      <c r="BPS38" s="48"/>
      <c r="BPT38" s="48"/>
      <c r="BPU38" s="48"/>
      <c r="BPV38" s="48"/>
      <c r="BPW38" s="48"/>
      <c r="BPX38" s="48"/>
      <c r="BPY38" s="48"/>
      <c r="BPZ38" s="48"/>
      <c r="BQA38" s="48"/>
      <c r="BQB38" s="48"/>
      <c r="BQC38" s="48"/>
      <c r="BQD38" s="48"/>
      <c r="BQE38" s="48"/>
      <c r="BQF38" s="48"/>
      <c r="BQG38" s="45"/>
      <c r="BQH38" s="46"/>
      <c r="BQI38" s="46"/>
      <c r="BQJ38" s="47"/>
      <c r="BQK38" s="48"/>
      <c r="BQL38" s="48"/>
      <c r="BQM38" s="48"/>
      <c r="BQN38" s="48"/>
      <c r="BQO38" s="48"/>
      <c r="BQP38" s="48"/>
      <c r="BQQ38" s="48"/>
      <c r="BQR38" s="48"/>
      <c r="BQS38" s="48"/>
      <c r="BQT38" s="48"/>
      <c r="BQU38" s="48"/>
      <c r="BQV38" s="48"/>
      <c r="BQW38" s="48"/>
      <c r="BQX38" s="48"/>
      <c r="BQY38" s="48"/>
      <c r="BQZ38" s="48"/>
      <c r="BRA38" s="48"/>
      <c r="BRB38" s="48"/>
      <c r="BRC38" s="45"/>
      <c r="BRD38" s="46"/>
      <c r="BRE38" s="46"/>
      <c r="BRF38" s="47"/>
      <c r="BRG38" s="48"/>
      <c r="BRH38" s="48"/>
      <c r="BRI38" s="48"/>
      <c r="BRJ38" s="48"/>
      <c r="BRK38" s="48"/>
      <c r="BRL38" s="48"/>
      <c r="BRM38" s="48"/>
      <c r="BRN38" s="48"/>
      <c r="BRO38" s="48"/>
      <c r="BRP38" s="48"/>
      <c r="BRQ38" s="48"/>
      <c r="BRR38" s="48"/>
      <c r="BRS38" s="48"/>
      <c r="BRT38" s="48"/>
      <c r="BRU38" s="48"/>
      <c r="BRV38" s="48"/>
      <c r="BRW38" s="48"/>
      <c r="BRX38" s="48"/>
      <c r="BRY38" s="45"/>
      <c r="BRZ38" s="46"/>
      <c r="BSA38" s="46"/>
      <c r="BSB38" s="47"/>
      <c r="BSC38" s="48"/>
      <c r="BSD38" s="48"/>
      <c r="BSE38" s="48"/>
      <c r="BSF38" s="48"/>
      <c r="BSG38" s="48"/>
      <c r="BSH38" s="48"/>
      <c r="BSI38" s="48"/>
      <c r="BSJ38" s="48"/>
      <c r="BSK38" s="48"/>
      <c r="BSL38" s="48"/>
      <c r="BSM38" s="48"/>
      <c r="BSN38" s="48"/>
      <c r="BSO38" s="48"/>
      <c r="BSP38" s="48"/>
      <c r="BSQ38" s="48"/>
      <c r="BSR38" s="48"/>
      <c r="BSS38" s="48"/>
      <c r="BST38" s="48"/>
      <c r="BSU38" s="45"/>
      <c r="BSV38" s="46"/>
      <c r="BSW38" s="46"/>
      <c r="BSX38" s="47"/>
      <c r="BSY38" s="48"/>
      <c r="BSZ38" s="48"/>
      <c r="BTA38" s="48"/>
      <c r="BTB38" s="48"/>
      <c r="BTC38" s="48"/>
      <c r="BTD38" s="48"/>
      <c r="BTE38" s="48"/>
      <c r="BTF38" s="48"/>
      <c r="BTG38" s="48"/>
      <c r="BTH38" s="48"/>
      <c r="BTI38" s="48"/>
      <c r="BTJ38" s="48"/>
      <c r="BTK38" s="48"/>
      <c r="BTL38" s="48"/>
      <c r="BTM38" s="48"/>
      <c r="BTN38" s="48"/>
      <c r="BTO38" s="48"/>
      <c r="BTP38" s="48"/>
      <c r="BTQ38" s="45"/>
      <c r="BTR38" s="46"/>
      <c r="BTS38" s="46"/>
      <c r="BTT38" s="47"/>
      <c r="BTU38" s="48"/>
      <c r="BTV38" s="48"/>
      <c r="BTW38" s="48"/>
      <c r="BTX38" s="48"/>
      <c r="BTY38" s="48"/>
      <c r="BTZ38" s="48"/>
      <c r="BUA38" s="48"/>
      <c r="BUB38" s="48"/>
      <c r="BUC38" s="48"/>
      <c r="BUD38" s="48"/>
      <c r="BUE38" s="48"/>
      <c r="BUF38" s="48"/>
      <c r="BUG38" s="48"/>
      <c r="BUH38" s="48"/>
      <c r="BUI38" s="48"/>
      <c r="BUJ38" s="48"/>
      <c r="BUK38" s="48"/>
      <c r="BUL38" s="48"/>
      <c r="BUM38" s="45"/>
      <c r="BUN38" s="46"/>
      <c r="BUO38" s="46"/>
      <c r="BUP38" s="47"/>
      <c r="BUQ38" s="48"/>
      <c r="BUR38" s="48"/>
      <c r="BUS38" s="48"/>
      <c r="BUT38" s="48"/>
      <c r="BUU38" s="48"/>
      <c r="BUV38" s="48"/>
      <c r="BUW38" s="48"/>
      <c r="BUX38" s="48"/>
      <c r="BUY38" s="48"/>
      <c r="BUZ38" s="48"/>
      <c r="BVA38" s="48"/>
      <c r="BVB38" s="48"/>
      <c r="BVC38" s="48"/>
      <c r="BVD38" s="48"/>
      <c r="BVE38" s="48"/>
      <c r="BVF38" s="48"/>
      <c r="BVG38" s="48"/>
      <c r="BVH38" s="48"/>
      <c r="BVI38" s="45"/>
      <c r="BVJ38" s="46"/>
      <c r="BVK38" s="46"/>
      <c r="BVL38" s="47"/>
      <c r="BVM38" s="48"/>
      <c r="BVN38" s="48"/>
      <c r="BVO38" s="48"/>
      <c r="BVP38" s="48"/>
      <c r="BVQ38" s="48"/>
      <c r="BVR38" s="48"/>
      <c r="BVS38" s="48"/>
      <c r="BVT38" s="48"/>
      <c r="BVU38" s="48"/>
      <c r="BVV38" s="48"/>
      <c r="BVW38" s="48"/>
      <c r="BVX38" s="48"/>
      <c r="BVY38" s="48"/>
      <c r="BVZ38" s="48"/>
      <c r="BWA38" s="48"/>
      <c r="BWB38" s="48"/>
      <c r="BWC38" s="48"/>
      <c r="BWD38" s="48"/>
      <c r="BWE38" s="45"/>
      <c r="BWF38" s="46"/>
      <c r="BWG38" s="46"/>
      <c r="BWH38" s="47"/>
      <c r="BWI38" s="48"/>
      <c r="BWJ38" s="48"/>
      <c r="BWK38" s="48"/>
      <c r="BWL38" s="48"/>
      <c r="BWM38" s="48"/>
      <c r="BWN38" s="48"/>
      <c r="BWO38" s="48"/>
      <c r="BWP38" s="48"/>
      <c r="BWQ38" s="48"/>
      <c r="BWR38" s="48"/>
      <c r="BWS38" s="48"/>
      <c r="BWT38" s="48"/>
      <c r="BWU38" s="48"/>
      <c r="BWV38" s="48"/>
      <c r="BWW38" s="48"/>
      <c r="BWX38" s="48"/>
      <c r="BWY38" s="48"/>
      <c r="BWZ38" s="48"/>
      <c r="BXA38" s="45"/>
      <c r="BXB38" s="46"/>
      <c r="BXC38" s="46"/>
      <c r="BXD38" s="47"/>
      <c r="BXE38" s="48"/>
      <c r="BXF38" s="48"/>
      <c r="BXG38" s="48"/>
      <c r="BXH38" s="48"/>
      <c r="BXI38" s="48"/>
      <c r="BXJ38" s="48"/>
      <c r="BXK38" s="48"/>
      <c r="BXL38" s="48"/>
      <c r="BXM38" s="48"/>
      <c r="BXN38" s="48"/>
      <c r="BXO38" s="48"/>
      <c r="BXP38" s="48"/>
      <c r="BXQ38" s="48"/>
      <c r="BXR38" s="48"/>
      <c r="BXS38" s="48"/>
      <c r="BXT38" s="48"/>
      <c r="BXU38" s="48"/>
      <c r="BXV38" s="48"/>
      <c r="BXW38" s="45"/>
      <c r="BXX38" s="46"/>
      <c r="BXY38" s="46"/>
      <c r="BXZ38" s="47"/>
      <c r="BYA38" s="48"/>
      <c r="BYB38" s="48"/>
      <c r="BYC38" s="48"/>
      <c r="BYD38" s="48"/>
      <c r="BYE38" s="48"/>
      <c r="BYF38" s="48"/>
      <c r="BYG38" s="48"/>
      <c r="BYH38" s="48"/>
      <c r="BYI38" s="48"/>
      <c r="BYJ38" s="48"/>
      <c r="BYK38" s="48"/>
      <c r="BYL38" s="48"/>
      <c r="BYM38" s="48"/>
      <c r="BYN38" s="48"/>
      <c r="BYO38" s="48"/>
      <c r="BYP38" s="48"/>
      <c r="BYQ38" s="48"/>
      <c r="BYR38" s="48"/>
      <c r="BYS38" s="45"/>
      <c r="BYT38" s="46"/>
      <c r="BYU38" s="46"/>
      <c r="BYV38" s="47"/>
      <c r="BYW38" s="48"/>
      <c r="BYX38" s="48"/>
      <c r="BYY38" s="48"/>
      <c r="BYZ38" s="48"/>
      <c r="BZA38" s="48"/>
      <c r="BZB38" s="48"/>
      <c r="BZC38" s="48"/>
      <c r="BZD38" s="48"/>
      <c r="BZE38" s="48"/>
      <c r="BZF38" s="48"/>
      <c r="BZG38" s="48"/>
      <c r="BZH38" s="48"/>
      <c r="BZI38" s="48"/>
      <c r="BZJ38" s="48"/>
      <c r="BZK38" s="48"/>
      <c r="BZL38" s="48"/>
      <c r="BZM38" s="48"/>
      <c r="BZN38" s="48"/>
      <c r="BZO38" s="45"/>
      <c r="BZP38" s="46"/>
      <c r="BZQ38" s="46"/>
      <c r="BZR38" s="47"/>
      <c r="BZS38" s="48"/>
      <c r="BZT38" s="48"/>
      <c r="BZU38" s="48"/>
      <c r="BZV38" s="48"/>
      <c r="BZW38" s="48"/>
      <c r="BZX38" s="48"/>
      <c r="BZY38" s="48"/>
      <c r="BZZ38" s="48"/>
      <c r="CAA38" s="48"/>
      <c r="CAB38" s="48"/>
      <c r="CAC38" s="48"/>
      <c r="CAD38" s="48"/>
      <c r="CAE38" s="48"/>
      <c r="CAF38" s="48"/>
      <c r="CAG38" s="48"/>
      <c r="CAH38" s="48"/>
      <c r="CAI38" s="48"/>
      <c r="CAJ38" s="48"/>
      <c r="CAK38" s="45"/>
      <c r="CAL38" s="46"/>
      <c r="CAM38" s="46"/>
      <c r="CAN38" s="47"/>
      <c r="CAO38" s="48"/>
      <c r="CAP38" s="48"/>
      <c r="CAQ38" s="48"/>
      <c r="CAR38" s="48"/>
      <c r="CAS38" s="48"/>
      <c r="CAT38" s="48"/>
      <c r="CAU38" s="48"/>
      <c r="CAV38" s="48"/>
      <c r="CAW38" s="48"/>
      <c r="CAX38" s="48"/>
      <c r="CAY38" s="48"/>
      <c r="CAZ38" s="48"/>
      <c r="CBA38" s="48"/>
      <c r="CBB38" s="48"/>
      <c r="CBC38" s="48"/>
      <c r="CBD38" s="48"/>
      <c r="CBE38" s="48"/>
      <c r="CBF38" s="48"/>
      <c r="CBG38" s="45"/>
      <c r="CBH38" s="46"/>
      <c r="CBI38" s="46"/>
      <c r="CBJ38" s="47"/>
      <c r="CBK38" s="48"/>
      <c r="CBL38" s="48"/>
      <c r="CBM38" s="48"/>
      <c r="CBN38" s="48"/>
      <c r="CBO38" s="48"/>
      <c r="CBP38" s="48"/>
      <c r="CBQ38" s="48"/>
      <c r="CBR38" s="48"/>
      <c r="CBS38" s="48"/>
      <c r="CBT38" s="48"/>
      <c r="CBU38" s="48"/>
      <c r="CBV38" s="48"/>
      <c r="CBW38" s="48"/>
      <c r="CBX38" s="48"/>
      <c r="CBY38" s="48"/>
      <c r="CBZ38" s="48"/>
      <c r="CCA38" s="48"/>
      <c r="CCB38" s="48"/>
      <c r="CCC38" s="45"/>
      <c r="CCD38" s="46"/>
      <c r="CCE38" s="46"/>
      <c r="CCF38" s="47"/>
      <c r="CCG38" s="48"/>
      <c r="CCH38" s="48"/>
      <c r="CCI38" s="48"/>
      <c r="CCJ38" s="48"/>
      <c r="CCK38" s="48"/>
      <c r="CCL38" s="48"/>
      <c r="CCM38" s="48"/>
      <c r="CCN38" s="48"/>
      <c r="CCO38" s="48"/>
      <c r="CCP38" s="48"/>
      <c r="CCQ38" s="48"/>
      <c r="CCR38" s="48"/>
      <c r="CCS38" s="48"/>
      <c r="CCT38" s="48"/>
      <c r="CCU38" s="48"/>
      <c r="CCV38" s="48"/>
      <c r="CCW38" s="48"/>
      <c r="CCX38" s="48"/>
      <c r="CCY38" s="45"/>
      <c r="CCZ38" s="46"/>
      <c r="CDA38" s="46"/>
      <c r="CDB38" s="47"/>
      <c r="CDC38" s="48"/>
      <c r="CDD38" s="48"/>
      <c r="CDE38" s="48"/>
      <c r="CDF38" s="48"/>
      <c r="CDG38" s="48"/>
      <c r="CDH38" s="48"/>
      <c r="CDI38" s="48"/>
      <c r="CDJ38" s="48"/>
      <c r="CDK38" s="48"/>
      <c r="CDL38" s="48"/>
      <c r="CDM38" s="48"/>
      <c r="CDN38" s="48"/>
      <c r="CDO38" s="48"/>
      <c r="CDP38" s="48"/>
      <c r="CDQ38" s="48"/>
      <c r="CDR38" s="48"/>
      <c r="CDS38" s="48"/>
      <c r="CDT38" s="48"/>
      <c r="CDU38" s="45"/>
      <c r="CDV38" s="46"/>
      <c r="CDW38" s="46"/>
      <c r="CDX38" s="47"/>
      <c r="CDY38" s="48"/>
      <c r="CDZ38" s="48"/>
      <c r="CEA38" s="48"/>
      <c r="CEB38" s="48"/>
      <c r="CEC38" s="48"/>
      <c r="CED38" s="48"/>
      <c r="CEE38" s="48"/>
      <c r="CEF38" s="48"/>
      <c r="CEG38" s="48"/>
      <c r="CEH38" s="48"/>
      <c r="CEI38" s="48"/>
      <c r="CEJ38" s="48"/>
      <c r="CEK38" s="48"/>
      <c r="CEL38" s="48"/>
      <c r="CEM38" s="48"/>
      <c r="CEN38" s="48"/>
      <c r="CEO38" s="48"/>
      <c r="CEP38" s="48"/>
      <c r="CEQ38" s="45"/>
      <c r="CER38" s="46"/>
      <c r="CES38" s="46"/>
      <c r="CET38" s="47"/>
      <c r="CEU38" s="48"/>
      <c r="CEV38" s="48"/>
      <c r="CEW38" s="48"/>
      <c r="CEX38" s="48"/>
      <c r="CEY38" s="48"/>
      <c r="CEZ38" s="48"/>
      <c r="CFA38" s="48"/>
      <c r="CFB38" s="48"/>
      <c r="CFC38" s="48"/>
      <c r="CFD38" s="48"/>
      <c r="CFE38" s="48"/>
      <c r="CFF38" s="48"/>
      <c r="CFG38" s="48"/>
      <c r="CFH38" s="48"/>
      <c r="CFI38" s="48"/>
      <c r="CFJ38" s="48"/>
      <c r="CFK38" s="48"/>
      <c r="CFL38" s="48"/>
      <c r="CFM38" s="45"/>
      <c r="CFN38" s="46"/>
      <c r="CFO38" s="46"/>
      <c r="CFP38" s="47"/>
      <c r="CFQ38" s="48"/>
      <c r="CFR38" s="48"/>
      <c r="CFS38" s="48"/>
      <c r="CFT38" s="48"/>
      <c r="CFU38" s="48"/>
      <c r="CFV38" s="48"/>
      <c r="CFW38" s="48"/>
      <c r="CFX38" s="48"/>
      <c r="CFY38" s="48"/>
      <c r="CFZ38" s="48"/>
      <c r="CGA38" s="48"/>
      <c r="CGB38" s="48"/>
      <c r="CGC38" s="48"/>
      <c r="CGD38" s="48"/>
      <c r="CGE38" s="48"/>
      <c r="CGF38" s="48"/>
      <c r="CGG38" s="48"/>
      <c r="CGH38" s="48"/>
      <c r="CGI38" s="45"/>
      <c r="CGJ38" s="46"/>
      <c r="CGK38" s="46"/>
      <c r="CGL38" s="47"/>
      <c r="CGM38" s="48"/>
      <c r="CGN38" s="48"/>
      <c r="CGO38" s="48"/>
      <c r="CGP38" s="48"/>
      <c r="CGQ38" s="48"/>
      <c r="CGR38" s="48"/>
      <c r="CGS38" s="48"/>
      <c r="CGT38" s="48"/>
      <c r="CGU38" s="48"/>
      <c r="CGV38" s="48"/>
      <c r="CGW38" s="48"/>
      <c r="CGX38" s="48"/>
      <c r="CGY38" s="48"/>
      <c r="CGZ38" s="48"/>
      <c r="CHA38" s="48"/>
      <c r="CHB38" s="48"/>
      <c r="CHC38" s="48"/>
      <c r="CHD38" s="48"/>
      <c r="CHE38" s="45"/>
      <c r="CHF38" s="46"/>
      <c r="CHG38" s="46"/>
      <c r="CHH38" s="47"/>
      <c r="CHI38" s="48"/>
      <c r="CHJ38" s="48"/>
      <c r="CHK38" s="48"/>
      <c r="CHL38" s="48"/>
      <c r="CHM38" s="48"/>
      <c r="CHN38" s="48"/>
      <c r="CHO38" s="48"/>
      <c r="CHP38" s="48"/>
      <c r="CHQ38" s="48"/>
      <c r="CHR38" s="48"/>
      <c r="CHS38" s="48"/>
      <c r="CHT38" s="48"/>
      <c r="CHU38" s="48"/>
      <c r="CHV38" s="48"/>
      <c r="CHW38" s="48"/>
      <c r="CHX38" s="48"/>
      <c r="CHY38" s="48"/>
      <c r="CHZ38" s="48"/>
      <c r="CIA38" s="45"/>
      <c r="CIB38" s="46"/>
      <c r="CIC38" s="46"/>
      <c r="CID38" s="47"/>
      <c r="CIE38" s="48"/>
      <c r="CIF38" s="48"/>
      <c r="CIG38" s="48"/>
      <c r="CIH38" s="48"/>
      <c r="CII38" s="48"/>
      <c r="CIJ38" s="48"/>
      <c r="CIK38" s="48"/>
      <c r="CIL38" s="48"/>
      <c r="CIM38" s="48"/>
      <c r="CIN38" s="48"/>
      <c r="CIO38" s="48"/>
      <c r="CIP38" s="48"/>
      <c r="CIQ38" s="48"/>
      <c r="CIR38" s="48"/>
      <c r="CIS38" s="48"/>
      <c r="CIT38" s="48"/>
      <c r="CIU38" s="48"/>
      <c r="CIV38" s="48"/>
      <c r="CIW38" s="45"/>
      <c r="CIX38" s="46"/>
      <c r="CIY38" s="46"/>
      <c r="CIZ38" s="47"/>
      <c r="CJA38" s="48"/>
      <c r="CJB38" s="48"/>
      <c r="CJC38" s="48"/>
      <c r="CJD38" s="48"/>
      <c r="CJE38" s="48"/>
      <c r="CJF38" s="48"/>
      <c r="CJG38" s="48"/>
      <c r="CJH38" s="48"/>
      <c r="CJI38" s="48"/>
      <c r="CJJ38" s="48"/>
      <c r="CJK38" s="48"/>
      <c r="CJL38" s="48"/>
      <c r="CJM38" s="48"/>
      <c r="CJN38" s="48"/>
      <c r="CJO38" s="48"/>
      <c r="CJP38" s="48"/>
      <c r="CJQ38" s="48"/>
      <c r="CJR38" s="48"/>
      <c r="CJS38" s="45"/>
      <c r="CJT38" s="46"/>
      <c r="CJU38" s="46"/>
      <c r="CJV38" s="47"/>
      <c r="CJW38" s="48"/>
      <c r="CJX38" s="48"/>
      <c r="CJY38" s="48"/>
      <c r="CJZ38" s="48"/>
      <c r="CKA38" s="48"/>
      <c r="CKB38" s="48"/>
      <c r="CKC38" s="48"/>
      <c r="CKD38" s="48"/>
      <c r="CKE38" s="48"/>
      <c r="CKF38" s="48"/>
      <c r="CKG38" s="48"/>
      <c r="CKH38" s="48"/>
      <c r="CKI38" s="48"/>
      <c r="CKJ38" s="48"/>
      <c r="CKK38" s="48"/>
      <c r="CKL38" s="48"/>
      <c r="CKM38" s="48"/>
      <c r="CKN38" s="48"/>
      <c r="CKO38" s="45"/>
      <c r="CKP38" s="46"/>
      <c r="CKQ38" s="46"/>
      <c r="CKR38" s="47"/>
      <c r="CKS38" s="48"/>
      <c r="CKT38" s="48"/>
      <c r="CKU38" s="48"/>
      <c r="CKV38" s="48"/>
      <c r="CKW38" s="48"/>
      <c r="CKX38" s="48"/>
      <c r="CKY38" s="48"/>
      <c r="CKZ38" s="48"/>
      <c r="CLA38" s="48"/>
      <c r="CLB38" s="48"/>
      <c r="CLC38" s="48"/>
      <c r="CLD38" s="48"/>
      <c r="CLE38" s="48"/>
      <c r="CLF38" s="48"/>
      <c r="CLG38" s="48"/>
      <c r="CLH38" s="48"/>
      <c r="CLI38" s="48"/>
      <c r="CLJ38" s="48"/>
      <c r="CLK38" s="45"/>
      <c r="CLL38" s="46"/>
      <c r="CLM38" s="46"/>
      <c r="CLN38" s="47"/>
      <c r="CLO38" s="48"/>
      <c r="CLP38" s="48"/>
      <c r="CLQ38" s="48"/>
      <c r="CLR38" s="48"/>
      <c r="CLS38" s="48"/>
      <c r="CLT38" s="48"/>
      <c r="CLU38" s="48"/>
      <c r="CLV38" s="48"/>
      <c r="CLW38" s="48"/>
      <c r="CLX38" s="48"/>
      <c r="CLY38" s="48"/>
      <c r="CLZ38" s="48"/>
      <c r="CMA38" s="48"/>
      <c r="CMB38" s="48"/>
      <c r="CMC38" s="48"/>
      <c r="CMD38" s="48"/>
      <c r="CME38" s="48"/>
      <c r="CMF38" s="48"/>
      <c r="CMG38" s="45"/>
      <c r="CMH38" s="46"/>
      <c r="CMI38" s="46"/>
      <c r="CMJ38" s="47"/>
      <c r="CMK38" s="48"/>
      <c r="CML38" s="48"/>
      <c r="CMM38" s="48"/>
      <c r="CMN38" s="48"/>
      <c r="CMO38" s="48"/>
      <c r="CMP38" s="48"/>
      <c r="CMQ38" s="48"/>
      <c r="CMR38" s="48"/>
      <c r="CMS38" s="48"/>
      <c r="CMT38" s="48"/>
      <c r="CMU38" s="48"/>
      <c r="CMV38" s="48"/>
      <c r="CMW38" s="48"/>
      <c r="CMX38" s="48"/>
      <c r="CMY38" s="48"/>
      <c r="CMZ38" s="48"/>
      <c r="CNA38" s="48"/>
      <c r="CNB38" s="48"/>
      <c r="CNC38" s="45"/>
      <c r="CND38" s="46"/>
      <c r="CNE38" s="46"/>
      <c r="CNF38" s="47"/>
      <c r="CNG38" s="48"/>
      <c r="CNH38" s="48"/>
      <c r="CNI38" s="48"/>
      <c r="CNJ38" s="48"/>
      <c r="CNK38" s="48"/>
      <c r="CNL38" s="48"/>
      <c r="CNM38" s="48"/>
      <c r="CNN38" s="48"/>
      <c r="CNO38" s="48"/>
      <c r="CNP38" s="48"/>
      <c r="CNQ38" s="48"/>
      <c r="CNR38" s="48"/>
      <c r="CNS38" s="48"/>
      <c r="CNT38" s="48"/>
      <c r="CNU38" s="48"/>
      <c r="CNV38" s="48"/>
      <c r="CNW38" s="48"/>
      <c r="CNX38" s="48"/>
      <c r="CNY38" s="45"/>
      <c r="CNZ38" s="46"/>
      <c r="COA38" s="46"/>
      <c r="COB38" s="47"/>
      <c r="COC38" s="48"/>
      <c r="COD38" s="48"/>
      <c r="COE38" s="48"/>
      <c r="COF38" s="48"/>
      <c r="COG38" s="48"/>
      <c r="COH38" s="48"/>
      <c r="COI38" s="48"/>
      <c r="COJ38" s="48"/>
      <c r="COK38" s="48"/>
      <c r="COL38" s="48"/>
      <c r="COM38" s="48"/>
      <c r="CON38" s="48"/>
      <c r="COO38" s="48"/>
      <c r="COP38" s="48"/>
      <c r="COQ38" s="48"/>
      <c r="COR38" s="48"/>
      <c r="COS38" s="48"/>
      <c r="COT38" s="48"/>
      <c r="COU38" s="45"/>
      <c r="COV38" s="46"/>
      <c r="COW38" s="46"/>
      <c r="COX38" s="47"/>
      <c r="COY38" s="48"/>
      <c r="COZ38" s="48"/>
      <c r="CPA38" s="48"/>
      <c r="CPB38" s="48"/>
      <c r="CPC38" s="48"/>
      <c r="CPD38" s="48"/>
      <c r="CPE38" s="48"/>
      <c r="CPF38" s="48"/>
      <c r="CPG38" s="48"/>
      <c r="CPH38" s="48"/>
      <c r="CPI38" s="48"/>
      <c r="CPJ38" s="48"/>
      <c r="CPK38" s="48"/>
      <c r="CPL38" s="48"/>
      <c r="CPM38" s="48"/>
      <c r="CPN38" s="48"/>
      <c r="CPO38" s="48"/>
      <c r="CPP38" s="48"/>
      <c r="CPQ38" s="45"/>
      <c r="CPR38" s="46"/>
      <c r="CPS38" s="46"/>
      <c r="CPT38" s="47"/>
      <c r="CPU38" s="48"/>
      <c r="CPV38" s="48"/>
      <c r="CPW38" s="48"/>
      <c r="CPX38" s="48"/>
      <c r="CPY38" s="48"/>
      <c r="CPZ38" s="48"/>
      <c r="CQA38" s="48"/>
      <c r="CQB38" s="48"/>
      <c r="CQC38" s="48"/>
      <c r="CQD38" s="48"/>
      <c r="CQE38" s="48"/>
      <c r="CQF38" s="48"/>
      <c r="CQG38" s="48"/>
      <c r="CQH38" s="48"/>
      <c r="CQI38" s="48"/>
      <c r="CQJ38" s="48"/>
      <c r="CQK38" s="48"/>
      <c r="CQL38" s="48"/>
      <c r="CQM38" s="45"/>
      <c r="CQN38" s="46"/>
      <c r="CQO38" s="46"/>
      <c r="CQP38" s="47"/>
      <c r="CQQ38" s="48"/>
      <c r="CQR38" s="48"/>
      <c r="CQS38" s="48"/>
      <c r="CQT38" s="48"/>
      <c r="CQU38" s="48"/>
      <c r="CQV38" s="48"/>
      <c r="CQW38" s="48"/>
      <c r="CQX38" s="48"/>
      <c r="CQY38" s="48"/>
      <c r="CQZ38" s="48"/>
      <c r="CRA38" s="48"/>
      <c r="CRB38" s="48"/>
      <c r="CRC38" s="48"/>
      <c r="CRD38" s="48"/>
      <c r="CRE38" s="48"/>
      <c r="CRF38" s="48"/>
      <c r="CRG38" s="48"/>
      <c r="CRH38" s="48"/>
      <c r="CRI38" s="45"/>
      <c r="CRJ38" s="46"/>
      <c r="CRK38" s="46"/>
      <c r="CRL38" s="47"/>
      <c r="CRM38" s="48"/>
      <c r="CRN38" s="48"/>
      <c r="CRO38" s="48"/>
      <c r="CRP38" s="48"/>
      <c r="CRQ38" s="48"/>
      <c r="CRR38" s="48"/>
      <c r="CRS38" s="48"/>
      <c r="CRT38" s="48"/>
      <c r="CRU38" s="48"/>
      <c r="CRV38" s="48"/>
      <c r="CRW38" s="48"/>
      <c r="CRX38" s="48"/>
      <c r="CRY38" s="48"/>
      <c r="CRZ38" s="48"/>
      <c r="CSA38" s="48"/>
      <c r="CSB38" s="48"/>
      <c r="CSC38" s="48"/>
      <c r="CSD38" s="48"/>
      <c r="CSE38" s="45"/>
      <c r="CSF38" s="46"/>
      <c r="CSG38" s="46"/>
      <c r="CSH38" s="47"/>
      <c r="CSI38" s="48"/>
      <c r="CSJ38" s="48"/>
      <c r="CSK38" s="48"/>
      <c r="CSL38" s="48"/>
      <c r="CSM38" s="48"/>
      <c r="CSN38" s="48"/>
      <c r="CSO38" s="48"/>
      <c r="CSP38" s="48"/>
      <c r="CSQ38" s="48"/>
      <c r="CSR38" s="48"/>
      <c r="CSS38" s="48"/>
      <c r="CST38" s="48"/>
      <c r="CSU38" s="48"/>
      <c r="CSV38" s="48"/>
      <c r="CSW38" s="48"/>
      <c r="CSX38" s="48"/>
      <c r="CSY38" s="48"/>
      <c r="CSZ38" s="48"/>
      <c r="CTA38" s="45"/>
      <c r="CTB38" s="46"/>
      <c r="CTC38" s="46"/>
      <c r="CTD38" s="47"/>
      <c r="CTE38" s="48"/>
      <c r="CTF38" s="48"/>
      <c r="CTG38" s="48"/>
      <c r="CTH38" s="48"/>
      <c r="CTI38" s="48"/>
      <c r="CTJ38" s="48"/>
      <c r="CTK38" s="48"/>
      <c r="CTL38" s="48"/>
      <c r="CTM38" s="48"/>
      <c r="CTN38" s="48"/>
      <c r="CTO38" s="48"/>
      <c r="CTP38" s="48"/>
      <c r="CTQ38" s="48"/>
      <c r="CTR38" s="48"/>
      <c r="CTS38" s="48"/>
      <c r="CTT38" s="48"/>
      <c r="CTU38" s="48"/>
      <c r="CTV38" s="48"/>
      <c r="CTW38" s="45"/>
      <c r="CTX38" s="46"/>
      <c r="CTY38" s="46"/>
      <c r="CTZ38" s="47"/>
      <c r="CUA38" s="48"/>
      <c r="CUB38" s="48"/>
      <c r="CUC38" s="48"/>
      <c r="CUD38" s="48"/>
      <c r="CUE38" s="48"/>
      <c r="CUF38" s="48"/>
      <c r="CUG38" s="48"/>
      <c r="CUH38" s="48"/>
      <c r="CUI38" s="48"/>
      <c r="CUJ38" s="48"/>
      <c r="CUK38" s="48"/>
      <c r="CUL38" s="48"/>
      <c r="CUM38" s="48"/>
      <c r="CUN38" s="48"/>
      <c r="CUO38" s="48"/>
      <c r="CUP38" s="48"/>
      <c r="CUQ38" s="48"/>
      <c r="CUR38" s="48"/>
      <c r="CUS38" s="45"/>
      <c r="CUT38" s="46"/>
      <c r="CUU38" s="46"/>
      <c r="CUV38" s="47"/>
      <c r="CUW38" s="48"/>
      <c r="CUX38" s="48"/>
      <c r="CUY38" s="48"/>
      <c r="CUZ38" s="48"/>
      <c r="CVA38" s="48"/>
      <c r="CVB38" s="48"/>
      <c r="CVC38" s="48"/>
      <c r="CVD38" s="48"/>
      <c r="CVE38" s="48"/>
      <c r="CVF38" s="48"/>
      <c r="CVG38" s="48"/>
      <c r="CVH38" s="48"/>
      <c r="CVI38" s="48"/>
      <c r="CVJ38" s="48"/>
      <c r="CVK38" s="48"/>
      <c r="CVL38" s="48"/>
      <c r="CVM38" s="48"/>
      <c r="CVN38" s="48"/>
      <c r="CVO38" s="45"/>
      <c r="CVP38" s="46"/>
      <c r="CVQ38" s="46"/>
      <c r="CVR38" s="47"/>
      <c r="CVS38" s="48"/>
      <c r="CVT38" s="48"/>
      <c r="CVU38" s="48"/>
      <c r="CVV38" s="48"/>
      <c r="CVW38" s="48"/>
      <c r="CVX38" s="48"/>
      <c r="CVY38" s="48"/>
      <c r="CVZ38" s="48"/>
      <c r="CWA38" s="48"/>
      <c r="CWB38" s="48"/>
      <c r="CWC38" s="48"/>
      <c r="CWD38" s="48"/>
      <c r="CWE38" s="48"/>
      <c r="CWF38" s="48"/>
      <c r="CWG38" s="48"/>
      <c r="CWH38" s="48"/>
      <c r="CWI38" s="48"/>
      <c r="CWJ38" s="48"/>
      <c r="CWK38" s="45"/>
      <c r="CWL38" s="46"/>
      <c r="CWM38" s="46"/>
      <c r="CWN38" s="47"/>
      <c r="CWO38" s="48"/>
      <c r="CWP38" s="48"/>
      <c r="CWQ38" s="48"/>
      <c r="CWR38" s="48"/>
      <c r="CWS38" s="48"/>
      <c r="CWT38" s="48"/>
      <c r="CWU38" s="48"/>
      <c r="CWV38" s="48"/>
      <c r="CWW38" s="48"/>
      <c r="CWX38" s="48"/>
      <c r="CWY38" s="48"/>
      <c r="CWZ38" s="48"/>
      <c r="CXA38" s="48"/>
      <c r="CXB38" s="48"/>
      <c r="CXC38" s="48"/>
      <c r="CXD38" s="48"/>
      <c r="CXE38" s="48"/>
      <c r="CXF38" s="48"/>
      <c r="CXG38" s="45"/>
      <c r="CXH38" s="46"/>
      <c r="CXI38" s="46"/>
      <c r="CXJ38" s="47"/>
      <c r="CXK38" s="48"/>
      <c r="CXL38" s="48"/>
      <c r="CXM38" s="48"/>
      <c r="CXN38" s="48"/>
      <c r="CXO38" s="48"/>
      <c r="CXP38" s="48"/>
      <c r="CXQ38" s="48"/>
      <c r="CXR38" s="48"/>
      <c r="CXS38" s="48"/>
      <c r="CXT38" s="48"/>
      <c r="CXU38" s="48"/>
      <c r="CXV38" s="48"/>
      <c r="CXW38" s="48"/>
      <c r="CXX38" s="48"/>
      <c r="CXY38" s="48"/>
      <c r="CXZ38" s="48"/>
      <c r="CYA38" s="48"/>
      <c r="CYB38" s="48"/>
      <c r="CYC38" s="45"/>
      <c r="CYD38" s="46"/>
      <c r="CYE38" s="46"/>
      <c r="CYF38" s="47"/>
      <c r="CYG38" s="48"/>
      <c r="CYH38" s="48"/>
      <c r="CYI38" s="48"/>
      <c r="CYJ38" s="48"/>
      <c r="CYK38" s="48"/>
      <c r="CYL38" s="48"/>
      <c r="CYM38" s="48"/>
      <c r="CYN38" s="48"/>
      <c r="CYO38" s="48"/>
      <c r="CYP38" s="48"/>
      <c r="CYQ38" s="48"/>
      <c r="CYR38" s="48"/>
      <c r="CYS38" s="48"/>
      <c r="CYT38" s="48"/>
      <c r="CYU38" s="48"/>
      <c r="CYV38" s="48"/>
      <c r="CYW38" s="48"/>
      <c r="CYX38" s="48"/>
      <c r="CYY38" s="45"/>
      <c r="CYZ38" s="46"/>
      <c r="CZA38" s="46"/>
      <c r="CZB38" s="47"/>
      <c r="CZC38" s="48"/>
      <c r="CZD38" s="48"/>
      <c r="CZE38" s="48"/>
      <c r="CZF38" s="48"/>
      <c r="CZG38" s="48"/>
      <c r="CZH38" s="48"/>
      <c r="CZI38" s="48"/>
      <c r="CZJ38" s="48"/>
      <c r="CZK38" s="48"/>
      <c r="CZL38" s="48"/>
      <c r="CZM38" s="48"/>
      <c r="CZN38" s="48"/>
      <c r="CZO38" s="48"/>
      <c r="CZP38" s="48"/>
      <c r="CZQ38" s="48"/>
      <c r="CZR38" s="48"/>
      <c r="CZS38" s="48"/>
      <c r="CZT38" s="48"/>
      <c r="CZU38" s="45"/>
      <c r="CZV38" s="46"/>
      <c r="CZW38" s="46"/>
      <c r="CZX38" s="47"/>
      <c r="CZY38" s="48"/>
      <c r="CZZ38" s="48"/>
      <c r="DAA38" s="48"/>
      <c r="DAB38" s="48"/>
      <c r="DAC38" s="48"/>
      <c r="DAD38" s="48"/>
      <c r="DAE38" s="48"/>
      <c r="DAF38" s="48"/>
      <c r="DAG38" s="48"/>
      <c r="DAH38" s="48"/>
      <c r="DAI38" s="48"/>
      <c r="DAJ38" s="48"/>
      <c r="DAK38" s="48"/>
      <c r="DAL38" s="48"/>
      <c r="DAM38" s="48"/>
      <c r="DAN38" s="48"/>
      <c r="DAO38" s="48"/>
      <c r="DAP38" s="48"/>
      <c r="DAQ38" s="45"/>
      <c r="DAR38" s="46"/>
      <c r="DAS38" s="46"/>
      <c r="DAT38" s="47"/>
      <c r="DAU38" s="48"/>
      <c r="DAV38" s="48"/>
      <c r="DAW38" s="48"/>
      <c r="DAX38" s="48"/>
      <c r="DAY38" s="48"/>
      <c r="DAZ38" s="48"/>
      <c r="DBA38" s="48"/>
      <c r="DBB38" s="48"/>
      <c r="DBC38" s="48"/>
      <c r="DBD38" s="48"/>
      <c r="DBE38" s="48"/>
      <c r="DBF38" s="48"/>
      <c r="DBG38" s="48"/>
      <c r="DBH38" s="48"/>
      <c r="DBI38" s="48"/>
      <c r="DBJ38" s="48"/>
      <c r="DBK38" s="48"/>
      <c r="DBL38" s="48"/>
      <c r="DBM38" s="45"/>
      <c r="DBN38" s="46"/>
      <c r="DBO38" s="46"/>
      <c r="DBP38" s="47"/>
      <c r="DBQ38" s="48"/>
      <c r="DBR38" s="48"/>
      <c r="DBS38" s="48"/>
      <c r="DBT38" s="48"/>
      <c r="DBU38" s="48"/>
      <c r="DBV38" s="48"/>
      <c r="DBW38" s="48"/>
      <c r="DBX38" s="48"/>
      <c r="DBY38" s="48"/>
      <c r="DBZ38" s="48"/>
      <c r="DCA38" s="48"/>
      <c r="DCB38" s="48"/>
      <c r="DCC38" s="48"/>
      <c r="DCD38" s="48"/>
      <c r="DCE38" s="48"/>
      <c r="DCF38" s="48"/>
      <c r="DCG38" s="48"/>
      <c r="DCH38" s="48"/>
      <c r="DCI38" s="45"/>
      <c r="DCJ38" s="46"/>
      <c r="DCK38" s="46"/>
      <c r="DCL38" s="47"/>
      <c r="DCM38" s="48"/>
      <c r="DCN38" s="48"/>
      <c r="DCO38" s="48"/>
      <c r="DCP38" s="48"/>
      <c r="DCQ38" s="48"/>
      <c r="DCR38" s="48"/>
      <c r="DCS38" s="48"/>
      <c r="DCT38" s="48"/>
      <c r="DCU38" s="48"/>
      <c r="DCV38" s="48"/>
      <c r="DCW38" s="48"/>
      <c r="DCX38" s="48"/>
      <c r="DCY38" s="48"/>
      <c r="DCZ38" s="48"/>
      <c r="DDA38" s="48"/>
      <c r="DDB38" s="48"/>
      <c r="DDC38" s="48"/>
      <c r="DDD38" s="48"/>
      <c r="DDE38" s="45"/>
      <c r="DDF38" s="46"/>
      <c r="DDG38" s="46"/>
      <c r="DDH38" s="47"/>
      <c r="DDI38" s="48"/>
      <c r="DDJ38" s="48"/>
      <c r="DDK38" s="48"/>
      <c r="DDL38" s="48"/>
      <c r="DDM38" s="48"/>
      <c r="DDN38" s="48"/>
      <c r="DDO38" s="48"/>
      <c r="DDP38" s="48"/>
      <c r="DDQ38" s="48"/>
      <c r="DDR38" s="48"/>
      <c r="DDS38" s="48"/>
      <c r="DDT38" s="48"/>
      <c r="DDU38" s="48"/>
      <c r="DDV38" s="48"/>
      <c r="DDW38" s="48"/>
      <c r="DDX38" s="48"/>
      <c r="DDY38" s="48"/>
      <c r="DDZ38" s="48"/>
      <c r="DEA38" s="45"/>
      <c r="DEB38" s="46"/>
      <c r="DEC38" s="46"/>
      <c r="DED38" s="47"/>
      <c r="DEE38" s="48"/>
      <c r="DEF38" s="48"/>
      <c r="DEG38" s="48"/>
      <c r="DEH38" s="48"/>
      <c r="DEI38" s="48"/>
      <c r="DEJ38" s="48"/>
      <c r="DEK38" s="48"/>
      <c r="DEL38" s="48"/>
      <c r="DEM38" s="48"/>
      <c r="DEN38" s="48"/>
      <c r="DEO38" s="48"/>
      <c r="DEP38" s="48"/>
      <c r="DEQ38" s="48"/>
      <c r="DER38" s="48"/>
      <c r="DES38" s="48"/>
      <c r="DET38" s="48"/>
      <c r="DEU38" s="48"/>
      <c r="DEV38" s="48"/>
      <c r="DEW38" s="45"/>
      <c r="DEX38" s="46"/>
      <c r="DEY38" s="46"/>
      <c r="DEZ38" s="47"/>
      <c r="DFA38" s="48"/>
      <c r="DFB38" s="48"/>
      <c r="DFC38" s="48"/>
      <c r="DFD38" s="48"/>
      <c r="DFE38" s="48"/>
      <c r="DFF38" s="48"/>
      <c r="DFG38" s="48"/>
      <c r="DFH38" s="48"/>
      <c r="DFI38" s="48"/>
      <c r="DFJ38" s="48"/>
      <c r="DFK38" s="48"/>
      <c r="DFL38" s="48"/>
      <c r="DFM38" s="48"/>
      <c r="DFN38" s="48"/>
      <c r="DFO38" s="48"/>
      <c r="DFP38" s="48"/>
      <c r="DFQ38" s="48"/>
      <c r="DFR38" s="48"/>
      <c r="DFS38" s="45"/>
      <c r="DFT38" s="46"/>
      <c r="DFU38" s="46"/>
      <c r="DFV38" s="47"/>
      <c r="DFW38" s="48"/>
      <c r="DFX38" s="48"/>
      <c r="DFY38" s="48"/>
      <c r="DFZ38" s="48"/>
      <c r="DGA38" s="48"/>
      <c r="DGB38" s="48"/>
      <c r="DGC38" s="48"/>
      <c r="DGD38" s="48"/>
      <c r="DGE38" s="48"/>
      <c r="DGF38" s="48"/>
      <c r="DGG38" s="48"/>
      <c r="DGH38" s="48"/>
      <c r="DGI38" s="48"/>
      <c r="DGJ38" s="48"/>
      <c r="DGK38" s="48"/>
      <c r="DGL38" s="48"/>
      <c r="DGM38" s="48"/>
      <c r="DGN38" s="48"/>
      <c r="DGO38" s="45"/>
      <c r="DGP38" s="46"/>
      <c r="DGQ38" s="46"/>
      <c r="DGR38" s="47"/>
      <c r="DGS38" s="48"/>
      <c r="DGT38" s="48"/>
      <c r="DGU38" s="48"/>
      <c r="DGV38" s="48"/>
      <c r="DGW38" s="48"/>
      <c r="DGX38" s="48"/>
      <c r="DGY38" s="48"/>
      <c r="DGZ38" s="48"/>
      <c r="DHA38" s="48"/>
      <c r="DHB38" s="48"/>
      <c r="DHC38" s="48"/>
      <c r="DHD38" s="48"/>
      <c r="DHE38" s="48"/>
      <c r="DHF38" s="48"/>
      <c r="DHG38" s="48"/>
      <c r="DHH38" s="48"/>
      <c r="DHI38" s="48"/>
      <c r="DHJ38" s="48"/>
      <c r="DHK38" s="45"/>
      <c r="DHL38" s="46"/>
      <c r="DHM38" s="46"/>
      <c r="DHN38" s="47"/>
      <c r="DHO38" s="48"/>
      <c r="DHP38" s="48"/>
      <c r="DHQ38" s="48"/>
      <c r="DHR38" s="48"/>
      <c r="DHS38" s="48"/>
      <c r="DHT38" s="48"/>
      <c r="DHU38" s="48"/>
      <c r="DHV38" s="48"/>
      <c r="DHW38" s="48"/>
      <c r="DHX38" s="48"/>
      <c r="DHY38" s="48"/>
      <c r="DHZ38" s="48"/>
      <c r="DIA38" s="48"/>
      <c r="DIB38" s="48"/>
      <c r="DIC38" s="48"/>
      <c r="DID38" s="48"/>
      <c r="DIE38" s="48"/>
      <c r="DIF38" s="48"/>
      <c r="DIG38" s="45"/>
      <c r="DIH38" s="46"/>
      <c r="DII38" s="46"/>
      <c r="DIJ38" s="47"/>
      <c r="DIK38" s="48"/>
      <c r="DIL38" s="48"/>
      <c r="DIM38" s="48"/>
      <c r="DIN38" s="48"/>
      <c r="DIO38" s="48"/>
      <c r="DIP38" s="48"/>
      <c r="DIQ38" s="48"/>
      <c r="DIR38" s="48"/>
      <c r="DIS38" s="48"/>
      <c r="DIT38" s="48"/>
      <c r="DIU38" s="48"/>
      <c r="DIV38" s="48"/>
      <c r="DIW38" s="48"/>
      <c r="DIX38" s="48"/>
      <c r="DIY38" s="48"/>
      <c r="DIZ38" s="48"/>
      <c r="DJA38" s="48"/>
      <c r="DJB38" s="48"/>
      <c r="DJC38" s="45"/>
      <c r="DJD38" s="46"/>
      <c r="DJE38" s="46"/>
      <c r="DJF38" s="47"/>
      <c r="DJG38" s="48"/>
      <c r="DJH38" s="48"/>
      <c r="DJI38" s="48"/>
      <c r="DJJ38" s="48"/>
      <c r="DJK38" s="48"/>
      <c r="DJL38" s="48"/>
      <c r="DJM38" s="48"/>
      <c r="DJN38" s="48"/>
      <c r="DJO38" s="48"/>
      <c r="DJP38" s="48"/>
      <c r="DJQ38" s="48"/>
      <c r="DJR38" s="48"/>
      <c r="DJS38" s="48"/>
      <c r="DJT38" s="48"/>
      <c r="DJU38" s="48"/>
      <c r="DJV38" s="48"/>
      <c r="DJW38" s="48"/>
      <c r="DJX38" s="48"/>
      <c r="DJY38" s="45"/>
      <c r="DJZ38" s="46"/>
      <c r="DKA38" s="46"/>
      <c r="DKB38" s="47"/>
      <c r="DKC38" s="48"/>
      <c r="DKD38" s="48"/>
      <c r="DKE38" s="48"/>
      <c r="DKF38" s="48"/>
      <c r="DKG38" s="48"/>
      <c r="DKH38" s="48"/>
      <c r="DKI38" s="48"/>
      <c r="DKJ38" s="48"/>
      <c r="DKK38" s="48"/>
      <c r="DKL38" s="48"/>
      <c r="DKM38" s="48"/>
      <c r="DKN38" s="48"/>
      <c r="DKO38" s="48"/>
      <c r="DKP38" s="48"/>
      <c r="DKQ38" s="48"/>
      <c r="DKR38" s="48"/>
      <c r="DKS38" s="48"/>
      <c r="DKT38" s="48"/>
      <c r="DKU38" s="45"/>
      <c r="DKV38" s="46"/>
      <c r="DKW38" s="46"/>
      <c r="DKX38" s="47"/>
      <c r="DKY38" s="48"/>
      <c r="DKZ38" s="48"/>
      <c r="DLA38" s="48"/>
      <c r="DLB38" s="48"/>
      <c r="DLC38" s="48"/>
      <c r="DLD38" s="48"/>
      <c r="DLE38" s="48"/>
      <c r="DLF38" s="48"/>
      <c r="DLG38" s="48"/>
      <c r="DLH38" s="48"/>
      <c r="DLI38" s="48"/>
      <c r="DLJ38" s="48"/>
      <c r="DLK38" s="48"/>
      <c r="DLL38" s="48"/>
      <c r="DLM38" s="48"/>
      <c r="DLN38" s="48"/>
      <c r="DLO38" s="48"/>
      <c r="DLP38" s="48"/>
      <c r="DLQ38" s="45"/>
      <c r="DLR38" s="46"/>
      <c r="DLS38" s="46"/>
      <c r="DLT38" s="47"/>
      <c r="DLU38" s="48"/>
      <c r="DLV38" s="48"/>
      <c r="DLW38" s="48"/>
      <c r="DLX38" s="48"/>
      <c r="DLY38" s="48"/>
      <c r="DLZ38" s="48"/>
      <c r="DMA38" s="48"/>
      <c r="DMB38" s="48"/>
      <c r="DMC38" s="48"/>
      <c r="DMD38" s="48"/>
      <c r="DME38" s="48"/>
      <c r="DMF38" s="48"/>
      <c r="DMG38" s="48"/>
      <c r="DMH38" s="48"/>
      <c r="DMI38" s="48"/>
      <c r="DMJ38" s="48"/>
      <c r="DMK38" s="48"/>
      <c r="DML38" s="48"/>
      <c r="DMM38" s="45"/>
      <c r="DMN38" s="46"/>
      <c r="DMO38" s="46"/>
      <c r="DMP38" s="47"/>
      <c r="DMQ38" s="48"/>
      <c r="DMR38" s="48"/>
      <c r="DMS38" s="48"/>
      <c r="DMT38" s="48"/>
      <c r="DMU38" s="48"/>
      <c r="DMV38" s="48"/>
      <c r="DMW38" s="48"/>
      <c r="DMX38" s="48"/>
      <c r="DMY38" s="48"/>
      <c r="DMZ38" s="48"/>
      <c r="DNA38" s="48"/>
      <c r="DNB38" s="48"/>
      <c r="DNC38" s="48"/>
      <c r="DND38" s="48"/>
      <c r="DNE38" s="48"/>
      <c r="DNF38" s="48"/>
      <c r="DNG38" s="48"/>
      <c r="DNH38" s="48"/>
      <c r="DNI38" s="45"/>
      <c r="DNJ38" s="46"/>
      <c r="DNK38" s="46"/>
      <c r="DNL38" s="47"/>
      <c r="DNM38" s="48"/>
      <c r="DNN38" s="48"/>
      <c r="DNO38" s="48"/>
      <c r="DNP38" s="48"/>
      <c r="DNQ38" s="48"/>
      <c r="DNR38" s="48"/>
      <c r="DNS38" s="48"/>
      <c r="DNT38" s="48"/>
      <c r="DNU38" s="48"/>
      <c r="DNV38" s="48"/>
      <c r="DNW38" s="48"/>
      <c r="DNX38" s="48"/>
      <c r="DNY38" s="48"/>
      <c r="DNZ38" s="48"/>
      <c r="DOA38" s="48"/>
      <c r="DOB38" s="48"/>
      <c r="DOC38" s="48"/>
      <c r="DOD38" s="48"/>
      <c r="DOE38" s="45"/>
      <c r="DOF38" s="46"/>
      <c r="DOG38" s="46"/>
      <c r="DOH38" s="47"/>
      <c r="DOI38" s="48"/>
      <c r="DOJ38" s="48"/>
      <c r="DOK38" s="48"/>
      <c r="DOL38" s="48"/>
      <c r="DOM38" s="48"/>
      <c r="DON38" s="48"/>
      <c r="DOO38" s="48"/>
      <c r="DOP38" s="48"/>
      <c r="DOQ38" s="48"/>
      <c r="DOR38" s="48"/>
      <c r="DOS38" s="48"/>
      <c r="DOT38" s="48"/>
      <c r="DOU38" s="48"/>
      <c r="DOV38" s="48"/>
      <c r="DOW38" s="48"/>
      <c r="DOX38" s="48"/>
      <c r="DOY38" s="48"/>
      <c r="DOZ38" s="48"/>
      <c r="DPA38" s="45"/>
      <c r="DPB38" s="46"/>
      <c r="DPC38" s="46"/>
      <c r="DPD38" s="47"/>
      <c r="DPE38" s="48"/>
      <c r="DPF38" s="48"/>
      <c r="DPG38" s="48"/>
      <c r="DPH38" s="48"/>
      <c r="DPI38" s="48"/>
      <c r="DPJ38" s="48"/>
      <c r="DPK38" s="48"/>
      <c r="DPL38" s="48"/>
      <c r="DPM38" s="48"/>
      <c r="DPN38" s="48"/>
      <c r="DPO38" s="48"/>
      <c r="DPP38" s="48"/>
      <c r="DPQ38" s="48"/>
      <c r="DPR38" s="48"/>
      <c r="DPS38" s="48"/>
      <c r="DPT38" s="48"/>
      <c r="DPU38" s="48"/>
      <c r="DPV38" s="48"/>
      <c r="DPW38" s="45"/>
      <c r="DPX38" s="46"/>
      <c r="DPY38" s="46"/>
      <c r="DPZ38" s="47"/>
      <c r="DQA38" s="48"/>
      <c r="DQB38" s="48"/>
      <c r="DQC38" s="48"/>
      <c r="DQD38" s="48"/>
      <c r="DQE38" s="48"/>
      <c r="DQF38" s="48"/>
      <c r="DQG38" s="48"/>
      <c r="DQH38" s="48"/>
      <c r="DQI38" s="48"/>
      <c r="DQJ38" s="48"/>
      <c r="DQK38" s="48"/>
      <c r="DQL38" s="48"/>
      <c r="DQM38" s="48"/>
      <c r="DQN38" s="48"/>
      <c r="DQO38" s="48"/>
      <c r="DQP38" s="48"/>
      <c r="DQQ38" s="48"/>
      <c r="DQR38" s="48"/>
      <c r="DQS38" s="45"/>
      <c r="DQT38" s="46"/>
      <c r="DQU38" s="46"/>
      <c r="DQV38" s="47"/>
      <c r="DQW38" s="48"/>
      <c r="DQX38" s="48"/>
      <c r="DQY38" s="48"/>
      <c r="DQZ38" s="48"/>
      <c r="DRA38" s="48"/>
      <c r="DRB38" s="48"/>
      <c r="DRC38" s="48"/>
      <c r="DRD38" s="48"/>
      <c r="DRE38" s="48"/>
      <c r="DRF38" s="48"/>
      <c r="DRG38" s="48"/>
      <c r="DRH38" s="48"/>
      <c r="DRI38" s="48"/>
      <c r="DRJ38" s="48"/>
      <c r="DRK38" s="48"/>
      <c r="DRL38" s="48"/>
      <c r="DRM38" s="48"/>
      <c r="DRN38" s="48"/>
      <c r="DRO38" s="45"/>
      <c r="DRP38" s="46"/>
      <c r="DRQ38" s="46"/>
      <c r="DRR38" s="47"/>
      <c r="DRS38" s="48"/>
      <c r="DRT38" s="48"/>
      <c r="DRU38" s="48"/>
      <c r="DRV38" s="48"/>
      <c r="DRW38" s="48"/>
      <c r="DRX38" s="48"/>
      <c r="DRY38" s="48"/>
      <c r="DRZ38" s="48"/>
      <c r="DSA38" s="48"/>
      <c r="DSB38" s="48"/>
      <c r="DSC38" s="48"/>
      <c r="DSD38" s="48"/>
      <c r="DSE38" s="48"/>
      <c r="DSF38" s="48"/>
      <c r="DSG38" s="48"/>
      <c r="DSH38" s="48"/>
      <c r="DSI38" s="48"/>
      <c r="DSJ38" s="48"/>
      <c r="DSK38" s="45"/>
      <c r="DSL38" s="46"/>
      <c r="DSM38" s="46"/>
      <c r="DSN38" s="47"/>
      <c r="DSO38" s="48"/>
      <c r="DSP38" s="48"/>
      <c r="DSQ38" s="48"/>
      <c r="DSR38" s="48"/>
      <c r="DSS38" s="48"/>
      <c r="DST38" s="48"/>
      <c r="DSU38" s="48"/>
      <c r="DSV38" s="48"/>
      <c r="DSW38" s="48"/>
      <c r="DSX38" s="48"/>
      <c r="DSY38" s="48"/>
      <c r="DSZ38" s="48"/>
      <c r="DTA38" s="48"/>
      <c r="DTB38" s="48"/>
      <c r="DTC38" s="48"/>
      <c r="DTD38" s="48"/>
      <c r="DTE38" s="48"/>
      <c r="DTF38" s="48"/>
      <c r="DTG38" s="45"/>
      <c r="DTH38" s="46"/>
      <c r="DTI38" s="46"/>
      <c r="DTJ38" s="47"/>
      <c r="DTK38" s="48"/>
      <c r="DTL38" s="48"/>
      <c r="DTM38" s="48"/>
      <c r="DTN38" s="48"/>
      <c r="DTO38" s="48"/>
      <c r="DTP38" s="48"/>
      <c r="DTQ38" s="48"/>
      <c r="DTR38" s="48"/>
      <c r="DTS38" s="48"/>
      <c r="DTT38" s="48"/>
      <c r="DTU38" s="48"/>
      <c r="DTV38" s="48"/>
      <c r="DTW38" s="48"/>
      <c r="DTX38" s="48"/>
      <c r="DTY38" s="48"/>
      <c r="DTZ38" s="48"/>
      <c r="DUA38" s="48"/>
      <c r="DUB38" s="48"/>
      <c r="DUC38" s="45"/>
      <c r="DUD38" s="46"/>
      <c r="DUE38" s="46"/>
      <c r="DUF38" s="47"/>
      <c r="DUG38" s="48"/>
      <c r="DUH38" s="48"/>
      <c r="DUI38" s="48"/>
      <c r="DUJ38" s="48"/>
      <c r="DUK38" s="48"/>
      <c r="DUL38" s="48"/>
      <c r="DUM38" s="48"/>
      <c r="DUN38" s="48"/>
      <c r="DUO38" s="48"/>
      <c r="DUP38" s="48"/>
      <c r="DUQ38" s="48"/>
      <c r="DUR38" s="48"/>
      <c r="DUS38" s="48"/>
      <c r="DUT38" s="48"/>
      <c r="DUU38" s="48"/>
      <c r="DUV38" s="48"/>
      <c r="DUW38" s="48"/>
      <c r="DUX38" s="48"/>
      <c r="DUY38" s="45"/>
      <c r="DUZ38" s="46"/>
      <c r="DVA38" s="46"/>
      <c r="DVB38" s="47"/>
      <c r="DVC38" s="48"/>
      <c r="DVD38" s="48"/>
      <c r="DVE38" s="48"/>
      <c r="DVF38" s="48"/>
      <c r="DVG38" s="48"/>
      <c r="DVH38" s="48"/>
      <c r="DVI38" s="48"/>
      <c r="DVJ38" s="48"/>
      <c r="DVK38" s="48"/>
      <c r="DVL38" s="48"/>
      <c r="DVM38" s="48"/>
      <c r="DVN38" s="48"/>
      <c r="DVO38" s="48"/>
      <c r="DVP38" s="48"/>
      <c r="DVQ38" s="48"/>
      <c r="DVR38" s="48"/>
      <c r="DVS38" s="48"/>
      <c r="DVT38" s="48"/>
      <c r="DVU38" s="45"/>
      <c r="DVV38" s="46"/>
      <c r="DVW38" s="46"/>
      <c r="DVX38" s="47"/>
      <c r="DVY38" s="48"/>
      <c r="DVZ38" s="48"/>
      <c r="DWA38" s="48"/>
      <c r="DWB38" s="48"/>
      <c r="DWC38" s="48"/>
      <c r="DWD38" s="48"/>
      <c r="DWE38" s="48"/>
      <c r="DWF38" s="48"/>
      <c r="DWG38" s="48"/>
      <c r="DWH38" s="48"/>
      <c r="DWI38" s="48"/>
      <c r="DWJ38" s="48"/>
      <c r="DWK38" s="48"/>
      <c r="DWL38" s="48"/>
      <c r="DWM38" s="48"/>
      <c r="DWN38" s="48"/>
      <c r="DWO38" s="48"/>
      <c r="DWP38" s="48"/>
      <c r="DWQ38" s="45"/>
      <c r="DWR38" s="46"/>
      <c r="DWS38" s="46"/>
      <c r="DWT38" s="47"/>
      <c r="DWU38" s="48"/>
      <c r="DWV38" s="48"/>
      <c r="DWW38" s="48"/>
      <c r="DWX38" s="48"/>
      <c r="DWY38" s="48"/>
      <c r="DWZ38" s="48"/>
      <c r="DXA38" s="48"/>
      <c r="DXB38" s="48"/>
      <c r="DXC38" s="48"/>
      <c r="DXD38" s="48"/>
      <c r="DXE38" s="48"/>
      <c r="DXF38" s="48"/>
      <c r="DXG38" s="48"/>
      <c r="DXH38" s="48"/>
      <c r="DXI38" s="48"/>
      <c r="DXJ38" s="48"/>
      <c r="DXK38" s="48"/>
      <c r="DXL38" s="48"/>
      <c r="DXM38" s="45"/>
      <c r="DXN38" s="46"/>
      <c r="DXO38" s="46"/>
      <c r="DXP38" s="47"/>
      <c r="DXQ38" s="48"/>
      <c r="DXR38" s="48"/>
      <c r="DXS38" s="48"/>
      <c r="DXT38" s="48"/>
      <c r="DXU38" s="48"/>
      <c r="DXV38" s="48"/>
      <c r="DXW38" s="48"/>
      <c r="DXX38" s="48"/>
      <c r="DXY38" s="48"/>
      <c r="DXZ38" s="48"/>
      <c r="DYA38" s="48"/>
      <c r="DYB38" s="48"/>
      <c r="DYC38" s="48"/>
      <c r="DYD38" s="48"/>
      <c r="DYE38" s="48"/>
      <c r="DYF38" s="48"/>
      <c r="DYG38" s="48"/>
      <c r="DYH38" s="48"/>
      <c r="DYI38" s="45"/>
      <c r="DYJ38" s="46"/>
      <c r="DYK38" s="46"/>
      <c r="DYL38" s="47"/>
      <c r="DYM38" s="48"/>
      <c r="DYN38" s="48"/>
      <c r="DYO38" s="48"/>
      <c r="DYP38" s="48"/>
      <c r="DYQ38" s="48"/>
      <c r="DYR38" s="48"/>
      <c r="DYS38" s="48"/>
      <c r="DYT38" s="48"/>
      <c r="DYU38" s="48"/>
      <c r="DYV38" s="48"/>
      <c r="DYW38" s="48"/>
      <c r="DYX38" s="48"/>
      <c r="DYY38" s="48"/>
      <c r="DYZ38" s="48"/>
      <c r="DZA38" s="48"/>
      <c r="DZB38" s="48"/>
      <c r="DZC38" s="48"/>
      <c r="DZD38" s="48"/>
      <c r="DZE38" s="45"/>
      <c r="DZF38" s="46"/>
      <c r="DZG38" s="46"/>
      <c r="DZH38" s="47"/>
      <c r="DZI38" s="48"/>
      <c r="DZJ38" s="48"/>
      <c r="DZK38" s="48"/>
      <c r="DZL38" s="48"/>
      <c r="DZM38" s="48"/>
      <c r="DZN38" s="48"/>
      <c r="DZO38" s="48"/>
      <c r="DZP38" s="48"/>
      <c r="DZQ38" s="48"/>
      <c r="DZR38" s="48"/>
      <c r="DZS38" s="48"/>
      <c r="DZT38" s="48"/>
      <c r="DZU38" s="48"/>
      <c r="DZV38" s="48"/>
      <c r="DZW38" s="48"/>
      <c r="DZX38" s="48"/>
      <c r="DZY38" s="48"/>
      <c r="DZZ38" s="48"/>
      <c r="EAA38" s="45"/>
      <c r="EAB38" s="46"/>
      <c r="EAC38" s="46"/>
      <c r="EAD38" s="47"/>
      <c r="EAE38" s="48"/>
      <c r="EAF38" s="48"/>
      <c r="EAG38" s="48"/>
      <c r="EAH38" s="48"/>
      <c r="EAI38" s="48"/>
      <c r="EAJ38" s="48"/>
      <c r="EAK38" s="48"/>
      <c r="EAL38" s="48"/>
      <c r="EAM38" s="48"/>
      <c r="EAN38" s="48"/>
      <c r="EAO38" s="48"/>
      <c r="EAP38" s="48"/>
      <c r="EAQ38" s="48"/>
      <c r="EAR38" s="48"/>
      <c r="EAS38" s="48"/>
      <c r="EAT38" s="48"/>
      <c r="EAU38" s="48"/>
      <c r="EAV38" s="48"/>
      <c r="EAW38" s="45"/>
      <c r="EAX38" s="46"/>
      <c r="EAY38" s="46"/>
      <c r="EAZ38" s="47"/>
      <c r="EBA38" s="48"/>
      <c r="EBB38" s="48"/>
      <c r="EBC38" s="48"/>
      <c r="EBD38" s="48"/>
      <c r="EBE38" s="48"/>
      <c r="EBF38" s="48"/>
      <c r="EBG38" s="48"/>
      <c r="EBH38" s="48"/>
      <c r="EBI38" s="48"/>
      <c r="EBJ38" s="48"/>
      <c r="EBK38" s="48"/>
      <c r="EBL38" s="48"/>
      <c r="EBM38" s="48"/>
      <c r="EBN38" s="48"/>
      <c r="EBO38" s="48"/>
      <c r="EBP38" s="48"/>
      <c r="EBQ38" s="48"/>
      <c r="EBR38" s="48"/>
      <c r="EBS38" s="45"/>
      <c r="EBT38" s="46"/>
      <c r="EBU38" s="46"/>
      <c r="EBV38" s="47"/>
      <c r="EBW38" s="48"/>
      <c r="EBX38" s="48"/>
      <c r="EBY38" s="48"/>
      <c r="EBZ38" s="48"/>
      <c r="ECA38" s="48"/>
      <c r="ECB38" s="48"/>
      <c r="ECC38" s="48"/>
      <c r="ECD38" s="48"/>
      <c r="ECE38" s="48"/>
      <c r="ECF38" s="48"/>
      <c r="ECG38" s="48"/>
      <c r="ECH38" s="48"/>
      <c r="ECI38" s="48"/>
      <c r="ECJ38" s="48"/>
      <c r="ECK38" s="48"/>
      <c r="ECL38" s="48"/>
      <c r="ECM38" s="48"/>
      <c r="ECN38" s="48"/>
      <c r="ECO38" s="45"/>
      <c r="ECP38" s="46"/>
      <c r="ECQ38" s="46"/>
      <c r="ECR38" s="47"/>
      <c r="ECS38" s="48"/>
      <c r="ECT38" s="48"/>
      <c r="ECU38" s="48"/>
      <c r="ECV38" s="48"/>
      <c r="ECW38" s="48"/>
      <c r="ECX38" s="48"/>
      <c r="ECY38" s="48"/>
      <c r="ECZ38" s="48"/>
      <c r="EDA38" s="48"/>
      <c r="EDB38" s="48"/>
      <c r="EDC38" s="48"/>
      <c r="EDD38" s="48"/>
      <c r="EDE38" s="48"/>
      <c r="EDF38" s="48"/>
      <c r="EDG38" s="48"/>
      <c r="EDH38" s="48"/>
      <c r="EDI38" s="48"/>
      <c r="EDJ38" s="48"/>
      <c r="EDK38" s="45"/>
      <c r="EDL38" s="46"/>
      <c r="EDM38" s="46"/>
      <c r="EDN38" s="47"/>
      <c r="EDO38" s="48"/>
      <c r="EDP38" s="48"/>
      <c r="EDQ38" s="48"/>
      <c r="EDR38" s="48"/>
      <c r="EDS38" s="48"/>
      <c r="EDT38" s="48"/>
      <c r="EDU38" s="48"/>
      <c r="EDV38" s="48"/>
      <c r="EDW38" s="48"/>
      <c r="EDX38" s="48"/>
      <c r="EDY38" s="48"/>
      <c r="EDZ38" s="48"/>
      <c r="EEA38" s="48"/>
      <c r="EEB38" s="48"/>
      <c r="EEC38" s="48"/>
      <c r="EED38" s="48"/>
      <c r="EEE38" s="48"/>
      <c r="EEF38" s="48"/>
      <c r="EEG38" s="45"/>
      <c r="EEH38" s="46"/>
      <c r="EEI38" s="46"/>
      <c r="EEJ38" s="47"/>
      <c r="EEK38" s="48"/>
      <c r="EEL38" s="48"/>
      <c r="EEM38" s="48"/>
      <c r="EEN38" s="48"/>
      <c r="EEO38" s="48"/>
      <c r="EEP38" s="48"/>
      <c r="EEQ38" s="48"/>
      <c r="EER38" s="48"/>
      <c r="EES38" s="48"/>
      <c r="EET38" s="48"/>
      <c r="EEU38" s="48"/>
      <c r="EEV38" s="48"/>
      <c r="EEW38" s="48"/>
      <c r="EEX38" s="48"/>
      <c r="EEY38" s="48"/>
      <c r="EEZ38" s="48"/>
      <c r="EFA38" s="48"/>
      <c r="EFB38" s="48"/>
      <c r="EFC38" s="45"/>
      <c r="EFD38" s="46"/>
      <c r="EFE38" s="46"/>
      <c r="EFF38" s="47"/>
      <c r="EFG38" s="48"/>
      <c r="EFH38" s="48"/>
      <c r="EFI38" s="48"/>
      <c r="EFJ38" s="48"/>
      <c r="EFK38" s="48"/>
      <c r="EFL38" s="48"/>
      <c r="EFM38" s="48"/>
      <c r="EFN38" s="48"/>
      <c r="EFO38" s="48"/>
      <c r="EFP38" s="48"/>
      <c r="EFQ38" s="48"/>
      <c r="EFR38" s="48"/>
      <c r="EFS38" s="48"/>
      <c r="EFT38" s="48"/>
      <c r="EFU38" s="48"/>
      <c r="EFV38" s="48"/>
      <c r="EFW38" s="48"/>
      <c r="EFX38" s="48"/>
      <c r="EFY38" s="45"/>
      <c r="EFZ38" s="46"/>
      <c r="EGA38" s="46"/>
      <c r="EGB38" s="47"/>
      <c r="EGC38" s="48"/>
      <c r="EGD38" s="48"/>
      <c r="EGE38" s="48"/>
      <c r="EGF38" s="48"/>
      <c r="EGG38" s="48"/>
      <c r="EGH38" s="48"/>
      <c r="EGI38" s="48"/>
      <c r="EGJ38" s="48"/>
      <c r="EGK38" s="48"/>
      <c r="EGL38" s="48"/>
      <c r="EGM38" s="48"/>
      <c r="EGN38" s="48"/>
      <c r="EGO38" s="48"/>
      <c r="EGP38" s="48"/>
      <c r="EGQ38" s="48"/>
      <c r="EGR38" s="48"/>
      <c r="EGS38" s="48"/>
      <c r="EGT38" s="48"/>
      <c r="EGU38" s="45"/>
      <c r="EGV38" s="46"/>
      <c r="EGW38" s="46"/>
      <c r="EGX38" s="47"/>
      <c r="EGY38" s="48"/>
      <c r="EGZ38" s="48"/>
      <c r="EHA38" s="48"/>
      <c r="EHB38" s="48"/>
      <c r="EHC38" s="48"/>
      <c r="EHD38" s="48"/>
      <c r="EHE38" s="48"/>
      <c r="EHF38" s="48"/>
      <c r="EHG38" s="48"/>
      <c r="EHH38" s="48"/>
      <c r="EHI38" s="48"/>
      <c r="EHJ38" s="48"/>
      <c r="EHK38" s="48"/>
      <c r="EHL38" s="48"/>
      <c r="EHM38" s="48"/>
      <c r="EHN38" s="48"/>
      <c r="EHO38" s="48"/>
      <c r="EHP38" s="48"/>
      <c r="EHQ38" s="45"/>
      <c r="EHR38" s="46"/>
      <c r="EHS38" s="46"/>
      <c r="EHT38" s="47"/>
      <c r="EHU38" s="48"/>
      <c r="EHV38" s="48"/>
      <c r="EHW38" s="48"/>
      <c r="EHX38" s="48"/>
      <c r="EHY38" s="48"/>
      <c r="EHZ38" s="48"/>
      <c r="EIA38" s="48"/>
      <c r="EIB38" s="48"/>
      <c r="EIC38" s="48"/>
      <c r="EID38" s="48"/>
      <c r="EIE38" s="48"/>
      <c r="EIF38" s="48"/>
      <c r="EIG38" s="48"/>
      <c r="EIH38" s="48"/>
      <c r="EII38" s="48"/>
      <c r="EIJ38" s="48"/>
      <c r="EIK38" s="48"/>
      <c r="EIL38" s="48"/>
      <c r="EIM38" s="45"/>
      <c r="EIN38" s="46"/>
      <c r="EIO38" s="46"/>
      <c r="EIP38" s="47"/>
      <c r="EIQ38" s="48"/>
      <c r="EIR38" s="48"/>
      <c r="EIS38" s="48"/>
      <c r="EIT38" s="48"/>
      <c r="EIU38" s="48"/>
      <c r="EIV38" s="48"/>
      <c r="EIW38" s="48"/>
      <c r="EIX38" s="48"/>
      <c r="EIY38" s="48"/>
      <c r="EIZ38" s="48"/>
      <c r="EJA38" s="48"/>
      <c r="EJB38" s="48"/>
      <c r="EJC38" s="48"/>
      <c r="EJD38" s="48"/>
      <c r="EJE38" s="48"/>
      <c r="EJF38" s="48"/>
      <c r="EJG38" s="48"/>
      <c r="EJH38" s="48"/>
      <c r="EJI38" s="45"/>
      <c r="EJJ38" s="46"/>
      <c r="EJK38" s="46"/>
      <c r="EJL38" s="47"/>
      <c r="EJM38" s="48"/>
      <c r="EJN38" s="48"/>
      <c r="EJO38" s="48"/>
      <c r="EJP38" s="48"/>
      <c r="EJQ38" s="48"/>
      <c r="EJR38" s="48"/>
      <c r="EJS38" s="48"/>
      <c r="EJT38" s="48"/>
      <c r="EJU38" s="48"/>
      <c r="EJV38" s="48"/>
      <c r="EJW38" s="48"/>
      <c r="EJX38" s="48"/>
      <c r="EJY38" s="48"/>
      <c r="EJZ38" s="48"/>
      <c r="EKA38" s="48"/>
      <c r="EKB38" s="48"/>
      <c r="EKC38" s="48"/>
      <c r="EKD38" s="48"/>
      <c r="EKE38" s="45"/>
      <c r="EKF38" s="46"/>
      <c r="EKG38" s="46"/>
      <c r="EKH38" s="47"/>
      <c r="EKI38" s="48"/>
      <c r="EKJ38" s="48"/>
      <c r="EKK38" s="48"/>
      <c r="EKL38" s="48"/>
      <c r="EKM38" s="48"/>
      <c r="EKN38" s="48"/>
      <c r="EKO38" s="48"/>
      <c r="EKP38" s="48"/>
      <c r="EKQ38" s="48"/>
      <c r="EKR38" s="48"/>
      <c r="EKS38" s="48"/>
      <c r="EKT38" s="48"/>
      <c r="EKU38" s="48"/>
      <c r="EKV38" s="48"/>
      <c r="EKW38" s="48"/>
      <c r="EKX38" s="48"/>
      <c r="EKY38" s="48"/>
      <c r="EKZ38" s="48"/>
      <c r="ELA38" s="45"/>
      <c r="ELB38" s="46"/>
      <c r="ELC38" s="46"/>
      <c r="ELD38" s="47"/>
      <c r="ELE38" s="48"/>
      <c r="ELF38" s="48"/>
      <c r="ELG38" s="48"/>
      <c r="ELH38" s="48"/>
      <c r="ELI38" s="48"/>
      <c r="ELJ38" s="48"/>
      <c r="ELK38" s="48"/>
      <c r="ELL38" s="48"/>
      <c r="ELM38" s="48"/>
      <c r="ELN38" s="48"/>
      <c r="ELO38" s="48"/>
      <c r="ELP38" s="48"/>
      <c r="ELQ38" s="48"/>
      <c r="ELR38" s="48"/>
      <c r="ELS38" s="48"/>
      <c r="ELT38" s="48"/>
      <c r="ELU38" s="48"/>
      <c r="ELV38" s="48"/>
      <c r="ELW38" s="45"/>
      <c r="ELX38" s="46"/>
      <c r="ELY38" s="46"/>
      <c r="ELZ38" s="47"/>
      <c r="EMA38" s="48"/>
      <c r="EMB38" s="48"/>
      <c r="EMC38" s="48"/>
      <c r="EMD38" s="48"/>
      <c r="EME38" s="48"/>
      <c r="EMF38" s="48"/>
      <c r="EMG38" s="48"/>
      <c r="EMH38" s="48"/>
      <c r="EMI38" s="48"/>
      <c r="EMJ38" s="48"/>
      <c r="EMK38" s="48"/>
      <c r="EML38" s="48"/>
      <c r="EMM38" s="48"/>
      <c r="EMN38" s="48"/>
      <c r="EMO38" s="48"/>
      <c r="EMP38" s="48"/>
      <c r="EMQ38" s="48"/>
      <c r="EMR38" s="48"/>
      <c r="EMS38" s="45"/>
      <c r="EMT38" s="46"/>
      <c r="EMU38" s="46"/>
      <c r="EMV38" s="47"/>
      <c r="EMW38" s="48"/>
      <c r="EMX38" s="48"/>
      <c r="EMY38" s="48"/>
      <c r="EMZ38" s="48"/>
      <c r="ENA38" s="48"/>
      <c r="ENB38" s="48"/>
      <c r="ENC38" s="48"/>
      <c r="END38" s="48"/>
      <c r="ENE38" s="48"/>
      <c r="ENF38" s="48"/>
      <c r="ENG38" s="48"/>
      <c r="ENH38" s="48"/>
      <c r="ENI38" s="48"/>
      <c r="ENJ38" s="48"/>
      <c r="ENK38" s="48"/>
      <c r="ENL38" s="48"/>
      <c r="ENM38" s="48"/>
      <c r="ENN38" s="48"/>
      <c r="ENO38" s="45"/>
      <c r="ENP38" s="46"/>
      <c r="ENQ38" s="46"/>
      <c r="ENR38" s="47"/>
      <c r="ENS38" s="48"/>
      <c r="ENT38" s="48"/>
      <c r="ENU38" s="48"/>
      <c r="ENV38" s="48"/>
      <c r="ENW38" s="48"/>
      <c r="ENX38" s="48"/>
      <c r="ENY38" s="48"/>
      <c r="ENZ38" s="48"/>
      <c r="EOA38" s="48"/>
      <c r="EOB38" s="48"/>
      <c r="EOC38" s="48"/>
      <c r="EOD38" s="48"/>
      <c r="EOE38" s="48"/>
      <c r="EOF38" s="48"/>
      <c r="EOG38" s="48"/>
      <c r="EOH38" s="48"/>
      <c r="EOI38" s="48"/>
      <c r="EOJ38" s="48"/>
      <c r="EOK38" s="45"/>
      <c r="EOL38" s="46"/>
      <c r="EOM38" s="46"/>
      <c r="EON38" s="47"/>
      <c r="EOO38" s="48"/>
      <c r="EOP38" s="48"/>
      <c r="EOQ38" s="48"/>
      <c r="EOR38" s="48"/>
      <c r="EOS38" s="48"/>
      <c r="EOT38" s="48"/>
      <c r="EOU38" s="48"/>
      <c r="EOV38" s="48"/>
      <c r="EOW38" s="48"/>
      <c r="EOX38" s="48"/>
      <c r="EOY38" s="48"/>
      <c r="EOZ38" s="48"/>
      <c r="EPA38" s="48"/>
      <c r="EPB38" s="48"/>
      <c r="EPC38" s="48"/>
      <c r="EPD38" s="48"/>
      <c r="EPE38" s="48"/>
      <c r="EPF38" s="48"/>
      <c r="EPG38" s="45"/>
      <c r="EPH38" s="46"/>
      <c r="EPI38" s="46"/>
      <c r="EPJ38" s="47"/>
      <c r="EPK38" s="48"/>
      <c r="EPL38" s="48"/>
      <c r="EPM38" s="48"/>
      <c r="EPN38" s="48"/>
      <c r="EPO38" s="48"/>
      <c r="EPP38" s="48"/>
      <c r="EPQ38" s="48"/>
      <c r="EPR38" s="48"/>
      <c r="EPS38" s="48"/>
      <c r="EPT38" s="48"/>
      <c r="EPU38" s="48"/>
      <c r="EPV38" s="48"/>
      <c r="EPW38" s="48"/>
      <c r="EPX38" s="48"/>
      <c r="EPY38" s="48"/>
      <c r="EPZ38" s="48"/>
      <c r="EQA38" s="48"/>
      <c r="EQB38" s="48"/>
      <c r="EQC38" s="45"/>
      <c r="EQD38" s="46"/>
      <c r="EQE38" s="46"/>
      <c r="EQF38" s="47"/>
      <c r="EQG38" s="48"/>
      <c r="EQH38" s="48"/>
      <c r="EQI38" s="48"/>
      <c r="EQJ38" s="48"/>
      <c r="EQK38" s="48"/>
      <c r="EQL38" s="48"/>
      <c r="EQM38" s="48"/>
      <c r="EQN38" s="48"/>
      <c r="EQO38" s="48"/>
      <c r="EQP38" s="48"/>
      <c r="EQQ38" s="48"/>
      <c r="EQR38" s="48"/>
      <c r="EQS38" s="48"/>
      <c r="EQT38" s="48"/>
      <c r="EQU38" s="48"/>
      <c r="EQV38" s="48"/>
      <c r="EQW38" s="48"/>
      <c r="EQX38" s="48"/>
      <c r="EQY38" s="45"/>
      <c r="EQZ38" s="46"/>
      <c r="ERA38" s="46"/>
      <c r="ERB38" s="47"/>
      <c r="ERC38" s="48"/>
      <c r="ERD38" s="48"/>
      <c r="ERE38" s="48"/>
      <c r="ERF38" s="48"/>
      <c r="ERG38" s="48"/>
      <c r="ERH38" s="48"/>
      <c r="ERI38" s="48"/>
      <c r="ERJ38" s="48"/>
      <c r="ERK38" s="48"/>
      <c r="ERL38" s="48"/>
      <c r="ERM38" s="48"/>
      <c r="ERN38" s="48"/>
      <c r="ERO38" s="48"/>
      <c r="ERP38" s="48"/>
      <c r="ERQ38" s="48"/>
      <c r="ERR38" s="48"/>
      <c r="ERS38" s="48"/>
      <c r="ERT38" s="48"/>
      <c r="ERU38" s="45"/>
      <c r="ERV38" s="46"/>
      <c r="ERW38" s="46"/>
      <c r="ERX38" s="47"/>
      <c r="ERY38" s="48"/>
      <c r="ERZ38" s="48"/>
      <c r="ESA38" s="48"/>
      <c r="ESB38" s="48"/>
      <c r="ESC38" s="48"/>
      <c r="ESD38" s="48"/>
      <c r="ESE38" s="48"/>
      <c r="ESF38" s="48"/>
      <c r="ESG38" s="48"/>
      <c r="ESH38" s="48"/>
      <c r="ESI38" s="48"/>
      <c r="ESJ38" s="48"/>
      <c r="ESK38" s="48"/>
      <c r="ESL38" s="48"/>
      <c r="ESM38" s="48"/>
      <c r="ESN38" s="48"/>
      <c r="ESO38" s="48"/>
      <c r="ESP38" s="48"/>
      <c r="ESQ38" s="45"/>
      <c r="ESR38" s="46"/>
      <c r="ESS38" s="46"/>
      <c r="EST38" s="47"/>
      <c r="ESU38" s="48"/>
      <c r="ESV38" s="48"/>
      <c r="ESW38" s="48"/>
      <c r="ESX38" s="48"/>
      <c r="ESY38" s="48"/>
      <c r="ESZ38" s="48"/>
      <c r="ETA38" s="48"/>
      <c r="ETB38" s="48"/>
      <c r="ETC38" s="48"/>
      <c r="ETD38" s="48"/>
      <c r="ETE38" s="48"/>
      <c r="ETF38" s="48"/>
      <c r="ETG38" s="48"/>
      <c r="ETH38" s="48"/>
      <c r="ETI38" s="48"/>
      <c r="ETJ38" s="48"/>
      <c r="ETK38" s="48"/>
      <c r="ETL38" s="48"/>
      <c r="ETM38" s="45"/>
      <c r="ETN38" s="46"/>
      <c r="ETO38" s="46"/>
      <c r="ETP38" s="47"/>
      <c r="ETQ38" s="48"/>
      <c r="ETR38" s="48"/>
      <c r="ETS38" s="48"/>
      <c r="ETT38" s="48"/>
      <c r="ETU38" s="48"/>
      <c r="ETV38" s="48"/>
      <c r="ETW38" s="48"/>
      <c r="ETX38" s="48"/>
      <c r="ETY38" s="48"/>
      <c r="ETZ38" s="48"/>
      <c r="EUA38" s="48"/>
      <c r="EUB38" s="48"/>
      <c r="EUC38" s="48"/>
      <c r="EUD38" s="48"/>
      <c r="EUE38" s="48"/>
      <c r="EUF38" s="48"/>
      <c r="EUG38" s="48"/>
      <c r="EUH38" s="48"/>
      <c r="EUI38" s="45"/>
      <c r="EUJ38" s="46"/>
      <c r="EUK38" s="46"/>
      <c r="EUL38" s="47"/>
      <c r="EUM38" s="48"/>
      <c r="EUN38" s="48"/>
      <c r="EUO38" s="48"/>
      <c r="EUP38" s="48"/>
      <c r="EUQ38" s="48"/>
      <c r="EUR38" s="48"/>
      <c r="EUS38" s="48"/>
      <c r="EUT38" s="48"/>
      <c r="EUU38" s="48"/>
      <c r="EUV38" s="48"/>
      <c r="EUW38" s="48"/>
      <c r="EUX38" s="48"/>
      <c r="EUY38" s="48"/>
      <c r="EUZ38" s="48"/>
      <c r="EVA38" s="48"/>
      <c r="EVB38" s="48"/>
      <c r="EVC38" s="48"/>
      <c r="EVD38" s="48"/>
      <c r="EVE38" s="45"/>
      <c r="EVF38" s="46"/>
      <c r="EVG38" s="46"/>
      <c r="EVH38" s="47"/>
      <c r="EVI38" s="48"/>
      <c r="EVJ38" s="48"/>
      <c r="EVK38" s="48"/>
      <c r="EVL38" s="48"/>
      <c r="EVM38" s="48"/>
      <c r="EVN38" s="48"/>
      <c r="EVO38" s="48"/>
      <c r="EVP38" s="48"/>
      <c r="EVQ38" s="48"/>
      <c r="EVR38" s="48"/>
      <c r="EVS38" s="48"/>
      <c r="EVT38" s="48"/>
      <c r="EVU38" s="48"/>
      <c r="EVV38" s="48"/>
      <c r="EVW38" s="48"/>
      <c r="EVX38" s="48"/>
      <c r="EVY38" s="48"/>
      <c r="EVZ38" s="48"/>
      <c r="EWA38" s="45"/>
      <c r="EWB38" s="46"/>
      <c r="EWC38" s="46"/>
      <c r="EWD38" s="47"/>
      <c r="EWE38" s="48"/>
      <c r="EWF38" s="48"/>
      <c r="EWG38" s="48"/>
      <c r="EWH38" s="48"/>
      <c r="EWI38" s="48"/>
      <c r="EWJ38" s="48"/>
      <c r="EWK38" s="48"/>
      <c r="EWL38" s="48"/>
      <c r="EWM38" s="48"/>
      <c r="EWN38" s="48"/>
      <c r="EWO38" s="48"/>
      <c r="EWP38" s="48"/>
      <c r="EWQ38" s="48"/>
      <c r="EWR38" s="48"/>
      <c r="EWS38" s="48"/>
      <c r="EWT38" s="48"/>
      <c r="EWU38" s="48"/>
      <c r="EWV38" s="48"/>
      <c r="EWW38" s="45"/>
      <c r="EWX38" s="46"/>
      <c r="EWY38" s="46"/>
      <c r="EWZ38" s="47"/>
      <c r="EXA38" s="48"/>
      <c r="EXB38" s="48"/>
      <c r="EXC38" s="48"/>
      <c r="EXD38" s="48"/>
      <c r="EXE38" s="48"/>
      <c r="EXF38" s="48"/>
      <c r="EXG38" s="48"/>
      <c r="EXH38" s="48"/>
      <c r="EXI38" s="48"/>
      <c r="EXJ38" s="48"/>
      <c r="EXK38" s="48"/>
      <c r="EXL38" s="48"/>
      <c r="EXM38" s="48"/>
      <c r="EXN38" s="48"/>
      <c r="EXO38" s="48"/>
      <c r="EXP38" s="48"/>
      <c r="EXQ38" s="48"/>
      <c r="EXR38" s="48"/>
      <c r="EXS38" s="45"/>
      <c r="EXT38" s="46"/>
      <c r="EXU38" s="46"/>
      <c r="EXV38" s="47"/>
      <c r="EXW38" s="48"/>
      <c r="EXX38" s="48"/>
      <c r="EXY38" s="48"/>
      <c r="EXZ38" s="48"/>
      <c r="EYA38" s="48"/>
      <c r="EYB38" s="48"/>
      <c r="EYC38" s="48"/>
      <c r="EYD38" s="48"/>
      <c r="EYE38" s="48"/>
      <c r="EYF38" s="48"/>
      <c r="EYG38" s="48"/>
      <c r="EYH38" s="48"/>
      <c r="EYI38" s="48"/>
      <c r="EYJ38" s="48"/>
      <c r="EYK38" s="48"/>
      <c r="EYL38" s="48"/>
      <c r="EYM38" s="48"/>
      <c r="EYN38" s="48"/>
      <c r="EYO38" s="45"/>
      <c r="EYP38" s="46"/>
      <c r="EYQ38" s="46"/>
      <c r="EYR38" s="47"/>
      <c r="EYS38" s="48"/>
      <c r="EYT38" s="48"/>
      <c r="EYU38" s="48"/>
      <c r="EYV38" s="48"/>
      <c r="EYW38" s="48"/>
      <c r="EYX38" s="48"/>
      <c r="EYY38" s="48"/>
      <c r="EYZ38" s="48"/>
      <c r="EZA38" s="48"/>
      <c r="EZB38" s="48"/>
      <c r="EZC38" s="48"/>
      <c r="EZD38" s="48"/>
      <c r="EZE38" s="48"/>
      <c r="EZF38" s="48"/>
      <c r="EZG38" s="48"/>
      <c r="EZH38" s="48"/>
      <c r="EZI38" s="48"/>
      <c r="EZJ38" s="48"/>
      <c r="EZK38" s="45"/>
      <c r="EZL38" s="46"/>
      <c r="EZM38" s="46"/>
      <c r="EZN38" s="47"/>
      <c r="EZO38" s="48"/>
      <c r="EZP38" s="48"/>
      <c r="EZQ38" s="48"/>
      <c r="EZR38" s="48"/>
      <c r="EZS38" s="48"/>
      <c r="EZT38" s="48"/>
      <c r="EZU38" s="48"/>
      <c r="EZV38" s="48"/>
      <c r="EZW38" s="48"/>
      <c r="EZX38" s="48"/>
      <c r="EZY38" s="48"/>
      <c r="EZZ38" s="48"/>
      <c r="FAA38" s="48"/>
      <c r="FAB38" s="48"/>
      <c r="FAC38" s="48"/>
      <c r="FAD38" s="48"/>
      <c r="FAE38" s="48"/>
      <c r="FAF38" s="48"/>
      <c r="FAG38" s="45"/>
      <c r="FAH38" s="46"/>
      <c r="FAI38" s="46"/>
      <c r="FAJ38" s="47"/>
      <c r="FAK38" s="48"/>
      <c r="FAL38" s="48"/>
      <c r="FAM38" s="48"/>
      <c r="FAN38" s="48"/>
      <c r="FAO38" s="48"/>
      <c r="FAP38" s="48"/>
      <c r="FAQ38" s="48"/>
      <c r="FAR38" s="48"/>
      <c r="FAS38" s="48"/>
      <c r="FAT38" s="48"/>
      <c r="FAU38" s="48"/>
      <c r="FAV38" s="48"/>
      <c r="FAW38" s="48"/>
      <c r="FAX38" s="48"/>
      <c r="FAY38" s="48"/>
      <c r="FAZ38" s="48"/>
      <c r="FBA38" s="48"/>
      <c r="FBB38" s="48"/>
      <c r="FBC38" s="45"/>
      <c r="FBD38" s="46"/>
      <c r="FBE38" s="46"/>
      <c r="FBF38" s="47"/>
      <c r="FBG38" s="48"/>
      <c r="FBH38" s="48"/>
      <c r="FBI38" s="48"/>
      <c r="FBJ38" s="48"/>
      <c r="FBK38" s="48"/>
      <c r="FBL38" s="48"/>
      <c r="FBM38" s="48"/>
      <c r="FBN38" s="48"/>
      <c r="FBO38" s="48"/>
      <c r="FBP38" s="48"/>
      <c r="FBQ38" s="48"/>
      <c r="FBR38" s="48"/>
      <c r="FBS38" s="48"/>
      <c r="FBT38" s="48"/>
      <c r="FBU38" s="48"/>
      <c r="FBV38" s="48"/>
      <c r="FBW38" s="48"/>
      <c r="FBX38" s="48"/>
      <c r="FBY38" s="45"/>
      <c r="FBZ38" s="46"/>
      <c r="FCA38" s="46"/>
      <c r="FCB38" s="47"/>
      <c r="FCC38" s="48"/>
      <c r="FCD38" s="48"/>
      <c r="FCE38" s="48"/>
      <c r="FCF38" s="48"/>
      <c r="FCG38" s="48"/>
      <c r="FCH38" s="48"/>
      <c r="FCI38" s="48"/>
      <c r="FCJ38" s="48"/>
      <c r="FCK38" s="48"/>
      <c r="FCL38" s="48"/>
      <c r="FCM38" s="48"/>
      <c r="FCN38" s="48"/>
      <c r="FCO38" s="48"/>
      <c r="FCP38" s="48"/>
      <c r="FCQ38" s="48"/>
      <c r="FCR38" s="48"/>
      <c r="FCS38" s="48"/>
      <c r="FCT38" s="48"/>
      <c r="FCU38" s="45"/>
      <c r="FCV38" s="46"/>
      <c r="FCW38" s="46"/>
      <c r="FCX38" s="47"/>
      <c r="FCY38" s="48"/>
      <c r="FCZ38" s="48"/>
      <c r="FDA38" s="48"/>
      <c r="FDB38" s="48"/>
      <c r="FDC38" s="48"/>
      <c r="FDD38" s="48"/>
      <c r="FDE38" s="48"/>
      <c r="FDF38" s="48"/>
      <c r="FDG38" s="48"/>
      <c r="FDH38" s="48"/>
      <c r="FDI38" s="48"/>
      <c r="FDJ38" s="48"/>
      <c r="FDK38" s="48"/>
      <c r="FDL38" s="48"/>
      <c r="FDM38" s="48"/>
      <c r="FDN38" s="48"/>
      <c r="FDO38" s="48"/>
      <c r="FDP38" s="48"/>
      <c r="FDQ38" s="45"/>
      <c r="FDR38" s="46"/>
      <c r="FDS38" s="46"/>
      <c r="FDT38" s="47"/>
      <c r="FDU38" s="48"/>
      <c r="FDV38" s="48"/>
      <c r="FDW38" s="48"/>
      <c r="FDX38" s="48"/>
      <c r="FDY38" s="48"/>
      <c r="FDZ38" s="48"/>
      <c r="FEA38" s="48"/>
      <c r="FEB38" s="48"/>
      <c r="FEC38" s="48"/>
      <c r="FED38" s="48"/>
      <c r="FEE38" s="48"/>
      <c r="FEF38" s="48"/>
      <c r="FEG38" s="48"/>
      <c r="FEH38" s="48"/>
      <c r="FEI38" s="48"/>
      <c r="FEJ38" s="48"/>
      <c r="FEK38" s="48"/>
      <c r="FEL38" s="48"/>
      <c r="FEM38" s="45"/>
      <c r="FEN38" s="46"/>
      <c r="FEO38" s="46"/>
      <c r="FEP38" s="47"/>
      <c r="FEQ38" s="48"/>
      <c r="FER38" s="48"/>
      <c r="FES38" s="48"/>
      <c r="FET38" s="48"/>
      <c r="FEU38" s="48"/>
      <c r="FEV38" s="48"/>
      <c r="FEW38" s="48"/>
      <c r="FEX38" s="48"/>
      <c r="FEY38" s="48"/>
      <c r="FEZ38" s="48"/>
      <c r="FFA38" s="48"/>
      <c r="FFB38" s="48"/>
      <c r="FFC38" s="48"/>
      <c r="FFD38" s="48"/>
      <c r="FFE38" s="48"/>
      <c r="FFF38" s="48"/>
      <c r="FFG38" s="48"/>
      <c r="FFH38" s="48"/>
      <c r="FFI38" s="45"/>
      <c r="FFJ38" s="46"/>
      <c r="FFK38" s="46"/>
      <c r="FFL38" s="47"/>
      <c r="FFM38" s="48"/>
      <c r="FFN38" s="48"/>
      <c r="FFO38" s="48"/>
      <c r="FFP38" s="48"/>
      <c r="FFQ38" s="48"/>
      <c r="FFR38" s="48"/>
      <c r="FFS38" s="48"/>
      <c r="FFT38" s="48"/>
      <c r="FFU38" s="48"/>
      <c r="FFV38" s="48"/>
      <c r="FFW38" s="48"/>
      <c r="FFX38" s="48"/>
      <c r="FFY38" s="48"/>
      <c r="FFZ38" s="48"/>
      <c r="FGA38" s="48"/>
      <c r="FGB38" s="48"/>
      <c r="FGC38" s="48"/>
      <c r="FGD38" s="48"/>
      <c r="FGE38" s="45"/>
      <c r="FGF38" s="46"/>
      <c r="FGG38" s="46"/>
      <c r="FGH38" s="47"/>
      <c r="FGI38" s="48"/>
      <c r="FGJ38" s="48"/>
      <c r="FGK38" s="48"/>
      <c r="FGL38" s="48"/>
      <c r="FGM38" s="48"/>
      <c r="FGN38" s="48"/>
      <c r="FGO38" s="48"/>
      <c r="FGP38" s="48"/>
      <c r="FGQ38" s="48"/>
      <c r="FGR38" s="48"/>
      <c r="FGS38" s="48"/>
      <c r="FGT38" s="48"/>
      <c r="FGU38" s="48"/>
      <c r="FGV38" s="48"/>
      <c r="FGW38" s="48"/>
      <c r="FGX38" s="48"/>
      <c r="FGY38" s="48"/>
      <c r="FGZ38" s="48"/>
      <c r="FHA38" s="45"/>
      <c r="FHB38" s="46"/>
      <c r="FHC38" s="46"/>
      <c r="FHD38" s="47"/>
      <c r="FHE38" s="48"/>
      <c r="FHF38" s="48"/>
      <c r="FHG38" s="48"/>
      <c r="FHH38" s="48"/>
      <c r="FHI38" s="48"/>
      <c r="FHJ38" s="48"/>
      <c r="FHK38" s="48"/>
      <c r="FHL38" s="48"/>
      <c r="FHM38" s="48"/>
      <c r="FHN38" s="48"/>
      <c r="FHO38" s="48"/>
      <c r="FHP38" s="48"/>
      <c r="FHQ38" s="48"/>
      <c r="FHR38" s="48"/>
      <c r="FHS38" s="48"/>
      <c r="FHT38" s="48"/>
      <c r="FHU38" s="48"/>
      <c r="FHV38" s="48"/>
      <c r="FHW38" s="45"/>
      <c r="FHX38" s="46"/>
      <c r="FHY38" s="46"/>
      <c r="FHZ38" s="47"/>
      <c r="FIA38" s="48"/>
      <c r="FIB38" s="48"/>
      <c r="FIC38" s="48"/>
      <c r="FID38" s="48"/>
      <c r="FIE38" s="48"/>
      <c r="FIF38" s="48"/>
      <c r="FIG38" s="48"/>
      <c r="FIH38" s="48"/>
      <c r="FII38" s="48"/>
      <c r="FIJ38" s="48"/>
      <c r="FIK38" s="48"/>
      <c r="FIL38" s="48"/>
      <c r="FIM38" s="48"/>
      <c r="FIN38" s="48"/>
      <c r="FIO38" s="48"/>
      <c r="FIP38" s="48"/>
      <c r="FIQ38" s="48"/>
      <c r="FIR38" s="48"/>
      <c r="FIS38" s="45"/>
      <c r="FIT38" s="46"/>
      <c r="FIU38" s="46"/>
      <c r="FIV38" s="47"/>
      <c r="FIW38" s="48"/>
      <c r="FIX38" s="48"/>
      <c r="FIY38" s="48"/>
      <c r="FIZ38" s="48"/>
      <c r="FJA38" s="48"/>
      <c r="FJB38" s="48"/>
      <c r="FJC38" s="48"/>
      <c r="FJD38" s="48"/>
      <c r="FJE38" s="48"/>
      <c r="FJF38" s="48"/>
      <c r="FJG38" s="48"/>
      <c r="FJH38" s="48"/>
      <c r="FJI38" s="48"/>
      <c r="FJJ38" s="48"/>
      <c r="FJK38" s="48"/>
      <c r="FJL38" s="48"/>
      <c r="FJM38" s="48"/>
      <c r="FJN38" s="48"/>
      <c r="FJO38" s="45"/>
      <c r="FJP38" s="46"/>
      <c r="FJQ38" s="46"/>
      <c r="FJR38" s="47"/>
      <c r="FJS38" s="48"/>
      <c r="FJT38" s="48"/>
      <c r="FJU38" s="48"/>
      <c r="FJV38" s="48"/>
      <c r="FJW38" s="48"/>
      <c r="FJX38" s="48"/>
      <c r="FJY38" s="48"/>
      <c r="FJZ38" s="48"/>
      <c r="FKA38" s="48"/>
      <c r="FKB38" s="48"/>
      <c r="FKC38" s="48"/>
      <c r="FKD38" s="48"/>
      <c r="FKE38" s="48"/>
      <c r="FKF38" s="48"/>
      <c r="FKG38" s="48"/>
      <c r="FKH38" s="48"/>
      <c r="FKI38" s="48"/>
      <c r="FKJ38" s="48"/>
      <c r="FKK38" s="45"/>
      <c r="FKL38" s="46"/>
      <c r="FKM38" s="46"/>
      <c r="FKN38" s="47"/>
      <c r="FKO38" s="48"/>
      <c r="FKP38" s="48"/>
      <c r="FKQ38" s="48"/>
      <c r="FKR38" s="48"/>
      <c r="FKS38" s="48"/>
      <c r="FKT38" s="48"/>
      <c r="FKU38" s="48"/>
      <c r="FKV38" s="48"/>
      <c r="FKW38" s="48"/>
      <c r="FKX38" s="48"/>
      <c r="FKY38" s="48"/>
      <c r="FKZ38" s="48"/>
      <c r="FLA38" s="48"/>
      <c r="FLB38" s="48"/>
      <c r="FLC38" s="48"/>
      <c r="FLD38" s="48"/>
      <c r="FLE38" s="48"/>
      <c r="FLF38" s="48"/>
      <c r="FLG38" s="45"/>
      <c r="FLH38" s="46"/>
      <c r="FLI38" s="46"/>
      <c r="FLJ38" s="47"/>
      <c r="FLK38" s="48"/>
      <c r="FLL38" s="48"/>
      <c r="FLM38" s="48"/>
      <c r="FLN38" s="48"/>
      <c r="FLO38" s="48"/>
      <c r="FLP38" s="48"/>
      <c r="FLQ38" s="48"/>
      <c r="FLR38" s="48"/>
      <c r="FLS38" s="48"/>
      <c r="FLT38" s="48"/>
      <c r="FLU38" s="48"/>
      <c r="FLV38" s="48"/>
      <c r="FLW38" s="48"/>
      <c r="FLX38" s="48"/>
      <c r="FLY38" s="48"/>
      <c r="FLZ38" s="48"/>
      <c r="FMA38" s="48"/>
      <c r="FMB38" s="48"/>
      <c r="FMC38" s="45"/>
      <c r="FMD38" s="46"/>
      <c r="FME38" s="46"/>
      <c r="FMF38" s="47"/>
      <c r="FMG38" s="48"/>
      <c r="FMH38" s="48"/>
      <c r="FMI38" s="48"/>
      <c r="FMJ38" s="48"/>
      <c r="FMK38" s="48"/>
      <c r="FML38" s="48"/>
      <c r="FMM38" s="48"/>
      <c r="FMN38" s="48"/>
      <c r="FMO38" s="48"/>
      <c r="FMP38" s="48"/>
      <c r="FMQ38" s="48"/>
      <c r="FMR38" s="48"/>
      <c r="FMS38" s="48"/>
      <c r="FMT38" s="48"/>
      <c r="FMU38" s="48"/>
      <c r="FMV38" s="48"/>
      <c r="FMW38" s="48"/>
      <c r="FMX38" s="48"/>
      <c r="FMY38" s="45"/>
      <c r="FMZ38" s="46"/>
      <c r="FNA38" s="46"/>
      <c r="FNB38" s="47"/>
      <c r="FNC38" s="48"/>
      <c r="FND38" s="48"/>
      <c r="FNE38" s="48"/>
      <c r="FNF38" s="48"/>
      <c r="FNG38" s="48"/>
      <c r="FNH38" s="48"/>
      <c r="FNI38" s="48"/>
      <c r="FNJ38" s="48"/>
      <c r="FNK38" s="48"/>
      <c r="FNL38" s="48"/>
      <c r="FNM38" s="48"/>
      <c r="FNN38" s="48"/>
      <c r="FNO38" s="48"/>
      <c r="FNP38" s="48"/>
      <c r="FNQ38" s="48"/>
      <c r="FNR38" s="48"/>
      <c r="FNS38" s="48"/>
      <c r="FNT38" s="48"/>
      <c r="FNU38" s="45"/>
      <c r="FNV38" s="46"/>
      <c r="FNW38" s="46"/>
      <c r="FNX38" s="47"/>
      <c r="FNY38" s="48"/>
      <c r="FNZ38" s="48"/>
      <c r="FOA38" s="48"/>
      <c r="FOB38" s="48"/>
      <c r="FOC38" s="48"/>
      <c r="FOD38" s="48"/>
      <c r="FOE38" s="48"/>
      <c r="FOF38" s="48"/>
      <c r="FOG38" s="48"/>
      <c r="FOH38" s="48"/>
      <c r="FOI38" s="48"/>
      <c r="FOJ38" s="48"/>
      <c r="FOK38" s="48"/>
      <c r="FOL38" s="48"/>
      <c r="FOM38" s="48"/>
      <c r="FON38" s="48"/>
      <c r="FOO38" s="48"/>
      <c r="FOP38" s="48"/>
      <c r="FOQ38" s="45"/>
      <c r="FOR38" s="46"/>
      <c r="FOS38" s="46"/>
      <c r="FOT38" s="47"/>
      <c r="FOU38" s="48"/>
      <c r="FOV38" s="48"/>
      <c r="FOW38" s="48"/>
      <c r="FOX38" s="48"/>
      <c r="FOY38" s="48"/>
      <c r="FOZ38" s="48"/>
      <c r="FPA38" s="48"/>
      <c r="FPB38" s="48"/>
      <c r="FPC38" s="48"/>
      <c r="FPD38" s="48"/>
      <c r="FPE38" s="48"/>
      <c r="FPF38" s="48"/>
      <c r="FPG38" s="48"/>
      <c r="FPH38" s="48"/>
      <c r="FPI38" s="48"/>
      <c r="FPJ38" s="48"/>
      <c r="FPK38" s="48"/>
      <c r="FPL38" s="48"/>
      <c r="FPM38" s="45"/>
      <c r="FPN38" s="46"/>
      <c r="FPO38" s="46"/>
      <c r="FPP38" s="47"/>
      <c r="FPQ38" s="48"/>
      <c r="FPR38" s="48"/>
      <c r="FPS38" s="48"/>
      <c r="FPT38" s="48"/>
      <c r="FPU38" s="48"/>
      <c r="FPV38" s="48"/>
      <c r="FPW38" s="48"/>
      <c r="FPX38" s="48"/>
      <c r="FPY38" s="48"/>
      <c r="FPZ38" s="48"/>
      <c r="FQA38" s="48"/>
      <c r="FQB38" s="48"/>
      <c r="FQC38" s="48"/>
      <c r="FQD38" s="48"/>
      <c r="FQE38" s="48"/>
      <c r="FQF38" s="48"/>
      <c r="FQG38" s="48"/>
      <c r="FQH38" s="48"/>
      <c r="FQI38" s="45"/>
      <c r="FQJ38" s="46"/>
      <c r="FQK38" s="46"/>
      <c r="FQL38" s="47"/>
      <c r="FQM38" s="48"/>
      <c r="FQN38" s="48"/>
      <c r="FQO38" s="48"/>
      <c r="FQP38" s="48"/>
      <c r="FQQ38" s="48"/>
      <c r="FQR38" s="48"/>
      <c r="FQS38" s="48"/>
      <c r="FQT38" s="48"/>
      <c r="FQU38" s="48"/>
      <c r="FQV38" s="48"/>
      <c r="FQW38" s="48"/>
      <c r="FQX38" s="48"/>
      <c r="FQY38" s="48"/>
      <c r="FQZ38" s="48"/>
      <c r="FRA38" s="48"/>
      <c r="FRB38" s="48"/>
      <c r="FRC38" s="48"/>
      <c r="FRD38" s="48"/>
      <c r="FRE38" s="45"/>
      <c r="FRF38" s="46"/>
      <c r="FRG38" s="46"/>
      <c r="FRH38" s="47"/>
      <c r="FRI38" s="48"/>
      <c r="FRJ38" s="48"/>
      <c r="FRK38" s="48"/>
      <c r="FRL38" s="48"/>
      <c r="FRM38" s="48"/>
      <c r="FRN38" s="48"/>
      <c r="FRO38" s="48"/>
      <c r="FRP38" s="48"/>
      <c r="FRQ38" s="48"/>
      <c r="FRR38" s="48"/>
      <c r="FRS38" s="48"/>
      <c r="FRT38" s="48"/>
      <c r="FRU38" s="48"/>
      <c r="FRV38" s="48"/>
      <c r="FRW38" s="48"/>
      <c r="FRX38" s="48"/>
      <c r="FRY38" s="48"/>
      <c r="FRZ38" s="48"/>
      <c r="FSA38" s="45"/>
      <c r="FSB38" s="46"/>
      <c r="FSC38" s="46"/>
      <c r="FSD38" s="47"/>
      <c r="FSE38" s="48"/>
      <c r="FSF38" s="48"/>
      <c r="FSG38" s="48"/>
      <c r="FSH38" s="48"/>
      <c r="FSI38" s="48"/>
      <c r="FSJ38" s="48"/>
      <c r="FSK38" s="48"/>
      <c r="FSL38" s="48"/>
      <c r="FSM38" s="48"/>
      <c r="FSN38" s="48"/>
      <c r="FSO38" s="48"/>
      <c r="FSP38" s="48"/>
      <c r="FSQ38" s="48"/>
      <c r="FSR38" s="48"/>
      <c r="FSS38" s="48"/>
      <c r="FST38" s="48"/>
      <c r="FSU38" s="48"/>
      <c r="FSV38" s="48"/>
      <c r="FSW38" s="45"/>
      <c r="FSX38" s="46"/>
      <c r="FSY38" s="46"/>
      <c r="FSZ38" s="47"/>
      <c r="FTA38" s="48"/>
      <c r="FTB38" s="48"/>
      <c r="FTC38" s="48"/>
      <c r="FTD38" s="48"/>
      <c r="FTE38" s="48"/>
      <c r="FTF38" s="48"/>
      <c r="FTG38" s="48"/>
      <c r="FTH38" s="48"/>
      <c r="FTI38" s="48"/>
      <c r="FTJ38" s="48"/>
      <c r="FTK38" s="48"/>
      <c r="FTL38" s="48"/>
      <c r="FTM38" s="48"/>
      <c r="FTN38" s="48"/>
      <c r="FTO38" s="48"/>
      <c r="FTP38" s="48"/>
      <c r="FTQ38" s="48"/>
      <c r="FTR38" s="48"/>
      <c r="FTS38" s="45"/>
      <c r="FTT38" s="46"/>
      <c r="FTU38" s="46"/>
      <c r="FTV38" s="47"/>
      <c r="FTW38" s="48"/>
      <c r="FTX38" s="48"/>
      <c r="FTY38" s="48"/>
      <c r="FTZ38" s="48"/>
      <c r="FUA38" s="48"/>
      <c r="FUB38" s="48"/>
      <c r="FUC38" s="48"/>
      <c r="FUD38" s="48"/>
      <c r="FUE38" s="48"/>
      <c r="FUF38" s="48"/>
      <c r="FUG38" s="48"/>
      <c r="FUH38" s="48"/>
      <c r="FUI38" s="48"/>
      <c r="FUJ38" s="48"/>
      <c r="FUK38" s="48"/>
      <c r="FUL38" s="48"/>
      <c r="FUM38" s="48"/>
      <c r="FUN38" s="48"/>
      <c r="FUO38" s="45"/>
      <c r="FUP38" s="46"/>
      <c r="FUQ38" s="46"/>
      <c r="FUR38" s="47"/>
      <c r="FUS38" s="48"/>
      <c r="FUT38" s="48"/>
      <c r="FUU38" s="48"/>
      <c r="FUV38" s="48"/>
      <c r="FUW38" s="48"/>
      <c r="FUX38" s="48"/>
      <c r="FUY38" s="48"/>
      <c r="FUZ38" s="48"/>
      <c r="FVA38" s="48"/>
      <c r="FVB38" s="48"/>
      <c r="FVC38" s="48"/>
      <c r="FVD38" s="48"/>
      <c r="FVE38" s="48"/>
      <c r="FVF38" s="48"/>
      <c r="FVG38" s="48"/>
      <c r="FVH38" s="48"/>
      <c r="FVI38" s="48"/>
      <c r="FVJ38" s="48"/>
      <c r="FVK38" s="45"/>
      <c r="FVL38" s="46"/>
      <c r="FVM38" s="46"/>
      <c r="FVN38" s="47"/>
      <c r="FVO38" s="48"/>
      <c r="FVP38" s="48"/>
      <c r="FVQ38" s="48"/>
      <c r="FVR38" s="48"/>
      <c r="FVS38" s="48"/>
      <c r="FVT38" s="48"/>
      <c r="FVU38" s="48"/>
      <c r="FVV38" s="48"/>
      <c r="FVW38" s="48"/>
      <c r="FVX38" s="48"/>
      <c r="FVY38" s="48"/>
      <c r="FVZ38" s="48"/>
      <c r="FWA38" s="48"/>
      <c r="FWB38" s="48"/>
      <c r="FWC38" s="48"/>
      <c r="FWD38" s="48"/>
      <c r="FWE38" s="48"/>
      <c r="FWF38" s="48"/>
      <c r="FWG38" s="45"/>
      <c r="FWH38" s="46"/>
      <c r="FWI38" s="46"/>
      <c r="FWJ38" s="47"/>
      <c r="FWK38" s="48"/>
      <c r="FWL38" s="48"/>
      <c r="FWM38" s="48"/>
      <c r="FWN38" s="48"/>
      <c r="FWO38" s="48"/>
      <c r="FWP38" s="48"/>
      <c r="FWQ38" s="48"/>
      <c r="FWR38" s="48"/>
      <c r="FWS38" s="48"/>
      <c r="FWT38" s="48"/>
      <c r="FWU38" s="48"/>
      <c r="FWV38" s="48"/>
      <c r="FWW38" s="48"/>
      <c r="FWX38" s="48"/>
      <c r="FWY38" s="48"/>
      <c r="FWZ38" s="48"/>
      <c r="FXA38" s="48"/>
      <c r="FXB38" s="48"/>
      <c r="FXC38" s="45"/>
      <c r="FXD38" s="46"/>
      <c r="FXE38" s="46"/>
      <c r="FXF38" s="47"/>
      <c r="FXG38" s="48"/>
      <c r="FXH38" s="48"/>
      <c r="FXI38" s="48"/>
      <c r="FXJ38" s="48"/>
      <c r="FXK38" s="48"/>
      <c r="FXL38" s="48"/>
      <c r="FXM38" s="48"/>
      <c r="FXN38" s="48"/>
      <c r="FXO38" s="48"/>
      <c r="FXP38" s="48"/>
      <c r="FXQ38" s="48"/>
      <c r="FXR38" s="48"/>
      <c r="FXS38" s="48"/>
      <c r="FXT38" s="48"/>
      <c r="FXU38" s="48"/>
      <c r="FXV38" s="48"/>
      <c r="FXW38" s="48"/>
      <c r="FXX38" s="48"/>
      <c r="FXY38" s="45"/>
      <c r="FXZ38" s="46"/>
      <c r="FYA38" s="46"/>
      <c r="FYB38" s="47"/>
      <c r="FYC38" s="48"/>
      <c r="FYD38" s="48"/>
      <c r="FYE38" s="48"/>
      <c r="FYF38" s="48"/>
      <c r="FYG38" s="48"/>
      <c r="FYH38" s="48"/>
      <c r="FYI38" s="48"/>
      <c r="FYJ38" s="48"/>
      <c r="FYK38" s="48"/>
      <c r="FYL38" s="48"/>
      <c r="FYM38" s="48"/>
      <c r="FYN38" s="48"/>
      <c r="FYO38" s="48"/>
      <c r="FYP38" s="48"/>
      <c r="FYQ38" s="48"/>
      <c r="FYR38" s="48"/>
      <c r="FYS38" s="48"/>
      <c r="FYT38" s="48"/>
      <c r="FYU38" s="45"/>
      <c r="FYV38" s="46"/>
      <c r="FYW38" s="46"/>
      <c r="FYX38" s="47"/>
      <c r="FYY38" s="48"/>
      <c r="FYZ38" s="48"/>
      <c r="FZA38" s="48"/>
      <c r="FZB38" s="48"/>
      <c r="FZC38" s="48"/>
      <c r="FZD38" s="48"/>
      <c r="FZE38" s="48"/>
      <c r="FZF38" s="48"/>
      <c r="FZG38" s="48"/>
      <c r="FZH38" s="48"/>
      <c r="FZI38" s="48"/>
      <c r="FZJ38" s="48"/>
      <c r="FZK38" s="48"/>
      <c r="FZL38" s="48"/>
      <c r="FZM38" s="48"/>
      <c r="FZN38" s="48"/>
      <c r="FZO38" s="48"/>
      <c r="FZP38" s="48"/>
      <c r="FZQ38" s="45"/>
      <c r="FZR38" s="46"/>
      <c r="FZS38" s="46"/>
      <c r="FZT38" s="47"/>
      <c r="FZU38" s="48"/>
      <c r="FZV38" s="48"/>
      <c r="FZW38" s="48"/>
      <c r="FZX38" s="48"/>
      <c r="FZY38" s="48"/>
      <c r="FZZ38" s="48"/>
      <c r="GAA38" s="48"/>
      <c r="GAB38" s="48"/>
      <c r="GAC38" s="48"/>
      <c r="GAD38" s="48"/>
      <c r="GAE38" s="48"/>
      <c r="GAF38" s="48"/>
      <c r="GAG38" s="48"/>
      <c r="GAH38" s="48"/>
      <c r="GAI38" s="48"/>
      <c r="GAJ38" s="48"/>
      <c r="GAK38" s="48"/>
      <c r="GAL38" s="48"/>
      <c r="GAM38" s="45"/>
      <c r="GAN38" s="46"/>
      <c r="GAO38" s="46"/>
      <c r="GAP38" s="47"/>
      <c r="GAQ38" s="48"/>
      <c r="GAR38" s="48"/>
      <c r="GAS38" s="48"/>
      <c r="GAT38" s="48"/>
      <c r="GAU38" s="48"/>
      <c r="GAV38" s="48"/>
      <c r="GAW38" s="48"/>
      <c r="GAX38" s="48"/>
      <c r="GAY38" s="48"/>
      <c r="GAZ38" s="48"/>
      <c r="GBA38" s="48"/>
      <c r="GBB38" s="48"/>
      <c r="GBC38" s="48"/>
      <c r="GBD38" s="48"/>
      <c r="GBE38" s="48"/>
      <c r="GBF38" s="48"/>
      <c r="GBG38" s="48"/>
      <c r="GBH38" s="48"/>
      <c r="GBI38" s="45"/>
      <c r="GBJ38" s="46"/>
      <c r="GBK38" s="46"/>
      <c r="GBL38" s="47"/>
      <c r="GBM38" s="48"/>
      <c r="GBN38" s="48"/>
      <c r="GBO38" s="48"/>
      <c r="GBP38" s="48"/>
      <c r="GBQ38" s="48"/>
      <c r="GBR38" s="48"/>
      <c r="GBS38" s="48"/>
      <c r="GBT38" s="48"/>
      <c r="GBU38" s="48"/>
      <c r="GBV38" s="48"/>
      <c r="GBW38" s="48"/>
      <c r="GBX38" s="48"/>
      <c r="GBY38" s="48"/>
      <c r="GBZ38" s="48"/>
      <c r="GCA38" s="48"/>
      <c r="GCB38" s="48"/>
      <c r="GCC38" s="48"/>
      <c r="GCD38" s="48"/>
      <c r="GCE38" s="45"/>
      <c r="GCF38" s="46"/>
      <c r="GCG38" s="46"/>
      <c r="GCH38" s="47"/>
      <c r="GCI38" s="48"/>
      <c r="GCJ38" s="48"/>
      <c r="GCK38" s="48"/>
      <c r="GCL38" s="48"/>
      <c r="GCM38" s="48"/>
      <c r="GCN38" s="48"/>
      <c r="GCO38" s="48"/>
      <c r="GCP38" s="48"/>
      <c r="GCQ38" s="48"/>
      <c r="GCR38" s="48"/>
      <c r="GCS38" s="48"/>
      <c r="GCT38" s="48"/>
      <c r="GCU38" s="48"/>
      <c r="GCV38" s="48"/>
      <c r="GCW38" s="48"/>
      <c r="GCX38" s="48"/>
      <c r="GCY38" s="48"/>
      <c r="GCZ38" s="48"/>
      <c r="GDA38" s="45"/>
      <c r="GDB38" s="46"/>
      <c r="GDC38" s="46"/>
      <c r="GDD38" s="47"/>
      <c r="GDE38" s="48"/>
      <c r="GDF38" s="48"/>
      <c r="GDG38" s="48"/>
      <c r="GDH38" s="48"/>
      <c r="GDI38" s="48"/>
      <c r="GDJ38" s="48"/>
      <c r="GDK38" s="48"/>
      <c r="GDL38" s="48"/>
      <c r="GDM38" s="48"/>
      <c r="GDN38" s="48"/>
      <c r="GDO38" s="48"/>
      <c r="GDP38" s="48"/>
      <c r="GDQ38" s="48"/>
      <c r="GDR38" s="48"/>
      <c r="GDS38" s="48"/>
      <c r="GDT38" s="48"/>
      <c r="GDU38" s="48"/>
      <c r="GDV38" s="48"/>
      <c r="GDW38" s="45"/>
      <c r="GDX38" s="46"/>
      <c r="GDY38" s="46"/>
      <c r="GDZ38" s="47"/>
      <c r="GEA38" s="48"/>
      <c r="GEB38" s="48"/>
      <c r="GEC38" s="48"/>
      <c r="GED38" s="48"/>
      <c r="GEE38" s="48"/>
      <c r="GEF38" s="48"/>
      <c r="GEG38" s="48"/>
      <c r="GEH38" s="48"/>
      <c r="GEI38" s="48"/>
      <c r="GEJ38" s="48"/>
      <c r="GEK38" s="48"/>
      <c r="GEL38" s="48"/>
      <c r="GEM38" s="48"/>
      <c r="GEN38" s="48"/>
      <c r="GEO38" s="48"/>
      <c r="GEP38" s="48"/>
      <c r="GEQ38" s="48"/>
      <c r="GER38" s="48"/>
      <c r="GES38" s="45"/>
      <c r="GET38" s="46"/>
      <c r="GEU38" s="46"/>
      <c r="GEV38" s="47"/>
      <c r="GEW38" s="48"/>
      <c r="GEX38" s="48"/>
      <c r="GEY38" s="48"/>
      <c r="GEZ38" s="48"/>
      <c r="GFA38" s="48"/>
      <c r="GFB38" s="48"/>
      <c r="GFC38" s="48"/>
      <c r="GFD38" s="48"/>
      <c r="GFE38" s="48"/>
      <c r="GFF38" s="48"/>
      <c r="GFG38" s="48"/>
      <c r="GFH38" s="48"/>
      <c r="GFI38" s="48"/>
      <c r="GFJ38" s="48"/>
      <c r="GFK38" s="48"/>
      <c r="GFL38" s="48"/>
      <c r="GFM38" s="48"/>
      <c r="GFN38" s="48"/>
      <c r="GFO38" s="45"/>
      <c r="GFP38" s="46"/>
      <c r="GFQ38" s="46"/>
      <c r="GFR38" s="47"/>
      <c r="GFS38" s="48"/>
      <c r="GFT38" s="48"/>
      <c r="GFU38" s="48"/>
      <c r="GFV38" s="48"/>
      <c r="GFW38" s="48"/>
      <c r="GFX38" s="48"/>
      <c r="GFY38" s="48"/>
      <c r="GFZ38" s="48"/>
      <c r="GGA38" s="48"/>
      <c r="GGB38" s="48"/>
      <c r="GGC38" s="48"/>
      <c r="GGD38" s="48"/>
      <c r="GGE38" s="48"/>
      <c r="GGF38" s="48"/>
      <c r="GGG38" s="48"/>
      <c r="GGH38" s="48"/>
      <c r="GGI38" s="48"/>
      <c r="GGJ38" s="48"/>
      <c r="GGK38" s="45"/>
      <c r="GGL38" s="46"/>
      <c r="GGM38" s="46"/>
      <c r="GGN38" s="47"/>
      <c r="GGO38" s="48"/>
      <c r="GGP38" s="48"/>
      <c r="GGQ38" s="48"/>
      <c r="GGR38" s="48"/>
      <c r="GGS38" s="48"/>
      <c r="GGT38" s="48"/>
      <c r="GGU38" s="48"/>
      <c r="GGV38" s="48"/>
      <c r="GGW38" s="48"/>
      <c r="GGX38" s="48"/>
      <c r="GGY38" s="48"/>
      <c r="GGZ38" s="48"/>
      <c r="GHA38" s="48"/>
      <c r="GHB38" s="48"/>
      <c r="GHC38" s="48"/>
      <c r="GHD38" s="48"/>
      <c r="GHE38" s="48"/>
      <c r="GHF38" s="48"/>
      <c r="GHG38" s="45"/>
      <c r="GHH38" s="46"/>
      <c r="GHI38" s="46"/>
      <c r="GHJ38" s="47"/>
      <c r="GHK38" s="48"/>
      <c r="GHL38" s="48"/>
      <c r="GHM38" s="48"/>
      <c r="GHN38" s="48"/>
      <c r="GHO38" s="48"/>
      <c r="GHP38" s="48"/>
      <c r="GHQ38" s="48"/>
      <c r="GHR38" s="48"/>
      <c r="GHS38" s="48"/>
      <c r="GHT38" s="48"/>
      <c r="GHU38" s="48"/>
      <c r="GHV38" s="48"/>
      <c r="GHW38" s="48"/>
      <c r="GHX38" s="48"/>
      <c r="GHY38" s="48"/>
      <c r="GHZ38" s="48"/>
      <c r="GIA38" s="48"/>
      <c r="GIB38" s="48"/>
      <c r="GIC38" s="45"/>
      <c r="GID38" s="46"/>
      <c r="GIE38" s="46"/>
      <c r="GIF38" s="47"/>
      <c r="GIG38" s="48"/>
      <c r="GIH38" s="48"/>
      <c r="GII38" s="48"/>
      <c r="GIJ38" s="48"/>
      <c r="GIK38" s="48"/>
      <c r="GIL38" s="48"/>
      <c r="GIM38" s="48"/>
      <c r="GIN38" s="48"/>
      <c r="GIO38" s="48"/>
      <c r="GIP38" s="48"/>
      <c r="GIQ38" s="48"/>
      <c r="GIR38" s="48"/>
      <c r="GIS38" s="48"/>
      <c r="GIT38" s="48"/>
      <c r="GIU38" s="48"/>
      <c r="GIV38" s="48"/>
      <c r="GIW38" s="48"/>
      <c r="GIX38" s="48"/>
      <c r="GIY38" s="45"/>
      <c r="GIZ38" s="46"/>
      <c r="GJA38" s="46"/>
      <c r="GJB38" s="47"/>
      <c r="GJC38" s="48"/>
      <c r="GJD38" s="48"/>
      <c r="GJE38" s="48"/>
      <c r="GJF38" s="48"/>
      <c r="GJG38" s="48"/>
      <c r="GJH38" s="48"/>
      <c r="GJI38" s="48"/>
      <c r="GJJ38" s="48"/>
      <c r="GJK38" s="48"/>
      <c r="GJL38" s="48"/>
      <c r="GJM38" s="48"/>
      <c r="GJN38" s="48"/>
      <c r="GJO38" s="48"/>
      <c r="GJP38" s="48"/>
      <c r="GJQ38" s="48"/>
      <c r="GJR38" s="48"/>
      <c r="GJS38" s="48"/>
      <c r="GJT38" s="48"/>
      <c r="GJU38" s="45"/>
      <c r="GJV38" s="46"/>
      <c r="GJW38" s="46"/>
      <c r="GJX38" s="47"/>
      <c r="GJY38" s="48"/>
      <c r="GJZ38" s="48"/>
      <c r="GKA38" s="48"/>
      <c r="GKB38" s="48"/>
      <c r="GKC38" s="48"/>
      <c r="GKD38" s="48"/>
      <c r="GKE38" s="48"/>
      <c r="GKF38" s="48"/>
      <c r="GKG38" s="48"/>
      <c r="GKH38" s="48"/>
      <c r="GKI38" s="48"/>
      <c r="GKJ38" s="48"/>
      <c r="GKK38" s="48"/>
      <c r="GKL38" s="48"/>
      <c r="GKM38" s="48"/>
      <c r="GKN38" s="48"/>
      <c r="GKO38" s="48"/>
      <c r="GKP38" s="48"/>
      <c r="GKQ38" s="45"/>
      <c r="GKR38" s="46"/>
      <c r="GKS38" s="46"/>
      <c r="GKT38" s="47"/>
      <c r="GKU38" s="48"/>
      <c r="GKV38" s="48"/>
      <c r="GKW38" s="48"/>
      <c r="GKX38" s="48"/>
      <c r="GKY38" s="48"/>
      <c r="GKZ38" s="48"/>
      <c r="GLA38" s="48"/>
      <c r="GLB38" s="48"/>
      <c r="GLC38" s="48"/>
      <c r="GLD38" s="48"/>
      <c r="GLE38" s="48"/>
      <c r="GLF38" s="48"/>
      <c r="GLG38" s="48"/>
      <c r="GLH38" s="48"/>
      <c r="GLI38" s="48"/>
      <c r="GLJ38" s="48"/>
      <c r="GLK38" s="48"/>
      <c r="GLL38" s="48"/>
      <c r="GLM38" s="45"/>
      <c r="GLN38" s="46"/>
      <c r="GLO38" s="46"/>
      <c r="GLP38" s="47"/>
      <c r="GLQ38" s="48"/>
      <c r="GLR38" s="48"/>
      <c r="GLS38" s="48"/>
      <c r="GLT38" s="48"/>
      <c r="GLU38" s="48"/>
      <c r="GLV38" s="48"/>
      <c r="GLW38" s="48"/>
      <c r="GLX38" s="48"/>
      <c r="GLY38" s="48"/>
      <c r="GLZ38" s="48"/>
      <c r="GMA38" s="48"/>
      <c r="GMB38" s="48"/>
      <c r="GMC38" s="48"/>
      <c r="GMD38" s="48"/>
      <c r="GME38" s="48"/>
      <c r="GMF38" s="48"/>
      <c r="GMG38" s="48"/>
      <c r="GMH38" s="48"/>
      <c r="GMI38" s="45"/>
      <c r="GMJ38" s="46"/>
      <c r="GMK38" s="46"/>
      <c r="GML38" s="47"/>
      <c r="GMM38" s="48"/>
      <c r="GMN38" s="48"/>
      <c r="GMO38" s="48"/>
      <c r="GMP38" s="48"/>
      <c r="GMQ38" s="48"/>
      <c r="GMR38" s="48"/>
      <c r="GMS38" s="48"/>
      <c r="GMT38" s="48"/>
      <c r="GMU38" s="48"/>
      <c r="GMV38" s="48"/>
      <c r="GMW38" s="48"/>
      <c r="GMX38" s="48"/>
      <c r="GMY38" s="48"/>
      <c r="GMZ38" s="48"/>
      <c r="GNA38" s="48"/>
      <c r="GNB38" s="48"/>
      <c r="GNC38" s="48"/>
      <c r="GND38" s="48"/>
      <c r="GNE38" s="45"/>
      <c r="GNF38" s="46"/>
      <c r="GNG38" s="46"/>
      <c r="GNH38" s="47"/>
      <c r="GNI38" s="48"/>
      <c r="GNJ38" s="48"/>
      <c r="GNK38" s="48"/>
      <c r="GNL38" s="48"/>
      <c r="GNM38" s="48"/>
      <c r="GNN38" s="48"/>
      <c r="GNO38" s="48"/>
      <c r="GNP38" s="48"/>
      <c r="GNQ38" s="48"/>
      <c r="GNR38" s="48"/>
      <c r="GNS38" s="48"/>
      <c r="GNT38" s="48"/>
      <c r="GNU38" s="48"/>
      <c r="GNV38" s="48"/>
      <c r="GNW38" s="48"/>
      <c r="GNX38" s="48"/>
      <c r="GNY38" s="48"/>
      <c r="GNZ38" s="48"/>
      <c r="GOA38" s="45"/>
      <c r="GOB38" s="46"/>
      <c r="GOC38" s="46"/>
      <c r="GOD38" s="47"/>
      <c r="GOE38" s="48"/>
      <c r="GOF38" s="48"/>
      <c r="GOG38" s="48"/>
      <c r="GOH38" s="48"/>
      <c r="GOI38" s="48"/>
      <c r="GOJ38" s="48"/>
      <c r="GOK38" s="48"/>
      <c r="GOL38" s="48"/>
      <c r="GOM38" s="48"/>
      <c r="GON38" s="48"/>
      <c r="GOO38" s="48"/>
      <c r="GOP38" s="48"/>
      <c r="GOQ38" s="48"/>
      <c r="GOR38" s="48"/>
      <c r="GOS38" s="48"/>
      <c r="GOT38" s="48"/>
      <c r="GOU38" s="48"/>
      <c r="GOV38" s="48"/>
      <c r="GOW38" s="45"/>
      <c r="GOX38" s="46"/>
      <c r="GOY38" s="46"/>
      <c r="GOZ38" s="47"/>
      <c r="GPA38" s="48"/>
      <c r="GPB38" s="48"/>
      <c r="GPC38" s="48"/>
      <c r="GPD38" s="48"/>
      <c r="GPE38" s="48"/>
      <c r="GPF38" s="48"/>
      <c r="GPG38" s="48"/>
      <c r="GPH38" s="48"/>
      <c r="GPI38" s="48"/>
      <c r="GPJ38" s="48"/>
      <c r="GPK38" s="48"/>
      <c r="GPL38" s="48"/>
      <c r="GPM38" s="48"/>
      <c r="GPN38" s="48"/>
      <c r="GPO38" s="48"/>
      <c r="GPP38" s="48"/>
      <c r="GPQ38" s="48"/>
      <c r="GPR38" s="48"/>
      <c r="GPS38" s="45"/>
      <c r="GPT38" s="46"/>
      <c r="GPU38" s="46"/>
      <c r="GPV38" s="47"/>
      <c r="GPW38" s="48"/>
      <c r="GPX38" s="48"/>
      <c r="GPY38" s="48"/>
      <c r="GPZ38" s="48"/>
      <c r="GQA38" s="48"/>
      <c r="GQB38" s="48"/>
      <c r="GQC38" s="48"/>
      <c r="GQD38" s="48"/>
      <c r="GQE38" s="48"/>
      <c r="GQF38" s="48"/>
      <c r="GQG38" s="48"/>
      <c r="GQH38" s="48"/>
      <c r="GQI38" s="48"/>
      <c r="GQJ38" s="48"/>
      <c r="GQK38" s="48"/>
      <c r="GQL38" s="48"/>
      <c r="GQM38" s="48"/>
      <c r="GQN38" s="48"/>
      <c r="GQO38" s="45"/>
      <c r="GQP38" s="46"/>
      <c r="GQQ38" s="46"/>
      <c r="GQR38" s="47"/>
      <c r="GQS38" s="48"/>
      <c r="GQT38" s="48"/>
      <c r="GQU38" s="48"/>
      <c r="GQV38" s="48"/>
      <c r="GQW38" s="48"/>
      <c r="GQX38" s="48"/>
      <c r="GQY38" s="48"/>
      <c r="GQZ38" s="48"/>
      <c r="GRA38" s="48"/>
      <c r="GRB38" s="48"/>
      <c r="GRC38" s="48"/>
      <c r="GRD38" s="48"/>
      <c r="GRE38" s="48"/>
      <c r="GRF38" s="48"/>
      <c r="GRG38" s="48"/>
      <c r="GRH38" s="48"/>
      <c r="GRI38" s="48"/>
      <c r="GRJ38" s="48"/>
      <c r="GRK38" s="45"/>
      <c r="GRL38" s="46"/>
      <c r="GRM38" s="46"/>
      <c r="GRN38" s="47"/>
      <c r="GRO38" s="48"/>
      <c r="GRP38" s="48"/>
      <c r="GRQ38" s="48"/>
      <c r="GRR38" s="48"/>
      <c r="GRS38" s="48"/>
      <c r="GRT38" s="48"/>
      <c r="GRU38" s="48"/>
      <c r="GRV38" s="48"/>
      <c r="GRW38" s="48"/>
      <c r="GRX38" s="48"/>
      <c r="GRY38" s="48"/>
      <c r="GRZ38" s="48"/>
      <c r="GSA38" s="48"/>
      <c r="GSB38" s="48"/>
      <c r="GSC38" s="48"/>
      <c r="GSD38" s="48"/>
      <c r="GSE38" s="48"/>
      <c r="GSF38" s="48"/>
      <c r="GSG38" s="45"/>
      <c r="GSH38" s="46"/>
      <c r="GSI38" s="46"/>
      <c r="GSJ38" s="47"/>
      <c r="GSK38" s="48"/>
      <c r="GSL38" s="48"/>
      <c r="GSM38" s="48"/>
      <c r="GSN38" s="48"/>
      <c r="GSO38" s="48"/>
      <c r="GSP38" s="48"/>
      <c r="GSQ38" s="48"/>
      <c r="GSR38" s="48"/>
      <c r="GSS38" s="48"/>
      <c r="GST38" s="48"/>
      <c r="GSU38" s="48"/>
      <c r="GSV38" s="48"/>
      <c r="GSW38" s="48"/>
      <c r="GSX38" s="48"/>
      <c r="GSY38" s="48"/>
      <c r="GSZ38" s="48"/>
      <c r="GTA38" s="48"/>
      <c r="GTB38" s="48"/>
      <c r="GTC38" s="45"/>
      <c r="GTD38" s="46"/>
      <c r="GTE38" s="46"/>
      <c r="GTF38" s="47"/>
      <c r="GTG38" s="48"/>
      <c r="GTH38" s="48"/>
      <c r="GTI38" s="48"/>
      <c r="GTJ38" s="48"/>
      <c r="GTK38" s="48"/>
      <c r="GTL38" s="48"/>
      <c r="GTM38" s="48"/>
      <c r="GTN38" s="48"/>
      <c r="GTO38" s="48"/>
      <c r="GTP38" s="48"/>
      <c r="GTQ38" s="48"/>
      <c r="GTR38" s="48"/>
      <c r="GTS38" s="48"/>
      <c r="GTT38" s="48"/>
      <c r="GTU38" s="48"/>
      <c r="GTV38" s="48"/>
      <c r="GTW38" s="48"/>
      <c r="GTX38" s="48"/>
      <c r="GTY38" s="45"/>
      <c r="GTZ38" s="46"/>
      <c r="GUA38" s="46"/>
      <c r="GUB38" s="47"/>
      <c r="GUC38" s="48"/>
      <c r="GUD38" s="48"/>
      <c r="GUE38" s="48"/>
      <c r="GUF38" s="48"/>
      <c r="GUG38" s="48"/>
      <c r="GUH38" s="48"/>
      <c r="GUI38" s="48"/>
      <c r="GUJ38" s="48"/>
      <c r="GUK38" s="48"/>
      <c r="GUL38" s="48"/>
      <c r="GUM38" s="48"/>
      <c r="GUN38" s="48"/>
      <c r="GUO38" s="48"/>
      <c r="GUP38" s="48"/>
      <c r="GUQ38" s="48"/>
      <c r="GUR38" s="48"/>
      <c r="GUS38" s="48"/>
      <c r="GUT38" s="48"/>
      <c r="GUU38" s="45"/>
      <c r="GUV38" s="46"/>
      <c r="GUW38" s="46"/>
      <c r="GUX38" s="47"/>
      <c r="GUY38" s="48"/>
      <c r="GUZ38" s="48"/>
      <c r="GVA38" s="48"/>
      <c r="GVB38" s="48"/>
      <c r="GVC38" s="48"/>
      <c r="GVD38" s="48"/>
      <c r="GVE38" s="48"/>
      <c r="GVF38" s="48"/>
      <c r="GVG38" s="48"/>
      <c r="GVH38" s="48"/>
      <c r="GVI38" s="48"/>
      <c r="GVJ38" s="48"/>
      <c r="GVK38" s="48"/>
      <c r="GVL38" s="48"/>
      <c r="GVM38" s="48"/>
      <c r="GVN38" s="48"/>
      <c r="GVO38" s="48"/>
      <c r="GVP38" s="48"/>
      <c r="GVQ38" s="45"/>
      <c r="GVR38" s="46"/>
      <c r="GVS38" s="46"/>
      <c r="GVT38" s="47"/>
      <c r="GVU38" s="48"/>
      <c r="GVV38" s="48"/>
      <c r="GVW38" s="48"/>
      <c r="GVX38" s="48"/>
      <c r="GVY38" s="48"/>
      <c r="GVZ38" s="48"/>
      <c r="GWA38" s="48"/>
      <c r="GWB38" s="48"/>
      <c r="GWC38" s="48"/>
      <c r="GWD38" s="48"/>
      <c r="GWE38" s="48"/>
      <c r="GWF38" s="48"/>
      <c r="GWG38" s="48"/>
      <c r="GWH38" s="48"/>
      <c r="GWI38" s="48"/>
      <c r="GWJ38" s="48"/>
      <c r="GWK38" s="48"/>
      <c r="GWL38" s="48"/>
      <c r="GWM38" s="45"/>
      <c r="GWN38" s="46"/>
      <c r="GWO38" s="46"/>
      <c r="GWP38" s="47"/>
      <c r="GWQ38" s="48"/>
      <c r="GWR38" s="48"/>
      <c r="GWS38" s="48"/>
      <c r="GWT38" s="48"/>
      <c r="GWU38" s="48"/>
      <c r="GWV38" s="48"/>
      <c r="GWW38" s="48"/>
      <c r="GWX38" s="48"/>
      <c r="GWY38" s="48"/>
      <c r="GWZ38" s="48"/>
      <c r="GXA38" s="48"/>
      <c r="GXB38" s="48"/>
      <c r="GXC38" s="48"/>
      <c r="GXD38" s="48"/>
      <c r="GXE38" s="48"/>
      <c r="GXF38" s="48"/>
      <c r="GXG38" s="48"/>
      <c r="GXH38" s="48"/>
      <c r="GXI38" s="45"/>
      <c r="GXJ38" s="46"/>
      <c r="GXK38" s="46"/>
      <c r="GXL38" s="47"/>
      <c r="GXM38" s="48"/>
      <c r="GXN38" s="48"/>
      <c r="GXO38" s="48"/>
      <c r="GXP38" s="48"/>
      <c r="GXQ38" s="48"/>
      <c r="GXR38" s="48"/>
      <c r="GXS38" s="48"/>
      <c r="GXT38" s="48"/>
      <c r="GXU38" s="48"/>
      <c r="GXV38" s="48"/>
      <c r="GXW38" s="48"/>
      <c r="GXX38" s="48"/>
      <c r="GXY38" s="48"/>
      <c r="GXZ38" s="48"/>
      <c r="GYA38" s="48"/>
      <c r="GYB38" s="48"/>
      <c r="GYC38" s="48"/>
      <c r="GYD38" s="48"/>
      <c r="GYE38" s="45"/>
      <c r="GYF38" s="46"/>
      <c r="GYG38" s="46"/>
      <c r="GYH38" s="47"/>
      <c r="GYI38" s="48"/>
      <c r="GYJ38" s="48"/>
      <c r="GYK38" s="48"/>
      <c r="GYL38" s="48"/>
      <c r="GYM38" s="48"/>
      <c r="GYN38" s="48"/>
      <c r="GYO38" s="48"/>
      <c r="GYP38" s="48"/>
      <c r="GYQ38" s="48"/>
      <c r="GYR38" s="48"/>
      <c r="GYS38" s="48"/>
      <c r="GYT38" s="48"/>
      <c r="GYU38" s="48"/>
      <c r="GYV38" s="48"/>
      <c r="GYW38" s="48"/>
      <c r="GYX38" s="48"/>
      <c r="GYY38" s="48"/>
      <c r="GYZ38" s="48"/>
      <c r="GZA38" s="45"/>
      <c r="GZB38" s="46"/>
      <c r="GZC38" s="46"/>
      <c r="GZD38" s="47"/>
      <c r="GZE38" s="48"/>
      <c r="GZF38" s="48"/>
      <c r="GZG38" s="48"/>
      <c r="GZH38" s="48"/>
      <c r="GZI38" s="48"/>
      <c r="GZJ38" s="48"/>
      <c r="GZK38" s="48"/>
      <c r="GZL38" s="48"/>
      <c r="GZM38" s="48"/>
      <c r="GZN38" s="48"/>
      <c r="GZO38" s="48"/>
      <c r="GZP38" s="48"/>
      <c r="GZQ38" s="48"/>
      <c r="GZR38" s="48"/>
      <c r="GZS38" s="48"/>
      <c r="GZT38" s="48"/>
      <c r="GZU38" s="48"/>
      <c r="GZV38" s="48"/>
      <c r="GZW38" s="45"/>
      <c r="GZX38" s="46"/>
      <c r="GZY38" s="46"/>
      <c r="GZZ38" s="47"/>
      <c r="HAA38" s="48"/>
      <c r="HAB38" s="48"/>
      <c r="HAC38" s="48"/>
      <c r="HAD38" s="48"/>
      <c r="HAE38" s="48"/>
      <c r="HAF38" s="48"/>
      <c r="HAG38" s="48"/>
      <c r="HAH38" s="48"/>
      <c r="HAI38" s="48"/>
      <c r="HAJ38" s="48"/>
      <c r="HAK38" s="48"/>
      <c r="HAL38" s="48"/>
      <c r="HAM38" s="48"/>
      <c r="HAN38" s="48"/>
      <c r="HAO38" s="48"/>
      <c r="HAP38" s="48"/>
      <c r="HAQ38" s="48"/>
      <c r="HAR38" s="48"/>
      <c r="HAS38" s="45"/>
      <c r="HAT38" s="46"/>
      <c r="HAU38" s="46"/>
      <c r="HAV38" s="47"/>
      <c r="HAW38" s="48"/>
      <c r="HAX38" s="48"/>
      <c r="HAY38" s="48"/>
      <c r="HAZ38" s="48"/>
      <c r="HBA38" s="48"/>
      <c r="HBB38" s="48"/>
      <c r="HBC38" s="48"/>
      <c r="HBD38" s="48"/>
      <c r="HBE38" s="48"/>
      <c r="HBF38" s="48"/>
      <c r="HBG38" s="48"/>
      <c r="HBH38" s="48"/>
      <c r="HBI38" s="48"/>
      <c r="HBJ38" s="48"/>
      <c r="HBK38" s="48"/>
      <c r="HBL38" s="48"/>
      <c r="HBM38" s="48"/>
      <c r="HBN38" s="48"/>
      <c r="HBO38" s="45"/>
      <c r="HBP38" s="46"/>
      <c r="HBQ38" s="46"/>
      <c r="HBR38" s="47"/>
      <c r="HBS38" s="48"/>
      <c r="HBT38" s="48"/>
      <c r="HBU38" s="48"/>
      <c r="HBV38" s="48"/>
      <c r="HBW38" s="48"/>
      <c r="HBX38" s="48"/>
      <c r="HBY38" s="48"/>
      <c r="HBZ38" s="48"/>
      <c r="HCA38" s="48"/>
      <c r="HCB38" s="48"/>
      <c r="HCC38" s="48"/>
      <c r="HCD38" s="48"/>
      <c r="HCE38" s="48"/>
      <c r="HCF38" s="48"/>
      <c r="HCG38" s="48"/>
      <c r="HCH38" s="48"/>
      <c r="HCI38" s="48"/>
      <c r="HCJ38" s="48"/>
      <c r="HCK38" s="45"/>
      <c r="HCL38" s="46"/>
      <c r="HCM38" s="46"/>
      <c r="HCN38" s="47"/>
      <c r="HCO38" s="48"/>
      <c r="HCP38" s="48"/>
      <c r="HCQ38" s="48"/>
      <c r="HCR38" s="48"/>
      <c r="HCS38" s="48"/>
      <c r="HCT38" s="48"/>
      <c r="HCU38" s="48"/>
      <c r="HCV38" s="48"/>
      <c r="HCW38" s="48"/>
      <c r="HCX38" s="48"/>
      <c r="HCY38" s="48"/>
      <c r="HCZ38" s="48"/>
      <c r="HDA38" s="48"/>
      <c r="HDB38" s="48"/>
      <c r="HDC38" s="48"/>
      <c r="HDD38" s="48"/>
      <c r="HDE38" s="48"/>
      <c r="HDF38" s="48"/>
      <c r="HDG38" s="45"/>
      <c r="HDH38" s="46"/>
      <c r="HDI38" s="46"/>
      <c r="HDJ38" s="47"/>
      <c r="HDK38" s="48"/>
      <c r="HDL38" s="48"/>
      <c r="HDM38" s="48"/>
      <c r="HDN38" s="48"/>
      <c r="HDO38" s="48"/>
      <c r="HDP38" s="48"/>
      <c r="HDQ38" s="48"/>
      <c r="HDR38" s="48"/>
      <c r="HDS38" s="48"/>
      <c r="HDT38" s="48"/>
      <c r="HDU38" s="48"/>
      <c r="HDV38" s="48"/>
      <c r="HDW38" s="48"/>
      <c r="HDX38" s="48"/>
      <c r="HDY38" s="48"/>
      <c r="HDZ38" s="48"/>
      <c r="HEA38" s="48"/>
      <c r="HEB38" s="48"/>
      <c r="HEC38" s="45"/>
      <c r="HED38" s="46"/>
      <c r="HEE38" s="46"/>
      <c r="HEF38" s="47"/>
      <c r="HEG38" s="48"/>
      <c r="HEH38" s="48"/>
      <c r="HEI38" s="48"/>
      <c r="HEJ38" s="48"/>
      <c r="HEK38" s="48"/>
      <c r="HEL38" s="48"/>
      <c r="HEM38" s="48"/>
      <c r="HEN38" s="48"/>
      <c r="HEO38" s="48"/>
      <c r="HEP38" s="48"/>
      <c r="HEQ38" s="48"/>
      <c r="HER38" s="48"/>
      <c r="HES38" s="48"/>
      <c r="HET38" s="48"/>
      <c r="HEU38" s="48"/>
      <c r="HEV38" s="48"/>
      <c r="HEW38" s="48"/>
      <c r="HEX38" s="48"/>
      <c r="HEY38" s="45"/>
      <c r="HEZ38" s="46"/>
      <c r="HFA38" s="46"/>
      <c r="HFB38" s="47"/>
      <c r="HFC38" s="48"/>
      <c r="HFD38" s="48"/>
      <c r="HFE38" s="48"/>
      <c r="HFF38" s="48"/>
      <c r="HFG38" s="48"/>
      <c r="HFH38" s="48"/>
      <c r="HFI38" s="48"/>
      <c r="HFJ38" s="48"/>
      <c r="HFK38" s="48"/>
      <c r="HFL38" s="48"/>
      <c r="HFM38" s="48"/>
      <c r="HFN38" s="48"/>
      <c r="HFO38" s="48"/>
      <c r="HFP38" s="48"/>
      <c r="HFQ38" s="48"/>
      <c r="HFR38" s="48"/>
      <c r="HFS38" s="48"/>
      <c r="HFT38" s="48"/>
      <c r="HFU38" s="45"/>
      <c r="HFV38" s="46"/>
      <c r="HFW38" s="46"/>
      <c r="HFX38" s="47"/>
      <c r="HFY38" s="48"/>
      <c r="HFZ38" s="48"/>
      <c r="HGA38" s="48"/>
      <c r="HGB38" s="48"/>
      <c r="HGC38" s="48"/>
      <c r="HGD38" s="48"/>
      <c r="HGE38" s="48"/>
      <c r="HGF38" s="48"/>
      <c r="HGG38" s="48"/>
      <c r="HGH38" s="48"/>
      <c r="HGI38" s="48"/>
      <c r="HGJ38" s="48"/>
      <c r="HGK38" s="48"/>
      <c r="HGL38" s="48"/>
      <c r="HGM38" s="48"/>
      <c r="HGN38" s="48"/>
      <c r="HGO38" s="48"/>
      <c r="HGP38" s="48"/>
      <c r="HGQ38" s="45"/>
      <c r="HGR38" s="46"/>
      <c r="HGS38" s="46"/>
      <c r="HGT38" s="47"/>
      <c r="HGU38" s="48"/>
      <c r="HGV38" s="48"/>
      <c r="HGW38" s="48"/>
      <c r="HGX38" s="48"/>
      <c r="HGY38" s="48"/>
      <c r="HGZ38" s="48"/>
      <c r="HHA38" s="48"/>
      <c r="HHB38" s="48"/>
      <c r="HHC38" s="48"/>
      <c r="HHD38" s="48"/>
      <c r="HHE38" s="48"/>
      <c r="HHF38" s="48"/>
      <c r="HHG38" s="48"/>
      <c r="HHH38" s="48"/>
      <c r="HHI38" s="48"/>
      <c r="HHJ38" s="48"/>
      <c r="HHK38" s="48"/>
      <c r="HHL38" s="48"/>
      <c r="HHM38" s="45"/>
      <c r="HHN38" s="46"/>
      <c r="HHO38" s="46"/>
      <c r="HHP38" s="47"/>
      <c r="HHQ38" s="48"/>
      <c r="HHR38" s="48"/>
      <c r="HHS38" s="48"/>
      <c r="HHT38" s="48"/>
      <c r="HHU38" s="48"/>
      <c r="HHV38" s="48"/>
      <c r="HHW38" s="48"/>
      <c r="HHX38" s="48"/>
      <c r="HHY38" s="48"/>
      <c r="HHZ38" s="48"/>
      <c r="HIA38" s="48"/>
      <c r="HIB38" s="48"/>
      <c r="HIC38" s="48"/>
      <c r="HID38" s="48"/>
      <c r="HIE38" s="48"/>
      <c r="HIF38" s="48"/>
      <c r="HIG38" s="48"/>
      <c r="HIH38" s="48"/>
      <c r="HII38" s="45"/>
      <c r="HIJ38" s="46"/>
      <c r="HIK38" s="46"/>
      <c r="HIL38" s="47"/>
      <c r="HIM38" s="48"/>
      <c r="HIN38" s="48"/>
      <c r="HIO38" s="48"/>
      <c r="HIP38" s="48"/>
      <c r="HIQ38" s="48"/>
      <c r="HIR38" s="48"/>
      <c r="HIS38" s="48"/>
      <c r="HIT38" s="48"/>
      <c r="HIU38" s="48"/>
      <c r="HIV38" s="48"/>
      <c r="HIW38" s="48"/>
      <c r="HIX38" s="48"/>
      <c r="HIY38" s="48"/>
      <c r="HIZ38" s="48"/>
      <c r="HJA38" s="48"/>
      <c r="HJB38" s="48"/>
      <c r="HJC38" s="48"/>
      <c r="HJD38" s="48"/>
      <c r="HJE38" s="45"/>
      <c r="HJF38" s="46"/>
      <c r="HJG38" s="46"/>
      <c r="HJH38" s="47"/>
      <c r="HJI38" s="48"/>
      <c r="HJJ38" s="48"/>
      <c r="HJK38" s="48"/>
      <c r="HJL38" s="48"/>
      <c r="HJM38" s="48"/>
      <c r="HJN38" s="48"/>
      <c r="HJO38" s="48"/>
      <c r="HJP38" s="48"/>
      <c r="HJQ38" s="48"/>
      <c r="HJR38" s="48"/>
      <c r="HJS38" s="48"/>
      <c r="HJT38" s="48"/>
      <c r="HJU38" s="48"/>
      <c r="HJV38" s="48"/>
      <c r="HJW38" s="48"/>
      <c r="HJX38" s="48"/>
      <c r="HJY38" s="48"/>
      <c r="HJZ38" s="48"/>
      <c r="HKA38" s="45"/>
      <c r="HKB38" s="46"/>
      <c r="HKC38" s="46"/>
      <c r="HKD38" s="47"/>
      <c r="HKE38" s="48"/>
      <c r="HKF38" s="48"/>
      <c r="HKG38" s="48"/>
      <c r="HKH38" s="48"/>
      <c r="HKI38" s="48"/>
      <c r="HKJ38" s="48"/>
      <c r="HKK38" s="48"/>
      <c r="HKL38" s="48"/>
      <c r="HKM38" s="48"/>
      <c r="HKN38" s="48"/>
      <c r="HKO38" s="48"/>
      <c r="HKP38" s="48"/>
      <c r="HKQ38" s="48"/>
      <c r="HKR38" s="48"/>
      <c r="HKS38" s="48"/>
      <c r="HKT38" s="48"/>
      <c r="HKU38" s="48"/>
      <c r="HKV38" s="48"/>
      <c r="HKW38" s="45"/>
      <c r="HKX38" s="46"/>
      <c r="HKY38" s="46"/>
      <c r="HKZ38" s="47"/>
      <c r="HLA38" s="48"/>
      <c r="HLB38" s="48"/>
      <c r="HLC38" s="48"/>
      <c r="HLD38" s="48"/>
      <c r="HLE38" s="48"/>
      <c r="HLF38" s="48"/>
      <c r="HLG38" s="48"/>
      <c r="HLH38" s="48"/>
      <c r="HLI38" s="48"/>
      <c r="HLJ38" s="48"/>
      <c r="HLK38" s="48"/>
      <c r="HLL38" s="48"/>
      <c r="HLM38" s="48"/>
      <c r="HLN38" s="48"/>
      <c r="HLO38" s="48"/>
      <c r="HLP38" s="48"/>
      <c r="HLQ38" s="48"/>
      <c r="HLR38" s="48"/>
      <c r="HLS38" s="45"/>
      <c r="HLT38" s="46"/>
      <c r="HLU38" s="46"/>
      <c r="HLV38" s="47"/>
      <c r="HLW38" s="48"/>
      <c r="HLX38" s="48"/>
      <c r="HLY38" s="48"/>
      <c r="HLZ38" s="48"/>
      <c r="HMA38" s="48"/>
      <c r="HMB38" s="48"/>
      <c r="HMC38" s="48"/>
      <c r="HMD38" s="48"/>
      <c r="HME38" s="48"/>
      <c r="HMF38" s="48"/>
      <c r="HMG38" s="48"/>
      <c r="HMH38" s="48"/>
      <c r="HMI38" s="48"/>
      <c r="HMJ38" s="48"/>
      <c r="HMK38" s="48"/>
      <c r="HML38" s="48"/>
      <c r="HMM38" s="48"/>
      <c r="HMN38" s="48"/>
      <c r="HMO38" s="45"/>
      <c r="HMP38" s="46"/>
      <c r="HMQ38" s="46"/>
      <c r="HMR38" s="47"/>
      <c r="HMS38" s="48"/>
      <c r="HMT38" s="48"/>
      <c r="HMU38" s="48"/>
      <c r="HMV38" s="48"/>
      <c r="HMW38" s="48"/>
      <c r="HMX38" s="48"/>
      <c r="HMY38" s="48"/>
      <c r="HMZ38" s="48"/>
      <c r="HNA38" s="48"/>
      <c r="HNB38" s="48"/>
      <c r="HNC38" s="48"/>
      <c r="HND38" s="48"/>
      <c r="HNE38" s="48"/>
      <c r="HNF38" s="48"/>
      <c r="HNG38" s="48"/>
      <c r="HNH38" s="48"/>
      <c r="HNI38" s="48"/>
      <c r="HNJ38" s="48"/>
      <c r="HNK38" s="45"/>
      <c r="HNL38" s="46"/>
      <c r="HNM38" s="46"/>
      <c r="HNN38" s="47"/>
      <c r="HNO38" s="48"/>
      <c r="HNP38" s="48"/>
      <c r="HNQ38" s="48"/>
      <c r="HNR38" s="48"/>
      <c r="HNS38" s="48"/>
      <c r="HNT38" s="48"/>
      <c r="HNU38" s="48"/>
      <c r="HNV38" s="48"/>
      <c r="HNW38" s="48"/>
      <c r="HNX38" s="48"/>
      <c r="HNY38" s="48"/>
      <c r="HNZ38" s="48"/>
      <c r="HOA38" s="48"/>
      <c r="HOB38" s="48"/>
      <c r="HOC38" s="48"/>
      <c r="HOD38" s="48"/>
      <c r="HOE38" s="48"/>
      <c r="HOF38" s="48"/>
      <c r="HOG38" s="45"/>
      <c r="HOH38" s="46"/>
      <c r="HOI38" s="46"/>
      <c r="HOJ38" s="47"/>
      <c r="HOK38" s="48"/>
      <c r="HOL38" s="48"/>
      <c r="HOM38" s="48"/>
      <c r="HON38" s="48"/>
      <c r="HOO38" s="48"/>
      <c r="HOP38" s="48"/>
      <c r="HOQ38" s="48"/>
      <c r="HOR38" s="48"/>
      <c r="HOS38" s="48"/>
      <c r="HOT38" s="48"/>
      <c r="HOU38" s="48"/>
      <c r="HOV38" s="48"/>
      <c r="HOW38" s="48"/>
      <c r="HOX38" s="48"/>
      <c r="HOY38" s="48"/>
      <c r="HOZ38" s="48"/>
      <c r="HPA38" s="48"/>
      <c r="HPB38" s="48"/>
      <c r="HPC38" s="45"/>
      <c r="HPD38" s="46"/>
      <c r="HPE38" s="46"/>
      <c r="HPF38" s="47"/>
      <c r="HPG38" s="48"/>
      <c r="HPH38" s="48"/>
      <c r="HPI38" s="48"/>
      <c r="HPJ38" s="48"/>
      <c r="HPK38" s="48"/>
      <c r="HPL38" s="48"/>
      <c r="HPM38" s="48"/>
      <c r="HPN38" s="48"/>
      <c r="HPO38" s="48"/>
      <c r="HPP38" s="48"/>
      <c r="HPQ38" s="48"/>
      <c r="HPR38" s="48"/>
      <c r="HPS38" s="48"/>
      <c r="HPT38" s="48"/>
      <c r="HPU38" s="48"/>
      <c r="HPV38" s="48"/>
      <c r="HPW38" s="48"/>
      <c r="HPX38" s="48"/>
      <c r="HPY38" s="45"/>
      <c r="HPZ38" s="46"/>
      <c r="HQA38" s="46"/>
      <c r="HQB38" s="47"/>
      <c r="HQC38" s="48"/>
      <c r="HQD38" s="48"/>
      <c r="HQE38" s="48"/>
      <c r="HQF38" s="48"/>
      <c r="HQG38" s="48"/>
      <c r="HQH38" s="48"/>
      <c r="HQI38" s="48"/>
      <c r="HQJ38" s="48"/>
      <c r="HQK38" s="48"/>
      <c r="HQL38" s="48"/>
      <c r="HQM38" s="48"/>
      <c r="HQN38" s="48"/>
      <c r="HQO38" s="48"/>
      <c r="HQP38" s="48"/>
      <c r="HQQ38" s="48"/>
      <c r="HQR38" s="48"/>
      <c r="HQS38" s="48"/>
      <c r="HQT38" s="48"/>
      <c r="HQU38" s="45"/>
      <c r="HQV38" s="46"/>
      <c r="HQW38" s="46"/>
      <c r="HQX38" s="47"/>
      <c r="HQY38" s="48"/>
      <c r="HQZ38" s="48"/>
      <c r="HRA38" s="48"/>
      <c r="HRB38" s="48"/>
      <c r="HRC38" s="48"/>
      <c r="HRD38" s="48"/>
      <c r="HRE38" s="48"/>
      <c r="HRF38" s="48"/>
      <c r="HRG38" s="48"/>
      <c r="HRH38" s="48"/>
      <c r="HRI38" s="48"/>
      <c r="HRJ38" s="48"/>
      <c r="HRK38" s="48"/>
      <c r="HRL38" s="48"/>
      <c r="HRM38" s="48"/>
      <c r="HRN38" s="48"/>
      <c r="HRO38" s="48"/>
      <c r="HRP38" s="48"/>
      <c r="HRQ38" s="45"/>
      <c r="HRR38" s="46"/>
      <c r="HRS38" s="46"/>
      <c r="HRT38" s="47"/>
      <c r="HRU38" s="48"/>
      <c r="HRV38" s="48"/>
      <c r="HRW38" s="48"/>
      <c r="HRX38" s="48"/>
      <c r="HRY38" s="48"/>
      <c r="HRZ38" s="48"/>
      <c r="HSA38" s="48"/>
      <c r="HSB38" s="48"/>
      <c r="HSC38" s="48"/>
      <c r="HSD38" s="48"/>
      <c r="HSE38" s="48"/>
      <c r="HSF38" s="48"/>
      <c r="HSG38" s="48"/>
      <c r="HSH38" s="48"/>
      <c r="HSI38" s="48"/>
      <c r="HSJ38" s="48"/>
      <c r="HSK38" s="48"/>
      <c r="HSL38" s="48"/>
      <c r="HSM38" s="45"/>
      <c r="HSN38" s="46"/>
      <c r="HSO38" s="46"/>
      <c r="HSP38" s="47"/>
      <c r="HSQ38" s="48"/>
      <c r="HSR38" s="48"/>
      <c r="HSS38" s="48"/>
      <c r="HST38" s="48"/>
      <c r="HSU38" s="48"/>
      <c r="HSV38" s="48"/>
      <c r="HSW38" s="48"/>
      <c r="HSX38" s="48"/>
      <c r="HSY38" s="48"/>
      <c r="HSZ38" s="48"/>
      <c r="HTA38" s="48"/>
      <c r="HTB38" s="48"/>
      <c r="HTC38" s="48"/>
      <c r="HTD38" s="48"/>
      <c r="HTE38" s="48"/>
      <c r="HTF38" s="48"/>
      <c r="HTG38" s="48"/>
      <c r="HTH38" s="48"/>
      <c r="HTI38" s="45"/>
      <c r="HTJ38" s="46"/>
      <c r="HTK38" s="46"/>
      <c r="HTL38" s="47"/>
      <c r="HTM38" s="48"/>
      <c r="HTN38" s="48"/>
      <c r="HTO38" s="48"/>
      <c r="HTP38" s="48"/>
      <c r="HTQ38" s="48"/>
      <c r="HTR38" s="48"/>
      <c r="HTS38" s="48"/>
      <c r="HTT38" s="48"/>
      <c r="HTU38" s="48"/>
      <c r="HTV38" s="48"/>
      <c r="HTW38" s="48"/>
      <c r="HTX38" s="48"/>
      <c r="HTY38" s="48"/>
      <c r="HTZ38" s="48"/>
      <c r="HUA38" s="48"/>
      <c r="HUB38" s="48"/>
      <c r="HUC38" s="48"/>
      <c r="HUD38" s="48"/>
      <c r="HUE38" s="45"/>
      <c r="HUF38" s="46"/>
      <c r="HUG38" s="46"/>
      <c r="HUH38" s="47"/>
      <c r="HUI38" s="48"/>
      <c r="HUJ38" s="48"/>
      <c r="HUK38" s="48"/>
      <c r="HUL38" s="48"/>
      <c r="HUM38" s="48"/>
      <c r="HUN38" s="48"/>
      <c r="HUO38" s="48"/>
      <c r="HUP38" s="48"/>
      <c r="HUQ38" s="48"/>
      <c r="HUR38" s="48"/>
      <c r="HUS38" s="48"/>
      <c r="HUT38" s="48"/>
      <c r="HUU38" s="48"/>
      <c r="HUV38" s="48"/>
      <c r="HUW38" s="48"/>
      <c r="HUX38" s="48"/>
      <c r="HUY38" s="48"/>
      <c r="HUZ38" s="48"/>
      <c r="HVA38" s="45"/>
      <c r="HVB38" s="46"/>
      <c r="HVC38" s="46"/>
      <c r="HVD38" s="47"/>
      <c r="HVE38" s="48"/>
      <c r="HVF38" s="48"/>
      <c r="HVG38" s="48"/>
      <c r="HVH38" s="48"/>
      <c r="HVI38" s="48"/>
      <c r="HVJ38" s="48"/>
      <c r="HVK38" s="48"/>
      <c r="HVL38" s="48"/>
      <c r="HVM38" s="48"/>
      <c r="HVN38" s="48"/>
      <c r="HVO38" s="48"/>
      <c r="HVP38" s="48"/>
      <c r="HVQ38" s="48"/>
      <c r="HVR38" s="48"/>
      <c r="HVS38" s="48"/>
      <c r="HVT38" s="48"/>
      <c r="HVU38" s="48"/>
      <c r="HVV38" s="48"/>
      <c r="HVW38" s="45"/>
      <c r="HVX38" s="46"/>
      <c r="HVY38" s="46"/>
      <c r="HVZ38" s="47"/>
      <c r="HWA38" s="48"/>
      <c r="HWB38" s="48"/>
      <c r="HWC38" s="48"/>
      <c r="HWD38" s="48"/>
      <c r="HWE38" s="48"/>
      <c r="HWF38" s="48"/>
      <c r="HWG38" s="48"/>
      <c r="HWH38" s="48"/>
      <c r="HWI38" s="48"/>
      <c r="HWJ38" s="48"/>
      <c r="HWK38" s="48"/>
      <c r="HWL38" s="48"/>
      <c r="HWM38" s="48"/>
      <c r="HWN38" s="48"/>
      <c r="HWO38" s="48"/>
      <c r="HWP38" s="48"/>
      <c r="HWQ38" s="48"/>
      <c r="HWR38" s="48"/>
      <c r="HWS38" s="45"/>
      <c r="HWT38" s="46"/>
      <c r="HWU38" s="46"/>
      <c r="HWV38" s="47"/>
      <c r="HWW38" s="48"/>
      <c r="HWX38" s="48"/>
      <c r="HWY38" s="48"/>
      <c r="HWZ38" s="48"/>
      <c r="HXA38" s="48"/>
      <c r="HXB38" s="48"/>
      <c r="HXC38" s="48"/>
      <c r="HXD38" s="48"/>
      <c r="HXE38" s="48"/>
      <c r="HXF38" s="48"/>
      <c r="HXG38" s="48"/>
      <c r="HXH38" s="48"/>
      <c r="HXI38" s="48"/>
      <c r="HXJ38" s="48"/>
      <c r="HXK38" s="48"/>
      <c r="HXL38" s="48"/>
      <c r="HXM38" s="48"/>
      <c r="HXN38" s="48"/>
      <c r="HXO38" s="45"/>
      <c r="HXP38" s="46"/>
      <c r="HXQ38" s="46"/>
      <c r="HXR38" s="47"/>
      <c r="HXS38" s="48"/>
      <c r="HXT38" s="48"/>
      <c r="HXU38" s="48"/>
      <c r="HXV38" s="48"/>
      <c r="HXW38" s="48"/>
      <c r="HXX38" s="48"/>
      <c r="HXY38" s="48"/>
      <c r="HXZ38" s="48"/>
      <c r="HYA38" s="48"/>
      <c r="HYB38" s="48"/>
      <c r="HYC38" s="48"/>
      <c r="HYD38" s="48"/>
      <c r="HYE38" s="48"/>
      <c r="HYF38" s="48"/>
      <c r="HYG38" s="48"/>
      <c r="HYH38" s="48"/>
      <c r="HYI38" s="48"/>
      <c r="HYJ38" s="48"/>
      <c r="HYK38" s="45"/>
      <c r="HYL38" s="46"/>
      <c r="HYM38" s="46"/>
      <c r="HYN38" s="47"/>
      <c r="HYO38" s="48"/>
      <c r="HYP38" s="48"/>
      <c r="HYQ38" s="48"/>
      <c r="HYR38" s="48"/>
      <c r="HYS38" s="48"/>
      <c r="HYT38" s="48"/>
      <c r="HYU38" s="48"/>
      <c r="HYV38" s="48"/>
      <c r="HYW38" s="48"/>
      <c r="HYX38" s="48"/>
      <c r="HYY38" s="48"/>
      <c r="HYZ38" s="48"/>
      <c r="HZA38" s="48"/>
      <c r="HZB38" s="48"/>
      <c r="HZC38" s="48"/>
      <c r="HZD38" s="48"/>
      <c r="HZE38" s="48"/>
      <c r="HZF38" s="48"/>
      <c r="HZG38" s="45"/>
      <c r="HZH38" s="46"/>
      <c r="HZI38" s="46"/>
      <c r="HZJ38" s="47"/>
      <c r="HZK38" s="48"/>
      <c r="HZL38" s="48"/>
      <c r="HZM38" s="48"/>
      <c r="HZN38" s="48"/>
      <c r="HZO38" s="48"/>
      <c r="HZP38" s="48"/>
      <c r="HZQ38" s="48"/>
      <c r="HZR38" s="48"/>
      <c r="HZS38" s="48"/>
      <c r="HZT38" s="48"/>
      <c r="HZU38" s="48"/>
      <c r="HZV38" s="48"/>
      <c r="HZW38" s="48"/>
      <c r="HZX38" s="48"/>
      <c r="HZY38" s="48"/>
      <c r="HZZ38" s="48"/>
      <c r="IAA38" s="48"/>
      <c r="IAB38" s="48"/>
      <c r="IAC38" s="45"/>
      <c r="IAD38" s="46"/>
      <c r="IAE38" s="46"/>
      <c r="IAF38" s="47"/>
      <c r="IAG38" s="48"/>
      <c r="IAH38" s="48"/>
      <c r="IAI38" s="48"/>
      <c r="IAJ38" s="48"/>
      <c r="IAK38" s="48"/>
      <c r="IAL38" s="48"/>
      <c r="IAM38" s="48"/>
      <c r="IAN38" s="48"/>
      <c r="IAO38" s="48"/>
      <c r="IAP38" s="48"/>
      <c r="IAQ38" s="48"/>
      <c r="IAR38" s="48"/>
      <c r="IAS38" s="48"/>
      <c r="IAT38" s="48"/>
      <c r="IAU38" s="48"/>
      <c r="IAV38" s="48"/>
      <c r="IAW38" s="48"/>
      <c r="IAX38" s="48"/>
      <c r="IAY38" s="45"/>
      <c r="IAZ38" s="46"/>
      <c r="IBA38" s="46"/>
      <c r="IBB38" s="47"/>
      <c r="IBC38" s="48"/>
      <c r="IBD38" s="48"/>
      <c r="IBE38" s="48"/>
      <c r="IBF38" s="48"/>
      <c r="IBG38" s="48"/>
      <c r="IBH38" s="48"/>
      <c r="IBI38" s="48"/>
      <c r="IBJ38" s="48"/>
      <c r="IBK38" s="48"/>
      <c r="IBL38" s="48"/>
      <c r="IBM38" s="48"/>
      <c r="IBN38" s="48"/>
      <c r="IBO38" s="48"/>
      <c r="IBP38" s="48"/>
      <c r="IBQ38" s="48"/>
      <c r="IBR38" s="48"/>
      <c r="IBS38" s="48"/>
      <c r="IBT38" s="48"/>
      <c r="IBU38" s="45"/>
      <c r="IBV38" s="46"/>
      <c r="IBW38" s="46"/>
      <c r="IBX38" s="47"/>
      <c r="IBY38" s="48"/>
      <c r="IBZ38" s="48"/>
      <c r="ICA38" s="48"/>
      <c r="ICB38" s="48"/>
      <c r="ICC38" s="48"/>
      <c r="ICD38" s="48"/>
      <c r="ICE38" s="48"/>
      <c r="ICF38" s="48"/>
      <c r="ICG38" s="48"/>
      <c r="ICH38" s="48"/>
      <c r="ICI38" s="48"/>
      <c r="ICJ38" s="48"/>
      <c r="ICK38" s="48"/>
      <c r="ICL38" s="48"/>
      <c r="ICM38" s="48"/>
      <c r="ICN38" s="48"/>
      <c r="ICO38" s="48"/>
      <c r="ICP38" s="48"/>
      <c r="ICQ38" s="45"/>
      <c r="ICR38" s="46"/>
      <c r="ICS38" s="46"/>
      <c r="ICT38" s="47"/>
      <c r="ICU38" s="48"/>
      <c r="ICV38" s="48"/>
      <c r="ICW38" s="48"/>
      <c r="ICX38" s="48"/>
      <c r="ICY38" s="48"/>
      <c r="ICZ38" s="48"/>
      <c r="IDA38" s="48"/>
      <c r="IDB38" s="48"/>
      <c r="IDC38" s="48"/>
      <c r="IDD38" s="48"/>
      <c r="IDE38" s="48"/>
      <c r="IDF38" s="48"/>
      <c r="IDG38" s="48"/>
      <c r="IDH38" s="48"/>
      <c r="IDI38" s="48"/>
      <c r="IDJ38" s="48"/>
      <c r="IDK38" s="48"/>
      <c r="IDL38" s="48"/>
      <c r="IDM38" s="45"/>
      <c r="IDN38" s="46"/>
      <c r="IDO38" s="46"/>
      <c r="IDP38" s="47"/>
      <c r="IDQ38" s="48"/>
      <c r="IDR38" s="48"/>
      <c r="IDS38" s="48"/>
      <c r="IDT38" s="48"/>
      <c r="IDU38" s="48"/>
      <c r="IDV38" s="48"/>
      <c r="IDW38" s="48"/>
      <c r="IDX38" s="48"/>
      <c r="IDY38" s="48"/>
      <c r="IDZ38" s="48"/>
      <c r="IEA38" s="48"/>
      <c r="IEB38" s="48"/>
      <c r="IEC38" s="48"/>
      <c r="IED38" s="48"/>
      <c r="IEE38" s="48"/>
      <c r="IEF38" s="48"/>
      <c r="IEG38" s="48"/>
      <c r="IEH38" s="48"/>
      <c r="IEI38" s="45"/>
      <c r="IEJ38" s="46"/>
      <c r="IEK38" s="46"/>
      <c r="IEL38" s="47"/>
      <c r="IEM38" s="48"/>
      <c r="IEN38" s="48"/>
      <c r="IEO38" s="48"/>
      <c r="IEP38" s="48"/>
      <c r="IEQ38" s="48"/>
      <c r="IER38" s="48"/>
      <c r="IES38" s="48"/>
      <c r="IET38" s="48"/>
      <c r="IEU38" s="48"/>
      <c r="IEV38" s="48"/>
      <c r="IEW38" s="48"/>
      <c r="IEX38" s="48"/>
      <c r="IEY38" s="48"/>
      <c r="IEZ38" s="48"/>
      <c r="IFA38" s="48"/>
      <c r="IFB38" s="48"/>
      <c r="IFC38" s="48"/>
      <c r="IFD38" s="48"/>
      <c r="IFE38" s="45"/>
      <c r="IFF38" s="46"/>
      <c r="IFG38" s="46"/>
      <c r="IFH38" s="47"/>
      <c r="IFI38" s="48"/>
      <c r="IFJ38" s="48"/>
      <c r="IFK38" s="48"/>
      <c r="IFL38" s="48"/>
      <c r="IFM38" s="48"/>
      <c r="IFN38" s="48"/>
      <c r="IFO38" s="48"/>
      <c r="IFP38" s="48"/>
      <c r="IFQ38" s="48"/>
      <c r="IFR38" s="48"/>
      <c r="IFS38" s="48"/>
      <c r="IFT38" s="48"/>
      <c r="IFU38" s="48"/>
      <c r="IFV38" s="48"/>
      <c r="IFW38" s="48"/>
      <c r="IFX38" s="48"/>
      <c r="IFY38" s="48"/>
      <c r="IFZ38" s="48"/>
      <c r="IGA38" s="45"/>
      <c r="IGB38" s="46"/>
      <c r="IGC38" s="46"/>
      <c r="IGD38" s="47"/>
      <c r="IGE38" s="48"/>
      <c r="IGF38" s="48"/>
      <c r="IGG38" s="48"/>
      <c r="IGH38" s="48"/>
      <c r="IGI38" s="48"/>
      <c r="IGJ38" s="48"/>
      <c r="IGK38" s="48"/>
      <c r="IGL38" s="48"/>
      <c r="IGM38" s="48"/>
      <c r="IGN38" s="48"/>
      <c r="IGO38" s="48"/>
      <c r="IGP38" s="48"/>
      <c r="IGQ38" s="48"/>
      <c r="IGR38" s="48"/>
      <c r="IGS38" s="48"/>
      <c r="IGT38" s="48"/>
      <c r="IGU38" s="48"/>
      <c r="IGV38" s="48"/>
      <c r="IGW38" s="45"/>
      <c r="IGX38" s="46"/>
      <c r="IGY38" s="46"/>
      <c r="IGZ38" s="47"/>
      <c r="IHA38" s="48"/>
      <c r="IHB38" s="48"/>
      <c r="IHC38" s="48"/>
      <c r="IHD38" s="48"/>
      <c r="IHE38" s="48"/>
      <c r="IHF38" s="48"/>
      <c r="IHG38" s="48"/>
      <c r="IHH38" s="48"/>
      <c r="IHI38" s="48"/>
      <c r="IHJ38" s="48"/>
      <c r="IHK38" s="48"/>
      <c r="IHL38" s="48"/>
      <c r="IHM38" s="48"/>
      <c r="IHN38" s="48"/>
      <c r="IHO38" s="48"/>
      <c r="IHP38" s="48"/>
      <c r="IHQ38" s="48"/>
      <c r="IHR38" s="48"/>
      <c r="IHS38" s="45"/>
      <c r="IHT38" s="46"/>
      <c r="IHU38" s="46"/>
      <c r="IHV38" s="47"/>
      <c r="IHW38" s="48"/>
      <c r="IHX38" s="48"/>
      <c r="IHY38" s="48"/>
      <c r="IHZ38" s="48"/>
      <c r="IIA38" s="48"/>
      <c r="IIB38" s="48"/>
      <c r="IIC38" s="48"/>
      <c r="IID38" s="48"/>
      <c r="IIE38" s="48"/>
      <c r="IIF38" s="48"/>
      <c r="IIG38" s="48"/>
      <c r="IIH38" s="48"/>
      <c r="III38" s="48"/>
      <c r="IIJ38" s="48"/>
      <c r="IIK38" s="48"/>
      <c r="IIL38" s="48"/>
      <c r="IIM38" s="48"/>
      <c r="IIN38" s="48"/>
      <c r="IIO38" s="45"/>
      <c r="IIP38" s="46"/>
      <c r="IIQ38" s="46"/>
      <c r="IIR38" s="47"/>
      <c r="IIS38" s="48"/>
      <c r="IIT38" s="48"/>
      <c r="IIU38" s="48"/>
      <c r="IIV38" s="48"/>
      <c r="IIW38" s="48"/>
      <c r="IIX38" s="48"/>
      <c r="IIY38" s="48"/>
      <c r="IIZ38" s="48"/>
      <c r="IJA38" s="48"/>
      <c r="IJB38" s="48"/>
      <c r="IJC38" s="48"/>
      <c r="IJD38" s="48"/>
      <c r="IJE38" s="48"/>
      <c r="IJF38" s="48"/>
      <c r="IJG38" s="48"/>
      <c r="IJH38" s="48"/>
      <c r="IJI38" s="48"/>
      <c r="IJJ38" s="48"/>
      <c r="IJK38" s="45"/>
      <c r="IJL38" s="46"/>
      <c r="IJM38" s="46"/>
      <c r="IJN38" s="47"/>
      <c r="IJO38" s="48"/>
      <c r="IJP38" s="48"/>
      <c r="IJQ38" s="48"/>
      <c r="IJR38" s="48"/>
      <c r="IJS38" s="48"/>
      <c r="IJT38" s="48"/>
      <c r="IJU38" s="48"/>
      <c r="IJV38" s="48"/>
      <c r="IJW38" s="48"/>
      <c r="IJX38" s="48"/>
      <c r="IJY38" s="48"/>
      <c r="IJZ38" s="48"/>
      <c r="IKA38" s="48"/>
      <c r="IKB38" s="48"/>
      <c r="IKC38" s="48"/>
      <c r="IKD38" s="48"/>
      <c r="IKE38" s="48"/>
      <c r="IKF38" s="48"/>
      <c r="IKG38" s="45"/>
      <c r="IKH38" s="46"/>
      <c r="IKI38" s="46"/>
      <c r="IKJ38" s="47"/>
      <c r="IKK38" s="48"/>
      <c r="IKL38" s="48"/>
      <c r="IKM38" s="48"/>
      <c r="IKN38" s="48"/>
      <c r="IKO38" s="48"/>
      <c r="IKP38" s="48"/>
      <c r="IKQ38" s="48"/>
      <c r="IKR38" s="48"/>
      <c r="IKS38" s="48"/>
      <c r="IKT38" s="48"/>
      <c r="IKU38" s="48"/>
      <c r="IKV38" s="48"/>
      <c r="IKW38" s="48"/>
      <c r="IKX38" s="48"/>
      <c r="IKY38" s="48"/>
      <c r="IKZ38" s="48"/>
      <c r="ILA38" s="48"/>
      <c r="ILB38" s="48"/>
      <c r="ILC38" s="45"/>
      <c r="ILD38" s="46"/>
      <c r="ILE38" s="46"/>
      <c r="ILF38" s="47"/>
      <c r="ILG38" s="48"/>
      <c r="ILH38" s="48"/>
      <c r="ILI38" s="48"/>
      <c r="ILJ38" s="48"/>
      <c r="ILK38" s="48"/>
      <c r="ILL38" s="48"/>
      <c r="ILM38" s="48"/>
      <c r="ILN38" s="48"/>
      <c r="ILO38" s="48"/>
      <c r="ILP38" s="48"/>
      <c r="ILQ38" s="48"/>
      <c r="ILR38" s="48"/>
      <c r="ILS38" s="48"/>
      <c r="ILT38" s="48"/>
      <c r="ILU38" s="48"/>
      <c r="ILV38" s="48"/>
      <c r="ILW38" s="48"/>
      <c r="ILX38" s="48"/>
      <c r="ILY38" s="45"/>
      <c r="ILZ38" s="46"/>
      <c r="IMA38" s="46"/>
      <c r="IMB38" s="47"/>
      <c r="IMC38" s="48"/>
      <c r="IMD38" s="48"/>
      <c r="IME38" s="48"/>
      <c r="IMF38" s="48"/>
      <c r="IMG38" s="48"/>
      <c r="IMH38" s="48"/>
      <c r="IMI38" s="48"/>
      <c r="IMJ38" s="48"/>
      <c r="IMK38" s="48"/>
      <c r="IML38" s="48"/>
      <c r="IMM38" s="48"/>
      <c r="IMN38" s="48"/>
      <c r="IMO38" s="48"/>
      <c r="IMP38" s="48"/>
      <c r="IMQ38" s="48"/>
      <c r="IMR38" s="48"/>
      <c r="IMS38" s="48"/>
      <c r="IMT38" s="48"/>
      <c r="IMU38" s="45"/>
      <c r="IMV38" s="46"/>
      <c r="IMW38" s="46"/>
      <c r="IMX38" s="47"/>
      <c r="IMY38" s="48"/>
      <c r="IMZ38" s="48"/>
      <c r="INA38" s="48"/>
      <c r="INB38" s="48"/>
      <c r="INC38" s="48"/>
      <c r="IND38" s="48"/>
      <c r="INE38" s="48"/>
      <c r="INF38" s="48"/>
      <c r="ING38" s="48"/>
      <c r="INH38" s="48"/>
      <c r="INI38" s="48"/>
      <c r="INJ38" s="48"/>
      <c r="INK38" s="48"/>
      <c r="INL38" s="48"/>
      <c r="INM38" s="48"/>
      <c r="INN38" s="48"/>
      <c r="INO38" s="48"/>
      <c r="INP38" s="48"/>
      <c r="INQ38" s="45"/>
      <c r="INR38" s="46"/>
      <c r="INS38" s="46"/>
      <c r="INT38" s="47"/>
      <c r="INU38" s="48"/>
      <c r="INV38" s="48"/>
      <c r="INW38" s="48"/>
      <c r="INX38" s="48"/>
      <c r="INY38" s="48"/>
      <c r="INZ38" s="48"/>
      <c r="IOA38" s="48"/>
      <c r="IOB38" s="48"/>
      <c r="IOC38" s="48"/>
      <c r="IOD38" s="48"/>
      <c r="IOE38" s="48"/>
      <c r="IOF38" s="48"/>
      <c r="IOG38" s="48"/>
      <c r="IOH38" s="48"/>
      <c r="IOI38" s="48"/>
      <c r="IOJ38" s="48"/>
      <c r="IOK38" s="48"/>
      <c r="IOL38" s="48"/>
      <c r="IOM38" s="45"/>
      <c r="ION38" s="46"/>
      <c r="IOO38" s="46"/>
      <c r="IOP38" s="47"/>
      <c r="IOQ38" s="48"/>
      <c r="IOR38" s="48"/>
      <c r="IOS38" s="48"/>
      <c r="IOT38" s="48"/>
      <c r="IOU38" s="48"/>
      <c r="IOV38" s="48"/>
      <c r="IOW38" s="48"/>
      <c r="IOX38" s="48"/>
      <c r="IOY38" s="48"/>
      <c r="IOZ38" s="48"/>
      <c r="IPA38" s="48"/>
      <c r="IPB38" s="48"/>
      <c r="IPC38" s="48"/>
      <c r="IPD38" s="48"/>
      <c r="IPE38" s="48"/>
      <c r="IPF38" s="48"/>
      <c r="IPG38" s="48"/>
      <c r="IPH38" s="48"/>
      <c r="IPI38" s="45"/>
      <c r="IPJ38" s="46"/>
      <c r="IPK38" s="46"/>
      <c r="IPL38" s="47"/>
      <c r="IPM38" s="48"/>
      <c r="IPN38" s="48"/>
      <c r="IPO38" s="48"/>
      <c r="IPP38" s="48"/>
      <c r="IPQ38" s="48"/>
      <c r="IPR38" s="48"/>
      <c r="IPS38" s="48"/>
      <c r="IPT38" s="48"/>
      <c r="IPU38" s="48"/>
      <c r="IPV38" s="48"/>
      <c r="IPW38" s="48"/>
      <c r="IPX38" s="48"/>
      <c r="IPY38" s="48"/>
      <c r="IPZ38" s="48"/>
      <c r="IQA38" s="48"/>
      <c r="IQB38" s="48"/>
      <c r="IQC38" s="48"/>
      <c r="IQD38" s="48"/>
      <c r="IQE38" s="45"/>
      <c r="IQF38" s="46"/>
      <c r="IQG38" s="46"/>
      <c r="IQH38" s="47"/>
      <c r="IQI38" s="48"/>
      <c r="IQJ38" s="48"/>
      <c r="IQK38" s="48"/>
      <c r="IQL38" s="48"/>
      <c r="IQM38" s="48"/>
      <c r="IQN38" s="48"/>
      <c r="IQO38" s="48"/>
      <c r="IQP38" s="48"/>
      <c r="IQQ38" s="48"/>
      <c r="IQR38" s="48"/>
      <c r="IQS38" s="48"/>
      <c r="IQT38" s="48"/>
      <c r="IQU38" s="48"/>
      <c r="IQV38" s="48"/>
      <c r="IQW38" s="48"/>
      <c r="IQX38" s="48"/>
      <c r="IQY38" s="48"/>
      <c r="IQZ38" s="48"/>
      <c r="IRA38" s="45"/>
      <c r="IRB38" s="46"/>
      <c r="IRC38" s="46"/>
      <c r="IRD38" s="47"/>
      <c r="IRE38" s="48"/>
      <c r="IRF38" s="48"/>
      <c r="IRG38" s="48"/>
      <c r="IRH38" s="48"/>
      <c r="IRI38" s="48"/>
      <c r="IRJ38" s="48"/>
      <c r="IRK38" s="48"/>
      <c r="IRL38" s="48"/>
      <c r="IRM38" s="48"/>
      <c r="IRN38" s="48"/>
      <c r="IRO38" s="48"/>
      <c r="IRP38" s="48"/>
      <c r="IRQ38" s="48"/>
      <c r="IRR38" s="48"/>
      <c r="IRS38" s="48"/>
      <c r="IRT38" s="48"/>
      <c r="IRU38" s="48"/>
      <c r="IRV38" s="48"/>
      <c r="IRW38" s="45"/>
      <c r="IRX38" s="46"/>
      <c r="IRY38" s="46"/>
      <c r="IRZ38" s="47"/>
      <c r="ISA38" s="48"/>
      <c r="ISB38" s="48"/>
      <c r="ISC38" s="48"/>
      <c r="ISD38" s="48"/>
      <c r="ISE38" s="48"/>
      <c r="ISF38" s="48"/>
      <c r="ISG38" s="48"/>
      <c r="ISH38" s="48"/>
      <c r="ISI38" s="48"/>
      <c r="ISJ38" s="48"/>
      <c r="ISK38" s="48"/>
      <c r="ISL38" s="48"/>
      <c r="ISM38" s="48"/>
      <c r="ISN38" s="48"/>
      <c r="ISO38" s="48"/>
      <c r="ISP38" s="48"/>
      <c r="ISQ38" s="48"/>
      <c r="ISR38" s="48"/>
      <c r="ISS38" s="45"/>
      <c r="IST38" s="46"/>
      <c r="ISU38" s="46"/>
      <c r="ISV38" s="47"/>
      <c r="ISW38" s="48"/>
      <c r="ISX38" s="48"/>
      <c r="ISY38" s="48"/>
      <c r="ISZ38" s="48"/>
      <c r="ITA38" s="48"/>
      <c r="ITB38" s="48"/>
      <c r="ITC38" s="48"/>
      <c r="ITD38" s="48"/>
      <c r="ITE38" s="48"/>
      <c r="ITF38" s="48"/>
      <c r="ITG38" s="48"/>
      <c r="ITH38" s="48"/>
      <c r="ITI38" s="48"/>
      <c r="ITJ38" s="48"/>
      <c r="ITK38" s="48"/>
      <c r="ITL38" s="48"/>
      <c r="ITM38" s="48"/>
      <c r="ITN38" s="48"/>
      <c r="ITO38" s="45"/>
      <c r="ITP38" s="46"/>
      <c r="ITQ38" s="46"/>
      <c r="ITR38" s="47"/>
      <c r="ITS38" s="48"/>
      <c r="ITT38" s="48"/>
      <c r="ITU38" s="48"/>
      <c r="ITV38" s="48"/>
      <c r="ITW38" s="48"/>
      <c r="ITX38" s="48"/>
      <c r="ITY38" s="48"/>
      <c r="ITZ38" s="48"/>
      <c r="IUA38" s="48"/>
      <c r="IUB38" s="48"/>
      <c r="IUC38" s="48"/>
      <c r="IUD38" s="48"/>
      <c r="IUE38" s="48"/>
      <c r="IUF38" s="48"/>
      <c r="IUG38" s="48"/>
      <c r="IUH38" s="48"/>
      <c r="IUI38" s="48"/>
      <c r="IUJ38" s="48"/>
      <c r="IUK38" s="45"/>
      <c r="IUL38" s="46"/>
      <c r="IUM38" s="46"/>
      <c r="IUN38" s="47"/>
      <c r="IUO38" s="48"/>
      <c r="IUP38" s="48"/>
      <c r="IUQ38" s="48"/>
      <c r="IUR38" s="48"/>
      <c r="IUS38" s="48"/>
      <c r="IUT38" s="48"/>
      <c r="IUU38" s="48"/>
      <c r="IUV38" s="48"/>
      <c r="IUW38" s="48"/>
      <c r="IUX38" s="48"/>
      <c r="IUY38" s="48"/>
      <c r="IUZ38" s="48"/>
      <c r="IVA38" s="48"/>
      <c r="IVB38" s="48"/>
      <c r="IVC38" s="48"/>
      <c r="IVD38" s="48"/>
      <c r="IVE38" s="48"/>
      <c r="IVF38" s="48"/>
      <c r="IVG38" s="45"/>
      <c r="IVH38" s="46"/>
      <c r="IVI38" s="46"/>
      <c r="IVJ38" s="47"/>
      <c r="IVK38" s="48"/>
      <c r="IVL38" s="48"/>
      <c r="IVM38" s="48"/>
      <c r="IVN38" s="48"/>
      <c r="IVO38" s="48"/>
      <c r="IVP38" s="48"/>
      <c r="IVQ38" s="48"/>
      <c r="IVR38" s="48"/>
      <c r="IVS38" s="48"/>
      <c r="IVT38" s="48"/>
      <c r="IVU38" s="48"/>
      <c r="IVV38" s="48"/>
      <c r="IVW38" s="48"/>
      <c r="IVX38" s="48"/>
      <c r="IVY38" s="48"/>
      <c r="IVZ38" s="48"/>
      <c r="IWA38" s="48"/>
      <c r="IWB38" s="48"/>
      <c r="IWC38" s="45"/>
      <c r="IWD38" s="46"/>
      <c r="IWE38" s="46"/>
      <c r="IWF38" s="47"/>
      <c r="IWG38" s="48"/>
      <c r="IWH38" s="48"/>
      <c r="IWI38" s="48"/>
      <c r="IWJ38" s="48"/>
      <c r="IWK38" s="48"/>
      <c r="IWL38" s="48"/>
      <c r="IWM38" s="48"/>
      <c r="IWN38" s="48"/>
      <c r="IWO38" s="48"/>
      <c r="IWP38" s="48"/>
      <c r="IWQ38" s="48"/>
      <c r="IWR38" s="48"/>
      <c r="IWS38" s="48"/>
      <c r="IWT38" s="48"/>
      <c r="IWU38" s="48"/>
      <c r="IWV38" s="48"/>
      <c r="IWW38" s="48"/>
      <c r="IWX38" s="48"/>
      <c r="IWY38" s="45"/>
      <c r="IWZ38" s="46"/>
      <c r="IXA38" s="46"/>
      <c r="IXB38" s="47"/>
      <c r="IXC38" s="48"/>
      <c r="IXD38" s="48"/>
      <c r="IXE38" s="48"/>
      <c r="IXF38" s="48"/>
      <c r="IXG38" s="48"/>
      <c r="IXH38" s="48"/>
      <c r="IXI38" s="48"/>
      <c r="IXJ38" s="48"/>
      <c r="IXK38" s="48"/>
      <c r="IXL38" s="48"/>
      <c r="IXM38" s="48"/>
      <c r="IXN38" s="48"/>
      <c r="IXO38" s="48"/>
      <c r="IXP38" s="48"/>
      <c r="IXQ38" s="48"/>
      <c r="IXR38" s="48"/>
      <c r="IXS38" s="48"/>
      <c r="IXT38" s="48"/>
      <c r="IXU38" s="45"/>
      <c r="IXV38" s="46"/>
      <c r="IXW38" s="46"/>
      <c r="IXX38" s="47"/>
      <c r="IXY38" s="48"/>
      <c r="IXZ38" s="48"/>
      <c r="IYA38" s="48"/>
      <c r="IYB38" s="48"/>
      <c r="IYC38" s="48"/>
      <c r="IYD38" s="48"/>
      <c r="IYE38" s="48"/>
      <c r="IYF38" s="48"/>
      <c r="IYG38" s="48"/>
      <c r="IYH38" s="48"/>
      <c r="IYI38" s="48"/>
      <c r="IYJ38" s="48"/>
      <c r="IYK38" s="48"/>
      <c r="IYL38" s="48"/>
      <c r="IYM38" s="48"/>
      <c r="IYN38" s="48"/>
      <c r="IYO38" s="48"/>
      <c r="IYP38" s="48"/>
      <c r="IYQ38" s="45"/>
      <c r="IYR38" s="46"/>
      <c r="IYS38" s="46"/>
      <c r="IYT38" s="47"/>
      <c r="IYU38" s="48"/>
      <c r="IYV38" s="48"/>
      <c r="IYW38" s="48"/>
      <c r="IYX38" s="48"/>
      <c r="IYY38" s="48"/>
      <c r="IYZ38" s="48"/>
      <c r="IZA38" s="48"/>
      <c r="IZB38" s="48"/>
      <c r="IZC38" s="48"/>
      <c r="IZD38" s="48"/>
      <c r="IZE38" s="48"/>
      <c r="IZF38" s="48"/>
      <c r="IZG38" s="48"/>
      <c r="IZH38" s="48"/>
      <c r="IZI38" s="48"/>
      <c r="IZJ38" s="48"/>
      <c r="IZK38" s="48"/>
      <c r="IZL38" s="48"/>
      <c r="IZM38" s="45"/>
      <c r="IZN38" s="46"/>
      <c r="IZO38" s="46"/>
      <c r="IZP38" s="47"/>
      <c r="IZQ38" s="48"/>
      <c r="IZR38" s="48"/>
      <c r="IZS38" s="48"/>
      <c r="IZT38" s="48"/>
      <c r="IZU38" s="48"/>
      <c r="IZV38" s="48"/>
      <c r="IZW38" s="48"/>
      <c r="IZX38" s="48"/>
      <c r="IZY38" s="48"/>
      <c r="IZZ38" s="48"/>
      <c r="JAA38" s="48"/>
      <c r="JAB38" s="48"/>
      <c r="JAC38" s="48"/>
      <c r="JAD38" s="48"/>
      <c r="JAE38" s="48"/>
      <c r="JAF38" s="48"/>
      <c r="JAG38" s="48"/>
      <c r="JAH38" s="48"/>
      <c r="JAI38" s="45"/>
      <c r="JAJ38" s="46"/>
      <c r="JAK38" s="46"/>
      <c r="JAL38" s="47"/>
      <c r="JAM38" s="48"/>
      <c r="JAN38" s="48"/>
      <c r="JAO38" s="48"/>
      <c r="JAP38" s="48"/>
      <c r="JAQ38" s="48"/>
      <c r="JAR38" s="48"/>
      <c r="JAS38" s="48"/>
      <c r="JAT38" s="48"/>
      <c r="JAU38" s="48"/>
      <c r="JAV38" s="48"/>
      <c r="JAW38" s="48"/>
      <c r="JAX38" s="48"/>
      <c r="JAY38" s="48"/>
      <c r="JAZ38" s="48"/>
      <c r="JBA38" s="48"/>
      <c r="JBB38" s="48"/>
      <c r="JBC38" s="48"/>
      <c r="JBD38" s="48"/>
      <c r="JBE38" s="45"/>
      <c r="JBF38" s="46"/>
      <c r="JBG38" s="46"/>
      <c r="JBH38" s="47"/>
      <c r="JBI38" s="48"/>
      <c r="JBJ38" s="48"/>
      <c r="JBK38" s="48"/>
      <c r="JBL38" s="48"/>
      <c r="JBM38" s="48"/>
      <c r="JBN38" s="48"/>
      <c r="JBO38" s="48"/>
      <c r="JBP38" s="48"/>
      <c r="JBQ38" s="48"/>
      <c r="JBR38" s="48"/>
      <c r="JBS38" s="48"/>
      <c r="JBT38" s="48"/>
      <c r="JBU38" s="48"/>
      <c r="JBV38" s="48"/>
      <c r="JBW38" s="48"/>
      <c r="JBX38" s="48"/>
      <c r="JBY38" s="48"/>
      <c r="JBZ38" s="48"/>
      <c r="JCA38" s="45"/>
      <c r="JCB38" s="46"/>
      <c r="JCC38" s="46"/>
      <c r="JCD38" s="47"/>
      <c r="JCE38" s="48"/>
      <c r="JCF38" s="48"/>
      <c r="JCG38" s="48"/>
      <c r="JCH38" s="48"/>
      <c r="JCI38" s="48"/>
      <c r="JCJ38" s="48"/>
      <c r="JCK38" s="48"/>
      <c r="JCL38" s="48"/>
      <c r="JCM38" s="48"/>
      <c r="JCN38" s="48"/>
      <c r="JCO38" s="48"/>
      <c r="JCP38" s="48"/>
      <c r="JCQ38" s="48"/>
      <c r="JCR38" s="48"/>
      <c r="JCS38" s="48"/>
      <c r="JCT38" s="48"/>
      <c r="JCU38" s="48"/>
      <c r="JCV38" s="48"/>
      <c r="JCW38" s="45"/>
      <c r="JCX38" s="46"/>
      <c r="JCY38" s="46"/>
      <c r="JCZ38" s="47"/>
      <c r="JDA38" s="48"/>
      <c r="JDB38" s="48"/>
      <c r="JDC38" s="48"/>
      <c r="JDD38" s="48"/>
      <c r="JDE38" s="48"/>
      <c r="JDF38" s="48"/>
      <c r="JDG38" s="48"/>
      <c r="JDH38" s="48"/>
      <c r="JDI38" s="48"/>
      <c r="JDJ38" s="48"/>
      <c r="JDK38" s="48"/>
      <c r="JDL38" s="48"/>
      <c r="JDM38" s="48"/>
      <c r="JDN38" s="48"/>
      <c r="JDO38" s="48"/>
      <c r="JDP38" s="48"/>
      <c r="JDQ38" s="48"/>
      <c r="JDR38" s="48"/>
      <c r="JDS38" s="45"/>
      <c r="JDT38" s="46"/>
      <c r="JDU38" s="46"/>
      <c r="JDV38" s="47"/>
      <c r="JDW38" s="48"/>
      <c r="JDX38" s="48"/>
      <c r="JDY38" s="48"/>
      <c r="JDZ38" s="48"/>
      <c r="JEA38" s="48"/>
      <c r="JEB38" s="48"/>
      <c r="JEC38" s="48"/>
      <c r="JED38" s="48"/>
      <c r="JEE38" s="48"/>
      <c r="JEF38" s="48"/>
      <c r="JEG38" s="48"/>
      <c r="JEH38" s="48"/>
      <c r="JEI38" s="48"/>
      <c r="JEJ38" s="48"/>
      <c r="JEK38" s="48"/>
      <c r="JEL38" s="48"/>
      <c r="JEM38" s="48"/>
      <c r="JEN38" s="48"/>
      <c r="JEO38" s="45"/>
      <c r="JEP38" s="46"/>
      <c r="JEQ38" s="46"/>
      <c r="JER38" s="47"/>
      <c r="JES38" s="48"/>
      <c r="JET38" s="48"/>
      <c r="JEU38" s="48"/>
      <c r="JEV38" s="48"/>
      <c r="JEW38" s="48"/>
      <c r="JEX38" s="48"/>
      <c r="JEY38" s="48"/>
      <c r="JEZ38" s="48"/>
      <c r="JFA38" s="48"/>
      <c r="JFB38" s="48"/>
      <c r="JFC38" s="48"/>
      <c r="JFD38" s="48"/>
      <c r="JFE38" s="48"/>
      <c r="JFF38" s="48"/>
      <c r="JFG38" s="48"/>
      <c r="JFH38" s="48"/>
      <c r="JFI38" s="48"/>
      <c r="JFJ38" s="48"/>
      <c r="JFK38" s="45"/>
      <c r="JFL38" s="46"/>
      <c r="JFM38" s="46"/>
      <c r="JFN38" s="47"/>
      <c r="JFO38" s="48"/>
      <c r="JFP38" s="48"/>
      <c r="JFQ38" s="48"/>
      <c r="JFR38" s="48"/>
      <c r="JFS38" s="48"/>
      <c r="JFT38" s="48"/>
      <c r="JFU38" s="48"/>
      <c r="JFV38" s="48"/>
      <c r="JFW38" s="48"/>
      <c r="JFX38" s="48"/>
      <c r="JFY38" s="48"/>
      <c r="JFZ38" s="48"/>
      <c r="JGA38" s="48"/>
      <c r="JGB38" s="48"/>
      <c r="JGC38" s="48"/>
      <c r="JGD38" s="48"/>
      <c r="JGE38" s="48"/>
      <c r="JGF38" s="48"/>
      <c r="JGG38" s="45"/>
      <c r="JGH38" s="46"/>
      <c r="JGI38" s="46"/>
      <c r="JGJ38" s="47"/>
      <c r="JGK38" s="48"/>
      <c r="JGL38" s="48"/>
      <c r="JGM38" s="48"/>
      <c r="JGN38" s="48"/>
      <c r="JGO38" s="48"/>
      <c r="JGP38" s="48"/>
      <c r="JGQ38" s="48"/>
      <c r="JGR38" s="48"/>
      <c r="JGS38" s="48"/>
      <c r="JGT38" s="48"/>
      <c r="JGU38" s="48"/>
      <c r="JGV38" s="48"/>
      <c r="JGW38" s="48"/>
      <c r="JGX38" s="48"/>
      <c r="JGY38" s="48"/>
      <c r="JGZ38" s="48"/>
      <c r="JHA38" s="48"/>
      <c r="JHB38" s="48"/>
      <c r="JHC38" s="45"/>
      <c r="JHD38" s="46"/>
      <c r="JHE38" s="46"/>
      <c r="JHF38" s="47"/>
      <c r="JHG38" s="48"/>
      <c r="JHH38" s="48"/>
      <c r="JHI38" s="48"/>
      <c r="JHJ38" s="48"/>
      <c r="JHK38" s="48"/>
      <c r="JHL38" s="48"/>
      <c r="JHM38" s="48"/>
      <c r="JHN38" s="48"/>
      <c r="JHO38" s="48"/>
      <c r="JHP38" s="48"/>
      <c r="JHQ38" s="48"/>
      <c r="JHR38" s="48"/>
      <c r="JHS38" s="48"/>
      <c r="JHT38" s="48"/>
      <c r="JHU38" s="48"/>
      <c r="JHV38" s="48"/>
      <c r="JHW38" s="48"/>
      <c r="JHX38" s="48"/>
      <c r="JHY38" s="45"/>
      <c r="JHZ38" s="46"/>
      <c r="JIA38" s="46"/>
      <c r="JIB38" s="47"/>
      <c r="JIC38" s="48"/>
      <c r="JID38" s="48"/>
      <c r="JIE38" s="48"/>
      <c r="JIF38" s="48"/>
      <c r="JIG38" s="48"/>
      <c r="JIH38" s="48"/>
      <c r="JII38" s="48"/>
      <c r="JIJ38" s="48"/>
      <c r="JIK38" s="48"/>
      <c r="JIL38" s="48"/>
      <c r="JIM38" s="48"/>
      <c r="JIN38" s="48"/>
      <c r="JIO38" s="48"/>
      <c r="JIP38" s="48"/>
      <c r="JIQ38" s="48"/>
      <c r="JIR38" s="48"/>
      <c r="JIS38" s="48"/>
      <c r="JIT38" s="48"/>
      <c r="JIU38" s="45"/>
      <c r="JIV38" s="46"/>
      <c r="JIW38" s="46"/>
      <c r="JIX38" s="47"/>
      <c r="JIY38" s="48"/>
      <c r="JIZ38" s="48"/>
      <c r="JJA38" s="48"/>
      <c r="JJB38" s="48"/>
      <c r="JJC38" s="48"/>
      <c r="JJD38" s="48"/>
      <c r="JJE38" s="48"/>
      <c r="JJF38" s="48"/>
      <c r="JJG38" s="48"/>
      <c r="JJH38" s="48"/>
      <c r="JJI38" s="48"/>
      <c r="JJJ38" s="48"/>
      <c r="JJK38" s="48"/>
      <c r="JJL38" s="48"/>
      <c r="JJM38" s="48"/>
      <c r="JJN38" s="48"/>
      <c r="JJO38" s="48"/>
      <c r="JJP38" s="48"/>
      <c r="JJQ38" s="45"/>
      <c r="JJR38" s="46"/>
      <c r="JJS38" s="46"/>
      <c r="JJT38" s="47"/>
      <c r="JJU38" s="48"/>
      <c r="JJV38" s="48"/>
      <c r="JJW38" s="48"/>
      <c r="JJX38" s="48"/>
      <c r="JJY38" s="48"/>
      <c r="JJZ38" s="48"/>
      <c r="JKA38" s="48"/>
      <c r="JKB38" s="48"/>
      <c r="JKC38" s="48"/>
      <c r="JKD38" s="48"/>
      <c r="JKE38" s="48"/>
      <c r="JKF38" s="48"/>
      <c r="JKG38" s="48"/>
      <c r="JKH38" s="48"/>
      <c r="JKI38" s="48"/>
      <c r="JKJ38" s="48"/>
      <c r="JKK38" s="48"/>
      <c r="JKL38" s="48"/>
      <c r="JKM38" s="45"/>
      <c r="JKN38" s="46"/>
      <c r="JKO38" s="46"/>
      <c r="JKP38" s="47"/>
      <c r="JKQ38" s="48"/>
      <c r="JKR38" s="48"/>
      <c r="JKS38" s="48"/>
      <c r="JKT38" s="48"/>
      <c r="JKU38" s="48"/>
      <c r="JKV38" s="48"/>
      <c r="JKW38" s="48"/>
      <c r="JKX38" s="48"/>
      <c r="JKY38" s="48"/>
      <c r="JKZ38" s="48"/>
      <c r="JLA38" s="48"/>
      <c r="JLB38" s="48"/>
      <c r="JLC38" s="48"/>
      <c r="JLD38" s="48"/>
      <c r="JLE38" s="48"/>
      <c r="JLF38" s="48"/>
      <c r="JLG38" s="48"/>
      <c r="JLH38" s="48"/>
      <c r="JLI38" s="45"/>
      <c r="JLJ38" s="46"/>
      <c r="JLK38" s="46"/>
      <c r="JLL38" s="47"/>
      <c r="JLM38" s="48"/>
      <c r="JLN38" s="48"/>
      <c r="JLO38" s="48"/>
      <c r="JLP38" s="48"/>
      <c r="JLQ38" s="48"/>
      <c r="JLR38" s="48"/>
      <c r="JLS38" s="48"/>
      <c r="JLT38" s="48"/>
      <c r="JLU38" s="48"/>
      <c r="JLV38" s="48"/>
      <c r="JLW38" s="48"/>
      <c r="JLX38" s="48"/>
      <c r="JLY38" s="48"/>
      <c r="JLZ38" s="48"/>
      <c r="JMA38" s="48"/>
      <c r="JMB38" s="48"/>
      <c r="JMC38" s="48"/>
      <c r="JMD38" s="48"/>
      <c r="JME38" s="45"/>
      <c r="JMF38" s="46"/>
      <c r="JMG38" s="46"/>
      <c r="JMH38" s="47"/>
      <c r="JMI38" s="48"/>
      <c r="JMJ38" s="48"/>
      <c r="JMK38" s="48"/>
      <c r="JML38" s="48"/>
      <c r="JMM38" s="48"/>
      <c r="JMN38" s="48"/>
      <c r="JMO38" s="48"/>
      <c r="JMP38" s="48"/>
      <c r="JMQ38" s="48"/>
      <c r="JMR38" s="48"/>
      <c r="JMS38" s="48"/>
      <c r="JMT38" s="48"/>
      <c r="JMU38" s="48"/>
      <c r="JMV38" s="48"/>
      <c r="JMW38" s="48"/>
      <c r="JMX38" s="48"/>
      <c r="JMY38" s="48"/>
      <c r="JMZ38" s="48"/>
      <c r="JNA38" s="45"/>
      <c r="JNB38" s="46"/>
      <c r="JNC38" s="46"/>
      <c r="JND38" s="47"/>
      <c r="JNE38" s="48"/>
      <c r="JNF38" s="48"/>
      <c r="JNG38" s="48"/>
      <c r="JNH38" s="48"/>
      <c r="JNI38" s="48"/>
      <c r="JNJ38" s="48"/>
      <c r="JNK38" s="48"/>
      <c r="JNL38" s="48"/>
      <c r="JNM38" s="48"/>
      <c r="JNN38" s="48"/>
      <c r="JNO38" s="48"/>
      <c r="JNP38" s="48"/>
      <c r="JNQ38" s="48"/>
      <c r="JNR38" s="48"/>
      <c r="JNS38" s="48"/>
      <c r="JNT38" s="48"/>
      <c r="JNU38" s="48"/>
      <c r="JNV38" s="48"/>
      <c r="JNW38" s="45"/>
      <c r="JNX38" s="46"/>
      <c r="JNY38" s="46"/>
      <c r="JNZ38" s="47"/>
      <c r="JOA38" s="48"/>
      <c r="JOB38" s="48"/>
      <c r="JOC38" s="48"/>
      <c r="JOD38" s="48"/>
      <c r="JOE38" s="48"/>
      <c r="JOF38" s="48"/>
      <c r="JOG38" s="48"/>
      <c r="JOH38" s="48"/>
      <c r="JOI38" s="48"/>
      <c r="JOJ38" s="48"/>
      <c r="JOK38" s="48"/>
      <c r="JOL38" s="48"/>
      <c r="JOM38" s="48"/>
      <c r="JON38" s="48"/>
      <c r="JOO38" s="48"/>
      <c r="JOP38" s="48"/>
      <c r="JOQ38" s="48"/>
      <c r="JOR38" s="48"/>
      <c r="JOS38" s="45"/>
      <c r="JOT38" s="46"/>
      <c r="JOU38" s="46"/>
      <c r="JOV38" s="47"/>
      <c r="JOW38" s="48"/>
      <c r="JOX38" s="48"/>
      <c r="JOY38" s="48"/>
      <c r="JOZ38" s="48"/>
      <c r="JPA38" s="48"/>
      <c r="JPB38" s="48"/>
      <c r="JPC38" s="48"/>
      <c r="JPD38" s="48"/>
      <c r="JPE38" s="48"/>
      <c r="JPF38" s="48"/>
      <c r="JPG38" s="48"/>
      <c r="JPH38" s="48"/>
      <c r="JPI38" s="48"/>
      <c r="JPJ38" s="48"/>
      <c r="JPK38" s="48"/>
      <c r="JPL38" s="48"/>
      <c r="JPM38" s="48"/>
      <c r="JPN38" s="48"/>
      <c r="JPO38" s="45"/>
      <c r="JPP38" s="46"/>
      <c r="JPQ38" s="46"/>
      <c r="JPR38" s="47"/>
      <c r="JPS38" s="48"/>
      <c r="JPT38" s="48"/>
      <c r="JPU38" s="48"/>
      <c r="JPV38" s="48"/>
      <c r="JPW38" s="48"/>
      <c r="JPX38" s="48"/>
      <c r="JPY38" s="48"/>
      <c r="JPZ38" s="48"/>
      <c r="JQA38" s="48"/>
      <c r="JQB38" s="48"/>
      <c r="JQC38" s="48"/>
      <c r="JQD38" s="48"/>
      <c r="JQE38" s="48"/>
      <c r="JQF38" s="48"/>
      <c r="JQG38" s="48"/>
      <c r="JQH38" s="48"/>
      <c r="JQI38" s="48"/>
      <c r="JQJ38" s="48"/>
      <c r="JQK38" s="45"/>
      <c r="JQL38" s="46"/>
      <c r="JQM38" s="46"/>
      <c r="JQN38" s="47"/>
      <c r="JQO38" s="48"/>
      <c r="JQP38" s="48"/>
      <c r="JQQ38" s="48"/>
      <c r="JQR38" s="48"/>
      <c r="JQS38" s="48"/>
      <c r="JQT38" s="48"/>
      <c r="JQU38" s="48"/>
      <c r="JQV38" s="48"/>
      <c r="JQW38" s="48"/>
      <c r="JQX38" s="48"/>
      <c r="JQY38" s="48"/>
      <c r="JQZ38" s="48"/>
      <c r="JRA38" s="48"/>
      <c r="JRB38" s="48"/>
      <c r="JRC38" s="48"/>
      <c r="JRD38" s="48"/>
      <c r="JRE38" s="48"/>
      <c r="JRF38" s="48"/>
      <c r="JRG38" s="45"/>
      <c r="JRH38" s="46"/>
      <c r="JRI38" s="46"/>
      <c r="JRJ38" s="47"/>
      <c r="JRK38" s="48"/>
      <c r="JRL38" s="48"/>
      <c r="JRM38" s="48"/>
      <c r="JRN38" s="48"/>
      <c r="JRO38" s="48"/>
      <c r="JRP38" s="48"/>
      <c r="JRQ38" s="48"/>
      <c r="JRR38" s="48"/>
      <c r="JRS38" s="48"/>
      <c r="JRT38" s="48"/>
      <c r="JRU38" s="48"/>
      <c r="JRV38" s="48"/>
      <c r="JRW38" s="48"/>
      <c r="JRX38" s="48"/>
      <c r="JRY38" s="48"/>
      <c r="JRZ38" s="48"/>
      <c r="JSA38" s="48"/>
      <c r="JSB38" s="48"/>
      <c r="JSC38" s="45"/>
      <c r="JSD38" s="46"/>
      <c r="JSE38" s="46"/>
      <c r="JSF38" s="47"/>
      <c r="JSG38" s="48"/>
      <c r="JSH38" s="48"/>
      <c r="JSI38" s="48"/>
      <c r="JSJ38" s="48"/>
      <c r="JSK38" s="48"/>
      <c r="JSL38" s="48"/>
      <c r="JSM38" s="48"/>
      <c r="JSN38" s="48"/>
      <c r="JSO38" s="48"/>
      <c r="JSP38" s="48"/>
      <c r="JSQ38" s="48"/>
      <c r="JSR38" s="48"/>
      <c r="JSS38" s="48"/>
      <c r="JST38" s="48"/>
      <c r="JSU38" s="48"/>
      <c r="JSV38" s="48"/>
      <c r="JSW38" s="48"/>
      <c r="JSX38" s="48"/>
      <c r="JSY38" s="45"/>
      <c r="JSZ38" s="46"/>
      <c r="JTA38" s="46"/>
      <c r="JTB38" s="47"/>
      <c r="JTC38" s="48"/>
      <c r="JTD38" s="48"/>
      <c r="JTE38" s="48"/>
      <c r="JTF38" s="48"/>
      <c r="JTG38" s="48"/>
      <c r="JTH38" s="48"/>
      <c r="JTI38" s="48"/>
      <c r="JTJ38" s="48"/>
      <c r="JTK38" s="48"/>
      <c r="JTL38" s="48"/>
      <c r="JTM38" s="48"/>
      <c r="JTN38" s="48"/>
      <c r="JTO38" s="48"/>
      <c r="JTP38" s="48"/>
      <c r="JTQ38" s="48"/>
      <c r="JTR38" s="48"/>
      <c r="JTS38" s="48"/>
      <c r="JTT38" s="48"/>
      <c r="JTU38" s="45"/>
      <c r="JTV38" s="46"/>
      <c r="JTW38" s="46"/>
      <c r="JTX38" s="47"/>
      <c r="JTY38" s="48"/>
      <c r="JTZ38" s="48"/>
      <c r="JUA38" s="48"/>
      <c r="JUB38" s="48"/>
      <c r="JUC38" s="48"/>
      <c r="JUD38" s="48"/>
      <c r="JUE38" s="48"/>
      <c r="JUF38" s="48"/>
      <c r="JUG38" s="48"/>
      <c r="JUH38" s="48"/>
      <c r="JUI38" s="48"/>
      <c r="JUJ38" s="48"/>
      <c r="JUK38" s="48"/>
      <c r="JUL38" s="48"/>
      <c r="JUM38" s="48"/>
      <c r="JUN38" s="48"/>
      <c r="JUO38" s="48"/>
      <c r="JUP38" s="48"/>
      <c r="JUQ38" s="45"/>
      <c r="JUR38" s="46"/>
      <c r="JUS38" s="46"/>
      <c r="JUT38" s="47"/>
      <c r="JUU38" s="48"/>
      <c r="JUV38" s="48"/>
      <c r="JUW38" s="48"/>
      <c r="JUX38" s="48"/>
      <c r="JUY38" s="48"/>
      <c r="JUZ38" s="48"/>
      <c r="JVA38" s="48"/>
      <c r="JVB38" s="48"/>
      <c r="JVC38" s="48"/>
      <c r="JVD38" s="48"/>
      <c r="JVE38" s="48"/>
      <c r="JVF38" s="48"/>
      <c r="JVG38" s="48"/>
      <c r="JVH38" s="48"/>
      <c r="JVI38" s="48"/>
      <c r="JVJ38" s="48"/>
      <c r="JVK38" s="48"/>
      <c r="JVL38" s="48"/>
      <c r="JVM38" s="45"/>
      <c r="JVN38" s="46"/>
      <c r="JVO38" s="46"/>
      <c r="JVP38" s="47"/>
      <c r="JVQ38" s="48"/>
      <c r="JVR38" s="48"/>
      <c r="JVS38" s="48"/>
      <c r="JVT38" s="48"/>
      <c r="JVU38" s="48"/>
      <c r="JVV38" s="48"/>
      <c r="JVW38" s="48"/>
      <c r="JVX38" s="48"/>
      <c r="JVY38" s="48"/>
      <c r="JVZ38" s="48"/>
      <c r="JWA38" s="48"/>
      <c r="JWB38" s="48"/>
      <c r="JWC38" s="48"/>
      <c r="JWD38" s="48"/>
      <c r="JWE38" s="48"/>
      <c r="JWF38" s="48"/>
      <c r="JWG38" s="48"/>
      <c r="JWH38" s="48"/>
      <c r="JWI38" s="45"/>
      <c r="JWJ38" s="46"/>
      <c r="JWK38" s="46"/>
      <c r="JWL38" s="47"/>
      <c r="JWM38" s="48"/>
      <c r="JWN38" s="48"/>
      <c r="JWO38" s="48"/>
      <c r="JWP38" s="48"/>
      <c r="JWQ38" s="48"/>
      <c r="JWR38" s="48"/>
      <c r="JWS38" s="48"/>
      <c r="JWT38" s="48"/>
      <c r="JWU38" s="48"/>
      <c r="JWV38" s="48"/>
      <c r="JWW38" s="48"/>
      <c r="JWX38" s="48"/>
      <c r="JWY38" s="48"/>
      <c r="JWZ38" s="48"/>
      <c r="JXA38" s="48"/>
      <c r="JXB38" s="48"/>
      <c r="JXC38" s="48"/>
      <c r="JXD38" s="48"/>
      <c r="JXE38" s="45"/>
      <c r="JXF38" s="46"/>
      <c r="JXG38" s="46"/>
      <c r="JXH38" s="47"/>
      <c r="JXI38" s="48"/>
      <c r="JXJ38" s="48"/>
      <c r="JXK38" s="48"/>
      <c r="JXL38" s="48"/>
      <c r="JXM38" s="48"/>
      <c r="JXN38" s="48"/>
      <c r="JXO38" s="48"/>
      <c r="JXP38" s="48"/>
      <c r="JXQ38" s="48"/>
      <c r="JXR38" s="48"/>
      <c r="JXS38" s="48"/>
      <c r="JXT38" s="48"/>
      <c r="JXU38" s="48"/>
      <c r="JXV38" s="48"/>
      <c r="JXW38" s="48"/>
      <c r="JXX38" s="48"/>
      <c r="JXY38" s="48"/>
      <c r="JXZ38" s="48"/>
      <c r="JYA38" s="45"/>
      <c r="JYB38" s="46"/>
      <c r="JYC38" s="46"/>
      <c r="JYD38" s="47"/>
      <c r="JYE38" s="48"/>
      <c r="JYF38" s="48"/>
      <c r="JYG38" s="48"/>
      <c r="JYH38" s="48"/>
      <c r="JYI38" s="48"/>
      <c r="JYJ38" s="48"/>
      <c r="JYK38" s="48"/>
      <c r="JYL38" s="48"/>
      <c r="JYM38" s="48"/>
      <c r="JYN38" s="48"/>
      <c r="JYO38" s="48"/>
      <c r="JYP38" s="48"/>
      <c r="JYQ38" s="48"/>
      <c r="JYR38" s="48"/>
      <c r="JYS38" s="48"/>
      <c r="JYT38" s="48"/>
      <c r="JYU38" s="48"/>
      <c r="JYV38" s="48"/>
      <c r="JYW38" s="45"/>
      <c r="JYX38" s="46"/>
      <c r="JYY38" s="46"/>
      <c r="JYZ38" s="47"/>
      <c r="JZA38" s="48"/>
      <c r="JZB38" s="48"/>
      <c r="JZC38" s="48"/>
      <c r="JZD38" s="48"/>
      <c r="JZE38" s="48"/>
      <c r="JZF38" s="48"/>
      <c r="JZG38" s="48"/>
      <c r="JZH38" s="48"/>
      <c r="JZI38" s="48"/>
      <c r="JZJ38" s="48"/>
      <c r="JZK38" s="48"/>
      <c r="JZL38" s="48"/>
      <c r="JZM38" s="48"/>
      <c r="JZN38" s="48"/>
      <c r="JZO38" s="48"/>
      <c r="JZP38" s="48"/>
      <c r="JZQ38" s="48"/>
      <c r="JZR38" s="48"/>
      <c r="JZS38" s="45"/>
      <c r="JZT38" s="46"/>
      <c r="JZU38" s="46"/>
      <c r="JZV38" s="47"/>
      <c r="JZW38" s="48"/>
      <c r="JZX38" s="48"/>
      <c r="JZY38" s="48"/>
      <c r="JZZ38" s="48"/>
      <c r="KAA38" s="48"/>
      <c r="KAB38" s="48"/>
      <c r="KAC38" s="48"/>
      <c r="KAD38" s="48"/>
      <c r="KAE38" s="48"/>
      <c r="KAF38" s="48"/>
      <c r="KAG38" s="48"/>
      <c r="KAH38" s="48"/>
      <c r="KAI38" s="48"/>
      <c r="KAJ38" s="48"/>
      <c r="KAK38" s="48"/>
      <c r="KAL38" s="48"/>
      <c r="KAM38" s="48"/>
      <c r="KAN38" s="48"/>
      <c r="KAO38" s="45"/>
      <c r="KAP38" s="46"/>
      <c r="KAQ38" s="46"/>
      <c r="KAR38" s="47"/>
      <c r="KAS38" s="48"/>
      <c r="KAT38" s="48"/>
      <c r="KAU38" s="48"/>
      <c r="KAV38" s="48"/>
      <c r="KAW38" s="48"/>
      <c r="KAX38" s="48"/>
      <c r="KAY38" s="48"/>
      <c r="KAZ38" s="48"/>
      <c r="KBA38" s="48"/>
      <c r="KBB38" s="48"/>
      <c r="KBC38" s="48"/>
      <c r="KBD38" s="48"/>
      <c r="KBE38" s="48"/>
      <c r="KBF38" s="48"/>
      <c r="KBG38" s="48"/>
      <c r="KBH38" s="48"/>
      <c r="KBI38" s="48"/>
      <c r="KBJ38" s="48"/>
      <c r="KBK38" s="45"/>
      <c r="KBL38" s="46"/>
      <c r="KBM38" s="46"/>
      <c r="KBN38" s="47"/>
      <c r="KBO38" s="48"/>
      <c r="KBP38" s="48"/>
      <c r="KBQ38" s="48"/>
      <c r="KBR38" s="48"/>
      <c r="KBS38" s="48"/>
      <c r="KBT38" s="48"/>
      <c r="KBU38" s="48"/>
      <c r="KBV38" s="48"/>
      <c r="KBW38" s="48"/>
      <c r="KBX38" s="48"/>
      <c r="KBY38" s="48"/>
      <c r="KBZ38" s="48"/>
      <c r="KCA38" s="48"/>
      <c r="KCB38" s="48"/>
      <c r="KCC38" s="48"/>
      <c r="KCD38" s="48"/>
      <c r="KCE38" s="48"/>
      <c r="KCF38" s="48"/>
      <c r="KCG38" s="45"/>
      <c r="KCH38" s="46"/>
      <c r="KCI38" s="46"/>
      <c r="KCJ38" s="47"/>
      <c r="KCK38" s="48"/>
      <c r="KCL38" s="48"/>
      <c r="KCM38" s="48"/>
      <c r="KCN38" s="48"/>
      <c r="KCO38" s="48"/>
      <c r="KCP38" s="48"/>
      <c r="KCQ38" s="48"/>
      <c r="KCR38" s="48"/>
      <c r="KCS38" s="48"/>
      <c r="KCT38" s="48"/>
      <c r="KCU38" s="48"/>
      <c r="KCV38" s="48"/>
      <c r="KCW38" s="48"/>
      <c r="KCX38" s="48"/>
      <c r="KCY38" s="48"/>
      <c r="KCZ38" s="48"/>
      <c r="KDA38" s="48"/>
      <c r="KDB38" s="48"/>
      <c r="KDC38" s="45"/>
      <c r="KDD38" s="46"/>
      <c r="KDE38" s="46"/>
      <c r="KDF38" s="47"/>
      <c r="KDG38" s="48"/>
      <c r="KDH38" s="48"/>
      <c r="KDI38" s="48"/>
      <c r="KDJ38" s="48"/>
      <c r="KDK38" s="48"/>
      <c r="KDL38" s="48"/>
      <c r="KDM38" s="48"/>
      <c r="KDN38" s="48"/>
      <c r="KDO38" s="48"/>
      <c r="KDP38" s="48"/>
      <c r="KDQ38" s="48"/>
      <c r="KDR38" s="48"/>
      <c r="KDS38" s="48"/>
      <c r="KDT38" s="48"/>
      <c r="KDU38" s="48"/>
      <c r="KDV38" s="48"/>
      <c r="KDW38" s="48"/>
      <c r="KDX38" s="48"/>
      <c r="KDY38" s="45"/>
      <c r="KDZ38" s="46"/>
      <c r="KEA38" s="46"/>
      <c r="KEB38" s="47"/>
      <c r="KEC38" s="48"/>
      <c r="KED38" s="48"/>
      <c r="KEE38" s="48"/>
      <c r="KEF38" s="48"/>
      <c r="KEG38" s="48"/>
      <c r="KEH38" s="48"/>
      <c r="KEI38" s="48"/>
      <c r="KEJ38" s="48"/>
      <c r="KEK38" s="48"/>
      <c r="KEL38" s="48"/>
      <c r="KEM38" s="48"/>
      <c r="KEN38" s="48"/>
      <c r="KEO38" s="48"/>
      <c r="KEP38" s="48"/>
      <c r="KEQ38" s="48"/>
      <c r="KER38" s="48"/>
      <c r="KES38" s="48"/>
      <c r="KET38" s="48"/>
      <c r="KEU38" s="45"/>
      <c r="KEV38" s="46"/>
      <c r="KEW38" s="46"/>
      <c r="KEX38" s="47"/>
      <c r="KEY38" s="48"/>
      <c r="KEZ38" s="48"/>
      <c r="KFA38" s="48"/>
      <c r="KFB38" s="48"/>
      <c r="KFC38" s="48"/>
      <c r="KFD38" s="48"/>
      <c r="KFE38" s="48"/>
      <c r="KFF38" s="48"/>
      <c r="KFG38" s="48"/>
      <c r="KFH38" s="48"/>
      <c r="KFI38" s="48"/>
      <c r="KFJ38" s="48"/>
      <c r="KFK38" s="48"/>
      <c r="KFL38" s="48"/>
      <c r="KFM38" s="48"/>
      <c r="KFN38" s="48"/>
      <c r="KFO38" s="48"/>
      <c r="KFP38" s="48"/>
      <c r="KFQ38" s="45"/>
      <c r="KFR38" s="46"/>
      <c r="KFS38" s="46"/>
      <c r="KFT38" s="47"/>
      <c r="KFU38" s="48"/>
      <c r="KFV38" s="48"/>
      <c r="KFW38" s="48"/>
      <c r="KFX38" s="48"/>
      <c r="KFY38" s="48"/>
      <c r="KFZ38" s="48"/>
      <c r="KGA38" s="48"/>
      <c r="KGB38" s="48"/>
      <c r="KGC38" s="48"/>
      <c r="KGD38" s="48"/>
      <c r="KGE38" s="48"/>
      <c r="KGF38" s="48"/>
      <c r="KGG38" s="48"/>
      <c r="KGH38" s="48"/>
      <c r="KGI38" s="48"/>
      <c r="KGJ38" s="48"/>
      <c r="KGK38" s="48"/>
      <c r="KGL38" s="48"/>
      <c r="KGM38" s="45"/>
      <c r="KGN38" s="46"/>
      <c r="KGO38" s="46"/>
      <c r="KGP38" s="47"/>
      <c r="KGQ38" s="48"/>
      <c r="KGR38" s="48"/>
      <c r="KGS38" s="48"/>
      <c r="KGT38" s="48"/>
      <c r="KGU38" s="48"/>
      <c r="KGV38" s="48"/>
      <c r="KGW38" s="48"/>
      <c r="KGX38" s="48"/>
      <c r="KGY38" s="48"/>
      <c r="KGZ38" s="48"/>
      <c r="KHA38" s="48"/>
      <c r="KHB38" s="48"/>
      <c r="KHC38" s="48"/>
      <c r="KHD38" s="48"/>
      <c r="KHE38" s="48"/>
      <c r="KHF38" s="48"/>
      <c r="KHG38" s="48"/>
      <c r="KHH38" s="48"/>
      <c r="KHI38" s="45"/>
      <c r="KHJ38" s="46"/>
      <c r="KHK38" s="46"/>
      <c r="KHL38" s="47"/>
      <c r="KHM38" s="48"/>
      <c r="KHN38" s="48"/>
      <c r="KHO38" s="48"/>
      <c r="KHP38" s="48"/>
      <c r="KHQ38" s="48"/>
      <c r="KHR38" s="48"/>
      <c r="KHS38" s="48"/>
      <c r="KHT38" s="48"/>
      <c r="KHU38" s="48"/>
      <c r="KHV38" s="48"/>
      <c r="KHW38" s="48"/>
      <c r="KHX38" s="48"/>
      <c r="KHY38" s="48"/>
      <c r="KHZ38" s="48"/>
      <c r="KIA38" s="48"/>
      <c r="KIB38" s="48"/>
      <c r="KIC38" s="48"/>
      <c r="KID38" s="48"/>
      <c r="KIE38" s="45"/>
      <c r="KIF38" s="46"/>
      <c r="KIG38" s="46"/>
      <c r="KIH38" s="47"/>
      <c r="KII38" s="48"/>
      <c r="KIJ38" s="48"/>
      <c r="KIK38" s="48"/>
      <c r="KIL38" s="48"/>
      <c r="KIM38" s="48"/>
      <c r="KIN38" s="48"/>
      <c r="KIO38" s="48"/>
      <c r="KIP38" s="48"/>
      <c r="KIQ38" s="48"/>
      <c r="KIR38" s="48"/>
      <c r="KIS38" s="48"/>
      <c r="KIT38" s="48"/>
      <c r="KIU38" s="48"/>
      <c r="KIV38" s="48"/>
      <c r="KIW38" s="48"/>
      <c r="KIX38" s="48"/>
      <c r="KIY38" s="48"/>
      <c r="KIZ38" s="48"/>
      <c r="KJA38" s="45"/>
      <c r="KJB38" s="46"/>
      <c r="KJC38" s="46"/>
      <c r="KJD38" s="47"/>
      <c r="KJE38" s="48"/>
      <c r="KJF38" s="48"/>
      <c r="KJG38" s="48"/>
      <c r="KJH38" s="48"/>
      <c r="KJI38" s="48"/>
      <c r="KJJ38" s="48"/>
      <c r="KJK38" s="48"/>
      <c r="KJL38" s="48"/>
      <c r="KJM38" s="48"/>
      <c r="KJN38" s="48"/>
      <c r="KJO38" s="48"/>
      <c r="KJP38" s="48"/>
      <c r="KJQ38" s="48"/>
      <c r="KJR38" s="48"/>
      <c r="KJS38" s="48"/>
      <c r="KJT38" s="48"/>
      <c r="KJU38" s="48"/>
      <c r="KJV38" s="48"/>
      <c r="KJW38" s="45"/>
      <c r="KJX38" s="46"/>
      <c r="KJY38" s="46"/>
      <c r="KJZ38" s="47"/>
      <c r="KKA38" s="48"/>
      <c r="KKB38" s="48"/>
      <c r="KKC38" s="48"/>
      <c r="KKD38" s="48"/>
      <c r="KKE38" s="48"/>
      <c r="KKF38" s="48"/>
      <c r="KKG38" s="48"/>
      <c r="KKH38" s="48"/>
      <c r="KKI38" s="48"/>
      <c r="KKJ38" s="48"/>
      <c r="KKK38" s="48"/>
      <c r="KKL38" s="48"/>
      <c r="KKM38" s="48"/>
      <c r="KKN38" s="48"/>
      <c r="KKO38" s="48"/>
      <c r="KKP38" s="48"/>
      <c r="KKQ38" s="48"/>
      <c r="KKR38" s="48"/>
      <c r="KKS38" s="45"/>
      <c r="KKT38" s="46"/>
      <c r="KKU38" s="46"/>
      <c r="KKV38" s="47"/>
      <c r="KKW38" s="48"/>
      <c r="KKX38" s="48"/>
      <c r="KKY38" s="48"/>
      <c r="KKZ38" s="48"/>
      <c r="KLA38" s="48"/>
      <c r="KLB38" s="48"/>
      <c r="KLC38" s="48"/>
      <c r="KLD38" s="48"/>
      <c r="KLE38" s="48"/>
      <c r="KLF38" s="48"/>
      <c r="KLG38" s="48"/>
      <c r="KLH38" s="48"/>
      <c r="KLI38" s="48"/>
      <c r="KLJ38" s="48"/>
      <c r="KLK38" s="48"/>
      <c r="KLL38" s="48"/>
      <c r="KLM38" s="48"/>
      <c r="KLN38" s="48"/>
      <c r="KLO38" s="45"/>
      <c r="KLP38" s="46"/>
      <c r="KLQ38" s="46"/>
      <c r="KLR38" s="47"/>
      <c r="KLS38" s="48"/>
      <c r="KLT38" s="48"/>
      <c r="KLU38" s="48"/>
      <c r="KLV38" s="48"/>
      <c r="KLW38" s="48"/>
      <c r="KLX38" s="48"/>
      <c r="KLY38" s="48"/>
      <c r="KLZ38" s="48"/>
      <c r="KMA38" s="48"/>
      <c r="KMB38" s="48"/>
      <c r="KMC38" s="48"/>
      <c r="KMD38" s="48"/>
      <c r="KME38" s="48"/>
      <c r="KMF38" s="48"/>
      <c r="KMG38" s="48"/>
      <c r="KMH38" s="48"/>
      <c r="KMI38" s="48"/>
      <c r="KMJ38" s="48"/>
      <c r="KMK38" s="45"/>
      <c r="KML38" s="46"/>
      <c r="KMM38" s="46"/>
      <c r="KMN38" s="47"/>
      <c r="KMO38" s="48"/>
      <c r="KMP38" s="48"/>
      <c r="KMQ38" s="48"/>
      <c r="KMR38" s="48"/>
      <c r="KMS38" s="48"/>
      <c r="KMT38" s="48"/>
      <c r="KMU38" s="48"/>
      <c r="KMV38" s="48"/>
      <c r="KMW38" s="48"/>
      <c r="KMX38" s="48"/>
      <c r="KMY38" s="48"/>
      <c r="KMZ38" s="48"/>
      <c r="KNA38" s="48"/>
      <c r="KNB38" s="48"/>
      <c r="KNC38" s="48"/>
      <c r="KND38" s="48"/>
      <c r="KNE38" s="48"/>
      <c r="KNF38" s="48"/>
      <c r="KNG38" s="45"/>
      <c r="KNH38" s="46"/>
      <c r="KNI38" s="46"/>
      <c r="KNJ38" s="47"/>
      <c r="KNK38" s="48"/>
      <c r="KNL38" s="48"/>
      <c r="KNM38" s="48"/>
      <c r="KNN38" s="48"/>
      <c r="KNO38" s="48"/>
      <c r="KNP38" s="48"/>
      <c r="KNQ38" s="48"/>
      <c r="KNR38" s="48"/>
      <c r="KNS38" s="48"/>
      <c r="KNT38" s="48"/>
      <c r="KNU38" s="48"/>
      <c r="KNV38" s="48"/>
      <c r="KNW38" s="48"/>
      <c r="KNX38" s="48"/>
      <c r="KNY38" s="48"/>
      <c r="KNZ38" s="48"/>
      <c r="KOA38" s="48"/>
      <c r="KOB38" s="48"/>
      <c r="KOC38" s="45"/>
      <c r="KOD38" s="46"/>
      <c r="KOE38" s="46"/>
      <c r="KOF38" s="47"/>
      <c r="KOG38" s="48"/>
      <c r="KOH38" s="48"/>
      <c r="KOI38" s="48"/>
      <c r="KOJ38" s="48"/>
      <c r="KOK38" s="48"/>
      <c r="KOL38" s="48"/>
      <c r="KOM38" s="48"/>
      <c r="KON38" s="48"/>
      <c r="KOO38" s="48"/>
      <c r="KOP38" s="48"/>
      <c r="KOQ38" s="48"/>
      <c r="KOR38" s="48"/>
      <c r="KOS38" s="48"/>
      <c r="KOT38" s="48"/>
      <c r="KOU38" s="48"/>
      <c r="KOV38" s="48"/>
      <c r="KOW38" s="48"/>
      <c r="KOX38" s="48"/>
      <c r="KOY38" s="45"/>
      <c r="KOZ38" s="46"/>
      <c r="KPA38" s="46"/>
      <c r="KPB38" s="47"/>
      <c r="KPC38" s="48"/>
      <c r="KPD38" s="48"/>
      <c r="KPE38" s="48"/>
      <c r="KPF38" s="48"/>
      <c r="KPG38" s="48"/>
      <c r="KPH38" s="48"/>
      <c r="KPI38" s="48"/>
      <c r="KPJ38" s="48"/>
      <c r="KPK38" s="48"/>
      <c r="KPL38" s="48"/>
      <c r="KPM38" s="48"/>
      <c r="KPN38" s="48"/>
      <c r="KPO38" s="48"/>
      <c r="KPP38" s="48"/>
      <c r="KPQ38" s="48"/>
      <c r="KPR38" s="48"/>
      <c r="KPS38" s="48"/>
      <c r="KPT38" s="48"/>
      <c r="KPU38" s="45"/>
      <c r="KPV38" s="46"/>
      <c r="KPW38" s="46"/>
      <c r="KPX38" s="47"/>
      <c r="KPY38" s="48"/>
      <c r="KPZ38" s="48"/>
      <c r="KQA38" s="48"/>
      <c r="KQB38" s="48"/>
      <c r="KQC38" s="48"/>
      <c r="KQD38" s="48"/>
      <c r="KQE38" s="48"/>
      <c r="KQF38" s="48"/>
      <c r="KQG38" s="48"/>
      <c r="KQH38" s="48"/>
      <c r="KQI38" s="48"/>
      <c r="KQJ38" s="48"/>
      <c r="KQK38" s="48"/>
      <c r="KQL38" s="48"/>
      <c r="KQM38" s="48"/>
      <c r="KQN38" s="48"/>
      <c r="KQO38" s="48"/>
      <c r="KQP38" s="48"/>
      <c r="KQQ38" s="45"/>
      <c r="KQR38" s="46"/>
      <c r="KQS38" s="46"/>
      <c r="KQT38" s="47"/>
      <c r="KQU38" s="48"/>
      <c r="KQV38" s="48"/>
      <c r="KQW38" s="48"/>
      <c r="KQX38" s="48"/>
      <c r="KQY38" s="48"/>
      <c r="KQZ38" s="48"/>
      <c r="KRA38" s="48"/>
      <c r="KRB38" s="48"/>
      <c r="KRC38" s="48"/>
      <c r="KRD38" s="48"/>
      <c r="KRE38" s="48"/>
      <c r="KRF38" s="48"/>
      <c r="KRG38" s="48"/>
      <c r="KRH38" s="48"/>
      <c r="KRI38" s="48"/>
      <c r="KRJ38" s="48"/>
      <c r="KRK38" s="48"/>
      <c r="KRL38" s="48"/>
      <c r="KRM38" s="45"/>
      <c r="KRN38" s="46"/>
      <c r="KRO38" s="46"/>
      <c r="KRP38" s="47"/>
      <c r="KRQ38" s="48"/>
      <c r="KRR38" s="48"/>
      <c r="KRS38" s="48"/>
      <c r="KRT38" s="48"/>
      <c r="KRU38" s="48"/>
      <c r="KRV38" s="48"/>
      <c r="KRW38" s="48"/>
      <c r="KRX38" s="48"/>
      <c r="KRY38" s="48"/>
      <c r="KRZ38" s="48"/>
      <c r="KSA38" s="48"/>
      <c r="KSB38" s="48"/>
      <c r="KSC38" s="48"/>
      <c r="KSD38" s="48"/>
      <c r="KSE38" s="48"/>
      <c r="KSF38" s="48"/>
      <c r="KSG38" s="48"/>
      <c r="KSH38" s="48"/>
      <c r="KSI38" s="45"/>
      <c r="KSJ38" s="46"/>
      <c r="KSK38" s="46"/>
      <c r="KSL38" s="47"/>
      <c r="KSM38" s="48"/>
      <c r="KSN38" s="48"/>
      <c r="KSO38" s="48"/>
      <c r="KSP38" s="48"/>
      <c r="KSQ38" s="48"/>
      <c r="KSR38" s="48"/>
      <c r="KSS38" s="48"/>
      <c r="KST38" s="48"/>
      <c r="KSU38" s="48"/>
      <c r="KSV38" s="48"/>
      <c r="KSW38" s="48"/>
      <c r="KSX38" s="48"/>
      <c r="KSY38" s="48"/>
      <c r="KSZ38" s="48"/>
      <c r="KTA38" s="48"/>
      <c r="KTB38" s="48"/>
      <c r="KTC38" s="48"/>
      <c r="KTD38" s="48"/>
      <c r="KTE38" s="45"/>
      <c r="KTF38" s="46"/>
      <c r="KTG38" s="46"/>
      <c r="KTH38" s="47"/>
      <c r="KTI38" s="48"/>
      <c r="KTJ38" s="48"/>
      <c r="KTK38" s="48"/>
      <c r="KTL38" s="48"/>
      <c r="KTM38" s="48"/>
      <c r="KTN38" s="48"/>
      <c r="KTO38" s="48"/>
      <c r="KTP38" s="48"/>
      <c r="KTQ38" s="48"/>
      <c r="KTR38" s="48"/>
      <c r="KTS38" s="48"/>
      <c r="KTT38" s="48"/>
      <c r="KTU38" s="48"/>
      <c r="KTV38" s="48"/>
      <c r="KTW38" s="48"/>
      <c r="KTX38" s="48"/>
      <c r="KTY38" s="48"/>
      <c r="KTZ38" s="48"/>
      <c r="KUA38" s="45"/>
      <c r="KUB38" s="46"/>
      <c r="KUC38" s="46"/>
      <c r="KUD38" s="47"/>
      <c r="KUE38" s="48"/>
      <c r="KUF38" s="48"/>
      <c r="KUG38" s="48"/>
      <c r="KUH38" s="48"/>
      <c r="KUI38" s="48"/>
      <c r="KUJ38" s="48"/>
      <c r="KUK38" s="48"/>
      <c r="KUL38" s="48"/>
      <c r="KUM38" s="48"/>
      <c r="KUN38" s="48"/>
      <c r="KUO38" s="48"/>
      <c r="KUP38" s="48"/>
      <c r="KUQ38" s="48"/>
      <c r="KUR38" s="48"/>
      <c r="KUS38" s="48"/>
      <c r="KUT38" s="48"/>
      <c r="KUU38" s="48"/>
      <c r="KUV38" s="48"/>
      <c r="KUW38" s="45"/>
      <c r="KUX38" s="46"/>
      <c r="KUY38" s="46"/>
      <c r="KUZ38" s="47"/>
      <c r="KVA38" s="48"/>
      <c r="KVB38" s="48"/>
      <c r="KVC38" s="48"/>
      <c r="KVD38" s="48"/>
      <c r="KVE38" s="48"/>
      <c r="KVF38" s="48"/>
      <c r="KVG38" s="48"/>
      <c r="KVH38" s="48"/>
      <c r="KVI38" s="48"/>
      <c r="KVJ38" s="48"/>
      <c r="KVK38" s="48"/>
      <c r="KVL38" s="48"/>
      <c r="KVM38" s="48"/>
      <c r="KVN38" s="48"/>
      <c r="KVO38" s="48"/>
      <c r="KVP38" s="48"/>
      <c r="KVQ38" s="48"/>
      <c r="KVR38" s="48"/>
      <c r="KVS38" s="45"/>
      <c r="KVT38" s="46"/>
      <c r="KVU38" s="46"/>
      <c r="KVV38" s="47"/>
      <c r="KVW38" s="48"/>
      <c r="KVX38" s="48"/>
      <c r="KVY38" s="48"/>
      <c r="KVZ38" s="48"/>
      <c r="KWA38" s="48"/>
      <c r="KWB38" s="48"/>
      <c r="KWC38" s="48"/>
      <c r="KWD38" s="48"/>
      <c r="KWE38" s="48"/>
      <c r="KWF38" s="48"/>
      <c r="KWG38" s="48"/>
      <c r="KWH38" s="48"/>
      <c r="KWI38" s="48"/>
      <c r="KWJ38" s="48"/>
      <c r="KWK38" s="48"/>
      <c r="KWL38" s="48"/>
      <c r="KWM38" s="48"/>
      <c r="KWN38" s="48"/>
      <c r="KWO38" s="45"/>
      <c r="KWP38" s="46"/>
      <c r="KWQ38" s="46"/>
      <c r="KWR38" s="47"/>
      <c r="KWS38" s="48"/>
      <c r="KWT38" s="48"/>
      <c r="KWU38" s="48"/>
      <c r="KWV38" s="48"/>
      <c r="KWW38" s="48"/>
      <c r="KWX38" s="48"/>
      <c r="KWY38" s="48"/>
      <c r="KWZ38" s="48"/>
      <c r="KXA38" s="48"/>
      <c r="KXB38" s="48"/>
      <c r="KXC38" s="48"/>
      <c r="KXD38" s="48"/>
      <c r="KXE38" s="48"/>
      <c r="KXF38" s="48"/>
      <c r="KXG38" s="48"/>
      <c r="KXH38" s="48"/>
      <c r="KXI38" s="48"/>
      <c r="KXJ38" s="48"/>
      <c r="KXK38" s="45"/>
      <c r="KXL38" s="46"/>
      <c r="KXM38" s="46"/>
      <c r="KXN38" s="47"/>
      <c r="KXO38" s="48"/>
      <c r="KXP38" s="48"/>
      <c r="KXQ38" s="48"/>
      <c r="KXR38" s="48"/>
      <c r="KXS38" s="48"/>
      <c r="KXT38" s="48"/>
      <c r="KXU38" s="48"/>
      <c r="KXV38" s="48"/>
      <c r="KXW38" s="48"/>
      <c r="KXX38" s="48"/>
      <c r="KXY38" s="48"/>
      <c r="KXZ38" s="48"/>
      <c r="KYA38" s="48"/>
      <c r="KYB38" s="48"/>
      <c r="KYC38" s="48"/>
      <c r="KYD38" s="48"/>
      <c r="KYE38" s="48"/>
      <c r="KYF38" s="48"/>
      <c r="KYG38" s="45"/>
      <c r="KYH38" s="46"/>
      <c r="KYI38" s="46"/>
      <c r="KYJ38" s="47"/>
      <c r="KYK38" s="48"/>
      <c r="KYL38" s="48"/>
      <c r="KYM38" s="48"/>
      <c r="KYN38" s="48"/>
      <c r="KYO38" s="48"/>
      <c r="KYP38" s="48"/>
      <c r="KYQ38" s="48"/>
      <c r="KYR38" s="48"/>
      <c r="KYS38" s="48"/>
      <c r="KYT38" s="48"/>
      <c r="KYU38" s="48"/>
      <c r="KYV38" s="48"/>
      <c r="KYW38" s="48"/>
      <c r="KYX38" s="48"/>
      <c r="KYY38" s="48"/>
      <c r="KYZ38" s="48"/>
      <c r="KZA38" s="48"/>
      <c r="KZB38" s="48"/>
      <c r="KZC38" s="45"/>
      <c r="KZD38" s="46"/>
      <c r="KZE38" s="46"/>
      <c r="KZF38" s="47"/>
      <c r="KZG38" s="48"/>
      <c r="KZH38" s="48"/>
      <c r="KZI38" s="48"/>
      <c r="KZJ38" s="48"/>
      <c r="KZK38" s="48"/>
      <c r="KZL38" s="48"/>
      <c r="KZM38" s="48"/>
      <c r="KZN38" s="48"/>
      <c r="KZO38" s="48"/>
      <c r="KZP38" s="48"/>
      <c r="KZQ38" s="48"/>
      <c r="KZR38" s="48"/>
      <c r="KZS38" s="48"/>
      <c r="KZT38" s="48"/>
      <c r="KZU38" s="48"/>
      <c r="KZV38" s="48"/>
      <c r="KZW38" s="48"/>
      <c r="KZX38" s="48"/>
      <c r="KZY38" s="45"/>
      <c r="KZZ38" s="46"/>
      <c r="LAA38" s="46"/>
      <c r="LAB38" s="47"/>
      <c r="LAC38" s="48"/>
      <c r="LAD38" s="48"/>
      <c r="LAE38" s="48"/>
      <c r="LAF38" s="48"/>
      <c r="LAG38" s="48"/>
      <c r="LAH38" s="48"/>
      <c r="LAI38" s="48"/>
      <c r="LAJ38" s="48"/>
      <c r="LAK38" s="48"/>
      <c r="LAL38" s="48"/>
      <c r="LAM38" s="48"/>
      <c r="LAN38" s="48"/>
      <c r="LAO38" s="48"/>
      <c r="LAP38" s="48"/>
      <c r="LAQ38" s="48"/>
      <c r="LAR38" s="48"/>
      <c r="LAS38" s="48"/>
      <c r="LAT38" s="48"/>
      <c r="LAU38" s="45"/>
      <c r="LAV38" s="46"/>
      <c r="LAW38" s="46"/>
      <c r="LAX38" s="47"/>
      <c r="LAY38" s="48"/>
      <c r="LAZ38" s="48"/>
      <c r="LBA38" s="48"/>
      <c r="LBB38" s="48"/>
      <c r="LBC38" s="48"/>
      <c r="LBD38" s="48"/>
      <c r="LBE38" s="48"/>
      <c r="LBF38" s="48"/>
      <c r="LBG38" s="48"/>
      <c r="LBH38" s="48"/>
      <c r="LBI38" s="48"/>
      <c r="LBJ38" s="48"/>
      <c r="LBK38" s="48"/>
      <c r="LBL38" s="48"/>
      <c r="LBM38" s="48"/>
      <c r="LBN38" s="48"/>
      <c r="LBO38" s="48"/>
      <c r="LBP38" s="48"/>
      <c r="LBQ38" s="45"/>
      <c r="LBR38" s="46"/>
      <c r="LBS38" s="46"/>
      <c r="LBT38" s="47"/>
      <c r="LBU38" s="48"/>
      <c r="LBV38" s="48"/>
      <c r="LBW38" s="48"/>
      <c r="LBX38" s="48"/>
      <c r="LBY38" s="48"/>
      <c r="LBZ38" s="48"/>
      <c r="LCA38" s="48"/>
      <c r="LCB38" s="48"/>
      <c r="LCC38" s="48"/>
      <c r="LCD38" s="48"/>
      <c r="LCE38" s="48"/>
      <c r="LCF38" s="48"/>
      <c r="LCG38" s="48"/>
      <c r="LCH38" s="48"/>
      <c r="LCI38" s="48"/>
      <c r="LCJ38" s="48"/>
      <c r="LCK38" s="48"/>
      <c r="LCL38" s="48"/>
      <c r="LCM38" s="45"/>
      <c r="LCN38" s="46"/>
      <c r="LCO38" s="46"/>
      <c r="LCP38" s="47"/>
      <c r="LCQ38" s="48"/>
      <c r="LCR38" s="48"/>
      <c r="LCS38" s="48"/>
      <c r="LCT38" s="48"/>
      <c r="LCU38" s="48"/>
      <c r="LCV38" s="48"/>
      <c r="LCW38" s="48"/>
      <c r="LCX38" s="48"/>
      <c r="LCY38" s="48"/>
      <c r="LCZ38" s="48"/>
      <c r="LDA38" s="48"/>
      <c r="LDB38" s="48"/>
      <c r="LDC38" s="48"/>
      <c r="LDD38" s="48"/>
      <c r="LDE38" s="48"/>
      <c r="LDF38" s="48"/>
      <c r="LDG38" s="48"/>
      <c r="LDH38" s="48"/>
      <c r="LDI38" s="45"/>
      <c r="LDJ38" s="46"/>
      <c r="LDK38" s="46"/>
      <c r="LDL38" s="47"/>
      <c r="LDM38" s="48"/>
      <c r="LDN38" s="48"/>
      <c r="LDO38" s="48"/>
      <c r="LDP38" s="48"/>
      <c r="LDQ38" s="48"/>
      <c r="LDR38" s="48"/>
      <c r="LDS38" s="48"/>
      <c r="LDT38" s="48"/>
      <c r="LDU38" s="48"/>
      <c r="LDV38" s="48"/>
      <c r="LDW38" s="48"/>
      <c r="LDX38" s="48"/>
      <c r="LDY38" s="48"/>
      <c r="LDZ38" s="48"/>
      <c r="LEA38" s="48"/>
      <c r="LEB38" s="48"/>
      <c r="LEC38" s="48"/>
      <c r="LED38" s="48"/>
      <c r="LEE38" s="45"/>
      <c r="LEF38" s="46"/>
      <c r="LEG38" s="46"/>
      <c r="LEH38" s="47"/>
      <c r="LEI38" s="48"/>
      <c r="LEJ38" s="48"/>
      <c r="LEK38" s="48"/>
      <c r="LEL38" s="48"/>
      <c r="LEM38" s="48"/>
      <c r="LEN38" s="48"/>
      <c r="LEO38" s="48"/>
      <c r="LEP38" s="48"/>
      <c r="LEQ38" s="48"/>
      <c r="LER38" s="48"/>
      <c r="LES38" s="48"/>
      <c r="LET38" s="48"/>
      <c r="LEU38" s="48"/>
      <c r="LEV38" s="48"/>
      <c r="LEW38" s="48"/>
      <c r="LEX38" s="48"/>
      <c r="LEY38" s="48"/>
      <c r="LEZ38" s="48"/>
      <c r="LFA38" s="45"/>
      <c r="LFB38" s="46"/>
      <c r="LFC38" s="46"/>
      <c r="LFD38" s="47"/>
      <c r="LFE38" s="48"/>
      <c r="LFF38" s="48"/>
      <c r="LFG38" s="48"/>
      <c r="LFH38" s="48"/>
      <c r="LFI38" s="48"/>
      <c r="LFJ38" s="48"/>
      <c r="LFK38" s="48"/>
      <c r="LFL38" s="48"/>
      <c r="LFM38" s="48"/>
      <c r="LFN38" s="48"/>
      <c r="LFO38" s="48"/>
      <c r="LFP38" s="48"/>
      <c r="LFQ38" s="48"/>
      <c r="LFR38" s="48"/>
      <c r="LFS38" s="48"/>
      <c r="LFT38" s="48"/>
      <c r="LFU38" s="48"/>
      <c r="LFV38" s="48"/>
      <c r="LFW38" s="45"/>
      <c r="LFX38" s="46"/>
      <c r="LFY38" s="46"/>
      <c r="LFZ38" s="47"/>
      <c r="LGA38" s="48"/>
      <c r="LGB38" s="48"/>
      <c r="LGC38" s="48"/>
      <c r="LGD38" s="48"/>
      <c r="LGE38" s="48"/>
      <c r="LGF38" s="48"/>
      <c r="LGG38" s="48"/>
      <c r="LGH38" s="48"/>
      <c r="LGI38" s="48"/>
      <c r="LGJ38" s="48"/>
      <c r="LGK38" s="48"/>
      <c r="LGL38" s="48"/>
      <c r="LGM38" s="48"/>
      <c r="LGN38" s="48"/>
      <c r="LGO38" s="48"/>
      <c r="LGP38" s="48"/>
      <c r="LGQ38" s="48"/>
      <c r="LGR38" s="48"/>
      <c r="LGS38" s="45"/>
      <c r="LGT38" s="46"/>
      <c r="LGU38" s="46"/>
      <c r="LGV38" s="47"/>
      <c r="LGW38" s="48"/>
      <c r="LGX38" s="48"/>
      <c r="LGY38" s="48"/>
      <c r="LGZ38" s="48"/>
      <c r="LHA38" s="48"/>
      <c r="LHB38" s="48"/>
      <c r="LHC38" s="48"/>
      <c r="LHD38" s="48"/>
      <c r="LHE38" s="48"/>
      <c r="LHF38" s="48"/>
      <c r="LHG38" s="48"/>
      <c r="LHH38" s="48"/>
      <c r="LHI38" s="48"/>
      <c r="LHJ38" s="48"/>
      <c r="LHK38" s="48"/>
      <c r="LHL38" s="48"/>
      <c r="LHM38" s="48"/>
      <c r="LHN38" s="48"/>
      <c r="LHO38" s="45"/>
      <c r="LHP38" s="46"/>
      <c r="LHQ38" s="46"/>
      <c r="LHR38" s="47"/>
      <c r="LHS38" s="48"/>
      <c r="LHT38" s="48"/>
      <c r="LHU38" s="48"/>
      <c r="LHV38" s="48"/>
      <c r="LHW38" s="48"/>
      <c r="LHX38" s="48"/>
      <c r="LHY38" s="48"/>
      <c r="LHZ38" s="48"/>
      <c r="LIA38" s="48"/>
      <c r="LIB38" s="48"/>
      <c r="LIC38" s="48"/>
      <c r="LID38" s="48"/>
      <c r="LIE38" s="48"/>
      <c r="LIF38" s="48"/>
      <c r="LIG38" s="48"/>
      <c r="LIH38" s="48"/>
      <c r="LII38" s="48"/>
      <c r="LIJ38" s="48"/>
      <c r="LIK38" s="45"/>
      <c r="LIL38" s="46"/>
      <c r="LIM38" s="46"/>
      <c r="LIN38" s="47"/>
      <c r="LIO38" s="48"/>
      <c r="LIP38" s="48"/>
      <c r="LIQ38" s="48"/>
      <c r="LIR38" s="48"/>
      <c r="LIS38" s="48"/>
      <c r="LIT38" s="48"/>
      <c r="LIU38" s="48"/>
      <c r="LIV38" s="48"/>
      <c r="LIW38" s="48"/>
      <c r="LIX38" s="48"/>
      <c r="LIY38" s="48"/>
      <c r="LIZ38" s="48"/>
      <c r="LJA38" s="48"/>
      <c r="LJB38" s="48"/>
      <c r="LJC38" s="48"/>
      <c r="LJD38" s="48"/>
      <c r="LJE38" s="48"/>
      <c r="LJF38" s="48"/>
      <c r="LJG38" s="45"/>
      <c r="LJH38" s="46"/>
      <c r="LJI38" s="46"/>
      <c r="LJJ38" s="47"/>
      <c r="LJK38" s="48"/>
      <c r="LJL38" s="48"/>
      <c r="LJM38" s="48"/>
      <c r="LJN38" s="48"/>
      <c r="LJO38" s="48"/>
      <c r="LJP38" s="48"/>
      <c r="LJQ38" s="48"/>
      <c r="LJR38" s="48"/>
      <c r="LJS38" s="48"/>
      <c r="LJT38" s="48"/>
      <c r="LJU38" s="48"/>
      <c r="LJV38" s="48"/>
      <c r="LJW38" s="48"/>
      <c r="LJX38" s="48"/>
      <c r="LJY38" s="48"/>
      <c r="LJZ38" s="48"/>
      <c r="LKA38" s="48"/>
      <c r="LKB38" s="48"/>
      <c r="LKC38" s="45"/>
      <c r="LKD38" s="46"/>
      <c r="LKE38" s="46"/>
      <c r="LKF38" s="47"/>
      <c r="LKG38" s="48"/>
      <c r="LKH38" s="48"/>
      <c r="LKI38" s="48"/>
      <c r="LKJ38" s="48"/>
      <c r="LKK38" s="48"/>
      <c r="LKL38" s="48"/>
      <c r="LKM38" s="48"/>
      <c r="LKN38" s="48"/>
      <c r="LKO38" s="48"/>
      <c r="LKP38" s="48"/>
      <c r="LKQ38" s="48"/>
      <c r="LKR38" s="48"/>
      <c r="LKS38" s="48"/>
      <c r="LKT38" s="48"/>
      <c r="LKU38" s="48"/>
      <c r="LKV38" s="48"/>
      <c r="LKW38" s="48"/>
      <c r="LKX38" s="48"/>
      <c r="LKY38" s="45"/>
      <c r="LKZ38" s="46"/>
      <c r="LLA38" s="46"/>
      <c r="LLB38" s="47"/>
      <c r="LLC38" s="48"/>
      <c r="LLD38" s="48"/>
      <c r="LLE38" s="48"/>
      <c r="LLF38" s="48"/>
      <c r="LLG38" s="48"/>
      <c r="LLH38" s="48"/>
      <c r="LLI38" s="48"/>
      <c r="LLJ38" s="48"/>
      <c r="LLK38" s="48"/>
      <c r="LLL38" s="48"/>
      <c r="LLM38" s="48"/>
      <c r="LLN38" s="48"/>
      <c r="LLO38" s="48"/>
      <c r="LLP38" s="48"/>
      <c r="LLQ38" s="48"/>
      <c r="LLR38" s="48"/>
      <c r="LLS38" s="48"/>
      <c r="LLT38" s="48"/>
      <c r="LLU38" s="45"/>
      <c r="LLV38" s="46"/>
      <c r="LLW38" s="46"/>
      <c r="LLX38" s="47"/>
      <c r="LLY38" s="48"/>
      <c r="LLZ38" s="48"/>
      <c r="LMA38" s="48"/>
      <c r="LMB38" s="48"/>
      <c r="LMC38" s="48"/>
      <c r="LMD38" s="48"/>
      <c r="LME38" s="48"/>
      <c r="LMF38" s="48"/>
      <c r="LMG38" s="48"/>
      <c r="LMH38" s="48"/>
      <c r="LMI38" s="48"/>
      <c r="LMJ38" s="48"/>
      <c r="LMK38" s="48"/>
      <c r="LML38" s="48"/>
      <c r="LMM38" s="48"/>
      <c r="LMN38" s="48"/>
      <c r="LMO38" s="48"/>
      <c r="LMP38" s="48"/>
      <c r="LMQ38" s="45"/>
      <c r="LMR38" s="46"/>
      <c r="LMS38" s="46"/>
      <c r="LMT38" s="47"/>
      <c r="LMU38" s="48"/>
      <c r="LMV38" s="48"/>
      <c r="LMW38" s="48"/>
      <c r="LMX38" s="48"/>
      <c r="LMY38" s="48"/>
      <c r="LMZ38" s="48"/>
      <c r="LNA38" s="48"/>
      <c r="LNB38" s="48"/>
      <c r="LNC38" s="48"/>
      <c r="LND38" s="48"/>
      <c r="LNE38" s="48"/>
      <c r="LNF38" s="48"/>
      <c r="LNG38" s="48"/>
      <c r="LNH38" s="48"/>
      <c r="LNI38" s="48"/>
      <c r="LNJ38" s="48"/>
      <c r="LNK38" s="48"/>
      <c r="LNL38" s="48"/>
      <c r="LNM38" s="45"/>
      <c r="LNN38" s="46"/>
      <c r="LNO38" s="46"/>
      <c r="LNP38" s="47"/>
      <c r="LNQ38" s="48"/>
      <c r="LNR38" s="48"/>
      <c r="LNS38" s="48"/>
      <c r="LNT38" s="48"/>
      <c r="LNU38" s="48"/>
      <c r="LNV38" s="48"/>
      <c r="LNW38" s="48"/>
      <c r="LNX38" s="48"/>
      <c r="LNY38" s="48"/>
      <c r="LNZ38" s="48"/>
      <c r="LOA38" s="48"/>
      <c r="LOB38" s="48"/>
      <c r="LOC38" s="48"/>
      <c r="LOD38" s="48"/>
      <c r="LOE38" s="48"/>
      <c r="LOF38" s="48"/>
      <c r="LOG38" s="48"/>
      <c r="LOH38" s="48"/>
      <c r="LOI38" s="45"/>
      <c r="LOJ38" s="46"/>
      <c r="LOK38" s="46"/>
      <c r="LOL38" s="47"/>
      <c r="LOM38" s="48"/>
      <c r="LON38" s="48"/>
      <c r="LOO38" s="48"/>
      <c r="LOP38" s="48"/>
      <c r="LOQ38" s="48"/>
      <c r="LOR38" s="48"/>
      <c r="LOS38" s="48"/>
      <c r="LOT38" s="48"/>
      <c r="LOU38" s="48"/>
      <c r="LOV38" s="48"/>
      <c r="LOW38" s="48"/>
      <c r="LOX38" s="48"/>
      <c r="LOY38" s="48"/>
      <c r="LOZ38" s="48"/>
      <c r="LPA38" s="48"/>
      <c r="LPB38" s="48"/>
      <c r="LPC38" s="48"/>
      <c r="LPD38" s="48"/>
      <c r="LPE38" s="45"/>
      <c r="LPF38" s="46"/>
      <c r="LPG38" s="46"/>
      <c r="LPH38" s="47"/>
      <c r="LPI38" s="48"/>
      <c r="LPJ38" s="48"/>
      <c r="LPK38" s="48"/>
      <c r="LPL38" s="48"/>
      <c r="LPM38" s="48"/>
      <c r="LPN38" s="48"/>
      <c r="LPO38" s="48"/>
      <c r="LPP38" s="48"/>
      <c r="LPQ38" s="48"/>
      <c r="LPR38" s="48"/>
      <c r="LPS38" s="48"/>
      <c r="LPT38" s="48"/>
      <c r="LPU38" s="48"/>
      <c r="LPV38" s="48"/>
      <c r="LPW38" s="48"/>
      <c r="LPX38" s="48"/>
      <c r="LPY38" s="48"/>
      <c r="LPZ38" s="48"/>
      <c r="LQA38" s="45"/>
      <c r="LQB38" s="46"/>
      <c r="LQC38" s="46"/>
      <c r="LQD38" s="47"/>
      <c r="LQE38" s="48"/>
      <c r="LQF38" s="48"/>
      <c r="LQG38" s="48"/>
      <c r="LQH38" s="48"/>
      <c r="LQI38" s="48"/>
      <c r="LQJ38" s="48"/>
      <c r="LQK38" s="48"/>
      <c r="LQL38" s="48"/>
      <c r="LQM38" s="48"/>
      <c r="LQN38" s="48"/>
      <c r="LQO38" s="48"/>
      <c r="LQP38" s="48"/>
      <c r="LQQ38" s="48"/>
      <c r="LQR38" s="48"/>
      <c r="LQS38" s="48"/>
      <c r="LQT38" s="48"/>
      <c r="LQU38" s="48"/>
      <c r="LQV38" s="48"/>
      <c r="LQW38" s="45"/>
      <c r="LQX38" s="46"/>
      <c r="LQY38" s="46"/>
      <c r="LQZ38" s="47"/>
      <c r="LRA38" s="48"/>
      <c r="LRB38" s="48"/>
      <c r="LRC38" s="48"/>
      <c r="LRD38" s="48"/>
      <c r="LRE38" s="48"/>
      <c r="LRF38" s="48"/>
      <c r="LRG38" s="48"/>
      <c r="LRH38" s="48"/>
      <c r="LRI38" s="48"/>
      <c r="LRJ38" s="48"/>
      <c r="LRK38" s="48"/>
      <c r="LRL38" s="48"/>
      <c r="LRM38" s="48"/>
      <c r="LRN38" s="48"/>
      <c r="LRO38" s="48"/>
      <c r="LRP38" s="48"/>
      <c r="LRQ38" s="48"/>
      <c r="LRR38" s="48"/>
      <c r="LRS38" s="45"/>
      <c r="LRT38" s="46"/>
      <c r="LRU38" s="46"/>
      <c r="LRV38" s="47"/>
      <c r="LRW38" s="48"/>
      <c r="LRX38" s="48"/>
      <c r="LRY38" s="48"/>
      <c r="LRZ38" s="48"/>
      <c r="LSA38" s="48"/>
      <c r="LSB38" s="48"/>
      <c r="LSC38" s="48"/>
      <c r="LSD38" s="48"/>
      <c r="LSE38" s="48"/>
      <c r="LSF38" s="48"/>
      <c r="LSG38" s="48"/>
      <c r="LSH38" s="48"/>
      <c r="LSI38" s="48"/>
      <c r="LSJ38" s="48"/>
      <c r="LSK38" s="48"/>
      <c r="LSL38" s="48"/>
      <c r="LSM38" s="48"/>
      <c r="LSN38" s="48"/>
      <c r="LSO38" s="45"/>
      <c r="LSP38" s="46"/>
      <c r="LSQ38" s="46"/>
      <c r="LSR38" s="47"/>
      <c r="LSS38" s="48"/>
      <c r="LST38" s="48"/>
      <c r="LSU38" s="48"/>
      <c r="LSV38" s="48"/>
      <c r="LSW38" s="48"/>
      <c r="LSX38" s="48"/>
      <c r="LSY38" s="48"/>
      <c r="LSZ38" s="48"/>
      <c r="LTA38" s="48"/>
      <c r="LTB38" s="48"/>
      <c r="LTC38" s="48"/>
      <c r="LTD38" s="48"/>
      <c r="LTE38" s="48"/>
      <c r="LTF38" s="48"/>
      <c r="LTG38" s="48"/>
      <c r="LTH38" s="48"/>
      <c r="LTI38" s="48"/>
      <c r="LTJ38" s="48"/>
      <c r="LTK38" s="45"/>
      <c r="LTL38" s="46"/>
      <c r="LTM38" s="46"/>
      <c r="LTN38" s="47"/>
      <c r="LTO38" s="48"/>
      <c r="LTP38" s="48"/>
      <c r="LTQ38" s="48"/>
      <c r="LTR38" s="48"/>
      <c r="LTS38" s="48"/>
      <c r="LTT38" s="48"/>
      <c r="LTU38" s="48"/>
      <c r="LTV38" s="48"/>
      <c r="LTW38" s="48"/>
      <c r="LTX38" s="48"/>
      <c r="LTY38" s="48"/>
      <c r="LTZ38" s="48"/>
      <c r="LUA38" s="48"/>
      <c r="LUB38" s="48"/>
      <c r="LUC38" s="48"/>
      <c r="LUD38" s="48"/>
      <c r="LUE38" s="48"/>
      <c r="LUF38" s="48"/>
      <c r="LUG38" s="45"/>
      <c r="LUH38" s="46"/>
      <c r="LUI38" s="46"/>
      <c r="LUJ38" s="47"/>
      <c r="LUK38" s="48"/>
      <c r="LUL38" s="48"/>
      <c r="LUM38" s="48"/>
      <c r="LUN38" s="48"/>
      <c r="LUO38" s="48"/>
      <c r="LUP38" s="48"/>
      <c r="LUQ38" s="48"/>
      <c r="LUR38" s="48"/>
      <c r="LUS38" s="48"/>
      <c r="LUT38" s="48"/>
      <c r="LUU38" s="48"/>
      <c r="LUV38" s="48"/>
      <c r="LUW38" s="48"/>
      <c r="LUX38" s="48"/>
      <c r="LUY38" s="48"/>
      <c r="LUZ38" s="48"/>
      <c r="LVA38" s="48"/>
      <c r="LVB38" s="48"/>
      <c r="LVC38" s="45"/>
      <c r="LVD38" s="46"/>
      <c r="LVE38" s="46"/>
      <c r="LVF38" s="47"/>
      <c r="LVG38" s="48"/>
      <c r="LVH38" s="48"/>
      <c r="LVI38" s="48"/>
      <c r="LVJ38" s="48"/>
      <c r="LVK38" s="48"/>
      <c r="LVL38" s="48"/>
      <c r="LVM38" s="48"/>
      <c r="LVN38" s="48"/>
      <c r="LVO38" s="48"/>
      <c r="LVP38" s="48"/>
      <c r="LVQ38" s="48"/>
      <c r="LVR38" s="48"/>
      <c r="LVS38" s="48"/>
      <c r="LVT38" s="48"/>
      <c r="LVU38" s="48"/>
      <c r="LVV38" s="48"/>
      <c r="LVW38" s="48"/>
      <c r="LVX38" s="48"/>
      <c r="LVY38" s="45"/>
      <c r="LVZ38" s="46"/>
      <c r="LWA38" s="46"/>
      <c r="LWB38" s="47"/>
      <c r="LWC38" s="48"/>
      <c r="LWD38" s="48"/>
      <c r="LWE38" s="48"/>
      <c r="LWF38" s="48"/>
      <c r="LWG38" s="48"/>
      <c r="LWH38" s="48"/>
      <c r="LWI38" s="48"/>
      <c r="LWJ38" s="48"/>
      <c r="LWK38" s="48"/>
      <c r="LWL38" s="48"/>
      <c r="LWM38" s="48"/>
      <c r="LWN38" s="48"/>
      <c r="LWO38" s="48"/>
      <c r="LWP38" s="48"/>
      <c r="LWQ38" s="48"/>
      <c r="LWR38" s="48"/>
      <c r="LWS38" s="48"/>
      <c r="LWT38" s="48"/>
      <c r="LWU38" s="45"/>
      <c r="LWV38" s="46"/>
      <c r="LWW38" s="46"/>
      <c r="LWX38" s="47"/>
      <c r="LWY38" s="48"/>
      <c r="LWZ38" s="48"/>
      <c r="LXA38" s="48"/>
      <c r="LXB38" s="48"/>
      <c r="LXC38" s="48"/>
      <c r="LXD38" s="48"/>
      <c r="LXE38" s="48"/>
      <c r="LXF38" s="48"/>
      <c r="LXG38" s="48"/>
      <c r="LXH38" s="48"/>
      <c r="LXI38" s="48"/>
      <c r="LXJ38" s="48"/>
      <c r="LXK38" s="48"/>
      <c r="LXL38" s="48"/>
      <c r="LXM38" s="48"/>
      <c r="LXN38" s="48"/>
      <c r="LXO38" s="48"/>
      <c r="LXP38" s="48"/>
      <c r="LXQ38" s="45"/>
      <c r="LXR38" s="46"/>
      <c r="LXS38" s="46"/>
      <c r="LXT38" s="47"/>
      <c r="LXU38" s="48"/>
      <c r="LXV38" s="48"/>
      <c r="LXW38" s="48"/>
      <c r="LXX38" s="48"/>
      <c r="LXY38" s="48"/>
      <c r="LXZ38" s="48"/>
      <c r="LYA38" s="48"/>
      <c r="LYB38" s="48"/>
      <c r="LYC38" s="48"/>
      <c r="LYD38" s="48"/>
      <c r="LYE38" s="48"/>
      <c r="LYF38" s="48"/>
      <c r="LYG38" s="48"/>
      <c r="LYH38" s="48"/>
      <c r="LYI38" s="48"/>
      <c r="LYJ38" s="48"/>
      <c r="LYK38" s="48"/>
      <c r="LYL38" s="48"/>
      <c r="LYM38" s="45"/>
      <c r="LYN38" s="46"/>
      <c r="LYO38" s="46"/>
      <c r="LYP38" s="47"/>
      <c r="LYQ38" s="48"/>
      <c r="LYR38" s="48"/>
      <c r="LYS38" s="48"/>
      <c r="LYT38" s="48"/>
      <c r="LYU38" s="48"/>
      <c r="LYV38" s="48"/>
      <c r="LYW38" s="48"/>
      <c r="LYX38" s="48"/>
      <c r="LYY38" s="48"/>
      <c r="LYZ38" s="48"/>
      <c r="LZA38" s="48"/>
      <c r="LZB38" s="48"/>
      <c r="LZC38" s="48"/>
      <c r="LZD38" s="48"/>
      <c r="LZE38" s="48"/>
      <c r="LZF38" s="48"/>
      <c r="LZG38" s="48"/>
      <c r="LZH38" s="48"/>
      <c r="LZI38" s="45"/>
      <c r="LZJ38" s="46"/>
      <c r="LZK38" s="46"/>
      <c r="LZL38" s="47"/>
      <c r="LZM38" s="48"/>
      <c r="LZN38" s="48"/>
      <c r="LZO38" s="48"/>
      <c r="LZP38" s="48"/>
      <c r="LZQ38" s="48"/>
      <c r="LZR38" s="48"/>
      <c r="LZS38" s="48"/>
      <c r="LZT38" s="48"/>
      <c r="LZU38" s="48"/>
      <c r="LZV38" s="48"/>
      <c r="LZW38" s="48"/>
      <c r="LZX38" s="48"/>
      <c r="LZY38" s="48"/>
      <c r="LZZ38" s="48"/>
      <c r="MAA38" s="48"/>
      <c r="MAB38" s="48"/>
      <c r="MAC38" s="48"/>
      <c r="MAD38" s="48"/>
      <c r="MAE38" s="45"/>
      <c r="MAF38" s="46"/>
      <c r="MAG38" s="46"/>
      <c r="MAH38" s="47"/>
      <c r="MAI38" s="48"/>
      <c r="MAJ38" s="48"/>
      <c r="MAK38" s="48"/>
      <c r="MAL38" s="48"/>
      <c r="MAM38" s="48"/>
      <c r="MAN38" s="48"/>
      <c r="MAO38" s="48"/>
      <c r="MAP38" s="48"/>
      <c r="MAQ38" s="48"/>
      <c r="MAR38" s="48"/>
      <c r="MAS38" s="48"/>
      <c r="MAT38" s="48"/>
      <c r="MAU38" s="48"/>
      <c r="MAV38" s="48"/>
      <c r="MAW38" s="48"/>
      <c r="MAX38" s="48"/>
      <c r="MAY38" s="48"/>
      <c r="MAZ38" s="48"/>
      <c r="MBA38" s="45"/>
      <c r="MBB38" s="46"/>
      <c r="MBC38" s="46"/>
      <c r="MBD38" s="47"/>
      <c r="MBE38" s="48"/>
      <c r="MBF38" s="48"/>
      <c r="MBG38" s="48"/>
      <c r="MBH38" s="48"/>
      <c r="MBI38" s="48"/>
      <c r="MBJ38" s="48"/>
      <c r="MBK38" s="48"/>
      <c r="MBL38" s="48"/>
      <c r="MBM38" s="48"/>
      <c r="MBN38" s="48"/>
      <c r="MBO38" s="48"/>
      <c r="MBP38" s="48"/>
      <c r="MBQ38" s="48"/>
      <c r="MBR38" s="48"/>
      <c r="MBS38" s="48"/>
      <c r="MBT38" s="48"/>
      <c r="MBU38" s="48"/>
      <c r="MBV38" s="48"/>
      <c r="MBW38" s="45"/>
      <c r="MBX38" s="46"/>
      <c r="MBY38" s="46"/>
      <c r="MBZ38" s="47"/>
      <c r="MCA38" s="48"/>
      <c r="MCB38" s="48"/>
      <c r="MCC38" s="48"/>
      <c r="MCD38" s="48"/>
      <c r="MCE38" s="48"/>
      <c r="MCF38" s="48"/>
      <c r="MCG38" s="48"/>
      <c r="MCH38" s="48"/>
      <c r="MCI38" s="48"/>
      <c r="MCJ38" s="48"/>
      <c r="MCK38" s="48"/>
      <c r="MCL38" s="48"/>
      <c r="MCM38" s="48"/>
      <c r="MCN38" s="48"/>
      <c r="MCO38" s="48"/>
      <c r="MCP38" s="48"/>
      <c r="MCQ38" s="48"/>
      <c r="MCR38" s="48"/>
      <c r="MCS38" s="45"/>
      <c r="MCT38" s="46"/>
      <c r="MCU38" s="46"/>
      <c r="MCV38" s="47"/>
      <c r="MCW38" s="48"/>
      <c r="MCX38" s="48"/>
      <c r="MCY38" s="48"/>
      <c r="MCZ38" s="48"/>
      <c r="MDA38" s="48"/>
      <c r="MDB38" s="48"/>
      <c r="MDC38" s="48"/>
      <c r="MDD38" s="48"/>
      <c r="MDE38" s="48"/>
      <c r="MDF38" s="48"/>
      <c r="MDG38" s="48"/>
      <c r="MDH38" s="48"/>
      <c r="MDI38" s="48"/>
      <c r="MDJ38" s="48"/>
      <c r="MDK38" s="48"/>
      <c r="MDL38" s="48"/>
      <c r="MDM38" s="48"/>
      <c r="MDN38" s="48"/>
      <c r="MDO38" s="45"/>
      <c r="MDP38" s="46"/>
      <c r="MDQ38" s="46"/>
      <c r="MDR38" s="47"/>
      <c r="MDS38" s="48"/>
      <c r="MDT38" s="48"/>
      <c r="MDU38" s="48"/>
      <c r="MDV38" s="48"/>
      <c r="MDW38" s="48"/>
      <c r="MDX38" s="48"/>
      <c r="MDY38" s="48"/>
      <c r="MDZ38" s="48"/>
      <c r="MEA38" s="48"/>
      <c r="MEB38" s="48"/>
      <c r="MEC38" s="48"/>
      <c r="MED38" s="48"/>
      <c r="MEE38" s="48"/>
      <c r="MEF38" s="48"/>
      <c r="MEG38" s="48"/>
      <c r="MEH38" s="48"/>
      <c r="MEI38" s="48"/>
      <c r="MEJ38" s="48"/>
      <c r="MEK38" s="45"/>
      <c r="MEL38" s="46"/>
      <c r="MEM38" s="46"/>
      <c r="MEN38" s="47"/>
      <c r="MEO38" s="48"/>
      <c r="MEP38" s="48"/>
      <c r="MEQ38" s="48"/>
      <c r="MER38" s="48"/>
      <c r="MES38" s="48"/>
      <c r="MET38" s="48"/>
      <c r="MEU38" s="48"/>
      <c r="MEV38" s="48"/>
      <c r="MEW38" s="48"/>
      <c r="MEX38" s="48"/>
      <c r="MEY38" s="48"/>
      <c r="MEZ38" s="48"/>
      <c r="MFA38" s="48"/>
      <c r="MFB38" s="48"/>
      <c r="MFC38" s="48"/>
      <c r="MFD38" s="48"/>
      <c r="MFE38" s="48"/>
      <c r="MFF38" s="48"/>
      <c r="MFG38" s="45"/>
      <c r="MFH38" s="46"/>
      <c r="MFI38" s="46"/>
      <c r="MFJ38" s="47"/>
      <c r="MFK38" s="48"/>
      <c r="MFL38" s="48"/>
      <c r="MFM38" s="48"/>
      <c r="MFN38" s="48"/>
      <c r="MFO38" s="48"/>
      <c r="MFP38" s="48"/>
      <c r="MFQ38" s="48"/>
      <c r="MFR38" s="48"/>
      <c r="MFS38" s="48"/>
      <c r="MFT38" s="48"/>
      <c r="MFU38" s="48"/>
      <c r="MFV38" s="48"/>
      <c r="MFW38" s="48"/>
      <c r="MFX38" s="48"/>
      <c r="MFY38" s="48"/>
      <c r="MFZ38" s="48"/>
      <c r="MGA38" s="48"/>
      <c r="MGB38" s="48"/>
      <c r="MGC38" s="45"/>
      <c r="MGD38" s="46"/>
      <c r="MGE38" s="46"/>
      <c r="MGF38" s="47"/>
      <c r="MGG38" s="48"/>
      <c r="MGH38" s="48"/>
      <c r="MGI38" s="48"/>
      <c r="MGJ38" s="48"/>
      <c r="MGK38" s="48"/>
      <c r="MGL38" s="48"/>
      <c r="MGM38" s="48"/>
      <c r="MGN38" s="48"/>
      <c r="MGO38" s="48"/>
      <c r="MGP38" s="48"/>
      <c r="MGQ38" s="48"/>
      <c r="MGR38" s="48"/>
      <c r="MGS38" s="48"/>
      <c r="MGT38" s="48"/>
      <c r="MGU38" s="48"/>
      <c r="MGV38" s="48"/>
      <c r="MGW38" s="48"/>
      <c r="MGX38" s="48"/>
      <c r="MGY38" s="45"/>
      <c r="MGZ38" s="46"/>
      <c r="MHA38" s="46"/>
      <c r="MHB38" s="47"/>
      <c r="MHC38" s="48"/>
      <c r="MHD38" s="48"/>
      <c r="MHE38" s="48"/>
      <c r="MHF38" s="48"/>
      <c r="MHG38" s="48"/>
      <c r="MHH38" s="48"/>
      <c r="MHI38" s="48"/>
      <c r="MHJ38" s="48"/>
      <c r="MHK38" s="48"/>
      <c r="MHL38" s="48"/>
      <c r="MHM38" s="48"/>
      <c r="MHN38" s="48"/>
      <c r="MHO38" s="48"/>
      <c r="MHP38" s="48"/>
      <c r="MHQ38" s="48"/>
      <c r="MHR38" s="48"/>
      <c r="MHS38" s="48"/>
      <c r="MHT38" s="48"/>
      <c r="MHU38" s="45"/>
      <c r="MHV38" s="46"/>
      <c r="MHW38" s="46"/>
      <c r="MHX38" s="47"/>
      <c r="MHY38" s="48"/>
      <c r="MHZ38" s="48"/>
      <c r="MIA38" s="48"/>
      <c r="MIB38" s="48"/>
      <c r="MIC38" s="48"/>
      <c r="MID38" s="48"/>
      <c r="MIE38" s="48"/>
      <c r="MIF38" s="48"/>
      <c r="MIG38" s="48"/>
      <c r="MIH38" s="48"/>
      <c r="MII38" s="48"/>
      <c r="MIJ38" s="48"/>
      <c r="MIK38" s="48"/>
      <c r="MIL38" s="48"/>
      <c r="MIM38" s="48"/>
      <c r="MIN38" s="48"/>
      <c r="MIO38" s="48"/>
      <c r="MIP38" s="48"/>
      <c r="MIQ38" s="45"/>
      <c r="MIR38" s="46"/>
      <c r="MIS38" s="46"/>
      <c r="MIT38" s="47"/>
      <c r="MIU38" s="48"/>
      <c r="MIV38" s="48"/>
      <c r="MIW38" s="48"/>
      <c r="MIX38" s="48"/>
      <c r="MIY38" s="48"/>
      <c r="MIZ38" s="48"/>
      <c r="MJA38" s="48"/>
      <c r="MJB38" s="48"/>
      <c r="MJC38" s="48"/>
      <c r="MJD38" s="48"/>
      <c r="MJE38" s="48"/>
      <c r="MJF38" s="48"/>
      <c r="MJG38" s="48"/>
      <c r="MJH38" s="48"/>
      <c r="MJI38" s="48"/>
      <c r="MJJ38" s="48"/>
      <c r="MJK38" s="48"/>
      <c r="MJL38" s="48"/>
      <c r="MJM38" s="45"/>
      <c r="MJN38" s="46"/>
      <c r="MJO38" s="46"/>
      <c r="MJP38" s="47"/>
      <c r="MJQ38" s="48"/>
      <c r="MJR38" s="48"/>
      <c r="MJS38" s="48"/>
      <c r="MJT38" s="48"/>
      <c r="MJU38" s="48"/>
      <c r="MJV38" s="48"/>
      <c r="MJW38" s="48"/>
      <c r="MJX38" s="48"/>
      <c r="MJY38" s="48"/>
      <c r="MJZ38" s="48"/>
      <c r="MKA38" s="48"/>
      <c r="MKB38" s="48"/>
      <c r="MKC38" s="48"/>
      <c r="MKD38" s="48"/>
      <c r="MKE38" s="48"/>
      <c r="MKF38" s="48"/>
      <c r="MKG38" s="48"/>
      <c r="MKH38" s="48"/>
      <c r="MKI38" s="45"/>
      <c r="MKJ38" s="46"/>
      <c r="MKK38" s="46"/>
      <c r="MKL38" s="47"/>
      <c r="MKM38" s="48"/>
      <c r="MKN38" s="48"/>
      <c r="MKO38" s="48"/>
      <c r="MKP38" s="48"/>
      <c r="MKQ38" s="48"/>
      <c r="MKR38" s="48"/>
      <c r="MKS38" s="48"/>
      <c r="MKT38" s="48"/>
      <c r="MKU38" s="48"/>
      <c r="MKV38" s="48"/>
      <c r="MKW38" s="48"/>
      <c r="MKX38" s="48"/>
      <c r="MKY38" s="48"/>
      <c r="MKZ38" s="48"/>
      <c r="MLA38" s="48"/>
      <c r="MLB38" s="48"/>
      <c r="MLC38" s="48"/>
      <c r="MLD38" s="48"/>
      <c r="MLE38" s="45"/>
      <c r="MLF38" s="46"/>
      <c r="MLG38" s="46"/>
      <c r="MLH38" s="47"/>
      <c r="MLI38" s="48"/>
      <c r="MLJ38" s="48"/>
      <c r="MLK38" s="48"/>
      <c r="MLL38" s="48"/>
      <c r="MLM38" s="48"/>
      <c r="MLN38" s="48"/>
      <c r="MLO38" s="48"/>
      <c r="MLP38" s="48"/>
      <c r="MLQ38" s="48"/>
      <c r="MLR38" s="48"/>
      <c r="MLS38" s="48"/>
      <c r="MLT38" s="48"/>
      <c r="MLU38" s="48"/>
      <c r="MLV38" s="48"/>
      <c r="MLW38" s="48"/>
      <c r="MLX38" s="48"/>
      <c r="MLY38" s="48"/>
      <c r="MLZ38" s="48"/>
      <c r="MMA38" s="45"/>
      <c r="MMB38" s="46"/>
      <c r="MMC38" s="46"/>
      <c r="MMD38" s="47"/>
      <c r="MME38" s="48"/>
      <c r="MMF38" s="48"/>
      <c r="MMG38" s="48"/>
      <c r="MMH38" s="48"/>
      <c r="MMI38" s="48"/>
      <c r="MMJ38" s="48"/>
      <c r="MMK38" s="48"/>
      <c r="MML38" s="48"/>
      <c r="MMM38" s="48"/>
      <c r="MMN38" s="48"/>
      <c r="MMO38" s="48"/>
      <c r="MMP38" s="48"/>
      <c r="MMQ38" s="48"/>
      <c r="MMR38" s="48"/>
      <c r="MMS38" s="48"/>
      <c r="MMT38" s="48"/>
      <c r="MMU38" s="48"/>
      <c r="MMV38" s="48"/>
      <c r="MMW38" s="45"/>
      <c r="MMX38" s="46"/>
      <c r="MMY38" s="46"/>
      <c r="MMZ38" s="47"/>
      <c r="MNA38" s="48"/>
      <c r="MNB38" s="48"/>
      <c r="MNC38" s="48"/>
      <c r="MND38" s="48"/>
      <c r="MNE38" s="48"/>
      <c r="MNF38" s="48"/>
      <c r="MNG38" s="48"/>
      <c r="MNH38" s="48"/>
      <c r="MNI38" s="48"/>
      <c r="MNJ38" s="48"/>
      <c r="MNK38" s="48"/>
      <c r="MNL38" s="48"/>
      <c r="MNM38" s="48"/>
      <c r="MNN38" s="48"/>
      <c r="MNO38" s="48"/>
      <c r="MNP38" s="48"/>
      <c r="MNQ38" s="48"/>
      <c r="MNR38" s="48"/>
      <c r="MNS38" s="45"/>
      <c r="MNT38" s="46"/>
      <c r="MNU38" s="46"/>
      <c r="MNV38" s="47"/>
      <c r="MNW38" s="48"/>
      <c r="MNX38" s="48"/>
      <c r="MNY38" s="48"/>
      <c r="MNZ38" s="48"/>
      <c r="MOA38" s="48"/>
      <c r="MOB38" s="48"/>
      <c r="MOC38" s="48"/>
      <c r="MOD38" s="48"/>
      <c r="MOE38" s="48"/>
      <c r="MOF38" s="48"/>
      <c r="MOG38" s="48"/>
      <c r="MOH38" s="48"/>
      <c r="MOI38" s="48"/>
      <c r="MOJ38" s="48"/>
      <c r="MOK38" s="48"/>
      <c r="MOL38" s="48"/>
      <c r="MOM38" s="48"/>
      <c r="MON38" s="48"/>
      <c r="MOO38" s="45"/>
      <c r="MOP38" s="46"/>
      <c r="MOQ38" s="46"/>
      <c r="MOR38" s="47"/>
      <c r="MOS38" s="48"/>
      <c r="MOT38" s="48"/>
      <c r="MOU38" s="48"/>
      <c r="MOV38" s="48"/>
      <c r="MOW38" s="48"/>
      <c r="MOX38" s="48"/>
      <c r="MOY38" s="48"/>
      <c r="MOZ38" s="48"/>
      <c r="MPA38" s="48"/>
      <c r="MPB38" s="48"/>
      <c r="MPC38" s="48"/>
      <c r="MPD38" s="48"/>
      <c r="MPE38" s="48"/>
      <c r="MPF38" s="48"/>
      <c r="MPG38" s="48"/>
      <c r="MPH38" s="48"/>
      <c r="MPI38" s="48"/>
      <c r="MPJ38" s="48"/>
      <c r="MPK38" s="45"/>
      <c r="MPL38" s="46"/>
      <c r="MPM38" s="46"/>
      <c r="MPN38" s="47"/>
      <c r="MPO38" s="48"/>
      <c r="MPP38" s="48"/>
      <c r="MPQ38" s="48"/>
      <c r="MPR38" s="48"/>
      <c r="MPS38" s="48"/>
      <c r="MPT38" s="48"/>
      <c r="MPU38" s="48"/>
      <c r="MPV38" s="48"/>
      <c r="MPW38" s="48"/>
      <c r="MPX38" s="48"/>
      <c r="MPY38" s="48"/>
      <c r="MPZ38" s="48"/>
      <c r="MQA38" s="48"/>
      <c r="MQB38" s="48"/>
      <c r="MQC38" s="48"/>
      <c r="MQD38" s="48"/>
      <c r="MQE38" s="48"/>
      <c r="MQF38" s="48"/>
      <c r="MQG38" s="45"/>
      <c r="MQH38" s="46"/>
      <c r="MQI38" s="46"/>
      <c r="MQJ38" s="47"/>
      <c r="MQK38" s="48"/>
      <c r="MQL38" s="48"/>
      <c r="MQM38" s="48"/>
      <c r="MQN38" s="48"/>
      <c r="MQO38" s="48"/>
      <c r="MQP38" s="48"/>
      <c r="MQQ38" s="48"/>
      <c r="MQR38" s="48"/>
      <c r="MQS38" s="48"/>
      <c r="MQT38" s="48"/>
      <c r="MQU38" s="48"/>
      <c r="MQV38" s="48"/>
      <c r="MQW38" s="48"/>
      <c r="MQX38" s="48"/>
      <c r="MQY38" s="48"/>
      <c r="MQZ38" s="48"/>
      <c r="MRA38" s="48"/>
      <c r="MRB38" s="48"/>
      <c r="MRC38" s="45"/>
      <c r="MRD38" s="46"/>
      <c r="MRE38" s="46"/>
      <c r="MRF38" s="47"/>
      <c r="MRG38" s="48"/>
      <c r="MRH38" s="48"/>
      <c r="MRI38" s="48"/>
      <c r="MRJ38" s="48"/>
      <c r="MRK38" s="48"/>
      <c r="MRL38" s="48"/>
      <c r="MRM38" s="48"/>
      <c r="MRN38" s="48"/>
      <c r="MRO38" s="48"/>
      <c r="MRP38" s="48"/>
      <c r="MRQ38" s="48"/>
      <c r="MRR38" s="48"/>
      <c r="MRS38" s="48"/>
      <c r="MRT38" s="48"/>
      <c r="MRU38" s="48"/>
      <c r="MRV38" s="48"/>
      <c r="MRW38" s="48"/>
      <c r="MRX38" s="48"/>
      <c r="MRY38" s="45"/>
      <c r="MRZ38" s="46"/>
      <c r="MSA38" s="46"/>
      <c r="MSB38" s="47"/>
      <c r="MSC38" s="48"/>
      <c r="MSD38" s="48"/>
      <c r="MSE38" s="48"/>
      <c r="MSF38" s="48"/>
      <c r="MSG38" s="48"/>
      <c r="MSH38" s="48"/>
      <c r="MSI38" s="48"/>
      <c r="MSJ38" s="48"/>
      <c r="MSK38" s="48"/>
      <c r="MSL38" s="48"/>
      <c r="MSM38" s="48"/>
      <c r="MSN38" s="48"/>
      <c r="MSO38" s="48"/>
      <c r="MSP38" s="48"/>
      <c r="MSQ38" s="48"/>
      <c r="MSR38" s="48"/>
      <c r="MSS38" s="48"/>
      <c r="MST38" s="48"/>
      <c r="MSU38" s="45"/>
      <c r="MSV38" s="46"/>
      <c r="MSW38" s="46"/>
      <c r="MSX38" s="47"/>
      <c r="MSY38" s="48"/>
      <c r="MSZ38" s="48"/>
      <c r="MTA38" s="48"/>
      <c r="MTB38" s="48"/>
      <c r="MTC38" s="48"/>
      <c r="MTD38" s="48"/>
      <c r="MTE38" s="48"/>
      <c r="MTF38" s="48"/>
      <c r="MTG38" s="48"/>
      <c r="MTH38" s="48"/>
      <c r="MTI38" s="48"/>
      <c r="MTJ38" s="48"/>
      <c r="MTK38" s="48"/>
      <c r="MTL38" s="48"/>
      <c r="MTM38" s="48"/>
      <c r="MTN38" s="48"/>
      <c r="MTO38" s="48"/>
      <c r="MTP38" s="48"/>
      <c r="MTQ38" s="45"/>
      <c r="MTR38" s="46"/>
      <c r="MTS38" s="46"/>
      <c r="MTT38" s="47"/>
      <c r="MTU38" s="48"/>
      <c r="MTV38" s="48"/>
      <c r="MTW38" s="48"/>
      <c r="MTX38" s="48"/>
      <c r="MTY38" s="48"/>
      <c r="MTZ38" s="48"/>
      <c r="MUA38" s="48"/>
      <c r="MUB38" s="48"/>
      <c r="MUC38" s="48"/>
      <c r="MUD38" s="48"/>
      <c r="MUE38" s="48"/>
      <c r="MUF38" s="48"/>
      <c r="MUG38" s="48"/>
      <c r="MUH38" s="48"/>
      <c r="MUI38" s="48"/>
      <c r="MUJ38" s="48"/>
      <c r="MUK38" s="48"/>
      <c r="MUL38" s="48"/>
      <c r="MUM38" s="45"/>
      <c r="MUN38" s="46"/>
      <c r="MUO38" s="46"/>
      <c r="MUP38" s="47"/>
      <c r="MUQ38" s="48"/>
      <c r="MUR38" s="48"/>
      <c r="MUS38" s="48"/>
      <c r="MUT38" s="48"/>
      <c r="MUU38" s="48"/>
      <c r="MUV38" s="48"/>
      <c r="MUW38" s="48"/>
      <c r="MUX38" s="48"/>
      <c r="MUY38" s="48"/>
      <c r="MUZ38" s="48"/>
      <c r="MVA38" s="48"/>
      <c r="MVB38" s="48"/>
      <c r="MVC38" s="48"/>
      <c r="MVD38" s="48"/>
      <c r="MVE38" s="48"/>
      <c r="MVF38" s="48"/>
      <c r="MVG38" s="48"/>
      <c r="MVH38" s="48"/>
      <c r="MVI38" s="45"/>
      <c r="MVJ38" s="46"/>
      <c r="MVK38" s="46"/>
      <c r="MVL38" s="47"/>
      <c r="MVM38" s="48"/>
      <c r="MVN38" s="48"/>
      <c r="MVO38" s="48"/>
      <c r="MVP38" s="48"/>
      <c r="MVQ38" s="48"/>
      <c r="MVR38" s="48"/>
      <c r="MVS38" s="48"/>
      <c r="MVT38" s="48"/>
      <c r="MVU38" s="48"/>
      <c r="MVV38" s="48"/>
      <c r="MVW38" s="48"/>
      <c r="MVX38" s="48"/>
      <c r="MVY38" s="48"/>
      <c r="MVZ38" s="48"/>
      <c r="MWA38" s="48"/>
      <c r="MWB38" s="48"/>
      <c r="MWC38" s="48"/>
      <c r="MWD38" s="48"/>
      <c r="MWE38" s="45"/>
      <c r="MWF38" s="46"/>
      <c r="MWG38" s="46"/>
      <c r="MWH38" s="47"/>
      <c r="MWI38" s="48"/>
      <c r="MWJ38" s="48"/>
      <c r="MWK38" s="48"/>
      <c r="MWL38" s="48"/>
      <c r="MWM38" s="48"/>
      <c r="MWN38" s="48"/>
      <c r="MWO38" s="48"/>
      <c r="MWP38" s="48"/>
      <c r="MWQ38" s="48"/>
      <c r="MWR38" s="48"/>
      <c r="MWS38" s="48"/>
      <c r="MWT38" s="48"/>
      <c r="MWU38" s="48"/>
      <c r="MWV38" s="48"/>
      <c r="MWW38" s="48"/>
      <c r="MWX38" s="48"/>
      <c r="MWY38" s="48"/>
      <c r="MWZ38" s="48"/>
      <c r="MXA38" s="45"/>
      <c r="MXB38" s="46"/>
      <c r="MXC38" s="46"/>
      <c r="MXD38" s="47"/>
      <c r="MXE38" s="48"/>
      <c r="MXF38" s="48"/>
      <c r="MXG38" s="48"/>
      <c r="MXH38" s="48"/>
      <c r="MXI38" s="48"/>
      <c r="MXJ38" s="48"/>
      <c r="MXK38" s="48"/>
      <c r="MXL38" s="48"/>
      <c r="MXM38" s="48"/>
      <c r="MXN38" s="48"/>
      <c r="MXO38" s="48"/>
      <c r="MXP38" s="48"/>
      <c r="MXQ38" s="48"/>
      <c r="MXR38" s="48"/>
      <c r="MXS38" s="48"/>
      <c r="MXT38" s="48"/>
      <c r="MXU38" s="48"/>
      <c r="MXV38" s="48"/>
      <c r="MXW38" s="45"/>
      <c r="MXX38" s="46"/>
      <c r="MXY38" s="46"/>
      <c r="MXZ38" s="47"/>
      <c r="MYA38" s="48"/>
      <c r="MYB38" s="48"/>
      <c r="MYC38" s="48"/>
      <c r="MYD38" s="48"/>
      <c r="MYE38" s="48"/>
      <c r="MYF38" s="48"/>
      <c r="MYG38" s="48"/>
      <c r="MYH38" s="48"/>
      <c r="MYI38" s="48"/>
      <c r="MYJ38" s="48"/>
      <c r="MYK38" s="48"/>
      <c r="MYL38" s="48"/>
      <c r="MYM38" s="48"/>
      <c r="MYN38" s="48"/>
      <c r="MYO38" s="48"/>
      <c r="MYP38" s="48"/>
      <c r="MYQ38" s="48"/>
      <c r="MYR38" s="48"/>
      <c r="MYS38" s="45"/>
      <c r="MYT38" s="46"/>
      <c r="MYU38" s="46"/>
      <c r="MYV38" s="47"/>
      <c r="MYW38" s="48"/>
      <c r="MYX38" s="48"/>
      <c r="MYY38" s="48"/>
      <c r="MYZ38" s="48"/>
      <c r="MZA38" s="48"/>
      <c r="MZB38" s="48"/>
      <c r="MZC38" s="48"/>
      <c r="MZD38" s="48"/>
      <c r="MZE38" s="48"/>
      <c r="MZF38" s="48"/>
      <c r="MZG38" s="48"/>
      <c r="MZH38" s="48"/>
      <c r="MZI38" s="48"/>
      <c r="MZJ38" s="48"/>
      <c r="MZK38" s="48"/>
      <c r="MZL38" s="48"/>
      <c r="MZM38" s="48"/>
      <c r="MZN38" s="48"/>
      <c r="MZO38" s="45"/>
      <c r="MZP38" s="46"/>
      <c r="MZQ38" s="46"/>
      <c r="MZR38" s="47"/>
      <c r="MZS38" s="48"/>
      <c r="MZT38" s="48"/>
      <c r="MZU38" s="48"/>
      <c r="MZV38" s="48"/>
      <c r="MZW38" s="48"/>
      <c r="MZX38" s="48"/>
      <c r="MZY38" s="48"/>
      <c r="MZZ38" s="48"/>
      <c r="NAA38" s="48"/>
      <c r="NAB38" s="48"/>
      <c r="NAC38" s="48"/>
      <c r="NAD38" s="48"/>
      <c r="NAE38" s="48"/>
      <c r="NAF38" s="48"/>
      <c r="NAG38" s="48"/>
      <c r="NAH38" s="48"/>
      <c r="NAI38" s="48"/>
      <c r="NAJ38" s="48"/>
      <c r="NAK38" s="45"/>
      <c r="NAL38" s="46"/>
      <c r="NAM38" s="46"/>
      <c r="NAN38" s="47"/>
      <c r="NAO38" s="48"/>
      <c r="NAP38" s="48"/>
      <c r="NAQ38" s="48"/>
      <c r="NAR38" s="48"/>
      <c r="NAS38" s="48"/>
      <c r="NAT38" s="48"/>
      <c r="NAU38" s="48"/>
      <c r="NAV38" s="48"/>
      <c r="NAW38" s="48"/>
      <c r="NAX38" s="48"/>
      <c r="NAY38" s="48"/>
      <c r="NAZ38" s="48"/>
      <c r="NBA38" s="48"/>
      <c r="NBB38" s="48"/>
      <c r="NBC38" s="48"/>
      <c r="NBD38" s="48"/>
      <c r="NBE38" s="48"/>
      <c r="NBF38" s="48"/>
      <c r="NBG38" s="45"/>
      <c r="NBH38" s="46"/>
      <c r="NBI38" s="46"/>
      <c r="NBJ38" s="47"/>
      <c r="NBK38" s="48"/>
      <c r="NBL38" s="48"/>
      <c r="NBM38" s="48"/>
      <c r="NBN38" s="48"/>
      <c r="NBO38" s="48"/>
      <c r="NBP38" s="48"/>
      <c r="NBQ38" s="48"/>
      <c r="NBR38" s="48"/>
      <c r="NBS38" s="48"/>
      <c r="NBT38" s="48"/>
      <c r="NBU38" s="48"/>
      <c r="NBV38" s="48"/>
      <c r="NBW38" s="48"/>
      <c r="NBX38" s="48"/>
      <c r="NBY38" s="48"/>
      <c r="NBZ38" s="48"/>
      <c r="NCA38" s="48"/>
      <c r="NCB38" s="48"/>
      <c r="NCC38" s="45"/>
      <c r="NCD38" s="46"/>
      <c r="NCE38" s="46"/>
      <c r="NCF38" s="47"/>
      <c r="NCG38" s="48"/>
      <c r="NCH38" s="48"/>
      <c r="NCI38" s="48"/>
      <c r="NCJ38" s="48"/>
      <c r="NCK38" s="48"/>
      <c r="NCL38" s="48"/>
      <c r="NCM38" s="48"/>
      <c r="NCN38" s="48"/>
      <c r="NCO38" s="48"/>
      <c r="NCP38" s="48"/>
      <c r="NCQ38" s="48"/>
      <c r="NCR38" s="48"/>
      <c r="NCS38" s="48"/>
      <c r="NCT38" s="48"/>
      <c r="NCU38" s="48"/>
      <c r="NCV38" s="48"/>
      <c r="NCW38" s="48"/>
      <c r="NCX38" s="48"/>
      <c r="NCY38" s="45"/>
      <c r="NCZ38" s="46"/>
      <c r="NDA38" s="46"/>
      <c r="NDB38" s="47"/>
      <c r="NDC38" s="48"/>
      <c r="NDD38" s="48"/>
      <c r="NDE38" s="48"/>
      <c r="NDF38" s="48"/>
      <c r="NDG38" s="48"/>
      <c r="NDH38" s="48"/>
      <c r="NDI38" s="48"/>
      <c r="NDJ38" s="48"/>
      <c r="NDK38" s="48"/>
      <c r="NDL38" s="48"/>
      <c r="NDM38" s="48"/>
      <c r="NDN38" s="48"/>
      <c r="NDO38" s="48"/>
      <c r="NDP38" s="48"/>
      <c r="NDQ38" s="48"/>
      <c r="NDR38" s="48"/>
      <c r="NDS38" s="48"/>
      <c r="NDT38" s="48"/>
      <c r="NDU38" s="45"/>
      <c r="NDV38" s="46"/>
      <c r="NDW38" s="46"/>
      <c r="NDX38" s="47"/>
      <c r="NDY38" s="48"/>
      <c r="NDZ38" s="48"/>
      <c r="NEA38" s="48"/>
      <c r="NEB38" s="48"/>
      <c r="NEC38" s="48"/>
      <c r="NED38" s="48"/>
      <c r="NEE38" s="48"/>
      <c r="NEF38" s="48"/>
      <c r="NEG38" s="48"/>
      <c r="NEH38" s="48"/>
      <c r="NEI38" s="48"/>
      <c r="NEJ38" s="48"/>
      <c r="NEK38" s="48"/>
      <c r="NEL38" s="48"/>
      <c r="NEM38" s="48"/>
      <c r="NEN38" s="48"/>
      <c r="NEO38" s="48"/>
      <c r="NEP38" s="48"/>
      <c r="NEQ38" s="45"/>
      <c r="NER38" s="46"/>
      <c r="NES38" s="46"/>
      <c r="NET38" s="47"/>
      <c r="NEU38" s="48"/>
      <c r="NEV38" s="48"/>
      <c r="NEW38" s="48"/>
      <c r="NEX38" s="48"/>
      <c r="NEY38" s="48"/>
      <c r="NEZ38" s="48"/>
      <c r="NFA38" s="48"/>
      <c r="NFB38" s="48"/>
      <c r="NFC38" s="48"/>
      <c r="NFD38" s="48"/>
      <c r="NFE38" s="48"/>
      <c r="NFF38" s="48"/>
      <c r="NFG38" s="48"/>
      <c r="NFH38" s="48"/>
      <c r="NFI38" s="48"/>
      <c r="NFJ38" s="48"/>
      <c r="NFK38" s="48"/>
      <c r="NFL38" s="48"/>
      <c r="NFM38" s="45"/>
      <c r="NFN38" s="46"/>
      <c r="NFO38" s="46"/>
      <c r="NFP38" s="47"/>
      <c r="NFQ38" s="48"/>
      <c r="NFR38" s="48"/>
      <c r="NFS38" s="48"/>
      <c r="NFT38" s="48"/>
      <c r="NFU38" s="48"/>
      <c r="NFV38" s="48"/>
      <c r="NFW38" s="48"/>
      <c r="NFX38" s="48"/>
      <c r="NFY38" s="48"/>
      <c r="NFZ38" s="48"/>
      <c r="NGA38" s="48"/>
      <c r="NGB38" s="48"/>
      <c r="NGC38" s="48"/>
      <c r="NGD38" s="48"/>
      <c r="NGE38" s="48"/>
      <c r="NGF38" s="48"/>
      <c r="NGG38" s="48"/>
      <c r="NGH38" s="48"/>
      <c r="NGI38" s="45"/>
      <c r="NGJ38" s="46"/>
      <c r="NGK38" s="46"/>
      <c r="NGL38" s="47"/>
      <c r="NGM38" s="48"/>
      <c r="NGN38" s="48"/>
      <c r="NGO38" s="48"/>
      <c r="NGP38" s="48"/>
      <c r="NGQ38" s="48"/>
      <c r="NGR38" s="48"/>
      <c r="NGS38" s="48"/>
      <c r="NGT38" s="48"/>
      <c r="NGU38" s="48"/>
      <c r="NGV38" s="48"/>
      <c r="NGW38" s="48"/>
      <c r="NGX38" s="48"/>
      <c r="NGY38" s="48"/>
      <c r="NGZ38" s="48"/>
      <c r="NHA38" s="48"/>
      <c r="NHB38" s="48"/>
      <c r="NHC38" s="48"/>
      <c r="NHD38" s="48"/>
      <c r="NHE38" s="45"/>
      <c r="NHF38" s="46"/>
      <c r="NHG38" s="46"/>
      <c r="NHH38" s="47"/>
      <c r="NHI38" s="48"/>
      <c r="NHJ38" s="48"/>
      <c r="NHK38" s="48"/>
      <c r="NHL38" s="48"/>
      <c r="NHM38" s="48"/>
      <c r="NHN38" s="48"/>
      <c r="NHO38" s="48"/>
      <c r="NHP38" s="48"/>
      <c r="NHQ38" s="48"/>
      <c r="NHR38" s="48"/>
      <c r="NHS38" s="48"/>
      <c r="NHT38" s="48"/>
      <c r="NHU38" s="48"/>
      <c r="NHV38" s="48"/>
      <c r="NHW38" s="48"/>
      <c r="NHX38" s="48"/>
      <c r="NHY38" s="48"/>
      <c r="NHZ38" s="48"/>
      <c r="NIA38" s="45"/>
      <c r="NIB38" s="46"/>
      <c r="NIC38" s="46"/>
      <c r="NID38" s="47"/>
      <c r="NIE38" s="48"/>
      <c r="NIF38" s="48"/>
      <c r="NIG38" s="48"/>
      <c r="NIH38" s="48"/>
      <c r="NII38" s="48"/>
      <c r="NIJ38" s="48"/>
      <c r="NIK38" s="48"/>
      <c r="NIL38" s="48"/>
      <c r="NIM38" s="48"/>
      <c r="NIN38" s="48"/>
      <c r="NIO38" s="48"/>
      <c r="NIP38" s="48"/>
      <c r="NIQ38" s="48"/>
      <c r="NIR38" s="48"/>
      <c r="NIS38" s="48"/>
      <c r="NIT38" s="48"/>
      <c r="NIU38" s="48"/>
      <c r="NIV38" s="48"/>
      <c r="NIW38" s="45"/>
      <c r="NIX38" s="46"/>
      <c r="NIY38" s="46"/>
      <c r="NIZ38" s="47"/>
      <c r="NJA38" s="48"/>
      <c r="NJB38" s="48"/>
      <c r="NJC38" s="48"/>
      <c r="NJD38" s="48"/>
      <c r="NJE38" s="48"/>
      <c r="NJF38" s="48"/>
      <c r="NJG38" s="48"/>
      <c r="NJH38" s="48"/>
      <c r="NJI38" s="48"/>
      <c r="NJJ38" s="48"/>
      <c r="NJK38" s="48"/>
      <c r="NJL38" s="48"/>
      <c r="NJM38" s="48"/>
      <c r="NJN38" s="48"/>
      <c r="NJO38" s="48"/>
      <c r="NJP38" s="48"/>
      <c r="NJQ38" s="48"/>
      <c r="NJR38" s="48"/>
      <c r="NJS38" s="45"/>
      <c r="NJT38" s="46"/>
      <c r="NJU38" s="46"/>
      <c r="NJV38" s="47"/>
      <c r="NJW38" s="48"/>
      <c r="NJX38" s="48"/>
      <c r="NJY38" s="48"/>
      <c r="NJZ38" s="48"/>
      <c r="NKA38" s="48"/>
      <c r="NKB38" s="48"/>
      <c r="NKC38" s="48"/>
      <c r="NKD38" s="48"/>
      <c r="NKE38" s="48"/>
      <c r="NKF38" s="48"/>
      <c r="NKG38" s="48"/>
      <c r="NKH38" s="48"/>
      <c r="NKI38" s="48"/>
      <c r="NKJ38" s="48"/>
      <c r="NKK38" s="48"/>
      <c r="NKL38" s="48"/>
      <c r="NKM38" s="48"/>
      <c r="NKN38" s="48"/>
      <c r="NKO38" s="45"/>
      <c r="NKP38" s="46"/>
      <c r="NKQ38" s="46"/>
      <c r="NKR38" s="47"/>
      <c r="NKS38" s="48"/>
      <c r="NKT38" s="48"/>
      <c r="NKU38" s="48"/>
      <c r="NKV38" s="48"/>
      <c r="NKW38" s="48"/>
      <c r="NKX38" s="48"/>
      <c r="NKY38" s="48"/>
      <c r="NKZ38" s="48"/>
      <c r="NLA38" s="48"/>
      <c r="NLB38" s="48"/>
      <c r="NLC38" s="48"/>
      <c r="NLD38" s="48"/>
      <c r="NLE38" s="48"/>
      <c r="NLF38" s="48"/>
      <c r="NLG38" s="48"/>
      <c r="NLH38" s="48"/>
      <c r="NLI38" s="48"/>
      <c r="NLJ38" s="48"/>
      <c r="NLK38" s="45"/>
      <c r="NLL38" s="46"/>
      <c r="NLM38" s="46"/>
      <c r="NLN38" s="47"/>
      <c r="NLO38" s="48"/>
      <c r="NLP38" s="48"/>
      <c r="NLQ38" s="48"/>
      <c r="NLR38" s="48"/>
      <c r="NLS38" s="48"/>
      <c r="NLT38" s="48"/>
      <c r="NLU38" s="48"/>
      <c r="NLV38" s="48"/>
      <c r="NLW38" s="48"/>
      <c r="NLX38" s="48"/>
      <c r="NLY38" s="48"/>
      <c r="NLZ38" s="48"/>
      <c r="NMA38" s="48"/>
      <c r="NMB38" s="48"/>
      <c r="NMC38" s="48"/>
      <c r="NMD38" s="48"/>
      <c r="NME38" s="48"/>
      <c r="NMF38" s="48"/>
      <c r="NMG38" s="45"/>
      <c r="NMH38" s="46"/>
      <c r="NMI38" s="46"/>
      <c r="NMJ38" s="47"/>
      <c r="NMK38" s="48"/>
      <c r="NML38" s="48"/>
      <c r="NMM38" s="48"/>
      <c r="NMN38" s="48"/>
      <c r="NMO38" s="48"/>
      <c r="NMP38" s="48"/>
      <c r="NMQ38" s="48"/>
      <c r="NMR38" s="48"/>
      <c r="NMS38" s="48"/>
      <c r="NMT38" s="48"/>
      <c r="NMU38" s="48"/>
      <c r="NMV38" s="48"/>
      <c r="NMW38" s="48"/>
      <c r="NMX38" s="48"/>
      <c r="NMY38" s="48"/>
      <c r="NMZ38" s="48"/>
      <c r="NNA38" s="48"/>
      <c r="NNB38" s="48"/>
      <c r="NNC38" s="45"/>
      <c r="NND38" s="46"/>
      <c r="NNE38" s="46"/>
      <c r="NNF38" s="47"/>
      <c r="NNG38" s="48"/>
      <c r="NNH38" s="48"/>
      <c r="NNI38" s="48"/>
      <c r="NNJ38" s="48"/>
      <c r="NNK38" s="48"/>
      <c r="NNL38" s="48"/>
      <c r="NNM38" s="48"/>
      <c r="NNN38" s="48"/>
      <c r="NNO38" s="48"/>
      <c r="NNP38" s="48"/>
      <c r="NNQ38" s="48"/>
      <c r="NNR38" s="48"/>
      <c r="NNS38" s="48"/>
      <c r="NNT38" s="48"/>
      <c r="NNU38" s="48"/>
      <c r="NNV38" s="48"/>
      <c r="NNW38" s="48"/>
      <c r="NNX38" s="48"/>
      <c r="NNY38" s="45"/>
      <c r="NNZ38" s="46"/>
      <c r="NOA38" s="46"/>
      <c r="NOB38" s="47"/>
      <c r="NOC38" s="48"/>
      <c r="NOD38" s="48"/>
      <c r="NOE38" s="48"/>
      <c r="NOF38" s="48"/>
      <c r="NOG38" s="48"/>
      <c r="NOH38" s="48"/>
      <c r="NOI38" s="48"/>
      <c r="NOJ38" s="48"/>
      <c r="NOK38" s="48"/>
      <c r="NOL38" s="48"/>
      <c r="NOM38" s="48"/>
      <c r="NON38" s="48"/>
      <c r="NOO38" s="48"/>
      <c r="NOP38" s="48"/>
      <c r="NOQ38" s="48"/>
      <c r="NOR38" s="48"/>
      <c r="NOS38" s="48"/>
      <c r="NOT38" s="48"/>
      <c r="NOU38" s="45"/>
      <c r="NOV38" s="46"/>
      <c r="NOW38" s="46"/>
      <c r="NOX38" s="47"/>
      <c r="NOY38" s="48"/>
      <c r="NOZ38" s="48"/>
      <c r="NPA38" s="48"/>
      <c r="NPB38" s="48"/>
      <c r="NPC38" s="48"/>
      <c r="NPD38" s="48"/>
      <c r="NPE38" s="48"/>
      <c r="NPF38" s="48"/>
      <c r="NPG38" s="48"/>
      <c r="NPH38" s="48"/>
      <c r="NPI38" s="48"/>
      <c r="NPJ38" s="48"/>
      <c r="NPK38" s="48"/>
      <c r="NPL38" s="48"/>
      <c r="NPM38" s="48"/>
      <c r="NPN38" s="48"/>
      <c r="NPO38" s="48"/>
      <c r="NPP38" s="48"/>
      <c r="NPQ38" s="45"/>
      <c r="NPR38" s="46"/>
      <c r="NPS38" s="46"/>
      <c r="NPT38" s="47"/>
      <c r="NPU38" s="48"/>
      <c r="NPV38" s="48"/>
      <c r="NPW38" s="48"/>
      <c r="NPX38" s="48"/>
      <c r="NPY38" s="48"/>
      <c r="NPZ38" s="48"/>
      <c r="NQA38" s="48"/>
      <c r="NQB38" s="48"/>
      <c r="NQC38" s="48"/>
      <c r="NQD38" s="48"/>
      <c r="NQE38" s="48"/>
      <c r="NQF38" s="48"/>
      <c r="NQG38" s="48"/>
      <c r="NQH38" s="48"/>
      <c r="NQI38" s="48"/>
      <c r="NQJ38" s="48"/>
      <c r="NQK38" s="48"/>
      <c r="NQL38" s="48"/>
      <c r="NQM38" s="45"/>
      <c r="NQN38" s="46"/>
      <c r="NQO38" s="46"/>
      <c r="NQP38" s="47"/>
      <c r="NQQ38" s="48"/>
      <c r="NQR38" s="48"/>
      <c r="NQS38" s="48"/>
      <c r="NQT38" s="48"/>
      <c r="NQU38" s="48"/>
      <c r="NQV38" s="48"/>
      <c r="NQW38" s="48"/>
      <c r="NQX38" s="48"/>
      <c r="NQY38" s="48"/>
      <c r="NQZ38" s="48"/>
      <c r="NRA38" s="48"/>
      <c r="NRB38" s="48"/>
      <c r="NRC38" s="48"/>
      <c r="NRD38" s="48"/>
      <c r="NRE38" s="48"/>
      <c r="NRF38" s="48"/>
      <c r="NRG38" s="48"/>
      <c r="NRH38" s="48"/>
      <c r="NRI38" s="45"/>
      <c r="NRJ38" s="46"/>
      <c r="NRK38" s="46"/>
      <c r="NRL38" s="47"/>
      <c r="NRM38" s="48"/>
      <c r="NRN38" s="48"/>
      <c r="NRO38" s="48"/>
      <c r="NRP38" s="48"/>
      <c r="NRQ38" s="48"/>
      <c r="NRR38" s="48"/>
      <c r="NRS38" s="48"/>
      <c r="NRT38" s="48"/>
      <c r="NRU38" s="48"/>
      <c r="NRV38" s="48"/>
      <c r="NRW38" s="48"/>
      <c r="NRX38" s="48"/>
      <c r="NRY38" s="48"/>
      <c r="NRZ38" s="48"/>
      <c r="NSA38" s="48"/>
      <c r="NSB38" s="48"/>
      <c r="NSC38" s="48"/>
      <c r="NSD38" s="48"/>
      <c r="NSE38" s="45"/>
      <c r="NSF38" s="46"/>
      <c r="NSG38" s="46"/>
      <c r="NSH38" s="47"/>
      <c r="NSI38" s="48"/>
      <c r="NSJ38" s="48"/>
      <c r="NSK38" s="48"/>
      <c r="NSL38" s="48"/>
      <c r="NSM38" s="48"/>
      <c r="NSN38" s="48"/>
      <c r="NSO38" s="48"/>
      <c r="NSP38" s="48"/>
      <c r="NSQ38" s="48"/>
      <c r="NSR38" s="48"/>
      <c r="NSS38" s="48"/>
      <c r="NST38" s="48"/>
      <c r="NSU38" s="48"/>
      <c r="NSV38" s="48"/>
      <c r="NSW38" s="48"/>
      <c r="NSX38" s="48"/>
      <c r="NSY38" s="48"/>
      <c r="NSZ38" s="48"/>
      <c r="NTA38" s="45"/>
      <c r="NTB38" s="46"/>
      <c r="NTC38" s="46"/>
      <c r="NTD38" s="47"/>
      <c r="NTE38" s="48"/>
      <c r="NTF38" s="48"/>
      <c r="NTG38" s="48"/>
      <c r="NTH38" s="48"/>
      <c r="NTI38" s="48"/>
      <c r="NTJ38" s="48"/>
      <c r="NTK38" s="48"/>
      <c r="NTL38" s="48"/>
      <c r="NTM38" s="48"/>
      <c r="NTN38" s="48"/>
      <c r="NTO38" s="48"/>
      <c r="NTP38" s="48"/>
      <c r="NTQ38" s="48"/>
      <c r="NTR38" s="48"/>
      <c r="NTS38" s="48"/>
      <c r="NTT38" s="48"/>
      <c r="NTU38" s="48"/>
      <c r="NTV38" s="48"/>
      <c r="NTW38" s="45"/>
      <c r="NTX38" s="46"/>
      <c r="NTY38" s="46"/>
      <c r="NTZ38" s="47"/>
      <c r="NUA38" s="48"/>
      <c r="NUB38" s="48"/>
      <c r="NUC38" s="48"/>
      <c r="NUD38" s="48"/>
      <c r="NUE38" s="48"/>
      <c r="NUF38" s="48"/>
      <c r="NUG38" s="48"/>
      <c r="NUH38" s="48"/>
      <c r="NUI38" s="48"/>
      <c r="NUJ38" s="48"/>
      <c r="NUK38" s="48"/>
      <c r="NUL38" s="48"/>
      <c r="NUM38" s="48"/>
      <c r="NUN38" s="48"/>
      <c r="NUO38" s="48"/>
      <c r="NUP38" s="48"/>
      <c r="NUQ38" s="48"/>
      <c r="NUR38" s="48"/>
      <c r="NUS38" s="45"/>
      <c r="NUT38" s="46"/>
      <c r="NUU38" s="46"/>
      <c r="NUV38" s="47"/>
      <c r="NUW38" s="48"/>
      <c r="NUX38" s="48"/>
      <c r="NUY38" s="48"/>
      <c r="NUZ38" s="48"/>
      <c r="NVA38" s="48"/>
      <c r="NVB38" s="48"/>
      <c r="NVC38" s="48"/>
      <c r="NVD38" s="48"/>
      <c r="NVE38" s="48"/>
      <c r="NVF38" s="48"/>
      <c r="NVG38" s="48"/>
      <c r="NVH38" s="48"/>
      <c r="NVI38" s="48"/>
      <c r="NVJ38" s="48"/>
      <c r="NVK38" s="48"/>
      <c r="NVL38" s="48"/>
      <c r="NVM38" s="48"/>
      <c r="NVN38" s="48"/>
      <c r="NVO38" s="45"/>
      <c r="NVP38" s="46"/>
      <c r="NVQ38" s="46"/>
      <c r="NVR38" s="47"/>
      <c r="NVS38" s="48"/>
      <c r="NVT38" s="48"/>
      <c r="NVU38" s="48"/>
      <c r="NVV38" s="48"/>
      <c r="NVW38" s="48"/>
      <c r="NVX38" s="48"/>
      <c r="NVY38" s="48"/>
      <c r="NVZ38" s="48"/>
      <c r="NWA38" s="48"/>
      <c r="NWB38" s="48"/>
      <c r="NWC38" s="48"/>
      <c r="NWD38" s="48"/>
      <c r="NWE38" s="48"/>
      <c r="NWF38" s="48"/>
      <c r="NWG38" s="48"/>
      <c r="NWH38" s="48"/>
      <c r="NWI38" s="48"/>
      <c r="NWJ38" s="48"/>
      <c r="NWK38" s="45"/>
      <c r="NWL38" s="46"/>
      <c r="NWM38" s="46"/>
      <c r="NWN38" s="47"/>
      <c r="NWO38" s="48"/>
      <c r="NWP38" s="48"/>
      <c r="NWQ38" s="48"/>
      <c r="NWR38" s="48"/>
      <c r="NWS38" s="48"/>
      <c r="NWT38" s="48"/>
      <c r="NWU38" s="48"/>
      <c r="NWV38" s="48"/>
      <c r="NWW38" s="48"/>
      <c r="NWX38" s="48"/>
      <c r="NWY38" s="48"/>
      <c r="NWZ38" s="48"/>
      <c r="NXA38" s="48"/>
      <c r="NXB38" s="48"/>
      <c r="NXC38" s="48"/>
      <c r="NXD38" s="48"/>
      <c r="NXE38" s="48"/>
      <c r="NXF38" s="48"/>
      <c r="NXG38" s="45"/>
      <c r="NXH38" s="46"/>
      <c r="NXI38" s="46"/>
      <c r="NXJ38" s="47"/>
      <c r="NXK38" s="48"/>
      <c r="NXL38" s="48"/>
      <c r="NXM38" s="48"/>
      <c r="NXN38" s="48"/>
      <c r="NXO38" s="48"/>
      <c r="NXP38" s="48"/>
      <c r="NXQ38" s="48"/>
      <c r="NXR38" s="48"/>
      <c r="NXS38" s="48"/>
      <c r="NXT38" s="48"/>
      <c r="NXU38" s="48"/>
      <c r="NXV38" s="48"/>
      <c r="NXW38" s="48"/>
      <c r="NXX38" s="48"/>
      <c r="NXY38" s="48"/>
      <c r="NXZ38" s="48"/>
      <c r="NYA38" s="48"/>
      <c r="NYB38" s="48"/>
      <c r="NYC38" s="45"/>
      <c r="NYD38" s="46"/>
      <c r="NYE38" s="46"/>
      <c r="NYF38" s="47"/>
      <c r="NYG38" s="48"/>
      <c r="NYH38" s="48"/>
      <c r="NYI38" s="48"/>
      <c r="NYJ38" s="48"/>
      <c r="NYK38" s="48"/>
      <c r="NYL38" s="48"/>
      <c r="NYM38" s="48"/>
      <c r="NYN38" s="48"/>
      <c r="NYO38" s="48"/>
      <c r="NYP38" s="48"/>
      <c r="NYQ38" s="48"/>
      <c r="NYR38" s="48"/>
      <c r="NYS38" s="48"/>
      <c r="NYT38" s="48"/>
      <c r="NYU38" s="48"/>
      <c r="NYV38" s="48"/>
      <c r="NYW38" s="48"/>
      <c r="NYX38" s="48"/>
      <c r="NYY38" s="45"/>
      <c r="NYZ38" s="46"/>
      <c r="NZA38" s="46"/>
      <c r="NZB38" s="47"/>
      <c r="NZC38" s="48"/>
      <c r="NZD38" s="48"/>
      <c r="NZE38" s="48"/>
      <c r="NZF38" s="48"/>
      <c r="NZG38" s="48"/>
      <c r="NZH38" s="48"/>
      <c r="NZI38" s="48"/>
      <c r="NZJ38" s="48"/>
      <c r="NZK38" s="48"/>
      <c r="NZL38" s="48"/>
      <c r="NZM38" s="48"/>
      <c r="NZN38" s="48"/>
      <c r="NZO38" s="48"/>
      <c r="NZP38" s="48"/>
      <c r="NZQ38" s="48"/>
      <c r="NZR38" s="48"/>
      <c r="NZS38" s="48"/>
      <c r="NZT38" s="48"/>
      <c r="NZU38" s="45"/>
      <c r="NZV38" s="46"/>
      <c r="NZW38" s="46"/>
      <c r="NZX38" s="47"/>
      <c r="NZY38" s="48"/>
      <c r="NZZ38" s="48"/>
      <c r="OAA38" s="48"/>
      <c r="OAB38" s="48"/>
      <c r="OAC38" s="48"/>
      <c r="OAD38" s="48"/>
      <c r="OAE38" s="48"/>
      <c r="OAF38" s="48"/>
      <c r="OAG38" s="48"/>
      <c r="OAH38" s="48"/>
      <c r="OAI38" s="48"/>
      <c r="OAJ38" s="48"/>
      <c r="OAK38" s="48"/>
      <c r="OAL38" s="48"/>
      <c r="OAM38" s="48"/>
      <c r="OAN38" s="48"/>
      <c r="OAO38" s="48"/>
      <c r="OAP38" s="48"/>
      <c r="OAQ38" s="45"/>
      <c r="OAR38" s="46"/>
      <c r="OAS38" s="46"/>
      <c r="OAT38" s="47"/>
      <c r="OAU38" s="48"/>
      <c r="OAV38" s="48"/>
      <c r="OAW38" s="48"/>
      <c r="OAX38" s="48"/>
      <c r="OAY38" s="48"/>
      <c r="OAZ38" s="48"/>
      <c r="OBA38" s="48"/>
      <c r="OBB38" s="48"/>
      <c r="OBC38" s="48"/>
      <c r="OBD38" s="48"/>
      <c r="OBE38" s="48"/>
      <c r="OBF38" s="48"/>
      <c r="OBG38" s="48"/>
      <c r="OBH38" s="48"/>
      <c r="OBI38" s="48"/>
      <c r="OBJ38" s="48"/>
      <c r="OBK38" s="48"/>
      <c r="OBL38" s="48"/>
      <c r="OBM38" s="45"/>
      <c r="OBN38" s="46"/>
      <c r="OBO38" s="46"/>
      <c r="OBP38" s="47"/>
      <c r="OBQ38" s="48"/>
      <c r="OBR38" s="48"/>
      <c r="OBS38" s="48"/>
      <c r="OBT38" s="48"/>
      <c r="OBU38" s="48"/>
      <c r="OBV38" s="48"/>
      <c r="OBW38" s="48"/>
      <c r="OBX38" s="48"/>
      <c r="OBY38" s="48"/>
      <c r="OBZ38" s="48"/>
      <c r="OCA38" s="48"/>
      <c r="OCB38" s="48"/>
      <c r="OCC38" s="48"/>
      <c r="OCD38" s="48"/>
      <c r="OCE38" s="48"/>
      <c r="OCF38" s="48"/>
      <c r="OCG38" s="48"/>
      <c r="OCH38" s="48"/>
      <c r="OCI38" s="45"/>
      <c r="OCJ38" s="46"/>
      <c r="OCK38" s="46"/>
      <c r="OCL38" s="47"/>
      <c r="OCM38" s="48"/>
      <c r="OCN38" s="48"/>
      <c r="OCO38" s="48"/>
      <c r="OCP38" s="48"/>
      <c r="OCQ38" s="48"/>
      <c r="OCR38" s="48"/>
      <c r="OCS38" s="48"/>
      <c r="OCT38" s="48"/>
      <c r="OCU38" s="48"/>
      <c r="OCV38" s="48"/>
      <c r="OCW38" s="48"/>
      <c r="OCX38" s="48"/>
      <c r="OCY38" s="48"/>
      <c r="OCZ38" s="48"/>
      <c r="ODA38" s="48"/>
      <c r="ODB38" s="48"/>
      <c r="ODC38" s="48"/>
      <c r="ODD38" s="48"/>
      <c r="ODE38" s="45"/>
      <c r="ODF38" s="46"/>
      <c r="ODG38" s="46"/>
      <c r="ODH38" s="47"/>
      <c r="ODI38" s="48"/>
      <c r="ODJ38" s="48"/>
      <c r="ODK38" s="48"/>
      <c r="ODL38" s="48"/>
      <c r="ODM38" s="48"/>
      <c r="ODN38" s="48"/>
      <c r="ODO38" s="48"/>
      <c r="ODP38" s="48"/>
      <c r="ODQ38" s="48"/>
      <c r="ODR38" s="48"/>
      <c r="ODS38" s="48"/>
      <c r="ODT38" s="48"/>
      <c r="ODU38" s="48"/>
      <c r="ODV38" s="48"/>
      <c r="ODW38" s="48"/>
      <c r="ODX38" s="48"/>
      <c r="ODY38" s="48"/>
      <c r="ODZ38" s="48"/>
      <c r="OEA38" s="45"/>
      <c r="OEB38" s="46"/>
      <c r="OEC38" s="46"/>
      <c r="OED38" s="47"/>
      <c r="OEE38" s="48"/>
      <c r="OEF38" s="48"/>
      <c r="OEG38" s="48"/>
      <c r="OEH38" s="48"/>
      <c r="OEI38" s="48"/>
      <c r="OEJ38" s="48"/>
      <c r="OEK38" s="48"/>
      <c r="OEL38" s="48"/>
      <c r="OEM38" s="48"/>
      <c r="OEN38" s="48"/>
      <c r="OEO38" s="48"/>
      <c r="OEP38" s="48"/>
      <c r="OEQ38" s="48"/>
      <c r="OER38" s="48"/>
      <c r="OES38" s="48"/>
      <c r="OET38" s="48"/>
      <c r="OEU38" s="48"/>
      <c r="OEV38" s="48"/>
      <c r="OEW38" s="45"/>
      <c r="OEX38" s="46"/>
      <c r="OEY38" s="46"/>
      <c r="OEZ38" s="47"/>
      <c r="OFA38" s="48"/>
      <c r="OFB38" s="48"/>
      <c r="OFC38" s="48"/>
      <c r="OFD38" s="48"/>
      <c r="OFE38" s="48"/>
      <c r="OFF38" s="48"/>
      <c r="OFG38" s="48"/>
      <c r="OFH38" s="48"/>
      <c r="OFI38" s="48"/>
      <c r="OFJ38" s="48"/>
      <c r="OFK38" s="48"/>
      <c r="OFL38" s="48"/>
      <c r="OFM38" s="48"/>
      <c r="OFN38" s="48"/>
      <c r="OFO38" s="48"/>
      <c r="OFP38" s="48"/>
      <c r="OFQ38" s="48"/>
      <c r="OFR38" s="48"/>
      <c r="OFS38" s="45"/>
      <c r="OFT38" s="46"/>
      <c r="OFU38" s="46"/>
      <c r="OFV38" s="47"/>
      <c r="OFW38" s="48"/>
      <c r="OFX38" s="48"/>
      <c r="OFY38" s="48"/>
      <c r="OFZ38" s="48"/>
      <c r="OGA38" s="48"/>
      <c r="OGB38" s="48"/>
      <c r="OGC38" s="48"/>
      <c r="OGD38" s="48"/>
      <c r="OGE38" s="48"/>
      <c r="OGF38" s="48"/>
      <c r="OGG38" s="48"/>
      <c r="OGH38" s="48"/>
      <c r="OGI38" s="48"/>
      <c r="OGJ38" s="48"/>
      <c r="OGK38" s="48"/>
      <c r="OGL38" s="48"/>
      <c r="OGM38" s="48"/>
      <c r="OGN38" s="48"/>
      <c r="OGO38" s="45"/>
      <c r="OGP38" s="46"/>
      <c r="OGQ38" s="46"/>
      <c r="OGR38" s="47"/>
      <c r="OGS38" s="48"/>
      <c r="OGT38" s="48"/>
      <c r="OGU38" s="48"/>
      <c r="OGV38" s="48"/>
      <c r="OGW38" s="48"/>
      <c r="OGX38" s="48"/>
      <c r="OGY38" s="48"/>
      <c r="OGZ38" s="48"/>
      <c r="OHA38" s="48"/>
      <c r="OHB38" s="48"/>
      <c r="OHC38" s="48"/>
      <c r="OHD38" s="48"/>
      <c r="OHE38" s="48"/>
      <c r="OHF38" s="48"/>
      <c r="OHG38" s="48"/>
      <c r="OHH38" s="48"/>
      <c r="OHI38" s="48"/>
      <c r="OHJ38" s="48"/>
      <c r="OHK38" s="45"/>
      <c r="OHL38" s="46"/>
      <c r="OHM38" s="46"/>
      <c r="OHN38" s="47"/>
      <c r="OHO38" s="48"/>
      <c r="OHP38" s="48"/>
      <c r="OHQ38" s="48"/>
      <c r="OHR38" s="48"/>
      <c r="OHS38" s="48"/>
      <c r="OHT38" s="48"/>
      <c r="OHU38" s="48"/>
      <c r="OHV38" s="48"/>
      <c r="OHW38" s="48"/>
      <c r="OHX38" s="48"/>
      <c r="OHY38" s="48"/>
      <c r="OHZ38" s="48"/>
      <c r="OIA38" s="48"/>
      <c r="OIB38" s="48"/>
      <c r="OIC38" s="48"/>
      <c r="OID38" s="48"/>
      <c r="OIE38" s="48"/>
      <c r="OIF38" s="48"/>
      <c r="OIG38" s="45"/>
      <c r="OIH38" s="46"/>
      <c r="OII38" s="46"/>
      <c r="OIJ38" s="47"/>
      <c r="OIK38" s="48"/>
      <c r="OIL38" s="48"/>
      <c r="OIM38" s="48"/>
      <c r="OIN38" s="48"/>
      <c r="OIO38" s="48"/>
      <c r="OIP38" s="48"/>
      <c r="OIQ38" s="48"/>
      <c r="OIR38" s="48"/>
      <c r="OIS38" s="48"/>
      <c r="OIT38" s="48"/>
      <c r="OIU38" s="48"/>
      <c r="OIV38" s="48"/>
      <c r="OIW38" s="48"/>
      <c r="OIX38" s="48"/>
      <c r="OIY38" s="48"/>
      <c r="OIZ38" s="48"/>
      <c r="OJA38" s="48"/>
      <c r="OJB38" s="48"/>
      <c r="OJC38" s="45"/>
      <c r="OJD38" s="46"/>
      <c r="OJE38" s="46"/>
      <c r="OJF38" s="47"/>
      <c r="OJG38" s="48"/>
      <c r="OJH38" s="48"/>
      <c r="OJI38" s="48"/>
      <c r="OJJ38" s="48"/>
      <c r="OJK38" s="48"/>
      <c r="OJL38" s="48"/>
      <c r="OJM38" s="48"/>
      <c r="OJN38" s="48"/>
      <c r="OJO38" s="48"/>
      <c r="OJP38" s="48"/>
      <c r="OJQ38" s="48"/>
      <c r="OJR38" s="48"/>
      <c r="OJS38" s="48"/>
      <c r="OJT38" s="48"/>
      <c r="OJU38" s="48"/>
      <c r="OJV38" s="48"/>
      <c r="OJW38" s="48"/>
      <c r="OJX38" s="48"/>
      <c r="OJY38" s="45"/>
      <c r="OJZ38" s="46"/>
      <c r="OKA38" s="46"/>
      <c r="OKB38" s="47"/>
      <c r="OKC38" s="48"/>
      <c r="OKD38" s="48"/>
      <c r="OKE38" s="48"/>
      <c r="OKF38" s="48"/>
      <c r="OKG38" s="48"/>
      <c r="OKH38" s="48"/>
      <c r="OKI38" s="48"/>
      <c r="OKJ38" s="48"/>
      <c r="OKK38" s="48"/>
      <c r="OKL38" s="48"/>
      <c r="OKM38" s="48"/>
      <c r="OKN38" s="48"/>
      <c r="OKO38" s="48"/>
      <c r="OKP38" s="48"/>
      <c r="OKQ38" s="48"/>
      <c r="OKR38" s="48"/>
      <c r="OKS38" s="48"/>
      <c r="OKT38" s="48"/>
      <c r="OKU38" s="45"/>
      <c r="OKV38" s="46"/>
      <c r="OKW38" s="46"/>
      <c r="OKX38" s="47"/>
      <c r="OKY38" s="48"/>
      <c r="OKZ38" s="48"/>
      <c r="OLA38" s="48"/>
      <c r="OLB38" s="48"/>
      <c r="OLC38" s="48"/>
      <c r="OLD38" s="48"/>
      <c r="OLE38" s="48"/>
      <c r="OLF38" s="48"/>
      <c r="OLG38" s="48"/>
      <c r="OLH38" s="48"/>
      <c r="OLI38" s="48"/>
      <c r="OLJ38" s="48"/>
      <c r="OLK38" s="48"/>
      <c r="OLL38" s="48"/>
      <c r="OLM38" s="48"/>
      <c r="OLN38" s="48"/>
      <c r="OLO38" s="48"/>
      <c r="OLP38" s="48"/>
      <c r="OLQ38" s="45"/>
      <c r="OLR38" s="46"/>
      <c r="OLS38" s="46"/>
      <c r="OLT38" s="47"/>
      <c r="OLU38" s="48"/>
      <c r="OLV38" s="48"/>
      <c r="OLW38" s="48"/>
      <c r="OLX38" s="48"/>
      <c r="OLY38" s="48"/>
      <c r="OLZ38" s="48"/>
      <c r="OMA38" s="48"/>
      <c r="OMB38" s="48"/>
      <c r="OMC38" s="48"/>
      <c r="OMD38" s="48"/>
      <c r="OME38" s="48"/>
      <c r="OMF38" s="48"/>
      <c r="OMG38" s="48"/>
      <c r="OMH38" s="48"/>
      <c r="OMI38" s="48"/>
      <c r="OMJ38" s="48"/>
      <c r="OMK38" s="48"/>
      <c r="OML38" s="48"/>
      <c r="OMM38" s="45"/>
      <c r="OMN38" s="46"/>
      <c r="OMO38" s="46"/>
      <c r="OMP38" s="47"/>
      <c r="OMQ38" s="48"/>
      <c r="OMR38" s="48"/>
      <c r="OMS38" s="48"/>
      <c r="OMT38" s="48"/>
      <c r="OMU38" s="48"/>
      <c r="OMV38" s="48"/>
      <c r="OMW38" s="48"/>
      <c r="OMX38" s="48"/>
      <c r="OMY38" s="48"/>
      <c r="OMZ38" s="48"/>
      <c r="ONA38" s="48"/>
      <c r="ONB38" s="48"/>
      <c r="ONC38" s="48"/>
      <c r="OND38" s="48"/>
      <c r="ONE38" s="48"/>
      <c r="ONF38" s="48"/>
      <c r="ONG38" s="48"/>
      <c r="ONH38" s="48"/>
      <c r="ONI38" s="45"/>
      <c r="ONJ38" s="46"/>
      <c r="ONK38" s="46"/>
      <c r="ONL38" s="47"/>
      <c r="ONM38" s="48"/>
      <c r="ONN38" s="48"/>
      <c r="ONO38" s="48"/>
      <c r="ONP38" s="48"/>
      <c r="ONQ38" s="48"/>
      <c r="ONR38" s="48"/>
      <c r="ONS38" s="48"/>
      <c r="ONT38" s="48"/>
      <c r="ONU38" s="48"/>
      <c r="ONV38" s="48"/>
      <c r="ONW38" s="48"/>
      <c r="ONX38" s="48"/>
      <c r="ONY38" s="48"/>
      <c r="ONZ38" s="48"/>
      <c r="OOA38" s="48"/>
      <c r="OOB38" s="48"/>
      <c r="OOC38" s="48"/>
      <c r="OOD38" s="48"/>
      <c r="OOE38" s="45"/>
      <c r="OOF38" s="46"/>
      <c r="OOG38" s="46"/>
      <c r="OOH38" s="47"/>
      <c r="OOI38" s="48"/>
      <c r="OOJ38" s="48"/>
      <c r="OOK38" s="48"/>
      <c r="OOL38" s="48"/>
      <c r="OOM38" s="48"/>
      <c r="OON38" s="48"/>
      <c r="OOO38" s="48"/>
      <c r="OOP38" s="48"/>
      <c r="OOQ38" s="48"/>
      <c r="OOR38" s="48"/>
      <c r="OOS38" s="48"/>
      <c r="OOT38" s="48"/>
      <c r="OOU38" s="48"/>
      <c r="OOV38" s="48"/>
      <c r="OOW38" s="48"/>
      <c r="OOX38" s="48"/>
      <c r="OOY38" s="48"/>
      <c r="OOZ38" s="48"/>
      <c r="OPA38" s="45"/>
      <c r="OPB38" s="46"/>
      <c r="OPC38" s="46"/>
      <c r="OPD38" s="47"/>
      <c r="OPE38" s="48"/>
      <c r="OPF38" s="48"/>
      <c r="OPG38" s="48"/>
      <c r="OPH38" s="48"/>
      <c r="OPI38" s="48"/>
      <c r="OPJ38" s="48"/>
      <c r="OPK38" s="48"/>
      <c r="OPL38" s="48"/>
      <c r="OPM38" s="48"/>
      <c r="OPN38" s="48"/>
      <c r="OPO38" s="48"/>
      <c r="OPP38" s="48"/>
      <c r="OPQ38" s="48"/>
      <c r="OPR38" s="48"/>
      <c r="OPS38" s="48"/>
      <c r="OPT38" s="48"/>
      <c r="OPU38" s="48"/>
      <c r="OPV38" s="48"/>
      <c r="OPW38" s="45"/>
      <c r="OPX38" s="46"/>
      <c r="OPY38" s="46"/>
      <c r="OPZ38" s="47"/>
      <c r="OQA38" s="48"/>
      <c r="OQB38" s="48"/>
      <c r="OQC38" s="48"/>
      <c r="OQD38" s="48"/>
      <c r="OQE38" s="48"/>
      <c r="OQF38" s="48"/>
      <c r="OQG38" s="48"/>
      <c r="OQH38" s="48"/>
      <c r="OQI38" s="48"/>
      <c r="OQJ38" s="48"/>
      <c r="OQK38" s="48"/>
      <c r="OQL38" s="48"/>
      <c r="OQM38" s="48"/>
      <c r="OQN38" s="48"/>
      <c r="OQO38" s="48"/>
      <c r="OQP38" s="48"/>
      <c r="OQQ38" s="48"/>
      <c r="OQR38" s="48"/>
      <c r="OQS38" s="45"/>
      <c r="OQT38" s="46"/>
      <c r="OQU38" s="46"/>
      <c r="OQV38" s="47"/>
      <c r="OQW38" s="48"/>
      <c r="OQX38" s="48"/>
      <c r="OQY38" s="48"/>
      <c r="OQZ38" s="48"/>
      <c r="ORA38" s="48"/>
      <c r="ORB38" s="48"/>
      <c r="ORC38" s="48"/>
      <c r="ORD38" s="48"/>
      <c r="ORE38" s="48"/>
      <c r="ORF38" s="48"/>
      <c r="ORG38" s="48"/>
      <c r="ORH38" s="48"/>
      <c r="ORI38" s="48"/>
      <c r="ORJ38" s="48"/>
      <c r="ORK38" s="48"/>
      <c r="ORL38" s="48"/>
      <c r="ORM38" s="48"/>
      <c r="ORN38" s="48"/>
      <c r="ORO38" s="45"/>
      <c r="ORP38" s="46"/>
      <c r="ORQ38" s="46"/>
      <c r="ORR38" s="47"/>
      <c r="ORS38" s="48"/>
      <c r="ORT38" s="48"/>
      <c r="ORU38" s="48"/>
      <c r="ORV38" s="48"/>
      <c r="ORW38" s="48"/>
      <c r="ORX38" s="48"/>
      <c r="ORY38" s="48"/>
      <c r="ORZ38" s="48"/>
      <c r="OSA38" s="48"/>
      <c r="OSB38" s="48"/>
      <c r="OSC38" s="48"/>
      <c r="OSD38" s="48"/>
      <c r="OSE38" s="48"/>
      <c r="OSF38" s="48"/>
      <c r="OSG38" s="48"/>
      <c r="OSH38" s="48"/>
      <c r="OSI38" s="48"/>
      <c r="OSJ38" s="48"/>
      <c r="OSK38" s="45"/>
      <c r="OSL38" s="46"/>
      <c r="OSM38" s="46"/>
      <c r="OSN38" s="47"/>
      <c r="OSO38" s="48"/>
      <c r="OSP38" s="48"/>
      <c r="OSQ38" s="48"/>
      <c r="OSR38" s="48"/>
      <c r="OSS38" s="48"/>
      <c r="OST38" s="48"/>
      <c r="OSU38" s="48"/>
      <c r="OSV38" s="48"/>
      <c r="OSW38" s="48"/>
      <c r="OSX38" s="48"/>
      <c r="OSY38" s="48"/>
      <c r="OSZ38" s="48"/>
      <c r="OTA38" s="48"/>
      <c r="OTB38" s="48"/>
      <c r="OTC38" s="48"/>
      <c r="OTD38" s="48"/>
      <c r="OTE38" s="48"/>
      <c r="OTF38" s="48"/>
      <c r="OTG38" s="45"/>
      <c r="OTH38" s="46"/>
      <c r="OTI38" s="46"/>
      <c r="OTJ38" s="47"/>
      <c r="OTK38" s="48"/>
      <c r="OTL38" s="48"/>
      <c r="OTM38" s="48"/>
      <c r="OTN38" s="48"/>
      <c r="OTO38" s="48"/>
      <c r="OTP38" s="48"/>
      <c r="OTQ38" s="48"/>
      <c r="OTR38" s="48"/>
      <c r="OTS38" s="48"/>
      <c r="OTT38" s="48"/>
      <c r="OTU38" s="48"/>
      <c r="OTV38" s="48"/>
      <c r="OTW38" s="48"/>
      <c r="OTX38" s="48"/>
      <c r="OTY38" s="48"/>
      <c r="OTZ38" s="48"/>
      <c r="OUA38" s="48"/>
      <c r="OUB38" s="48"/>
      <c r="OUC38" s="45"/>
      <c r="OUD38" s="46"/>
      <c r="OUE38" s="46"/>
      <c r="OUF38" s="47"/>
      <c r="OUG38" s="48"/>
      <c r="OUH38" s="48"/>
      <c r="OUI38" s="48"/>
      <c r="OUJ38" s="48"/>
      <c r="OUK38" s="48"/>
      <c r="OUL38" s="48"/>
      <c r="OUM38" s="48"/>
      <c r="OUN38" s="48"/>
      <c r="OUO38" s="48"/>
      <c r="OUP38" s="48"/>
      <c r="OUQ38" s="48"/>
      <c r="OUR38" s="48"/>
      <c r="OUS38" s="48"/>
      <c r="OUT38" s="48"/>
      <c r="OUU38" s="48"/>
      <c r="OUV38" s="48"/>
      <c r="OUW38" s="48"/>
      <c r="OUX38" s="48"/>
      <c r="OUY38" s="45"/>
      <c r="OUZ38" s="46"/>
      <c r="OVA38" s="46"/>
      <c r="OVB38" s="47"/>
      <c r="OVC38" s="48"/>
      <c r="OVD38" s="48"/>
      <c r="OVE38" s="48"/>
      <c r="OVF38" s="48"/>
      <c r="OVG38" s="48"/>
      <c r="OVH38" s="48"/>
      <c r="OVI38" s="48"/>
      <c r="OVJ38" s="48"/>
      <c r="OVK38" s="48"/>
      <c r="OVL38" s="48"/>
      <c r="OVM38" s="48"/>
      <c r="OVN38" s="48"/>
      <c r="OVO38" s="48"/>
      <c r="OVP38" s="48"/>
      <c r="OVQ38" s="48"/>
      <c r="OVR38" s="48"/>
      <c r="OVS38" s="48"/>
      <c r="OVT38" s="48"/>
      <c r="OVU38" s="45"/>
      <c r="OVV38" s="46"/>
      <c r="OVW38" s="46"/>
      <c r="OVX38" s="47"/>
      <c r="OVY38" s="48"/>
      <c r="OVZ38" s="48"/>
      <c r="OWA38" s="48"/>
      <c r="OWB38" s="48"/>
      <c r="OWC38" s="48"/>
      <c r="OWD38" s="48"/>
      <c r="OWE38" s="48"/>
      <c r="OWF38" s="48"/>
      <c r="OWG38" s="48"/>
      <c r="OWH38" s="48"/>
      <c r="OWI38" s="48"/>
      <c r="OWJ38" s="48"/>
      <c r="OWK38" s="48"/>
      <c r="OWL38" s="48"/>
      <c r="OWM38" s="48"/>
      <c r="OWN38" s="48"/>
      <c r="OWO38" s="48"/>
      <c r="OWP38" s="48"/>
      <c r="OWQ38" s="45"/>
      <c r="OWR38" s="46"/>
      <c r="OWS38" s="46"/>
      <c r="OWT38" s="47"/>
      <c r="OWU38" s="48"/>
      <c r="OWV38" s="48"/>
      <c r="OWW38" s="48"/>
      <c r="OWX38" s="48"/>
      <c r="OWY38" s="48"/>
      <c r="OWZ38" s="48"/>
      <c r="OXA38" s="48"/>
      <c r="OXB38" s="48"/>
      <c r="OXC38" s="48"/>
      <c r="OXD38" s="48"/>
      <c r="OXE38" s="48"/>
      <c r="OXF38" s="48"/>
      <c r="OXG38" s="48"/>
      <c r="OXH38" s="48"/>
      <c r="OXI38" s="48"/>
      <c r="OXJ38" s="48"/>
      <c r="OXK38" s="48"/>
      <c r="OXL38" s="48"/>
      <c r="OXM38" s="45"/>
      <c r="OXN38" s="46"/>
      <c r="OXO38" s="46"/>
      <c r="OXP38" s="47"/>
      <c r="OXQ38" s="48"/>
      <c r="OXR38" s="48"/>
      <c r="OXS38" s="48"/>
      <c r="OXT38" s="48"/>
      <c r="OXU38" s="48"/>
      <c r="OXV38" s="48"/>
      <c r="OXW38" s="48"/>
      <c r="OXX38" s="48"/>
      <c r="OXY38" s="48"/>
      <c r="OXZ38" s="48"/>
      <c r="OYA38" s="48"/>
      <c r="OYB38" s="48"/>
      <c r="OYC38" s="48"/>
      <c r="OYD38" s="48"/>
      <c r="OYE38" s="48"/>
      <c r="OYF38" s="48"/>
      <c r="OYG38" s="48"/>
      <c r="OYH38" s="48"/>
      <c r="OYI38" s="45"/>
      <c r="OYJ38" s="46"/>
      <c r="OYK38" s="46"/>
      <c r="OYL38" s="47"/>
      <c r="OYM38" s="48"/>
      <c r="OYN38" s="48"/>
      <c r="OYO38" s="48"/>
      <c r="OYP38" s="48"/>
      <c r="OYQ38" s="48"/>
      <c r="OYR38" s="48"/>
      <c r="OYS38" s="48"/>
      <c r="OYT38" s="48"/>
      <c r="OYU38" s="48"/>
      <c r="OYV38" s="48"/>
      <c r="OYW38" s="48"/>
      <c r="OYX38" s="48"/>
      <c r="OYY38" s="48"/>
      <c r="OYZ38" s="48"/>
      <c r="OZA38" s="48"/>
      <c r="OZB38" s="48"/>
      <c r="OZC38" s="48"/>
      <c r="OZD38" s="48"/>
      <c r="OZE38" s="45"/>
      <c r="OZF38" s="46"/>
      <c r="OZG38" s="46"/>
      <c r="OZH38" s="47"/>
      <c r="OZI38" s="48"/>
      <c r="OZJ38" s="48"/>
      <c r="OZK38" s="48"/>
      <c r="OZL38" s="48"/>
      <c r="OZM38" s="48"/>
      <c r="OZN38" s="48"/>
      <c r="OZO38" s="48"/>
      <c r="OZP38" s="48"/>
      <c r="OZQ38" s="48"/>
      <c r="OZR38" s="48"/>
      <c r="OZS38" s="48"/>
      <c r="OZT38" s="48"/>
      <c r="OZU38" s="48"/>
      <c r="OZV38" s="48"/>
      <c r="OZW38" s="48"/>
      <c r="OZX38" s="48"/>
      <c r="OZY38" s="48"/>
      <c r="OZZ38" s="48"/>
      <c r="PAA38" s="45"/>
      <c r="PAB38" s="46"/>
      <c r="PAC38" s="46"/>
      <c r="PAD38" s="47"/>
      <c r="PAE38" s="48"/>
      <c r="PAF38" s="48"/>
      <c r="PAG38" s="48"/>
      <c r="PAH38" s="48"/>
      <c r="PAI38" s="48"/>
      <c r="PAJ38" s="48"/>
      <c r="PAK38" s="48"/>
      <c r="PAL38" s="48"/>
      <c r="PAM38" s="48"/>
      <c r="PAN38" s="48"/>
      <c r="PAO38" s="48"/>
      <c r="PAP38" s="48"/>
      <c r="PAQ38" s="48"/>
      <c r="PAR38" s="48"/>
      <c r="PAS38" s="48"/>
      <c r="PAT38" s="48"/>
      <c r="PAU38" s="48"/>
      <c r="PAV38" s="48"/>
      <c r="PAW38" s="45"/>
      <c r="PAX38" s="46"/>
      <c r="PAY38" s="46"/>
      <c r="PAZ38" s="47"/>
      <c r="PBA38" s="48"/>
      <c r="PBB38" s="48"/>
      <c r="PBC38" s="48"/>
      <c r="PBD38" s="48"/>
      <c r="PBE38" s="48"/>
      <c r="PBF38" s="48"/>
      <c r="PBG38" s="48"/>
      <c r="PBH38" s="48"/>
      <c r="PBI38" s="48"/>
      <c r="PBJ38" s="48"/>
      <c r="PBK38" s="48"/>
      <c r="PBL38" s="48"/>
      <c r="PBM38" s="48"/>
      <c r="PBN38" s="48"/>
      <c r="PBO38" s="48"/>
      <c r="PBP38" s="48"/>
      <c r="PBQ38" s="48"/>
      <c r="PBR38" s="48"/>
      <c r="PBS38" s="45"/>
      <c r="PBT38" s="46"/>
      <c r="PBU38" s="46"/>
      <c r="PBV38" s="47"/>
      <c r="PBW38" s="48"/>
      <c r="PBX38" s="48"/>
      <c r="PBY38" s="48"/>
      <c r="PBZ38" s="48"/>
      <c r="PCA38" s="48"/>
      <c r="PCB38" s="48"/>
      <c r="PCC38" s="48"/>
      <c r="PCD38" s="48"/>
      <c r="PCE38" s="48"/>
      <c r="PCF38" s="48"/>
      <c r="PCG38" s="48"/>
      <c r="PCH38" s="48"/>
      <c r="PCI38" s="48"/>
      <c r="PCJ38" s="48"/>
      <c r="PCK38" s="48"/>
      <c r="PCL38" s="48"/>
      <c r="PCM38" s="48"/>
      <c r="PCN38" s="48"/>
      <c r="PCO38" s="45"/>
      <c r="PCP38" s="46"/>
      <c r="PCQ38" s="46"/>
      <c r="PCR38" s="47"/>
      <c r="PCS38" s="48"/>
      <c r="PCT38" s="48"/>
      <c r="PCU38" s="48"/>
      <c r="PCV38" s="48"/>
      <c r="PCW38" s="48"/>
      <c r="PCX38" s="48"/>
      <c r="PCY38" s="48"/>
      <c r="PCZ38" s="48"/>
      <c r="PDA38" s="48"/>
      <c r="PDB38" s="48"/>
      <c r="PDC38" s="48"/>
      <c r="PDD38" s="48"/>
      <c r="PDE38" s="48"/>
      <c r="PDF38" s="48"/>
      <c r="PDG38" s="48"/>
      <c r="PDH38" s="48"/>
      <c r="PDI38" s="48"/>
      <c r="PDJ38" s="48"/>
      <c r="PDK38" s="45"/>
      <c r="PDL38" s="46"/>
      <c r="PDM38" s="46"/>
      <c r="PDN38" s="47"/>
      <c r="PDO38" s="48"/>
      <c r="PDP38" s="48"/>
      <c r="PDQ38" s="48"/>
      <c r="PDR38" s="48"/>
      <c r="PDS38" s="48"/>
      <c r="PDT38" s="48"/>
      <c r="PDU38" s="48"/>
      <c r="PDV38" s="48"/>
      <c r="PDW38" s="48"/>
      <c r="PDX38" s="48"/>
      <c r="PDY38" s="48"/>
      <c r="PDZ38" s="48"/>
      <c r="PEA38" s="48"/>
      <c r="PEB38" s="48"/>
      <c r="PEC38" s="48"/>
      <c r="PED38" s="48"/>
      <c r="PEE38" s="48"/>
      <c r="PEF38" s="48"/>
      <c r="PEG38" s="45"/>
      <c r="PEH38" s="46"/>
      <c r="PEI38" s="46"/>
      <c r="PEJ38" s="47"/>
      <c r="PEK38" s="48"/>
      <c r="PEL38" s="48"/>
      <c r="PEM38" s="48"/>
      <c r="PEN38" s="48"/>
      <c r="PEO38" s="48"/>
      <c r="PEP38" s="48"/>
      <c r="PEQ38" s="48"/>
      <c r="PER38" s="48"/>
      <c r="PES38" s="48"/>
      <c r="PET38" s="48"/>
      <c r="PEU38" s="48"/>
      <c r="PEV38" s="48"/>
      <c r="PEW38" s="48"/>
      <c r="PEX38" s="48"/>
      <c r="PEY38" s="48"/>
      <c r="PEZ38" s="48"/>
      <c r="PFA38" s="48"/>
      <c r="PFB38" s="48"/>
      <c r="PFC38" s="45"/>
      <c r="PFD38" s="46"/>
      <c r="PFE38" s="46"/>
      <c r="PFF38" s="47"/>
      <c r="PFG38" s="48"/>
      <c r="PFH38" s="48"/>
      <c r="PFI38" s="48"/>
      <c r="PFJ38" s="48"/>
      <c r="PFK38" s="48"/>
      <c r="PFL38" s="48"/>
      <c r="PFM38" s="48"/>
      <c r="PFN38" s="48"/>
      <c r="PFO38" s="48"/>
      <c r="PFP38" s="48"/>
      <c r="PFQ38" s="48"/>
      <c r="PFR38" s="48"/>
      <c r="PFS38" s="48"/>
      <c r="PFT38" s="48"/>
      <c r="PFU38" s="48"/>
      <c r="PFV38" s="48"/>
      <c r="PFW38" s="48"/>
      <c r="PFX38" s="48"/>
      <c r="PFY38" s="45"/>
      <c r="PFZ38" s="46"/>
      <c r="PGA38" s="46"/>
      <c r="PGB38" s="47"/>
      <c r="PGC38" s="48"/>
      <c r="PGD38" s="48"/>
      <c r="PGE38" s="48"/>
      <c r="PGF38" s="48"/>
      <c r="PGG38" s="48"/>
      <c r="PGH38" s="48"/>
      <c r="PGI38" s="48"/>
      <c r="PGJ38" s="48"/>
      <c r="PGK38" s="48"/>
      <c r="PGL38" s="48"/>
      <c r="PGM38" s="48"/>
      <c r="PGN38" s="48"/>
      <c r="PGO38" s="48"/>
      <c r="PGP38" s="48"/>
      <c r="PGQ38" s="48"/>
      <c r="PGR38" s="48"/>
      <c r="PGS38" s="48"/>
      <c r="PGT38" s="48"/>
      <c r="PGU38" s="45"/>
      <c r="PGV38" s="46"/>
      <c r="PGW38" s="46"/>
      <c r="PGX38" s="47"/>
      <c r="PGY38" s="48"/>
      <c r="PGZ38" s="48"/>
      <c r="PHA38" s="48"/>
      <c r="PHB38" s="48"/>
      <c r="PHC38" s="48"/>
      <c r="PHD38" s="48"/>
      <c r="PHE38" s="48"/>
      <c r="PHF38" s="48"/>
      <c r="PHG38" s="48"/>
      <c r="PHH38" s="48"/>
      <c r="PHI38" s="48"/>
      <c r="PHJ38" s="48"/>
      <c r="PHK38" s="48"/>
      <c r="PHL38" s="48"/>
      <c r="PHM38" s="48"/>
      <c r="PHN38" s="48"/>
      <c r="PHO38" s="48"/>
      <c r="PHP38" s="48"/>
      <c r="PHQ38" s="45"/>
      <c r="PHR38" s="46"/>
      <c r="PHS38" s="46"/>
      <c r="PHT38" s="47"/>
      <c r="PHU38" s="48"/>
      <c r="PHV38" s="48"/>
      <c r="PHW38" s="48"/>
      <c r="PHX38" s="48"/>
      <c r="PHY38" s="48"/>
      <c r="PHZ38" s="48"/>
      <c r="PIA38" s="48"/>
      <c r="PIB38" s="48"/>
      <c r="PIC38" s="48"/>
      <c r="PID38" s="48"/>
      <c r="PIE38" s="48"/>
      <c r="PIF38" s="48"/>
      <c r="PIG38" s="48"/>
      <c r="PIH38" s="48"/>
      <c r="PII38" s="48"/>
      <c r="PIJ38" s="48"/>
      <c r="PIK38" s="48"/>
      <c r="PIL38" s="48"/>
      <c r="PIM38" s="45"/>
      <c r="PIN38" s="46"/>
      <c r="PIO38" s="46"/>
      <c r="PIP38" s="47"/>
      <c r="PIQ38" s="48"/>
      <c r="PIR38" s="48"/>
      <c r="PIS38" s="48"/>
      <c r="PIT38" s="48"/>
      <c r="PIU38" s="48"/>
      <c r="PIV38" s="48"/>
      <c r="PIW38" s="48"/>
      <c r="PIX38" s="48"/>
      <c r="PIY38" s="48"/>
      <c r="PIZ38" s="48"/>
      <c r="PJA38" s="48"/>
      <c r="PJB38" s="48"/>
      <c r="PJC38" s="48"/>
      <c r="PJD38" s="48"/>
      <c r="PJE38" s="48"/>
      <c r="PJF38" s="48"/>
      <c r="PJG38" s="48"/>
      <c r="PJH38" s="48"/>
      <c r="PJI38" s="45"/>
      <c r="PJJ38" s="46"/>
      <c r="PJK38" s="46"/>
      <c r="PJL38" s="47"/>
      <c r="PJM38" s="48"/>
      <c r="PJN38" s="48"/>
      <c r="PJO38" s="48"/>
      <c r="PJP38" s="48"/>
      <c r="PJQ38" s="48"/>
      <c r="PJR38" s="48"/>
      <c r="PJS38" s="48"/>
      <c r="PJT38" s="48"/>
      <c r="PJU38" s="48"/>
      <c r="PJV38" s="48"/>
      <c r="PJW38" s="48"/>
      <c r="PJX38" s="48"/>
      <c r="PJY38" s="48"/>
      <c r="PJZ38" s="48"/>
      <c r="PKA38" s="48"/>
      <c r="PKB38" s="48"/>
      <c r="PKC38" s="48"/>
      <c r="PKD38" s="48"/>
      <c r="PKE38" s="45"/>
      <c r="PKF38" s="46"/>
      <c r="PKG38" s="46"/>
      <c r="PKH38" s="47"/>
      <c r="PKI38" s="48"/>
      <c r="PKJ38" s="48"/>
      <c r="PKK38" s="48"/>
      <c r="PKL38" s="48"/>
      <c r="PKM38" s="48"/>
      <c r="PKN38" s="48"/>
      <c r="PKO38" s="48"/>
      <c r="PKP38" s="48"/>
      <c r="PKQ38" s="48"/>
      <c r="PKR38" s="48"/>
      <c r="PKS38" s="48"/>
      <c r="PKT38" s="48"/>
      <c r="PKU38" s="48"/>
      <c r="PKV38" s="48"/>
      <c r="PKW38" s="48"/>
      <c r="PKX38" s="48"/>
      <c r="PKY38" s="48"/>
      <c r="PKZ38" s="48"/>
      <c r="PLA38" s="45"/>
      <c r="PLB38" s="46"/>
      <c r="PLC38" s="46"/>
      <c r="PLD38" s="47"/>
      <c r="PLE38" s="48"/>
      <c r="PLF38" s="48"/>
      <c r="PLG38" s="48"/>
      <c r="PLH38" s="48"/>
      <c r="PLI38" s="48"/>
      <c r="PLJ38" s="48"/>
      <c r="PLK38" s="48"/>
      <c r="PLL38" s="48"/>
      <c r="PLM38" s="48"/>
      <c r="PLN38" s="48"/>
      <c r="PLO38" s="48"/>
      <c r="PLP38" s="48"/>
      <c r="PLQ38" s="48"/>
      <c r="PLR38" s="48"/>
      <c r="PLS38" s="48"/>
      <c r="PLT38" s="48"/>
      <c r="PLU38" s="48"/>
      <c r="PLV38" s="48"/>
      <c r="PLW38" s="45"/>
      <c r="PLX38" s="46"/>
      <c r="PLY38" s="46"/>
      <c r="PLZ38" s="47"/>
      <c r="PMA38" s="48"/>
      <c r="PMB38" s="48"/>
      <c r="PMC38" s="48"/>
      <c r="PMD38" s="48"/>
      <c r="PME38" s="48"/>
      <c r="PMF38" s="48"/>
      <c r="PMG38" s="48"/>
      <c r="PMH38" s="48"/>
      <c r="PMI38" s="48"/>
      <c r="PMJ38" s="48"/>
      <c r="PMK38" s="48"/>
      <c r="PML38" s="48"/>
      <c r="PMM38" s="48"/>
      <c r="PMN38" s="48"/>
      <c r="PMO38" s="48"/>
      <c r="PMP38" s="48"/>
      <c r="PMQ38" s="48"/>
      <c r="PMR38" s="48"/>
      <c r="PMS38" s="45"/>
      <c r="PMT38" s="46"/>
      <c r="PMU38" s="46"/>
      <c r="PMV38" s="47"/>
      <c r="PMW38" s="48"/>
      <c r="PMX38" s="48"/>
      <c r="PMY38" s="48"/>
      <c r="PMZ38" s="48"/>
      <c r="PNA38" s="48"/>
      <c r="PNB38" s="48"/>
      <c r="PNC38" s="48"/>
      <c r="PND38" s="48"/>
      <c r="PNE38" s="48"/>
      <c r="PNF38" s="48"/>
      <c r="PNG38" s="48"/>
      <c r="PNH38" s="48"/>
      <c r="PNI38" s="48"/>
      <c r="PNJ38" s="48"/>
      <c r="PNK38" s="48"/>
      <c r="PNL38" s="48"/>
      <c r="PNM38" s="48"/>
      <c r="PNN38" s="48"/>
      <c r="PNO38" s="45"/>
      <c r="PNP38" s="46"/>
      <c r="PNQ38" s="46"/>
      <c r="PNR38" s="47"/>
      <c r="PNS38" s="48"/>
      <c r="PNT38" s="48"/>
      <c r="PNU38" s="48"/>
      <c r="PNV38" s="48"/>
      <c r="PNW38" s="48"/>
      <c r="PNX38" s="48"/>
      <c r="PNY38" s="48"/>
      <c r="PNZ38" s="48"/>
      <c r="POA38" s="48"/>
      <c r="POB38" s="48"/>
      <c r="POC38" s="48"/>
      <c r="POD38" s="48"/>
      <c r="POE38" s="48"/>
      <c r="POF38" s="48"/>
      <c r="POG38" s="48"/>
      <c r="POH38" s="48"/>
      <c r="POI38" s="48"/>
      <c r="POJ38" s="48"/>
      <c r="POK38" s="45"/>
      <c r="POL38" s="46"/>
      <c r="POM38" s="46"/>
      <c r="PON38" s="47"/>
      <c r="POO38" s="48"/>
      <c r="POP38" s="48"/>
      <c r="POQ38" s="48"/>
      <c r="POR38" s="48"/>
      <c r="POS38" s="48"/>
      <c r="POT38" s="48"/>
      <c r="POU38" s="48"/>
      <c r="POV38" s="48"/>
      <c r="POW38" s="48"/>
      <c r="POX38" s="48"/>
      <c r="POY38" s="48"/>
      <c r="POZ38" s="48"/>
      <c r="PPA38" s="48"/>
      <c r="PPB38" s="48"/>
      <c r="PPC38" s="48"/>
      <c r="PPD38" s="48"/>
      <c r="PPE38" s="48"/>
      <c r="PPF38" s="48"/>
      <c r="PPG38" s="45"/>
      <c r="PPH38" s="46"/>
      <c r="PPI38" s="46"/>
      <c r="PPJ38" s="47"/>
      <c r="PPK38" s="48"/>
      <c r="PPL38" s="48"/>
      <c r="PPM38" s="48"/>
      <c r="PPN38" s="48"/>
      <c r="PPO38" s="48"/>
      <c r="PPP38" s="48"/>
      <c r="PPQ38" s="48"/>
      <c r="PPR38" s="48"/>
      <c r="PPS38" s="48"/>
      <c r="PPT38" s="48"/>
      <c r="PPU38" s="48"/>
      <c r="PPV38" s="48"/>
      <c r="PPW38" s="48"/>
      <c r="PPX38" s="48"/>
      <c r="PPY38" s="48"/>
      <c r="PPZ38" s="48"/>
      <c r="PQA38" s="48"/>
      <c r="PQB38" s="48"/>
      <c r="PQC38" s="45"/>
      <c r="PQD38" s="46"/>
      <c r="PQE38" s="46"/>
      <c r="PQF38" s="47"/>
      <c r="PQG38" s="48"/>
      <c r="PQH38" s="48"/>
      <c r="PQI38" s="48"/>
      <c r="PQJ38" s="48"/>
      <c r="PQK38" s="48"/>
      <c r="PQL38" s="48"/>
      <c r="PQM38" s="48"/>
      <c r="PQN38" s="48"/>
      <c r="PQO38" s="48"/>
      <c r="PQP38" s="48"/>
      <c r="PQQ38" s="48"/>
      <c r="PQR38" s="48"/>
      <c r="PQS38" s="48"/>
      <c r="PQT38" s="48"/>
      <c r="PQU38" s="48"/>
      <c r="PQV38" s="48"/>
      <c r="PQW38" s="48"/>
      <c r="PQX38" s="48"/>
      <c r="PQY38" s="45"/>
      <c r="PQZ38" s="46"/>
      <c r="PRA38" s="46"/>
      <c r="PRB38" s="47"/>
      <c r="PRC38" s="48"/>
      <c r="PRD38" s="48"/>
      <c r="PRE38" s="48"/>
      <c r="PRF38" s="48"/>
      <c r="PRG38" s="48"/>
      <c r="PRH38" s="48"/>
      <c r="PRI38" s="48"/>
      <c r="PRJ38" s="48"/>
      <c r="PRK38" s="48"/>
      <c r="PRL38" s="48"/>
      <c r="PRM38" s="48"/>
      <c r="PRN38" s="48"/>
      <c r="PRO38" s="48"/>
      <c r="PRP38" s="48"/>
      <c r="PRQ38" s="48"/>
      <c r="PRR38" s="48"/>
      <c r="PRS38" s="48"/>
      <c r="PRT38" s="48"/>
      <c r="PRU38" s="45"/>
      <c r="PRV38" s="46"/>
      <c r="PRW38" s="46"/>
      <c r="PRX38" s="47"/>
      <c r="PRY38" s="48"/>
      <c r="PRZ38" s="48"/>
      <c r="PSA38" s="48"/>
      <c r="PSB38" s="48"/>
      <c r="PSC38" s="48"/>
      <c r="PSD38" s="48"/>
      <c r="PSE38" s="48"/>
      <c r="PSF38" s="48"/>
      <c r="PSG38" s="48"/>
      <c r="PSH38" s="48"/>
      <c r="PSI38" s="48"/>
      <c r="PSJ38" s="48"/>
      <c r="PSK38" s="48"/>
      <c r="PSL38" s="48"/>
      <c r="PSM38" s="48"/>
      <c r="PSN38" s="48"/>
      <c r="PSO38" s="48"/>
      <c r="PSP38" s="48"/>
      <c r="PSQ38" s="45"/>
      <c r="PSR38" s="46"/>
      <c r="PSS38" s="46"/>
      <c r="PST38" s="47"/>
      <c r="PSU38" s="48"/>
      <c r="PSV38" s="48"/>
      <c r="PSW38" s="48"/>
      <c r="PSX38" s="48"/>
      <c r="PSY38" s="48"/>
      <c r="PSZ38" s="48"/>
      <c r="PTA38" s="48"/>
      <c r="PTB38" s="48"/>
      <c r="PTC38" s="48"/>
      <c r="PTD38" s="48"/>
      <c r="PTE38" s="48"/>
      <c r="PTF38" s="48"/>
      <c r="PTG38" s="48"/>
      <c r="PTH38" s="48"/>
      <c r="PTI38" s="48"/>
      <c r="PTJ38" s="48"/>
      <c r="PTK38" s="48"/>
      <c r="PTL38" s="48"/>
      <c r="PTM38" s="45"/>
      <c r="PTN38" s="46"/>
      <c r="PTO38" s="46"/>
      <c r="PTP38" s="47"/>
      <c r="PTQ38" s="48"/>
      <c r="PTR38" s="48"/>
      <c r="PTS38" s="48"/>
      <c r="PTT38" s="48"/>
      <c r="PTU38" s="48"/>
      <c r="PTV38" s="48"/>
      <c r="PTW38" s="48"/>
      <c r="PTX38" s="48"/>
      <c r="PTY38" s="48"/>
      <c r="PTZ38" s="48"/>
      <c r="PUA38" s="48"/>
      <c r="PUB38" s="48"/>
      <c r="PUC38" s="48"/>
      <c r="PUD38" s="48"/>
      <c r="PUE38" s="48"/>
      <c r="PUF38" s="48"/>
      <c r="PUG38" s="48"/>
      <c r="PUH38" s="48"/>
      <c r="PUI38" s="45"/>
      <c r="PUJ38" s="46"/>
      <c r="PUK38" s="46"/>
      <c r="PUL38" s="47"/>
      <c r="PUM38" s="48"/>
      <c r="PUN38" s="48"/>
      <c r="PUO38" s="48"/>
      <c r="PUP38" s="48"/>
      <c r="PUQ38" s="48"/>
      <c r="PUR38" s="48"/>
      <c r="PUS38" s="48"/>
      <c r="PUT38" s="48"/>
      <c r="PUU38" s="48"/>
      <c r="PUV38" s="48"/>
      <c r="PUW38" s="48"/>
      <c r="PUX38" s="48"/>
      <c r="PUY38" s="48"/>
      <c r="PUZ38" s="48"/>
      <c r="PVA38" s="48"/>
      <c r="PVB38" s="48"/>
      <c r="PVC38" s="48"/>
      <c r="PVD38" s="48"/>
      <c r="PVE38" s="45"/>
      <c r="PVF38" s="46"/>
      <c r="PVG38" s="46"/>
      <c r="PVH38" s="47"/>
      <c r="PVI38" s="48"/>
      <c r="PVJ38" s="48"/>
      <c r="PVK38" s="48"/>
      <c r="PVL38" s="48"/>
      <c r="PVM38" s="48"/>
      <c r="PVN38" s="48"/>
      <c r="PVO38" s="48"/>
      <c r="PVP38" s="48"/>
      <c r="PVQ38" s="48"/>
      <c r="PVR38" s="48"/>
      <c r="PVS38" s="48"/>
      <c r="PVT38" s="48"/>
      <c r="PVU38" s="48"/>
      <c r="PVV38" s="48"/>
      <c r="PVW38" s="48"/>
      <c r="PVX38" s="48"/>
      <c r="PVY38" s="48"/>
      <c r="PVZ38" s="48"/>
      <c r="PWA38" s="45"/>
      <c r="PWB38" s="46"/>
      <c r="PWC38" s="46"/>
      <c r="PWD38" s="47"/>
      <c r="PWE38" s="48"/>
      <c r="PWF38" s="48"/>
      <c r="PWG38" s="48"/>
      <c r="PWH38" s="48"/>
      <c r="PWI38" s="48"/>
      <c r="PWJ38" s="48"/>
      <c r="PWK38" s="48"/>
      <c r="PWL38" s="48"/>
      <c r="PWM38" s="48"/>
      <c r="PWN38" s="48"/>
      <c r="PWO38" s="48"/>
      <c r="PWP38" s="48"/>
      <c r="PWQ38" s="48"/>
      <c r="PWR38" s="48"/>
      <c r="PWS38" s="48"/>
      <c r="PWT38" s="48"/>
      <c r="PWU38" s="48"/>
      <c r="PWV38" s="48"/>
      <c r="PWW38" s="45"/>
      <c r="PWX38" s="46"/>
      <c r="PWY38" s="46"/>
      <c r="PWZ38" s="47"/>
      <c r="PXA38" s="48"/>
      <c r="PXB38" s="48"/>
      <c r="PXC38" s="48"/>
      <c r="PXD38" s="48"/>
      <c r="PXE38" s="48"/>
      <c r="PXF38" s="48"/>
      <c r="PXG38" s="48"/>
      <c r="PXH38" s="48"/>
      <c r="PXI38" s="48"/>
      <c r="PXJ38" s="48"/>
      <c r="PXK38" s="48"/>
      <c r="PXL38" s="48"/>
      <c r="PXM38" s="48"/>
      <c r="PXN38" s="48"/>
      <c r="PXO38" s="48"/>
      <c r="PXP38" s="48"/>
      <c r="PXQ38" s="48"/>
      <c r="PXR38" s="48"/>
      <c r="PXS38" s="45"/>
      <c r="PXT38" s="46"/>
      <c r="PXU38" s="46"/>
      <c r="PXV38" s="47"/>
      <c r="PXW38" s="48"/>
      <c r="PXX38" s="48"/>
      <c r="PXY38" s="48"/>
      <c r="PXZ38" s="48"/>
      <c r="PYA38" s="48"/>
      <c r="PYB38" s="48"/>
      <c r="PYC38" s="48"/>
      <c r="PYD38" s="48"/>
      <c r="PYE38" s="48"/>
      <c r="PYF38" s="48"/>
      <c r="PYG38" s="48"/>
      <c r="PYH38" s="48"/>
      <c r="PYI38" s="48"/>
      <c r="PYJ38" s="48"/>
      <c r="PYK38" s="48"/>
      <c r="PYL38" s="48"/>
      <c r="PYM38" s="48"/>
      <c r="PYN38" s="48"/>
      <c r="PYO38" s="45"/>
      <c r="PYP38" s="46"/>
      <c r="PYQ38" s="46"/>
      <c r="PYR38" s="47"/>
      <c r="PYS38" s="48"/>
      <c r="PYT38" s="48"/>
      <c r="PYU38" s="48"/>
      <c r="PYV38" s="48"/>
      <c r="PYW38" s="48"/>
      <c r="PYX38" s="48"/>
      <c r="PYY38" s="48"/>
      <c r="PYZ38" s="48"/>
      <c r="PZA38" s="48"/>
      <c r="PZB38" s="48"/>
      <c r="PZC38" s="48"/>
      <c r="PZD38" s="48"/>
      <c r="PZE38" s="48"/>
      <c r="PZF38" s="48"/>
      <c r="PZG38" s="48"/>
      <c r="PZH38" s="48"/>
      <c r="PZI38" s="48"/>
      <c r="PZJ38" s="48"/>
      <c r="PZK38" s="45"/>
      <c r="PZL38" s="46"/>
      <c r="PZM38" s="46"/>
      <c r="PZN38" s="47"/>
      <c r="PZO38" s="48"/>
      <c r="PZP38" s="48"/>
      <c r="PZQ38" s="48"/>
      <c r="PZR38" s="48"/>
      <c r="PZS38" s="48"/>
      <c r="PZT38" s="48"/>
      <c r="PZU38" s="48"/>
      <c r="PZV38" s="48"/>
      <c r="PZW38" s="48"/>
      <c r="PZX38" s="48"/>
      <c r="PZY38" s="48"/>
      <c r="PZZ38" s="48"/>
      <c r="QAA38" s="48"/>
      <c r="QAB38" s="48"/>
      <c r="QAC38" s="48"/>
      <c r="QAD38" s="48"/>
      <c r="QAE38" s="48"/>
      <c r="QAF38" s="48"/>
      <c r="QAG38" s="45"/>
      <c r="QAH38" s="46"/>
      <c r="QAI38" s="46"/>
      <c r="QAJ38" s="47"/>
      <c r="QAK38" s="48"/>
      <c r="QAL38" s="48"/>
      <c r="QAM38" s="48"/>
      <c r="QAN38" s="48"/>
      <c r="QAO38" s="48"/>
      <c r="QAP38" s="48"/>
      <c r="QAQ38" s="48"/>
      <c r="QAR38" s="48"/>
      <c r="QAS38" s="48"/>
      <c r="QAT38" s="48"/>
      <c r="QAU38" s="48"/>
      <c r="QAV38" s="48"/>
      <c r="QAW38" s="48"/>
      <c r="QAX38" s="48"/>
      <c r="QAY38" s="48"/>
      <c r="QAZ38" s="48"/>
      <c r="QBA38" s="48"/>
      <c r="QBB38" s="48"/>
      <c r="QBC38" s="45"/>
      <c r="QBD38" s="46"/>
      <c r="QBE38" s="46"/>
      <c r="QBF38" s="47"/>
      <c r="QBG38" s="48"/>
      <c r="QBH38" s="48"/>
      <c r="QBI38" s="48"/>
      <c r="QBJ38" s="48"/>
      <c r="QBK38" s="48"/>
      <c r="QBL38" s="48"/>
      <c r="QBM38" s="48"/>
      <c r="QBN38" s="48"/>
      <c r="QBO38" s="48"/>
      <c r="QBP38" s="48"/>
      <c r="QBQ38" s="48"/>
      <c r="QBR38" s="48"/>
      <c r="QBS38" s="48"/>
      <c r="QBT38" s="48"/>
      <c r="QBU38" s="48"/>
      <c r="QBV38" s="48"/>
      <c r="QBW38" s="48"/>
      <c r="QBX38" s="48"/>
      <c r="QBY38" s="45"/>
      <c r="QBZ38" s="46"/>
      <c r="QCA38" s="46"/>
      <c r="QCB38" s="47"/>
      <c r="QCC38" s="48"/>
      <c r="QCD38" s="48"/>
      <c r="QCE38" s="48"/>
      <c r="QCF38" s="48"/>
      <c r="QCG38" s="48"/>
      <c r="QCH38" s="48"/>
      <c r="QCI38" s="48"/>
      <c r="QCJ38" s="48"/>
      <c r="QCK38" s="48"/>
      <c r="QCL38" s="48"/>
      <c r="QCM38" s="48"/>
      <c r="QCN38" s="48"/>
      <c r="QCO38" s="48"/>
      <c r="QCP38" s="48"/>
      <c r="QCQ38" s="48"/>
      <c r="QCR38" s="48"/>
      <c r="QCS38" s="48"/>
      <c r="QCT38" s="48"/>
      <c r="QCU38" s="45"/>
      <c r="QCV38" s="46"/>
      <c r="QCW38" s="46"/>
      <c r="QCX38" s="47"/>
      <c r="QCY38" s="48"/>
      <c r="QCZ38" s="48"/>
      <c r="QDA38" s="48"/>
      <c r="QDB38" s="48"/>
      <c r="QDC38" s="48"/>
      <c r="QDD38" s="48"/>
      <c r="QDE38" s="48"/>
      <c r="QDF38" s="48"/>
      <c r="QDG38" s="48"/>
      <c r="QDH38" s="48"/>
      <c r="QDI38" s="48"/>
      <c r="QDJ38" s="48"/>
      <c r="QDK38" s="48"/>
      <c r="QDL38" s="48"/>
      <c r="QDM38" s="48"/>
      <c r="QDN38" s="48"/>
      <c r="QDO38" s="48"/>
      <c r="QDP38" s="48"/>
      <c r="QDQ38" s="45"/>
      <c r="QDR38" s="46"/>
      <c r="QDS38" s="46"/>
      <c r="QDT38" s="47"/>
      <c r="QDU38" s="48"/>
      <c r="QDV38" s="48"/>
      <c r="QDW38" s="48"/>
      <c r="QDX38" s="48"/>
      <c r="QDY38" s="48"/>
      <c r="QDZ38" s="48"/>
      <c r="QEA38" s="48"/>
      <c r="QEB38" s="48"/>
      <c r="QEC38" s="48"/>
      <c r="QED38" s="48"/>
      <c r="QEE38" s="48"/>
      <c r="QEF38" s="48"/>
      <c r="QEG38" s="48"/>
      <c r="QEH38" s="48"/>
      <c r="QEI38" s="48"/>
      <c r="QEJ38" s="48"/>
      <c r="QEK38" s="48"/>
      <c r="QEL38" s="48"/>
      <c r="QEM38" s="45"/>
      <c r="QEN38" s="46"/>
      <c r="QEO38" s="46"/>
      <c r="QEP38" s="47"/>
      <c r="QEQ38" s="48"/>
      <c r="QER38" s="48"/>
      <c r="QES38" s="48"/>
      <c r="QET38" s="48"/>
      <c r="QEU38" s="48"/>
      <c r="QEV38" s="48"/>
      <c r="QEW38" s="48"/>
      <c r="QEX38" s="48"/>
      <c r="QEY38" s="48"/>
      <c r="QEZ38" s="48"/>
      <c r="QFA38" s="48"/>
      <c r="QFB38" s="48"/>
      <c r="QFC38" s="48"/>
      <c r="QFD38" s="48"/>
      <c r="QFE38" s="48"/>
      <c r="QFF38" s="48"/>
      <c r="QFG38" s="48"/>
      <c r="QFH38" s="48"/>
      <c r="QFI38" s="45"/>
      <c r="QFJ38" s="46"/>
      <c r="QFK38" s="46"/>
      <c r="QFL38" s="47"/>
      <c r="QFM38" s="48"/>
      <c r="QFN38" s="48"/>
      <c r="QFO38" s="48"/>
      <c r="QFP38" s="48"/>
      <c r="QFQ38" s="48"/>
      <c r="QFR38" s="48"/>
      <c r="QFS38" s="48"/>
      <c r="QFT38" s="48"/>
      <c r="QFU38" s="48"/>
      <c r="QFV38" s="48"/>
      <c r="QFW38" s="48"/>
      <c r="QFX38" s="48"/>
      <c r="QFY38" s="48"/>
      <c r="QFZ38" s="48"/>
      <c r="QGA38" s="48"/>
      <c r="QGB38" s="48"/>
      <c r="QGC38" s="48"/>
      <c r="QGD38" s="48"/>
      <c r="QGE38" s="45"/>
      <c r="QGF38" s="46"/>
      <c r="QGG38" s="46"/>
      <c r="QGH38" s="47"/>
      <c r="QGI38" s="48"/>
      <c r="QGJ38" s="48"/>
      <c r="QGK38" s="48"/>
      <c r="QGL38" s="48"/>
      <c r="QGM38" s="48"/>
      <c r="QGN38" s="48"/>
      <c r="QGO38" s="48"/>
      <c r="QGP38" s="48"/>
      <c r="QGQ38" s="48"/>
      <c r="QGR38" s="48"/>
      <c r="QGS38" s="48"/>
      <c r="QGT38" s="48"/>
      <c r="QGU38" s="48"/>
      <c r="QGV38" s="48"/>
      <c r="QGW38" s="48"/>
      <c r="QGX38" s="48"/>
      <c r="QGY38" s="48"/>
      <c r="QGZ38" s="48"/>
      <c r="QHA38" s="45"/>
      <c r="QHB38" s="46"/>
      <c r="QHC38" s="46"/>
      <c r="QHD38" s="47"/>
      <c r="QHE38" s="48"/>
      <c r="QHF38" s="48"/>
      <c r="QHG38" s="48"/>
      <c r="QHH38" s="48"/>
      <c r="QHI38" s="48"/>
      <c r="QHJ38" s="48"/>
      <c r="QHK38" s="48"/>
      <c r="QHL38" s="48"/>
      <c r="QHM38" s="48"/>
      <c r="QHN38" s="48"/>
      <c r="QHO38" s="48"/>
      <c r="QHP38" s="48"/>
      <c r="QHQ38" s="48"/>
      <c r="QHR38" s="48"/>
      <c r="QHS38" s="48"/>
      <c r="QHT38" s="48"/>
      <c r="QHU38" s="48"/>
      <c r="QHV38" s="48"/>
      <c r="QHW38" s="45"/>
      <c r="QHX38" s="46"/>
      <c r="QHY38" s="46"/>
      <c r="QHZ38" s="47"/>
      <c r="QIA38" s="48"/>
      <c r="QIB38" s="48"/>
      <c r="QIC38" s="48"/>
      <c r="QID38" s="48"/>
      <c r="QIE38" s="48"/>
      <c r="QIF38" s="48"/>
      <c r="QIG38" s="48"/>
      <c r="QIH38" s="48"/>
      <c r="QII38" s="48"/>
      <c r="QIJ38" s="48"/>
      <c r="QIK38" s="48"/>
      <c r="QIL38" s="48"/>
      <c r="QIM38" s="48"/>
      <c r="QIN38" s="48"/>
      <c r="QIO38" s="48"/>
      <c r="QIP38" s="48"/>
      <c r="QIQ38" s="48"/>
      <c r="QIR38" s="48"/>
      <c r="QIS38" s="45"/>
      <c r="QIT38" s="46"/>
      <c r="QIU38" s="46"/>
      <c r="QIV38" s="47"/>
      <c r="QIW38" s="48"/>
      <c r="QIX38" s="48"/>
      <c r="QIY38" s="48"/>
      <c r="QIZ38" s="48"/>
      <c r="QJA38" s="48"/>
      <c r="QJB38" s="48"/>
      <c r="QJC38" s="48"/>
      <c r="QJD38" s="48"/>
      <c r="QJE38" s="48"/>
      <c r="QJF38" s="48"/>
      <c r="QJG38" s="48"/>
      <c r="QJH38" s="48"/>
      <c r="QJI38" s="48"/>
      <c r="QJJ38" s="48"/>
      <c r="QJK38" s="48"/>
      <c r="QJL38" s="48"/>
      <c r="QJM38" s="48"/>
      <c r="QJN38" s="48"/>
      <c r="QJO38" s="45"/>
      <c r="QJP38" s="46"/>
      <c r="QJQ38" s="46"/>
      <c r="QJR38" s="47"/>
      <c r="QJS38" s="48"/>
      <c r="QJT38" s="48"/>
      <c r="QJU38" s="48"/>
      <c r="QJV38" s="48"/>
      <c r="QJW38" s="48"/>
      <c r="QJX38" s="48"/>
      <c r="QJY38" s="48"/>
      <c r="QJZ38" s="48"/>
      <c r="QKA38" s="48"/>
      <c r="QKB38" s="48"/>
      <c r="QKC38" s="48"/>
      <c r="QKD38" s="48"/>
      <c r="QKE38" s="48"/>
      <c r="QKF38" s="48"/>
      <c r="QKG38" s="48"/>
      <c r="QKH38" s="48"/>
      <c r="QKI38" s="48"/>
      <c r="QKJ38" s="48"/>
      <c r="QKK38" s="45"/>
      <c r="QKL38" s="46"/>
      <c r="QKM38" s="46"/>
      <c r="QKN38" s="47"/>
      <c r="QKO38" s="48"/>
      <c r="QKP38" s="48"/>
      <c r="QKQ38" s="48"/>
      <c r="QKR38" s="48"/>
      <c r="QKS38" s="48"/>
      <c r="QKT38" s="48"/>
      <c r="QKU38" s="48"/>
      <c r="QKV38" s="48"/>
      <c r="QKW38" s="48"/>
      <c r="QKX38" s="48"/>
      <c r="QKY38" s="48"/>
      <c r="QKZ38" s="48"/>
      <c r="QLA38" s="48"/>
      <c r="QLB38" s="48"/>
      <c r="QLC38" s="48"/>
      <c r="QLD38" s="48"/>
      <c r="QLE38" s="48"/>
      <c r="QLF38" s="48"/>
      <c r="QLG38" s="45"/>
      <c r="QLH38" s="46"/>
      <c r="QLI38" s="46"/>
      <c r="QLJ38" s="47"/>
      <c r="QLK38" s="48"/>
      <c r="QLL38" s="48"/>
      <c r="QLM38" s="48"/>
      <c r="QLN38" s="48"/>
      <c r="QLO38" s="48"/>
      <c r="QLP38" s="48"/>
      <c r="QLQ38" s="48"/>
      <c r="QLR38" s="48"/>
      <c r="QLS38" s="48"/>
      <c r="QLT38" s="48"/>
      <c r="QLU38" s="48"/>
      <c r="QLV38" s="48"/>
      <c r="QLW38" s="48"/>
      <c r="QLX38" s="48"/>
      <c r="QLY38" s="48"/>
      <c r="QLZ38" s="48"/>
      <c r="QMA38" s="48"/>
      <c r="QMB38" s="48"/>
      <c r="QMC38" s="45"/>
      <c r="QMD38" s="46"/>
      <c r="QME38" s="46"/>
      <c r="QMF38" s="47"/>
      <c r="QMG38" s="48"/>
      <c r="QMH38" s="48"/>
      <c r="QMI38" s="48"/>
      <c r="QMJ38" s="48"/>
      <c r="QMK38" s="48"/>
      <c r="QML38" s="48"/>
      <c r="QMM38" s="48"/>
      <c r="QMN38" s="48"/>
      <c r="QMO38" s="48"/>
      <c r="QMP38" s="48"/>
      <c r="QMQ38" s="48"/>
      <c r="QMR38" s="48"/>
      <c r="QMS38" s="48"/>
      <c r="QMT38" s="48"/>
      <c r="QMU38" s="48"/>
      <c r="QMV38" s="48"/>
      <c r="QMW38" s="48"/>
      <c r="QMX38" s="48"/>
      <c r="QMY38" s="45"/>
      <c r="QMZ38" s="46"/>
      <c r="QNA38" s="46"/>
      <c r="QNB38" s="47"/>
      <c r="QNC38" s="48"/>
      <c r="QND38" s="48"/>
      <c r="QNE38" s="48"/>
      <c r="QNF38" s="48"/>
      <c r="QNG38" s="48"/>
      <c r="QNH38" s="48"/>
      <c r="QNI38" s="48"/>
      <c r="QNJ38" s="48"/>
      <c r="QNK38" s="48"/>
      <c r="QNL38" s="48"/>
      <c r="QNM38" s="48"/>
      <c r="QNN38" s="48"/>
      <c r="QNO38" s="48"/>
      <c r="QNP38" s="48"/>
      <c r="QNQ38" s="48"/>
      <c r="QNR38" s="48"/>
      <c r="QNS38" s="48"/>
      <c r="QNT38" s="48"/>
      <c r="QNU38" s="45"/>
      <c r="QNV38" s="46"/>
      <c r="QNW38" s="46"/>
      <c r="QNX38" s="47"/>
      <c r="QNY38" s="48"/>
      <c r="QNZ38" s="48"/>
      <c r="QOA38" s="48"/>
      <c r="QOB38" s="48"/>
      <c r="QOC38" s="48"/>
      <c r="QOD38" s="48"/>
      <c r="QOE38" s="48"/>
      <c r="QOF38" s="48"/>
      <c r="QOG38" s="48"/>
      <c r="QOH38" s="48"/>
      <c r="QOI38" s="48"/>
      <c r="QOJ38" s="48"/>
      <c r="QOK38" s="48"/>
      <c r="QOL38" s="48"/>
      <c r="QOM38" s="48"/>
      <c r="QON38" s="48"/>
      <c r="QOO38" s="48"/>
      <c r="QOP38" s="48"/>
      <c r="QOQ38" s="45"/>
      <c r="QOR38" s="46"/>
      <c r="QOS38" s="46"/>
      <c r="QOT38" s="47"/>
      <c r="QOU38" s="48"/>
      <c r="QOV38" s="48"/>
      <c r="QOW38" s="48"/>
      <c r="QOX38" s="48"/>
      <c r="QOY38" s="48"/>
      <c r="QOZ38" s="48"/>
      <c r="QPA38" s="48"/>
      <c r="QPB38" s="48"/>
      <c r="QPC38" s="48"/>
      <c r="QPD38" s="48"/>
      <c r="QPE38" s="48"/>
      <c r="QPF38" s="48"/>
      <c r="QPG38" s="48"/>
      <c r="QPH38" s="48"/>
      <c r="QPI38" s="48"/>
      <c r="QPJ38" s="48"/>
      <c r="QPK38" s="48"/>
      <c r="QPL38" s="48"/>
      <c r="QPM38" s="45"/>
      <c r="QPN38" s="46"/>
      <c r="QPO38" s="46"/>
      <c r="QPP38" s="47"/>
      <c r="QPQ38" s="48"/>
      <c r="QPR38" s="48"/>
      <c r="QPS38" s="48"/>
      <c r="QPT38" s="48"/>
      <c r="QPU38" s="48"/>
      <c r="QPV38" s="48"/>
      <c r="QPW38" s="48"/>
      <c r="QPX38" s="48"/>
      <c r="QPY38" s="48"/>
      <c r="QPZ38" s="48"/>
      <c r="QQA38" s="48"/>
      <c r="QQB38" s="48"/>
      <c r="QQC38" s="48"/>
      <c r="QQD38" s="48"/>
      <c r="QQE38" s="48"/>
      <c r="QQF38" s="48"/>
      <c r="QQG38" s="48"/>
      <c r="QQH38" s="48"/>
      <c r="QQI38" s="45"/>
      <c r="QQJ38" s="46"/>
      <c r="QQK38" s="46"/>
      <c r="QQL38" s="47"/>
      <c r="QQM38" s="48"/>
      <c r="QQN38" s="48"/>
      <c r="QQO38" s="48"/>
      <c r="QQP38" s="48"/>
      <c r="QQQ38" s="48"/>
      <c r="QQR38" s="48"/>
      <c r="QQS38" s="48"/>
      <c r="QQT38" s="48"/>
      <c r="QQU38" s="48"/>
      <c r="QQV38" s="48"/>
      <c r="QQW38" s="48"/>
      <c r="QQX38" s="48"/>
      <c r="QQY38" s="48"/>
      <c r="QQZ38" s="48"/>
      <c r="QRA38" s="48"/>
      <c r="QRB38" s="48"/>
      <c r="QRC38" s="48"/>
      <c r="QRD38" s="48"/>
      <c r="QRE38" s="45"/>
      <c r="QRF38" s="46"/>
      <c r="QRG38" s="46"/>
      <c r="QRH38" s="47"/>
      <c r="QRI38" s="48"/>
      <c r="QRJ38" s="48"/>
      <c r="QRK38" s="48"/>
      <c r="QRL38" s="48"/>
      <c r="QRM38" s="48"/>
      <c r="QRN38" s="48"/>
      <c r="QRO38" s="48"/>
      <c r="QRP38" s="48"/>
      <c r="QRQ38" s="48"/>
      <c r="QRR38" s="48"/>
      <c r="QRS38" s="48"/>
      <c r="QRT38" s="48"/>
      <c r="QRU38" s="48"/>
      <c r="QRV38" s="48"/>
      <c r="QRW38" s="48"/>
      <c r="QRX38" s="48"/>
      <c r="QRY38" s="48"/>
      <c r="QRZ38" s="48"/>
      <c r="QSA38" s="45"/>
      <c r="QSB38" s="46"/>
      <c r="QSC38" s="46"/>
      <c r="QSD38" s="47"/>
      <c r="QSE38" s="48"/>
      <c r="QSF38" s="48"/>
      <c r="QSG38" s="48"/>
      <c r="QSH38" s="48"/>
      <c r="QSI38" s="48"/>
      <c r="QSJ38" s="48"/>
      <c r="QSK38" s="48"/>
      <c r="QSL38" s="48"/>
      <c r="QSM38" s="48"/>
      <c r="QSN38" s="48"/>
      <c r="QSO38" s="48"/>
      <c r="QSP38" s="48"/>
      <c r="QSQ38" s="48"/>
      <c r="QSR38" s="48"/>
      <c r="QSS38" s="48"/>
      <c r="QST38" s="48"/>
      <c r="QSU38" s="48"/>
      <c r="QSV38" s="48"/>
      <c r="QSW38" s="45"/>
      <c r="QSX38" s="46"/>
      <c r="QSY38" s="46"/>
      <c r="QSZ38" s="47"/>
      <c r="QTA38" s="48"/>
      <c r="QTB38" s="48"/>
      <c r="QTC38" s="48"/>
      <c r="QTD38" s="48"/>
      <c r="QTE38" s="48"/>
      <c r="QTF38" s="48"/>
      <c r="QTG38" s="48"/>
      <c r="QTH38" s="48"/>
      <c r="QTI38" s="48"/>
      <c r="QTJ38" s="48"/>
      <c r="QTK38" s="48"/>
      <c r="QTL38" s="48"/>
      <c r="QTM38" s="48"/>
      <c r="QTN38" s="48"/>
      <c r="QTO38" s="48"/>
      <c r="QTP38" s="48"/>
      <c r="QTQ38" s="48"/>
      <c r="QTR38" s="48"/>
      <c r="QTS38" s="45"/>
      <c r="QTT38" s="46"/>
      <c r="QTU38" s="46"/>
      <c r="QTV38" s="47"/>
      <c r="QTW38" s="48"/>
      <c r="QTX38" s="48"/>
      <c r="QTY38" s="48"/>
      <c r="QTZ38" s="48"/>
      <c r="QUA38" s="48"/>
      <c r="QUB38" s="48"/>
      <c r="QUC38" s="48"/>
      <c r="QUD38" s="48"/>
      <c r="QUE38" s="48"/>
      <c r="QUF38" s="48"/>
      <c r="QUG38" s="48"/>
      <c r="QUH38" s="48"/>
      <c r="QUI38" s="48"/>
      <c r="QUJ38" s="48"/>
      <c r="QUK38" s="48"/>
      <c r="QUL38" s="48"/>
      <c r="QUM38" s="48"/>
      <c r="QUN38" s="48"/>
      <c r="QUO38" s="45"/>
      <c r="QUP38" s="46"/>
      <c r="QUQ38" s="46"/>
      <c r="QUR38" s="47"/>
      <c r="QUS38" s="48"/>
      <c r="QUT38" s="48"/>
      <c r="QUU38" s="48"/>
      <c r="QUV38" s="48"/>
      <c r="QUW38" s="48"/>
      <c r="QUX38" s="48"/>
      <c r="QUY38" s="48"/>
      <c r="QUZ38" s="48"/>
      <c r="QVA38" s="48"/>
      <c r="QVB38" s="48"/>
      <c r="QVC38" s="48"/>
      <c r="QVD38" s="48"/>
      <c r="QVE38" s="48"/>
      <c r="QVF38" s="48"/>
      <c r="QVG38" s="48"/>
      <c r="QVH38" s="48"/>
      <c r="QVI38" s="48"/>
      <c r="QVJ38" s="48"/>
      <c r="QVK38" s="45"/>
      <c r="QVL38" s="46"/>
      <c r="QVM38" s="46"/>
      <c r="QVN38" s="47"/>
      <c r="QVO38" s="48"/>
      <c r="QVP38" s="48"/>
      <c r="QVQ38" s="48"/>
      <c r="QVR38" s="48"/>
      <c r="QVS38" s="48"/>
      <c r="QVT38" s="48"/>
      <c r="QVU38" s="48"/>
      <c r="QVV38" s="48"/>
      <c r="QVW38" s="48"/>
      <c r="QVX38" s="48"/>
      <c r="QVY38" s="48"/>
      <c r="QVZ38" s="48"/>
      <c r="QWA38" s="48"/>
      <c r="QWB38" s="48"/>
      <c r="QWC38" s="48"/>
      <c r="QWD38" s="48"/>
      <c r="QWE38" s="48"/>
      <c r="QWF38" s="48"/>
      <c r="QWG38" s="45"/>
      <c r="QWH38" s="46"/>
      <c r="QWI38" s="46"/>
      <c r="QWJ38" s="47"/>
      <c r="QWK38" s="48"/>
      <c r="QWL38" s="48"/>
      <c r="QWM38" s="48"/>
      <c r="QWN38" s="48"/>
      <c r="QWO38" s="48"/>
      <c r="QWP38" s="48"/>
      <c r="QWQ38" s="48"/>
      <c r="QWR38" s="48"/>
      <c r="QWS38" s="48"/>
      <c r="QWT38" s="48"/>
      <c r="QWU38" s="48"/>
      <c r="QWV38" s="48"/>
      <c r="QWW38" s="48"/>
      <c r="QWX38" s="48"/>
      <c r="QWY38" s="48"/>
      <c r="QWZ38" s="48"/>
      <c r="QXA38" s="48"/>
      <c r="QXB38" s="48"/>
      <c r="QXC38" s="45"/>
      <c r="QXD38" s="46"/>
      <c r="QXE38" s="46"/>
      <c r="QXF38" s="47"/>
      <c r="QXG38" s="48"/>
      <c r="QXH38" s="48"/>
      <c r="QXI38" s="48"/>
      <c r="QXJ38" s="48"/>
      <c r="QXK38" s="48"/>
      <c r="QXL38" s="48"/>
      <c r="QXM38" s="48"/>
      <c r="QXN38" s="48"/>
      <c r="QXO38" s="48"/>
      <c r="QXP38" s="48"/>
      <c r="QXQ38" s="48"/>
      <c r="QXR38" s="48"/>
      <c r="QXS38" s="48"/>
      <c r="QXT38" s="48"/>
      <c r="QXU38" s="48"/>
      <c r="QXV38" s="48"/>
      <c r="QXW38" s="48"/>
      <c r="QXX38" s="48"/>
      <c r="QXY38" s="45"/>
      <c r="QXZ38" s="46"/>
      <c r="QYA38" s="46"/>
      <c r="QYB38" s="47"/>
      <c r="QYC38" s="48"/>
      <c r="QYD38" s="48"/>
      <c r="QYE38" s="48"/>
      <c r="QYF38" s="48"/>
      <c r="QYG38" s="48"/>
      <c r="QYH38" s="48"/>
      <c r="QYI38" s="48"/>
      <c r="QYJ38" s="48"/>
      <c r="QYK38" s="48"/>
      <c r="QYL38" s="48"/>
      <c r="QYM38" s="48"/>
      <c r="QYN38" s="48"/>
      <c r="QYO38" s="48"/>
      <c r="QYP38" s="48"/>
      <c r="QYQ38" s="48"/>
      <c r="QYR38" s="48"/>
      <c r="QYS38" s="48"/>
      <c r="QYT38" s="48"/>
      <c r="QYU38" s="45"/>
      <c r="QYV38" s="46"/>
      <c r="QYW38" s="46"/>
      <c r="QYX38" s="47"/>
      <c r="QYY38" s="48"/>
      <c r="QYZ38" s="48"/>
      <c r="QZA38" s="48"/>
      <c r="QZB38" s="48"/>
      <c r="QZC38" s="48"/>
      <c r="QZD38" s="48"/>
      <c r="QZE38" s="48"/>
      <c r="QZF38" s="48"/>
      <c r="QZG38" s="48"/>
      <c r="QZH38" s="48"/>
      <c r="QZI38" s="48"/>
      <c r="QZJ38" s="48"/>
      <c r="QZK38" s="48"/>
      <c r="QZL38" s="48"/>
      <c r="QZM38" s="48"/>
      <c r="QZN38" s="48"/>
      <c r="QZO38" s="48"/>
      <c r="QZP38" s="48"/>
      <c r="QZQ38" s="45"/>
      <c r="QZR38" s="46"/>
      <c r="QZS38" s="46"/>
      <c r="QZT38" s="47"/>
      <c r="QZU38" s="48"/>
      <c r="QZV38" s="48"/>
      <c r="QZW38" s="48"/>
      <c r="QZX38" s="48"/>
      <c r="QZY38" s="48"/>
      <c r="QZZ38" s="48"/>
      <c r="RAA38" s="48"/>
      <c r="RAB38" s="48"/>
      <c r="RAC38" s="48"/>
      <c r="RAD38" s="48"/>
      <c r="RAE38" s="48"/>
      <c r="RAF38" s="48"/>
      <c r="RAG38" s="48"/>
      <c r="RAH38" s="48"/>
      <c r="RAI38" s="48"/>
      <c r="RAJ38" s="48"/>
      <c r="RAK38" s="48"/>
      <c r="RAL38" s="48"/>
      <c r="RAM38" s="45"/>
      <c r="RAN38" s="46"/>
      <c r="RAO38" s="46"/>
      <c r="RAP38" s="47"/>
      <c r="RAQ38" s="48"/>
      <c r="RAR38" s="48"/>
      <c r="RAS38" s="48"/>
      <c r="RAT38" s="48"/>
      <c r="RAU38" s="48"/>
      <c r="RAV38" s="48"/>
      <c r="RAW38" s="48"/>
      <c r="RAX38" s="48"/>
      <c r="RAY38" s="48"/>
      <c r="RAZ38" s="48"/>
      <c r="RBA38" s="48"/>
      <c r="RBB38" s="48"/>
      <c r="RBC38" s="48"/>
      <c r="RBD38" s="48"/>
      <c r="RBE38" s="48"/>
      <c r="RBF38" s="48"/>
      <c r="RBG38" s="48"/>
      <c r="RBH38" s="48"/>
      <c r="RBI38" s="45"/>
      <c r="RBJ38" s="46"/>
      <c r="RBK38" s="46"/>
      <c r="RBL38" s="47"/>
      <c r="RBM38" s="48"/>
      <c r="RBN38" s="48"/>
      <c r="RBO38" s="48"/>
      <c r="RBP38" s="48"/>
      <c r="RBQ38" s="48"/>
      <c r="RBR38" s="48"/>
      <c r="RBS38" s="48"/>
      <c r="RBT38" s="48"/>
      <c r="RBU38" s="48"/>
      <c r="RBV38" s="48"/>
      <c r="RBW38" s="48"/>
      <c r="RBX38" s="48"/>
      <c r="RBY38" s="48"/>
      <c r="RBZ38" s="48"/>
      <c r="RCA38" s="48"/>
      <c r="RCB38" s="48"/>
      <c r="RCC38" s="48"/>
      <c r="RCD38" s="48"/>
      <c r="RCE38" s="45"/>
      <c r="RCF38" s="46"/>
      <c r="RCG38" s="46"/>
      <c r="RCH38" s="47"/>
      <c r="RCI38" s="48"/>
      <c r="RCJ38" s="48"/>
      <c r="RCK38" s="48"/>
      <c r="RCL38" s="48"/>
      <c r="RCM38" s="48"/>
      <c r="RCN38" s="48"/>
      <c r="RCO38" s="48"/>
      <c r="RCP38" s="48"/>
      <c r="RCQ38" s="48"/>
      <c r="RCR38" s="48"/>
      <c r="RCS38" s="48"/>
      <c r="RCT38" s="48"/>
      <c r="RCU38" s="48"/>
      <c r="RCV38" s="48"/>
      <c r="RCW38" s="48"/>
      <c r="RCX38" s="48"/>
      <c r="RCY38" s="48"/>
      <c r="RCZ38" s="48"/>
      <c r="RDA38" s="45"/>
      <c r="RDB38" s="46"/>
      <c r="RDC38" s="46"/>
      <c r="RDD38" s="47"/>
      <c r="RDE38" s="48"/>
      <c r="RDF38" s="48"/>
      <c r="RDG38" s="48"/>
      <c r="RDH38" s="48"/>
      <c r="RDI38" s="48"/>
      <c r="RDJ38" s="48"/>
      <c r="RDK38" s="48"/>
      <c r="RDL38" s="48"/>
      <c r="RDM38" s="48"/>
      <c r="RDN38" s="48"/>
      <c r="RDO38" s="48"/>
      <c r="RDP38" s="48"/>
      <c r="RDQ38" s="48"/>
      <c r="RDR38" s="48"/>
      <c r="RDS38" s="48"/>
      <c r="RDT38" s="48"/>
      <c r="RDU38" s="48"/>
      <c r="RDV38" s="48"/>
      <c r="RDW38" s="45"/>
      <c r="RDX38" s="46"/>
      <c r="RDY38" s="46"/>
      <c r="RDZ38" s="47"/>
      <c r="REA38" s="48"/>
      <c r="REB38" s="48"/>
      <c r="REC38" s="48"/>
      <c r="RED38" s="48"/>
      <c r="REE38" s="48"/>
      <c r="REF38" s="48"/>
      <c r="REG38" s="48"/>
      <c r="REH38" s="48"/>
      <c r="REI38" s="48"/>
      <c r="REJ38" s="48"/>
      <c r="REK38" s="48"/>
      <c r="REL38" s="48"/>
      <c r="REM38" s="48"/>
      <c r="REN38" s="48"/>
      <c r="REO38" s="48"/>
      <c r="REP38" s="48"/>
      <c r="REQ38" s="48"/>
      <c r="RER38" s="48"/>
      <c r="RES38" s="45"/>
      <c r="RET38" s="46"/>
      <c r="REU38" s="46"/>
      <c r="REV38" s="47"/>
      <c r="REW38" s="48"/>
      <c r="REX38" s="48"/>
      <c r="REY38" s="48"/>
      <c r="REZ38" s="48"/>
      <c r="RFA38" s="48"/>
      <c r="RFB38" s="48"/>
      <c r="RFC38" s="48"/>
      <c r="RFD38" s="48"/>
      <c r="RFE38" s="48"/>
      <c r="RFF38" s="48"/>
      <c r="RFG38" s="48"/>
      <c r="RFH38" s="48"/>
      <c r="RFI38" s="48"/>
      <c r="RFJ38" s="48"/>
      <c r="RFK38" s="48"/>
      <c r="RFL38" s="48"/>
      <c r="RFM38" s="48"/>
      <c r="RFN38" s="48"/>
      <c r="RFO38" s="45"/>
      <c r="RFP38" s="46"/>
      <c r="RFQ38" s="46"/>
      <c r="RFR38" s="47"/>
      <c r="RFS38" s="48"/>
      <c r="RFT38" s="48"/>
      <c r="RFU38" s="48"/>
      <c r="RFV38" s="48"/>
      <c r="RFW38" s="48"/>
      <c r="RFX38" s="48"/>
      <c r="RFY38" s="48"/>
      <c r="RFZ38" s="48"/>
      <c r="RGA38" s="48"/>
      <c r="RGB38" s="48"/>
      <c r="RGC38" s="48"/>
      <c r="RGD38" s="48"/>
      <c r="RGE38" s="48"/>
      <c r="RGF38" s="48"/>
      <c r="RGG38" s="48"/>
      <c r="RGH38" s="48"/>
      <c r="RGI38" s="48"/>
      <c r="RGJ38" s="48"/>
      <c r="RGK38" s="45"/>
      <c r="RGL38" s="46"/>
      <c r="RGM38" s="46"/>
      <c r="RGN38" s="47"/>
      <c r="RGO38" s="48"/>
      <c r="RGP38" s="48"/>
      <c r="RGQ38" s="48"/>
      <c r="RGR38" s="48"/>
      <c r="RGS38" s="48"/>
      <c r="RGT38" s="48"/>
      <c r="RGU38" s="48"/>
      <c r="RGV38" s="48"/>
      <c r="RGW38" s="48"/>
      <c r="RGX38" s="48"/>
      <c r="RGY38" s="48"/>
      <c r="RGZ38" s="48"/>
      <c r="RHA38" s="48"/>
      <c r="RHB38" s="48"/>
      <c r="RHC38" s="48"/>
      <c r="RHD38" s="48"/>
      <c r="RHE38" s="48"/>
      <c r="RHF38" s="48"/>
      <c r="RHG38" s="45"/>
      <c r="RHH38" s="46"/>
      <c r="RHI38" s="46"/>
      <c r="RHJ38" s="47"/>
      <c r="RHK38" s="48"/>
      <c r="RHL38" s="48"/>
      <c r="RHM38" s="48"/>
      <c r="RHN38" s="48"/>
      <c r="RHO38" s="48"/>
      <c r="RHP38" s="48"/>
      <c r="RHQ38" s="48"/>
      <c r="RHR38" s="48"/>
      <c r="RHS38" s="48"/>
      <c r="RHT38" s="48"/>
      <c r="RHU38" s="48"/>
      <c r="RHV38" s="48"/>
      <c r="RHW38" s="48"/>
      <c r="RHX38" s="48"/>
      <c r="RHY38" s="48"/>
      <c r="RHZ38" s="48"/>
      <c r="RIA38" s="48"/>
      <c r="RIB38" s="48"/>
      <c r="RIC38" s="45"/>
      <c r="RID38" s="46"/>
      <c r="RIE38" s="46"/>
      <c r="RIF38" s="47"/>
      <c r="RIG38" s="48"/>
      <c r="RIH38" s="48"/>
      <c r="RII38" s="48"/>
      <c r="RIJ38" s="48"/>
      <c r="RIK38" s="48"/>
      <c r="RIL38" s="48"/>
      <c r="RIM38" s="48"/>
      <c r="RIN38" s="48"/>
      <c r="RIO38" s="48"/>
      <c r="RIP38" s="48"/>
      <c r="RIQ38" s="48"/>
      <c r="RIR38" s="48"/>
      <c r="RIS38" s="48"/>
      <c r="RIT38" s="48"/>
      <c r="RIU38" s="48"/>
      <c r="RIV38" s="48"/>
      <c r="RIW38" s="48"/>
      <c r="RIX38" s="48"/>
      <c r="RIY38" s="45"/>
      <c r="RIZ38" s="46"/>
      <c r="RJA38" s="46"/>
      <c r="RJB38" s="47"/>
      <c r="RJC38" s="48"/>
      <c r="RJD38" s="48"/>
      <c r="RJE38" s="48"/>
      <c r="RJF38" s="48"/>
      <c r="RJG38" s="48"/>
      <c r="RJH38" s="48"/>
      <c r="RJI38" s="48"/>
      <c r="RJJ38" s="48"/>
      <c r="RJK38" s="48"/>
      <c r="RJL38" s="48"/>
      <c r="RJM38" s="48"/>
      <c r="RJN38" s="48"/>
      <c r="RJO38" s="48"/>
      <c r="RJP38" s="48"/>
      <c r="RJQ38" s="48"/>
      <c r="RJR38" s="48"/>
      <c r="RJS38" s="48"/>
      <c r="RJT38" s="48"/>
      <c r="RJU38" s="45"/>
      <c r="RJV38" s="46"/>
      <c r="RJW38" s="46"/>
      <c r="RJX38" s="47"/>
      <c r="RJY38" s="48"/>
      <c r="RJZ38" s="48"/>
      <c r="RKA38" s="48"/>
      <c r="RKB38" s="48"/>
      <c r="RKC38" s="48"/>
      <c r="RKD38" s="48"/>
      <c r="RKE38" s="48"/>
      <c r="RKF38" s="48"/>
      <c r="RKG38" s="48"/>
      <c r="RKH38" s="48"/>
      <c r="RKI38" s="48"/>
      <c r="RKJ38" s="48"/>
      <c r="RKK38" s="48"/>
      <c r="RKL38" s="48"/>
      <c r="RKM38" s="48"/>
      <c r="RKN38" s="48"/>
      <c r="RKO38" s="48"/>
      <c r="RKP38" s="48"/>
      <c r="RKQ38" s="45"/>
      <c r="RKR38" s="46"/>
      <c r="RKS38" s="46"/>
      <c r="RKT38" s="47"/>
      <c r="RKU38" s="48"/>
      <c r="RKV38" s="48"/>
      <c r="RKW38" s="48"/>
      <c r="RKX38" s="48"/>
      <c r="RKY38" s="48"/>
      <c r="RKZ38" s="48"/>
      <c r="RLA38" s="48"/>
      <c r="RLB38" s="48"/>
      <c r="RLC38" s="48"/>
      <c r="RLD38" s="48"/>
      <c r="RLE38" s="48"/>
      <c r="RLF38" s="48"/>
      <c r="RLG38" s="48"/>
      <c r="RLH38" s="48"/>
      <c r="RLI38" s="48"/>
      <c r="RLJ38" s="48"/>
      <c r="RLK38" s="48"/>
      <c r="RLL38" s="48"/>
      <c r="RLM38" s="45"/>
      <c r="RLN38" s="46"/>
      <c r="RLO38" s="46"/>
      <c r="RLP38" s="47"/>
      <c r="RLQ38" s="48"/>
      <c r="RLR38" s="48"/>
      <c r="RLS38" s="48"/>
      <c r="RLT38" s="48"/>
      <c r="RLU38" s="48"/>
      <c r="RLV38" s="48"/>
      <c r="RLW38" s="48"/>
      <c r="RLX38" s="48"/>
      <c r="RLY38" s="48"/>
      <c r="RLZ38" s="48"/>
      <c r="RMA38" s="48"/>
      <c r="RMB38" s="48"/>
      <c r="RMC38" s="48"/>
      <c r="RMD38" s="48"/>
      <c r="RME38" s="48"/>
      <c r="RMF38" s="48"/>
      <c r="RMG38" s="48"/>
      <c r="RMH38" s="48"/>
      <c r="RMI38" s="45"/>
      <c r="RMJ38" s="46"/>
      <c r="RMK38" s="46"/>
      <c r="RML38" s="47"/>
      <c r="RMM38" s="48"/>
      <c r="RMN38" s="48"/>
      <c r="RMO38" s="48"/>
      <c r="RMP38" s="48"/>
      <c r="RMQ38" s="48"/>
      <c r="RMR38" s="48"/>
      <c r="RMS38" s="48"/>
      <c r="RMT38" s="48"/>
      <c r="RMU38" s="48"/>
      <c r="RMV38" s="48"/>
      <c r="RMW38" s="48"/>
      <c r="RMX38" s="48"/>
      <c r="RMY38" s="48"/>
      <c r="RMZ38" s="48"/>
      <c r="RNA38" s="48"/>
      <c r="RNB38" s="48"/>
      <c r="RNC38" s="48"/>
      <c r="RND38" s="48"/>
      <c r="RNE38" s="45"/>
      <c r="RNF38" s="46"/>
      <c r="RNG38" s="46"/>
      <c r="RNH38" s="47"/>
      <c r="RNI38" s="48"/>
      <c r="RNJ38" s="48"/>
      <c r="RNK38" s="48"/>
      <c r="RNL38" s="48"/>
      <c r="RNM38" s="48"/>
      <c r="RNN38" s="48"/>
      <c r="RNO38" s="48"/>
      <c r="RNP38" s="48"/>
      <c r="RNQ38" s="48"/>
      <c r="RNR38" s="48"/>
      <c r="RNS38" s="48"/>
      <c r="RNT38" s="48"/>
      <c r="RNU38" s="48"/>
      <c r="RNV38" s="48"/>
      <c r="RNW38" s="48"/>
      <c r="RNX38" s="48"/>
      <c r="RNY38" s="48"/>
      <c r="RNZ38" s="48"/>
      <c r="ROA38" s="45"/>
      <c r="ROB38" s="46"/>
      <c r="ROC38" s="46"/>
      <c r="ROD38" s="47"/>
      <c r="ROE38" s="48"/>
      <c r="ROF38" s="48"/>
      <c r="ROG38" s="48"/>
      <c r="ROH38" s="48"/>
      <c r="ROI38" s="48"/>
      <c r="ROJ38" s="48"/>
      <c r="ROK38" s="48"/>
      <c r="ROL38" s="48"/>
      <c r="ROM38" s="48"/>
      <c r="RON38" s="48"/>
      <c r="ROO38" s="48"/>
      <c r="ROP38" s="48"/>
      <c r="ROQ38" s="48"/>
      <c r="ROR38" s="48"/>
      <c r="ROS38" s="48"/>
      <c r="ROT38" s="48"/>
      <c r="ROU38" s="48"/>
      <c r="ROV38" s="48"/>
      <c r="ROW38" s="45"/>
      <c r="ROX38" s="46"/>
      <c r="ROY38" s="46"/>
      <c r="ROZ38" s="47"/>
      <c r="RPA38" s="48"/>
      <c r="RPB38" s="48"/>
      <c r="RPC38" s="48"/>
      <c r="RPD38" s="48"/>
      <c r="RPE38" s="48"/>
      <c r="RPF38" s="48"/>
      <c r="RPG38" s="48"/>
      <c r="RPH38" s="48"/>
      <c r="RPI38" s="48"/>
      <c r="RPJ38" s="48"/>
      <c r="RPK38" s="48"/>
      <c r="RPL38" s="48"/>
      <c r="RPM38" s="48"/>
      <c r="RPN38" s="48"/>
      <c r="RPO38" s="48"/>
      <c r="RPP38" s="48"/>
      <c r="RPQ38" s="48"/>
      <c r="RPR38" s="48"/>
      <c r="RPS38" s="45"/>
      <c r="RPT38" s="46"/>
      <c r="RPU38" s="46"/>
      <c r="RPV38" s="47"/>
      <c r="RPW38" s="48"/>
      <c r="RPX38" s="48"/>
      <c r="RPY38" s="48"/>
      <c r="RPZ38" s="48"/>
      <c r="RQA38" s="48"/>
      <c r="RQB38" s="48"/>
      <c r="RQC38" s="48"/>
      <c r="RQD38" s="48"/>
      <c r="RQE38" s="48"/>
      <c r="RQF38" s="48"/>
      <c r="RQG38" s="48"/>
      <c r="RQH38" s="48"/>
      <c r="RQI38" s="48"/>
      <c r="RQJ38" s="48"/>
      <c r="RQK38" s="48"/>
      <c r="RQL38" s="48"/>
      <c r="RQM38" s="48"/>
      <c r="RQN38" s="48"/>
      <c r="RQO38" s="45"/>
      <c r="RQP38" s="46"/>
      <c r="RQQ38" s="46"/>
      <c r="RQR38" s="47"/>
      <c r="RQS38" s="48"/>
      <c r="RQT38" s="48"/>
      <c r="RQU38" s="48"/>
      <c r="RQV38" s="48"/>
      <c r="RQW38" s="48"/>
      <c r="RQX38" s="48"/>
      <c r="RQY38" s="48"/>
      <c r="RQZ38" s="48"/>
      <c r="RRA38" s="48"/>
      <c r="RRB38" s="48"/>
      <c r="RRC38" s="48"/>
      <c r="RRD38" s="48"/>
      <c r="RRE38" s="48"/>
      <c r="RRF38" s="48"/>
      <c r="RRG38" s="48"/>
      <c r="RRH38" s="48"/>
      <c r="RRI38" s="48"/>
      <c r="RRJ38" s="48"/>
      <c r="RRK38" s="45"/>
      <c r="RRL38" s="46"/>
      <c r="RRM38" s="46"/>
      <c r="RRN38" s="47"/>
      <c r="RRO38" s="48"/>
      <c r="RRP38" s="48"/>
      <c r="RRQ38" s="48"/>
      <c r="RRR38" s="48"/>
      <c r="RRS38" s="48"/>
      <c r="RRT38" s="48"/>
      <c r="RRU38" s="48"/>
      <c r="RRV38" s="48"/>
      <c r="RRW38" s="48"/>
      <c r="RRX38" s="48"/>
      <c r="RRY38" s="48"/>
      <c r="RRZ38" s="48"/>
      <c r="RSA38" s="48"/>
      <c r="RSB38" s="48"/>
      <c r="RSC38" s="48"/>
      <c r="RSD38" s="48"/>
      <c r="RSE38" s="48"/>
      <c r="RSF38" s="48"/>
      <c r="RSG38" s="45"/>
      <c r="RSH38" s="46"/>
      <c r="RSI38" s="46"/>
      <c r="RSJ38" s="47"/>
      <c r="RSK38" s="48"/>
      <c r="RSL38" s="48"/>
      <c r="RSM38" s="48"/>
      <c r="RSN38" s="48"/>
      <c r="RSO38" s="48"/>
      <c r="RSP38" s="48"/>
      <c r="RSQ38" s="48"/>
      <c r="RSR38" s="48"/>
      <c r="RSS38" s="48"/>
      <c r="RST38" s="48"/>
      <c r="RSU38" s="48"/>
      <c r="RSV38" s="48"/>
      <c r="RSW38" s="48"/>
      <c r="RSX38" s="48"/>
      <c r="RSY38" s="48"/>
      <c r="RSZ38" s="48"/>
      <c r="RTA38" s="48"/>
      <c r="RTB38" s="48"/>
      <c r="RTC38" s="45"/>
      <c r="RTD38" s="46"/>
      <c r="RTE38" s="46"/>
      <c r="RTF38" s="47"/>
      <c r="RTG38" s="48"/>
      <c r="RTH38" s="48"/>
      <c r="RTI38" s="48"/>
      <c r="RTJ38" s="48"/>
      <c r="RTK38" s="48"/>
      <c r="RTL38" s="48"/>
      <c r="RTM38" s="48"/>
      <c r="RTN38" s="48"/>
      <c r="RTO38" s="48"/>
      <c r="RTP38" s="48"/>
      <c r="RTQ38" s="48"/>
      <c r="RTR38" s="48"/>
      <c r="RTS38" s="48"/>
      <c r="RTT38" s="48"/>
      <c r="RTU38" s="48"/>
      <c r="RTV38" s="48"/>
      <c r="RTW38" s="48"/>
      <c r="RTX38" s="48"/>
      <c r="RTY38" s="45"/>
      <c r="RTZ38" s="46"/>
      <c r="RUA38" s="46"/>
      <c r="RUB38" s="47"/>
      <c r="RUC38" s="48"/>
      <c r="RUD38" s="48"/>
      <c r="RUE38" s="48"/>
      <c r="RUF38" s="48"/>
      <c r="RUG38" s="48"/>
      <c r="RUH38" s="48"/>
      <c r="RUI38" s="48"/>
      <c r="RUJ38" s="48"/>
      <c r="RUK38" s="48"/>
      <c r="RUL38" s="48"/>
      <c r="RUM38" s="48"/>
      <c r="RUN38" s="48"/>
      <c r="RUO38" s="48"/>
      <c r="RUP38" s="48"/>
      <c r="RUQ38" s="48"/>
      <c r="RUR38" s="48"/>
      <c r="RUS38" s="48"/>
      <c r="RUT38" s="48"/>
      <c r="RUU38" s="45"/>
      <c r="RUV38" s="46"/>
      <c r="RUW38" s="46"/>
      <c r="RUX38" s="47"/>
      <c r="RUY38" s="48"/>
      <c r="RUZ38" s="48"/>
      <c r="RVA38" s="48"/>
      <c r="RVB38" s="48"/>
      <c r="RVC38" s="48"/>
      <c r="RVD38" s="48"/>
      <c r="RVE38" s="48"/>
      <c r="RVF38" s="48"/>
      <c r="RVG38" s="48"/>
      <c r="RVH38" s="48"/>
      <c r="RVI38" s="48"/>
      <c r="RVJ38" s="48"/>
      <c r="RVK38" s="48"/>
      <c r="RVL38" s="48"/>
      <c r="RVM38" s="48"/>
      <c r="RVN38" s="48"/>
      <c r="RVO38" s="48"/>
      <c r="RVP38" s="48"/>
      <c r="RVQ38" s="45"/>
      <c r="RVR38" s="46"/>
      <c r="RVS38" s="46"/>
      <c r="RVT38" s="47"/>
      <c r="RVU38" s="48"/>
      <c r="RVV38" s="48"/>
      <c r="RVW38" s="48"/>
      <c r="RVX38" s="48"/>
      <c r="RVY38" s="48"/>
      <c r="RVZ38" s="48"/>
      <c r="RWA38" s="48"/>
      <c r="RWB38" s="48"/>
      <c r="RWC38" s="48"/>
      <c r="RWD38" s="48"/>
      <c r="RWE38" s="48"/>
      <c r="RWF38" s="48"/>
      <c r="RWG38" s="48"/>
      <c r="RWH38" s="48"/>
      <c r="RWI38" s="48"/>
      <c r="RWJ38" s="48"/>
      <c r="RWK38" s="48"/>
      <c r="RWL38" s="48"/>
      <c r="RWM38" s="45"/>
      <c r="RWN38" s="46"/>
      <c r="RWO38" s="46"/>
      <c r="RWP38" s="47"/>
      <c r="RWQ38" s="48"/>
      <c r="RWR38" s="48"/>
      <c r="RWS38" s="48"/>
      <c r="RWT38" s="48"/>
      <c r="RWU38" s="48"/>
      <c r="RWV38" s="48"/>
      <c r="RWW38" s="48"/>
      <c r="RWX38" s="48"/>
      <c r="RWY38" s="48"/>
      <c r="RWZ38" s="48"/>
      <c r="RXA38" s="48"/>
      <c r="RXB38" s="48"/>
      <c r="RXC38" s="48"/>
      <c r="RXD38" s="48"/>
      <c r="RXE38" s="48"/>
      <c r="RXF38" s="48"/>
      <c r="RXG38" s="48"/>
      <c r="RXH38" s="48"/>
      <c r="RXI38" s="45"/>
      <c r="RXJ38" s="46"/>
      <c r="RXK38" s="46"/>
      <c r="RXL38" s="47"/>
      <c r="RXM38" s="48"/>
      <c r="RXN38" s="48"/>
      <c r="RXO38" s="48"/>
      <c r="RXP38" s="48"/>
      <c r="RXQ38" s="48"/>
      <c r="RXR38" s="48"/>
      <c r="RXS38" s="48"/>
      <c r="RXT38" s="48"/>
      <c r="RXU38" s="48"/>
      <c r="RXV38" s="48"/>
      <c r="RXW38" s="48"/>
      <c r="RXX38" s="48"/>
      <c r="RXY38" s="48"/>
      <c r="RXZ38" s="48"/>
      <c r="RYA38" s="48"/>
      <c r="RYB38" s="48"/>
      <c r="RYC38" s="48"/>
      <c r="RYD38" s="48"/>
      <c r="RYE38" s="45"/>
      <c r="RYF38" s="46"/>
      <c r="RYG38" s="46"/>
      <c r="RYH38" s="47"/>
      <c r="RYI38" s="48"/>
      <c r="RYJ38" s="48"/>
      <c r="RYK38" s="48"/>
      <c r="RYL38" s="48"/>
      <c r="RYM38" s="48"/>
      <c r="RYN38" s="48"/>
      <c r="RYO38" s="48"/>
      <c r="RYP38" s="48"/>
      <c r="RYQ38" s="48"/>
      <c r="RYR38" s="48"/>
      <c r="RYS38" s="48"/>
      <c r="RYT38" s="48"/>
      <c r="RYU38" s="48"/>
      <c r="RYV38" s="48"/>
      <c r="RYW38" s="48"/>
      <c r="RYX38" s="48"/>
      <c r="RYY38" s="48"/>
      <c r="RYZ38" s="48"/>
      <c r="RZA38" s="45"/>
      <c r="RZB38" s="46"/>
      <c r="RZC38" s="46"/>
      <c r="RZD38" s="47"/>
      <c r="RZE38" s="48"/>
      <c r="RZF38" s="48"/>
      <c r="RZG38" s="48"/>
      <c r="RZH38" s="48"/>
      <c r="RZI38" s="48"/>
      <c r="RZJ38" s="48"/>
      <c r="RZK38" s="48"/>
      <c r="RZL38" s="48"/>
      <c r="RZM38" s="48"/>
      <c r="RZN38" s="48"/>
      <c r="RZO38" s="48"/>
      <c r="RZP38" s="48"/>
      <c r="RZQ38" s="48"/>
      <c r="RZR38" s="48"/>
      <c r="RZS38" s="48"/>
      <c r="RZT38" s="48"/>
      <c r="RZU38" s="48"/>
      <c r="RZV38" s="48"/>
      <c r="RZW38" s="45"/>
      <c r="RZX38" s="46"/>
      <c r="RZY38" s="46"/>
      <c r="RZZ38" s="47"/>
      <c r="SAA38" s="48"/>
      <c r="SAB38" s="48"/>
      <c r="SAC38" s="48"/>
      <c r="SAD38" s="48"/>
      <c r="SAE38" s="48"/>
      <c r="SAF38" s="48"/>
      <c r="SAG38" s="48"/>
      <c r="SAH38" s="48"/>
      <c r="SAI38" s="48"/>
      <c r="SAJ38" s="48"/>
      <c r="SAK38" s="48"/>
      <c r="SAL38" s="48"/>
      <c r="SAM38" s="48"/>
      <c r="SAN38" s="48"/>
      <c r="SAO38" s="48"/>
      <c r="SAP38" s="48"/>
      <c r="SAQ38" s="48"/>
      <c r="SAR38" s="48"/>
      <c r="SAS38" s="45"/>
      <c r="SAT38" s="46"/>
      <c r="SAU38" s="46"/>
      <c r="SAV38" s="47"/>
      <c r="SAW38" s="48"/>
      <c r="SAX38" s="48"/>
      <c r="SAY38" s="48"/>
      <c r="SAZ38" s="48"/>
      <c r="SBA38" s="48"/>
      <c r="SBB38" s="48"/>
      <c r="SBC38" s="48"/>
      <c r="SBD38" s="48"/>
      <c r="SBE38" s="48"/>
      <c r="SBF38" s="48"/>
      <c r="SBG38" s="48"/>
      <c r="SBH38" s="48"/>
      <c r="SBI38" s="48"/>
      <c r="SBJ38" s="48"/>
      <c r="SBK38" s="48"/>
      <c r="SBL38" s="48"/>
      <c r="SBM38" s="48"/>
      <c r="SBN38" s="48"/>
      <c r="SBO38" s="45"/>
      <c r="SBP38" s="46"/>
      <c r="SBQ38" s="46"/>
      <c r="SBR38" s="47"/>
      <c r="SBS38" s="48"/>
      <c r="SBT38" s="48"/>
      <c r="SBU38" s="48"/>
      <c r="SBV38" s="48"/>
      <c r="SBW38" s="48"/>
      <c r="SBX38" s="48"/>
      <c r="SBY38" s="48"/>
      <c r="SBZ38" s="48"/>
      <c r="SCA38" s="48"/>
      <c r="SCB38" s="48"/>
      <c r="SCC38" s="48"/>
      <c r="SCD38" s="48"/>
      <c r="SCE38" s="48"/>
      <c r="SCF38" s="48"/>
      <c r="SCG38" s="48"/>
      <c r="SCH38" s="48"/>
      <c r="SCI38" s="48"/>
      <c r="SCJ38" s="48"/>
      <c r="SCK38" s="45"/>
      <c r="SCL38" s="46"/>
      <c r="SCM38" s="46"/>
      <c r="SCN38" s="47"/>
      <c r="SCO38" s="48"/>
      <c r="SCP38" s="48"/>
      <c r="SCQ38" s="48"/>
      <c r="SCR38" s="48"/>
      <c r="SCS38" s="48"/>
      <c r="SCT38" s="48"/>
      <c r="SCU38" s="48"/>
      <c r="SCV38" s="48"/>
      <c r="SCW38" s="48"/>
      <c r="SCX38" s="48"/>
      <c r="SCY38" s="48"/>
      <c r="SCZ38" s="48"/>
      <c r="SDA38" s="48"/>
      <c r="SDB38" s="48"/>
      <c r="SDC38" s="48"/>
      <c r="SDD38" s="48"/>
      <c r="SDE38" s="48"/>
      <c r="SDF38" s="48"/>
      <c r="SDG38" s="45"/>
      <c r="SDH38" s="46"/>
      <c r="SDI38" s="46"/>
      <c r="SDJ38" s="47"/>
      <c r="SDK38" s="48"/>
      <c r="SDL38" s="48"/>
      <c r="SDM38" s="48"/>
      <c r="SDN38" s="48"/>
      <c r="SDO38" s="48"/>
      <c r="SDP38" s="48"/>
      <c r="SDQ38" s="48"/>
      <c r="SDR38" s="48"/>
      <c r="SDS38" s="48"/>
      <c r="SDT38" s="48"/>
      <c r="SDU38" s="48"/>
      <c r="SDV38" s="48"/>
      <c r="SDW38" s="48"/>
      <c r="SDX38" s="48"/>
      <c r="SDY38" s="48"/>
      <c r="SDZ38" s="48"/>
      <c r="SEA38" s="48"/>
      <c r="SEB38" s="48"/>
      <c r="SEC38" s="45"/>
      <c r="SED38" s="46"/>
      <c r="SEE38" s="46"/>
      <c r="SEF38" s="47"/>
      <c r="SEG38" s="48"/>
      <c r="SEH38" s="48"/>
      <c r="SEI38" s="48"/>
      <c r="SEJ38" s="48"/>
      <c r="SEK38" s="48"/>
      <c r="SEL38" s="48"/>
      <c r="SEM38" s="48"/>
      <c r="SEN38" s="48"/>
      <c r="SEO38" s="48"/>
      <c r="SEP38" s="48"/>
      <c r="SEQ38" s="48"/>
      <c r="SER38" s="48"/>
      <c r="SES38" s="48"/>
      <c r="SET38" s="48"/>
      <c r="SEU38" s="48"/>
      <c r="SEV38" s="48"/>
      <c r="SEW38" s="48"/>
      <c r="SEX38" s="48"/>
      <c r="SEY38" s="45"/>
      <c r="SEZ38" s="46"/>
      <c r="SFA38" s="46"/>
      <c r="SFB38" s="47"/>
      <c r="SFC38" s="48"/>
      <c r="SFD38" s="48"/>
      <c r="SFE38" s="48"/>
      <c r="SFF38" s="48"/>
      <c r="SFG38" s="48"/>
      <c r="SFH38" s="48"/>
      <c r="SFI38" s="48"/>
      <c r="SFJ38" s="48"/>
      <c r="SFK38" s="48"/>
      <c r="SFL38" s="48"/>
      <c r="SFM38" s="48"/>
      <c r="SFN38" s="48"/>
      <c r="SFO38" s="48"/>
      <c r="SFP38" s="48"/>
      <c r="SFQ38" s="48"/>
      <c r="SFR38" s="48"/>
      <c r="SFS38" s="48"/>
      <c r="SFT38" s="48"/>
      <c r="SFU38" s="45"/>
      <c r="SFV38" s="46"/>
      <c r="SFW38" s="46"/>
      <c r="SFX38" s="47"/>
      <c r="SFY38" s="48"/>
      <c r="SFZ38" s="48"/>
      <c r="SGA38" s="48"/>
      <c r="SGB38" s="48"/>
      <c r="SGC38" s="48"/>
      <c r="SGD38" s="48"/>
      <c r="SGE38" s="48"/>
      <c r="SGF38" s="48"/>
      <c r="SGG38" s="48"/>
      <c r="SGH38" s="48"/>
      <c r="SGI38" s="48"/>
      <c r="SGJ38" s="48"/>
      <c r="SGK38" s="48"/>
      <c r="SGL38" s="48"/>
      <c r="SGM38" s="48"/>
      <c r="SGN38" s="48"/>
      <c r="SGO38" s="48"/>
      <c r="SGP38" s="48"/>
      <c r="SGQ38" s="45"/>
      <c r="SGR38" s="46"/>
      <c r="SGS38" s="46"/>
      <c r="SGT38" s="47"/>
      <c r="SGU38" s="48"/>
      <c r="SGV38" s="48"/>
      <c r="SGW38" s="48"/>
      <c r="SGX38" s="48"/>
      <c r="SGY38" s="48"/>
      <c r="SGZ38" s="48"/>
      <c r="SHA38" s="48"/>
      <c r="SHB38" s="48"/>
      <c r="SHC38" s="48"/>
      <c r="SHD38" s="48"/>
      <c r="SHE38" s="48"/>
      <c r="SHF38" s="48"/>
      <c r="SHG38" s="48"/>
      <c r="SHH38" s="48"/>
      <c r="SHI38" s="48"/>
      <c r="SHJ38" s="48"/>
      <c r="SHK38" s="48"/>
      <c r="SHL38" s="48"/>
      <c r="SHM38" s="45"/>
      <c r="SHN38" s="46"/>
      <c r="SHO38" s="46"/>
      <c r="SHP38" s="47"/>
      <c r="SHQ38" s="48"/>
      <c r="SHR38" s="48"/>
      <c r="SHS38" s="48"/>
      <c r="SHT38" s="48"/>
      <c r="SHU38" s="48"/>
      <c r="SHV38" s="48"/>
      <c r="SHW38" s="48"/>
      <c r="SHX38" s="48"/>
      <c r="SHY38" s="48"/>
      <c r="SHZ38" s="48"/>
      <c r="SIA38" s="48"/>
      <c r="SIB38" s="48"/>
      <c r="SIC38" s="48"/>
      <c r="SID38" s="48"/>
      <c r="SIE38" s="48"/>
      <c r="SIF38" s="48"/>
      <c r="SIG38" s="48"/>
      <c r="SIH38" s="48"/>
      <c r="SII38" s="45"/>
      <c r="SIJ38" s="46"/>
      <c r="SIK38" s="46"/>
      <c r="SIL38" s="47"/>
      <c r="SIM38" s="48"/>
      <c r="SIN38" s="48"/>
      <c r="SIO38" s="48"/>
      <c r="SIP38" s="48"/>
      <c r="SIQ38" s="48"/>
      <c r="SIR38" s="48"/>
      <c r="SIS38" s="48"/>
      <c r="SIT38" s="48"/>
      <c r="SIU38" s="48"/>
      <c r="SIV38" s="48"/>
      <c r="SIW38" s="48"/>
      <c r="SIX38" s="48"/>
      <c r="SIY38" s="48"/>
      <c r="SIZ38" s="48"/>
      <c r="SJA38" s="48"/>
      <c r="SJB38" s="48"/>
      <c r="SJC38" s="48"/>
      <c r="SJD38" s="48"/>
      <c r="SJE38" s="45"/>
      <c r="SJF38" s="46"/>
      <c r="SJG38" s="46"/>
      <c r="SJH38" s="47"/>
      <c r="SJI38" s="48"/>
      <c r="SJJ38" s="48"/>
      <c r="SJK38" s="48"/>
      <c r="SJL38" s="48"/>
      <c r="SJM38" s="48"/>
      <c r="SJN38" s="48"/>
      <c r="SJO38" s="48"/>
      <c r="SJP38" s="48"/>
      <c r="SJQ38" s="48"/>
      <c r="SJR38" s="48"/>
      <c r="SJS38" s="48"/>
      <c r="SJT38" s="48"/>
      <c r="SJU38" s="48"/>
      <c r="SJV38" s="48"/>
      <c r="SJW38" s="48"/>
      <c r="SJX38" s="48"/>
      <c r="SJY38" s="48"/>
      <c r="SJZ38" s="48"/>
      <c r="SKA38" s="45"/>
      <c r="SKB38" s="46"/>
      <c r="SKC38" s="46"/>
      <c r="SKD38" s="47"/>
      <c r="SKE38" s="48"/>
      <c r="SKF38" s="48"/>
      <c r="SKG38" s="48"/>
      <c r="SKH38" s="48"/>
      <c r="SKI38" s="48"/>
      <c r="SKJ38" s="48"/>
      <c r="SKK38" s="48"/>
      <c r="SKL38" s="48"/>
      <c r="SKM38" s="48"/>
      <c r="SKN38" s="48"/>
      <c r="SKO38" s="48"/>
      <c r="SKP38" s="48"/>
      <c r="SKQ38" s="48"/>
      <c r="SKR38" s="48"/>
      <c r="SKS38" s="48"/>
      <c r="SKT38" s="48"/>
      <c r="SKU38" s="48"/>
      <c r="SKV38" s="48"/>
      <c r="SKW38" s="45"/>
      <c r="SKX38" s="46"/>
      <c r="SKY38" s="46"/>
      <c r="SKZ38" s="47"/>
      <c r="SLA38" s="48"/>
      <c r="SLB38" s="48"/>
      <c r="SLC38" s="48"/>
      <c r="SLD38" s="48"/>
      <c r="SLE38" s="48"/>
      <c r="SLF38" s="48"/>
      <c r="SLG38" s="48"/>
      <c r="SLH38" s="48"/>
      <c r="SLI38" s="48"/>
      <c r="SLJ38" s="48"/>
      <c r="SLK38" s="48"/>
      <c r="SLL38" s="48"/>
      <c r="SLM38" s="48"/>
      <c r="SLN38" s="48"/>
      <c r="SLO38" s="48"/>
      <c r="SLP38" s="48"/>
      <c r="SLQ38" s="48"/>
      <c r="SLR38" s="48"/>
      <c r="SLS38" s="45"/>
      <c r="SLT38" s="46"/>
      <c r="SLU38" s="46"/>
      <c r="SLV38" s="47"/>
      <c r="SLW38" s="48"/>
      <c r="SLX38" s="48"/>
      <c r="SLY38" s="48"/>
      <c r="SLZ38" s="48"/>
      <c r="SMA38" s="48"/>
      <c r="SMB38" s="48"/>
      <c r="SMC38" s="48"/>
      <c r="SMD38" s="48"/>
      <c r="SME38" s="48"/>
      <c r="SMF38" s="48"/>
      <c r="SMG38" s="48"/>
      <c r="SMH38" s="48"/>
      <c r="SMI38" s="48"/>
      <c r="SMJ38" s="48"/>
      <c r="SMK38" s="48"/>
      <c r="SML38" s="48"/>
      <c r="SMM38" s="48"/>
      <c r="SMN38" s="48"/>
      <c r="SMO38" s="45"/>
      <c r="SMP38" s="46"/>
      <c r="SMQ38" s="46"/>
      <c r="SMR38" s="47"/>
      <c r="SMS38" s="48"/>
      <c r="SMT38" s="48"/>
      <c r="SMU38" s="48"/>
      <c r="SMV38" s="48"/>
      <c r="SMW38" s="48"/>
      <c r="SMX38" s="48"/>
      <c r="SMY38" s="48"/>
      <c r="SMZ38" s="48"/>
      <c r="SNA38" s="48"/>
      <c r="SNB38" s="48"/>
      <c r="SNC38" s="48"/>
      <c r="SND38" s="48"/>
      <c r="SNE38" s="48"/>
      <c r="SNF38" s="48"/>
      <c r="SNG38" s="48"/>
      <c r="SNH38" s="48"/>
      <c r="SNI38" s="48"/>
      <c r="SNJ38" s="48"/>
      <c r="SNK38" s="45"/>
      <c r="SNL38" s="46"/>
      <c r="SNM38" s="46"/>
      <c r="SNN38" s="47"/>
      <c r="SNO38" s="48"/>
      <c r="SNP38" s="48"/>
      <c r="SNQ38" s="48"/>
      <c r="SNR38" s="48"/>
      <c r="SNS38" s="48"/>
      <c r="SNT38" s="48"/>
      <c r="SNU38" s="48"/>
      <c r="SNV38" s="48"/>
      <c r="SNW38" s="48"/>
      <c r="SNX38" s="48"/>
      <c r="SNY38" s="48"/>
      <c r="SNZ38" s="48"/>
      <c r="SOA38" s="48"/>
      <c r="SOB38" s="48"/>
      <c r="SOC38" s="48"/>
      <c r="SOD38" s="48"/>
      <c r="SOE38" s="48"/>
      <c r="SOF38" s="48"/>
      <c r="SOG38" s="45"/>
      <c r="SOH38" s="46"/>
      <c r="SOI38" s="46"/>
      <c r="SOJ38" s="47"/>
      <c r="SOK38" s="48"/>
      <c r="SOL38" s="48"/>
      <c r="SOM38" s="48"/>
      <c r="SON38" s="48"/>
      <c r="SOO38" s="48"/>
      <c r="SOP38" s="48"/>
      <c r="SOQ38" s="48"/>
      <c r="SOR38" s="48"/>
      <c r="SOS38" s="48"/>
      <c r="SOT38" s="48"/>
      <c r="SOU38" s="48"/>
      <c r="SOV38" s="48"/>
      <c r="SOW38" s="48"/>
      <c r="SOX38" s="48"/>
      <c r="SOY38" s="48"/>
      <c r="SOZ38" s="48"/>
      <c r="SPA38" s="48"/>
      <c r="SPB38" s="48"/>
      <c r="SPC38" s="45"/>
      <c r="SPD38" s="46"/>
      <c r="SPE38" s="46"/>
      <c r="SPF38" s="47"/>
      <c r="SPG38" s="48"/>
      <c r="SPH38" s="48"/>
      <c r="SPI38" s="48"/>
      <c r="SPJ38" s="48"/>
      <c r="SPK38" s="48"/>
      <c r="SPL38" s="48"/>
      <c r="SPM38" s="48"/>
      <c r="SPN38" s="48"/>
      <c r="SPO38" s="48"/>
      <c r="SPP38" s="48"/>
      <c r="SPQ38" s="48"/>
      <c r="SPR38" s="48"/>
      <c r="SPS38" s="48"/>
      <c r="SPT38" s="48"/>
      <c r="SPU38" s="48"/>
      <c r="SPV38" s="48"/>
      <c r="SPW38" s="48"/>
      <c r="SPX38" s="48"/>
      <c r="SPY38" s="45"/>
      <c r="SPZ38" s="46"/>
      <c r="SQA38" s="46"/>
      <c r="SQB38" s="47"/>
      <c r="SQC38" s="48"/>
      <c r="SQD38" s="48"/>
      <c r="SQE38" s="48"/>
      <c r="SQF38" s="48"/>
      <c r="SQG38" s="48"/>
      <c r="SQH38" s="48"/>
      <c r="SQI38" s="48"/>
      <c r="SQJ38" s="48"/>
      <c r="SQK38" s="48"/>
      <c r="SQL38" s="48"/>
      <c r="SQM38" s="48"/>
      <c r="SQN38" s="48"/>
      <c r="SQO38" s="48"/>
      <c r="SQP38" s="48"/>
      <c r="SQQ38" s="48"/>
      <c r="SQR38" s="48"/>
      <c r="SQS38" s="48"/>
      <c r="SQT38" s="48"/>
      <c r="SQU38" s="45"/>
      <c r="SQV38" s="46"/>
      <c r="SQW38" s="46"/>
      <c r="SQX38" s="47"/>
      <c r="SQY38" s="48"/>
      <c r="SQZ38" s="48"/>
      <c r="SRA38" s="48"/>
      <c r="SRB38" s="48"/>
      <c r="SRC38" s="48"/>
      <c r="SRD38" s="48"/>
      <c r="SRE38" s="48"/>
      <c r="SRF38" s="48"/>
      <c r="SRG38" s="48"/>
      <c r="SRH38" s="48"/>
      <c r="SRI38" s="48"/>
      <c r="SRJ38" s="48"/>
      <c r="SRK38" s="48"/>
      <c r="SRL38" s="48"/>
      <c r="SRM38" s="48"/>
      <c r="SRN38" s="48"/>
      <c r="SRO38" s="48"/>
      <c r="SRP38" s="48"/>
      <c r="SRQ38" s="45"/>
      <c r="SRR38" s="46"/>
      <c r="SRS38" s="46"/>
      <c r="SRT38" s="47"/>
      <c r="SRU38" s="48"/>
      <c r="SRV38" s="48"/>
      <c r="SRW38" s="48"/>
      <c r="SRX38" s="48"/>
      <c r="SRY38" s="48"/>
      <c r="SRZ38" s="48"/>
      <c r="SSA38" s="48"/>
      <c r="SSB38" s="48"/>
      <c r="SSC38" s="48"/>
      <c r="SSD38" s="48"/>
      <c r="SSE38" s="48"/>
      <c r="SSF38" s="48"/>
      <c r="SSG38" s="48"/>
      <c r="SSH38" s="48"/>
      <c r="SSI38" s="48"/>
      <c r="SSJ38" s="48"/>
      <c r="SSK38" s="48"/>
      <c r="SSL38" s="48"/>
      <c r="SSM38" s="45"/>
      <c r="SSN38" s="46"/>
      <c r="SSO38" s="46"/>
      <c r="SSP38" s="47"/>
      <c r="SSQ38" s="48"/>
      <c r="SSR38" s="48"/>
      <c r="SSS38" s="48"/>
      <c r="SST38" s="48"/>
      <c r="SSU38" s="48"/>
      <c r="SSV38" s="48"/>
      <c r="SSW38" s="48"/>
      <c r="SSX38" s="48"/>
      <c r="SSY38" s="48"/>
      <c r="SSZ38" s="48"/>
      <c r="STA38" s="48"/>
      <c r="STB38" s="48"/>
      <c r="STC38" s="48"/>
      <c r="STD38" s="48"/>
      <c r="STE38" s="48"/>
      <c r="STF38" s="48"/>
      <c r="STG38" s="48"/>
      <c r="STH38" s="48"/>
      <c r="STI38" s="45"/>
      <c r="STJ38" s="46"/>
      <c r="STK38" s="46"/>
      <c r="STL38" s="47"/>
      <c r="STM38" s="48"/>
      <c r="STN38" s="48"/>
      <c r="STO38" s="48"/>
      <c r="STP38" s="48"/>
      <c r="STQ38" s="48"/>
      <c r="STR38" s="48"/>
      <c r="STS38" s="48"/>
      <c r="STT38" s="48"/>
      <c r="STU38" s="48"/>
      <c r="STV38" s="48"/>
      <c r="STW38" s="48"/>
      <c r="STX38" s="48"/>
      <c r="STY38" s="48"/>
      <c r="STZ38" s="48"/>
      <c r="SUA38" s="48"/>
      <c r="SUB38" s="48"/>
      <c r="SUC38" s="48"/>
      <c r="SUD38" s="48"/>
      <c r="SUE38" s="45"/>
      <c r="SUF38" s="46"/>
      <c r="SUG38" s="46"/>
      <c r="SUH38" s="47"/>
      <c r="SUI38" s="48"/>
      <c r="SUJ38" s="48"/>
      <c r="SUK38" s="48"/>
      <c r="SUL38" s="48"/>
      <c r="SUM38" s="48"/>
      <c r="SUN38" s="48"/>
      <c r="SUO38" s="48"/>
      <c r="SUP38" s="48"/>
      <c r="SUQ38" s="48"/>
      <c r="SUR38" s="48"/>
      <c r="SUS38" s="48"/>
      <c r="SUT38" s="48"/>
      <c r="SUU38" s="48"/>
      <c r="SUV38" s="48"/>
      <c r="SUW38" s="48"/>
      <c r="SUX38" s="48"/>
      <c r="SUY38" s="48"/>
      <c r="SUZ38" s="48"/>
      <c r="SVA38" s="45"/>
      <c r="SVB38" s="46"/>
      <c r="SVC38" s="46"/>
      <c r="SVD38" s="47"/>
      <c r="SVE38" s="48"/>
      <c r="SVF38" s="48"/>
      <c r="SVG38" s="48"/>
      <c r="SVH38" s="48"/>
      <c r="SVI38" s="48"/>
      <c r="SVJ38" s="48"/>
      <c r="SVK38" s="48"/>
      <c r="SVL38" s="48"/>
      <c r="SVM38" s="48"/>
      <c r="SVN38" s="48"/>
      <c r="SVO38" s="48"/>
      <c r="SVP38" s="48"/>
      <c r="SVQ38" s="48"/>
      <c r="SVR38" s="48"/>
      <c r="SVS38" s="48"/>
      <c r="SVT38" s="48"/>
      <c r="SVU38" s="48"/>
      <c r="SVV38" s="48"/>
      <c r="SVW38" s="45"/>
      <c r="SVX38" s="46"/>
      <c r="SVY38" s="46"/>
      <c r="SVZ38" s="47"/>
      <c r="SWA38" s="48"/>
      <c r="SWB38" s="48"/>
      <c r="SWC38" s="48"/>
      <c r="SWD38" s="48"/>
      <c r="SWE38" s="48"/>
      <c r="SWF38" s="48"/>
      <c r="SWG38" s="48"/>
      <c r="SWH38" s="48"/>
      <c r="SWI38" s="48"/>
      <c r="SWJ38" s="48"/>
      <c r="SWK38" s="48"/>
      <c r="SWL38" s="48"/>
      <c r="SWM38" s="48"/>
      <c r="SWN38" s="48"/>
      <c r="SWO38" s="48"/>
      <c r="SWP38" s="48"/>
      <c r="SWQ38" s="48"/>
      <c r="SWR38" s="48"/>
      <c r="SWS38" s="45"/>
      <c r="SWT38" s="46"/>
      <c r="SWU38" s="46"/>
      <c r="SWV38" s="47"/>
      <c r="SWW38" s="48"/>
      <c r="SWX38" s="48"/>
      <c r="SWY38" s="48"/>
      <c r="SWZ38" s="48"/>
      <c r="SXA38" s="48"/>
      <c r="SXB38" s="48"/>
      <c r="SXC38" s="48"/>
      <c r="SXD38" s="48"/>
      <c r="SXE38" s="48"/>
      <c r="SXF38" s="48"/>
      <c r="SXG38" s="48"/>
      <c r="SXH38" s="48"/>
      <c r="SXI38" s="48"/>
      <c r="SXJ38" s="48"/>
      <c r="SXK38" s="48"/>
      <c r="SXL38" s="48"/>
      <c r="SXM38" s="48"/>
      <c r="SXN38" s="48"/>
      <c r="SXO38" s="45"/>
      <c r="SXP38" s="46"/>
      <c r="SXQ38" s="46"/>
      <c r="SXR38" s="47"/>
      <c r="SXS38" s="48"/>
      <c r="SXT38" s="48"/>
      <c r="SXU38" s="48"/>
      <c r="SXV38" s="48"/>
      <c r="SXW38" s="48"/>
      <c r="SXX38" s="48"/>
      <c r="SXY38" s="48"/>
      <c r="SXZ38" s="48"/>
      <c r="SYA38" s="48"/>
      <c r="SYB38" s="48"/>
      <c r="SYC38" s="48"/>
      <c r="SYD38" s="48"/>
      <c r="SYE38" s="48"/>
      <c r="SYF38" s="48"/>
      <c r="SYG38" s="48"/>
      <c r="SYH38" s="48"/>
      <c r="SYI38" s="48"/>
      <c r="SYJ38" s="48"/>
      <c r="SYK38" s="45"/>
      <c r="SYL38" s="46"/>
      <c r="SYM38" s="46"/>
      <c r="SYN38" s="47"/>
      <c r="SYO38" s="48"/>
      <c r="SYP38" s="48"/>
      <c r="SYQ38" s="48"/>
      <c r="SYR38" s="48"/>
      <c r="SYS38" s="48"/>
      <c r="SYT38" s="48"/>
      <c r="SYU38" s="48"/>
      <c r="SYV38" s="48"/>
      <c r="SYW38" s="48"/>
      <c r="SYX38" s="48"/>
      <c r="SYY38" s="48"/>
      <c r="SYZ38" s="48"/>
      <c r="SZA38" s="48"/>
      <c r="SZB38" s="48"/>
      <c r="SZC38" s="48"/>
      <c r="SZD38" s="48"/>
      <c r="SZE38" s="48"/>
      <c r="SZF38" s="48"/>
      <c r="SZG38" s="45"/>
      <c r="SZH38" s="46"/>
      <c r="SZI38" s="46"/>
      <c r="SZJ38" s="47"/>
      <c r="SZK38" s="48"/>
      <c r="SZL38" s="48"/>
      <c r="SZM38" s="48"/>
      <c r="SZN38" s="48"/>
      <c r="SZO38" s="48"/>
      <c r="SZP38" s="48"/>
      <c r="SZQ38" s="48"/>
      <c r="SZR38" s="48"/>
      <c r="SZS38" s="48"/>
      <c r="SZT38" s="48"/>
      <c r="SZU38" s="48"/>
      <c r="SZV38" s="48"/>
      <c r="SZW38" s="48"/>
      <c r="SZX38" s="48"/>
      <c r="SZY38" s="48"/>
      <c r="SZZ38" s="48"/>
      <c r="TAA38" s="48"/>
      <c r="TAB38" s="48"/>
      <c r="TAC38" s="45"/>
      <c r="TAD38" s="46"/>
      <c r="TAE38" s="46"/>
      <c r="TAF38" s="47"/>
      <c r="TAG38" s="48"/>
      <c r="TAH38" s="48"/>
      <c r="TAI38" s="48"/>
      <c r="TAJ38" s="48"/>
      <c r="TAK38" s="48"/>
      <c r="TAL38" s="48"/>
      <c r="TAM38" s="48"/>
      <c r="TAN38" s="48"/>
      <c r="TAO38" s="48"/>
      <c r="TAP38" s="48"/>
      <c r="TAQ38" s="48"/>
      <c r="TAR38" s="48"/>
      <c r="TAS38" s="48"/>
      <c r="TAT38" s="48"/>
      <c r="TAU38" s="48"/>
      <c r="TAV38" s="48"/>
      <c r="TAW38" s="48"/>
      <c r="TAX38" s="48"/>
      <c r="TAY38" s="45"/>
      <c r="TAZ38" s="46"/>
      <c r="TBA38" s="46"/>
      <c r="TBB38" s="47"/>
      <c r="TBC38" s="48"/>
      <c r="TBD38" s="48"/>
      <c r="TBE38" s="48"/>
      <c r="TBF38" s="48"/>
      <c r="TBG38" s="48"/>
      <c r="TBH38" s="48"/>
      <c r="TBI38" s="48"/>
      <c r="TBJ38" s="48"/>
      <c r="TBK38" s="48"/>
      <c r="TBL38" s="48"/>
      <c r="TBM38" s="48"/>
      <c r="TBN38" s="48"/>
      <c r="TBO38" s="48"/>
      <c r="TBP38" s="48"/>
      <c r="TBQ38" s="48"/>
      <c r="TBR38" s="48"/>
      <c r="TBS38" s="48"/>
      <c r="TBT38" s="48"/>
      <c r="TBU38" s="45"/>
      <c r="TBV38" s="46"/>
      <c r="TBW38" s="46"/>
      <c r="TBX38" s="47"/>
      <c r="TBY38" s="48"/>
      <c r="TBZ38" s="48"/>
      <c r="TCA38" s="48"/>
      <c r="TCB38" s="48"/>
      <c r="TCC38" s="48"/>
      <c r="TCD38" s="48"/>
      <c r="TCE38" s="48"/>
      <c r="TCF38" s="48"/>
      <c r="TCG38" s="48"/>
      <c r="TCH38" s="48"/>
      <c r="TCI38" s="48"/>
      <c r="TCJ38" s="48"/>
      <c r="TCK38" s="48"/>
      <c r="TCL38" s="48"/>
      <c r="TCM38" s="48"/>
      <c r="TCN38" s="48"/>
      <c r="TCO38" s="48"/>
      <c r="TCP38" s="48"/>
      <c r="TCQ38" s="45"/>
      <c r="TCR38" s="46"/>
      <c r="TCS38" s="46"/>
      <c r="TCT38" s="47"/>
      <c r="TCU38" s="48"/>
      <c r="TCV38" s="48"/>
      <c r="TCW38" s="48"/>
      <c r="TCX38" s="48"/>
      <c r="TCY38" s="48"/>
      <c r="TCZ38" s="48"/>
      <c r="TDA38" s="48"/>
      <c r="TDB38" s="48"/>
      <c r="TDC38" s="48"/>
      <c r="TDD38" s="48"/>
      <c r="TDE38" s="48"/>
      <c r="TDF38" s="48"/>
      <c r="TDG38" s="48"/>
      <c r="TDH38" s="48"/>
      <c r="TDI38" s="48"/>
      <c r="TDJ38" s="48"/>
      <c r="TDK38" s="48"/>
      <c r="TDL38" s="48"/>
      <c r="TDM38" s="45"/>
      <c r="TDN38" s="46"/>
      <c r="TDO38" s="46"/>
      <c r="TDP38" s="47"/>
      <c r="TDQ38" s="48"/>
      <c r="TDR38" s="48"/>
      <c r="TDS38" s="48"/>
      <c r="TDT38" s="48"/>
      <c r="TDU38" s="48"/>
      <c r="TDV38" s="48"/>
      <c r="TDW38" s="48"/>
      <c r="TDX38" s="48"/>
      <c r="TDY38" s="48"/>
      <c r="TDZ38" s="48"/>
      <c r="TEA38" s="48"/>
      <c r="TEB38" s="48"/>
      <c r="TEC38" s="48"/>
      <c r="TED38" s="48"/>
      <c r="TEE38" s="48"/>
      <c r="TEF38" s="48"/>
      <c r="TEG38" s="48"/>
      <c r="TEH38" s="48"/>
      <c r="TEI38" s="45"/>
      <c r="TEJ38" s="46"/>
      <c r="TEK38" s="46"/>
      <c r="TEL38" s="47"/>
      <c r="TEM38" s="48"/>
      <c r="TEN38" s="48"/>
      <c r="TEO38" s="48"/>
      <c r="TEP38" s="48"/>
      <c r="TEQ38" s="48"/>
      <c r="TER38" s="48"/>
      <c r="TES38" s="48"/>
      <c r="TET38" s="48"/>
      <c r="TEU38" s="48"/>
      <c r="TEV38" s="48"/>
      <c r="TEW38" s="48"/>
      <c r="TEX38" s="48"/>
      <c r="TEY38" s="48"/>
      <c r="TEZ38" s="48"/>
      <c r="TFA38" s="48"/>
      <c r="TFB38" s="48"/>
      <c r="TFC38" s="48"/>
      <c r="TFD38" s="48"/>
      <c r="TFE38" s="45"/>
      <c r="TFF38" s="46"/>
      <c r="TFG38" s="46"/>
      <c r="TFH38" s="47"/>
      <c r="TFI38" s="48"/>
      <c r="TFJ38" s="48"/>
      <c r="TFK38" s="48"/>
      <c r="TFL38" s="48"/>
      <c r="TFM38" s="48"/>
      <c r="TFN38" s="48"/>
      <c r="TFO38" s="48"/>
      <c r="TFP38" s="48"/>
      <c r="TFQ38" s="48"/>
      <c r="TFR38" s="48"/>
      <c r="TFS38" s="48"/>
      <c r="TFT38" s="48"/>
      <c r="TFU38" s="48"/>
      <c r="TFV38" s="48"/>
      <c r="TFW38" s="48"/>
      <c r="TFX38" s="48"/>
      <c r="TFY38" s="48"/>
      <c r="TFZ38" s="48"/>
      <c r="TGA38" s="45"/>
      <c r="TGB38" s="46"/>
      <c r="TGC38" s="46"/>
      <c r="TGD38" s="47"/>
      <c r="TGE38" s="48"/>
      <c r="TGF38" s="48"/>
      <c r="TGG38" s="48"/>
      <c r="TGH38" s="48"/>
      <c r="TGI38" s="48"/>
      <c r="TGJ38" s="48"/>
      <c r="TGK38" s="48"/>
      <c r="TGL38" s="48"/>
      <c r="TGM38" s="48"/>
      <c r="TGN38" s="48"/>
      <c r="TGO38" s="48"/>
      <c r="TGP38" s="48"/>
      <c r="TGQ38" s="48"/>
      <c r="TGR38" s="48"/>
      <c r="TGS38" s="48"/>
      <c r="TGT38" s="48"/>
      <c r="TGU38" s="48"/>
      <c r="TGV38" s="48"/>
      <c r="TGW38" s="45"/>
      <c r="TGX38" s="46"/>
      <c r="TGY38" s="46"/>
      <c r="TGZ38" s="47"/>
      <c r="THA38" s="48"/>
      <c r="THB38" s="48"/>
      <c r="THC38" s="48"/>
      <c r="THD38" s="48"/>
      <c r="THE38" s="48"/>
      <c r="THF38" s="48"/>
      <c r="THG38" s="48"/>
      <c r="THH38" s="48"/>
      <c r="THI38" s="48"/>
      <c r="THJ38" s="48"/>
      <c r="THK38" s="48"/>
      <c r="THL38" s="48"/>
      <c r="THM38" s="48"/>
      <c r="THN38" s="48"/>
      <c r="THO38" s="48"/>
      <c r="THP38" s="48"/>
      <c r="THQ38" s="48"/>
      <c r="THR38" s="48"/>
      <c r="THS38" s="45"/>
      <c r="THT38" s="46"/>
      <c r="THU38" s="46"/>
      <c r="THV38" s="47"/>
      <c r="THW38" s="48"/>
      <c r="THX38" s="48"/>
      <c r="THY38" s="48"/>
      <c r="THZ38" s="48"/>
      <c r="TIA38" s="48"/>
      <c r="TIB38" s="48"/>
      <c r="TIC38" s="48"/>
      <c r="TID38" s="48"/>
      <c r="TIE38" s="48"/>
      <c r="TIF38" s="48"/>
      <c r="TIG38" s="48"/>
      <c r="TIH38" s="48"/>
      <c r="TII38" s="48"/>
      <c r="TIJ38" s="48"/>
      <c r="TIK38" s="48"/>
      <c r="TIL38" s="48"/>
      <c r="TIM38" s="48"/>
      <c r="TIN38" s="48"/>
      <c r="TIO38" s="45"/>
      <c r="TIP38" s="46"/>
      <c r="TIQ38" s="46"/>
      <c r="TIR38" s="47"/>
      <c r="TIS38" s="48"/>
      <c r="TIT38" s="48"/>
      <c r="TIU38" s="48"/>
      <c r="TIV38" s="48"/>
      <c r="TIW38" s="48"/>
      <c r="TIX38" s="48"/>
      <c r="TIY38" s="48"/>
      <c r="TIZ38" s="48"/>
      <c r="TJA38" s="48"/>
      <c r="TJB38" s="48"/>
      <c r="TJC38" s="48"/>
      <c r="TJD38" s="48"/>
      <c r="TJE38" s="48"/>
      <c r="TJF38" s="48"/>
      <c r="TJG38" s="48"/>
      <c r="TJH38" s="48"/>
      <c r="TJI38" s="48"/>
      <c r="TJJ38" s="48"/>
      <c r="TJK38" s="45"/>
      <c r="TJL38" s="46"/>
      <c r="TJM38" s="46"/>
      <c r="TJN38" s="47"/>
      <c r="TJO38" s="48"/>
      <c r="TJP38" s="48"/>
      <c r="TJQ38" s="48"/>
      <c r="TJR38" s="48"/>
      <c r="TJS38" s="48"/>
      <c r="TJT38" s="48"/>
      <c r="TJU38" s="48"/>
      <c r="TJV38" s="48"/>
      <c r="TJW38" s="48"/>
      <c r="TJX38" s="48"/>
      <c r="TJY38" s="48"/>
      <c r="TJZ38" s="48"/>
      <c r="TKA38" s="48"/>
      <c r="TKB38" s="48"/>
      <c r="TKC38" s="48"/>
      <c r="TKD38" s="48"/>
      <c r="TKE38" s="48"/>
      <c r="TKF38" s="48"/>
      <c r="TKG38" s="45"/>
      <c r="TKH38" s="46"/>
      <c r="TKI38" s="46"/>
      <c r="TKJ38" s="47"/>
      <c r="TKK38" s="48"/>
      <c r="TKL38" s="48"/>
      <c r="TKM38" s="48"/>
      <c r="TKN38" s="48"/>
      <c r="TKO38" s="48"/>
      <c r="TKP38" s="48"/>
      <c r="TKQ38" s="48"/>
      <c r="TKR38" s="48"/>
      <c r="TKS38" s="48"/>
      <c r="TKT38" s="48"/>
      <c r="TKU38" s="48"/>
      <c r="TKV38" s="48"/>
      <c r="TKW38" s="48"/>
      <c r="TKX38" s="48"/>
      <c r="TKY38" s="48"/>
      <c r="TKZ38" s="48"/>
      <c r="TLA38" s="48"/>
      <c r="TLB38" s="48"/>
      <c r="TLC38" s="45"/>
      <c r="TLD38" s="46"/>
      <c r="TLE38" s="46"/>
      <c r="TLF38" s="47"/>
      <c r="TLG38" s="48"/>
      <c r="TLH38" s="48"/>
      <c r="TLI38" s="48"/>
      <c r="TLJ38" s="48"/>
      <c r="TLK38" s="48"/>
      <c r="TLL38" s="48"/>
      <c r="TLM38" s="48"/>
      <c r="TLN38" s="48"/>
      <c r="TLO38" s="48"/>
      <c r="TLP38" s="48"/>
      <c r="TLQ38" s="48"/>
      <c r="TLR38" s="48"/>
      <c r="TLS38" s="48"/>
      <c r="TLT38" s="48"/>
      <c r="TLU38" s="48"/>
      <c r="TLV38" s="48"/>
      <c r="TLW38" s="48"/>
      <c r="TLX38" s="48"/>
      <c r="TLY38" s="45"/>
      <c r="TLZ38" s="46"/>
      <c r="TMA38" s="46"/>
      <c r="TMB38" s="47"/>
      <c r="TMC38" s="48"/>
      <c r="TMD38" s="48"/>
      <c r="TME38" s="48"/>
      <c r="TMF38" s="48"/>
      <c r="TMG38" s="48"/>
      <c r="TMH38" s="48"/>
      <c r="TMI38" s="48"/>
      <c r="TMJ38" s="48"/>
      <c r="TMK38" s="48"/>
      <c r="TML38" s="48"/>
      <c r="TMM38" s="48"/>
      <c r="TMN38" s="48"/>
      <c r="TMO38" s="48"/>
      <c r="TMP38" s="48"/>
      <c r="TMQ38" s="48"/>
      <c r="TMR38" s="48"/>
      <c r="TMS38" s="48"/>
      <c r="TMT38" s="48"/>
      <c r="TMU38" s="45"/>
      <c r="TMV38" s="46"/>
      <c r="TMW38" s="46"/>
      <c r="TMX38" s="47"/>
      <c r="TMY38" s="48"/>
      <c r="TMZ38" s="48"/>
      <c r="TNA38" s="48"/>
      <c r="TNB38" s="48"/>
      <c r="TNC38" s="48"/>
      <c r="TND38" s="48"/>
      <c r="TNE38" s="48"/>
      <c r="TNF38" s="48"/>
      <c r="TNG38" s="48"/>
      <c r="TNH38" s="48"/>
      <c r="TNI38" s="48"/>
      <c r="TNJ38" s="48"/>
      <c r="TNK38" s="48"/>
      <c r="TNL38" s="48"/>
      <c r="TNM38" s="48"/>
      <c r="TNN38" s="48"/>
      <c r="TNO38" s="48"/>
      <c r="TNP38" s="48"/>
      <c r="TNQ38" s="45"/>
      <c r="TNR38" s="46"/>
      <c r="TNS38" s="46"/>
      <c r="TNT38" s="47"/>
      <c r="TNU38" s="48"/>
      <c r="TNV38" s="48"/>
      <c r="TNW38" s="48"/>
      <c r="TNX38" s="48"/>
      <c r="TNY38" s="48"/>
      <c r="TNZ38" s="48"/>
      <c r="TOA38" s="48"/>
      <c r="TOB38" s="48"/>
      <c r="TOC38" s="48"/>
      <c r="TOD38" s="48"/>
      <c r="TOE38" s="48"/>
      <c r="TOF38" s="48"/>
      <c r="TOG38" s="48"/>
      <c r="TOH38" s="48"/>
      <c r="TOI38" s="48"/>
      <c r="TOJ38" s="48"/>
      <c r="TOK38" s="48"/>
      <c r="TOL38" s="48"/>
      <c r="TOM38" s="45"/>
      <c r="TON38" s="46"/>
      <c r="TOO38" s="46"/>
      <c r="TOP38" s="47"/>
      <c r="TOQ38" s="48"/>
      <c r="TOR38" s="48"/>
      <c r="TOS38" s="48"/>
      <c r="TOT38" s="48"/>
      <c r="TOU38" s="48"/>
      <c r="TOV38" s="48"/>
      <c r="TOW38" s="48"/>
      <c r="TOX38" s="48"/>
      <c r="TOY38" s="48"/>
      <c r="TOZ38" s="48"/>
      <c r="TPA38" s="48"/>
      <c r="TPB38" s="48"/>
      <c r="TPC38" s="48"/>
      <c r="TPD38" s="48"/>
      <c r="TPE38" s="48"/>
      <c r="TPF38" s="48"/>
      <c r="TPG38" s="48"/>
      <c r="TPH38" s="48"/>
      <c r="TPI38" s="45"/>
      <c r="TPJ38" s="46"/>
      <c r="TPK38" s="46"/>
      <c r="TPL38" s="47"/>
      <c r="TPM38" s="48"/>
      <c r="TPN38" s="48"/>
      <c r="TPO38" s="48"/>
      <c r="TPP38" s="48"/>
      <c r="TPQ38" s="48"/>
      <c r="TPR38" s="48"/>
      <c r="TPS38" s="48"/>
      <c r="TPT38" s="48"/>
      <c r="TPU38" s="48"/>
      <c r="TPV38" s="48"/>
      <c r="TPW38" s="48"/>
      <c r="TPX38" s="48"/>
      <c r="TPY38" s="48"/>
      <c r="TPZ38" s="48"/>
      <c r="TQA38" s="48"/>
      <c r="TQB38" s="48"/>
      <c r="TQC38" s="48"/>
      <c r="TQD38" s="48"/>
      <c r="TQE38" s="45"/>
      <c r="TQF38" s="46"/>
      <c r="TQG38" s="46"/>
      <c r="TQH38" s="47"/>
      <c r="TQI38" s="48"/>
      <c r="TQJ38" s="48"/>
      <c r="TQK38" s="48"/>
      <c r="TQL38" s="48"/>
      <c r="TQM38" s="48"/>
      <c r="TQN38" s="48"/>
      <c r="TQO38" s="48"/>
      <c r="TQP38" s="48"/>
      <c r="TQQ38" s="48"/>
      <c r="TQR38" s="48"/>
      <c r="TQS38" s="48"/>
      <c r="TQT38" s="48"/>
      <c r="TQU38" s="48"/>
      <c r="TQV38" s="48"/>
      <c r="TQW38" s="48"/>
      <c r="TQX38" s="48"/>
      <c r="TQY38" s="48"/>
      <c r="TQZ38" s="48"/>
      <c r="TRA38" s="45"/>
      <c r="TRB38" s="46"/>
      <c r="TRC38" s="46"/>
      <c r="TRD38" s="47"/>
      <c r="TRE38" s="48"/>
      <c r="TRF38" s="48"/>
      <c r="TRG38" s="48"/>
      <c r="TRH38" s="48"/>
      <c r="TRI38" s="48"/>
      <c r="TRJ38" s="48"/>
      <c r="TRK38" s="48"/>
      <c r="TRL38" s="48"/>
      <c r="TRM38" s="48"/>
      <c r="TRN38" s="48"/>
      <c r="TRO38" s="48"/>
      <c r="TRP38" s="48"/>
      <c r="TRQ38" s="48"/>
      <c r="TRR38" s="48"/>
      <c r="TRS38" s="48"/>
      <c r="TRT38" s="48"/>
      <c r="TRU38" s="48"/>
      <c r="TRV38" s="48"/>
      <c r="TRW38" s="45"/>
      <c r="TRX38" s="46"/>
      <c r="TRY38" s="46"/>
      <c r="TRZ38" s="47"/>
      <c r="TSA38" s="48"/>
      <c r="TSB38" s="48"/>
      <c r="TSC38" s="48"/>
      <c r="TSD38" s="48"/>
      <c r="TSE38" s="48"/>
      <c r="TSF38" s="48"/>
      <c r="TSG38" s="48"/>
      <c r="TSH38" s="48"/>
      <c r="TSI38" s="48"/>
      <c r="TSJ38" s="48"/>
      <c r="TSK38" s="48"/>
      <c r="TSL38" s="48"/>
      <c r="TSM38" s="48"/>
      <c r="TSN38" s="48"/>
      <c r="TSO38" s="48"/>
      <c r="TSP38" s="48"/>
      <c r="TSQ38" s="48"/>
      <c r="TSR38" s="48"/>
      <c r="TSS38" s="45"/>
      <c r="TST38" s="46"/>
      <c r="TSU38" s="46"/>
      <c r="TSV38" s="47"/>
      <c r="TSW38" s="48"/>
      <c r="TSX38" s="48"/>
      <c r="TSY38" s="48"/>
      <c r="TSZ38" s="48"/>
      <c r="TTA38" s="48"/>
      <c r="TTB38" s="48"/>
      <c r="TTC38" s="48"/>
      <c r="TTD38" s="48"/>
      <c r="TTE38" s="48"/>
      <c r="TTF38" s="48"/>
      <c r="TTG38" s="48"/>
      <c r="TTH38" s="48"/>
      <c r="TTI38" s="48"/>
      <c r="TTJ38" s="48"/>
      <c r="TTK38" s="48"/>
      <c r="TTL38" s="48"/>
      <c r="TTM38" s="48"/>
      <c r="TTN38" s="48"/>
      <c r="TTO38" s="45"/>
      <c r="TTP38" s="46"/>
      <c r="TTQ38" s="46"/>
      <c r="TTR38" s="47"/>
      <c r="TTS38" s="48"/>
      <c r="TTT38" s="48"/>
      <c r="TTU38" s="48"/>
      <c r="TTV38" s="48"/>
      <c r="TTW38" s="48"/>
      <c r="TTX38" s="48"/>
      <c r="TTY38" s="48"/>
      <c r="TTZ38" s="48"/>
      <c r="TUA38" s="48"/>
      <c r="TUB38" s="48"/>
      <c r="TUC38" s="48"/>
      <c r="TUD38" s="48"/>
      <c r="TUE38" s="48"/>
      <c r="TUF38" s="48"/>
      <c r="TUG38" s="48"/>
      <c r="TUH38" s="48"/>
      <c r="TUI38" s="48"/>
      <c r="TUJ38" s="48"/>
      <c r="TUK38" s="45"/>
      <c r="TUL38" s="46"/>
      <c r="TUM38" s="46"/>
      <c r="TUN38" s="47"/>
      <c r="TUO38" s="48"/>
      <c r="TUP38" s="48"/>
      <c r="TUQ38" s="48"/>
      <c r="TUR38" s="48"/>
      <c r="TUS38" s="48"/>
      <c r="TUT38" s="48"/>
      <c r="TUU38" s="48"/>
      <c r="TUV38" s="48"/>
      <c r="TUW38" s="48"/>
      <c r="TUX38" s="48"/>
      <c r="TUY38" s="48"/>
      <c r="TUZ38" s="48"/>
      <c r="TVA38" s="48"/>
      <c r="TVB38" s="48"/>
      <c r="TVC38" s="48"/>
      <c r="TVD38" s="48"/>
      <c r="TVE38" s="48"/>
      <c r="TVF38" s="48"/>
      <c r="TVG38" s="45"/>
      <c r="TVH38" s="46"/>
      <c r="TVI38" s="46"/>
      <c r="TVJ38" s="47"/>
      <c r="TVK38" s="48"/>
      <c r="TVL38" s="48"/>
      <c r="TVM38" s="48"/>
      <c r="TVN38" s="48"/>
      <c r="TVO38" s="48"/>
      <c r="TVP38" s="48"/>
      <c r="TVQ38" s="48"/>
      <c r="TVR38" s="48"/>
      <c r="TVS38" s="48"/>
      <c r="TVT38" s="48"/>
      <c r="TVU38" s="48"/>
      <c r="TVV38" s="48"/>
      <c r="TVW38" s="48"/>
      <c r="TVX38" s="48"/>
      <c r="TVY38" s="48"/>
      <c r="TVZ38" s="48"/>
      <c r="TWA38" s="48"/>
      <c r="TWB38" s="48"/>
      <c r="TWC38" s="45"/>
      <c r="TWD38" s="46"/>
      <c r="TWE38" s="46"/>
      <c r="TWF38" s="47"/>
      <c r="TWG38" s="48"/>
      <c r="TWH38" s="48"/>
      <c r="TWI38" s="48"/>
      <c r="TWJ38" s="48"/>
      <c r="TWK38" s="48"/>
      <c r="TWL38" s="48"/>
      <c r="TWM38" s="48"/>
      <c r="TWN38" s="48"/>
      <c r="TWO38" s="48"/>
      <c r="TWP38" s="48"/>
      <c r="TWQ38" s="48"/>
      <c r="TWR38" s="48"/>
      <c r="TWS38" s="48"/>
      <c r="TWT38" s="48"/>
      <c r="TWU38" s="48"/>
      <c r="TWV38" s="48"/>
      <c r="TWW38" s="48"/>
      <c r="TWX38" s="48"/>
      <c r="TWY38" s="45"/>
      <c r="TWZ38" s="46"/>
      <c r="TXA38" s="46"/>
      <c r="TXB38" s="47"/>
      <c r="TXC38" s="48"/>
      <c r="TXD38" s="48"/>
      <c r="TXE38" s="48"/>
      <c r="TXF38" s="48"/>
      <c r="TXG38" s="48"/>
      <c r="TXH38" s="48"/>
      <c r="TXI38" s="48"/>
      <c r="TXJ38" s="48"/>
      <c r="TXK38" s="48"/>
      <c r="TXL38" s="48"/>
      <c r="TXM38" s="48"/>
      <c r="TXN38" s="48"/>
      <c r="TXO38" s="48"/>
      <c r="TXP38" s="48"/>
      <c r="TXQ38" s="48"/>
      <c r="TXR38" s="48"/>
      <c r="TXS38" s="48"/>
      <c r="TXT38" s="48"/>
      <c r="TXU38" s="45"/>
      <c r="TXV38" s="46"/>
      <c r="TXW38" s="46"/>
      <c r="TXX38" s="47"/>
      <c r="TXY38" s="48"/>
      <c r="TXZ38" s="48"/>
      <c r="TYA38" s="48"/>
      <c r="TYB38" s="48"/>
      <c r="TYC38" s="48"/>
      <c r="TYD38" s="48"/>
      <c r="TYE38" s="48"/>
      <c r="TYF38" s="48"/>
      <c r="TYG38" s="48"/>
      <c r="TYH38" s="48"/>
      <c r="TYI38" s="48"/>
      <c r="TYJ38" s="48"/>
      <c r="TYK38" s="48"/>
      <c r="TYL38" s="48"/>
      <c r="TYM38" s="48"/>
      <c r="TYN38" s="48"/>
      <c r="TYO38" s="48"/>
      <c r="TYP38" s="48"/>
      <c r="TYQ38" s="45"/>
      <c r="TYR38" s="46"/>
      <c r="TYS38" s="46"/>
      <c r="TYT38" s="47"/>
      <c r="TYU38" s="48"/>
      <c r="TYV38" s="48"/>
      <c r="TYW38" s="48"/>
      <c r="TYX38" s="48"/>
      <c r="TYY38" s="48"/>
      <c r="TYZ38" s="48"/>
      <c r="TZA38" s="48"/>
      <c r="TZB38" s="48"/>
      <c r="TZC38" s="48"/>
      <c r="TZD38" s="48"/>
      <c r="TZE38" s="48"/>
      <c r="TZF38" s="48"/>
      <c r="TZG38" s="48"/>
      <c r="TZH38" s="48"/>
      <c r="TZI38" s="48"/>
      <c r="TZJ38" s="48"/>
      <c r="TZK38" s="48"/>
      <c r="TZL38" s="48"/>
      <c r="TZM38" s="45"/>
      <c r="TZN38" s="46"/>
      <c r="TZO38" s="46"/>
      <c r="TZP38" s="47"/>
      <c r="TZQ38" s="48"/>
      <c r="TZR38" s="48"/>
      <c r="TZS38" s="48"/>
      <c r="TZT38" s="48"/>
      <c r="TZU38" s="48"/>
      <c r="TZV38" s="48"/>
      <c r="TZW38" s="48"/>
      <c r="TZX38" s="48"/>
      <c r="TZY38" s="48"/>
      <c r="TZZ38" s="48"/>
      <c r="UAA38" s="48"/>
      <c r="UAB38" s="48"/>
      <c r="UAC38" s="48"/>
      <c r="UAD38" s="48"/>
      <c r="UAE38" s="48"/>
      <c r="UAF38" s="48"/>
      <c r="UAG38" s="48"/>
      <c r="UAH38" s="48"/>
      <c r="UAI38" s="45"/>
      <c r="UAJ38" s="46"/>
      <c r="UAK38" s="46"/>
      <c r="UAL38" s="47"/>
      <c r="UAM38" s="48"/>
      <c r="UAN38" s="48"/>
      <c r="UAO38" s="48"/>
      <c r="UAP38" s="48"/>
      <c r="UAQ38" s="48"/>
      <c r="UAR38" s="48"/>
      <c r="UAS38" s="48"/>
      <c r="UAT38" s="48"/>
      <c r="UAU38" s="48"/>
      <c r="UAV38" s="48"/>
      <c r="UAW38" s="48"/>
      <c r="UAX38" s="48"/>
      <c r="UAY38" s="48"/>
      <c r="UAZ38" s="48"/>
      <c r="UBA38" s="48"/>
      <c r="UBB38" s="48"/>
      <c r="UBC38" s="48"/>
      <c r="UBD38" s="48"/>
      <c r="UBE38" s="45"/>
      <c r="UBF38" s="46"/>
      <c r="UBG38" s="46"/>
      <c r="UBH38" s="47"/>
      <c r="UBI38" s="48"/>
      <c r="UBJ38" s="48"/>
      <c r="UBK38" s="48"/>
      <c r="UBL38" s="48"/>
      <c r="UBM38" s="48"/>
      <c r="UBN38" s="48"/>
      <c r="UBO38" s="48"/>
      <c r="UBP38" s="48"/>
      <c r="UBQ38" s="48"/>
      <c r="UBR38" s="48"/>
      <c r="UBS38" s="48"/>
      <c r="UBT38" s="48"/>
      <c r="UBU38" s="48"/>
      <c r="UBV38" s="48"/>
      <c r="UBW38" s="48"/>
      <c r="UBX38" s="48"/>
      <c r="UBY38" s="48"/>
      <c r="UBZ38" s="48"/>
      <c r="UCA38" s="45"/>
      <c r="UCB38" s="46"/>
      <c r="UCC38" s="46"/>
      <c r="UCD38" s="47"/>
      <c r="UCE38" s="48"/>
      <c r="UCF38" s="48"/>
      <c r="UCG38" s="48"/>
      <c r="UCH38" s="48"/>
      <c r="UCI38" s="48"/>
      <c r="UCJ38" s="48"/>
      <c r="UCK38" s="48"/>
      <c r="UCL38" s="48"/>
      <c r="UCM38" s="48"/>
      <c r="UCN38" s="48"/>
      <c r="UCO38" s="48"/>
      <c r="UCP38" s="48"/>
      <c r="UCQ38" s="48"/>
      <c r="UCR38" s="48"/>
      <c r="UCS38" s="48"/>
      <c r="UCT38" s="48"/>
      <c r="UCU38" s="48"/>
      <c r="UCV38" s="48"/>
      <c r="UCW38" s="45"/>
      <c r="UCX38" s="46"/>
      <c r="UCY38" s="46"/>
      <c r="UCZ38" s="47"/>
      <c r="UDA38" s="48"/>
      <c r="UDB38" s="48"/>
      <c r="UDC38" s="48"/>
      <c r="UDD38" s="48"/>
      <c r="UDE38" s="48"/>
      <c r="UDF38" s="48"/>
      <c r="UDG38" s="48"/>
      <c r="UDH38" s="48"/>
      <c r="UDI38" s="48"/>
      <c r="UDJ38" s="48"/>
      <c r="UDK38" s="48"/>
      <c r="UDL38" s="48"/>
      <c r="UDM38" s="48"/>
      <c r="UDN38" s="48"/>
      <c r="UDO38" s="48"/>
      <c r="UDP38" s="48"/>
      <c r="UDQ38" s="48"/>
      <c r="UDR38" s="48"/>
      <c r="UDS38" s="45"/>
      <c r="UDT38" s="46"/>
      <c r="UDU38" s="46"/>
      <c r="UDV38" s="47"/>
      <c r="UDW38" s="48"/>
      <c r="UDX38" s="48"/>
      <c r="UDY38" s="48"/>
      <c r="UDZ38" s="48"/>
      <c r="UEA38" s="48"/>
      <c r="UEB38" s="48"/>
      <c r="UEC38" s="48"/>
      <c r="UED38" s="48"/>
      <c r="UEE38" s="48"/>
      <c r="UEF38" s="48"/>
      <c r="UEG38" s="48"/>
      <c r="UEH38" s="48"/>
      <c r="UEI38" s="48"/>
      <c r="UEJ38" s="48"/>
      <c r="UEK38" s="48"/>
      <c r="UEL38" s="48"/>
      <c r="UEM38" s="48"/>
      <c r="UEN38" s="48"/>
      <c r="UEO38" s="45"/>
      <c r="UEP38" s="46"/>
      <c r="UEQ38" s="46"/>
      <c r="UER38" s="47"/>
      <c r="UES38" s="48"/>
      <c r="UET38" s="48"/>
      <c r="UEU38" s="48"/>
      <c r="UEV38" s="48"/>
      <c r="UEW38" s="48"/>
      <c r="UEX38" s="48"/>
      <c r="UEY38" s="48"/>
      <c r="UEZ38" s="48"/>
      <c r="UFA38" s="48"/>
      <c r="UFB38" s="48"/>
      <c r="UFC38" s="48"/>
      <c r="UFD38" s="48"/>
      <c r="UFE38" s="48"/>
      <c r="UFF38" s="48"/>
      <c r="UFG38" s="48"/>
      <c r="UFH38" s="48"/>
      <c r="UFI38" s="48"/>
      <c r="UFJ38" s="48"/>
      <c r="UFK38" s="45"/>
      <c r="UFL38" s="46"/>
      <c r="UFM38" s="46"/>
      <c r="UFN38" s="47"/>
      <c r="UFO38" s="48"/>
      <c r="UFP38" s="48"/>
      <c r="UFQ38" s="48"/>
      <c r="UFR38" s="48"/>
      <c r="UFS38" s="48"/>
      <c r="UFT38" s="48"/>
      <c r="UFU38" s="48"/>
      <c r="UFV38" s="48"/>
      <c r="UFW38" s="48"/>
      <c r="UFX38" s="48"/>
      <c r="UFY38" s="48"/>
      <c r="UFZ38" s="48"/>
      <c r="UGA38" s="48"/>
      <c r="UGB38" s="48"/>
      <c r="UGC38" s="48"/>
      <c r="UGD38" s="48"/>
      <c r="UGE38" s="48"/>
      <c r="UGF38" s="48"/>
      <c r="UGG38" s="45"/>
      <c r="UGH38" s="46"/>
      <c r="UGI38" s="46"/>
      <c r="UGJ38" s="47"/>
      <c r="UGK38" s="48"/>
      <c r="UGL38" s="48"/>
      <c r="UGM38" s="48"/>
      <c r="UGN38" s="48"/>
      <c r="UGO38" s="48"/>
      <c r="UGP38" s="48"/>
      <c r="UGQ38" s="48"/>
      <c r="UGR38" s="48"/>
      <c r="UGS38" s="48"/>
      <c r="UGT38" s="48"/>
      <c r="UGU38" s="48"/>
      <c r="UGV38" s="48"/>
      <c r="UGW38" s="48"/>
      <c r="UGX38" s="48"/>
      <c r="UGY38" s="48"/>
      <c r="UGZ38" s="48"/>
      <c r="UHA38" s="48"/>
      <c r="UHB38" s="48"/>
      <c r="UHC38" s="45"/>
      <c r="UHD38" s="46"/>
      <c r="UHE38" s="46"/>
      <c r="UHF38" s="47"/>
      <c r="UHG38" s="48"/>
      <c r="UHH38" s="48"/>
      <c r="UHI38" s="48"/>
      <c r="UHJ38" s="48"/>
      <c r="UHK38" s="48"/>
      <c r="UHL38" s="48"/>
      <c r="UHM38" s="48"/>
      <c r="UHN38" s="48"/>
      <c r="UHO38" s="48"/>
      <c r="UHP38" s="48"/>
      <c r="UHQ38" s="48"/>
      <c r="UHR38" s="48"/>
      <c r="UHS38" s="48"/>
      <c r="UHT38" s="48"/>
      <c r="UHU38" s="48"/>
      <c r="UHV38" s="48"/>
      <c r="UHW38" s="48"/>
      <c r="UHX38" s="48"/>
      <c r="UHY38" s="45"/>
      <c r="UHZ38" s="46"/>
      <c r="UIA38" s="46"/>
      <c r="UIB38" s="47"/>
      <c r="UIC38" s="48"/>
      <c r="UID38" s="48"/>
      <c r="UIE38" s="48"/>
      <c r="UIF38" s="48"/>
      <c r="UIG38" s="48"/>
      <c r="UIH38" s="48"/>
      <c r="UII38" s="48"/>
      <c r="UIJ38" s="48"/>
      <c r="UIK38" s="48"/>
      <c r="UIL38" s="48"/>
      <c r="UIM38" s="48"/>
      <c r="UIN38" s="48"/>
      <c r="UIO38" s="48"/>
      <c r="UIP38" s="48"/>
      <c r="UIQ38" s="48"/>
      <c r="UIR38" s="48"/>
      <c r="UIS38" s="48"/>
      <c r="UIT38" s="48"/>
      <c r="UIU38" s="45"/>
      <c r="UIV38" s="46"/>
      <c r="UIW38" s="46"/>
      <c r="UIX38" s="47"/>
      <c r="UIY38" s="48"/>
      <c r="UIZ38" s="48"/>
      <c r="UJA38" s="48"/>
      <c r="UJB38" s="48"/>
      <c r="UJC38" s="48"/>
      <c r="UJD38" s="48"/>
      <c r="UJE38" s="48"/>
      <c r="UJF38" s="48"/>
      <c r="UJG38" s="48"/>
      <c r="UJH38" s="48"/>
      <c r="UJI38" s="48"/>
      <c r="UJJ38" s="48"/>
      <c r="UJK38" s="48"/>
      <c r="UJL38" s="48"/>
      <c r="UJM38" s="48"/>
      <c r="UJN38" s="48"/>
      <c r="UJO38" s="48"/>
      <c r="UJP38" s="48"/>
      <c r="UJQ38" s="45"/>
      <c r="UJR38" s="46"/>
      <c r="UJS38" s="46"/>
      <c r="UJT38" s="47"/>
      <c r="UJU38" s="48"/>
      <c r="UJV38" s="48"/>
      <c r="UJW38" s="48"/>
      <c r="UJX38" s="48"/>
      <c r="UJY38" s="48"/>
      <c r="UJZ38" s="48"/>
      <c r="UKA38" s="48"/>
      <c r="UKB38" s="48"/>
      <c r="UKC38" s="48"/>
      <c r="UKD38" s="48"/>
      <c r="UKE38" s="48"/>
      <c r="UKF38" s="48"/>
      <c r="UKG38" s="48"/>
      <c r="UKH38" s="48"/>
      <c r="UKI38" s="48"/>
      <c r="UKJ38" s="48"/>
      <c r="UKK38" s="48"/>
      <c r="UKL38" s="48"/>
      <c r="UKM38" s="45"/>
      <c r="UKN38" s="46"/>
      <c r="UKO38" s="46"/>
      <c r="UKP38" s="47"/>
      <c r="UKQ38" s="48"/>
      <c r="UKR38" s="48"/>
      <c r="UKS38" s="48"/>
      <c r="UKT38" s="48"/>
      <c r="UKU38" s="48"/>
      <c r="UKV38" s="48"/>
      <c r="UKW38" s="48"/>
      <c r="UKX38" s="48"/>
      <c r="UKY38" s="48"/>
      <c r="UKZ38" s="48"/>
      <c r="ULA38" s="48"/>
      <c r="ULB38" s="48"/>
      <c r="ULC38" s="48"/>
      <c r="ULD38" s="48"/>
      <c r="ULE38" s="48"/>
      <c r="ULF38" s="48"/>
      <c r="ULG38" s="48"/>
      <c r="ULH38" s="48"/>
      <c r="ULI38" s="45"/>
      <c r="ULJ38" s="46"/>
      <c r="ULK38" s="46"/>
      <c r="ULL38" s="47"/>
      <c r="ULM38" s="48"/>
      <c r="ULN38" s="48"/>
      <c r="ULO38" s="48"/>
      <c r="ULP38" s="48"/>
      <c r="ULQ38" s="48"/>
      <c r="ULR38" s="48"/>
      <c r="ULS38" s="48"/>
      <c r="ULT38" s="48"/>
      <c r="ULU38" s="48"/>
      <c r="ULV38" s="48"/>
      <c r="ULW38" s="48"/>
      <c r="ULX38" s="48"/>
      <c r="ULY38" s="48"/>
      <c r="ULZ38" s="48"/>
      <c r="UMA38" s="48"/>
      <c r="UMB38" s="48"/>
      <c r="UMC38" s="48"/>
      <c r="UMD38" s="48"/>
      <c r="UME38" s="45"/>
      <c r="UMF38" s="46"/>
      <c r="UMG38" s="46"/>
      <c r="UMH38" s="47"/>
      <c r="UMI38" s="48"/>
      <c r="UMJ38" s="48"/>
      <c r="UMK38" s="48"/>
      <c r="UML38" s="48"/>
      <c r="UMM38" s="48"/>
      <c r="UMN38" s="48"/>
      <c r="UMO38" s="48"/>
      <c r="UMP38" s="48"/>
      <c r="UMQ38" s="48"/>
      <c r="UMR38" s="48"/>
      <c r="UMS38" s="48"/>
      <c r="UMT38" s="48"/>
      <c r="UMU38" s="48"/>
      <c r="UMV38" s="48"/>
      <c r="UMW38" s="48"/>
      <c r="UMX38" s="48"/>
      <c r="UMY38" s="48"/>
      <c r="UMZ38" s="48"/>
      <c r="UNA38" s="45"/>
      <c r="UNB38" s="46"/>
      <c r="UNC38" s="46"/>
      <c r="UND38" s="47"/>
      <c r="UNE38" s="48"/>
      <c r="UNF38" s="48"/>
      <c r="UNG38" s="48"/>
      <c r="UNH38" s="48"/>
      <c r="UNI38" s="48"/>
      <c r="UNJ38" s="48"/>
      <c r="UNK38" s="48"/>
      <c r="UNL38" s="48"/>
      <c r="UNM38" s="48"/>
      <c r="UNN38" s="48"/>
      <c r="UNO38" s="48"/>
      <c r="UNP38" s="48"/>
      <c r="UNQ38" s="48"/>
      <c r="UNR38" s="48"/>
      <c r="UNS38" s="48"/>
      <c r="UNT38" s="48"/>
      <c r="UNU38" s="48"/>
      <c r="UNV38" s="48"/>
      <c r="UNW38" s="45"/>
      <c r="UNX38" s="46"/>
      <c r="UNY38" s="46"/>
      <c r="UNZ38" s="47"/>
      <c r="UOA38" s="48"/>
      <c r="UOB38" s="48"/>
      <c r="UOC38" s="48"/>
      <c r="UOD38" s="48"/>
      <c r="UOE38" s="48"/>
      <c r="UOF38" s="48"/>
      <c r="UOG38" s="48"/>
      <c r="UOH38" s="48"/>
      <c r="UOI38" s="48"/>
      <c r="UOJ38" s="48"/>
      <c r="UOK38" s="48"/>
      <c r="UOL38" s="48"/>
      <c r="UOM38" s="48"/>
      <c r="UON38" s="48"/>
      <c r="UOO38" s="48"/>
      <c r="UOP38" s="48"/>
      <c r="UOQ38" s="48"/>
      <c r="UOR38" s="48"/>
      <c r="UOS38" s="45"/>
      <c r="UOT38" s="46"/>
      <c r="UOU38" s="46"/>
      <c r="UOV38" s="47"/>
      <c r="UOW38" s="48"/>
      <c r="UOX38" s="48"/>
      <c r="UOY38" s="48"/>
      <c r="UOZ38" s="48"/>
      <c r="UPA38" s="48"/>
      <c r="UPB38" s="48"/>
      <c r="UPC38" s="48"/>
      <c r="UPD38" s="48"/>
      <c r="UPE38" s="48"/>
      <c r="UPF38" s="48"/>
      <c r="UPG38" s="48"/>
      <c r="UPH38" s="48"/>
      <c r="UPI38" s="48"/>
      <c r="UPJ38" s="48"/>
      <c r="UPK38" s="48"/>
      <c r="UPL38" s="48"/>
      <c r="UPM38" s="48"/>
      <c r="UPN38" s="48"/>
      <c r="UPO38" s="45"/>
      <c r="UPP38" s="46"/>
      <c r="UPQ38" s="46"/>
      <c r="UPR38" s="47"/>
      <c r="UPS38" s="48"/>
      <c r="UPT38" s="48"/>
      <c r="UPU38" s="48"/>
      <c r="UPV38" s="48"/>
      <c r="UPW38" s="48"/>
      <c r="UPX38" s="48"/>
      <c r="UPY38" s="48"/>
      <c r="UPZ38" s="48"/>
      <c r="UQA38" s="48"/>
      <c r="UQB38" s="48"/>
      <c r="UQC38" s="48"/>
      <c r="UQD38" s="48"/>
      <c r="UQE38" s="48"/>
      <c r="UQF38" s="48"/>
      <c r="UQG38" s="48"/>
      <c r="UQH38" s="48"/>
      <c r="UQI38" s="48"/>
      <c r="UQJ38" s="48"/>
      <c r="UQK38" s="45"/>
      <c r="UQL38" s="46"/>
      <c r="UQM38" s="46"/>
      <c r="UQN38" s="47"/>
      <c r="UQO38" s="48"/>
      <c r="UQP38" s="48"/>
      <c r="UQQ38" s="48"/>
      <c r="UQR38" s="48"/>
      <c r="UQS38" s="48"/>
      <c r="UQT38" s="48"/>
      <c r="UQU38" s="48"/>
      <c r="UQV38" s="48"/>
      <c r="UQW38" s="48"/>
      <c r="UQX38" s="48"/>
      <c r="UQY38" s="48"/>
      <c r="UQZ38" s="48"/>
      <c r="URA38" s="48"/>
      <c r="URB38" s="48"/>
      <c r="URC38" s="48"/>
      <c r="URD38" s="48"/>
      <c r="URE38" s="48"/>
      <c r="URF38" s="48"/>
      <c r="URG38" s="45"/>
      <c r="URH38" s="46"/>
      <c r="URI38" s="46"/>
      <c r="URJ38" s="47"/>
      <c r="URK38" s="48"/>
      <c r="URL38" s="48"/>
      <c r="URM38" s="48"/>
      <c r="URN38" s="48"/>
      <c r="URO38" s="48"/>
      <c r="URP38" s="48"/>
      <c r="URQ38" s="48"/>
      <c r="URR38" s="48"/>
      <c r="URS38" s="48"/>
      <c r="URT38" s="48"/>
      <c r="URU38" s="48"/>
      <c r="URV38" s="48"/>
      <c r="URW38" s="48"/>
      <c r="URX38" s="48"/>
      <c r="URY38" s="48"/>
      <c r="URZ38" s="48"/>
      <c r="USA38" s="48"/>
      <c r="USB38" s="48"/>
      <c r="USC38" s="45"/>
      <c r="USD38" s="46"/>
      <c r="USE38" s="46"/>
      <c r="USF38" s="47"/>
      <c r="USG38" s="48"/>
      <c r="USH38" s="48"/>
      <c r="USI38" s="48"/>
      <c r="USJ38" s="48"/>
      <c r="USK38" s="48"/>
      <c r="USL38" s="48"/>
      <c r="USM38" s="48"/>
      <c r="USN38" s="48"/>
      <c r="USO38" s="48"/>
      <c r="USP38" s="48"/>
      <c r="USQ38" s="48"/>
      <c r="USR38" s="48"/>
      <c r="USS38" s="48"/>
      <c r="UST38" s="48"/>
      <c r="USU38" s="48"/>
      <c r="USV38" s="48"/>
      <c r="USW38" s="48"/>
      <c r="USX38" s="48"/>
      <c r="USY38" s="45"/>
      <c r="USZ38" s="46"/>
      <c r="UTA38" s="46"/>
      <c r="UTB38" s="47"/>
      <c r="UTC38" s="48"/>
      <c r="UTD38" s="48"/>
      <c r="UTE38" s="48"/>
      <c r="UTF38" s="48"/>
      <c r="UTG38" s="48"/>
      <c r="UTH38" s="48"/>
      <c r="UTI38" s="48"/>
      <c r="UTJ38" s="48"/>
      <c r="UTK38" s="48"/>
      <c r="UTL38" s="48"/>
      <c r="UTM38" s="48"/>
      <c r="UTN38" s="48"/>
      <c r="UTO38" s="48"/>
      <c r="UTP38" s="48"/>
      <c r="UTQ38" s="48"/>
      <c r="UTR38" s="48"/>
      <c r="UTS38" s="48"/>
      <c r="UTT38" s="48"/>
      <c r="UTU38" s="45"/>
      <c r="UTV38" s="46"/>
      <c r="UTW38" s="46"/>
      <c r="UTX38" s="47"/>
      <c r="UTY38" s="48"/>
      <c r="UTZ38" s="48"/>
      <c r="UUA38" s="48"/>
      <c r="UUB38" s="48"/>
      <c r="UUC38" s="48"/>
      <c r="UUD38" s="48"/>
      <c r="UUE38" s="48"/>
      <c r="UUF38" s="48"/>
      <c r="UUG38" s="48"/>
      <c r="UUH38" s="48"/>
      <c r="UUI38" s="48"/>
      <c r="UUJ38" s="48"/>
      <c r="UUK38" s="48"/>
      <c r="UUL38" s="48"/>
      <c r="UUM38" s="48"/>
      <c r="UUN38" s="48"/>
      <c r="UUO38" s="48"/>
      <c r="UUP38" s="48"/>
      <c r="UUQ38" s="45"/>
      <c r="UUR38" s="46"/>
      <c r="UUS38" s="46"/>
      <c r="UUT38" s="47"/>
      <c r="UUU38" s="48"/>
      <c r="UUV38" s="48"/>
      <c r="UUW38" s="48"/>
      <c r="UUX38" s="48"/>
      <c r="UUY38" s="48"/>
      <c r="UUZ38" s="48"/>
      <c r="UVA38" s="48"/>
      <c r="UVB38" s="48"/>
      <c r="UVC38" s="48"/>
      <c r="UVD38" s="48"/>
      <c r="UVE38" s="48"/>
      <c r="UVF38" s="48"/>
      <c r="UVG38" s="48"/>
      <c r="UVH38" s="48"/>
      <c r="UVI38" s="48"/>
      <c r="UVJ38" s="48"/>
      <c r="UVK38" s="48"/>
      <c r="UVL38" s="48"/>
      <c r="UVM38" s="45"/>
      <c r="UVN38" s="46"/>
      <c r="UVO38" s="46"/>
      <c r="UVP38" s="47"/>
      <c r="UVQ38" s="48"/>
      <c r="UVR38" s="48"/>
      <c r="UVS38" s="48"/>
      <c r="UVT38" s="48"/>
      <c r="UVU38" s="48"/>
      <c r="UVV38" s="48"/>
      <c r="UVW38" s="48"/>
      <c r="UVX38" s="48"/>
      <c r="UVY38" s="48"/>
      <c r="UVZ38" s="48"/>
      <c r="UWA38" s="48"/>
      <c r="UWB38" s="48"/>
      <c r="UWC38" s="48"/>
      <c r="UWD38" s="48"/>
      <c r="UWE38" s="48"/>
      <c r="UWF38" s="48"/>
      <c r="UWG38" s="48"/>
      <c r="UWH38" s="48"/>
      <c r="UWI38" s="45"/>
      <c r="UWJ38" s="46"/>
      <c r="UWK38" s="46"/>
      <c r="UWL38" s="47"/>
      <c r="UWM38" s="48"/>
      <c r="UWN38" s="48"/>
      <c r="UWO38" s="48"/>
      <c r="UWP38" s="48"/>
      <c r="UWQ38" s="48"/>
      <c r="UWR38" s="48"/>
      <c r="UWS38" s="48"/>
      <c r="UWT38" s="48"/>
      <c r="UWU38" s="48"/>
      <c r="UWV38" s="48"/>
      <c r="UWW38" s="48"/>
      <c r="UWX38" s="48"/>
      <c r="UWY38" s="48"/>
      <c r="UWZ38" s="48"/>
      <c r="UXA38" s="48"/>
      <c r="UXB38" s="48"/>
      <c r="UXC38" s="48"/>
      <c r="UXD38" s="48"/>
      <c r="UXE38" s="45"/>
      <c r="UXF38" s="46"/>
      <c r="UXG38" s="46"/>
      <c r="UXH38" s="47"/>
      <c r="UXI38" s="48"/>
      <c r="UXJ38" s="48"/>
      <c r="UXK38" s="48"/>
      <c r="UXL38" s="48"/>
      <c r="UXM38" s="48"/>
      <c r="UXN38" s="48"/>
      <c r="UXO38" s="48"/>
      <c r="UXP38" s="48"/>
      <c r="UXQ38" s="48"/>
      <c r="UXR38" s="48"/>
      <c r="UXS38" s="48"/>
      <c r="UXT38" s="48"/>
      <c r="UXU38" s="48"/>
      <c r="UXV38" s="48"/>
      <c r="UXW38" s="48"/>
      <c r="UXX38" s="48"/>
      <c r="UXY38" s="48"/>
      <c r="UXZ38" s="48"/>
      <c r="UYA38" s="45"/>
      <c r="UYB38" s="46"/>
      <c r="UYC38" s="46"/>
      <c r="UYD38" s="47"/>
      <c r="UYE38" s="48"/>
      <c r="UYF38" s="48"/>
      <c r="UYG38" s="48"/>
      <c r="UYH38" s="48"/>
      <c r="UYI38" s="48"/>
      <c r="UYJ38" s="48"/>
      <c r="UYK38" s="48"/>
      <c r="UYL38" s="48"/>
      <c r="UYM38" s="48"/>
      <c r="UYN38" s="48"/>
      <c r="UYO38" s="48"/>
      <c r="UYP38" s="48"/>
      <c r="UYQ38" s="48"/>
      <c r="UYR38" s="48"/>
      <c r="UYS38" s="48"/>
      <c r="UYT38" s="48"/>
      <c r="UYU38" s="48"/>
      <c r="UYV38" s="48"/>
      <c r="UYW38" s="45"/>
      <c r="UYX38" s="46"/>
      <c r="UYY38" s="46"/>
      <c r="UYZ38" s="47"/>
      <c r="UZA38" s="48"/>
      <c r="UZB38" s="48"/>
      <c r="UZC38" s="48"/>
      <c r="UZD38" s="48"/>
      <c r="UZE38" s="48"/>
      <c r="UZF38" s="48"/>
      <c r="UZG38" s="48"/>
      <c r="UZH38" s="48"/>
      <c r="UZI38" s="48"/>
      <c r="UZJ38" s="48"/>
      <c r="UZK38" s="48"/>
      <c r="UZL38" s="48"/>
      <c r="UZM38" s="48"/>
      <c r="UZN38" s="48"/>
      <c r="UZO38" s="48"/>
      <c r="UZP38" s="48"/>
      <c r="UZQ38" s="48"/>
      <c r="UZR38" s="48"/>
      <c r="UZS38" s="45"/>
      <c r="UZT38" s="46"/>
      <c r="UZU38" s="46"/>
      <c r="UZV38" s="47"/>
      <c r="UZW38" s="48"/>
      <c r="UZX38" s="48"/>
      <c r="UZY38" s="48"/>
      <c r="UZZ38" s="48"/>
      <c r="VAA38" s="48"/>
      <c r="VAB38" s="48"/>
      <c r="VAC38" s="48"/>
      <c r="VAD38" s="48"/>
      <c r="VAE38" s="48"/>
      <c r="VAF38" s="48"/>
      <c r="VAG38" s="48"/>
      <c r="VAH38" s="48"/>
      <c r="VAI38" s="48"/>
      <c r="VAJ38" s="48"/>
      <c r="VAK38" s="48"/>
      <c r="VAL38" s="48"/>
      <c r="VAM38" s="48"/>
      <c r="VAN38" s="48"/>
      <c r="VAO38" s="45"/>
      <c r="VAP38" s="46"/>
      <c r="VAQ38" s="46"/>
      <c r="VAR38" s="47"/>
      <c r="VAS38" s="48"/>
      <c r="VAT38" s="48"/>
      <c r="VAU38" s="48"/>
      <c r="VAV38" s="48"/>
      <c r="VAW38" s="48"/>
      <c r="VAX38" s="48"/>
      <c r="VAY38" s="48"/>
      <c r="VAZ38" s="48"/>
      <c r="VBA38" s="48"/>
      <c r="VBB38" s="48"/>
      <c r="VBC38" s="48"/>
      <c r="VBD38" s="48"/>
      <c r="VBE38" s="48"/>
      <c r="VBF38" s="48"/>
      <c r="VBG38" s="48"/>
      <c r="VBH38" s="48"/>
      <c r="VBI38" s="48"/>
      <c r="VBJ38" s="48"/>
      <c r="VBK38" s="45"/>
      <c r="VBL38" s="46"/>
      <c r="VBM38" s="46"/>
      <c r="VBN38" s="47"/>
      <c r="VBO38" s="48"/>
      <c r="VBP38" s="48"/>
      <c r="VBQ38" s="48"/>
      <c r="VBR38" s="48"/>
      <c r="VBS38" s="48"/>
      <c r="VBT38" s="48"/>
      <c r="VBU38" s="48"/>
      <c r="VBV38" s="48"/>
      <c r="VBW38" s="48"/>
      <c r="VBX38" s="48"/>
      <c r="VBY38" s="48"/>
      <c r="VBZ38" s="48"/>
      <c r="VCA38" s="48"/>
      <c r="VCB38" s="48"/>
      <c r="VCC38" s="48"/>
      <c r="VCD38" s="48"/>
      <c r="VCE38" s="48"/>
      <c r="VCF38" s="48"/>
      <c r="VCG38" s="45"/>
      <c r="VCH38" s="46"/>
      <c r="VCI38" s="46"/>
      <c r="VCJ38" s="47"/>
      <c r="VCK38" s="48"/>
      <c r="VCL38" s="48"/>
      <c r="VCM38" s="48"/>
      <c r="VCN38" s="48"/>
      <c r="VCO38" s="48"/>
      <c r="VCP38" s="48"/>
      <c r="VCQ38" s="48"/>
      <c r="VCR38" s="48"/>
      <c r="VCS38" s="48"/>
      <c r="VCT38" s="48"/>
      <c r="VCU38" s="48"/>
      <c r="VCV38" s="48"/>
      <c r="VCW38" s="48"/>
      <c r="VCX38" s="48"/>
      <c r="VCY38" s="48"/>
      <c r="VCZ38" s="48"/>
      <c r="VDA38" s="48"/>
      <c r="VDB38" s="48"/>
      <c r="VDC38" s="45"/>
      <c r="VDD38" s="46"/>
      <c r="VDE38" s="46"/>
      <c r="VDF38" s="47"/>
      <c r="VDG38" s="48"/>
      <c r="VDH38" s="48"/>
      <c r="VDI38" s="48"/>
      <c r="VDJ38" s="48"/>
      <c r="VDK38" s="48"/>
      <c r="VDL38" s="48"/>
      <c r="VDM38" s="48"/>
      <c r="VDN38" s="48"/>
      <c r="VDO38" s="48"/>
      <c r="VDP38" s="48"/>
      <c r="VDQ38" s="48"/>
      <c r="VDR38" s="48"/>
      <c r="VDS38" s="48"/>
      <c r="VDT38" s="48"/>
      <c r="VDU38" s="48"/>
      <c r="VDV38" s="48"/>
      <c r="VDW38" s="48"/>
      <c r="VDX38" s="48"/>
      <c r="VDY38" s="45"/>
      <c r="VDZ38" s="46"/>
      <c r="VEA38" s="46"/>
      <c r="VEB38" s="47"/>
      <c r="VEC38" s="48"/>
      <c r="VED38" s="48"/>
      <c r="VEE38" s="48"/>
      <c r="VEF38" s="48"/>
      <c r="VEG38" s="48"/>
      <c r="VEH38" s="48"/>
      <c r="VEI38" s="48"/>
      <c r="VEJ38" s="48"/>
      <c r="VEK38" s="48"/>
      <c r="VEL38" s="48"/>
      <c r="VEM38" s="48"/>
      <c r="VEN38" s="48"/>
      <c r="VEO38" s="48"/>
      <c r="VEP38" s="48"/>
      <c r="VEQ38" s="48"/>
      <c r="VER38" s="48"/>
      <c r="VES38" s="48"/>
      <c r="VET38" s="48"/>
      <c r="VEU38" s="45"/>
      <c r="VEV38" s="46"/>
      <c r="VEW38" s="46"/>
      <c r="VEX38" s="47"/>
      <c r="VEY38" s="48"/>
      <c r="VEZ38" s="48"/>
      <c r="VFA38" s="48"/>
      <c r="VFB38" s="48"/>
      <c r="VFC38" s="48"/>
      <c r="VFD38" s="48"/>
      <c r="VFE38" s="48"/>
      <c r="VFF38" s="48"/>
      <c r="VFG38" s="48"/>
      <c r="VFH38" s="48"/>
      <c r="VFI38" s="48"/>
      <c r="VFJ38" s="48"/>
      <c r="VFK38" s="48"/>
      <c r="VFL38" s="48"/>
      <c r="VFM38" s="48"/>
      <c r="VFN38" s="48"/>
      <c r="VFO38" s="48"/>
      <c r="VFP38" s="48"/>
      <c r="VFQ38" s="45"/>
      <c r="VFR38" s="46"/>
      <c r="VFS38" s="46"/>
      <c r="VFT38" s="47"/>
      <c r="VFU38" s="48"/>
      <c r="VFV38" s="48"/>
      <c r="VFW38" s="48"/>
      <c r="VFX38" s="48"/>
      <c r="VFY38" s="48"/>
      <c r="VFZ38" s="48"/>
      <c r="VGA38" s="48"/>
      <c r="VGB38" s="48"/>
      <c r="VGC38" s="48"/>
      <c r="VGD38" s="48"/>
      <c r="VGE38" s="48"/>
      <c r="VGF38" s="48"/>
      <c r="VGG38" s="48"/>
      <c r="VGH38" s="48"/>
      <c r="VGI38" s="48"/>
      <c r="VGJ38" s="48"/>
      <c r="VGK38" s="48"/>
      <c r="VGL38" s="48"/>
      <c r="VGM38" s="45"/>
      <c r="VGN38" s="46"/>
      <c r="VGO38" s="46"/>
      <c r="VGP38" s="47"/>
      <c r="VGQ38" s="48"/>
      <c r="VGR38" s="48"/>
      <c r="VGS38" s="48"/>
      <c r="VGT38" s="48"/>
      <c r="VGU38" s="48"/>
      <c r="VGV38" s="48"/>
      <c r="VGW38" s="48"/>
      <c r="VGX38" s="48"/>
      <c r="VGY38" s="48"/>
      <c r="VGZ38" s="48"/>
      <c r="VHA38" s="48"/>
      <c r="VHB38" s="48"/>
      <c r="VHC38" s="48"/>
      <c r="VHD38" s="48"/>
      <c r="VHE38" s="48"/>
      <c r="VHF38" s="48"/>
      <c r="VHG38" s="48"/>
      <c r="VHH38" s="48"/>
      <c r="VHI38" s="45"/>
      <c r="VHJ38" s="46"/>
      <c r="VHK38" s="46"/>
      <c r="VHL38" s="47"/>
      <c r="VHM38" s="48"/>
      <c r="VHN38" s="48"/>
      <c r="VHO38" s="48"/>
      <c r="VHP38" s="48"/>
      <c r="VHQ38" s="48"/>
      <c r="VHR38" s="48"/>
      <c r="VHS38" s="48"/>
      <c r="VHT38" s="48"/>
      <c r="VHU38" s="48"/>
      <c r="VHV38" s="48"/>
      <c r="VHW38" s="48"/>
      <c r="VHX38" s="48"/>
      <c r="VHY38" s="48"/>
      <c r="VHZ38" s="48"/>
      <c r="VIA38" s="48"/>
      <c r="VIB38" s="48"/>
      <c r="VIC38" s="48"/>
      <c r="VID38" s="48"/>
      <c r="VIE38" s="45"/>
      <c r="VIF38" s="46"/>
      <c r="VIG38" s="46"/>
      <c r="VIH38" s="47"/>
      <c r="VII38" s="48"/>
      <c r="VIJ38" s="48"/>
      <c r="VIK38" s="48"/>
      <c r="VIL38" s="48"/>
      <c r="VIM38" s="48"/>
      <c r="VIN38" s="48"/>
      <c r="VIO38" s="48"/>
      <c r="VIP38" s="48"/>
      <c r="VIQ38" s="48"/>
      <c r="VIR38" s="48"/>
      <c r="VIS38" s="48"/>
      <c r="VIT38" s="48"/>
      <c r="VIU38" s="48"/>
      <c r="VIV38" s="48"/>
      <c r="VIW38" s="48"/>
      <c r="VIX38" s="48"/>
      <c r="VIY38" s="48"/>
      <c r="VIZ38" s="48"/>
      <c r="VJA38" s="45"/>
      <c r="VJB38" s="46"/>
      <c r="VJC38" s="46"/>
      <c r="VJD38" s="47"/>
      <c r="VJE38" s="48"/>
      <c r="VJF38" s="48"/>
      <c r="VJG38" s="48"/>
      <c r="VJH38" s="48"/>
      <c r="VJI38" s="48"/>
      <c r="VJJ38" s="48"/>
      <c r="VJK38" s="48"/>
      <c r="VJL38" s="48"/>
      <c r="VJM38" s="48"/>
      <c r="VJN38" s="48"/>
      <c r="VJO38" s="48"/>
      <c r="VJP38" s="48"/>
      <c r="VJQ38" s="48"/>
      <c r="VJR38" s="48"/>
      <c r="VJS38" s="48"/>
      <c r="VJT38" s="48"/>
      <c r="VJU38" s="48"/>
      <c r="VJV38" s="48"/>
      <c r="VJW38" s="45"/>
      <c r="VJX38" s="46"/>
      <c r="VJY38" s="46"/>
      <c r="VJZ38" s="47"/>
      <c r="VKA38" s="48"/>
      <c r="VKB38" s="48"/>
      <c r="VKC38" s="48"/>
      <c r="VKD38" s="48"/>
      <c r="VKE38" s="48"/>
      <c r="VKF38" s="48"/>
      <c r="VKG38" s="48"/>
      <c r="VKH38" s="48"/>
      <c r="VKI38" s="48"/>
      <c r="VKJ38" s="48"/>
      <c r="VKK38" s="48"/>
      <c r="VKL38" s="48"/>
      <c r="VKM38" s="48"/>
      <c r="VKN38" s="48"/>
      <c r="VKO38" s="48"/>
      <c r="VKP38" s="48"/>
      <c r="VKQ38" s="48"/>
      <c r="VKR38" s="48"/>
      <c r="VKS38" s="45"/>
      <c r="VKT38" s="46"/>
      <c r="VKU38" s="46"/>
      <c r="VKV38" s="47"/>
      <c r="VKW38" s="48"/>
      <c r="VKX38" s="48"/>
      <c r="VKY38" s="48"/>
      <c r="VKZ38" s="48"/>
      <c r="VLA38" s="48"/>
      <c r="VLB38" s="48"/>
      <c r="VLC38" s="48"/>
      <c r="VLD38" s="48"/>
      <c r="VLE38" s="48"/>
      <c r="VLF38" s="48"/>
      <c r="VLG38" s="48"/>
      <c r="VLH38" s="48"/>
      <c r="VLI38" s="48"/>
      <c r="VLJ38" s="48"/>
      <c r="VLK38" s="48"/>
      <c r="VLL38" s="48"/>
      <c r="VLM38" s="48"/>
      <c r="VLN38" s="48"/>
      <c r="VLO38" s="45"/>
      <c r="VLP38" s="46"/>
      <c r="VLQ38" s="46"/>
      <c r="VLR38" s="47"/>
      <c r="VLS38" s="48"/>
      <c r="VLT38" s="48"/>
      <c r="VLU38" s="48"/>
      <c r="VLV38" s="48"/>
      <c r="VLW38" s="48"/>
      <c r="VLX38" s="48"/>
      <c r="VLY38" s="48"/>
      <c r="VLZ38" s="48"/>
      <c r="VMA38" s="48"/>
      <c r="VMB38" s="48"/>
      <c r="VMC38" s="48"/>
      <c r="VMD38" s="48"/>
      <c r="VME38" s="48"/>
      <c r="VMF38" s="48"/>
      <c r="VMG38" s="48"/>
      <c r="VMH38" s="48"/>
      <c r="VMI38" s="48"/>
      <c r="VMJ38" s="48"/>
      <c r="VMK38" s="45"/>
      <c r="VML38" s="46"/>
      <c r="VMM38" s="46"/>
      <c r="VMN38" s="47"/>
      <c r="VMO38" s="48"/>
      <c r="VMP38" s="48"/>
      <c r="VMQ38" s="48"/>
      <c r="VMR38" s="48"/>
      <c r="VMS38" s="48"/>
      <c r="VMT38" s="48"/>
      <c r="VMU38" s="48"/>
      <c r="VMV38" s="48"/>
      <c r="VMW38" s="48"/>
      <c r="VMX38" s="48"/>
      <c r="VMY38" s="48"/>
      <c r="VMZ38" s="48"/>
      <c r="VNA38" s="48"/>
      <c r="VNB38" s="48"/>
      <c r="VNC38" s="48"/>
      <c r="VND38" s="48"/>
      <c r="VNE38" s="48"/>
      <c r="VNF38" s="48"/>
      <c r="VNG38" s="45"/>
      <c r="VNH38" s="46"/>
      <c r="VNI38" s="46"/>
      <c r="VNJ38" s="47"/>
      <c r="VNK38" s="48"/>
      <c r="VNL38" s="48"/>
      <c r="VNM38" s="48"/>
      <c r="VNN38" s="48"/>
      <c r="VNO38" s="48"/>
      <c r="VNP38" s="48"/>
      <c r="VNQ38" s="48"/>
      <c r="VNR38" s="48"/>
      <c r="VNS38" s="48"/>
      <c r="VNT38" s="48"/>
      <c r="VNU38" s="48"/>
      <c r="VNV38" s="48"/>
      <c r="VNW38" s="48"/>
      <c r="VNX38" s="48"/>
      <c r="VNY38" s="48"/>
      <c r="VNZ38" s="48"/>
      <c r="VOA38" s="48"/>
      <c r="VOB38" s="48"/>
      <c r="VOC38" s="45"/>
      <c r="VOD38" s="46"/>
      <c r="VOE38" s="46"/>
      <c r="VOF38" s="47"/>
      <c r="VOG38" s="48"/>
      <c r="VOH38" s="48"/>
      <c r="VOI38" s="48"/>
      <c r="VOJ38" s="48"/>
      <c r="VOK38" s="48"/>
      <c r="VOL38" s="48"/>
      <c r="VOM38" s="48"/>
      <c r="VON38" s="48"/>
      <c r="VOO38" s="48"/>
      <c r="VOP38" s="48"/>
      <c r="VOQ38" s="48"/>
      <c r="VOR38" s="48"/>
      <c r="VOS38" s="48"/>
      <c r="VOT38" s="48"/>
      <c r="VOU38" s="48"/>
      <c r="VOV38" s="48"/>
      <c r="VOW38" s="48"/>
      <c r="VOX38" s="48"/>
      <c r="VOY38" s="45"/>
      <c r="VOZ38" s="46"/>
      <c r="VPA38" s="46"/>
      <c r="VPB38" s="47"/>
      <c r="VPC38" s="48"/>
      <c r="VPD38" s="48"/>
      <c r="VPE38" s="48"/>
      <c r="VPF38" s="48"/>
      <c r="VPG38" s="48"/>
      <c r="VPH38" s="48"/>
      <c r="VPI38" s="48"/>
      <c r="VPJ38" s="48"/>
      <c r="VPK38" s="48"/>
      <c r="VPL38" s="48"/>
      <c r="VPM38" s="48"/>
      <c r="VPN38" s="48"/>
      <c r="VPO38" s="48"/>
      <c r="VPP38" s="48"/>
      <c r="VPQ38" s="48"/>
      <c r="VPR38" s="48"/>
      <c r="VPS38" s="48"/>
      <c r="VPT38" s="48"/>
      <c r="VPU38" s="45"/>
      <c r="VPV38" s="46"/>
      <c r="VPW38" s="46"/>
      <c r="VPX38" s="47"/>
      <c r="VPY38" s="48"/>
      <c r="VPZ38" s="48"/>
      <c r="VQA38" s="48"/>
      <c r="VQB38" s="48"/>
      <c r="VQC38" s="48"/>
      <c r="VQD38" s="48"/>
      <c r="VQE38" s="48"/>
      <c r="VQF38" s="48"/>
      <c r="VQG38" s="48"/>
      <c r="VQH38" s="48"/>
      <c r="VQI38" s="48"/>
      <c r="VQJ38" s="48"/>
      <c r="VQK38" s="48"/>
      <c r="VQL38" s="48"/>
      <c r="VQM38" s="48"/>
      <c r="VQN38" s="48"/>
      <c r="VQO38" s="48"/>
      <c r="VQP38" s="48"/>
      <c r="VQQ38" s="45"/>
      <c r="VQR38" s="46"/>
      <c r="VQS38" s="46"/>
      <c r="VQT38" s="47"/>
      <c r="VQU38" s="48"/>
      <c r="VQV38" s="48"/>
      <c r="VQW38" s="48"/>
      <c r="VQX38" s="48"/>
      <c r="VQY38" s="48"/>
      <c r="VQZ38" s="48"/>
      <c r="VRA38" s="48"/>
      <c r="VRB38" s="48"/>
      <c r="VRC38" s="48"/>
      <c r="VRD38" s="48"/>
      <c r="VRE38" s="48"/>
      <c r="VRF38" s="48"/>
      <c r="VRG38" s="48"/>
      <c r="VRH38" s="48"/>
      <c r="VRI38" s="48"/>
      <c r="VRJ38" s="48"/>
      <c r="VRK38" s="48"/>
      <c r="VRL38" s="48"/>
      <c r="VRM38" s="45"/>
      <c r="VRN38" s="46"/>
      <c r="VRO38" s="46"/>
      <c r="VRP38" s="47"/>
      <c r="VRQ38" s="48"/>
      <c r="VRR38" s="48"/>
      <c r="VRS38" s="48"/>
      <c r="VRT38" s="48"/>
      <c r="VRU38" s="48"/>
      <c r="VRV38" s="48"/>
      <c r="VRW38" s="48"/>
      <c r="VRX38" s="48"/>
      <c r="VRY38" s="48"/>
      <c r="VRZ38" s="48"/>
      <c r="VSA38" s="48"/>
      <c r="VSB38" s="48"/>
      <c r="VSC38" s="48"/>
      <c r="VSD38" s="48"/>
      <c r="VSE38" s="48"/>
      <c r="VSF38" s="48"/>
      <c r="VSG38" s="48"/>
      <c r="VSH38" s="48"/>
      <c r="VSI38" s="45"/>
      <c r="VSJ38" s="46"/>
      <c r="VSK38" s="46"/>
      <c r="VSL38" s="47"/>
      <c r="VSM38" s="48"/>
      <c r="VSN38" s="48"/>
      <c r="VSO38" s="48"/>
      <c r="VSP38" s="48"/>
      <c r="VSQ38" s="48"/>
      <c r="VSR38" s="48"/>
      <c r="VSS38" s="48"/>
      <c r="VST38" s="48"/>
      <c r="VSU38" s="48"/>
      <c r="VSV38" s="48"/>
      <c r="VSW38" s="48"/>
      <c r="VSX38" s="48"/>
      <c r="VSY38" s="48"/>
      <c r="VSZ38" s="48"/>
      <c r="VTA38" s="48"/>
      <c r="VTB38" s="48"/>
      <c r="VTC38" s="48"/>
      <c r="VTD38" s="48"/>
      <c r="VTE38" s="45"/>
      <c r="VTF38" s="46"/>
      <c r="VTG38" s="46"/>
      <c r="VTH38" s="47"/>
      <c r="VTI38" s="48"/>
      <c r="VTJ38" s="48"/>
      <c r="VTK38" s="48"/>
      <c r="VTL38" s="48"/>
      <c r="VTM38" s="48"/>
      <c r="VTN38" s="48"/>
      <c r="VTO38" s="48"/>
      <c r="VTP38" s="48"/>
      <c r="VTQ38" s="48"/>
      <c r="VTR38" s="48"/>
      <c r="VTS38" s="48"/>
      <c r="VTT38" s="48"/>
      <c r="VTU38" s="48"/>
      <c r="VTV38" s="48"/>
      <c r="VTW38" s="48"/>
      <c r="VTX38" s="48"/>
      <c r="VTY38" s="48"/>
      <c r="VTZ38" s="48"/>
      <c r="VUA38" s="45"/>
      <c r="VUB38" s="46"/>
      <c r="VUC38" s="46"/>
      <c r="VUD38" s="47"/>
      <c r="VUE38" s="48"/>
      <c r="VUF38" s="48"/>
      <c r="VUG38" s="48"/>
      <c r="VUH38" s="48"/>
      <c r="VUI38" s="48"/>
      <c r="VUJ38" s="48"/>
      <c r="VUK38" s="48"/>
      <c r="VUL38" s="48"/>
      <c r="VUM38" s="48"/>
      <c r="VUN38" s="48"/>
      <c r="VUO38" s="48"/>
      <c r="VUP38" s="48"/>
      <c r="VUQ38" s="48"/>
      <c r="VUR38" s="48"/>
      <c r="VUS38" s="48"/>
      <c r="VUT38" s="48"/>
      <c r="VUU38" s="48"/>
      <c r="VUV38" s="48"/>
      <c r="VUW38" s="45"/>
      <c r="VUX38" s="46"/>
      <c r="VUY38" s="46"/>
      <c r="VUZ38" s="47"/>
      <c r="VVA38" s="48"/>
      <c r="VVB38" s="48"/>
      <c r="VVC38" s="48"/>
      <c r="VVD38" s="48"/>
      <c r="VVE38" s="48"/>
      <c r="VVF38" s="48"/>
      <c r="VVG38" s="48"/>
      <c r="VVH38" s="48"/>
      <c r="VVI38" s="48"/>
      <c r="VVJ38" s="48"/>
      <c r="VVK38" s="48"/>
      <c r="VVL38" s="48"/>
      <c r="VVM38" s="48"/>
      <c r="VVN38" s="48"/>
      <c r="VVO38" s="48"/>
      <c r="VVP38" s="48"/>
      <c r="VVQ38" s="48"/>
      <c r="VVR38" s="48"/>
      <c r="VVS38" s="45"/>
      <c r="VVT38" s="46"/>
      <c r="VVU38" s="46"/>
      <c r="VVV38" s="47"/>
      <c r="VVW38" s="48"/>
      <c r="VVX38" s="48"/>
      <c r="VVY38" s="48"/>
      <c r="VVZ38" s="48"/>
      <c r="VWA38" s="48"/>
      <c r="VWB38" s="48"/>
      <c r="VWC38" s="48"/>
      <c r="VWD38" s="48"/>
      <c r="VWE38" s="48"/>
      <c r="VWF38" s="48"/>
      <c r="VWG38" s="48"/>
      <c r="VWH38" s="48"/>
      <c r="VWI38" s="48"/>
      <c r="VWJ38" s="48"/>
      <c r="VWK38" s="48"/>
      <c r="VWL38" s="48"/>
      <c r="VWM38" s="48"/>
      <c r="VWN38" s="48"/>
      <c r="VWO38" s="45"/>
      <c r="VWP38" s="46"/>
      <c r="VWQ38" s="46"/>
      <c r="VWR38" s="47"/>
      <c r="VWS38" s="48"/>
      <c r="VWT38" s="48"/>
      <c r="VWU38" s="48"/>
      <c r="VWV38" s="48"/>
      <c r="VWW38" s="48"/>
      <c r="VWX38" s="48"/>
      <c r="VWY38" s="48"/>
      <c r="VWZ38" s="48"/>
      <c r="VXA38" s="48"/>
      <c r="VXB38" s="48"/>
      <c r="VXC38" s="48"/>
      <c r="VXD38" s="48"/>
      <c r="VXE38" s="48"/>
      <c r="VXF38" s="48"/>
      <c r="VXG38" s="48"/>
      <c r="VXH38" s="48"/>
      <c r="VXI38" s="48"/>
      <c r="VXJ38" s="48"/>
      <c r="VXK38" s="45"/>
      <c r="VXL38" s="46"/>
      <c r="VXM38" s="46"/>
      <c r="VXN38" s="47"/>
      <c r="VXO38" s="48"/>
      <c r="VXP38" s="48"/>
      <c r="VXQ38" s="48"/>
      <c r="VXR38" s="48"/>
      <c r="VXS38" s="48"/>
      <c r="VXT38" s="48"/>
      <c r="VXU38" s="48"/>
      <c r="VXV38" s="48"/>
      <c r="VXW38" s="48"/>
      <c r="VXX38" s="48"/>
      <c r="VXY38" s="48"/>
      <c r="VXZ38" s="48"/>
      <c r="VYA38" s="48"/>
      <c r="VYB38" s="48"/>
      <c r="VYC38" s="48"/>
      <c r="VYD38" s="48"/>
      <c r="VYE38" s="48"/>
      <c r="VYF38" s="48"/>
      <c r="VYG38" s="45"/>
      <c r="VYH38" s="46"/>
      <c r="VYI38" s="46"/>
      <c r="VYJ38" s="47"/>
      <c r="VYK38" s="48"/>
      <c r="VYL38" s="48"/>
      <c r="VYM38" s="48"/>
      <c r="VYN38" s="48"/>
      <c r="VYO38" s="48"/>
      <c r="VYP38" s="48"/>
      <c r="VYQ38" s="48"/>
      <c r="VYR38" s="48"/>
      <c r="VYS38" s="48"/>
      <c r="VYT38" s="48"/>
      <c r="VYU38" s="48"/>
      <c r="VYV38" s="48"/>
      <c r="VYW38" s="48"/>
      <c r="VYX38" s="48"/>
      <c r="VYY38" s="48"/>
      <c r="VYZ38" s="48"/>
      <c r="VZA38" s="48"/>
      <c r="VZB38" s="48"/>
      <c r="VZC38" s="45"/>
      <c r="VZD38" s="46"/>
      <c r="VZE38" s="46"/>
      <c r="VZF38" s="47"/>
      <c r="VZG38" s="48"/>
      <c r="VZH38" s="48"/>
      <c r="VZI38" s="48"/>
      <c r="VZJ38" s="48"/>
      <c r="VZK38" s="48"/>
      <c r="VZL38" s="48"/>
      <c r="VZM38" s="48"/>
      <c r="VZN38" s="48"/>
      <c r="VZO38" s="48"/>
      <c r="VZP38" s="48"/>
      <c r="VZQ38" s="48"/>
      <c r="VZR38" s="48"/>
      <c r="VZS38" s="48"/>
      <c r="VZT38" s="48"/>
      <c r="VZU38" s="48"/>
      <c r="VZV38" s="48"/>
      <c r="VZW38" s="48"/>
      <c r="VZX38" s="48"/>
      <c r="VZY38" s="45"/>
      <c r="VZZ38" s="46"/>
      <c r="WAA38" s="46"/>
      <c r="WAB38" s="47"/>
      <c r="WAC38" s="48"/>
      <c r="WAD38" s="48"/>
      <c r="WAE38" s="48"/>
      <c r="WAF38" s="48"/>
      <c r="WAG38" s="48"/>
      <c r="WAH38" s="48"/>
      <c r="WAI38" s="48"/>
      <c r="WAJ38" s="48"/>
      <c r="WAK38" s="48"/>
      <c r="WAL38" s="48"/>
      <c r="WAM38" s="48"/>
      <c r="WAN38" s="48"/>
      <c r="WAO38" s="48"/>
      <c r="WAP38" s="48"/>
      <c r="WAQ38" s="48"/>
      <c r="WAR38" s="48"/>
      <c r="WAS38" s="48"/>
      <c r="WAT38" s="48"/>
      <c r="WAU38" s="45"/>
      <c r="WAV38" s="46"/>
      <c r="WAW38" s="46"/>
      <c r="WAX38" s="47"/>
      <c r="WAY38" s="48"/>
      <c r="WAZ38" s="48"/>
      <c r="WBA38" s="48"/>
      <c r="WBB38" s="48"/>
      <c r="WBC38" s="48"/>
      <c r="WBD38" s="48"/>
      <c r="WBE38" s="48"/>
      <c r="WBF38" s="48"/>
      <c r="WBG38" s="48"/>
      <c r="WBH38" s="48"/>
      <c r="WBI38" s="48"/>
      <c r="WBJ38" s="48"/>
      <c r="WBK38" s="48"/>
      <c r="WBL38" s="48"/>
      <c r="WBM38" s="48"/>
      <c r="WBN38" s="48"/>
      <c r="WBO38" s="48"/>
      <c r="WBP38" s="48"/>
      <c r="WBQ38" s="45"/>
      <c r="WBR38" s="46"/>
      <c r="WBS38" s="46"/>
      <c r="WBT38" s="47"/>
      <c r="WBU38" s="48"/>
      <c r="WBV38" s="48"/>
      <c r="WBW38" s="48"/>
      <c r="WBX38" s="48"/>
      <c r="WBY38" s="48"/>
      <c r="WBZ38" s="48"/>
      <c r="WCA38" s="48"/>
      <c r="WCB38" s="48"/>
      <c r="WCC38" s="48"/>
      <c r="WCD38" s="48"/>
      <c r="WCE38" s="48"/>
      <c r="WCF38" s="48"/>
      <c r="WCG38" s="48"/>
      <c r="WCH38" s="48"/>
      <c r="WCI38" s="48"/>
      <c r="WCJ38" s="48"/>
      <c r="WCK38" s="48"/>
      <c r="WCL38" s="48"/>
      <c r="WCM38" s="45"/>
      <c r="WCN38" s="46"/>
      <c r="WCO38" s="46"/>
      <c r="WCP38" s="47"/>
      <c r="WCQ38" s="48"/>
      <c r="WCR38" s="48"/>
      <c r="WCS38" s="48"/>
      <c r="WCT38" s="48"/>
      <c r="WCU38" s="48"/>
      <c r="WCV38" s="48"/>
      <c r="WCW38" s="48"/>
      <c r="WCX38" s="48"/>
      <c r="WCY38" s="48"/>
      <c r="WCZ38" s="48"/>
      <c r="WDA38" s="48"/>
      <c r="WDB38" s="48"/>
      <c r="WDC38" s="48"/>
      <c r="WDD38" s="48"/>
      <c r="WDE38" s="48"/>
      <c r="WDF38" s="48"/>
      <c r="WDG38" s="48"/>
      <c r="WDH38" s="48"/>
      <c r="WDI38" s="45"/>
      <c r="WDJ38" s="46"/>
      <c r="WDK38" s="46"/>
      <c r="WDL38" s="47"/>
      <c r="WDM38" s="48"/>
      <c r="WDN38" s="48"/>
      <c r="WDO38" s="48"/>
      <c r="WDP38" s="48"/>
      <c r="WDQ38" s="48"/>
      <c r="WDR38" s="48"/>
      <c r="WDS38" s="48"/>
      <c r="WDT38" s="48"/>
      <c r="WDU38" s="48"/>
      <c r="WDV38" s="48"/>
      <c r="WDW38" s="48"/>
      <c r="WDX38" s="48"/>
      <c r="WDY38" s="48"/>
      <c r="WDZ38" s="48"/>
      <c r="WEA38" s="48"/>
      <c r="WEB38" s="48"/>
      <c r="WEC38" s="48"/>
      <c r="WED38" s="48"/>
      <c r="WEE38" s="45"/>
      <c r="WEF38" s="46"/>
      <c r="WEG38" s="46"/>
      <c r="WEH38" s="47"/>
      <c r="WEI38" s="48"/>
      <c r="WEJ38" s="48"/>
      <c r="WEK38" s="48"/>
      <c r="WEL38" s="48"/>
      <c r="WEM38" s="48"/>
      <c r="WEN38" s="48"/>
      <c r="WEO38" s="48"/>
      <c r="WEP38" s="48"/>
      <c r="WEQ38" s="48"/>
      <c r="WER38" s="48"/>
      <c r="WES38" s="48"/>
      <c r="WET38" s="48"/>
      <c r="WEU38" s="48"/>
      <c r="WEV38" s="48"/>
      <c r="WEW38" s="48"/>
      <c r="WEX38" s="48"/>
      <c r="WEY38" s="48"/>
      <c r="WEZ38" s="48"/>
      <c r="WFA38" s="45"/>
      <c r="WFB38" s="46"/>
      <c r="WFC38" s="46"/>
      <c r="WFD38" s="47"/>
      <c r="WFE38" s="48"/>
      <c r="WFF38" s="48"/>
      <c r="WFG38" s="48"/>
      <c r="WFH38" s="48"/>
      <c r="WFI38" s="48"/>
      <c r="WFJ38" s="48"/>
      <c r="WFK38" s="48"/>
      <c r="WFL38" s="48"/>
      <c r="WFM38" s="48"/>
      <c r="WFN38" s="48"/>
      <c r="WFO38" s="48"/>
      <c r="WFP38" s="48"/>
      <c r="WFQ38" s="48"/>
      <c r="WFR38" s="48"/>
      <c r="WFS38" s="48"/>
      <c r="WFT38" s="48"/>
      <c r="WFU38" s="48"/>
      <c r="WFV38" s="48"/>
      <c r="WFW38" s="45"/>
      <c r="WFX38" s="46"/>
      <c r="WFY38" s="46"/>
      <c r="WFZ38" s="47"/>
      <c r="WGA38" s="48"/>
      <c r="WGB38" s="48"/>
      <c r="WGC38" s="48"/>
      <c r="WGD38" s="48"/>
      <c r="WGE38" s="48"/>
      <c r="WGF38" s="48"/>
      <c r="WGG38" s="48"/>
      <c r="WGH38" s="48"/>
      <c r="WGI38" s="48"/>
      <c r="WGJ38" s="48"/>
      <c r="WGK38" s="48"/>
      <c r="WGL38" s="48"/>
      <c r="WGM38" s="48"/>
      <c r="WGN38" s="48"/>
      <c r="WGO38" s="48"/>
      <c r="WGP38" s="48"/>
      <c r="WGQ38" s="48"/>
      <c r="WGR38" s="48"/>
      <c r="WGS38" s="45"/>
      <c r="WGT38" s="46"/>
      <c r="WGU38" s="46"/>
      <c r="WGV38" s="47"/>
      <c r="WGW38" s="48"/>
      <c r="WGX38" s="48"/>
      <c r="WGY38" s="48"/>
      <c r="WGZ38" s="48"/>
      <c r="WHA38" s="48"/>
      <c r="WHB38" s="48"/>
      <c r="WHC38" s="48"/>
      <c r="WHD38" s="48"/>
      <c r="WHE38" s="48"/>
      <c r="WHF38" s="48"/>
      <c r="WHG38" s="48"/>
      <c r="WHH38" s="48"/>
      <c r="WHI38" s="48"/>
      <c r="WHJ38" s="48"/>
      <c r="WHK38" s="48"/>
      <c r="WHL38" s="48"/>
      <c r="WHM38" s="48"/>
      <c r="WHN38" s="48"/>
      <c r="WHO38" s="45"/>
      <c r="WHP38" s="46"/>
      <c r="WHQ38" s="46"/>
      <c r="WHR38" s="47"/>
      <c r="WHS38" s="48"/>
      <c r="WHT38" s="48"/>
      <c r="WHU38" s="48"/>
      <c r="WHV38" s="48"/>
      <c r="WHW38" s="48"/>
      <c r="WHX38" s="48"/>
      <c r="WHY38" s="48"/>
      <c r="WHZ38" s="48"/>
      <c r="WIA38" s="48"/>
      <c r="WIB38" s="48"/>
      <c r="WIC38" s="48"/>
      <c r="WID38" s="48"/>
      <c r="WIE38" s="48"/>
      <c r="WIF38" s="48"/>
      <c r="WIG38" s="48"/>
      <c r="WIH38" s="48"/>
      <c r="WII38" s="48"/>
      <c r="WIJ38" s="48"/>
      <c r="WIK38" s="45"/>
      <c r="WIL38" s="46"/>
      <c r="WIM38" s="46"/>
      <c r="WIN38" s="47"/>
      <c r="WIO38" s="48"/>
      <c r="WIP38" s="48"/>
      <c r="WIQ38" s="48"/>
      <c r="WIR38" s="48"/>
      <c r="WIS38" s="48"/>
      <c r="WIT38" s="48"/>
      <c r="WIU38" s="48"/>
      <c r="WIV38" s="48"/>
      <c r="WIW38" s="48"/>
      <c r="WIX38" s="48"/>
      <c r="WIY38" s="48"/>
      <c r="WIZ38" s="48"/>
      <c r="WJA38" s="48"/>
      <c r="WJB38" s="48"/>
      <c r="WJC38" s="48"/>
      <c r="WJD38" s="48"/>
      <c r="WJE38" s="48"/>
      <c r="WJF38" s="48"/>
      <c r="WJG38" s="45"/>
      <c r="WJH38" s="46"/>
      <c r="WJI38" s="46"/>
      <c r="WJJ38" s="47"/>
      <c r="WJK38" s="48"/>
      <c r="WJL38" s="48"/>
      <c r="WJM38" s="48"/>
      <c r="WJN38" s="48"/>
      <c r="WJO38" s="48"/>
      <c r="WJP38" s="48"/>
      <c r="WJQ38" s="48"/>
      <c r="WJR38" s="48"/>
      <c r="WJS38" s="48"/>
      <c r="WJT38" s="48"/>
      <c r="WJU38" s="48"/>
      <c r="WJV38" s="48"/>
      <c r="WJW38" s="48"/>
      <c r="WJX38" s="48"/>
      <c r="WJY38" s="48"/>
      <c r="WJZ38" s="48"/>
      <c r="WKA38" s="48"/>
      <c r="WKB38" s="48"/>
      <c r="WKC38" s="45"/>
      <c r="WKD38" s="46"/>
      <c r="WKE38" s="46"/>
      <c r="WKF38" s="47"/>
      <c r="WKG38" s="48"/>
      <c r="WKH38" s="48"/>
      <c r="WKI38" s="48"/>
      <c r="WKJ38" s="48"/>
      <c r="WKK38" s="48"/>
      <c r="WKL38" s="48"/>
      <c r="WKM38" s="48"/>
      <c r="WKN38" s="48"/>
      <c r="WKO38" s="48"/>
      <c r="WKP38" s="48"/>
      <c r="WKQ38" s="48"/>
      <c r="WKR38" s="48"/>
      <c r="WKS38" s="48"/>
      <c r="WKT38" s="48"/>
      <c r="WKU38" s="48"/>
      <c r="WKV38" s="48"/>
      <c r="WKW38" s="48"/>
      <c r="WKX38" s="48"/>
      <c r="WKY38" s="45"/>
      <c r="WKZ38" s="46"/>
      <c r="WLA38" s="46"/>
      <c r="WLB38" s="47"/>
      <c r="WLC38" s="48"/>
      <c r="WLD38" s="48"/>
      <c r="WLE38" s="48"/>
      <c r="WLF38" s="48"/>
      <c r="WLG38" s="48"/>
      <c r="WLH38" s="48"/>
      <c r="WLI38" s="48"/>
      <c r="WLJ38" s="48"/>
      <c r="WLK38" s="48"/>
      <c r="WLL38" s="48"/>
      <c r="WLM38" s="48"/>
      <c r="WLN38" s="48"/>
      <c r="WLO38" s="48"/>
      <c r="WLP38" s="48"/>
      <c r="WLQ38" s="48"/>
      <c r="WLR38" s="48"/>
      <c r="WLS38" s="48"/>
      <c r="WLT38" s="48"/>
      <c r="WLU38" s="45"/>
      <c r="WLV38" s="46"/>
      <c r="WLW38" s="46"/>
      <c r="WLX38" s="47"/>
      <c r="WLY38" s="48"/>
      <c r="WLZ38" s="48"/>
      <c r="WMA38" s="48"/>
      <c r="WMB38" s="48"/>
      <c r="WMC38" s="48"/>
      <c r="WMD38" s="48"/>
      <c r="WME38" s="48"/>
      <c r="WMF38" s="48"/>
      <c r="WMG38" s="48"/>
      <c r="WMH38" s="48"/>
      <c r="WMI38" s="48"/>
      <c r="WMJ38" s="48"/>
      <c r="WMK38" s="48"/>
      <c r="WML38" s="48"/>
      <c r="WMM38" s="48"/>
      <c r="WMN38" s="48"/>
      <c r="WMO38" s="48"/>
      <c r="WMP38" s="48"/>
      <c r="WMQ38" s="45"/>
      <c r="WMR38" s="46"/>
      <c r="WMS38" s="46"/>
      <c r="WMT38" s="47"/>
      <c r="WMU38" s="48"/>
      <c r="WMV38" s="48"/>
      <c r="WMW38" s="48"/>
      <c r="WMX38" s="48"/>
      <c r="WMY38" s="48"/>
      <c r="WMZ38" s="48"/>
      <c r="WNA38" s="48"/>
      <c r="WNB38" s="48"/>
      <c r="WNC38" s="48"/>
      <c r="WND38" s="48"/>
      <c r="WNE38" s="48"/>
      <c r="WNF38" s="48"/>
      <c r="WNG38" s="48"/>
      <c r="WNH38" s="48"/>
      <c r="WNI38" s="48"/>
      <c r="WNJ38" s="48"/>
      <c r="WNK38" s="48"/>
      <c r="WNL38" s="48"/>
      <c r="WNM38" s="45"/>
      <c r="WNN38" s="46"/>
      <c r="WNO38" s="46"/>
      <c r="WNP38" s="47"/>
      <c r="WNQ38" s="48"/>
      <c r="WNR38" s="48"/>
      <c r="WNS38" s="48"/>
      <c r="WNT38" s="48"/>
      <c r="WNU38" s="48"/>
      <c r="WNV38" s="48"/>
      <c r="WNW38" s="48"/>
      <c r="WNX38" s="48"/>
      <c r="WNY38" s="48"/>
      <c r="WNZ38" s="48"/>
      <c r="WOA38" s="48"/>
      <c r="WOB38" s="48"/>
      <c r="WOC38" s="48"/>
      <c r="WOD38" s="48"/>
      <c r="WOE38" s="48"/>
      <c r="WOF38" s="48"/>
      <c r="WOG38" s="48"/>
      <c r="WOH38" s="48"/>
      <c r="WOI38" s="45"/>
      <c r="WOJ38" s="46"/>
      <c r="WOK38" s="46"/>
      <c r="WOL38" s="47"/>
      <c r="WOM38" s="48"/>
      <c r="WON38" s="48"/>
      <c r="WOO38" s="48"/>
      <c r="WOP38" s="48"/>
      <c r="WOQ38" s="48"/>
      <c r="WOR38" s="48"/>
      <c r="WOS38" s="48"/>
      <c r="WOT38" s="48"/>
      <c r="WOU38" s="48"/>
      <c r="WOV38" s="48"/>
      <c r="WOW38" s="48"/>
      <c r="WOX38" s="48"/>
      <c r="WOY38" s="48"/>
      <c r="WOZ38" s="48"/>
      <c r="WPA38" s="48"/>
      <c r="WPB38" s="48"/>
      <c r="WPC38" s="48"/>
      <c r="WPD38" s="48"/>
      <c r="WPE38" s="45"/>
      <c r="WPF38" s="46"/>
      <c r="WPG38" s="46"/>
      <c r="WPH38" s="47"/>
      <c r="WPI38" s="48"/>
      <c r="WPJ38" s="48"/>
      <c r="WPK38" s="48"/>
      <c r="WPL38" s="48"/>
      <c r="WPM38" s="48"/>
      <c r="WPN38" s="48"/>
      <c r="WPO38" s="48"/>
      <c r="WPP38" s="48"/>
      <c r="WPQ38" s="48"/>
      <c r="WPR38" s="48"/>
      <c r="WPS38" s="48"/>
      <c r="WPT38" s="48"/>
      <c r="WPU38" s="48"/>
      <c r="WPV38" s="48"/>
      <c r="WPW38" s="48"/>
      <c r="WPX38" s="48"/>
      <c r="WPY38" s="48"/>
      <c r="WPZ38" s="48"/>
      <c r="WQA38" s="45"/>
      <c r="WQB38" s="46"/>
      <c r="WQC38" s="46"/>
      <c r="WQD38" s="47"/>
      <c r="WQE38" s="48"/>
      <c r="WQF38" s="48"/>
      <c r="WQG38" s="48"/>
      <c r="WQH38" s="48"/>
      <c r="WQI38" s="48"/>
      <c r="WQJ38" s="48"/>
      <c r="WQK38" s="48"/>
      <c r="WQL38" s="48"/>
      <c r="WQM38" s="48"/>
      <c r="WQN38" s="48"/>
      <c r="WQO38" s="48"/>
      <c r="WQP38" s="48"/>
      <c r="WQQ38" s="48"/>
      <c r="WQR38" s="48"/>
      <c r="WQS38" s="48"/>
      <c r="WQT38" s="48"/>
      <c r="WQU38" s="48"/>
      <c r="WQV38" s="48"/>
      <c r="WQW38" s="45"/>
      <c r="WQX38" s="46"/>
      <c r="WQY38" s="46"/>
      <c r="WQZ38" s="47"/>
      <c r="WRA38" s="48"/>
      <c r="WRB38" s="48"/>
      <c r="WRC38" s="48"/>
      <c r="WRD38" s="48"/>
      <c r="WRE38" s="48"/>
      <c r="WRF38" s="48"/>
      <c r="WRG38" s="48"/>
      <c r="WRH38" s="48"/>
      <c r="WRI38" s="48"/>
      <c r="WRJ38" s="48"/>
      <c r="WRK38" s="48"/>
      <c r="WRL38" s="48"/>
      <c r="WRM38" s="48"/>
      <c r="WRN38" s="48"/>
      <c r="WRO38" s="48"/>
      <c r="WRP38" s="48"/>
      <c r="WRQ38" s="48"/>
      <c r="WRR38" s="48"/>
      <c r="WRS38" s="45"/>
      <c r="WRT38" s="46"/>
      <c r="WRU38" s="46"/>
      <c r="WRV38" s="47"/>
      <c r="WRW38" s="48"/>
      <c r="WRX38" s="48"/>
      <c r="WRY38" s="48"/>
      <c r="WRZ38" s="48"/>
      <c r="WSA38" s="48"/>
      <c r="WSB38" s="48"/>
      <c r="WSC38" s="48"/>
      <c r="WSD38" s="48"/>
      <c r="WSE38" s="48"/>
      <c r="WSF38" s="48"/>
      <c r="WSG38" s="48"/>
      <c r="WSH38" s="48"/>
      <c r="WSI38" s="48"/>
      <c r="WSJ38" s="48"/>
      <c r="WSK38" s="48"/>
      <c r="WSL38" s="48"/>
      <c r="WSM38" s="48"/>
      <c r="WSN38" s="48"/>
      <c r="WSO38" s="45"/>
      <c r="WSP38" s="46"/>
      <c r="WSQ38" s="46"/>
      <c r="WSR38" s="47"/>
      <c r="WSS38" s="48"/>
      <c r="WST38" s="48"/>
      <c r="WSU38" s="48"/>
      <c r="WSV38" s="48"/>
      <c r="WSW38" s="48"/>
      <c r="WSX38" s="48"/>
      <c r="WSY38" s="48"/>
      <c r="WSZ38" s="48"/>
      <c r="WTA38" s="48"/>
      <c r="WTB38" s="48"/>
      <c r="WTC38" s="48"/>
      <c r="WTD38" s="48"/>
      <c r="WTE38" s="48"/>
      <c r="WTF38" s="48"/>
      <c r="WTG38" s="48"/>
      <c r="WTH38" s="48"/>
      <c r="WTI38" s="48"/>
      <c r="WTJ38" s="48"/>
      <c r="WTK38" s="45"/>
      <c r="WTL38" s="46"/>
      <c r="WTM38" s="46"/>
      <c r="WTN38" s="47"/>
      <c r="WTO38" s="48"/>
      <c r="WTP38" s="48"/>
      <c r="WTQ38" s="48"/>
      <c r="WTR38" s="48"/>
      <c r="WTS38" s="48"/>
      <c r="WTT38" s="48"/>
      <c r="WTU38" s="48"/>
      <c r="WTV38" s="48"/>
      <c r="WTW38" s="48"/>
      <c r="WTX38" s="48"/>
      <c r="WTY38" s="48"/>
      <c r="WTZ38" s="48"/>
      <c r="WUA38" s="48"/>
      <c r="WUB38" s="48"/>
      <c r="WUC38" s="48"/>
      <c r="WUD38" s="48"/>
      <c r="WUE38" s="48"/>
      <c r="WUF38" s="48"/>
      <c r="WUG38" s="45"/>
      <c r="WUH38" s="46"/>
      <c r="WUI38" s="46"/>
      <c r="WUJ38" s="47"/>
      <c r="WUK38" s="48"/>
      <c r="WUL38" s="48"/>
      <c r="WUM38" s="48"/>
      <c r="WUN38" s="48"/>
      <c r="WUO38" s="48"/>
      <c r="WUP38" s="48"/>
      <c r="WUQ38" s="48"/>
      <c r="WUR38" s="48"/>
      <c r="WUS38" s="48"/>
      <c r="WUT38" s="48"/>
      <c r="WUU38" s="48"/>
      <c r="WUV38" s="48"/>
      <c r="WUW38" s="48"/>
      <c r="WUX38" s="48"/>
      <c r="WUY38" s="48"/>
      <c r="WUZ38" s="48"/>
      <c r="WVA38" s="48"/>
      <c r="WVB38" s="48"/>
      <c r="WVC38" s="45"/>
      <c r="WVD38" s="46"/>
      <c r="WVE38" s="46"/>
      <c r="WVF38" s="47"/>
      <c r="WVG38" s="48"/>
      <c r="WVH38" s="48"/>
      <c r="WVI38" s="48"/>
      <c r="WVJ38" s="48"/>
      <c r="WVK38" s="48"/>
      <c r="WVL38" s="48"/>
      <c r="WVM38" s="48"/>
      <c r="WVN38" s="48"/>
      <c r="WVO38" s="48"/>
      <c r="WVP38" s="48"/>
      <c r="WVQ38" s="48"/>
      <c r="WVR38" s="48"/>
      <c r="WVS38" s="48"/>
      <c r="WVT38" s="48"/>
      <c r="WVU38" s="48"/>
      <c r="WVV38" s="48"/>
      <c r="WVW38" s="48"/>
      <c r="WVX38" s="48"/>
      <c r="WVY38" s="45"/>
      <c r="WVZ38" s="46"/>
      <c r="WWA38" s="46"/>
      <c r="WWB38" s="47"/>
      <c r="WWC38" s="48"/>
      <c r="WWD38" s="48"/>
      <c r="WWE38" s="48"/>
      <c r="WWF38" s="48"/>
      <c r="WWG38" s="48"/>
      <c r="WWH38" s="48"/>
      <c r="WWI38" s="48"/>
      <c r="WWJ38" s="48"/>
      <c r="WWK38" s="48"/>
      <c r="WWL38" s="48"/>
      <c r="WWM38" s="48"/>
      <c r="WWN38" s="48"/>
      <c r="WWO38" s="48"/>
      <c r="WWP38" s="48"/>
      <c r="WWQ38" s="48"/>
      <c r="WWR38" s="48"/>
      <c r="WWS38" s="48"/>
      <c r="WWT38" s="48"/>
      <c r="WWU38" s="45"/>
      <c r="WWV38" s="46"/>
      <c r="WWW38" s="46"/>
      <c r="WWX38" s="47"/>
      <c r="WWY38" s="48"/>
      <c r="WWZ38" s="48"/>
      <c r="WXA38" s="48"/>
      <c r="WXB38" s="48"/>
      <c r="WXC38" s="48"/>
      <c r="WXD38" s="48"/>
      <c r="WXE38" s="48"/>
      <c r="WXF38" s="48"/>
      <c r="WXG38" s="48"/>
      <c r="WXH38" s="48"/>
      <c r="WXI38" s="48"/>
      <c r="WXJ38" s="48"/>
      <c r="WXK38" s="48"/>
      <c r="WXL38" s="48"/>
      <c r="WXM38" s="48"/>
      <c r="WXN38" s="48"/>
      <c r="WXO38" s="48"/>
      <c r="WXP38" s="48"/>
      <c r="WXQ38" s="45"/>
      <c r="WXR38" s="46"/>
      <c r="WXS38" s="46"/>
      <c r="WXT38" s="47"/>
      <c r="WXU38" s="48"/>
      <c r="WXV38" s="48"/>
      <c r="WXW38" s="48"/>
      <c r="WXX38" s="48"/>
      <c r="WXY38" s="48"/>
      <c r="WXZ38" s="48"/>
      <c r="WYA38" s="48"/>
      <c r="WYB38" s="48"/>
      <c r="WYC38" s="48"/>
      <c r="WYD38" s="48"/>
      <c r="WYE38" s="48"/>
      <c r="WYF38" s="48"/>
      <c r="WYG38" s="48"/>
      <c r="WYH38" s="48"/>
      <c r="WYI38" s="48"/>
      <c r="WYJ38" s="48"/>
      <c r="WYK38" s="48"/>
      <c r="WYL38" s="48"/>
      <c r="WYM38" s="45"/>
      <c r="WYN38" s="46"/>
      <c r="WYO38" s="46"/>
      <c r="WYP38" s="47"/>
      <c r="WYQ38" s="48"/>
      <c r="WYR38" s="48"/>
      <c r="WYS38" s="48"/>
      <c r="WYT38" s="48"/>
      <c r="WYU38" s="48"/>
      <c r="WYV38" s="48"/>
      <c r="WYW38" s="48"/>
      <c r="WYX38" s="48"/>
      <c r="WYY38" s="48"/>
      <c r="WYZ38" s="48"/>
      <c r="WZA38" s="48"/>
      <c r="WZB38" s="48"/>
      <c r="WZC38" s="48"/>
      <c r="WZD38" s="48"/>
      <c r="WZE38" s="48"/>
      <c r="WZF38" s="48"/>
      <c r="WZG38" s="48"/>
      <c r="WZH38" s="48"/>
      <c r="WZI38" s="45"/>
      <c r="WZJ38" s="46"/>
      <c r="WZK38" s="46"/>
      <c r="WZL38" s="47"/>
      <c r="WZM38" s="48"/>
      <c r="WZN38" s="48"/>
      <c r="WZO38" s="48"/>
      <c r="WZP38" s="48"/>
      <c r="WZQ38" s="48"/>
      <c r="WZR38" s="48"/>
      <c r="WZS38" s="48"/>
      <c r="WZT38" s="48"/>
      <c r="WZU38" s="48"/>
      <c r="WZV38" s="48"/>
      <c r="WZW38" s="48"/>
      <c r="WZX38" s="48"/>
      <c r="WZY38" s="48"/>
      <c r="WZZ38" s="48"/>
      <c r="XAA38" s="48"/>
      <c r="XAB38" s="48"/>
      <c r="XAC38" s="48"/>
      <c r="XAD38" s="48"/>
      <c r="XAE38" s="45"/>
      <c r="XAF38" s="46"/>
      <c r="XAG38" s="46"/>
      <c r="XAH38" s="47"/>
      <c r="XAI38" s="48"/>
      <c r="XAJ38" s="48"/>
      <c r="XAK38" s="48"/>
      <c r="XAL38" s="48"/>
      <c r="XAM38" s="48"/>
      <c r="XAN38" s="48"/>
      <c r="XAO38" s="48"/>
      <c r="XAP38" s="48"/>
      <c r="XAQ38" s="48"/>
      <c r="XAR38" s="48"/>
      <c r="XAS38" s="48"/>
      <c r="XAT38" s="48"/>
      <c r="XAU38" s="48"/>
      <c r="XAV38" s="48"/>
      <c r="XAW38" s="48"/>
      <c r="XAX38" s="48"/>
      <c r="XAY38" s="48"/>
      <c r="XAZ38" s="48"/>
      <c r="XBA38" s="45"/>
      <c r="XBB38" s="46"/>
      <c r="XBC38" s="46"/>
      <c r="XBD38" s="47"/>
      <c r="XBE38" s="48"/>
      <c r="XBF38" s="48"/>
      <c r="XBG38" s="48"/>
      <c r="XBH38" s="48"/>
      <c r="XBI38" s="48"/>
      <c r="XBJ38" s="48"/>
      <c r="XBK38" s="48"/>
      <c r="XBL38" s="48"/>
      <c r="XBM38" s="48"/>
      <c r="XBN38" s="48"/>
      <c r="XBO38" s="48"/>
      <c r="XBP38" s="48"/>
      <c r="XBQ38" s="48"/>
      <c r="XBR38" s="48"/>
      <c r="XBS38" s="48"/>
      <c r="XBT38" s="48"/>
      <c r="XBU38" s="48"/>
      <c r="XBV38" s="48"/>
      <c r="XBW38" s="45"/>
      <c r="XBX38" s="46"/>
      <c r="XBY38" s="46"/>
      <c r="XBZ38" s="47"/>
      <c r="XCA38" s="48"/>
      <c r="XCB38" s="48"/>
      <c r="XCC38" s="48"/>
      <c r="XCD38" s="48"/>
      <c r="XCE38" s="48"/>
      <c r="XCF38" s="48"/>
      <c r="XCG38" s="48"/>
      <c r="XCH38" s="48"/>
      <c r="XCI38" s="48"/>
      <c r="XCJ38" s="48"/>
      <c r="XCK38" s="48"/>
      <c r="XCL38" s="48"/>
      <c r="XCM38" s="48"/>
      <c r="XCN38" s="48"/>
      <c r="XCO38" s="48"/>
      <c r="XCP38" s="48"/>
      <c r="XCQ38" s="48"/>
      <c r="XCR38" s="48"/>
      <c r="XCS38" s="45"/>
      <c r="XCT38" s="46"/>
      <c r="XCU38" s="46"/>
      <c r="XCV38" s="47"/>
      <c r="XCW38" s="48"/>
      <c r="XCX38" s="48"/>
      <c r="XCY38" s="48"/>
      <c r="XCZ38" s="48"/>
      <c r="XDA38" s="48"/>
      <c r="XDB38" s="48"/>
      <c r="XDC38" s="48"/>
      <c r="XDD38" s="48"/>
      <c r="XDE38" s="48"/>
      <c r="XDF38" s="48"/>
      <c r="XDG38" s="48"/>
      <c r="XDH38" s="48"/>
      <c r="XDI38" s="48"/>
      <c r="XDJ38" s="48"/>
      <c r="XDK38" s="48"/>
      <c r="XDL38" s="48"/>
      <c r="XDM38" s="48"/>
      <c r="XDN38" s="48"/>
      <c r="XDO38" s="45"/>
      <c r="XDP38" s="46"/>
      <c r="XDQ38" s="46"/>
      <c r="XDR38" s="47"/>
      <c r="XDS38" s="48"/>
      <c r="XDT38" s="48"/>
      <c r="XDU38" s="48"/>
      <c r="XDV38" s="48"/>
      <c r="XDW38" s="48"/>
      <c r="XDX38" s="48"/>
      <c r="XDY38" s="48"/>
      <c r="XDZ38" s="48"/>
      <c r="XEA38" s="48"/>
      <c r="XEB38" s="48"/>
      <c r="XEC38" s="48"/>
      <c r="XED38" s="48"/>
      <c r="XEE38" s="48"/>
      <c r="XEF38" s="48"/>
      <c r="XEG38" s="48"/>
      <c r="XEH38" s="48"/>
      <c r="XEI38" s="48"/>
      <c r="XEJ38" s="48"/>
      <c r="XEK38" s="45"/>
      <c r="XEL38" s="46"/>
      <c r="XEM38" s="46"/>
      <c r="XEN38" s="47"/>
      <c r="XEO38" s="48"/>
      <c r="XEP38" s="48"/>
      <c r="XEQ38" s="48"/>
      <c r="XER38" s="48"/>
      <c r="XES38" s="48"/>
      <c r="XET38" s="48"/>
      <c r="XEU38" s="48"/>
      <c r="XEV38" s="48"/>
      <c r="XEW38" s="48"/>
      <c r="XEX38" s="48"/>
      <c r="XEY38" s="48"/>
      <c r="XEZ38" s="48"/>
      <c r="XFA38" s="48"/>
      <c r="XFB38" s="48"/>
      <c r="XFC38" s="48"/>
    </row>
    <row r="39" spans="1:16383" s="50" customFormat="1" x14ac:dyDescent="0.3">
      <c r="A39" s="85"/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92"/>
      <c r="N39" s="84"/>
      <c r="O39" s="84"/>
      <c r="P39" s="84"/>
      <c r="Q39" s="84"/>
      <c r="R39" s="84"/>
      <c r="S39" s="84"/>
      <c r="T39" s="46" t="str">
        <f t="shared" si="6"/>
        <v/>
      </c>
      <c r="U39" s="46" t="str">
        <f t="shared" si="7"/>
        <v/>
      </c>
      <c r="V39" s="72" t="str">
        <f t="shared" si="4"/>
        <v/>
      </c>
      <c r="W39" s="48"/>
      <c r="X39" s="73" t="str">
        <f t="shared" si="5"/>
        <v/>
      </c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43"/>
      <c r="CY39" s="43"/>
      <c r="CZ39" s="43"/>
      <c r="DA39" s="43"/>
      <c r="DB39" s="43"/>
      <c r="DC39" s="43"/>
      <c r="DD39" s="43"/>
      <c r="DE39" s="43"/>
      <c r="DF39" s="43"/>
      <c r="DG39" s="43"/>
      <c r="DH39" s="43"/>
      <c r="DI39" s="43"/>
      <c r="DJ39" s="43"/>
      <c r="DK39" s="43"/>
      <c r="DL39" s="43"/>
      <c r="DM39" s="43"/>
      <c r="DN39" s="43"/>
      <c r="DO39" s="43"/>
      <c r="DP39" s="43"/>
      <c r="DQ39" s="43"/>
      <c r="DR39" s="43"/>
      <c r="DS39" s="43"/>
      <c r="DT39" s="43"/>
      <c r="DU39" s="43"/>
      <c r="DV39" s="43"/>
      <c r="DW39" s="43"/>
      <c r="DX39" s="43"/>
      <c r="DY39" s="43"/>
      <c r="DZ39" s="43"/>
      <c r="EA39" s="43"/>
      <c r="EB39" s="43"/>
      <c r="EC39" s="43"/>
      <c r="ED39" s="43"/>
      <c r="EE39" s="43"/>
      <c r="EF39" s="43"/>
      <c r="EG39" s="43"/>
      <c r="EH39" s="43"/>
      <c r="EI39" s="43"/>
      <c r="EJ39" s="43"/>
      <c r="EK39" s="43"/>
      <c r="EL39" s="43"/>
      <c r="EM39" s="43"/>
      <c r="EN39" s="43"/>
      <c r="EO39" s="43"/>
      <c r="EP39" s="43"/>
      <c r="EQ39" s="43"/>
      <c r="ER39" s="43"/>
      <c r="ES39" s="43"/>
      <c r="ET39" s="43"/>
      <c r="EU39" s="43"/>
      <c r="EV39" s="43"/>
      <c r="EW39" s="43"/>
      <c r="EX39" s="43"/>
      <c r="EY39" s="43"/>
      <c r="EZ39" s="43"/>
      <c r="FA39" s="43"/>
      <c r="FB39" s="43"/>
      <c r="FC39" s="43"/>
      <c r="FD39" s="43"/>
      <c r="FE39" s="43"/>
      <c r="FF39" s="43"/>
      <c r="FG39" s="43"/>
      <c r="FH39" s="43"/>
      <c r="FI39" s="43"/>
      <c r="FJ39" s="43"/>
      <c r="FK39" s="43"/>
      <c r="FL39" s="43"/>
      <c r="FM39" s="43"/>
      <c r="FN39" s="43"/>
      <c r="FO39" s="43"/>
      <c r="FP39" s="43"/>
      <c r="FQ39" s="43"/>
      <c r="FR39" s="43"/>
      <c r="FS39" s="43"/>
      <c r="FT39" s="43"/>
      <c r="FU39" s="43"/>
      <c r="FV39" s="43"/>
      <c r="FW39" s="43"/>
      <c r="FX39" s="43"/>
      <c r="FY39" s="43"/>
      <c r="FZ39" s="43"/>
      <c r="GA39" s="43"/>
      <c r="GB39" s="43"/>
      <c r="GC39" s="43"/>
      <c r="GD39" s="43"/>
      <c r="GE39" s="43"/>
      <c r="GF39" s="43"/>
      <c r="GG39" s="43"/>
      <c r="GH39" s="43"/>
      <c r="GI39" s="43"/>
      <c r="GJ39" s="43"/>
      <c r="GK39" s="43"/>
      <c r="GL39" s="43"/>
      <c r="GM39" s="43"/>
      <c r="GN39" s="43"/>
      <c r="GO39" s="43"/>
      <c r="GP39" s="43"/>
      <c r="GQ39" s="43"/>
      <c r="GR39" s="43"/>
      <c r="GS39" s="43"/>
      <c r="GT39" s="43"/>
      <c r="GU39" s="43"/>
      <c r="GV39" s="43"/>
      <c r="GW39" s="43"/>
      <c r="GX39" s="43"/>
      <c r="GY39" s="43"/>
      <c r="GZ39" s="43"/>
      <c r="HA39" s="43"/>
      <c r="HB39" s="43"/>
      <c r="HC39" s="43"/>
      <c r="HD39" s="43"/>
      <c r="HE39" s="43"/>
      <c r="HF39" s="43"/>
      <c r="HG39" s="43"/>
      <c r="HH39" s="43"/>
      <c r="HI39" s="43"/>
      <c r="HJ39" s="43"/>
      <c r="HK39" s="43"/>
      <c r="HL39" s="43"/>
      <c r="HM39" s="43"/>
      <c r="HN39" s="43"/>
      <c r="HO39" s="43"/>
      <c r="HP39" s="43"/>
      <c r="HQ39" s="43"/>
      <c r="HR39" s="43"/>
      <c r="HS39" s="43"/>
      <c r="HT39" s="43"/>
      <c r="HU39" s="43"/>
      <c r="HV39" s="43"/>
      <c r="HW39" s="43"/>
      <c r="HX39" s="43"/>
      <c r="HY39" s="43"/>
      <c r="HZ39" s="43"/>
      <c r="IA39" s="43"/>
      <c r="IB39" s="43"/>
      <c r="IC39" s="43"/>
      <c r="ID39" s="43"/>
      <c r="IE39" s="43"/>
      <c r="IF39" s="43"/>
      <c r="IG39" s="43"/>
      <c r="IH39" s="43"/>
      <c r="II39" s="43"/>
      <c r="IJ39" s="43"/>
      <c r="IK39" s="43"/>
      <c r="IL39" s="43"/>
      <c r="IM39" s="43"/>
      <c r="IN39" s="43"/>
      <c r="IO39" s="43"/>
      <c r="IP39" s="43"/>
      <c r="IQ39" s="43"/>
      <c r="IR39" s="43"/>
      <c r="IS39" s="43"/>
      <c r="IT39" s="43"/>
      <c r="IU39" s="43"/>
      <c r="IV39" s="43"/>
      <c r="IW39" s="43"/>
      <c r="IX39" s="43"/>
      <c r="IY39" s="43"/>
      <c r="IZ39" s="43"/>
      <c r="JA39" s="43"/>
      <c r="JB39" s="43"/>
      <c r="JC39" s="43"/>
      <c r="JD39" s="43"/>
      <c r="JE39" s="43"/>
      <c r="JF39" s="43"/>
      <c r="JG39" s="43"/>
      <c r="JH39" s="43"/>
      <c r="JI39" s="43"/>
      <c r="JJ39" s="43"/>
      <c r="JK39" s="43"/>
      <c r="JL39" s="43"/>
      <c r="JM39" s="43"/>
      <c r="JN39" s="43"/>
      <c r="JO39" s="43"/>
      <c r="JP39" s="43"/>
      <c r="JQ39" s="43"/>
      <c r="JR39" s="43"/>
      <c r="JS39" s="43"/>
      <c r="JT39" s="43"/>
      <c r="JU39" s="43"/>
      <c r="JV39" s="43"/>
      <c r="JW39" s="43"/>
      <c r="JX39" s="43"/>
      <c r="JY39" s="43"/>
      <c r="JZ39" s="43"/>
      <c r="KA39" s="43"/>
      <c r="KB39" s="43"/>
      <c r="KC39" s="43"/>
      <c r="KD39" s="43"/>
      <c r="KE39" s="43"/>
      <c r="KF39" s="43"/>
      <c r="KG39" s="43"/>
      <c r="KH39" s="43"/>
      <c r="KI39" s="43"/>
      <c r="KJ39" s="43"/>
      <c r="KK39" s="43"/>
      <c r="KL39" s="43"/>
      <c r="KM39" s="43"/>
      <c r="KN39" s="43"/>
      <c r="KO39" s="43"/>
      <c r="KP39" s="43"/>
      <c r="KQ39" s="43"/>
      <c r="KR39" s="43"/>
      <c r="KS39" s="43"/>
      <c r="KT39" s="43"/>
      <c r="KU39" s="43"/>
      <c r="KV39" s="43"/>
      <c r="KW39" s="43"/>
      <c r="KX39" s="43"/>
      <c r="KY39" s="43"/>
      <c r="KZ39" s="43"/>
      <c r="LA39" s="43"/>
      <c r="LB39" s="43"/>
      <c r="LC39" s="43"/>
      <c r="LD39" s="43"/>
      <c r="LE39" s="43"/>
      <c r="LF39" s="43"/>
      <c r="LG39" s="43"/>
      <c r="LH39" s="43"/>
      <c r="LI39" s="43"/>
      <c r="LJ39" s="43"/>
      <c r="LK39" s="43"/>
      <c r="LL39" s="43"/>
      <c r="LM39" s="43"/>
      <c r="LN39" s="43"/>
      <c r="LO39" s="43"/>
      <c r="LP39" s="43"/>
      <c r="LQ39" s="43"/>
      <c r="LR39" s="43"/>
      <c r="LS39" s="43"/>
      <c r="LT39" s="43"/>
      <c r="LU39" s="43"/>
      <c r="LV39" s="43"/>
      <c r="LW39" s="43"/>
      <c r="LX39" s="43"/>
      <c r="LY39" s="43"/>
      <c r="LZ39" s="43"/>
      <c r="MA39" s="43"/>
      <c r="MB39" s="43"/>
      <c r="MC39" s="43"/>
      <c r="MD39" s="43"/>
      <c r="ME39" s="43"/>
      <c r="MF39" s="43"/>
      <c r="MG39" s="43"/>
      <c r="MH39" s="43"/>
      <c r="MI39" s="43"/>
      <c r="MJ39" s="43"/>
      <c r="MK39" s="43"/>
      <c r="ML39" s="43"/>
      <c r="MM39" s="43"/>
      <c r="MN39" s="43"/>
      <c r="MO39" s="43"/>
      <c r="MP39" s="43"/>
      <c r="MQ39" s="43"/>
      <c r="MR39" s="43"/>
      <c r="MS39" s="43"/>
      <c r="MT39" s="43"/>
      <c r="MU39" s="43"/>
      <c r="MV39" s="43"/>
      <c r="MW39" s="43"/>
      <c r="MX39" s="43"/>
      <c r="MY39" s="43"/>
      <c r="MZ39" s="43"/>
      <c r="NA39" s="43"/>
      <c r="NB39" s="43"/>
      <c r="NC39" s="43"/>
      <c r="ND39" s="43"/>
      <c r="NE39" s="43"/>
      <c r="NF39" s="43"/>
      <c r="NG39" s="43"/>
      <c r="NH39" s="43"/>
      <c r="NI39" s="43"/>
      <c r="NJ39" s="43"/>
      <c r="NK39" s="43"/>
      <c r="NL39" s="43"/>
      <c r="NM39" s="43"/>
      <c r="NN39" s="43"/>
      <c r="NO39" s="43"/>
      <c r="NP39" s="43"/>
      <c r="NQ39" s="43"/>
      <c r="NR39" s="43"/>
      <c r="NS39" s="43"/>
      <c r="NT39" s="43"/>
      <c r="NU39" s="43"/>
      <c r="NV39" s="43"/>
      <c r="NW39" s="43"/>
      <c r="NX39" s="43"/>
      <c r="NY39" s="43"/>
      <c r="NZ39" s="43"/>
      <c r="OA39" s="43"/>
      <c r="OB39" s="43"/>
      <c r="OC39" s="43"/>
      <c r="OD39" s="43"/>
      <c r="OE39" s="43"/>
      <c r="OF39" s="43"/>
      <c r="OG39" s="43"/>
      <c r="OH39" s="43"/>
      <c r="OI39" s="43"/>
      <c r="OJ39" s="43"/>
      <c r="OK39" s="43"/>
      <c r="OL39" s="43"/>
      <c r="OM39" s="43"/>
      <c r="ON39" s="43"/>
      <c r="OO39" s="43"/>
      <c r="OP39" s="43"/>
      <c r="OQ39" s="43"/>
      <c r="OR39" s="43"/>
      <c r="OS39" s="43"/>
      <c r="OT39" s="43"/>
      <c r="OU39" s="43"/>
      <c r="OV39" s="43"/>
      <c r="OW39" s="43"/>
      <c r="OX39" s="43"/>
      <c r="OY39" s="43"/>
      <c r="OZ39" s="43"/>
      <c r="PA39" s="43"/>
      <c r="PB39" s="43"/>
      <c r="PC39" s="43"/>
      <c r="PD39" s="43"/>
      <c r="PE39" s="43"/>
      <c r="PF39" s="43"/>
      <c r="PG39" s="43"/>
      <c r="PH39" s="43"/>
      <c r="PI39" s="43"/>
      <c r="PJ39" s="43"/>
      <c r="PK39" s="43"/>
      <c r="PL39" s="43"/>
      <c r="PM39" s="43"/>
      <c r="PN39" s="43"/>
      <c r="PO39" s="43"/>
      <c r="PP39" s="43"/>
      <c r="PQ39" s="43"/>
      <c r="PR39" s="43"/>
      <c r="PS39" s="43"/>
      <c r="PT39" s="43"/>
      <c r="PU39" s="43"/>
      <c r="PV39" s="43"/>
      <c r="PW39" s="43"/>
      <c r="PX39" s="43"/>
      <c r="PY39" s="43"/>
      <c r="PZ39" s="43"/>
      <c r="QA39" s="43"/>
      <c r="QB39" s="43"/>
      <c r="QC39" s="43"/>
    </row>
    <row r="40" spans="1:16383" s="50" customFormat="1" x14ac:dyDescent="0.3">
      <c r="A40" s="85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6"/>
      <c r="O40" s="84"/>
      <c r="P40" s="84"/>
      <c r="Q40" s="84"/>
      <c r="R40" s="84"/>
      <c r="S40" s="84"/>
      <c r="T40" s="46" t="str">
        <f t="shared" si="6"/>
        <v/>
      </c>
      <c r="U40" s="46" t="str">
        <f t="shared" si="7"/>
        <v/>
      </c>
      <c r="V40" s="72" t="str">
        <f t="shared" si="4"/>
        <v/>
      </c>
      <c r="W40" s="48"/>
      <c r="X40" s="73" t="str">
        <f t="shared" si="5"/>
        <v/>
      </c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43"/>
      <c r="CY40" s="43"/>
      <c r="CZ40" s="43"/>
      <c r="DA40" s="43"/>
      <c r="DB40" s="43"/>
      <c r="DC40" s="43"/>
      <c r="DD40" s="43"/>
      <c r="DE40" s="43"/>
      <c r="DF40" s="43"/>
      <c r="DG40" s="43"/>
      <c r="DH40" s="43"/>
      <c r="DI40" s="43"/>
      <c r="DJ40" s="43"/>
      <c r="DK40" s="43"/>
      <c r="DL40" s="43"/>
      <c r="DM40" s="43"/>
      <c r="DN40" s="43"/>
      <c r="DO40" s="43"/>
      <c r="DP40" s="43"/>
      <c r="DQ40" s="43"/>
      <c r="DR40" s="43"/>
      <c r="DS40" s="43"/>
      <c r="DT40" s="43"/>
      <c r="DU40" s="43"/>
      <c r="DV40" s="43"/>
      <c r="DW40" s="43"/>
      <c r="DX40" s="43"/>
      <c r="DY40" s="43"/>
      <c r="DZ40" s="43"/>
      <c r="EA40" s="43"/>
      <c r="EB40" s="43"/>
      <c r="EC40" s="43"/>
      <c r="ED40" s="43"/>
      <c r="EE40" s="43"/>
      <c r="EF40" s="43"/>
      <c r="EG40" s="43"/>
      <c r="EH40" s="43"/>
      <c r="EI40" s="43"/>
      <c r="EJ40" s="43"/>
      <c r="EK40" s="43"/>
      <c r="EL40" s="43"/>
      <c r="EM40" s="43"/>
      <c r="EN40" s="43"/>
      <c r="EO40" s="43"/>
      <c r="EP40" s="43"/>
      <c r="EQ40" s="43"/>
      <c r="ER40" s="43"/>
      <c r="ES40" s="43"/>
      <c r="ET40" s="43"/>
      <c r="EU40" s="43"/>
      <c r="EV40" s="43"/>
      <c r="EW40" s="43"/>
      <c r="EX40" s="43"/>
      <c r="EY40" s="43"/>
      <c r="EZ40" s="43"/>
      <c r="FA40" s="43"/>
      <c r="FB40" s="43"/>
      <c r="FC40" s="43"/>
      <c r="FD40" s="43"/>
      <c r="FE40" s="43"/>
      <c r="FF40" s="43"/>
      <c r="FG40" s="43"/>
      <c r="FH40" s="43"/>
      <c r="FI40" s="43"/>
      <c r="FJ40" s="43"/>
      <c r="FK40" s="43"/>
      <c r="FL40" s="43"/>
      <c r="FM40" s="43"/>
      <c r="FN40" s="43"/>
      <c r="FO40" s="43"/>
      <c r="FP40" s="43"/>
      <c r="FQ40" s="43"/>
      <c r="FR40" s="43"/>
      <c r="FS40" s="43"/>
      <c r="FT40" s="43"/>
      <c r="FU40" s="43"/>
      <c r="FV40" s="43"/>
      <c r="FW40" s="43"/>
      <c r="FX40" s="43"/>
      <c r="FY40" s="43"/>
      <c r="FZ40" s="43"/>
      <c r="GA40" s="43"/>
      <c r="GB40" s="43"/>
      <c r="GC40" s="43"/>
      <c r="GD40" s="43"/>
      <c r="GE40" s="43"/>
      <c r="GF40" s="43"/>
      <c r="GG40" s="43"/>
      <c r="GH40" s="43"/>
      <c r="GI40" s="43"/>
      <c r="GJ40" s="43"/>
      <c r="GK40" s="43"/>
      <c r="GL40" s="43"/>
      <c r="GM40" s="43"/>
      <c r="GN40" s="43"/>
      <c r="GO40" s="43"/>
      <c r="GP40" s="43"/>
      <c r="GQ40" s="43"/>
      <c r="GR40" s="43"/>
      <c r="GS40" s="43"/>
      <c r="GT40" s="43"/>
      <c r="GU40" s="43"/>
      <c r="GV40" s="43"/>
      <c r="GW40" s="43"/>
      <c r="GX40" s="43"/>
      <c r="GY40" s="43"/>
      <c r="GZ40" s="43"/>
      <c r="HA40" s="43"/>
      <c r="HB40" s="43"/>
      <c r="HC40" s="43"/>
      <c r="HD40" s="43"/>
      <c r="HE40" s="43"/>
      <c r="HF40" s="43"/>
      <c r="HG40" s="43"/>
      <c r="HH40" s="43"/>
      <c r="HI40" s="43"/>
      <c r="HJ40" s="43"/>
      <c r="HK40" s="43"/>
      <c r="HL40" s="43"/>
      <c r="HM40" s="43"/>
      <c r="HN40" s="43"/>
      <c r="HO40" s="43"/>
      <c r="HP40" s="43"/>
      <c r="HQ40" s="43"/>
      <c r="HR40" s="43"/>
      <c r="HS40" s="43"/>
      <c r="HT40" s="43"/>
      <c r="HU40" s="43"/>
      <c r="HV40" s="43"/>
      <c r="HW40" s="43"/>
      <c r="HX40" s="43"/>
      <c r="HY40" s="43"/>
      <c r="HZ40" s="43"/>
      <c r="IA40" s="43"/>
      <c r="IB40" s="43"/>
      <c r="IC40" s="43"/>
      <c r="ID40" s="43"/>
      <c r="IE40" s="43"/>
      <c r="IF40" s="43"/>
      <c r="IG40" s="43"/>
      <c r="IH40" s="43"/>
      <c r="II40" s="43"/>
      <c r="IJ40" s="43"/>
      <c r="IK40" s="43"/>
      <c r="IL40" s="43"/>
      <c r="IM40" s="43"/>
      <c r="IN40" s="43"/>
      <c r="IO40" s="43"/>
      <c r="IP40" s="43"/>
      <c r="IQ40" s="43"/>
      <c r="IR40" s="43"/>
      <c r="IS40" s="43"/>
      <c r="IT40" s="43"/>
      <c r="IU40" s="43"/>
      <c r="IV40" s="43"/>
      <c r="IW40" s="43"/>
      <c r="IX40" s="43"/>
      <c r="IY40" s="43"/>
      <c r="IZ40" s="43"/>
      <c r="JA40" s="43"/>
      <c r="JB40" s="43"/>
      <c r="JC40" s="43"/>
      <c r="JD40" s="43"/>
      <c r="JE40" s="43"/>
      <c r="JF40" s="43"/>
      <c r="JG40" s="43"/>
      <c r="JH40" s="43"/>
      <c r="JI40" s="43"/>
      <c r="JJ40" s="43"/>
      <c r="JK40" s="43"/>
      <c r="JL40" s="43"/>
      <c r="JM40" s="43"/>
      <c r="JN40" s="43"/>
      <c r="JO40" s="43"/>
      <c r="JP40" s="43"/>
      <c r="JQ40" s="43"/>
      <c r="JR40" s="43"/>
      <c r="JS40" s="43"/>
      <c r="JT40" s="43"/>
      <c r="JU40" s="43"/>
      <c r="JV40" s="43"/>
      <c r="JW40" s="43"/>
      <c r="JX40" s="43"/>
      <c r="JY40" s="43"/>
      <c r="JZ40" s="43"/>
      <c r="KA40" s="43"/>
      <c r="KB40" s="43"/>
      <c r="KC40" s="43"/>
      <c r="KD40" s="43"/>
      <c r="KE40" s="43"/>
      <c r="KF40" s="43"/>
      <c r="KG40" s="43"/>
      <c r="KH40" s="43"/>
      <c r="KI40" s="43"/>
      <c r="KJ40" s="43"/>
      <c r="KK40" s="43"/>
      <c r="KL40" s="43"/>
      <c r="KM40" s="43"/>
      <c r="KN40" s="43"/>
      <c r="KO40" s="43"/>
      <c r="KP40" s="43"/>
      <c r="KQ40" s="43"/>
      <c r="KR40" s="43"/>
      <c r="KS40" s="43"/>
      <c r="KT40" s="43"/>
      <c r="KU40" s="43"/>
      <c r="KV40" s="43"/>
      <c r="KW40" s="43"/>
      <c r="KX40" s="43"/>
      <c r="KY40" s="43"/>
      <c r="KZ40" s="43"/>
      <c r="LA40" s="43"/>
      <c r="LB40" s="43"/>
      <c r="LC40" s="43"/>
      <c r="LD40" s="43"/>
      <c r="LE40" s="43"/>
      <c r="LF40" s="43"/>
      <c r="LG40" s="43"/>
      <c r="LH40" s="43"/>
      <c r="LI40" s="43"/>
      <c r="LJ40" s="43"/>
      <c r="LK40" s="43"/>
      <c r="LL40" s="43"/>
      <c r="LM40" s="43"/>
      <c r="LN40" s="43"/>
      <c r="LO40" s="43"/>
      <c r="LP40" s="43"/>
      <c r="LQ40" s="43"/>
      <c r="LR40" s="43"/>
      <c r="LS40" s="43"/>
      <c r="LT40" s="43"/>
      <c r="LU40" s="43"/>
      <c r="LV40" s="43"/>
      <c r="LW40" s="43"/>
      <c r="LX40" s="43"/>
      <c r="LY40" s="43"/>
      <c r="LZ40" s="43"/>
      <c r="MA40" s="43"/>
      <c r="MB40" s="43"/>
      <c r="MC40" s="43"/>
      <c r="MD40" s="43"/>
      <c r="ME40" s="43"/>
      <c r="MF40" s="43"/>
      <c r="MG40" s="43"/>
      <c r="MH40" s="43"/>
      <c r="MI40" s="43"/>
      <c r="MJ40" s="43"/>
      <c r="MK40" s="43"/>
      <c r="ML40" s="43"/>
      <c r="MM40" s="43"/>
      <c r="MN40" s="43"/>
      <c r="MO40" s="43"/>
      <c r="MP40" s="43"/>
      <c r="MQ40" s="43"/>
      <c r="MR40" s="43"/>
      <c r="MS40" s="43"/>
      <c r="MT40" s="43"/>
      <c r="MU40" s="43"/>
      <c r="MV40" s="43"/>
      <c r="MW40" s="43"/>
      <c r="MX40" s="43"/>
      <c r="MY40" s="43"/>
      <c r="MZ40" s="43"/>
      <c r="NA40" s="43"/>
      <c r="NB40" s="43"/>
      <c r="NC40" s="43"/>
      <c r="ND40" s="43"/>
      <c r="NE40" s="43"/>
      <c r="NF40" s="43"/>
      <c r="NG40" s="43"/>
      <c r="NH40" s="43"/>
      <c r="NI40" s="43"/>
      <c r="NJ40" s="43"/>
      <c r="NK40" s="43"/>
      <c r="NL40" s="43"/>
      <c r="NM40" s="43"/>
      <c r="NN40" s="43"/>
      <c r="NO40" s="43"/>
      <c r="NP40" s="43"/>
      <c r="NQ40" s="43"/>
      <c r="NR40" s="43"/>
      <c r="NS40" s="43"/>
      <c r="NT40" s="43"/>
      <c r="NU40" s="43"/>
      <c r="NV40" s="43"/>
      <c r="NW40" s="43"/>
      <c r="NX40" s="43"/>
      <c r="NY40" s="43"/>
      <c r="NZ40" s="43"/>
      <c r="OA40" s="43"/>
      <c r="OB40" s="43"/>
      <c r="OC40" s="43"/>
      <c r="OD40" s="43"/>
      <c r="OE40" s="43"/>
      <c r="OF40" s="43"/>
      <c r="OG40" s="43"/>
      <c r="OH40" s="43"/>
      <c r="OI40" s="43"/>
      <c r="OJ40" s="43"/>
      <c r="OK40" s="43"/>
      <c r="OL40" s="43"/>
      <c r="OM40" s="43"/>
      <c r="ON40" s="43"/>
      <c r="OO40" s="43"/>
      <c r="OP40" s="43"/>
      <c r="OQ40" s="43"/>
      <c r="OR40" s="43"/>
      <c r="OS40" s="43"/>
      <c r="OT40" s="43"/>
      <c r="OU40" s="43"/>
      <c r="OV40" s="43"/>
      <c r="OW40" s="43"/>
      <c r="OX40" s="43"/>
      <c r="OY40" s="43"/>
      <c r="OZ40" s="43"/>
      <c r="PA40" s="43"/>
      <c r="PB40" s="43"/>
      <c r="PC40" s="43"/>
      <c r="PD40" s="43"/>
      <c r="PE40" s="43"/>
      <c r="PF40" s="43"/>
      <c r="PG40" s="43"/>
      <c r="PH40" s="43"/>
      <c r="PI40" s="43"/>
      <c r="PJ40" s="43"/>
      <c r="PK40" s="43"/>
      <c r="PL40" s="43"/>
      <c r="PM40" s="43"/>
      <c r="PN40" s="43"/>
      <c r="PO40" s="43"/>
      <c r="PP40" s="43"/>
      <c r="PQ40" s="43"/>
      <c r="PR40" s="43"/>
      <c r="PS40" s="43"/>
      <c r="PT40" s="43"/>
      <c r="PU40" s="43"/>
      <c r="PV40" s="43"/>
      <c r="PW40" s="43"/>
      <c r="PX40" s="43"/>
      <c r="PY40" s="43"/>
      <c r="PZ40" s="43"/>
      <c r="QA40" s="43"/>
      <c r="QB40" s="43"/>
      <c r="QC40" s="43"/>
    </row>
    <row r="41" spans="1:16383" s="50" customFormat="1" x14ac:dyDescent="0.3">
      <c r="A41" s="85"/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46" t="str">
        <f t="shared" si="6"/>
        <v/>
      </c>
      <c r="U41" s="46" t="str">
        <f t="shared" si="7"/>
        <v/>
      </c>
      <c r="V41" s="72" t="str">
        <f t="shared" si="4"/>
        <v/>
      </c>
      <c r="W41" s="49"/>
      <c r="X41" s="73" t="str">
        <f t="shared" si="5"/>
        <v/>
      </c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43"/>
      <c r="CY41" s="43"/>
      <c r="CZ41" s="43"/>
      <c r="DA41" s="43"/>
      <c r="DB41" s="43"/>
      <c r="DC41" s="43"/>
      <c r="DD41" s="43"/>
      <c r="DE41" s="43"/>
      <c r="DF41" s="43"/>
      <c r="DG41" s="43"/>
      <c r="DH41" s="43"/>
      <c r="DI41" s="43"/>
      <c r="DJ41" s="43"/>
      <c r="DK41" s="43"/>
      <c r="DL41" s="43"/>
      <c r="DM41" s="43"/>
      <c r="DN41" s="43"/>
      <c r="DO41" s="43"/>
      <c r="DP41" s="43"/>
      <c r="DQ41" s="43"/>
      <c r="DR41" s="43"/>
      <c r="DS41" s="43"/>
      <c r="DT41" s="43"/>
      <c r="DU41" s="43"/>
      <c r="DV41" s="43"/>
      <c r="DW41" s="43"/>
      <c r="DX41" s="43"/>
      <c r="DY41" s="43"/>
      <c r="DZ41" s="43"/>
      <c r="EA41" s="43"/>
      <c r="EB41" s="43"/>
      <c r="EC41" s="43"/>
      <c r="ED41" s="43"/>
      <c r="EE41" s="43"/>
      <c r="EF41" s="43"/>
      <c r="EG41" s="43"/>
      <c r="EH41" s="43"/>
      <c r="EI41" s="43"/>
      <c r="EJ41" s="43"/>
      <c r="EK41" s="43"/>
      <c r="EL41" s="43"/>
      <c r="EM41" s="43"/>
      <c r="EN41" s="43"/>
      <c r="EO41" s="43"/>
      <c r="EP41" s="43"/>
      <c r="EQ41" s="43"/>
      <c r="ER41" s="43"/>
      <c r="ES41" s="43"/>
      <c r="ET41" s="43"/>
      <c r="EU41" s="43"/>
      <c r="EV41" s="43"/>
      <c r="EW41" s="43"/>
      <c r="EX41" s="43"/>
      <c r="EY41" s="43"/>
      <c r="EZ41" s="43"/>
      <c r="FA41" s="43"/>
      <c r="FB41" s="43"/>
      <c r="FC41" s="43"/>
      <c r="FD41" s="43"/>
      <c r="FE41" s="43"/>
      <c r="FF41" s="43"/>
      <c r="FG41" s="43"/>
      <c r="FH41" s="43"/>
      <c r="FI41" s="43"/>
      <c r="FJ41" s="43"/>
      <c r="FK41" s="43"/>
      <c r="FL41" s="43"/>
      <c r="FM41" s="43"/>
      <c r="FN41" s="43"/>
      <c r="FO41" s="43"/>
      <c r="FP41" s="43"/>
      <c r="FQ41" s="43"/>
      <c r="FR41" s="43"/>
      <c r="FS41" s="43"/>
      <c r="FT41" s="43"/>
      <c r="FU41" s="43"/>
      <c r="FV41" s="43"/>
      <c r="FW41" s="43"/>
      <c r="FX41" s="43"/>
      <c r="FY41" s="43"/>
      <c r="FZ41" s="43"/>
      <c r="GA41" s="43"/>
      <c r="GB41" s="43"/>
      <c r="GC41" s="43"/>
      <c r="GD41" s="43"/>
      <c r="GE41" s="43"/>
      <c r="GF41" s="43"/>
      <c r="GG41" s="43"/>
      <c r="GH41" s="43"/>
      <c r="GI41" s="43"/>
      <c r="GJ41" s="43"/>
      <c r="GK41" s="43"/>
      <c r="GL41" s="43"/>
      <c r="GM41" s="43"/>
      <c r="GN41" s="43"/>
      <c r="GO41" s="43"/>
      <c r="GP41" s="43"/>
      <c r="GQ41" s="43"/>
      <c r="GR41" s="43"/>
      <c r="GS41" s="43"/>
      <c r="GT41" s="43"/>
      <c r="GU41" s="43"/>
      <c r="GV41" s="43"/>
      <c r="GW41" s="43"/>
      <c r="GX41" s="43"/>
      <c r="GY41" s="43"/>
      <c r="GZ41" s="43"/>
      <c r="HA41" s="43"/>
      <c r="HB41" s="43"/>
      <c r="HC41" s="43"/>
      <c r="HD41" s="43"/>
      <c r="HE41" s="43"/>
      <c r="HF41" s="43"/>
      <c r="HG41" s="43"/>
      <c r="HH41" s="43"/>
      <c r="HI41" s="43"/>
      <c r="HJ41" s="43"/>
      <c r="HK41" s="43"/>
      <c r="HL41" s="43"/>
      <c r="HM41" s="43"/>
      <c r="HN41" s="43"/>
      <c r="HO41" s="43"/>
      <c r="HP41" s="43"/>
      <c r="HQ41" s="43"/>
      <c r="HR41" s="43"/>
      <c r="HS41" s="43"/>
      <c r="HT41" s="43"/>
      <c r="HU41" s="43"/>
      <c r="HV41" s="43"/>
      <c r="HW41" s="43"/>
      <c r="HX41" s="43"/>
      <c r="HY41" s="43"/>
      <c r="HZ41" s="43"/>
      <c r="IA41" s="43"/>
      <c r="IB41" s="43"/>
      <c r="IC41" s="43"/>
      <c r="ID41" s="43"/>
      <c r="IE41" s="43"/>
      <c r="IF41" s="43"/>
      <c r="IG41" s="43"/>
      <c r="IH41" s="43"/>
      <c r="II41" s="43"/>
      <c r="IJ41" s="43"/>
      <c r="IK41" s="43"/>
      <c r="IL41" s="43"/>
      <c r="IM41" s="43"/>
      <c r="IN41" s="43"/>
      <c r="IO41" s="43"/>
      <c r="IP41" s="43"/>
      <c r="IQ41" s="43"/>
      <c r="IR41" s="43"/>
      <c r="IS41" s="43"/>
      <c r="IT41" s="43"/>
      <c r="IU41" s="43"/>
      <c r="IV41" s="43"/>
      <c r="IW41" s="43"/>
      <c r="IX41" s="43"/>
      <c r="IY41" s="43"/>
      <c r="IZ41" s="43"/>
      <c r="JA41" s="43"/>
      <c r="JB41" s="43"/>
      <c r="JC41" s="43"/>
      <c r="JD41" s="43"/>
      <c r="JE41" s="43"/>
      <c r="JF41" s="43"/>
      <c r="JG41" s="43"/>
      <c r="JH41" s="43"/>
      <c r="JI41" s="43"/>
      <c r="JJ41" s="43"/>
      <c r="JK41" s="43"/>
      <c r="JL41" s="43"/>
      <c r="JM41" s="43"/>
      <c r="JN41" s="43"/>
      <c r="JO41" s="43"/>
      <c r="JP41" s="43"/>
      <c r="JQ41" s="43"/>
      <c r="JR41" s="43"/>
      <c r="JS41" s="43"/>
      <c r="JT41" s="43"/>
      <c r="JU41" s="43"/>
      <c r="JV41" s="43"/>
      <c r="JW41" s="43"/>
      <c r="JX41" s="43"/>
      <c r="JY41" s="43"/>
      <c r="JZ41" s="43"/>
      <c r="KA41" s="43"/>
      <c r="KB41" s="43"/>
      <c r="KC41" s="43"/>
      <c r="KD41" s="43"/>
      <c r="KE41" s="43"/>
      <c r="KF41" s="43"/>
      <c r="KG41" s="43"/>
      <c r="KH41" s="43"/>
      <c r="KI41" s="43"/>
      <c r="KJ41" s="43"/>
      <c r="KK41" s="43"/>
      <c r="KL41" s="43"/>
      <c r="KM41" s="43"/>
      <c r="KN41" s="43"/>
      <c r="KO41" s="43"/>
      <c r="KP41" s="43"/>
      <c r="KQ41" s="43"/>
      <c r="KR41" s="43"/>
      <c r="KS41" s="43"/>
      <c r="KT41" s="43"/>
      <c r="KU41" s="43"/>
      <c r="KV41" s="43"/>
      <c r="KW41" s="43"/>
      <c r="KX41" s="43"/>
      <c r="KY41" s="43"/>
      <c r="KZ41" s="43"/>
      <c r="LA41" s="43"/>
      <c r="LB41" s="43"/>
      <c r="LC41" s="43"/>
      <c r="LD41" s="43"/>
      <c r="LE41" s="43"/>
      <c r="LF41" s="43"/>
      <c r="LG41" s="43"/>
      <c r="LH41" s="43"/>
      <c r="LI41" s="43"/>
      <c r="LJ41" s="43"/>
      <c r="LK41" s="43"/>
      <c r="LL41" s="43"/>
      <c r="LM41" s="43"/>
      <c r="LN41" s="43"/>
      <c r="LO41" s="43"/>
      <c r="LP41" s="43"/>
      <c r="LQ41" s="43"/>
      <c r="LR41" s="43"/>
      <c r="LS41" s="43"/>
      <c r="LT41" s="43"/>
      <c r="LU41" s="43"/>
      <c r="LV41" s="43"/>
      <c r="LW41" s="43"/>
      <c r="LX41" s="43"/>
      <c r="LY41" s="43"/>
      <c r="LZ41" s="43"/>
      <c r="MA41" s="43"/>
      <c r="MB41" s="43"/>
      <c r="MC41" s="43"/>
      <c r="MD41" s="43"/>
      <c r="ME41" s="43"/>
      <c r="MF41" s="43"/>
      <c r="MG41" s="43"/>
      <c r="MH41" s="43"/>
      <c r="MI41" s="43"/>
      <c r="MJ41" s="43"/>
      <c r="MK41" s="43"/>
      <c r="ML41" s="43"/>
      <c r="MM41" s="43"/>
      <c r="MN41" s="43"/>
      <c r="MO41" s="43"/>
      <c r="MP41" s="43"/>
      <c r="MQ41" s="43"/>
      <c r="MR41" s="43"/>
      <c r="MS41" s="43"/>
      <c r="MT41" s="43"/>
      <c r="MU41" s="43"/>
      <c r="MV41" s="43"/>
      <c r="MW41" s="43"/>
      <c r="MX41" s="43"/>
      <c r="MY41" s="43"/>
      <c r="MZ41" s="43"/>
      <c r="NA41" s="43"/>
      <c r="NB41" s="43"/>
      <c r="NC41" s="43"/>
      <c r="ND41" s="43"/>
      <c r="NE41" s="43"/>
      <c r="NF41" s="43"/>
      <c r="NG41" s="43"/>
      <c r="NH41" s="43"/>
      <c r="NI41" s="43"/>
      <c r="NJ41" s="43"/>
      <c r="NK41" s="43"/>
      <c r="NL41" s="43"/>
      <c r="NM41" s="43"/>
      <c r="NN41" s="43"/>
      <c r="NO41" s="43"/>
      <c r="NP41" s="43"/>
      <c r="NQ41" s="43"/>
      <c r="NR41" s="43"/>
      <c r="NS41" s="43"/>
      <c r="NT41" s="43"/>
      <c r="NU41" s="43"/>
      <c r="NV41" s="43"/>
      <c r="NW41" s="43"/>
      <c r="NX41" s="43"/>
      <c r="NY41" s="43"/>
      <c r="NZ41" s="43"/>
      <c r="OA41" s="43"/>
      <c r="OB41" s="43"/>
      <c r="OC41" s="43"/>
      <c r="OD41" s="43"/>
      <c r="OE41" s="43"/>
      <c r="OF41" s="43"/>
      <c r="OG41" s="43"/>
      <c r="OH41" s="43"/>
      <c r="OI41" s="43"/>
      <c r="OJ41" s="43"/>
      <c r="OK41" s="43"/>
      <c r="OL41" s="43"/>
      <c r="OM41" s="43"/>
      <c r="ON41" s="43"/>
      <c r="OO41" s="43"/>
      <c r="OP41" s="43"/>
      <c r="OQ41" s="43"/>
      <c r="OR41" s="43"/>
      <c r="OS41" s="43"/>
      <c r="OT41" s="43"/>
      <c r="OU41" s="43"/>
      <c r="OV41" s="43"/>
      <c r="OW41" s="43"/>
      <c r="OX41" s="43"/>
      <c r="OY41" s="43"/>
      <c r="OZ41" s="43"/>
      <c r="PA41" s="43"/>
      <c r="PB41" s="43"/>
      <c r="PC41" s="43"/>
      <c r="PD41" s="43"/>
      <c r="PE41" s="43"/>
      <c r="PF41" s="43"/>
      <c r="PG41" s="43"/>
      <c r="PH41" s="43"/>
      <c r="PI41" s="43"/>
      <c r="PJ41" s="43"/>
      <c r="PK41" s="43"/>
      <c r="PL41" s="43"/>
      <c r="PM41" s="43"/>
      <c r="PN41" s="43"/>
      <c r="PO41" s="43"/>
      <c r="PP41" s="43"/>
      <c r="PQ41" s="43"/>
      <c r="PR41" s="43"/>
      <c r="PS41" s="43"/>
      <c r="PT41" s="43"/>
      <c r="PU41" s="43"/>
      <c r="PV41" s="43"/>
      <c r="PW41" s="43"/>
      <c r="PX41" s="43"/>
      <c r="PY41" s="43"/>
      <c r="PZ41" s="43"/>
      <c r="QA41" s="43"/>
      <c r="QB41" s="43"/>
      <c r="QC41" s="43"/>
    </row>
    <row r="42" spans="1:16383" s="50" customFormat="1" x14ac:dyDescent="0.3">
      <c r="A42" s="85"/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46" t="str">
        <f t="shared" si="6"/>
        <v/>
      </c>
      <c r="U42" s="46" t="str">
        <f t="shared" si="7"/>
        <v/>
      </c>
      <c r="V42" s="72" t="str">
        <f t="shared" si="4"/>
        <v/>
      </c>
      <c r="W42" s="49"/>
      <c r="X42" s="73" t="str">
        <f t="shared" si="5"/>
        <v/>
      </c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43"/>
      <c r="CY42" s="43"/>
      <c r="CZ42" s="43"/>
      <c r="DA42" s="43"/>
      <c r="DB42" s="43"/>
      <c r="DC42" s="43"/>
      <c r="DD42" s="43"/>
      <c r="DE42" s="43"/>
      <c r="DF42" s="43"/>
      <c r="DG42" s="43"/>
      <c r="DH42" s="43"/>
      <c r="DI42" s="43"/>
      <c r="DJ42" s="43"/>
      <c r="DK42" s="43"/>
      <c r="DL42" s="43"/>
      <c r="DM42" s="43"/>
      <c r="DN42" s="43"/>
      <c r="DO42" s="43"/>
      <c r="DP42" s="43"/>
      <c r="DQ42" s="43"/>
      <c r="DR42" s="43"/>
      <c r="DS42" s="43"/>
      <c r="DT42" s="43"/>
      <c r="DU42" s="43"/>
      <c r="DV42" s="43"/>
      <c r="DW42" s="43"/>
      <c r="DX42" s="43"/>
      <c r="DY42" s="43"/>
      <c r="DZ42" s="43"/>
      <c r="EA42" s="43"/>
      <c r="EB42" s="43"/>
      <c r="EC42" s="43"/>
      <c r="ED42" s="43"/>
      <c r="EE42" s="43"/>
      <c r="EF42" s="43"/>
      <c r="EG42" s="43"/>
      <c r="EH42" s="43"/>
      <c r="EI42" s="43"/>
      <c r="EJ42" s="43"/>
      <c r="EK42" s="43"/>
      <c r="EL42" s="43"/>
      <c r="EM42" s="43"/>
      <c r="EN42" s="43"/>
      <c r="EO42" s="43"/>
      <c r="EP42" s="43"/>
      <c r="EQ42" s="43"/>
      <c r="ER42" s="43"/>
      <c r="ES42" s="43"/>
      <c r="ET42" s="43"/>
      <c r="EU42" s="43"/>
      <c r="EV42" s="43"/>
      <c r="EW42" s="43"/>
      <c r="EX42" s="43"/>
      <c r="EY42" s="43"/>
      <c r="EZ42" s="43"/>
      <c r="FA42" s="43"/>
      <c r="FB42" s="43"/>
      <c r="FC42" s="43"/>
      <c r="FD42" s="43"/>
      <c r="FE42" s="43"/>
      <c r="FF42" s="43"/>
      <c r="FG42" s="43"/>
      <c r="FH42" s="43"/>
      <c r="FI42" s="43"/>
      <c r="FJ42" s="43"/>
      <c r="FK42" s="43"/>
      <c r="FL42" s="43"/>
      <c r="FM42" s="43"/>
      <c r="FN42" s="43"/>
      <c r="FO42" s="43"/>
      <c r="FP42" s="43"/>
      <c r="FQ42" s="43"/>
      <c r="FR42" s="43"/>
      <c r="FS42" s="43"/>
      <c r="FT42" s="43"/>
      <c r="FU42" s="43"/>
      <c r="FV42" s="43"/>
      <c r="FW42" s="43"/>
      <c r="FX42" s="43"/>
      <c r="FY42" s="43"/>
      <c r="FZ42" s="43"/>
      <c r="GA42" s="43"/>
      <c r="GB42" s="43"/>
      <c r="GC42" s="43"/>
      <c r="GD42" s="43"/>
      <c r="GE42" s="43"/>
      <c r="GF42" s="43"/>
      <c r="GG42" s="43"/>
      <c r="GH42" s="43"/>
      <c r="GI42" s="43"/>
      <c r="GJ42" s="43"/>
      <c r="GK42" s="43"/>
      <c r="GL42" s="43"/>
      <c r="GM42" s="43"/>
      <c r="GN42" s="43"/>
      <c r="GO42" s="43"/>
      <c r="GP42" s="43"/>
      <c r="GQ42" s="43"/>
      <c r="GR42" s="43"/>
      <c r="GS42" s="43"/>
      <c r="GT42" s="43"/>
      <c r="GU42" s="43"/>
      <c r="GV42" s="43"/>
      <c r="GW42" s="43"/>
      <c r="GX42" s="43"/>
      <c r="GY42" s="43"/>
      <c r="GZ42" s="43"/>
      <c r="HA42" s="43"/>
      <c r="HB42" s="43"/>
      <c r="HC42" s="43"/>
      <c r="HD42" s="43"/>
      <c r="HE42" s="43"/>
      <c r="HF42" s="43"/>
      <c r="HG42" s="43"/>
      <c r="HH42" s="43"/>
      <c r="HI42" s="43"/>
      <c r="HJ42" s="43"/>
      <c r="HK42" s="43"/>
      <c r="HL42" s="43"/>
      <c r="HM42" s="43"/>
      <c r="HN42" s="43"/>
      <c r="HO42" s="43"/>
      <c r="HP42" s="43"/>
      <c r="HQ42" s="43"/>
      <c r="HR42" s="43"/>
      <c r="HS42" s="43"/>
      <c r="HT42" s="43"/>
      <c r="HU42" s="43"/>
      <c r="HV42" s="43"/>
      <c r="HW42" s="43"/>
      <c r="HX42" s="43"/>
      <c r="HY42" s="43"/>
      <c r="HZ42" s="43"/>
      <c r="IA42" s="43"/>
      <c r="IB42" s="43"/>
      <c r="IC42" s="43"/>
      <c r="ID42" s="43"/>
      <c r="IE42" s="43"/>
      <c r="IF42" s="43"/>
      <c r="IG42" s="43"/>
      <c r="IH42" s="43"/>
      <c r="II42" s="43"/>
      <c r="IJ42" s="43"/>
      <c r="IK42" s="43"/>
      <c r="IL42" s="43"/>
      <c r="IM42" s="43"/>
      <c r="IN42" s="43"/>
      <c r="IO42" s="43"/>
      <c r="IP42" s="43"/>
      <c r="IQ42" s="43"/>
      <c r="IR42" s="43"/>
      <c r="IS42" s="43"/>
      <c r="IT42" s="43"/>
      <c r="IU42" s="43"/>
      <c r="IV42" s="43"/>
      <c r="IW42" s="43"/>
      <c r="IX42" s="43"/>
      <c r="IY42" s="43"/>
      <c r="IZ42" s="43"/>
      <c r="JA42" s="43"/>
      <c r="JB42" s="43"/>
      <c r="JC42" s="43"/>
      <c r="JD42" s="43"/>
      <c r="JE42" s="43"/>
      <c r="JF42" s="43"/>
      <c r="JG42" s="43"/>
      <c r="JH42" s="43"/>
      <c r="JI42" s="43"/>
      <c r="JJ42" s="43"/>
      <c r="JK42" s="43"/>
      <c r="JL42" s="43"/>
      <c r="JM42" s="43"/>
      <c r="JN42" s="43"/>
      <c r="JO42" s="43"/>
      <c r="JP42" s="43"/>
      <c r="JQ42" s="43"/>
      <c r="JR42" s="43"/>
      <c r="JS42" s="43"/>
      <c r="JT42" s="43"/>
      <c r="JU42" s="43"/>
      <c r="JV42" s="43"/>
      <c r="JW42" s="43"/>
      <c r="JX42" s="43"/>
      <c r="JY42" s="43"/>
      <c r="JZ42" s="43"/>
      <c r="KA42" s="43"/>
      <c r="KB42" s="43"/>
      <c r="KC42" s="43"/>
      <c r="KD42" s="43"/>
      <c r="KE42" s="43"/>
      <c r="KF42" s="43"/>
      <c r="KG42" s="43"/>
      <c r="KH42" s="43"/>
      <c r="KI42" s="43"/>
      <c r="KJ42" s="43"/>
      <c r="KK42" s="43"/>
      <c r="KL42" s="43"/>
      <c r="KM42" s="43"/>
      <c r="KN42" s="43"/>
      <c r="KO42" s="43"/>
      <c r="KP42" s="43"/>
      <c r="KQ42" s="43"/>
      <c r="KR42" s="43"/>
      <c r="KS42" s="43"/>
      <c r="KT42" s="43"/>
      <c r="KU42" s="43"/>
      <c r="KV42" s="43"/>
      <c r="KW42" s="43"/>
      <c r="KX42" s="43"/>
      <c r="KY42" s="43"/>
      <c r="KZ42" s="43"/>
      <c r="LA42" s="43"/>
      <c r="LB42" s="43"/>
      <c r="LC42" s="43"/>
      <c r="LD42" s="43"/>
      <c r="LE42" s="43"/>
      <c r="LF42" s="43"/>
      <c r="LG42" s="43"/>
      <c r="LH42" s="43"/>
      <c r="LI42" s="43"/>
      <c r="LJ42" s="43"/>
      <c r="LK42" s="43"/>
      <c r="LL42" s="43"/>
      <c r="LM42" s="43"/>
      <c r="LN42" s="43"/>
      <c r="LO42" s="43"/>
      <c r="LP42" s="43"/>
      <c r="LQ42" s="43"/>
      <c r="LR42" s="43"/>
      <c r="LS42" s="43"/>
      <c r="LT42" s="43"/>
      <c r="LU42" s="43"/>
      <c r="LV42" s="43"/>
      <c r="LW42" s="43"/>
      <c r="LX42" s="43"/>
      <c r="LY42" s="43"/>
      <c r="LZ42" s="43"/>
      <c r="MA42" s="43"/>
      <c r="MB42" s="43"/>
      <c r="MC42" s="43"/>
      <c r="MD42" s="43"/>
      <c r="ME42" s="43"/>
      <c r="MF42" s="43"/>
      <c r="MG42" s="43"/>
      <c r="MH42" s="43"/>
      <c r="MI42" s="43"/>
      <c r="MJ42" s="43"/>
      <c r="MK42" s="43"/>
      <c r="ML42" s="43"/>
      <c r="MM42" s="43"/>
      <c r="MN42" s="43"/>
      <c r="MO42" s="43"/>
      <c r="MP42" s="43"/>
      <c r="MQ42" s="43"/>
      <c r="MR42" s="43"/>
      <c r="MS42" s="43"/>
      <c r="MT42" s="43"/>
      <c r="MU42" s="43"/>
      <c r="MV42" s="43"/>
      <c r="MW42" s="43"/>
      <c r="MX42" s="43"/>
      <c r="MY42" s="43"/>
      <c r="MZ42" s="43"/>
      <c r="NA42" s="43"/>
      <c r="NB42" s="43"/>
      <c r="NC42" s="43"/>
      <c r="ND42" s="43"/>
      <c r="NE42" s="43"/>
      <c r="NF42" s="43"/>
      <c r="NG42" s="43"/>
      <c r="NH42" s="43"/>
      <c r="NI42" s="43"/>
      <c r="NJ42" s="43"/>
      <c r="NK42" s="43"/>
      <c r="NL42" s="43"/>
      <c r="NM42" s="43"/>
      <c r="NN42" s="43"/>
      <c r="NO42" s="43"/>
      <c r="NP42" s="43"/>
      <c r="NQ42" s="43"/>
      <c r="NR42" s="43"/>
      <c r="NS42" s="43"/>
      <c r="NT42" s="43"/>
      <c r="NU42" s="43"/>
      <c r="NV42" s="43"/>
      <c r="NW42" s="43"/>
      <c r="NX42" s="43"/>
      <c r="NY42" s="43"/>
      <c r="NZ42" s="43"/>
      <c r="OA42" s="43"/>
      <c r="OB42" s="43"/>
      <c r="OC42" s="43"/>
      <c r="OD42" s="43"/>
      <c r="OE42" s="43"/>
      <c r="OF42" s="43"/>
      <c r="OG42" s="43"/>
      <c r="OH42" s="43"/>
      <c r="OI42" s="43"/>
      <c r="OJ42" s="43"/>
      <c r="OK42" s="43"/>
      <c r="OL42" s="43"/>
      <c r="OM42" s="43"/>
      <c r="ON42" s="43"/>
      <c r="OO42" s="43"/>
      <c r="OP42" s="43"/>
      <c r="OQ42" s="43"/>
      <c r="OR42" s="43"/>
      <c r="OS42" s="43"/>
      <c r="OT42" s="43"/>
      <c r="OU42" s="43"/>
      <c r="OV42" s="43"/>
      <c r="OW42" s="43"/>
      <c r="OX42" s="43"/>
      <c r="OY42" s="43"/>
      <c r="OZ42" s="43"/>
      <c r="PA42" s="43"/>
      <c r="PB42" s="43"/>
      <c r="PC42" s="43"/>
      <c r="PD42" s="43"/>
      <c r="PE42" s="43"/>
      <c r="PF42" s="43"/>
      <c r="PG42" s="43"/>
      <c r="PH42" s="43"/>
      <c r="PI42" s="43"/>
      <c r="PJ42" s="43"/>
      <c r="PK42" s="43"/>
      <c r="PL42" s="43"/>
      <c r="PM42" s="43"/>
      <c r="PN42" s="43"/>
      <c r="PO42" s="43"/>
      <c r="PP42" s="43"/>
      <c r="PQ42" s="43"/>
      <c r="PR42" s="43"/>
      <c r="PS42" s="43"/>
      <c r="PT42" s="43"/>
      <c r="PU42" s="43"/>
      <c r="PV42" s="43"/>
      <c r="PW42" s="43"/>
      <c r="PX42" s="43"/>
      <c r="PY42" s="43"/>
      <c r="PZ42" s="43"/>
      <c r="QA42" s="43"/>
      <c r="QB42" s="43"/>
      <c r="QC42" s="43"/>
    </row>
    <row r="43" spans="1:16383" x14ac:dyDescent="0.3">
      <c r="A43" s="85"/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46" t="str">
        <f t="shared" si="6"/>
        <v/>
      </c>
      <c r="U43" s="46" t="str">
        <f t="shared" si="7"/>
        <v/>
      </c>
      <c r="V43" s="72" t="str">
        <f t="shared" si="4"/>
        <v/>
      </c>
      <c r="X43" s="73" t="str">
        <f t="shared" si="5"/>
        <v/>
      </c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43"/>
      <c r="CY43" s="43"/>
      <c r="CZ43" s="43"/>
      <c r="DA43" s="43"/>
      <c r="DB43" s="43"/>
      <c r="DC43" s="43"/>
      <c r="DD43" s="43"/>
      <c r="DE43" s="43"/>
      <c r="DF43" s="43"/>
      <c r="DG43" s="43"/>
      <c r="DH43" s="43"/>
      <c r="DI43" s="43"/>
      <c r="DJ43" s="43"/>
      <c r="DK43" s="43"/>
      <c r="DL43" s="43"/>
      <c r="DM43" s="43"/>
      <c r="DN43" s="43"/>
      <c r="DO43" s="43"/>
      <c r="DP43" s="43"/>
      <c r="DQ43" s="43"/>
      <c r="DR43" s="43"/>
      <c r="DS43" s="43"/>
      <c r="DT43" s="43"/>
      <c r="DU43" s="43"/>
      <c r="DV43" s="43"/>
      <c r="DW43" s="43"/>
      <c r="DX43" s="43"/>
      <c r="DY43" s="43"/>
      <c r="DZ43" s="43"/>
      <c r="EA43" s="43"/>
      <c r="EB43" s="43"/>
      <c r="EC43" s="43"/>
      <c r="ED43" s="43"/>
      <c r="EE43" s="43"/>
      <c r="EF43" s="43"/>
      <c r="EG43" s="43"/>
      <c r="EH43" s="43"/>
      <c r="EI43" s="43"/>
      <c r="EJ43" s="43"/>
      <c r="EK43" s="43"/>
      <c r="EL43" s="43"/>
      <c r="EM43" s="43"/>
      <c r="EN43" s="43"/>
      <c r="EO43" s="43"/>
      <c r="EP43" s="43"/>
      <c r="EQ43" s="43"/>
      <c r="ER43" s="43"/>
      <c r="ES43" s="43"/>
      <c r="ET43" s="43"/>
      <c r="EU43" s="43"/>
      <c r="EV43" s="43"/>
      <c r="EW43" s="43"/>
      <c r="EX43" s="43"/>
      <c r="EY43" s="43"/>
      <c r="EZ43" s="43"/>
      <c r="FA43" s="43"/>
      <c r="FB43" s="43"/>
      <c r="FC43" s="43"/>
      <c r="FD43" s="43"/>
      <c r="FE43" s="43"/>
      <c r="FF43" s="43"/>
      <c r="FG43" s="43"/>
      <c r="FH43" s="43"/>
      <c r="FI43" s="43"/>
      <c r="FJ43" s="43"/>
      <c r="FK43" s="43"/>
      <c r="FL43" s="43"/>
      <c r="FM43" s="43"/>
      <c r="FN43" s="43"/>
      <c r="FO43" s="43"/>
      <c r="FP43" s="43"/>
      <c r="FQ43" s="43"/>
      <c r="FR43" s="43"/>
      <c r="FS43" s="43"/>
      <c r="FT43" s="43"/>
      <c r="FU43" s="43"/>
      <c r="FV43" s="43"/>
      <c r="FW43" s="43"/>
      <c r="FX43" s="43"/>
      <c r="FY43" s="43"/>
      <c r="FZ43" s="43"/>
      <c r="GA43" s="43"/>
      <c r="GB43" s="43"/>
      <c r="GC43" s="43"/>
      <c r="GD43" s="43"/>
      <c r="GE43" s="43"/>
      <c r="GF43" s="43"/>
      <c r="GG43" s="43"/>
      <c r="GH43" s="43"/>
      <c r="GI43" s="43"/>
      <c r="GJ43" s="43"/>
      <c r="GK43" s="43"/>
      <c r="GL43" s="43"/>
      <c r="GM43" s="43"/>
      <c r="GN43" s="43"/>
      <c r="GO43" s="43"/>
      <c r="GP43" s="43"/>
      <c r="GQ43" s="43"/>
      <c r="GR43" s="43"/>
      <c r="GS43" s="43"/>
      <c r="GT43" s="43"/>
      <c r="GU43" s="43"/>
      <c r="GV43" s="43"/>
      <c r="GW43" s="43"/>
      <c r="GX43" s="43"/>
      <c r="GY43" s="43"/>
      <c r="GZ43" s="43"/>
      <c r="HA43" s="43"/>
      <c r="HB43" s="43"/>
      <c r="HC43" s="43"/>
      <c r="HD43" s="43"/>
      <c r="HE43" s="43"/>
      <c r="HF43" s="43"/>
      <c r="HG43" s="43"/>
      <c r="HH43" s="43"/>
      <c r="HI43" s="43"/>
      <c r="HJ43" s="43"/>
      <c r="HK43" s="43"/>
      <c r="HL43" s="43"/>
      <c r="HM43" s="43"/>
      <c r="HN43" s="43"/>
      <c r="HO43" s="43"/>
      <c r="HP43" s="43"/>
      <c r="HQ43" s="43"/>
      <c r="HR43" s="43"/>
      <c r="HS43" s="43"/>
      <c r="HT43" s="43"/>
      <c r="HU43" s="43"/>
      <c r="HV43" s="43"/>
      <c r="HW43" s="43"/>
      <c r="HX43" s="43"/>
      <c r="HY43" s="43"/>
      <c r="HZ43" s="43"/>
      <c r="IA43" s="43"/>
      <c r="IB43" s="43"/>
      <c r="IC43" s="43"/>
      <c r="ID43" s="43"/>
      <c r="IE43" s="43"/>
      <c r="IF43" s="43"/>
      <c r="IG43" s="43"/>
      <c r="IH43" s="43"/>
      <c r="II43" s="43"/>
      <c r="IJ43" s="43"/>
      <c r="IK43" s="43"/>
      <c r="IL43" s="43"/>
      <c r="IM43" s="43"/>
      <c r="IN43" s="43"/>
      <c r="IO43" s="43"/>
      <c r="IP43" s="43"/>
      <c r="IQ43" s="43"/>
      <c r="IR43" s="43"/>
      <c r="IS43" s="43"/>
      <c r="IT43" s="43"/>
      <c r="IU43" s="43"/>
      <c r="IV43" s="43"/>
      <c r="IW43" s="43"/>
      <c r="IX43" s="43"/>
      <c r="IY43" s="43"/>
      <c r="IZ43" s="43"/>
      <c r="JA43" s="43"/>
      <c r="JB43" s="43"/>
      <c r="JC43" s="43"/>
      <c r="JD43" s="43"/>
      <c r="JE43" s="43"/>
      <c r="JF43" s="43"/>
      <c r="JG43" s="43"/>
      <c r="JH43" s="43"/>
      <c r="JI43" s="43"/>
      <c r="JJ43" s="43"/>
      <c r="JK43" s="43"/>
      <c r="JL43" s="43"/>
      <c r="JM43" s="43"/>
      <c r="JN43" s="43"/>
      <c r="JO43" s="43"/>
      <c r="JP43" s="43"/>
      <c r="JQ43" s="43"/>
      <c r="JR43" s="43"/>
      <c r="JS43" s="43"/>
      <c r="JT43" s="43"/>
      <c r="JU43" s="43"/>
      <c r="JV43" s="43"/>
      <c r="JW43" s="43"/>
      <c r="JX43" s="43"/>
      <c r="JY43" s="43"/>
      <c r="JZ43" s="43"/>
      <c r="KA43" s="43"/>
      <c r="KB43" s="43"/>
      <c r="KC43" s="43"/>
      <c r="KD43" s="43"/>
      <c r="KE43" s="43"/>
      <c r="KF43" s="43"/>
      <c r="KG43" s="43"/>
      <c r="KH43" s="43"/>
      <c r="KI43" s="43"/>
      <c r="KJ43" s="43"/>
      <c r="KK43" s="43"/>
      <c r="KL43" s="43"/>
      <c r="KM43" s="43"/>
      <c r="KN43" s="43"/>
      <c r="KO43" s="43"/>
      <c r="KP43" s="43"/>
      <c r="KQ43" s="43"/>
      <c r="KR43" s="43"/>
      <c r="KS43" s="43"/>
      <c r="KT43" s="43"/>
      <c r="KU43" s="43"/>
      <c r="KV43" s="43"/>
      <c r="KW43" s="43"/>
      <c r="KX43" s="43"/>
      <c r="KY43" s="43"/>
      <c r="KZ43" s="43"/>
      <c r="LA43" s="43"/>
      <c r="LB43" s="43"/>
      <c r="LC43" s="43"/>
      <c r="LD43" s="43"/>
      <c r="LE43" s="43"/>
      <c r="LF43" s="43"/>
      <c r="LG43" s="43"/>
      <c r="LH43" s="43"/>
      <c r="LI43" s="43"/>
      <c r="LJ43" s="43"/>
      <c r="LK43" s="43"/>
      <c r="LL43" s="43"/>
      <c r="LM43" s="43"/>
      <c r="LN43" s="43"/>
      <c r="LO43" s="43"/>
      <c r="LP43" s="43"/>
      <c r="LQ43" s="43"/>
      <c r="LR43" s="43"/>
      <c r="LS43" s="43"/>
      <c r="LT43" s="43"/>
      <c r="LU43" s="43"/>
      <c r="LV43" s="43"/>
      <c r="LW43" s="43"/>
      <c r="LX43" s="43"/>
      <c r="LY43" s="43"/>
      <c r="LZ43" s="43"/>
      <c r="MA43" s="43"/>
      <c r="MB43" s="43"/>
      <c r="MC43" s="43"/>
      <c r="MD43" s="43"/>
      <c r="ME43" s="43"/>
      <c r="MF43" s="43"/>
      <c r="MG43" s="43"/>
      <c r="MH43" s="43"/>
      <c r="MI43" s="43"/>
      <c r="MJ43" s="43"/>
      <c r="MK43" s="43"/>
      <c r="ML43" s="43"/>
      <c r="MM43" s="43"/>
      <c r="MN43" s="43"/>
      <c r="MO43" s="43"/>
      <c r="MP43" s="43"/>
      <c r="MQ43" s="43"/>
      <c r="MR43" s="43"/>
      <c r="MS43" s="43"/>
      <c r="MT43" s="43"/>
      <c r="MU43" s="43"/>
      <c r="MV43" s="43"/>
      <c r="MW43" s="43"/>
      <c r="MX43" s="43"/>
      <c r="MY43" s="43"/>
      <c r="MZ43" s="43"/>
      <c r="NA43" s="43"/>
      <c r="NB43" s="43"/>
      <c r="NC43" s="43"/>
      <c r="ND43" s="43"/>
      <c r="NE43" s="43"/>
      <c r="NF43" s="43"/>
      <c r="NG43" s="43"/>
      <c r="NH43" s="43"/>
      <c r="NI43" s="43"/>
      <c r="NJ43" s="43"/>
      <c r="NK43" s="43"/>
      <c r="NL43" s="43"/>
      <c r="NM43" s="43"/>
      <c r="NN43" s="43"/>
      <c r="NO43" s="43"/>
      <c r="NP43" s="43"/>
      <c r="NQ43" s="43"/>
      <c r="NR43" s="43"/>
      <c r="NS43" s="43"/>
      <c r="NT43" s="43"/>
      <c r="NU43" s="43"/>
      <c r="NV43" s="43"/>
      <c r="NW43" s="43"/>
      <c r="NX43" s="43"/>
      <c r="NY43" s="43"/>
      <c r="NZ43" s="43"/>
      <c r="OA43" s="43"/>
      <c r="OB43" s="43"/>
      <c r="OC43" s="43"/>
      <c r="OD43" s="43"/>
      <c r="OE43" s="43"/>
      <c r="OF43" s="43"/>
      <c r="OG43" s="43"/>
      <c r="OH43" s="43"/>
      <c r="OI43" s="43"/>
      <c r="OJ43" s="43"/>
      <c r="OK43" s="43"/>
      <c r="OL43" s="43"/>
      <c r="OM43" s="43"/>
      <c r="ON43" s="43"/>
      <c r="OO43" s="43"/>
      <c r="OP43" s="43"/>
      <c r="OQ43" s="43"/>
      <c r="OR43" s="43"/>
      <c r="OS43" s="43"/>
      <c r="OT43" s="43"/>
      <c r="OU43" s="43"/>
      <c r="OV43" s="43"/>
      <c r="OW43" s="43"/>
      <c r="OX43" s="43"/>
      <c r="OY43" s="43"/>
      <c r="OZ43" s="43"/>
      <c r="PA43" s="43"/>
      <c r="PB43" s="43"/>
      <c r="PC43" s="43"/>
      <c r="PD43" s="43"/>
      <c r="PE43" s="43"/>
      <c r="PF43" s="43"/>
      <c r="PG43" s="43"/>
      <c r="PH43" s="43"/>
      <c r="PI43" s="43"/>
      <c r="PJ43" s="43"/>
      <c r="PK43" s="43"/>
      <c r="PL43" s="43"/>
      <c r="PM43" s="43"/>
      <c r="PN43" s="43"/>
      <c r="PO43" s="43"/>
      <c r="PP43" s="43"/>
      <c r="PQ43" s="43"/>
      <c r="PR43" s="43"/>
      <c r="PS43" s="43"/>
      <c r="PT43" s="43"/>
      <c r="PU43" s="43"/>
      <c r="PV43" s="43"/>
      <c r="PW43" s="43"/>
      <c r="PX43" s="43"/>
      <c r="PY43" s="43"/>
      <c r="PZ43" s="43"/>
      <c r="QA43" s="43"/>
      <c r="QB43" s="43"/>
      <c r="QC43" s="43"/>
    </row>
    <row r="44" spans="1:16383" x14ac:dyDescent="0.3">
      <c r="A44" s="85"/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46" t="str">
        <f t="shared" si="6"/>
        <v/>
      </c>
      <c r="U44" s="46" t="str">
        <f t="shared" si="7"/>
        <v/>
      </c>
      <c r="V44" s="72" t="str">
        <f t="shared" si="4"/>
        <v/>
      </c>
      <c r="X44" s="73" t="str">
        <f t="shared" si="5"/>
        <v/>
      </c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43"/>
      <c r="CY44" s="43"/>
      <c r="CZ44" s="43"/>
      <c r="DA44" s="43"/>
      <c r="DB44" s="43"/>
      <c r="DC44" s="43"/>
      <c r="DD44" s="43"/>
      <c r="DE44" s="43"/>
      <c r="DF44" s="43"/>
      <c r="DG44" s="43"/>
      <c r="DH44" s="43"/>
      <c r="DI44" s="43"/>
      <c r="DJ44" s="43"/>
      <c r="DK44" s="43"/>
      <c r="DL44" s="43"/>
      <c r="DM44" s="43"/>
      <c r="DN44" s="43"/>
      <c r="DO44" s="43"/>
      <c r="DP44" s="43"/>
      <c r="DQ44" s="43"/>
      <c r="DR44" s="43"/>
      <c r="DS44" s="43"/>
      <c r="DT44" s="43"/>
      <c r="DU44" s="43"/>
      <c r="DV44" s="43"/>
      <c r="DW44" s="43"/>
      <c r="DX44" s="43"/>
      <c r="DY44" s="43"/>
      <c r="DZ44" s="43"/>
      <c r="EA44" s="43"/>
      <c r="EB44" s="43"/>
      <c r="EC44" s="43"/>
      <c r="ED44" s="43"/>
      <c r="EE44" s="43"/>
      <c r="EF44" s="43"/>
      <c r="EG44" s="43"/>
      <c r="EH44" s="43"/>
      <c r="EI44" s="43"/>
      <c r="EJ44" s="43"/>
      <c r="EK44" s="43"/>
      <c r="EL44" s="43"/>
      <c r="EM44" s="43"/>
      <c r="EN44" s="43"/>
      <c r="EO44" s="43"/>
      <c r="EP44" s="43"/>
      <c r="EQ44" s="43"/>
      <c r="ER44" s="43"/>
      <c r="ES44" s="43"/>
      <c r="ET44" s="43"/>
      <c r="EU44" s="43"/>
      <c r="EV44" s="43"/>
      <c r="EW44" s="43"/>
      <c r="EX44" s="43"/>
      <c r="EY44" s="43"/>
      <c r="EZ44" s="43"/>
      <c r="FA44" s="43"/>
      <c r="FB44" s="43"/>
      <c r="FC44" s="43"/>
      <c r="FD44" s="43"/>
      <c r="FE44" s="43"/>
      <c r="FF44" s="43"/>
      <c r="FG44" s="43"/>
      <c r="FH44" s="43"/>
      <c r="FI44" s="43"/>
      <c r="FJ44" s="43"/>
      <c r="FK44" s="43"/>
      <c r="FL44" s="43"/>
      <c r="FM44" s="43"/>
      <c r="FN44" s="43"/>
      <c r="FO44" s="43"/>
      <c r="FP44" s="43"/>
      <c r="FQ44" s="43"/>
      <c r="FR44" s="43"/>
      <c r="FS44" s="43"/>
      <c r="FT44" s="43"/>
      <c r="FU44" s="43"/>
      <c r="FV44" s="43"/>
      <c r="FW44" s="43"/>
      <c r="FX44" s="43"/>
      <c r="FY44" s="43"/>
      <c r="FZ44" s="43"/>
      <c r="GA44" s="43"/>
      <c r="GB44" s="43"/>
      <c r="GC44" s="43"/>
      <c r="GD44" s="43"/>
      <c r="GE44" s="43"/>
      <c r="GF44" s="43"/>
      <c r="GG44" s="43"/>
      <c r="GH44" s="43"/>
      <c r="GI44" s="43"/>
      <c r="GJ44" s="43"/>
      <c r="GK44" s="43"/>
      <c r="GL44" s="43"/>
      <c r="GM44" s="43"/>
      <c r="GN44" s="43"/>
      <c r="GO44" s="43"/>
      <c r="GP44" s="43"/>
      <c r="GQ44" s="43"/>
      <c r="GR44" s="43"/>
      <c r="GS44" s="43"/>
      <c r="GT44" s="43"/>
      <c r="GU44" s="43"/>
      <c r="GV44" s="43"/>
      <c r="GW44" s="43"/>
      <c r="GX44" s="43"/>
      <c r="GY44" s="43"/>
      <c r="GZ44" s="43"/>
      <c r="HA44" s="43"/>
      <c r="HB44" s="43"/>
      <c r="HC44" s="43"/>
      <c r="HD44" s="43"/>
      <c r="HE44" s="43"/>
      <c r="HF44" s="43"/>
      <c r="HG44" s="43"/>
      <c r="HH44" s="43"/>
      <c r="HI44" s="43"/>
      <c r="HJ44" s="43"/>
      <c r="HK44" s="43"/>
      <c r="HL44" s="43"/>
      <c r="HM44" s="43"/>
      <c r="HN44" s="43"/>
      <c r="HO44" s="43"/>
      <c r="HP44" s="43"/>
      <c r="HQ44" s="43"/>
      <c r="HR44" s="43"/>
      <c r="HS44" s="43"/>
      <c r="HT44" s="43"/>
      <c r="HU44" s="43"/>
      <c r="HV44" s="43"/>
      <c r="HW44" s="43"/>
      <c r="HX44" s="43"/>
      <c r="HY44" s="43"/>
      <c r="HZ44" s="43"/>
      <c r="IA44" s="43"/>
      <c r="IB44" s="43"/>
      <c r="IC44" s="43"/>
      <c r="ID44" s="43"/>
      <c r="IE44" s="43"/>
      <c r="IF44" s="43"/>
      <c r="IG44" s="43"/>
      <c r="IH44" s="43"/>
      <c r="II44" s="43"/>
      <c r="IJ44" s="43"/>
      <c r="IK44" s="43"/>
      <c r="IL44" s="43"/>
      <c r="IM44" s="43"/>
      <c r="IN44" s="43"/>
      <c r="IO44" s="43"/>
      <c r="IP44" s="43"/>
      <c r="IQ44" s="43"/>
      <c r="IR44" s="43"/>
      <c r="IS44" s="43"/>
      <c r="IT44" s="43"/>
      <c r="IU44" s="43"/>
      <c r="IV44" s="43"/>
      <c r="IW44" s="43"/>
      <c r="IX44" s="43"/>
      <c r="IY44" s="43"/>
      <c r="IZ44" s="43"/>
      <c r="JA44" s="43"/>
      <c r="JB44" s="43"/>
      <c r="JC44" s="43"/>
      <c r="JD44" s="43"/>
      <c r="JE44" s="43"/>
      <c r="JF44" s="43"/>
      <c r="JG44" s="43"/>
      <c r="JH44" s="43"/>
      <c r="JI44" s="43"/>
      <c r="JJ44" s="43"/>
      <c r="JK44" s="43"/>
      <c r="JL44" s="43"/>
      <c r="JM44" s="43"/>
      <c r="JN44" s="43"/>
      <c r="JO44" s="43"/>
      <c r="JP44" s="43"/>
      <c r="JQ44" s="43"/>
      <c r="JR44" s="43"/>
      <c r="JS44" s="43"/>
      <c r="JT44" s="43"/>
      <c r="JU44" s="43"/>
      <c r="JV44" s="43"/>
      <c r="JW44" s="43"/>
      <c r="JX44" s="43"/>
      <c r="JY44" s="43"/>
      <c r="JZ44" s="43"/>
      <c r="KA44" s="43"/>
      <c r="KB44" s="43"/>
      <c r="KC44" s="43"/>
      <c r="KD44" s="43"/>
      <c r="KE44" s="43"/>
      <c r="KF44" s="43"/>
      <c r="KG44" s="43"/>
      <c r="KH44" s="43"/>
      <c r="KI44" s="43"/>
      <c r="KJ44" s="43"/>
      <c r="KK44" s="43"/>
      <c r="KL44" s="43"/>
      <c r="KM44" s="43"/>
      <c r="KN44" s="43"/>
      <c r="KO44" s="43"/>
      <c r="KP44" s="43"/>
      <c r="KQ44" s="43"/>
      <c r="KR44" s="43"/>
      <c r="KS44" s="43"/>
      <c r="KT44" s="43"/>
      <c r="KU44" s="43"/>
      <c r="KV44" s="43"/>
      <c r="KW44" s="43"/>
      <c r="KX44" s="43"/>
      <c r="KY44" s="43"/>
      <c r="KZ44" s="43"/>
      <c r="LA44" s="43"/>
      <c r="LB44" s="43"/>
      <c r="LC44" s="43"/>
      <c r="LD44" s="43"/>
      <c r="LE44" s="43"/>
      <c r="LF44" s="43"/>
      <c r="LG44" s="43"/>
      <c r="LH44" s="43"/>
      <c r="LI44" s="43"/>
      <c r="LJ44" s="43"/>
      <c r="LK44" s="43"/>
      <c r="LL44" s="43"/>
      <c r="LM44" s="43"/>
      <c r="LN44" s="43"/>
      <c r="LO44" s="43"/>
      <c r="LP44" s="43"/>
      <c r="LQ44" s="43"/>
      <c r="LR44" s="43"/>
      <c r="LS44" s="43"/>
      <c r="LT44" s="43"/>
      <c r="LU44" s="43"/>
      <c r="LV44" s="43"/>
      <c r="LW44" s="43"/>
      <c r="LX44" s="43"/>
      <c r="LY44" s="43"/>
      <c r="LZ44" s="43"/>
      <c r="MA44" s="43"/>
      <c r="MB44" s="43"/>
      <c r="MC44" s="43"/>
      <c r="MD44" s="43"/>
      <c r="ME44" s="43"/>
      <c r="MF44" s="43"/>
      <c r="MG44" s="43"/>
      <c r="MH44" s="43"/>
      <c r="MI44" s="43"/>
      <c r="MJ44" s="43"/>
      <c r="MK44" s="43"/>
      <c r="ML44" s="43"/>
      <c r="MM44" s="43"/>
      <c r="MN44" s="43"/>
      <c r="MO44" s="43"/>
      <c r="MP44" s="43"/>
      <c r="MQ44" s="43"/>
      <c r="MR44" s="43"/>
      <c r="MS44" s="43"/>
      <c r="MT44" s="43"/>
      <c r="MU44" s="43"/>
      <c r="MV44" s="43"/>
      <c r="MW44" s="43"/>
      <c r="MX44" s="43"/>
      <c r="MY44" s="43"/>
      <c r="MZ44" s="43"/>
      <c r="NA44" s="43"/>
      <c r="NB44" s="43"/>
      <c r="NC44" s="43"/>
      <c r="ND44" s="43"/>
      <c r="NE44" s="43"/>
      <c r="NF44" s="43"/>
      <c r="NG44" s="43"/>
      <c r="NH44" s="43"/>
      <c r="NI44" s="43"/>
      <c r="NJ44" s="43"/>
      <c r="NK44" s="43"/>
      <c r="NL44" s="43"/>
      <c r="NM44" s="43"/>
      <c r="NN44" s="43"/>
      <c r="NO44" s="43"/>
      <c r="NP44" s="43"/>
      <c r="NQ44" s="43"/>
      <c r="NR44" s="43"/>
      <c r="NS44" s="43"/>
      <c r="NT44" s="43"/>
      <c r="NU44" s="43"/>
      <c r="NV44" s="43"/>
      <c r="NW44" s="43"/>
      <c r="NX44" s="43"/>
      <c r="NY44" s="43"/>
      <c r="NZ44" s="43"/>
      <c r="OA44" s="43"/>
      <c r="OB44" s="43"/>
      <c r="OC44" s="43"/>
      <c r="OD44" s="43"/>
      <c r="OE44" s="43"/>
      <c r="OF44" s="43"/>
      <c r="OG44" s="43"/>
      <c r="OH44" s="43"/>
      <c r="OI44" s="43"/>
      <c r="OJ44" s="43"/>
      <c r="OK44" s="43"/>
      <c r="OL44" s="43"/>
      <c r="OM44" s="43"/>
      <c r="ON44" s="43"/>
      <c r="OO44" s="43"/>
      <c r="OP44" s="43"/>
      <c r="OQ44" s="43"/>
      <c r="OR44" s="43"/>
      <c r="OS44" s="43"/>
      <c r="OT44" s="43"/>
      <c r="OU44" s="43"/>
      <c r="OV44" s="43"/>
      <c r="OW44" s="43"/>
      <c r="OX44" s="43"/>
      <c r="OY44" s="43"/>
      <c r="OZ44" s="43"/>
      <c r="PA44" s="43"/>
      <c r="PB44" s="43"/>
      <c r="PC44" s="43"/>
      <c r="PD44" s="43"/>
      <c r="PE44" s="43"/>
      <c r="PF44" s="43"/>
      <c r="PG44" s="43"/>
      <c r="PH44" s="43"/>
      <c r="PI44" s="43"/>
      <c r="PJ44" s="43"/>
      <c r="PK44" s="43"/>
      <c r="PL44" s="43"/>
      <c r="PM44" s="43"/>
      <c r="PN44" s="43"/>
      <c r="PO44" s="43"/>
      <c r="PP44" s="43"/>
      <c r="PQ44" s="43"/>
      <c r="PR44" s="43"/>
      <c r="PS44" s="43"/>
      <c r="PT44" s="43"/>
      <c r="PU44" s="43"/>
      <c r="PV44" s="43"/>
      <c r="PW44" s="43"/>
      <c r="PX44" s="43"/>
      <c r="PY44" s="43"/>
      <c r="PZ44" s="43"/>
      <c r="QA44" s="43"/>
      <c r="QB44" s="43"/>
      <c r="QC44" s="43"/>
    </row>
    <row r="45" spans="1:16383" x14ac:dyDescent="0.3">
      <c r="A45" s="85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46" t="str">
        <f t="shared" si="6"/>
        <v/>
      </c>
      <c r="U45" s="46" t="str">
        <f t="shared" si="7"/>
        <v/>
      </c>
      <c r="V45" s="72" t="str">
        <f t="shared" si="4"/>
        <v/>
      </c>
      <c r="W45" s="48"/>
      <c r="X45" s="73" t="str">
        <f t="shared" si="5"/>
        <v/>
      </c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43"/>
      <c r="CY45" s="43"/>
      <c r="CZ45" s="43"/>
      <c r="DA45" s="43"/>
      <c r="DB45" s="43"/>
      <c r="DC45" s="43"/>
      <c r="DD45" s="43"/>
      <c r="DE45" s="43"/>
      <c r="DF45" s="43"/>
      <c r="DG45" s="43"/>
      <c r="DH45" s="43"/>
      <c r="DI45" s="43"/>
      <c r="DJ45" s="43"/>
      <c r="DK45" s="43"/>
      <c r="DL45" s="43"/>
      <c r="DM45" s="43"/>
      <c r="DN45" s="43"/>
      <c r="DO45" s="43"/>
      <c r="DP45" s="43"/>
      <c r="DQ45" s="43"/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3"/>
      <c r="ED45" s="43"/>
      <c r="EE45" s="43"/>
      <c r="EF45" s="43"/>
      <c r="EG45" s="43"/>
      <c r="EH45" s="43"/>
      <c r="EI45" s="43"/>
      <c r="EJ45" s="43"/>
      <c r="EK45" s="43"/>
      <c r="EL45" s="43"/>
      <c r="EM45" s="43"/>
      <c r="EN45" s="43"/>
      <c r="EO45" s="43"/>
      <c r="EP45" s="43"/>
      <c r="EQ45" s="43"/>
      <c r="ER45" s="43"/>
      <c r="ES45" s="43"/>
      <c r="ET45" s="43"/>
      <c r="EU45" s="43"/>
      <c r="EV45" s="43"/>
      <c r="EW45" s="43"/>
      <c r="EX45" s="43"/>
      <c r="EY45" s="43"/>
      <c r="EZ45" s="43"/>
      <c r="FA45" s="43"/>
      <c r="FB45" s="43"/>
      <c r="FC45" s="43"/>
      <c r="FD45" s="43"/>
      <c r="FE45" s="43"/>
      <c r="FF45" s="43"/>
      <c r="FG45" s="43"/>
      <c r="FH45" s="43"/>
      <c r="FI45" s="43"/>
      <c r="FJ45" s="43"/>
      <c r="FK45" s="43"/>
      <c r="FL45" s="43"/>
      <c r="FM45" s="43"/>
      <c r="FN45" s="43"/>
      <c r="FO45" s="43"/>
      <c r="FP45" s="43"/>
      <c r="FQ45" s="43"/>
      <c r="FR45" s="43"/>
      <c r="FS45" s="43"/>
      <c r="FT45" s="43"/>
      <c r="FU45" s="43"/>
      <c r="FV45" s="43"/>
      <c r="FW45" s="43"/>
      <c r="FX45" s="43"/>
      <c r="FY45" s="43"/>
      <c r="FZ45" s="43"/>
      <c r="GA45" s="43"/>
      <c r="GB45" s="43"/>
      <c r="GC45" s="43"/>
      <c r="GD45" s="43"/>
      <c r="GE45" s="43"/>
      <c r="GF45" s="43"/>
      <c r="GG45" s="43"/>
      <c r="GH45" s="43"/>
      <c r="GI45" s="43"/>
      <c r="GJ45" s="43"/>
      <c r="GK45" s="43"/>
      <c r="GL45" s="43"/>
      <c r="GM45" s="43"/>
      <c r="GN45" s="43"/>
      <c r="GO45" s="43"/>
      <c r="GP45" s="43"/>
      <c r="GQ45" s="43"/>
      <c r="GR45" s="43"/>
      <c r="GS45" s="43"/>
      <c r="GT45" s="43"/>
      <c r="GU45" s="43"/>
      <c r="GV45" s="43"/>
      <c r="GW45" s="43"/>
      <c r="GX45" s="43"/>
      <c r="GY45" s="43"/>
      <c r="GZ45" s="43"/>
      <c r="HA45" s="43"/>
      <c r="HB45" s="43"/>
      <c r="HC45" s="43"/>
      <c r="HD45" s="43"/>
      <c r="HE45" s="43"/>
      <c r="HF45" s="43"/>
      <c r="HG45" s="43"/>
      <c r="HH45" s="43"/>
      <c r="HI45" s="43"/>
      <c r="HJ45" s="43"/>
      <c r="HK45" s="43"/>
      <c r="HL45" s="43"/>
      <c r="HM45" s="43"/>
      <c r="HN45" s="43"/>
      <c r="HO45" s="43"/>
      <c r="HP45" s="43"/>
      <c r="HQ45" s="43"/>
      <c r="HR45" s="43"/>
      <c r="HS45" s="43"/>
      <c r="HT45" s="43"/>
      <c r="HU45" s="43"/>
      <c r="HV45" s="43"/>
      <c r="HW45" s="43"/>
      <c r="HX45" s="43"/>
      <c r="HY45" s="43"/>
      <c r="HZ45" s="43"/>
      <c r="IA45" s="43"/>
      <c r="IB45" s="43"/>
      <c r="IC45" s="43"/>
      <c r="ID45" s="43"/>
      <c r="IE45" s="43"/>
      <c r="IF45" s="43"/>
      <c r="IG45" s="43"/>
      <c r="IH45" s="43"/>
      <c r="II45" s="43"/>
      <c r="IJ45" s="43"/>
      <c r="IK45" s="43"/>
      <c r="IL45" s="43"/>
      <c r="IM45" s="43"/>
      <c r="IN45" s="43"/>
      <c r="IO45" s="43"/>
      <c r="IP45" s="43"/>
      <c r="IQ45" s="43"/>
      <c r="IR45" s="43"/>
      <c r="IS45" s="43"/>
      <c r="IT45" s="43"/>
      <c r="IU45" s="43"/>
      <c r="IV45" s="43"/>
      <c r="IW45" s="43"/>
      <c r="IX45" s="43"/>
      <c r="IY45" s="43"/>
      <c r="IZ45" s="43"/>
      <c r="JA45" s="43"/>
      <c r="JB45" s="43"/>
      <c r="JC45" s="43"/>
      <c r="JD45" s="43"/>
      <c r="JE45" s="43"/>
      <c r="JF45" s="43"/>
      <c r="JG45" s="43"/>
      <c r="JH45" s="43"/>
      <c r="JI45" s="43"/>
      <c r="JJ45" s="43"/>
      <c r="JK45" s="43"/>
      <c r="JL45" s="43"/>
      <c r="JM45" s="43"/>
      <c r="JN45" s="43"/>
      <c r="JO45" s="43"/>
      <c r="JP45" s="43"/>
      <c r="JQ45" s="43"/>
      <c r="JR45" s="43"/>
      <c r="JS45" s="43"/>
      <c r="JT45" s="43"/>
      <c r="JU45" s="43"/>
      <c r="JV45" s="43"/>
      <c r="JW45" s="43"/>
      <c r="JX45" s="43"/>
      <c r="JY45" s="43"/>
      <c r="JZ45" s="43"/>
      <c r="KA45" s="43"/>
      <c r="KB45" s="43"/>
      <c r="KC45" s="43"/>
      <c r="KD45" s="43"/>
      <c r="KE45" s="43"/>
      <c r="KF45" s="43"/>
      <c r="KG45" s="43"/>
      <c r="KH45" s="43"/>
      <c r="KI45" s="43"/>
      <c r="KJ45" s="43"/>
      <c r="KK45" s="43"/>
      <c r="KL45" s="43"/>
      <c r="KM45" s="43"/>
      <c r="KN45" s="43"/>
      <c r="KO45" s="43"/>
      <c r="KP45" s="43"/>
      <c r="KQ45" s="43"/>
      <c r="KR45" s="43"/>
      <c r="KS45" s="43"/>
      <c r="KT45" s="43"/>
      <c r="KU45" s="43"/>
      <c r="KV45" s="43"/>
      <c r="KW45" s="43"/>
      <c r="KX45" s="43"/>
      <c r="KY45" s="43"/>
      <c r="KZ45" s="43"/>
      <c r="LA45" s="43"/>
      <c r="LB45" s="43"/>
      <c r="LC45" s="43"/>
      <c r="LD45" s="43"/>
      <c r="LE45" s="43"/>
      <c r="LF45" s="43"/>
      <c r="LG45" s="43"/>
      <c r="LH45" s="43"/>
      <c r="LI45" s="43"/>
      <c r="LJ45" s="43"/>
      <c r="LK45" s="43"/>
      <c r="LL45" s="43"/>
      <c r="LM45" s="43"/>
      <c r="LN45" s="43"/>
      <c r="LO45" s="43"/>
      <c r="LP45" s="43"/>
      <c r="LQ45" s="43"/>
      <c r="LR45" s="43"/>
      <c r="LS45" s="43"/>
      <c r="LT45" s="43"/>
      <c r="LU45" s="43"/>
      <c r="LV45" s="43"/>
      <c r="LW45" s="43"/>
      <c r="LX45" s="43"/>
      <c r="LY45" s="43"/>
      <c r="LZ45" s="43"/>
      <c r="MA45" s="43"/>
      <c r="MB45" s="43"/>
      <c r="MC45" s="43"/>
      <c r="MD45" s="43"/>
      <c r="ME45" s="43"/>
      <c r="MF45" s="43"/>
      <c r="MG45" s="43"/>
      <c r="MH45" s="43"/>
      <c r="MI45" s="43"/>
      <c r="MJ45" s="43"/>
      <c r="MK45" s="43"/>
      <c r="ML45" s="43"/>
      <c r="MM45" s="43"/>
      <c r="MN45" s="43"/>
      <c r="MO45" s="43"/>
      <c r="MP45" s="43"/>
      <c r="MQ45" s="43"/>
      <c r="MR45" s="43"/>
      <c r="MS45" s="43"/>
      <c r="MT45" s="43"/>
      <c r="MU45" s="43"/>
      <c r="MV45" s="43"/>
      <c r="MW45" s="43"/>
      <c r="MX45" s="43"/>
      <c r="MY45" s="43"/>
      <c r="MZ45" s="43"/>
      <c r="NA45" s="43"/>
      <c r="NB45" s="43"/>
      <c r="NC45" s="43"/>
      <c r="ND45" s="43"/>
      <c r="NE45" s="43"/>
      <c r="NF45" s="43"/>
      <c r="NG45" s="43"/>
      <c r="NH45" s="43"/>
      <c r="NI45" s="43"/>
      <c r="NJ45" s="43"/>
      <c r="NK45" s="43"/>
      <c r="NL45" s="43"/>
      <c r="NM45" s="43"/>
      <c r="NN45" s="43"/>
      <c r="NO45" s="43"/>
      <c r="NP45" s="43"/>
      <c r="NQ45" s="43"/>
      <c r="NR45" s="43"/>
      <c r="NS45" s="43"/>
      <c r="NT45" s="43"/>
      <c r="NU45" s="43"/>
      <c r="NV45" s="43"/>
      <c r="NW45" s="43"/>
      <c r="NX45" s="43"/>
      <c r="NY45" s="43"/>
      <c r="NZ45" s="43"/>
      <c r="OA45" s="43"/>
      <c r="OB45" s="43"/>
      <c r="OC45" s="43"/>
      <c r="OD45" s="43"/>
      <c r="OE45" s="43"/>
      <c r="OF45" s="43"/>
      <c r="OG45" s="43"/>
      <c r="OH45" s="43"/>
      <c r="OI45" s="43"/>
      <c r="OJ45" s="43"/>
      <c r="OK45" s="43"/>
      <c r="OL45" s="43"/>
      <c r="OM45" s="43"/>
      <c r="ON45" s="43"/>
      <c r="OO45" s="43"/>
      <c r="OP45" s="43"/>
      <c r="OQ45" s="43"/>
      <c r="OR45" s="43"/>
      <c r="OS45" s="43"/>
      <c r="OT45" s="43"/>
      <c r="OU45" s="43"/>
      <c r="OV45" s="43"/>
      <c r="OW45" s="43"/>
      <c r="OX45" s="43"/>
      <c r="OY45" s="43"/>
      <c r="OZ45" s="43"/>
      <c r="PA45" s="43"/>
      <c r="PB45" s="43"/>
      <c r="PC45" s="43"/>
      <c r="PD45" s="43"/>
      <c r="PE45" s="43"/>
      <c r="PF45" s="43"/>
      <c r="PG45" s="43"/>
      <c r="PH45" s="43"/>
      <c r="PI45" s="43"/>
      <c r="PJ45" s="43"/>
      <c r="PK45" s="43"/>
      <c r="PL45" s="43"/>
      <c r="PM45" s="43"/>
      <c r="PN45" s="43"/>
      <c r="PO45" s="43"/>
      <c r="PP45" s="43"/>
      <c r="PQ45" s="43"/>
      <c r="PR45" s="43"/>
      <c r="PS45" s="43"/>
      <c r="PT45" s="43"/>
      <c r="PU45" s="43"/>
      <c r="PV45" s="43"/>
      <c r="PW45" s="43"/>
      <c r="PX45" s="43"/>
      <c r="PY45" s="43"/>
      <c r="PZ45" s="43"/>
      <c r="QA45" s="43"/>
      <c r="QB45" s="43"/>
      <c r="QC45" s="43"/>
    </row>
    <row r="46" spans="1:16383" x14ac:dyDescent="0.3">
      <c r="A46" s="85"/>
      <c r="B46" s="84"/>
      <c r="C46" s="84"/>
      <c r="D46" s="84"/>
      <c r="E46" s="84"/>
      <c r="F46" s="84"/>
      <c r="G46" s="84"/>
      <c r="H46" s="84"/>
      <c r="I46" s="84"/>
      <c r="J46" s="93"/>
      <c r="K46" s="84"/>
      <c r="L46" s="84"/>
      <c r="M46" s="84"/>
      <c r="N46" s="84"/>
      <c r="O46" s="84"/>
      <c r="P46" s="84"/>
      <c r="Q46" s="84"/>
      <c r="R46" s="84"/>
      <c r="S46" s="84"/>
      <c r="T46" s="46" t="str">
        <f t="shared" si="6"/>
        <v/>
      </c>
      <c r="U46" s="46" t="str">
        <f t="shared" si="7"/>
        <v/>
      </c>
      <c r="V46" s="72" t="str">
        <f t="shared" si="4"/>
        <v/>
      </c>
      <c r="W46" s="48"/>
      <c r="X46" s="73" t="str">
        <f t="shared" si="5"/>
        <v/>
      </c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43"/>
      <c r="CY46" s="43"/>
      <c r="CZ46" s="43"/>
      <c r="DA46" s="43"/>
      <c r="DB46" s="43"/>
      <c r="DC46" s="43"/>
      <c r="DD46" s="43"/>
      <c r="DE46" s="43"/>
      <c r="DF46" s="43"/>
      <c r="DG46" s="43"/>
      <c r="DH46" s="43"/>
      <c r="DI46" s="43"/>
      <c r="DJ46" s="43"/>
      <c r="DK46" s="43"/>
      <c r="DL46" s="43"/>
      <c r="DM46" s="43"/>
      <c r="DN46" s="43"/>
      <c r="DO46" s="43"/>
      <c r="DP46" s="43"/>
      <c r="DQ46" s="43"/>
      <c r="DR46" s="43"/>
      <c r="DS46" s="43"/>
      <c r="DT46" s="43"/>
      <c r="DU46" s="43"/>
      <c r="DV46" s="43"/>
      <c r="DW46" s="43"/>
      <c r="DX46" s="43"/>
      <c r="DY46" s="43"/>
      <c r="DZ46" s="43"/>
      <c r="EA46" s="43"/>
      <c r="EB46" s="43"/>
      <c r="EC46" s="43"/>
      <c r="ED46" s="43"/>
      <c r="EE46" s="43"/>
      <c r="EF46" s="43"/>
      <c r="EG46" s="43"/>
      <c r="EH46" s="43"/>
      <c r="EI46" s="43"/>
      <c r="EJ46" s="43"/>
      <c r="EK46" s="43"/>
      <c r="EL46" s="43"/>
      <c r="EM46" s="43"/>
      <c r="EN46" s="43"/>
      <c r="EO46" s="43"/>
      <c r="EP46" s="43"/>
      <c r="EQ46" s="43"/>
      <c r="ER46" s="43"/>
      <c r="ES46" s="43"/>
      <c r="ET46" s="43"/>
      <c r="EU46" s="43"/>
      <c r="EV46" s="43"/>
      <c r="EW46" s="43"/>
      <c r="EX46" s="43"/>
      <c r="EY46" s="43"/>
      <c r="EZ46" s="43"/>
      <c r="FA46" s="43"/>
      <c r="FB46" s="43"/>
      <c r="FC46" s="43"/>
      <c r="FD46" s="43"/>
      <c r="FE46" s="43"/>
      <c r="FF46" s="43"/>
      <c r="FG46" s="43"/>
      <c r="FH46" s="43"/>
      <c r="FI46" s="43"/>
      <c r="FJ46" s="43"/>
      <c r="FK46" s="43"/>
      <c r="FL46" s="43"/>
      <c r="FM46" s="43"/>
      <c r="FN46" s="43"/>
      <c r="FO46" s="43"/>
      <c r="FP46" s="43"/>
      <c r="FQ46" s="43"/>
      <c r="FR46" s="43"/>
      <c r="FS46" s="43"/>
      <c r="FT46" s="43"/>
      <c r="FU46" s="43"/>
      <c r="FV46" s="43"/>
      <c r="FW46" s="43"/>
      <c r="FX46" s="43"/>
      <c r="FY46" s="43"/>
      <c r="FZ46" s="43"/>
      <c r="GA46" s="43"/>
      <c r="GB46" s="43"/>
      <c r="GC46" s="43"/>
      <c r="GD46" s="43"/>
      <c r="GE46" s="43"/>
      <c r="GF46" s="43"/>
      <c r="GG46" s="43"/>
      <c r="GH46" s="43"/>
      <c r="GI46" s="43"/>
      <c r="GJ46" s="43"/>
      <c r="GK46" s="43"/>
      <c r="GL46" s="43"/>
      <c r="GM46" s="43"/>
      <c r="GN46" s="43"/>
      <c r="GO46" s="43"/>
      <c r="GP46" s="43"/>
      <c r="GQ46" s="43"/>
      <c r="GR46" s="43"/>
      <c r="GS46" s="43"/>
      <c r="GT46" s="43"/>
      <c r="GU46" s="43"/>
      <c r="GV46" s="43"/>
      <c r="GW46" s="43"/>
      <c r="GX46" s="43"/>
      <c r="GY46" s="43"/>
      <c r="GZ46" s="43"/>
      <c r="HA46" s="43"/>
      <c r="HB46" s="43"/>
      <c r="HC46" s="43"/>
      <c r="HD46" s="43"/>
      <c r="HE46" s="43"/>
      <c r="HF46" s="43"/>
      <c r="HG46" s="43"/>
      <c r="HH46" s="43"/>
      <c r="HI46" s="43"/>
      <c r="HJ46" s="43"/>
      <c r="HK46" s="43"/>
      <c r="HL46" s="43"/>
      <c r="HM46" s="43"/>
      <c r="HN46" s="43"/>
      <c r="HO46" s="43"/>
      <c r="HP46" s="43"/>
      <c r="HQ46" s="43"/>
      <c r="HR46" s="43"/>
      <c r="HS46" s="43"/>
      <c r="HT46" s="43"/>
      <c r="HU46" s="43"/>
      <c r="HV46" s="43"/>
      <c r="HW46" s="43"/>
      <c r="HX46" s="43"/>
      <c r="HY46" s="43"/>
      <c r="HZ46" s="43"/>
      <c r="IA46" s="43"/>
      <c r="IB46" s="43"/>
      <c r="IC46" s="43"/>
      <c r="ID46" s="43"/>
      <c r="IE46" s="43"/>
      <c r="IF46" s="43"/>
      <c r="IG46" s="43"/>
      <c r="IH46" s="43"/>
      <c r="II46" s="43"/>
      <c r="IJ46" s="43"/>
      <c r="IK46" s="43"/>
      <c r="IL46" s="43"/>
      <c r="IM46" s="43"/>
      <c r="IN46" s="43"/>
      <c r="IO46" s="43"/>
      <c r="IP46" s="43"/>
      <c r="IQ46" s="43"/>
      <c r="IR46" s="43"/>
      <c r="IS46" s="43"/>
      <c r="IT46" s="43"/>
      <c r="IU46" s="43"/>
      <c r="IV46" s="43"/>
      <c r="IW46" s="43"/>
      <c r="IX46" s="43"/>
      <c r="IY46" s="43"/>
      <c r="IZ46" s="43"/>
      <c r="JA46" s="43"/>
      <c r="JB46" s="43"/>
      <c r="JC46" s="43"/>
      <c r="JD46" s="43"/>
      <c r="JE46" s="43"/>
      <c r="JF46" s="43"/>
      <c r="JG46" s="43"/>
      <c r="JH46" s="43"/>
      <c r="JI46" s="43"/>
      <c r="JJ46" s="43"/>
      <c r="JK46" s="43"/>
      <c r="JL46" s="43"/>
      <c r="JM46" s="43"/>
      <c r="JN46" s="43"/>
      <c r="JO46" s="43"/>
      <c r="JP46" s="43"/>
      <c r="JQ46" s="43"/>
      <c r="JR46" s="43"/>
      <c r="JS46" s="43"/>
      <c r="JT46" s="43"/>
      <c r="JU46" s="43"/>
      <c r="JV46" s="43"/>
      <c r="JW46" s="43"/>
      <c r="JX46" s="43"/>
      <c r="JY46" s="43"/>
      <c r="JZ46" s="43"/>
      <c r="KA46" s="43"/>
      <c r="KB46" s="43"/>
      <c r="KC46" s="43"/>
      <c r="KD46" s="43"/>
      <c r="KE46" s="43"/>
      <c r="KF46" s="43"/>
      <c r="KG46" s="43"/>
      <c r="KH46" s="43"/>
      <c r="KI46" s="43"/>
      <c r="KJ46" s="43"/>
      <c r="KK46" s="43"/>
      <c r="KL46" s="43"/>
      <c r="KM46" s="43"/>
      <c r="KN46" s="43"/>
      <c r="KO46" s="43"/>
      <c r="KP46" s="43"/>
      <c r="KQ46" s="43"/>
      <c r="KR46" s="43"/>
      <c r="KS46" s="43"/>
      <c r="KT46" s="43"/>
      <c r="KU46" s="43"/>
      <c r="KV46" s="43"/>
      <c r="KW46" s="43"/>
      <c r="KX46" s="43"/>
      <c r="KY46" s="43"/>
      <c r="KZ46" s="43"/>
      <c r="LA46" s="43"/>
      <c r="LB46" s="43"/>
      <c r="LC46" s="43"/>
      <c r="LD46" s="43"/>
      <c r="LE46" s="43"/>
      <c r="LF46" s="43"/>
      <c r="LG46" s="43"/>
      <c r="LH46" s="43"/>
      <c r="LI46" s="43"/>
      <c r="LJ46" s="43"/>
      <c r="LK46" s="43"/>
      <c r="LL46" s="43"/>
      <c r="LM46" s="43"/>
      <c r="LN46" s="43"/>
      <c r="LO46" s="43"/>
      <c r="LP46" s="43"/>
      <c r="LQ46" s="43"/>
      <c r="LR46" s="43"/>
      <c r="LS46" s="43"/>
      <c r="LT46" s="43"/>
      <c r="LU46" s="43"/>
      <c r="LV46" s="43"/>
      <c r="LW46" s="43"/>
      <c r="LX46" s="43"/>
      <c r="LY46" s="43"/>
      <c r="LZ46" s="43"/>
      <c r="MA46" s="43"/>
      <c r="MB46" s="43"/>
      <c r="MC46" s="43"/>
      <c r="MD46" s="43"/>
      <c r="ME46" s="43"/>
      <c r="MF46" s="43"/>
      <c r="MG46" s="43"/>
      <c r="MH46" s="43"/>
      <c r="MI46" s="43"/>
      <c r="MJ46" s="43"/>
      <c r="MK46" s="43"/>
      <c r="ML46" s="43"/>
      <c r="MM46" s="43"/>
      <c r="MN46" s="43"/>
      <c r="MO46" s="43"/>
      <c r="MP46" s="43"/>
      <c r="MQ46" s="43"/>
      <c r="MR46" s="43"/>
      <c r="MS46" s="43"/>
      <c r="MT46" s="43"/>
      <c r="MU46" s="43"/>
      <c r="MV46" s="43"/>
      <c r="MW46" s="43"/>
      <c r="MX46" s="43"/>
      <c r="MY46" s="43"/>
      <c r="MZ46" s="43"/>
      <c r="NA46" s="43"/>
      <c r="NB46" s="43"/>
      <c r="NC46" s="43"/>
      <c r="ND46" s="43"/>
      <c r="NE46" s="43"/>
      <c r="NF46" s="43"/>
      <c r="NG46" s="43"/>
      <c r="NH46" s="43"/>
      <c r="NI46" s="43"/>
      <c r="NJ46" s="43"/>
      <c r="NK46" s="43"/>
      <c r="NL46" s="43"/>
      <c r="NM46" s="43"/>
      <c r="NN46" s="43"/>
      <c r="NO46" s="43"/>
      <c r="NP46" s="43"/>
      <c r="NQ46" s="43"/>
      <c r="NR46" s="43"/>
      <c r="NS46" s="43"/>
      <c r="NT46" s="43"/>
      <c r="NU46" s="43"/>
      <c r="NV46" s="43"/>
      <c r="NW46" s="43"/>
      <c r="NX46" s="43"/>
      <c r="NY46" s="43"/>
      <c r="NZ46" s="43"/>
      <c r="OA46" s="43"/>
      <c r="OB46" s="43"/>
      <c r="OC46" s="43"/>
      <c r="OD46" s="43"/>
      <c r="OE46" s="43"/>
      <c r="OF46" s="43"/>
      <c r="OG46" s="43"/>
      <c r="OH46" s="43"/>
      <c r="OI46" s="43"/>
      <c r="OJ46" s="43"/>
      <c r="OK46" s="43"/>
      <c r="OL46" s="43"/>
      <c r="OM46" s="43"/>
      <c r="ON46" s="43"/>
      <c r="OO46" s="43"/>
      <c r="OP46" s="43"/>
      <c r="OQ46" s="43"/>
      <c r="OR46" s="43"/>
      <c r="OS46" s="43"/>
      <c r="OT46" s="43"/>
      <c r="OU46" s="43"/>
      <c r="OV46" s="43"/>
      <c r="OW46" s="43"/>
      <c r="OX46" s="43"/>
      <c r="OY46" s="43"/>
      <c r="OZ46" s="43"/>
      <c r="PA46" s="43"/>
      <c r="PB46" s="43"/>
      <c r="PC46" s="43"/>
      <c r="PD46" s="43"/>
      <c r="PE46" s="43"/>
      <c r="PF46" s="43"/>
      <c r="PG46" s="43"/>
      <c r="PH46" s="43"/>
      <c r="PI46" s="43"/>
      <c r="PJ46" s="43"/>
      <c r="PK46" s="43"/>
      <c r="PL46" s="43"/>
      <c r="PM46" s="43"/>
      <c r="PN46" s="43"/>
      <c r="PO46" s="43"/>
      <c r="PP46" s="43"/>
      <c r="PQ46" s="43"/>
      <c r="PR46" s="43"/>
      <c r="PS46" s="43"/>
      <c r="PT46" s="43"/>
      <c r="PU46" s="43"/>
      <c r="PV46" s="43"/>
      <c r="PW46" s="43"/>
      <c r="PX46" s="43"/>
      <c r="PY46" s="43"/>
      <c r="PZ46" s="43"/>
      <c r="QA46" s="43"/>
      <c r="QB46" s="43"/>
      <c r="QC46" s="43"/>
    </row>
    <row r="47" spans="1:16383" x14ac:dyDescent="0.3">
      <c r="A47" s="85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46" t="str">
        <f t="shared" si="6"/>
        <v/>
      </c>
      <c r="U47" s="46" t="str">
        <f t="shared" si="7"/>
        <v/>
      </c>
      <c r="V47" s="72" t="str">
        <f t="shared" si="4"/>
        <v/>
      </c>
      <c r="W47" s="48"/>
      <c r="X47" s="73" t="str">
        <f t="shared" si="5"/>
        <v/>
      </c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43"/>
      <c r="CY47" s="43"/>
      <c r="CZ47" s="43"/>
      <c r="DA47" s="43"/>
      <c r="DB47" s="43"/>
      <c r="DC47" s="43"/>
      <c r="DD47" s="43"/>
      <c r="DE47" s="43"/>
      <c r="DF47" s="43"/>
      <c r="DG47" s="43"/>
      <c r="DH47" s="43"/>
      <c r="DI47" s="43"/>
      <c r="DJ47" s="43"/>
      <c r="DK47" s="43"/>
      <c r="DL47" s="43"/>
      <c r="DM47" s="43"/>
      <c r="DN47" s="43"/>
      <c r="DO47" s="43"/>
      <c r="DP47" s="43"/>
      <c r="DQ47" s="43"/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43"/>
      <c r="EM47" s="43"/>
      <c r="EN47" s="43"/>
      <c r="EO47" s="43"/>
      <c r="EP47" s="43"/>
      <c r="EQ47" s="43"/>
      <c r="ER47" s="43"/>
      <c r="ES47" s="43"/>
      <c r="ET47" s="43"/>
      <c r="EU47" s="43"/>
      <c r="EV47" s="43"/>
      <c r="EW47" s="43"/>
      <c r="EX47" s="43"/>
      <c r="EY47" s="43"/>
      <c r="EZ47" s="43"/>
      <c r="FA47" s="43"/>
      <c r="FB47" s="43"/>
      <c r="FC47" s="43"/>
      <c r="FD47" s="43"/>
      <c r="FE47" s="43"/>
      <c r="FF47" s="43"/>
      <c r="FG47" s="43"/>
      <c r="FH47" s="43"/>
      <c r="FI47" s="43"/>
      <c r="FJ47" s="43"/>
      <c r="FK47" s="43"/>
      <c r="FL47" s="43"/>
      <c r="FM47" s="43"/>
      <c r="FN47" s="43"/>
      <c r="FO47" s="43"/>
      <c r="FP47" s="43"/>
      <c r="FQ47" s="43"/>
      <c r="FR47" s="43"/>
      <c r="FS47" s="43"/>
      <c r="FT47" s="43"/>
      <c r="FU47" s="43"/>
      <c r="FV47" s="43"/>
      <c r="FW47" s="43"/>
      <c r="FX47" s="43"/>
      <c r="FY47" s="43"/>
      <c r="FZ47" s="43"/>
      <c r="GA47" s="43"/>
      <c r="GB47" s="43"/>
      <c r="GC47" s="43"/>
      <c r="GD47" s="43"/>
      <c r="GE47" s="43"/>
      <c r="GF47" s="43"/>
      <c r="GG47" s="43"/>
      <c r="GH47" s="43"/>
      <c r="GI47" s="43"/>
      <c r="GJ47" s="43"/>
      <c r="GK47" s="43"/>
      <c r="GL47" s="43"/>
      <c r="GM47" s="43"/>
      <c r="GN47" s="43"/>
      <c r="GO47" s="43"/>
      <c r="GP47" s="43"/>
      <c r="GQ47" s="43"/>
      <c r="GR47" s="43"/>
      <c r="GS47" s="43"/>
      <c r="GT47" s="43"/>
      <c r="GU47" s="43"/>
      <c r="GV47" s="43"/>
      <c r="GW47" s="43"/>
      <c r="GX47" s="43"/>
      <c r="GY47" s="43"/>
      <c r="GZ47" s="43"/>
      <c r="HA47" s="43"/>
      <c r="HB47" s="43"/>
      <c r="HC47" s="43"/>
      <c r="HD47" s="43"/>
      <c r="HE47" s="43"/>
      <c r="HF47" s="43"/>
      <c r="HG47" s="43"/>
      <c r="HH47" s="43"/>
      <c r="HI47" s="43"/>
      <c r="HJ47" s="43"/>
      <c r="HK47" s="43"/>
      <c r="HL47" s="43"/>
      <c r="HM47" s="43"/>
      <c r="HN47" s="43"/>
      <c r="HO47" s="43"/>
      <c r="HP47" s="43"/>
      <c r="HQ47" s="43"/>
      <c r="HR47" s="43"/>
      <c r="HS47" s="43"/>
      <c r="HT47" s="43"/>
      <c r="HU47" s="43"/>
      <c r="HV47" s="43"/>
      <c r="HW47" s="43"/>
      <c r="HX47" s="43"/>
      <c r="HY47" s="43"/>
      <c r="HZ47" s="43"/>
      <c r="IA47" s="43"/>
      <c r="IB47" s="43"/>
      <c r="IC47" s="43"/>
      <c r="ID47" s="43"/>
      <c r="IE47" s="43"/>
      <c r="IF47" s="43"/>
      <c r="IG47" s="43"/>
      <c r="IH47" s="43"/>
      <c r="II47" s="43"/>
      <c r="IJ47" s="43"/>
      <c r="IK47" s="43"/>
      <c r="IL47" s="43"/>
      <c r="IM47" s="43"/>
      <c r="IN47" s="43"/>
      <c r="IO47" s="43"/>
      <c r="IP47" s="43"/>
      <c r="IQ47" s="43"/>
      <c r="IR47" s="43"/>
      <c r="IS47" s="43"/>
      <c r="IT47" s="43"/>
      <c r="IU47" s="43"/>
      <c r="IV47" s="43"/>
      <c r="IW47" s="43"/>
      <c r="IX47" s="43"/>
      <c r="IY47" s="43"/>
      <c r="IZ47" s="43"/>
      <c r="JA47" s="43"/>
      <c r="JB47" s="43"/>
      <c r="JC47" s="43"/>
      <c r="JD47" s="43"/>
      <c r="JE47" s="43"/>
      <c r="JF47" s="43"/>
      <c r="JG47" s="43"/>
      <c r="JH47" s="43"/>
      <c r="JI47" s="43"/>
      <c r="JJ47" s="43"/>
      <c r="JK47" s="43"/>
      <c r="JL47" s="43"/>
      <c r="JM47" s="43"/>
      <c r="JN47" s="43"/>
      <c r="JO47" s="43"/>
      <c r="JP47" s="43"/>
      <c r="JQ47" s="43"/>
      <c r="JR47" s="43"/>
      <c r="JS47" s="43"/>
      <c r="JT47" s="43"/>
      <c r="JU47" s="43"/>
      <c r="JV47" s="43"/>
      <c r="JW47" s="43"/>
      <c r="JX47" s="43"/>
      <c r="JY47" s="43"/>
      <c r="JZ47" s="43"/>
      <c r="KA47" s="43"/>
      <c r="KB47" s="43"/>
      <c r="KC47" s="43"/>
      <c r="KD47" s="43"/>
      <c r="KE47" s="43"/>
      <c r="KF47" s="43"/>
      <c r="KG47" s="43"/>
      <c r="KH47" s="43"/>
      <c r="KI47" s="43"/>
      <c r="KJ47" s="43"/>
      <c r="KK47" s="43"/>
      <c r="KL47" s="43"/>
      <c r="KM47" s="43"/>
      <c r="KN47" s="43"/>
      <c r="KO47" s="43"/>
      <c r="KP47" s="43"/>
      <c r="KQ47" s="43"/>
      <c r="KR47" s="43"/>
      <c r="KS47" s="43"/>
      <c r="KT47" s="43"/>
      <c r="KU47" s="43"/>
      <c r="KV47" s="43"/>
      <c r="KW47" s="43"/>
      <c r="KX47" s="43"/>
      <c r="KY47" s="43"/>
      <c r="KZ47" s="43"/>
      <c r="LA47" s="43"/>
      <c r="LB47" s="43"/>
      <c r="LC47" s="43"/>
      <c r="LD47" s="43"/>
      <c r="LE47" s="43"/>
      <c r="LF47" s="43"/>
      <c r="LG47" s="43"/>
      <c r="LH47" s="43"/>
      <c r="LI47" s="43"/>
      <c r="LJ47" s="43"/>
      <c r="LK47" s="43"/>
      <c r="LL47" s="43"/>
      <c r="LM47" s="43"/>
      <c r="LN47" s="43"/>
      <c r="LO47" s="43"/>
      <c r="LP47" s="43"/>
      <c r="LQ47" s="43"/>
      <c r="LR47" s="43"/>
      <c r="LS47" s="43"/>
      <c r="LT47" s="43"/>
      <c r="LU47" s="43"/>
      <c r="LV47" s="43"/>
      <c r="LW47" s="43"/>
      <c r="LX47" s="43"/>
      <c r="LY47" s="43"/>
      <c r="LZ47" s="43"/>
      <c r="MA47" s="43"/>
      <c r="MB47" s="43"/>
      <c r="MC47" s="43"/>
      <c r="MD47" s="43"/>
      <c r="ME47" s="43"/>
      <c r="MF47" s="43"/>
      <c r="MG47" s="43"/>
      <c r="MH47" s="43"/>
      <c r="MI47" s="43"/>
      <c r="MJ47" s="43"/>
      <c r="MK47" s="43"/>
      <c r="ML47" s="43"/>
      <c r="MM47" s="43"/>
      <c r="MN47" s="43"/>
      <c r="MO47" s="43"/>
      <c r="MP47" s="43"/>
      <c r="MQ47" s="43"/>
      <c r="MR47" s="43"/>
      <c r="MS47" s="43"/>
      <c r="MT47" s="43"/>
      <c r="MU47" s="43"/>
      <c r="MV47" s="43"/>
      <c r="MW47" s="43"/>
      <c r="MX47" s="43"/>
      <c r="MY47" s="43"/>
      <c r="MZ47" s="43"/>
      <c r="NA47" s="43"/>
      <c r="NB47" s="43"/>
      <c r="NC47" s="43"/>
      <c r="ND47" s="43"/>
      <c r="NE47" s="43"/>
      <c r="NF47" s="43"/>
      <c r="NG47" s="43"/>
      <c r="NH47" s="43"/>
      <c r="NI47" s="43"/>
      <c r="NJ47" s="43"/>
      <c r="NK47" s="43"/>
      <c r="NL47" s="43"/>
      <c r="NM47" s="43"/>
      <c r="NN47" s="43"/>
      <c r="NO47" s="43"/>
      <c r="NP47" s="43"/>
      <c r="NQ47" s="43"/>
      <c r="NR47" s="43"/>
      <c r="NS47" s="43"/>
      <c r="NT47" s="43"/>
      <c r="NU47" s="43"/>
      <c r="NV47" s="43"/>
      <c r="NW47" s="43"/>
      <c r="NX47" s="43"/>
      <c r="NY47" s="43"/>
      <c r="NZ47" s="43"/>
      <c r="OA47" s="43"/>
      <c r="OB47" s="43"/>
      <c r="OC47" s="43"/>
      <c r="OD47" s="43"/>
      <c r="OE47" s="43"/>
      <c r="OF47" s="43"/>
      <c r="OG47" s="43"/>
      <c r="OH47" s="43"/>
      <c r="OI47" s="43"/>
      <c r="OJ47" s="43"/>
      <c r="OK47" s="43"/>
      <c r="OL47" s="43"/>
      <c r="OM47" s="43"/>
      <c r="ON47" s="43"/>
      <c r="OO47" s="43"/>
      <c r="OP47" s="43"/>
      <c r="OQ47" s="43"/>
      <c r="OR47" s="43"/>
      <c r="OS47" s="43"/>
      <c r="OT47" s="43"/>
      <c r="OU47" s="43"/>
      <c r="OV47" s="43"/>
      <c r="OW47" s="43"/>
      <c r="OX47" s="43"/>
      <c r="OY47" s="43"/>
      <c r="OZ47" s="43"/>
      <c r="PA47" s="43"/>
      <c r="PB47" s="43"/>
      <c r="PC47" s="43"/>
      <c r="PD47" s="43"/>
      <c r="PE47" s="43"/>
      <c r="PF47" s="43"/>
      <c r="PG47" s="43"/>
      <c r="PH47" s="43"/>
      <c r="PI47" s="43"/>
      <c r="PJ47" s="43"/>
      <c r="PK47" s="43"/>
      <c r="PL47" s="43"/>
      <c r="PM47" s="43"/>
      <c r="PN47" s="43"/>
      <c r="PO47" s="43"/>
      <c r="PP47" s="43"/>
      <c r="PQ47" s="43"/>
      <c r="PR47" s="43"/>
      <c r="PS47" s="43"/>
      <c r="PT47" s="43"/>
      <c r="PU47" s="43"/>
      <c r="PV47" s="43"/>
      <c r="PW47" s="43"/>
      <c r="PX47" s="43"/>
      <c r="PY47" s="43"/>
      <c r="PZ47" s="43"/>
      <c r="QA47" s="43"/>
      <c r="QB47" s="43"/>
      <c r="QC47" s="43"/>
    </row>
    <row r="48" spans="1:16383" x14ac:dyDescent="0.3">
      <c r="A48" s="85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46" t="str">
        <f t="shared" si="6"/>
        <v/>
      </c>
      <c r="U48" s="46" t="str">
        <f t="shared" si="7"/>
        <v/>
      </c>
      <c r="V48" s="72" t="str">
        <f t="shared" si="4"/>
        <v/>
      </c>
      <c r="W48" s="48"/>
      <c r="X48" s="73" t="str">
        <f t="shared" si="5"/>
        <v/>
      </c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  <c r="IW48" s="43"/>
      <c r="IX48" s="43"/>
      <c r="IY48" s="43"/>
      <c r="IZ48" s="43"/>
      <c r="JA48" s="43"/>
      <c r="JB48" s="43"/>
      <c r="JC48" s="43"/>
      <c r="JD48" s="43"/>
      <c r="JE48" s="43"/>
      <c r="JF48" s="43"/>
      <c r="JG48" s="43"/>
      <c r="JH48" s="43"/>
      <c r="JI48" s="43"/>
      <c r="JJ48" s="43"/>
      <c r="JK48" s="43"/>
      <c r="JL48" s="43"/>
      <c r="JM48" s="43"/>
      <c r="JN48" s="43"/>
      <c r="JO48" s="43"/>
      <c r="JP48" s="43"/>
      <c r="JQ48" s="43"/>
      <c r="JR48" s="43"/>
      <c r="JS48" s="43"/>
      <c r="JT48" s="43"/>
      <c r="JU48" s="43"/>
      <c r="JV48" s="43"/>
      <c r="JW48" s="43"/>
      <c r="JX48" s="43"/>
      <c r="JY48" s="43"/>
      <c r="JZ48" s="43"/>
      <c r="KA48" s="43"/>
      <c r="KB48" s="43"/>
      <c r="KC48" s="43"/>
      <c r="KD48" s="43"/>
      <c r="KE48" s="43"/>
      <c r="KF48" s="43"/>
      <c r="KG48" s="43"/>
      <c r="KH48" s="43"/>
      <c r="KI48" s="43"/>
      <c r="KJ48" s="43"/>
      <c r="KK48" s="43"/>
      <c r="KL48" s="43"/>
      <c r="KM48" s="43"/>
      <c r="KN48" s="43"/>
      <c r="KO48" s="43"/>
      <c r="KP48" s="43"/>
      <c r="KQ48" s="43"/>
      <c r="KR48" s="43"/>
      <c r="KS48" s="43"/>
      <c r="KT48" s="43"/>
      <c r="KU48" s="43"/>
      <c r="KV48" s="43"/>
      <c r="KW48" s="43"/>
      <c r="KX48" s="43"/>
      <c r="KY48" s="43"/>
      <c r="KZ48" s="43"/>
      <c r="LA48" s="43"/>
      <c r="LB48" s="43"/>
      <c r="LC48" s="43"/>
      <c r="LD48" s="43"/>
      <c r="LE48" s="43"/>
      <c r="LF48" s="43"/>
      <c r="LG48" s="43"/>
      <c r="LH48" s="43"/>
      <c r="LI48" s="43"/>
      <c r="LJ48" s="43"/>
      <c r="LK48" s="43"/>
      <c r="LL48" s="43"/>
      <c r="LM48" s="43"/>
      <c r="LN48" s="43"/>
      <c r="LO48" s="43"/>
      <c r="LP48" s="43"/>
      <c r="LQ48" s="43"/>
      <c r="LR48" s="43"/>
      <c r="LS48" s="43"/>
      <c r="LT48" s="43"/>
      <c r="LU48" s="43"/>
      <c r="LV48" s="43"/>
      <c r="LW48" s="43"/>
      <c r="LX48" s="43"/>
      <c r="LY48" s="43"/>
      <c r="LZ48" s="43"/>
      <c r="MA48" s="43"/>
      <c r="MB48" s="43"/>
      <c r="MC48" s="43"/>
      <c r="MD48" s="43"/>
      <c r="ME48" s="43"/>
      <c r="MF48" s="43"/>
      <c r="MG48" s="43"/>
      <c r="MH48" s="43"/>
      <c r="MI48" s="43"/>
      <c r="MJ48" s="43"/>
      <c r="MK48" s="43"/>
      <c r="ML48" s="43"/>
      <c r="MM48" s="43"/>
      <c r="MN48" s="43"/>
      <c r="MO48" s="43"/>
      <c r="MP48" s="43"/>
      <c r="MQ48" s="43"/>
      <c r="MR48" s="43"/>
      <c r="MS48" s="43"/>
      <c r="MT48" s="43"/>
      <c r="MU48" s="43"/>
      <c r="MV48" s="43"/>
      <c r="MW48" s="43"/>
      <c r="MX48" s="43"/>
      <c r="MY48" s="43"/>
      <c r="MZ48" s="43"/>
      <c r="NA48" s="43"/>
      <c r="NB48" s="43"/>
      <c r="NC48" s="43"/>
      <c r="ND48" s="43"/>
      <c r="NE48" s="43"/>
      <c r="NF48" s="43"/>
      <c r="NG48" s="43"/>
      <c r="NH48" s="43"/>
      <c r="NI48" s="43"/>
      <c r="NJ48" s="43"/>
      <c r="NK48" s="43"/>
      <c r="NL48" s="43"/>
      <c r="NM48" s="43"/>
      <c r="NN48" s="43"/>
      <c r="NO48" s="43"/>
      <c r="NP48" s="43"/>
      <c r="NQ48" s="43"/>
      <c r="NR48" s="43"/>
      <c r="NS48" s="43"/>
      <c r="NT48" s="43"/>
      <c r="NU48" s="43"/>
      <c r="NV48" s="43"/>
      <c r="NW48" s="43"/>
      <c r="NX48" s="43"/>
      <c r="NY48" s="43"/>
      <c r="NZ48" s="43"/>
      <c r="OA48" s="43"/>
      <c r="OB48" s="43"/>
      <c r="OC48" s="43"/>
      <c r="OD48" s="43"/>
      <c r="OE48" s="43"/>
      <c r="OF48" s="43"/>
      <c r="OG48" s="43"/>
      <c r="OH48" s="43"/>
      <c r="OI48" s="43"/>
      <c r="OJ48" s="43"/>
      <c r="OK48" s="43"/>
      <c r="OL48" s="43"/>
      <c r="OM48" s="43"/>
      <c r="ON48" s="43"/>
      <c r="OO48" s="43"/>
      <c r="OP48" s="43"/>
      <c r="OQ48" s="43"/>
      <c r="OR48" s="43"/>
      <c r="OS48" s="43"/>
      <c r="OT48" s="43"/>
      <c r="OU48" s="43"/>
      <c r="OV48" s="43"/>
      <c r="OW48" s="43"/>
      <c r="OX48" s="43"/>
      <c r="OY48" s="43"/>
      <c r="OZ48" s="43"/>
      <c r="PA48" s="43"/>
      <c r="PB48" s="43"/>
      <c r="PC48" s="43"/>
      <c r="PD48" s="43"/>
      <c r="PE48" s="43"/>
      <c r="PF48" s="43"/>
      <c r="PG48" s="43"/>
      <c r="PH48" s="43"/>
      <c r="PI48" s="43"/>
      <c r="PJ48" s="43"/>
      <c r="PK48" s="43"/>
      <c r="PL48" s="43"/>
      <c r="PM48" s="43"/>
      <c r="PN48" s="43"/>
      <c r="PO48" s="43"/>
      <c r="PP48" s="43"/>
      <c r="PQ48" s="43"/>
      <c r="PR48" s="43"/>
      <c r="PS48" s="43"/>
      <c r="PT48" s="43"/>
      <c r="PU48" s="43"/>
      <c r="PV48" s="43"/>
      <c r="PW48" s="43"/>
      <c r="PX48" s="43"/>
      <c r="PY48" s="43"/>
      <c r="PZ48" s="43"/>
      <c r="QA48" s="43"/>
      <c r="QB48" s="43"/>
      <c r="QC48" s="43"/>
    </row>
    <row r="49" spans="1:445" x14ac:dyDescent="0.3">
      <c r="A49" s="85"/>
      <c r="B49" s="84"/>
      <c r="C49" s="84"/>
      <c r="D49" s="84"/>
      <c r="E49" s="84"/>
      <c r="F49" s="84"/>
      <c r="G49" s="84"/>
      <c r="H49" s="9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46" t="str">
        <f t="shared" si="6"/>
        <v/>
      </c>
      <c r="U49" s="46" t="str">
        <f t="shared" si="7"/>
        <v/>
      </c>
      <c r="V49" s="72" t="str">
        <f t="shared" si="4"/>
        <v/>
      </c>
      <c r="W49" s="48"/>
      <c r="X49" s="73" t="str">
        <f t="shared" si="5"/>
        <v/>
      </c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  <c r="IW49" s="43"/>
      <c r="IX49" s="43"/>
      <c r="IY49" s="43"/>
      <c r="IZ49" s="43"/>
      <c r="JA49" s="43"/>
      <c r="JB49" s="43"/>
      <c r="JC49" s="43"/>
      <c r="JD49" s="43"/>
      <c r="JE49" s="43"/>
      <c r="JF49" s="43"/>
      <c r="JG49" s="43"/>
      <c r="JH49" s="43"/>
      <c r="JI49" s="43"/>
      <c r="JJ49" s="43"/>
      <c r="JK49" s="43"/>
      <c r="JL49" s="43"/>
      <c r="JM49" s="43"/>
      <c r="JN49" s="43"/>
      <c r="JO49" s="43"/>
      <c r="JP49" s="43"/>
      <c r="JQ49" s="43"/>
      <c r="JR49" s="43"/>
      <c r="JS49" s="43"/>
      <c r="JT49" s="43"/>
      <c r="JU49" s="43"/>
      <c r="JV49" s="43"/>
      <c r="JW49" s="43"/>
      <c r="JX49" s="43"/>
      <c r="JY49" s="43"/>
      <c r="JZ49" s="43"/>
      <c r="KA49" s="43"/>
      <c r="KB49" s="43"/>
      <c r="KC49" s="43"/>
      <c r="KD49" s="43"/>
      <c r="KE49" s="43"/>
      <c r="KF49" s="43"/>
      <c r="KG49" s="43"/>
      <c r="KH49" s="43"/>
      <c r="KI49" s="43"/>
      <c r="KJ49" s="43"/>
      <c r="KK49" s="43"/>
      <c r="KL49" s="43"/>
      <c r="KM49" s="43"/>
      <c r="KN49" s="43"/>
      <c r="KO49" s="43"/>
      <c r="KP49" s="43"/>
      <c r="KQ49" s="43"/>
      <c r="KR49" s="43"/>
      <c r="KS49" s="43"/>
      <c r="KT49" s="43"/>
      <c r="KU49" s="43"/>
      <c r="KV49" s="43"/>
      <c r="KW49" s="43"/>
      <c r="KX49" s="43"/>
      <c r="KY49" s="43"/>
      <c r="KZ49" s="43"/>
      <c r="LA49" s="43"/>
      <c r="LB49" s="43"/>
      <c r="LC49" s="43"/>
      <c r="LD49" s="43"/>
      <c r="LE49" s="43"/>
      <c r="LF49" s="43"/>
      <c r="LG49" s="43"/>
      <c r="LH49" s="43"/>
      <c r="LI49" s="43"/>
      <c r="LJ49" s="43"/>
      <c r="LK49" s="43"/>
      <c r="LL49" s="43"/>
      <c r="LM49" s="43"/>
      <c r="LN49" s="43"/>
      <c r="LO49" s="43"/>
      <c r="LP49" s="43"/>
      <c r="LQ49" s="43"/>
      <c r="LR49" s="43"/>
      <c r="LS49" s="43"/>
      <c r="LT49" s="43"/>
      <c r="LU49" s="43"/>
      <c r="LV49" s="43"/>
      <c r="LW49" s="43"/>
      <c r="LX49" s="43"/>
      <c r="LY49" s="43"/>
      <c r="LZ49" s="43"/>
      <c r="MA49" s="43"/>
      <c r="MB49" s="43"/>
      <c r="MC49" s="43"/>
      <c r="MD49" s="43"/>
      <c r="ME49" s="43"/>
      <c r="MF49" s="43"/>
      <c r="MG49" s="43"/>
      <c r="MH49" s="43"/>
      <c r="MI49" s="43"/>
      <c r="MJ49" s="43"/>
      <c r="MK49" s="43"/>
      <c r="ML49" s="43"/>
      <c r="MM49" s="43"/>
      <c r="MN49" s="43"/>
      <c r="MO49" s="43"/>
      <c r="MP49" s="43"/>
      <c r="MQ49" s="43"/>
      <c r="MR49" s="43"/>
      <c r="MS49" s="43"/>
      <c r="MT49" s="43"/>
      <c r="MU49" s="43"/>
      <c r="MV49" s="43"/>
      <c r="MW49" s="43"/>
      <c r="MX49" s="43"/>
      <c r="MY49" s="43"/>
      <c r="MZ49" s="43"/>
      <c r="NA49" s="43"/>
      <c r="NB49" s="43"/>
      <c r="NC49" s="43"/>
      <c r="ND49" s="43"/>
      <c r="NE49" s="43"/>
      <c r="NF49" s="43"/>
      <c r="NG49" s="43"/>
      <c r="NH49" s="43"/>
      <c r="NI49" s="43"/>
      <c r="NJ49" s="43"/>
      <c r="NK49" s="43"/>
      <c r="NL49" s="43"/>
      <c r="NM49" s="43"/>
      <c r="NN49" s="43"/>
      <c r="NO49" s="43"/>
      <c r="NP49" s="43"/>
      <c r="NQ49" s="43"/>
      <c r="NR49" s="43"/>
      <c r="NS49" s="43"/>
      <c r="NT49" s="43"/>
      <c r="NU49" s="43"/>
      <c r="NV49" s="43"/>
      <c r="NW49" s="43"/>
      <c r="NX49" s="43"/>
      <c r="NY49" s="43"/>
      <c r="NZ49" s="43"/>
      <c r="OA49" s="43"/>
      <c r="OB49" s="43"/>
      <c r="OC49" s="43"/>
      <c r="OD49" s="43"/>
      <c r="OE49" s="43"/>
      <c r="OF49" s="43"/>
      <c r="OG49" s="43"/>
      <c r="OH49" s="43"/>
      <c r="OI49" s="43"/>
      <c r="OJ49" s="43"/>
      <c r="OK49" s="43"/>
      <c r="OL49" s="43"/>
      <c r="OM49" s="43"/>
      <c r="ON49" s="43"/>
      <c r="OO49" s="43"/>
      <c r="OP49" s="43"/>
      <c r="OQ49" s="43"/>
      <c r="OR49" s="43"/>
      <c r="OS49" s="43"/>
      <c r="OT49" s="43"/>
      <c r="OU49" s="43"/>
      <c r="OV49" s="43"/>
      <c r="OW49" s="43"/>
      <c r="OX49" s="43"/>
      <c r="OY49" s="43"/>
      <c r="OZ49" s="43"/>
      <c r="PA49" s="43"/>
      <c r="PB49" s="43"/>
      <c r="PC49" s="43"/>
      <c r="PD49" s="43"/>
      <c r="PE49" s="43"/>
      <c r="PF49" s="43"/>
      <c r="PG49" s="43"/>
      <c r="PH49" s="43"/>
      <c r="PI49" s="43"/>
      <c r="PJ49" s="43"/>
      <c r="PK49" s="43"/>
      <c r="PL49" s="43"/>
      <c r="PM49" s="43"/>
      <c r="PN49" s="43"/>
      <c r="PO49" s="43"/>
      <c r="PP49" s="43"/>
      <c r="PQ49" s="43"/>
      <c r="PR49" s="43"/>
      <c r="PS49" s="43"/>
      <c r="PT49" s="43"/>
      <c r="PU49" s="43"/>
      <c r="PV49" s="43"/>
      <c r="PW49" s="43"/>
      <c r="PX49" s="43"/>
      <c r="PY49" s="43"/>
      <c r="PZ49" s="43"/>
      <c r="QA49" s="43"/>
      <c r="QB49" s="43"/>
      <c r="QC49" s="43"/>
    </row>
    <row r="50" spans="1:445" x14ac:dyDescent="0.3">
      <c r="A50" s="85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46" t="str">
        <f t="shared" si="6"/>
        <v/>
      </c>
      <c r="U50" s="46" t="str">
        <f t="shared" si="7"/>
        <v/>
      </c>
      <c r="V50" s="72" t="str">
        <f t="shared" si="4"/>
        <v/>
      </c>
      <c r="W50" s="48"/>
      <c r="X50" s="73" t="str">
        <f t="shared" si="5"/>
        <v/>
      </c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43"/>
      <c r="CY50" s="43"/>
      <c r="CZ50" s="43"/>
      <c r="DA50" s="43"/>
      <c r="DB50" s="43"/>
      <c r="DC50" s="43"/>
      <c r="DD50" s="43"/>
      <c r="DE50" s="43"/>
      <c r="DF50" s="43"/>
      <c r="DG50" s="43"/>
      <c r="DH50" s="43"/>
      <c r="DI50" s="43"/>
      <c r="DJ50" s="43"/>
      <c r="DK50" s="43"/>
      <c r="DL50" s="43"/>
      <c r="DM50" s="43"/>
      <c r="DN50" s="43"/>
      <c r="DO50" s="43"/>
      <c r="DP50" s="43"/>
      <c r="DQ50" s="43"/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43"/>
      <c r="EM50" s="43"/>
      <c r="EN50" s="43"/>
      <c r="EO50" s="43"/>
      <c r="EP50" s="43"/>
      <c r="EQ50" s="43"/>
      <c r="ER50" s="43"/>
      <c r="ES50" s="43"/>
      <c r="ET50" s="43"/>
      <c r="EU50" s="43"/>
      <c r="EV50" s="43"/>
      <c r="EW50" s="43"/>
      <c r="EX50" s="43"/>
      <c r="EY50" s="43"/>
      <c r="EZ50" s="43"/>
      <c r="FA50" s="43"/>
      <c r="FB50" s="43"/>
      <c r="FC50" s="43"/>
      <c r="FD50" s="43"/>
      <c r="FE50" s="43"/>
      <c r="FF50" s="43"/>
      <c r="FG50" s="43"/>
      <c r="FH50" s="43"/>
      <c r="FI50" s="43"/>
      <c r="FJ50" s="43"/>
      <c r="FK50" s="43"/>
      <c r="FL50" s="43"/>
      <c r="FM50" s="43"/>
      <c r="FN50" s="43"/>
      <c r="FO50" s="43"/>
      <c r="FP50" s="43"/>
      <c r="FQ50" s="43"/>
      <c r="FR50" s="43"/>
      <c r="FS50" s="43"/>
      <c r="FT50" s="43"/>
      <c r="FU50" s="43"/>
      <c r="FV50" s="43"/>
      <c r="FW50" s="43"/>
      <c r="FX50" s="43"/>
      <c r="FY50" s="43"/>
      <c r="FZ50" s="43"/>
      <c r="GA50" s="43"/>
      <c r="GB50" s="43"/>
      <c r="GC50" s="43"/>
      <c r="GD50" s="43"/>
      <c r="GE50" s="43"/>
      <c r="GF50" s="43"/>
      <c r="GG50" s="43"/>
      <c r="GH50" s="43"/>
      <c r="GI50" s="43"/>
      <c r="GJ50" s="43"/>
      <c r="GK50" s="43"/>
      <c r="GL50" s="43"/>
      <c r="GM50" s="43"/>
      <c r="GN50" s="43"/>
      <c r="GO50" s="43"/>
      <c r="GP50" s="43"/>
      <c r="GQ50" s="43"/>
      <c r="GR50" s="43"/>
      <c r="GS50" s="43"/>
      <c r="GT50" s="43"/>
      <c r="GU50" s="43"/>
      <c r="GV50" s="43"/>
      <c r="GW50" s="43"/>
      <c r="GX50" s="43"/>
      <c r="GY50" s="43"/>
      <c r="GZ50" s="43"/>
      <c r="HA50" s="43"/>
      <c r="HB50" s="43"/>
      <c r="HC50" s="43"/>
      <c r="HD50" s="43"/>
      <c r="HE50" s="43"/>
      <c r="HF50" s="43"/>
      <c r="HG50" s="43"/>
      <c r="HH50" s="43"/>
      <c r="HI50" s="43"/>
      <c r="HJ50" s="43"/>
      <c r="HK50" s="43"/>
      <c r="HL50" s="43"/>
      <c r="HM50" s="43"/>
      <c r="HN50" s="43"/>
      <c r="HO50" s="43"/>
      <c r="HP50" s="43"/>
      <c r="HQ50" s="43"/>
      <c r="HR50" s="43"/>
      <c r="HS50" s="43"/>
      <c r="HT50" s="43"/>
      <c r="HU50" s="43"/>
      <c r="HV50" s="43"/>
      <c r="HW50" s="43"/>
      <c r="HX50" s="43"/>
      <c r="HY50" s="43"/>
      <c r="HZ50" s="43"/>
      <c r="IA50" s="43"/>
      <c r="IB50" s="43"/>
      <c r="IC50" s="43"/>
      <c r="ID50" s="43"/>
      <c r="IE50" s="43"/>
      <c r="IF50" s="43"/>
      <c r="IG50" s="43"/>
      <c r="IH50" s="43"/>
      <c r="II50" s="43"/>
      <c r="IJ50" s="43"/>
      <c r="IK50" s="43"/>
      <c r="IL50" s="43"/>
      <c r="IM50" s="43"/>
      <c r="IN50" s="43"/>
      <c r="IO50" s="43"/>
      <c r="IP50" s="43"/>
      <c r="IQ50" s="43"/>
      <c r="IR50" s="43"/>
      <c r="IS50" s="43"/>
      <c r="IT50" s="43"/>
      <c r="IU50" s="43"/>
      <c r="IV50" s="43"/>
      <c r="IW50" s="43"/>
      <c r="IX50" s="43"/>
      <c r="IY50" s="43"/>
      <c r="IZ50" s="43"/>
      <c r="JA50" s="43"/>
      <c r="JB50" s="43"/>
      <c r="JC50" s="43"/>
      <c r="JD50" s="43"/>
      <c r="JE50" s="43"/>
      <c r="JF50" s="43"/>
      <c r="JG50" s="43"/>
      <c r="JH50" s="43"/>
      <c r="JI50" s="43"/>
      <c r="JJ50" s="43"/>
      <c r="JK50" s="43"/>
      <c r="JL50" s="43"/>
      <c r="JM50" s="43"/>
      <c r="JN50" s="43"/>
      <c r="JO50" s="43"/>
      <c r="JP50" s="43"/>
      <c r="JQ50" s="43"/>
      <c r="JR50" s="43"/>
      <c r="JS50" s="43"/>
      <c r="JT50" s="43"/>
      <c r="JU50" s="43"/>
      <c r="JV50" s="43"/>
      <c r="JW50" s="43"/>
      <c r="JX50" s="43"/>
      <c r="JY50" s="43"/>
      <c r="JZ50" s="43"/>
      <c r="KA50" s="43"/>
      <c r="KB50" s="43"/>
      <c r="KC50" s="43"/>
      <c r="KD50" s="43"/>
      <c r="KE50" s="43"/>
      <c r="KF50" s="43"/>
      <c r="KG50" s="43"/>
      <c r="KH50" s="43"/>
      <c r="KI50" s="43"/>
      <c r="KJ50" s="43"/>
      <c r="KK50" s="43"/>
      <c r="KL50" s="43"/>
      <c r="KM50" s="43"/>
      <c r="KN50" s="43"/>
      <c r="KO50" s="43"/>
      <c r="KP50" s="43"/>
      <c r="KQ50" s="43"/>
      <c r="KR50" s="43"/>
      <c r="KS50" s="43"/>
      <c r="KT50" s="43"/>
      <c r="KU50" s="43"/>
      <c r="KV50" s="43"/>
      <c r="KW50" s="43"/>
      <c r="KX50" s="43"/>
      <c r="KY50" s="43"/>
      <c r="KZ50" s="43"/>
      <c r="LA50" s="43"/>
      <c r="LB50" s="43"/>
      <c r="LC50" s="43"/>
      <c r="LD50" s="43"/>
      <c r="LE50" s="43"/>
      <c r="LF50" s="43"/>
      <c r="LG50" s="43"/>
      <c r="LH50" s="43"/>
      <c r="LI50" s="43"/>
      <c r="LJ50" s="43"/>
      <c r="LK50" s="43"/>
      <c r="LL50" s="43"/>
      <c r="LM50" s="43"/>
      <c r="LN50" s="43"/>
      <c r="LO50" s="43"/>
      <c r="LP50" s="43"/>
      <c r="LQ50" s="43"/>
      <c r="LR50" s="43"/>
      <c r="LS50" s="43"/>
      <c r="LT50" s="43"/>
      <c r="LU50" s="43"/>
      <c r="LV50" s="43"/>
      <c r="LW50" s="43"/>
      <c r="LX50" s="43"/>
      <c r="LY50" s="43"/>
      <c r="LZ50" s="43"/>
      <c r="MA50" s="43"/>
      <c r="MB50" s="43"/>
      <c r="MC50" s="43"/>
      <c r="MD50" s="43"/>
      <c r="ME50" s="43"/>
      <c r="MF50" s="43"/>
      <c r="MG50" s="43"/>
      <c r="MH50" s="43"/>
      <c r="MI50" s="43"/>
      <c r="MJ50" s="43"/>
      <c r="MK50" s="43"/>
      <c r="ML50" s="43"/>
      <c r="MM50" s="43"/>
      <c r="MN50" s="43"/>
      <c r="MO50" s="43"/>
      <c r="MP50" s="43"/>
      <c r="MQ50" s="43"/>
      <c r="MR50" s="43"/>
      <c r="MS50" s="43"/>
      <c r="MT50" s="43"/>
      <c r="MU50" s="43"/>
      <c r="MV50" s="43"/>
      <c r="MW50" s="43"/>
      <c r="MX50" s="43"/>
      <c r="MY50" s="43"/>
      <c r="MZ50" s="43"/>
      <c r="NA50" s="43"/>
      <c r="NB50" s="43"/>
      <c r="NC50" s="43"/>
      <c r="ND50" s="43"/>
      <c r="NE50" s="43"/>
      <c r="NF50" s="43"/>
      <c r="NG50" s="43"/>
      <c r="NH50" s="43"/>
      <c r="NI50" s="43"/>
      <c r="NJ50" s="43"/>
      <c r="NK50" s="43"/>
      <c r="NL50" s="43"/>
      <c r="NM50" s="43"/>
      <c r="NN50" s="43"/>
      <c r="NO50" s="43"/>
      <c r="NP50" s="43"/>
      <c r="NQ50" s="43"/>
      <c r="NR50" s="43"/>
      <c r="NS50" s="43"/>
      <c r="NT50" s="43"/>
      <c r="NU50" s="43"/>
      <c r="NV50" s="43"/>
      <c r="NW50" s="43"/>
      <c r="NX50" s="43"/>
      <c r="NY50" s="43"/>
      <c r="NZ50" s="43"/>
      <c r="OA50" s="43"/>
      <c r="OB50" s="43"/>
      <c r="OC50" s="43"/>
      <c r="OD50" s="43"/>
      <c r="OE50" s="43"/>
      <c r="OF50" s="43"/>
      <c r="OG50" s="43"/>
      <c r="OH50" s="43"/>
      <c r="OI50" s="43"/>
      <c r="OJ50" s="43"/>
      <c r="OK50" s="43"/>
      <c r="OL50" s="43"/>
      <c r="OM50" s="43"/>
      <c r="ON50" s="43"/>
      <c r="OO50" s="43"/>
      <c r="OP50" s="43"/>
      <c r="OQ50" s="43"/>
      <c r="OR50" s="43"/>
      <c r="OS50" s="43"/>
      <c r="OT50" s="43"/>
      <c r="OU50" s="43"/>
      <c r="OV50" s="43"/>
      <c r="OW50" s="43"/>
      <c r="OX50" s="43"/>
      <c r="OY50" s="43"/>
      <c r="OZ50" s="43"/>
      <c r="PA50" s="43"/>
      <c r="PB50" s="43"/>
      <c r="PC50" s="43"/>
      <c r="PD50" s="43"/>
      <c r="PE50" s="43"/>
      <c r="PF50" s="43"/>
      <c r="PG50" s="43"/>
      <c r="PH50" s="43"/>
      <c r="PI50" s="43"/>
      <c r="PJ50" s="43"/>
      <c r="PK50" s="43"/>
      <c r="PL50" s="43"/>
      <c r="PM50" s="43"/>
      <c r="PN50" s="43"/>
      <c r="PO50" s="43"/>
      <c r="PP50" s="43"/>
      <c r="PQ50" s="43"/>
      <c r="PR50" s="43"/>
      <c r="PS50" s="43"/>
      <c r="PT50" s="43"/>
      <c r="PU50" s="43"/>
      <c r="PV50" s="43"/>
      <c r="PW50" s="43"/>
      <c r="PX50" s="43"/>
      <c r="PY50" s="43"/>
      <c r="PZ50" s="43"/>
      <c r="QA50" s="43"/>
      <c r="QB50" s="43"/>
      <c r="QC50" s="43"/>
    </row>
    <row r="51" spans="1:445" x14ac:dyDescent="0.3">
      <c r="A51" s="85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46" t="str">
        <f t="shared" si="6"/>
        <v/>
      </c>
      <c r="U51" s="46" t="str">
        <f t="shared" si="7"/>
        <v/>
      </c>
      <c r="V51" s="72" t="str">
        <f t="shared" si="4"/>
        <v/>
      </c>
      <c r="X51" s="73" t="str">
        <f t="shared" si="5"/>
        <v/>
      </c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V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  <c r="IW51" s="43"/>
      <c r="IX51" s="43"/>
      <c r="IY51" s="43"/>
      <c r="IZ51" s="43"/>
      <c r="JA51" s="43"/>
      <c r="JB51" s="43"/>
      <c r="JC51" s="43"/>
      <c r="JD51" s="43"/>
      <c r="JE51" s="43"/>
      <c r="JF51" s="43"/>
      <c r="JG51" s="43"/>
      <c r="JH51" s="43"/>
      <c r="JI51" s="43"/>
      <c r="JJ51" s="43"/>
      <c r="JK51" s="43"/>
      <c r="JL51" s="43"/>
      <c r="JM51" s="43"/>
      <c r="JN51" s="43"/>
      <c r="JO51" s="43"/>
      <c r="JP51" s="43"/>
      <c r="JQ51" s="43"/>
      <c r="JR51" s="43"/>
      <c r="JS51" s="43"/>
      <c r="JT51" s="43"/>
      <c r="JU51" s="43"/>
      <c r="JV51" s="43"/>
      <c r="JW51" s="43"/>
      <c r="JX51" s="43"/>
      <c r="JY51" s="43"/>
      <c r="JZ51" s="43"/>
      <c r="KA51" s="43"/>
      <c r="KB51" s="43"/>
      <c r="KC51" s="43"/>
      <c r="KD51" s="43"/>
      <c r="KE51" s="43"/>
      <c r="KF51" s="43"/>
      <c r="KG51" s="43"/>
      <c r="KH51" s="43"/>
      <c r="KI51" s="43"/>
      <c r="KJ51" s="43"/>
      <c r="KK51" s="43"/>
      <c r="KL51" s="43"/>
      <c r="KM51" s="43"/>
      <c r="KN51" s="43"/>
      <c r="KO51" s="43"/>
      <c r="KP51" s="43"/>
      <c r="KQ51" s="43"/>
      <c r="KR51" s="43"/>
      <c r="KS51" s="43"/>
      <c r="KT51" s="43"/>
      <c r="KU51" s="43"/>
      <c r="KV51" s="43"/>
      <c r="KW51" s="43"/>
      <c r="KX51" s="43"/>
      <c r="KY51" s="43"/>
      <c r="KZ51" s="43"/>
      <c r="LA51" s="43"/>
      <c r="LB51" s="43"/>
      <c r="LC51" s="43"/>
      <c r="LD51" s="43"/>
      <c r="LE51" s="43"/>
      <c r="LF51" s="43"/>
      <c r="LG51" s="43"/>
      <c r="LH51" s="43"/>
      <c r="LI51" s="43"/>
      <c r="LJ51" s="43"/>
      <c r="LK51" s="43"/>
      <c r="LL51" s="43"/>
      <c r="LM51" s="43"/>
      <c r="LN51" s="43"/>
      <c r="LO51" s="43"/>
      <c r="LP51" s="43"/>
      <c r="LQ51" s="43"/>
      <c r="LR51" s="43"/>
      <c r="LS51" s="43"/>
      <c r="LT51" s="43"/>
      <c r="LU51" s="43"/>
      <c r="LV51" s="43"/>
      <c r="LW51" s="43"/>
      <c r="LX51" s="43"/>
      <c r="LY51" s="43"/>
      <c r="LZ51" s="43"/>
      <c r="MA51" s="43"/>
      <c r="MB51" s="43"/>
      <c r="MC51" s="43"/>
      <c r="MD51" s="43"/>
      <c r="ME51" s="43"/>
      <c r="MF51" s="43"/>
      <c r="MG51" s="43"/>
      <c r="MH51" s="43"/>
      <c r="MI51" s="43"/>
      <c r="MJ51" s="43"/>
      <c r="MK51" s="43"/>
      <c r="ML51" s="43"/>
      <c r="MM51" s="43"/>
      <c r="MN51" s="43"/>
      <c r="MO51" s="43"/>
      <c r="MP51" s="43"/>
      <c r="MQ51" s="43"/>
      <c r="MR51" s="43"/>
      <c r="MS51" s="43"/>
      <c r="MT51" s="43"/>
      <c r="MU51" s="43"/>
      <c r="MV51" s="43"/>
      <c r="MW51" s="43"/>
      <c r="MX51" s="43"/>
      <c r="MY51" s="43"/>
      <c r="MZ51" s="43"/>
      <c r="NA51" s="43"/>
      <c r="NB51" s="43"/>
      <c r="NC51" s="43"/>
      <c r="ND51" s="43"/>
      <c r="NE51" s="43"/>
      <c r="NF51" s="43"/>
      <c r="NG51" s="43"/>
      <c r="NH51" s="43"/>
      <c r="NI51" s="43"/>
      <c r="NJ51" s="43"/>
      <c r="NK51" s="43"/>
      <c r="NL51" s="43"/>
      <c r="NM51" s="43"/>
      <c r="NN51" s="43"/>
      <c r="NO51" s="43"/>
      <c r="NP51" s="43"/>
      <c r="NQ51" s="43"/>
      <c r="NR51" s="43"/>
      <c r="NS51" s="43"/>
      <c r="NT51" s="43"/>
      <c r="NU51" s="43"/>
      <c r="NV51" s="43"/>
      <c r="NW51" s="43"/>
      <c r="NX51" s="43"/>
      <c r="NY51" s="43"/>
      <c r="NZ51" s="43"/>
      <c r="OA51" s="43"/>
      <c r="OB51" s="43"/>
      <c r="OC51" s="43"/>
      <c r="OD51" s="43"/>
      <c r="OE51" s="43"/>
      <c r="OF51" s="43"/>
      <c r="OG51" s="43"/>
      <c r="OH51" s="43"/>
      <c r="OI51" s="43"/>
      <c r="OJ51" s="43"/>
      <c r="OK51" s="43"/>
      <c r="OL51" s="43"/>
      <c r="OM51" s="43"/>
      <c r="ON51" s="43"/>
      <c r="OO51" s="43"/>
      <c r="OP51" s="43"/>
      <c r="OQ51" s="43"/>
      <c r="OR51" s="43"/>
      <c r="OS51" s="43"/>
      <c r="OT51" s="43"/>
      <c r="OU51" s="43"/>
      <c r="OV51" s="43"/>
      <c r="OW51" s="43"/>
      <c r="OX51" s="43"/>
      <c r="OY51" s="43"/>
      <c r="OZ51" s="43"/>
      <c r="PA51" s="43"/>
      <c r="PB51" s="43"/>
      <c r="PC51" s="43"/>
      <c r="PD51" s="43"/>
      <c r="PE51" s="43"/>
      <c r="PF51" s="43"/>
      <c r="PG51" s="43"/>
      <c r="PH51" s="43"/>
      <c r="PI51" s="43"/>
      <c r="PJ51" s="43"/>
      <c r="PK51" s="43"/>
      <c r="PL51" s="43"/>
      <c r="PM51" s="43"/>
      <c r="PN51" s="43"/>
      <c r="PO51" s="43"/>
      <c r="PP51" s="43"/>
      <c r="PQ51" s="43"/>
      <c r="PR51" s="43"/>
      <c r="PS51" s="43"/>
      <c r="PT51" s="43"/>
      <c r="PU51" s="43"/>
      <c r="PV51" s="43"/>
      <c r="PW51" s="43"/>
      <c r="PX51" s="43"/>
      <c r="PY51" s="43"/>
      <c r="PZ51" s="43"/>
      <c r="QA51" s="43"/>
      <c r="QB51" s="43"/>
      <c r="QC51" s="43"/>
    </row>
    <row r="52" spans="1:445" x14ac:dyDescent="0.3">
      <c r="A52" s="85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46" t="str">
        <f t="shared" si="6"/>
        <v/>
      </c>
      <c r="U52" s="46" t="str">
        <f t="shared" si="7"/>
        <v/>
      </c>
      <c r="V52" s="72" t="str">
        <f t="shared" si="4"/>
        <v/>
      </c>
      <c r="W52" s="48"/>
      <c r="X52" s="73" t="str">
        <f t="shared" si="5"/>
        <v/>
      </c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43"/>
      <c r="CY52" s="43"/>
      <c r="CZ52" s="43"/>
      <c r="DA52" s="43"/>
      <c r="DB52" s="43"/>
      <c r="DC52" s="43"/>
      <c r="DD52" s="43"/>
      <c r="DE52" s="43"/>
      <c r="DF52" s="43"/>
      <c r="DG52" s="43"/>
      <c r="DH52" s="43"/>
      <c r="DI52" s="43"/>
      <c r="DJ52" s="43"/>
      <c r="DK52" s="43"/>
      <c r="DL52" s="43"/>
      <c r="DM52" s="43"/>
      <c r="DN52" s="43"/>
      <c r="DO52" s="43"/>
      <c r="DP52" s="43"/>
      <c r="DQ52" s="43"/>
      <c r="DR52" s="43"/>
      <c r="DS52" s="43"/>
      <c r="DT52" s="43"/>
      <c r="DU52" s="43"/>
      <c r="DV52" s="43"/>
      <c r="DW52" s="43"/>
      <c r="DX52" s="43"/>
      <c r="DY52" s="43"/>
      <c r="DZ52" s="43"/>
      <c r="EA52" s="43"/>
      <c r="EB52" s="43"/>
      <c r="EC52" s="43"/>
      <c r="ED52" s="43"/>
      <c r="EE52" s="43"/>
      <c r="EF52" s="43"/>
      <c r="EG52" s="43"/>
      <c r="EH52" s="43"/>
      <c r="EI52" s="43"/>
      <c r="EJ52" s="43"/>
      <c r="EK52" s="43"/>
      <c r="EL52" s="43"/>
      <c r="EM52" s="43"/>
      <c r="EN52" s="43"/>
      <c r="EO52" s="43"/>
      <c r="EP52" s="43"/>
      <c r="EQ52" s="43"/>
      <c r="ER52" s="43"/>
      <c r="ES52" s="43"/>
      <c r="ET52" s="43"/>
      <c r="EU52" s="43"/>
      <c r="EV52" s="43"/>
      <c r="EW52" s="43"/>
      <c r="EX52" s="43"/>
      <c r="EY52" s="43"/>
      <c r="EZ52" s="43"/>
      <c r="FA52" s="43"/>
      <c r="FB52" s="43"/>
      <c r="FC52" s="43"/>
      <c r="FD52" s="43"/>
      <c r="FE52" s="43"/>
      <c r="FF52" s="43"/>
      <c r="FG52" s="43"/>
      <c r="FH52" s="43"/>
      <c r="FI52" s="43"/>
      <c r="FJ52" s="43"/>
      <c r="FK52" s="43"/>
      <c r="FL52" s="43"/>
      <c r="FM52" s="43"/>
      <c r="FN52" s="43"/>
      <c r="FO52" s="43"/>
      <c r="FP52" s="43"/>
      <c r="FQ52" s="43"/>
      <c r="FR52" s="43"/>
      <c r="FS52" s="43"/>
      <c r="FT52" s="43"/>
      <c r="FU52" s="43"/>
      <c r="FV52" s="43"/>
      <c r="FW52" s="43"/>
      <c r="FX52" s="43"/>
      <c r="FY52" s="43"/>
      <c r="FZ52" s="43"/>
      <c r="GA52" s="43"/>
      <c r="GB52" s="43"/>
      <c r="GC52" s="43"/>
      <c r="GD52" s="43"/>
      <c r="GE52" s="43"/>
      <c r="GF52" s="43"/>
      <c r="GG52" s="43"/>
      <c r="GH52" s="43"/>
      <c r="GI52" s="43"/>
      <c r="GJ52" s="43"/>
      <c r="GK52" s="43"/>
      <c r="GL52" s="43"/>
      <c r="GM52" s="43"/>
      <c r="GN52" s="43"/>
      <c r="GO52" s="43"/>
      <c r="GP52" s="43"/>
      <c r="GQ52" s="43"/>
      <c r="GR52" s="43"/>
      <c r="GS52" s="43"/>
      <c r="GT52" s="43"/>
      <c r="GU52" s="43"/>
      <c r="GV52" s="43"/>
      <c r="GW52" s="43"/>
      <c r="GX52" s="43"/>
      <c r="GY52" s="43"/>
      <c r="GZ52" s="43"/>
      <c r="HA52" s="43"/>
      <c r="HB52" s="43"/>
      <c r="HC52" s="43"/>
      <c r="HD52" s="43"/>
      <c r="HE52" s="43"/>
      <c r="HF52" s="43"/>
      <c r="HG52" s="43"/>
      <c r="HH52" s="43"/>
      <c r="HI52" s="43"/>
      <c r="HJ52" s="43"/>
      <c r="HK52" s="43"/>
      <c r="HL52" s="43"/>
      <c r="HM52" s="43"/>
      <c r="HN52" s="43"/>
      <c r="HO52" s="43"/>
      <c r="HP52" s="43"/>
      <c r="HQ52" s="43"/>
      <c r="HR52" s="43"/>
      <c r="HS52" s="43"/>
      <c r="HT52" s="43"/>
      <c r="HU52" s="43"/>
      <c r="HV52" s="43"/>
      <c r="HW52" s="43"/>
      <c r="HX52" s="43"/>
      <c r="HY52" s="43"/>
      <c r="HZ52" s="43"/>
      <c r="IA52" s="43"/>
      <c r="IB52" s="43"/>
      <c r="IC52" s="43"/>
      <c r="ID52" s="43"/>
      <c r="IE52" s="43"/>
      <c r="IF52" s="43"/>
      <c r="IG52" s="43"/>
      <c r="IH52" s="43"/>
      <c r="II52" s="43"/>
      <c r="IJ52" s="43"/>
      <c r="IK52" s="43"/>
      <c r="IL52" s="43"/>
      <c r="IM52" s="43"/>
      <c r="IN52" s="43"/>
      <c r="IO52" s="43"/>
      <c r="IP52" s="43"/>
      <c r="IQ52" s="43"/>
      <c r="IR52" s="43"/>
      <c r="IS52" s="43"/>
      <c r="IT52" s="43"/>
      <c r="IU52" s="43"/>
      <c r="IV52" s="43"/>
      <c r="IW52" s="43"/>
      <c r="IX52" s="43"/>
      <c r="IY52" s="43"/>
      <c r="IZ52" s="43"/>
      <c r="JA52" s="43"/>
      <c r="JB52" s="43"/>
      <c r="JC52" s="43"/>
      <c r="JD52" s="43"/>
      <c r="JE52" s="43"/>
      <c r="JF52" s="43"/>
      <c r="JG52" s="43"/>
      <c r="JH52" s="43"/>
      <c r="JI52" s="43"/>
      <c r="JJ52" s="43"/>
      <c r="JK52" s="43"/>
      <c r="JL52" s="43"/>
      <c r="JM52" s="43"/>
      <c r="JN52" s="43"/>
      <c r="JO52" s="43"/>
      <c r="JP52" s="43"/>
      <c r="JQ52" s="43"/>
      <c r="JR52" s="43"/>
      <c r="JS52" s="43"/>
      <c r="JT52" s="43"/>
      <c r="JU52" s="43"/>
      <c r="JV52" s="43"/>
      <c r="JW52" s="43"/>
      <c r="JX52" s="43"/>
      <c r="JY52" s="43"/>
      <c r="JZ52" s="43"/>
      <c r="KA52" s="43"/>
      <c r="KB52" s="43"/>
      <c r="KC52" s="43"/>
      <c r="KD52" s="43"/>
      <c r="KE52" s="43"/>
      <c r="KF52" s="43"/>
      <c r="KG52" s="43"/>
      <c r="KH52" s="43"/>
      <c r="KI52" s="43"/>
      <c r="KJ52" s="43"/>
      <c r="KK52" s="43"/>
      <c r="KL52" s="43"/>
      <c r="KM52" s="43"/>
      <c r="KN52" s="43"/>
      <c r="KO52" s="43"/>
      <c r="KP52" s="43"/>
      <c r="KQ52" s="43"/>
      <c r="KR52" s="43"/>
      <c r="KS52" s="43"/>
      <c r="KT52" s="43"/>
      <c r="KU52" s="43"/>
      <c r="KV52" s="43"/>
      <c r="KW52" s="43"/>
      <c r="KX52" s="43"/>
      <c r="KY52" s="43"/>
      <c r="KZ52" s="43"/>
      <c r="LA52" s="43"/>
      <c r="LB52" s="43"/>
      <c r="LC52" s="43"/>
      <c r="LD52" s="43"/>
      <c r="LE52" s="43"/>
      <c r="LF52" s="43"/>
      <c r="LG52" s="43"/>
      <c r="LH52" s="43"/>
      <c r="LI52" s="43"/>
      <c r="LJ52" s="43"/>
      <c r="LK52" s="43"/>
      <c r="LL52" s="43"/>
      <c r="LM52" s="43"/>
      <c r="LN52" s="43"/>
      <c r="LO52" s="43"/>
      <c r="LP52" s="43"/>
      <c r="LQ52" s="43"/>
      <c r="LR52" s="43"/>
      <c r="LS52" s="43"/>
      <c r="LT52" s="43"/>
      <c r="LU52" s="43"/>
      <c r="LV52" s="43"/>
      <c r="LW52" s="43"/>
      <c r="LX52" s="43"/>
      <c r="LY52" s="43"/>
      <c r="LZ52" s="43"/>
      <c r="MA52" s="43"/>
      <c r="MB52" s="43"/>
      <c r="MC52" s="43"/>
      <c r="MD52" s="43"/>
      <c r="ME52" s="43"/>
      <c r="MF52" s="43"/>
      <c r="MG52" s="43"/>
      <c r="MH52" s="43"/>
      <c r="MI52" s="43"/>
      <c r="MJ52" s="43"/>
      <c r="MK52" s="43"/>
      <c r="ML52" s="43"/>
      <c r="MM52" s="43"/>
      <c r="MN52" s="43"/>
      <c r="MO52" s="43"/>
      <c r="MP52" s="43"/>
      <c r="MQ52" s="43"/>
      <c r="MR52" s="43"/>
      <c r="MS52" s="43"/>
      <c r="MT52" s="43"/>
      <c r="MU52" s="43"/>
      <c r="MV52" s="43"/>
      <c r="MW52" s="43"/>
      <c r="MX52" s="43"/>
      <c r="MY52" s="43"/>
      <c r="MZ52" s="43"/>
      <c r="NA52" s="43"/>
      <c r="NB52" s="43"/>
      <c r="NC52" s="43"/>
      <c r="ND52" s="43"/>
      <c r="NE52" s="43"/>
      <c r="NF52" s="43"/>
      <c r="NG52" s="43"/>
      <c r="NH52" s="43"/>
      <c r="NI52" s="43"/>
      <c r="NJ52" s="43"/>
      <c r="NK52" s="43"/>
      <c r="NL52" s="43"/>
      <c r="NM52" s="43"/>
      <c r="NN52" s="43"/>
      <c r="NO52" s="43"/>
      <c r="NP52" s="43"/>
      <c r="NQ52" s="43"/>
      <c r="NR52" s="43"/>
      <c r="NS52" s="43"/>
      <c r="NT52" s="43"/>
      <c r="NU52" s="43"/>
      <c r="NV52" s="43"/>
      <c r="NW52" s="43"/>
      <c r="NX52" s="43"/>
      <c r="NY52" s="43"/>
      <c r="NZ52" s="43"/>
      <c r="OA52" s="43"/>
      <c r="OB52" s="43"/>
      <c r="OC52" s="43"/>
      <c r="OD52" s="43"/>
      <c r="OE52" s="43"/>
      <c r="OF52" s="43"/>
      <c r="OG52" s="43"/>
      <c r="OH52" s="43"/>
      <c r="OI52" s="43"/>
      <c r="OJ52" s="43"/>
      <c r="OK52" s="43"/>
      <c r="OL52" s="43"/>
      <c r="OM52" s="43"/>
      <c r="ON52" s="43"/>
      <c r="OO52" s="43"/>
      <c r="OP52" s="43"/>
      <c r="OQ52" s="43"/>
      <c r="OR52" s="43"/>
      <c r="OS52" s="43"/>
      <c r="OT52" s="43"/>
      <c r="OU52" s="43"/>
      <c r="OV52" s="43"/>
      <c r="OW52" s="43"/>
      <c r="OX52" s="43"/>
      <c r="OY52" s="43"/>
      <c r="OZ52" s="43"/>
      <c r="PA52" s="43"/>
      <c r="PB52" s="43"/>
      <c r="PC52" s="43"/>
      <c r="PD52" s="43"/>
      <c r="PE52" s="43"/>
      <c r="PF52" s="43"/>
      <c r="PG52" s="43"/>
      <c r="PH52" s="43"/>
      <c r="PI52" s="43"/>
      <c r="PJ52" s="43"/>
      <c r="PK52" s="43"/>
      <c r="PL52" s="43"/>
      <c r="PM52" s="43"/>
      <c r="PN52" s="43"/>
      <c r="PO52" s="43"/>
      <c r="PP52" s="43"/>
      <c r="PQ52" s="43"/>
      <c r="PR52" s="43"/>
      <c r="PS52" s="43"/>
      <c r="PT52" s="43"/>
      <c r="PU52" s="43"/>
      <c r="PV52" s="43"/>
      <c r="PW52" s="43"/>
      <c r="PX52" s="43"/>
      <c r="PY52" s="43"/>
      <c r="PZ52" s="43"/>
      <c r="QA52" s="43"/>
      <c r="QB52" s="43"/>
      <c r="QC52" s="43"/>
    </row>
    <row r="53" spans="1:445" x14ac:dyDescent="0.3">
      <c r="A53" s="85"/>
      <c r="B53" s="84"/>
      <c r="C53" s="84"/>
      <c r="D53" s="84"/>
      <c r="E53" s="84"/>
      <c r="F53" s="84"/>
      <c r="G53" s="84"/>
      <c r="H53" s="9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46" t="str">
        <f t="shared" si="6"/>
        <v/>
      </c>
      <c r="U53" s="46" t="str">
        <f t="shared" si="7"/>
        <v/>
      </c>
      <c r="V53" s="72" t="str">
        <f t="shared" si="4"/>
        <v/>
      </c>
      <c r="W53" s="48"/>
      <c r="X53" s="73" t="str">
        <f t="shared" si="5"/>
        <v/>
      </c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43"/>
      <c r="CY53" s="43"/>
      <c r="CZ53" s="43"/>
      <c r="DA53" s="43"/>
      <c r="DB53" s="43"/>
      <c r="DC53" s="43"/>
      <c r="DD53" s="43"/>
      <c r="DE53" s="43"/>
      <c r="DF53" s="43"/>
      <c r="DG53" s="43"/>
      <c r="DH53" s="43"/>
      <c r="DI53" s="43"/>
      <c r="DJ53" s="43"/>
      <c r="DK53" s="43"/>
      <c r="DL53" s="43"/>
      <c r="DM53" s="43"/>
      <c r="DN53" s="43"/>
      <c r="DO53" s="43"/>
      <c r="DP53" s="43"/>
      <c r="DQ53" s="43"/>
      <c r="DR53" s="43"/>
      <c r="DS53" s="43"/>
      <c r="DT53" s="43"/>
      <c r="DU53" s="43"/>
      <c r="DV53" s="43"/>
      <c r="DW53" s="43"/>
      <c r="DX53" s="43"/>
      <c r="DY53" s="43"/>
      <c r="DZ53" s="43"/>
      <c r="EA53" s="43"/>
      <c r="EB53" s="43"/>
      <c r="EC53" s="43"/>
      <c r="ED53" s="43"/>
      <c r="EE53" s="43"/>
      <c r="EF53" s="43"/>
      <c r="EG53" s="43"/>
      <c r="EH53" s="43"/>
      <c r="EI53" s="43"/>
      <c r="EJ53" s="43"/>
      <c r="EK53" s="43"/>
      <c r="EL53" s="43"/>
      <c r="EM53" s="43"/>
      <c r="EN53" s="43"/>
      <c r="EO53" s="43"/>
      <c r="EP53" s="43"/>
      <c r="EQ53" s="43"/>
      <c r="ER53" s="43"/>
      <c r="ES53" s="43"/>
      <c r="ET53" s="43"/>
      <c r="EU53" s="43"/>
      <c r="EV53" s="43"/>
      <c r="EW53" s="43"/>
      <c r="EX53" s="43"/>
      <c r="EY53" s="43"/>
      <c r="EZ53" s="43"/>
      <c r="FA53" s="43"/>
      <c r="FB53" s="43"/>
      <c r="FC53" s="43"/>
      <c r="FD53" s="43"/>
      <c r="FE53" s="43"/>
      <c r="FF53" s="43"/>
      <c r="FG53" s="43"/>
      <c r="FH53" s="43"/>
      <c r="FI53" s="43"/>
      <c r="FJ53" s="43"/>
      <c r="FK53" s="43"/>
      <c r="FL53" s="43"/>
      <c r="FM53" s="43"/>
      <c r="FN53" s="43"/>
      <c r="FO53" s="43"/>
      <c r="FP53" s="43"/>
      <c r="FQ53" s="43"/>
      <c r="FR53" s="43"/>
      <c r="FS53" s="43"/>
      <c r="FT53" s="43"/>
      <c r="FU53" s="43"/>
      <c r="FV53" s="43"/>
      <c r="FW53" s="43"/>
      <c r="FX53" s="43"/>
      <c r="FY53" s="43"/>
      <c r="FZ53" s="43"/>
      <c r="GA53" s="43"/>
      <c r="GB53" s="43"/>
      <c r="GC53" s="43"/>
      <c r="GD53" s="43"/>
      <c r="GE53" s="43"/>
      <c r="GF53" s="43"/>
      <c r="GG53" s="43"/>
      <c r="GH53" s="43"/>
      <c r="GI53" s="43"/>
      <c r="GJ53" s="43"/>
      <c r="GK53" s="43"/>
      <c r="GL53" s="43"/>
      <c r="GM53" s="43"/>
      <c r="GN53" s="43"/>
      <c r="GO53" s="43"/>
      <c r="GP53" s="43"/>
      <c r="GQ53" s="43"/>
      <c r="GR53" s="43"/>
      <c r="GS53" s="43"/>
      <c r="GT53" s="43"/>
      <c r="GU53" s="43"/>
      <c r="GV53" s="43"/>
      <c r="GW53" s="43"/>
      <c r="GX53" s="43"/>
      <c r="GY53" s="43"/>
      <c r="GZ53" s="43"/>
      <c r="HA53" s="43"/>
      <c r="HB53" s="43"/>
      <c r="HC53" s="43"/>
      <c r="HD53" s="43"/>
      <c r="HE53" s="43"/>
      <c r="HF53" s="43"/>
      <c r="HG53" s="43"/>
      <c r="HH53" s="43"/>
      <c r="HI53" s="43"/>
      <c r="HJ53" s="43"/>
      <c r="HK53" s="43"/>
      <c r="HL53" s="43"/>
      <c r="HM53" s="43"/>
      <c r="HN53" s="43"/>
      <c r="HO53" s="43"/>
      <c r="HP53" s="43"/>
      <c r="HQ53" s="43"/>
      <c r="HR53" s="43"/>
      <c r="HS53" s="43"/>
      <c r="HT53" s="43"/>
      <c r="HU53" s="43"/>
      <c r="HV53" s="43"/>
      <c r="HW53" s="43"/>
      <c r="HX53" s="43"/>
      <c r="HY53" s="43"/>
      <c r="HZ53" s="43"/>
      <c r="IA53" s="43"/>
      <c r="IB53" s="43"/>
      <c r="IC53" s="43"/>
      <c r="ID53" s="43"/>
      <c r="IE53" s="43"/>
      <c r="IF53" s="43"/>
      <c r="IG53" s="43"/>
      <c r="IH53" s="43"/>
      <c r="II53" s="43"/>
      <c r="IJ53" s="43"/>
      <c r="IK53" s="43"/>
      <c r="IL53" s="43"/>
      <c r="IM53" s="43"/>
      <c r="IN53" s="43"/>
      <c r="IO53" s="43"/>
      <c r="IP53" s="43"/>
      <c r="IQ53" s="43"/>
      <c r="IR53" s="43"/>
      <c r="IS53" s="43"/>
      <c r="IT53" s="43"/>
      <c r="IU53" s="43"/>
      <c r="IV53" s="43"/>
      <c r="IW53" s="43"/>
      <c r="IX53" s="43"/>
      <c r="IY53" s="43"/>
      <c r="IZ53" s="43"/>
      <c r="JA53" s="43"/>
      <c r="JB53" s="43"/>
      <c r="JC53" s="43"/>
      <c r="JD53" s="43"/>
      <c r="JE53" s="43"/>
      <c r="JF53" s="43"/>
      <c r="JG53" s="43"/>
      <c r="JH53" s="43"/>
      <c r="JI53" s="43"/>
      <c r="JJ53" s="43"/>
      <c r="JK53" s="43"/>
      <c r="JL53" s="43"/>
      <c r="JM53" s="43"/>
      <c r="JN53" s="43"/>
      <c r="JO53" s="43"/>
      <c r="JP53" s="43"/>
      <c r="JQ53" s="43"/>
      <c r="JR53" s="43"/>
      <c r="JS53" s="43"/>
      <c r="JT53" s="43"/>
      <c r="JU53" s="43"/>
      <c r="JV53" s="43"/>
      <c r="JW53" s="43"/>
      <c r="JX53" s="43"/>
      <c r="JY53" s="43"/>
      <c r="JZ53" s="43"/>
      <c r="KA53" s="43"/>
      <c r="KB53" s="43"/>
      <c r="KC53" s="43"/>
      <c r="KD53" s="43"/>
      <c r="KE53" s="43"/>
      <c r="KF53" s="43"/>
      <c r="KG53" s="43"/>
      <c r="KH53" s="43"/>
      <c r="KI53" s="43"/>
      <c r="KJ53" s="43"/>
      <c r="KK53" s="43"/>
      <c r="KL53" s="43"/>
      <c r="KM53" s="43"/>
      <c r="KN53" s="43"/>
      <c r="KO53" s="43"/>
      <c r="KP53" s="43"/>
      <c r="KQ53" s="43"/>
      <c r="KR53" s="43"/>
      <c r="KS53" s="43"/>
      <c r="KT53" s="43"/>
      <c r="KU53" s="43"/>
      <c r="KV53" s="43"/>
      <c r="KW53" s="43"/>
      <c r="KX53" s="43"/>
      <c r="KY53" s="43"/>
      <c r="KZ53" s="43"/>
      <c r="LA53" s="43"/>
      <c r="LB53" s="43"/>
      <c r="LC53" s="43"/>
      <c r="LD53" s="43"/>
      <c r="LE53" s="43"/>
      <c r="LF53" s="43"/>
      <c r="LG53" s="43"/>
      <c r="LH53" s="43"/>
      <c r="LI53" s="43"/>
      <c r="LJ53" s="43"/>
      <c r="LK53" s="43"/>
      <c r="LL53" s="43"/>
      <c r="LM53" s="43"/>
      <c r="LN53" s="43"/>
      <c r="LO53" s="43"/>
      <c r="LP53" s="43"/>
      <c r="LQ53" s="43"/>
      <c r="LR53" s="43"/>
      <c r="LS53" s="43"/>
      <c r="LT53" s="43"/>
      <c r="LU53" s="43"/>
      <c r="LV53" s="43"/>
      <c r="LW53" s="43"/>
      <c r="LX53" s="43"/>
      <c r="LY53" s="43"/>
      <c r="LZ53" s="43"/>
      <c r="MA53" s="43"/>
      <c r="MB53" s="43"/>
      <c r="MC53" s="43"/>
      <c r="MD53" s="43"/>
      <c r="ME53" s="43"/>
      <c r="MF53" s="43"/>
      <c r="MG53" s="43"/>
      <c r="MH53" s="43"/>
      <c r="MI53" s="43"/>
      <c r="MJ53" s="43"/>
      <c r="MK53" s="43"/>
      <c r="ML53" s="43"/>
      <c r="MM53" s="43"/>
      <c r="MN53" s="43"/>
      <c r="MO53" s="43"/>
      <c r="MP53" s="43"/>
      <c r="MQ53" s="43"/>
      <c r="MR53" s="43"/>
      <c r="MS53" s="43"/>
      <c r="MT53" s="43"/>
      <c r="MU53" s="43"/>
      <c r="MV53" s="43"/>
      <c r="MW53" s="43"/>
      <c r="MX53" s="43"/>
      <c r="MY53" s="43"/>
      <c r="MZ53" s="43"/>
      <c r="NA53" s="43"/>
      <c r="NB53" s="43"/>
      <c r="NC53" s="43"/>
      <c r="ND53" s="43"/>
      <c r="NE53" s="43"/>
      <c r="NF53" s="43"/>
      <c r="NG53" s="43"/>
      <c r="NH53" s="43"/>
      <c r="NI53" s="43"/>
      <c r="NJ53" s="43"/>
      <c r="NK53" s="43"/>
      <c r="NL53" s="43"/>
      <c r="NM53" s="43"/>
      <c r="NN53" s="43"/>
      <c r="NO53" s="43"/>
      <c r="NP53" s="43"/>
      <c r="NQ53" s="43"/>
      <c r="NR53" s="43"/>
      <c r="NS53" s="43"/>
      <c r="NT53" s="43"/>
      <c r="NU53" s="43"/>
      <c r="NV53" s="43"/>
      <c r="NW53" s="43"/>
      <c r="NX53" s="43"/>
      <c r="NY53" s="43"/>
      <c r="NZ53" s="43"/>
      <c r="OA53" s="43"/>
      <c r="OB53" s="43"/>
      <c r="OC53" s="43"/>
      <c r="OD53" s="43"/>
      <c r="OE53" s="43"/>
      <c r="OF53" s="43"/>
      <c r="OG53" s="43"/>
      <c r="OH53" s="43"/>
      <c r="OI53" s="43"/>
      <c r="OJ53" s="43"/>
      <c r="OK53" s="43"/>
      <c r="OL53" s="43"/>
      <c r="OM53" s="43"/>
      <c r="ON53" s="43"/>
      <c r="OO53" s="43"/>
      <c r="OP53" s="43"/>
      <c r="OQ53" s="43"/>
      <c r="OR53" s="43"/>
      <c r="OS53" s="43"/>
      <c r="OT53" s="43"/>
      <c r="OU53" s="43"/>
      <c r="OV53" s="43"/>
      <c r="OW53" s="43"/>
      <c r="OX53" s="43"/>
      <c r="OY53" s="43"/>
      <c r="OZ53" s="43"/>
      <c r="PA53" s="43"/>
      <c r="PB53" s="43"/>
      <c r="PC53" s="43"/>
      <c r="PD53" s="43"/>
      <c r="PE53" s="43"/>
      <c r="PF53" s="43"/>
      <c r="PG53" s="43"/>
      <c r="PH53" s="43"/>
      <c r="PI53" s="43"/>
      <c r="PJ53" s="43"/>
      <c r="PK53" s="43"/>
      <c r="PL53" s="43"/>
      <c r="PM53" s="43"/>
      <c r="PN53" s="43"/>
      <c r="PO53" s="43"/>
      <c r="PP53" s="43"/>
      <c r="PQ53" s="43"/>
      <c r="PR53" s="43"/>
      <c r="PS53" s="43"/>
      <c r="PT53" s="43"/>
      <c r="PU53" s="43"/>
      <c r="PV53" s="43"/>
      <c r="PW53" s="43"/>
      <c r="PX53" s="43"/>
      <c r="PY53" s="43"/>
      <c r="PZ53" s="43"/>
      <c r="QA53" s="43"/>
      <c r="QB53" s="43"/>
      <c r="QC53" s="43"/>
    </row>
    <row r="54" spans="1:445" x14ac:dyDescent="0.3">
      <c r="A54" s="85"/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46" t="str">
        <f t="shared" si="6"/>
        <v/>
      </c>
      <c r="U54" s="46" t="str">
        <f t="shared" si="7"/>
        <v/>
      </c>
      <c r="V54" s="72" t="str">
        <f t="shared" si="4"/>
        <v/>
      </c>
      <c r="W54" s="48"/>
      <c r="X54" s="73" t="str">
        <f t="shared" ref="X54:X85" si="8">IF(W54&lt;&gt;"",F54 - (SUM(G54:S54)),"")</f>
        <v/>
      </c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43"/>
      <c r="CY54" s="43"/>
      <c r="CZ54" s="43"/>
      <c r="DA54" s="43"/>
      <c r="DB54" s="43"/>
      <c r="DC54" s="43"/>
      <c r="DD54" s="43"/>
      <c r="DE54" s="43"/>
      <c r="DF54" s="43"/>
      <c r="DG54" s="43"/>
      <c r="DH54" s="43"/>
      <c r="DI54" s="43"/>
      <c r="DJ54" s="43"/>
      <c r="DK54" s="43"/>
      <c r="DL54" s="43"/>
      <c r="DM54" s="43"/>
      <c r="DN54" s="43"/>
      <c r="DO54" s="43"/>
      <c r="DP54" s="43"/>
      <c r="DQ54" s="43"/>
      <c r="DR54" s="43"/>
      <c r="DS54" s="43"/>
      <c r="DT54" s="43"/>
      <c r="DU54" s="43"/>
      <c r="DV54" s="43"/>
      <c r="DW54" s="43"/>
      <c r="DX54" s="43"/>
      <c r="DY54" s="43"/>
      <c r="DZ54" s="43"/>
      <c r="EA54" s="43"/>
      <c r="EB54" s="43"/>
      <c r="EC54" s="43"/>
      <c r="ED54" s="43"/>
      <c r="EE54" s="43"/>
      <c r="EF54" s="43"/>
      <c r="EG54" s="43"/>
      <c r="EH54" s="43"/>
      <c r="EI54" s="43"/>
      <c r="EJ54" s="43"/>
      <c r="EK54" s="43"/>
      <c r="EL54" s="43"/>
      <c r="EM54" s="43"/>
      <c r="EN54" s="43"/>
      <c r="EO54" s="43"/>
      <c r="EP54" s="43"/>
      <c r="EQ54" s="43"/>
      <c r="ER54" s="43"/>
      <c r="ES54" s="43"/>
      <c r="ET54" s="43"/>
      <c r="EU54" s="43"/>
      <c r="EV54" s="43"/>
      <c r="EW54" s="43"/>
      <c r="EX54" s="43"/>
      <c r="EY54" s="43"/>
      <c r="EZ54" s="43"/>
      <c r="FA54" s="43"/>
      <c r="FB54" s="43"/>
      <c r="FC54" s="43"/>
      <c r="FD54" s="43"/>
      <c r="FE54" s="43"/>
      <c r="FF54" s="43"/>
      <c r="FG54" s="43"/>
      <c r="FH54" s="43"/>
      <c r="FI54" s="43"/>
      <c r="FJ54" s="43"/>
      <c r="FK54" s="43"/>
      <c r="FL54" s="43"/>
      <c r="FM54" s="43"/>
      <c r="FN54" s="43"/>
      <c r="FO54" s="43"/>
      <c r="FP54" s="43"/>
      <c r="FQ54" s="43"/>
      <c r="FR54" s="43"/>
      <c r="FS54" s="43"/>
      <c r="FT54" s="43"/>
      <c r="FU54" s="43"/>
      <c r="FV54" s="43"/>
      <c r="FW54" s="43"/>
      <c r="FX54" s="43"/>
      <c r="FY54" s="43"/>
      <c r="FZ54" s="43"/>
      <c r="GA54" s="43"/>
      <c r="GB54" s="43"/>
      <c r="GC54" s="43"/>
      <c r="GD54" s="43"/>
      <c r="GE54" s="43"/>
      <c r="GF54" s="43"/>
      <c r="GG54" s="43"/>
      <c r="GH54" s="43"/>
      <c r="GI54" s="43"/>
      <c r="GJ54" s="43"/>
      <c r="GK54" s="43"/>
      <c r="GL54" s="43"/>
      <c r="GM54" s="43"/>
      <c r="GN54" s="43"/>
      <c r="GO54" s="43"/>
      <c r="GP54" s="43"/>
      <c r="GQ54" s="43"/>
      <c r="GR54" s="43"/>
      <c r="GS54" s="43"/>
      <c r="GT54" s="43"/>
      <c r="GU54" s="43"/>
      <c r="GV54" s="43"/>
      <c r="GW54" s="43"/>
      <c r="GX54" s="43"/>
      <c r="GY54" s="43"/>
      <c r="GZ54" s="43"/>
      <c r="HA54" s="43"/>
      <c r="HB54" s="43"/>
      <c r="HC54" s="43"/>
      <c r="HD54" s="43"/>
      <c r="HE54" s="43"/>
      <c r="HF54" s="43"/>
      <c r="HG54" s="43"/>
      <c r="HH54" s="43"/>
      <c r="HI54" s="43"/>
      <c r="HJ54" s="43"/>
      <c r="HK54" s="43"/>
      <c r="HL54" s="43"/>
      <c r="HM54" s="43"/>
      <c r="HN54" s="43"/>
      <c r="HO54" s="43"/>
      <c r="HP54" s="43"/>
      <c r="HQ54" s="43"/>
      <c r="HR54" s="43"/>
      <c r="HS54" s="43"/>
      <c r="HT54" s="43"/>
      <c r="HU54" s="43"/>
      <c r="HV54" s="43"/>
      <c r="HW54" s="43"/>
      <c r="HX54" s="43"/>
      <c r="HY54" s="43"/>
      <c r="HZ54" s="43"/>
      <c r="IA54" s="43"/>
      <c r="IB54" s="43"/>
      <c r="IC54" s="43"/>
      <c r="ID54" s="43"/>
      <c r="IE54" s="43"/>
      <c r="IF54" s="43"/>
      <c r="IG54" s="43"/>
      <c r="IH54" s="43"/>
      <c r="II54" s="43"/>
      <c r="IJ54" s="43"/>
      <c r="IK54" s="43"/>
      <c r="IL54" s="43"/>
      <c r="IM54" s="43"/>
      <c r="IN54" s="43"/>
      <c r="IO54" s="43"/>
      <c r="IP54" s="43"/>
      <c r="IQ54" s="43"/>
      <c r="IR54" s="43"/>
      <c r="IS54" s="43"/>
      <c r="IT54" s="43"/>
      <c r="IU54" s="43"/>
      <c r="IV54" s="43"/>
      <c r="IW54" s="43"/>
      <c r="IX54" s="43"/>
      <c r="IY54" s="43"/>
      <c r="IZ54" s="43"/>
      <c r="JA54" s="43"/>
      <c r="JB54" s="43"/>
      <c r="JC54" s="43"/>
      <c r="JD54" s="43"/>
      <c r="JE54" s="43"/>
      <c r="JF54" s="43"/>
      <c r="JG54" s="43"/>
      <c r="JH54" s="43"/>
      <c r="JI54" s="43"/>
      <c r="JJ54" s="43"/>
      <c r="JK54" s="43"/>
      <c r="JL54" s="43"/>
      <c r="JM54" s="43"/>
      <c r="JN54" s="43"/>
      <c r="JO54" s="43"/>
      <c r="JP54" s="43"/>
      <c r="JQ54" s="43"/>
      <c r="JR54" s="43"/>
      <c r="JS54" s="43"/>
      <c r="JT54" s="43"/>
      <c r="JU54" s="43"/>
      <c r="JV54" s="43"/>
      <c r="JW54" s="43"/>
      <c r="JX54" s="43"/>
      <c r="JY54" s="43"/>
      <c r="JZ54" s="43"/>
      <c r="KA54" s="43"/>
      <c r="KB54" s="43"/>
      <c r="KC54" s="43"/>
      <c r="KD54" s="43"/>
      <c r="KE54" s="43"/>
      <c r="KF54" s="43"/>
      <c r="KG54" s="43"/>
      <c r="KH54" s="43"/>
      <c r="KI54" s="43"/>
      <c r="KJ54" s="43"/>
      <c r="KK54" s="43"/>
      <c r="KL54" s="43"/>
      <c r="KM54" s="43"/>
      <c r="KN54" s="43"/>
      <c r="KO54" s="43"/>
      <c r="KP54" s="43"/>
      <c r="KQ54" s="43"/>
      <c r="KR54" s="43"/>
      <c r="KS54" s="43"/>
      <c r="KT54" s="43"/>
      <c r="KU54" s="43"/>
      <c r="KV54" s="43"/>
      <c r="KW54" s="43"/>
      <c r="KX54" s="43"/>
      <c r="KY54" s="43"/>
      <c r="KZ54" s="43"/>
      <c r="LA54" s="43"/>
      <c r="LB54" s="43"/>
      <c r="LC54" s="43"/>
      <c r="LD54" s="43"/>
      <c r="LE54" s="43"/>
      <c r="LF54" s="43"/>
      <c r="LG54" s="43"/>
      <c r="LH54" s="43"/>
      <c r="LI54" s="43"/>
      <c r="LJ54" s="43"/>
      <c r="LK54" s="43"/>
      <c r="LL54" s="43"/>
      <c r="LM54" s="43"/>
      <c r="LN54" s="43"/>
      <c r="LO54" s="43"/>
      <c r="LP54" s="43"/>
      <c r="LQ54" s="43"/>
      <c r="LR54" s="43"/>
      <c r="LS54" s="43"/>
      <c r="LT54" s="43"/>
      <c r="LU54" s="43"/>
      <c r="LV54" s="43"/>
      <c r="LW54" s="43"/>
      <c r="LX54" s="43"/>
      <c r="LY54" s="43"/>
      <c r="LZ54" s="43"/>
      <c r="MA54" s="43"/>
      <c r="MB54" s="43"/>
      <c r="MC54" s="43"/>
      <c r="MD54" s="43"/>
      <c r="ME54" s="43"/>
      <c r="MF54" s="43"/>
      <c r="MG54" s="43"/>
      <c r="MH54" s="43"/>
      <c r="MI54" s="43"/>
      <c r="MJ54" s="43"/>
      <c r="MK54" s="43"/>
      <c r="ML54" s="43"/>
      <c r="MM54" s="43"/>
      <c r="MN54" s="43"/>
      <c r="MO54" s="43"/>
      <c r="MP54" s="43"/>
      <c r="MQ54" s="43"/>
      <c r="MR54" s="43"/>
      <c r="MS54" s="43"/>
      <c r="MT54" s="43"/>
      <c r="MU54" s="43"/>
      <c r="MV54" s="43"/>
      <c r="MW54" s="43"/>
      <c r="MX54" s="43"/>
      <c r="MY54" s="43"/>
      <c r="MZ54" s="43"/>
      <c r="NA54" s="43"/>
      <c r="NB54" s="43"/>
      <c r="NC54" s="43"/>
      <c r="ND54" s="43"/>
      <c r="NE54" s="43"/>
      <c r="NF54" s="43"/>
      <c r="NG54" s="43"/>
      <c r="NH54" s="43"/>
      <c r="NI54" s="43"/>
      <c r="NJ54" s="43"/>
      <c r="NK54" s="43"/>
      <c r="NL54" s="43"/>
      <c r="NM54" s="43"/>
      <c r="NN54" s="43"/>
      <c r="NO54" s="43"/>
      <c r="NP54" s="43"/>
      <c r="NQ54" s="43"/>
      <c r="NR54" s="43"/>
      <c r="NS54" s="43"/>
      <c r="NT54" s="43"/>
      <c r="NU54" s="43"/>
      <c r="NV54" s="43"/>
      <c r="NW54" s="43"/>
      <c r="NX54" s="43"/>
      <c r="NY54" s="43"/>
      <c r="NZ54" s="43"/>
      <c r="OA54" s="43"/>
      <c r="OB54" s="43"/>
      <c r="OC54" s="43"/>
      <c r="OD54" s="43"/>
      <c r="OE54" s="43"/>
      <c r="OF54" s="43"/>
      <c r="OG54" s="43"/>
      <c r="OH54" s="43"/>
      <c r="OI54" s="43"/>
      <c r="OJ54" s="43"/>
      <c r="OK54" s="43"/>
      <c r="OL54" s="43"/>
      <c r="OM54" s="43"/>
      <c r="ON54" s="43"/>
      <c r="OO54" s="43"/>
      <c r="OP54" s="43"/>
      <c r="OQ54" s="43"/>
      <c r="OR54" s="43"/>
      <c r="OS54" s="43"/>
      <c r="OT54" s="43"/>
      <c r="OU54" s="43"/>
      <c r="OV54" s="43"/>
      <c r="OW54" s="43"/>
      <c r="OX54" s="43"/>
      <c r="OY54" s="43"/>
      <c r="OZ54" s="43"/>
      <c r="PA54" s="43"/>
      <c r="PB54" s="43"/>
      <c r="PC54" s="43"/>
      <c r="PD54" s="43"/>
      <c r="PE54" s="43"/>
      <c r="PF54" s="43"/>
      <c r="PG54" s="43"/>
      <c r="PH54" s="43"/>
      <c r="PI54" s="43"/>
      <c r="PJ54" s="43"/>
      <c r="PK54" s="43"/>
      <c r="PL54" s="43"/>
      <c r="PM54" s="43"/>
      <c r="PN54" s="43"/>
      <c r="PO54" s="43"/>
      <c r="PP54" s="43"/>
      <c r="PQ54" s="43"/>
      <c r="PR54" s="43"/>
      <c r="PS54" s="43"/>
      <c r="PT54" s="43"/>
      <c r="PU54" s="43"/>
      <c r="PV54" s="43"/>
      <c r="PW54" s="43"/>
      <c r="PX54" s="43"/>
      <c r="PY54" s="43"/>
      <c r="PZ54" s="43"/>
      <c r="QA54" s="43"/>
      <c r="QB54" s="43"/>
      <c r="QC54" s="43"/>
    </row>
    <row r="55" spans="1:445" x14ac:dyDescent="0.3">
      <c r="A55" s="85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46" t="str">
        <f t="shared" si="6"/>
        <v/>
      </c>
      <c r="U55" s="46" t="str">
        <f t="shared" si="7"/>
        <v/>
      </c>
      <c r="V55" s="72" t="str">
        <f t="shared" si="4"/>
        <v/>
      </c>
      <c r="W55" s="48"/>
      <c r="X55" s="73" t="str">
        <f t="shared" si="8"/>
        <v/>
      </c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  <c r="CZ55" s="43"/>
      <c r="DA55" s="43"/>
      <c r="DB55" s="43"/>
      <c r="DC55" s="43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3"/>
      <c r="DP55" s="43"/>
      <c r="DQ55" s="4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M55" s="43"/>
      <c r="EN55" s="43"/>
      <c r="EO55" s="43"/>
      <c r="EP55" s="43"/>
      <c r="EQ55" s="43"/>
      <c r="ER55" s="43"/>
      <c r="ES55" s="43"/>
      <c r="ET55" s="43"/>
      <c r="EU55" s="43"/>
      <c r="EV55" s="43"/>
      <c r="EW55" s="43"/>
      <c r="EX55" s="43"/>
      <c r="EY55" s="43"/>
      <c r="EZ55" s="43"/>
      <c r="FA55" s="43"/>
      <c r="FB55" s="43"/>
      <c r="FC55" s="43"/>
      <c r="FD55" s="43"/>
      <c r="FE55" s="43"/>
      <c r="FF55" s="43"/>
      <c r="FG55" s="43"/>
      <c r="FH55" s="43"/>
      <c r="FI55" s="43"/>
      <c r="FJ55" s="43"/>
      <c r="FK55" s="43"/>
      <c r="FL55" s="43"/>
      <c r="FM55" s="43"/>
      <c r="FN55" s="43"/>
      <c r="FO55" s="43"/>
      <c r="FP55" s="43"/>
      <c r="FQ55" s="43"/>
      <c r="FR55" s="43"/>
      <c r="FS55" s="43"/>
      <c r="FT55" s="43"/>
      <c r="FU55" s="43"/>
      <c r="FV55" s="43"/>
      <c r="FW55" s="43"/>
      <c r="FX55" s="43"/>
      <c r="FY55" s="43"/>
      <c r="FZ55" s="43"/>
      <c r="GA55" s="43"/>
      <c r="GB55" s="43"/>
      <c r="GC55" s="43"/>
      <c r="GD55" s="43"/>
      <c r="GE55" s="43"/>
      <c r="GF55" s="43"/>
      <c r="GG55" s="43"/>
      <c r="GH55" s="43"/>
      <c r="GI55" s="43"/>
      <c r="GJ55" s="43"/>
      <c r="GK55" s="43"/>
      <c r="GL55" s="43"/>
      <c r="GM55" s="43"/>
      <c r="GN55" s="43"/>
      <c r="GO55" s="43"/>
      <c r="GP55" s="43"/>
      <c r="GQ55" s="43"/>
      <c r="GR55" s="43"/>
      <c r="GS55" s="43"/>
      <c r="GT55" s="43"/>
      <c r="GU55" s="43"/>
      <c r="GV55" s="43"/>
      <c r="GW55" s="43"/>
      <c r="GX55" s="43"/>
      <c r="GY55" s="43"/>
      <c r="GZ55" s="43"/>
      <c r="HA55" s="43"/>
      <c r="HB55" s="43"/>
      <c r="HC55" s="43"/>
      <c r="HD55" s="43"/>
      <c r="HE55" s="43"/>
      <c r="HF55" s="43"/>
      <c r="HG55" s="43"/>
      <c r="HH55" s="43"/>
      <c r="HI55" s="43"/>
      <c r="HJ55" s="43"/>
      <c r="HK55" s="43"/>
      <c r="HL55" s="43"/>
      <c r="HM55" s="43"/>
      <c r="HN55" s="43"/>
      <c r="HO55" s="43"/>
      <c r="HP55" s="43"/>
      <c r="HQ55" s="43"/>
      <c r="HR55" s="43"/>
      <c r="HS55" s="43"/>
      <c r="HT55" s="43"/>
      <c r="HU55" s="43"/>
      <c r="HV55" s="43"/>
      <c r="HW55" s="43"/>
      <c r="HX55" s="43"/>
      <c r="HY55" s="43"/>
      <c r="HZ55" s="43"/>
      <c r="IA55" s="43"/>
      <c r="IB55" s="43"/>
      <c r="IC55" s="43"/>
      <c r="ID55" s="43"/>
      <c r="IE55" s="43"/>
      <c r="IF55" s="43"/>
      <c r="IG55" s="43"/>
      <c r="IH55" s="43"/>
      <c r="II55" s="43"/>
      <c r="IJ55" s="43"/>
      <c r="IK55" s="43"/>
      <c r="IL55" s="43"/>
      <c r="IM55" s="43"/>
      <c r="IN55" s="43"/>
      <c r="IO55" s="43"/>
      <c r="IP55" s="43"/>
      <c r="IQ55" s="43"/>
      <c r="IR55" s="43"/>
      <c r="IS55" s="43"/>
      <c r="IT55" s="43"/>
      <c r="IU55" s="43"/>
      <c r="IV55" s="43"/>
      <c r="IW55" s="43"/>
      <c r="IX55" s="43"/>
      <c r="IY55" s="43"/>
      <c r="IZ55" s="43"/>
      <c r="JA55" s="43"/>
      <c r="JB55" s="43"/>
      <c r="JC55" s="43"/>
      <c r="JD55" s="43"/>
      <c r="JE55" s="43"/>
      <c r="JF55" s="43"/>
      <c r="JG55" s="43"/>
      <c r="JH55" s="43"/>
      <c r="JI55" s="43"/>
      <c r="JJ55" s="43"/>
      <c r="JK55" s="43"/>
      <c r="JL55" s="43"/>
      <c r="JM55" s="43"/>
      <c r="JN55" s="43"/>
      <c r="JO55" s="43"/>
      <c r="JP55" s="43"/>
      <c r="JQ55" s="43"/>
      <c r="JR55" s="43"/>
      <c r="JS55" s="43"/>
      <c r="JT55" s="43"/>
      <c r="JU55" s="43"/>
      <c r="JV55" s="43"/>
      <c r="JW55" s="43"/>
      <c r="JX55" s="43"/>
      <c r="JY55" s="43"/>
      <c r="JZ55" s="43"/>
      <c r="KA55" s="43"/>
      <c r="KB55" s="43"/>
      <c r="KC55" s="43"/>
      <c r="KD55" s="43"/>
      <c r="KE55" s="43"/>
      <c r="KF55" s="43"/>
      <c r="KG55" s="43"/>
      <c r="KH55" s="43"/>
      <c r="KI55" s="43"/>
      <c r="KJ55" s="43"/>
      <c r="KK55" s="43"/>
      <c r="KL55" s="43"/>
      <c r="KM55" s="43"/>
      <c r="KN55" s="43"/>
      <c r="KO55" s="43"/>
      <c r="KP55" s="43"/>
      <c r="KQ55" s="43"/>
      <c r="KR55" s="43"/>
      <c r="KS55" s="43"/>
      <c r="KT55" s="43"/>
      <c r="KU55" s="43"/>
      <c r="KV55" s="43"/>
      <c r="KW55" s="43"/>
      <c r="KX55" s="43"/>
      <c r="KY55" s="43"/>
      <c r="KZ55" s="43"/>
      <c r="LA55" s="43"/>
      <c r="LB55" s="43"/>
      <c r="LC55" s="43"/>
      <c r="LD55" s="43"/>
      <c r="LE55" s="43"/>
      <c r="LF55" s="43"/>
      <c r="LG55" s="43"/>
      <c r="LH55" s="43"/>
      <c r="LI55" s="43"/>
      <c r="LJ55" s="43"/>
      <c r="LK55" s="43"/>
      <c r="LL55" s="43"/>
      <c r="LM55" s="43"/>
      <c r="LN55" s="43"/>
      <c r="LO55" s="43"/>
      <c r="LP55" s="43"/>
      <c r="LQ55" s="43"/>
      <c r="LR55" s="43"/>
      <c r="LS55" s="43"/>
      <c r="LT55" s="43"/>
      <c r="LU55" s="43"/>
      <c r="LV55" s="43"/>
      <c r="LW55" s="43"/>
      <c r="LX55" s="43"/>
      <c r="LY55" s="43"/>
      <c r="LZ55" s="43"/>
      <c r="MA55" s="43"/>
      <c r="MB55" s="43"/>
      <c r="MC55" s="43"/>
      <c r="MD55" s="43"/>
      <c r="ME55" s="43"/>
      <c r="MF55" s="43"/>
      <c r="MG55" s="43"/>
      <c r="MH55" s="43"/>
      <c r="MI55" s="43"/>
      <c r="MJ55" s="43"/>
      <c r="MK55" s="43"/>
      <c r="ML55" s="43"/>
      <c r="MM55" s="43"/>
      <c r="MN55" s="43"/>
      <c r="MO55" s="43"/>
      <c r="MP55" s="43"/>
      <c r="MQ55" s="43"/>
      <c r="MR55" s="43"/>
      <c r="MS55" s="43"/>
      <c r="MT55" s="43"/>
      <c r="MU55" s="43"/>
      <c r="MV55" s="43"/>
      <c r="MW55" s="43"/>
      <c r="MX55" s="43"/>
      <c r="MY55" s="43"/>
      <c r="MZ55" s="43"/>
      <c r="NA55" s="43"/>
      <c r="NB55" s="43"/>
      <c r="NC55" s="43"/>
      <c r="ND55" s="43"/>
      <c r="NE55" s="43"/>
      <c r="NF55" s="43"/>
      <c r="NG55" s="43"/>
      <c r="NH55" s="43"/>
      <c r="NI55" s="43"/>
      <c r="NJ55" s="43"/>
      <c r="NK55" s="43"/>
      <c r="NL55" s="43"/>
      <c r="NM55" s="43"/>
      <c r="NN55" s="43"/>
      <c r="NO55" s="43"/>
      <c r="NP55" s="43"/>
      <c r="NQ55" s="43"/>
      <c r="NR55" s="43"/>
      <c r="NS55" s="43"/>
      <c r="NT55" s="43"/>
      <c r="NU55" s="43"/>
      <c r="NV55" s="43"/>
      <c r="NW55" s="43"/>
      <c r="NX55" s="43"/>
      <c r="NY55" s="43"/>
      <c r="NZ55" s="43"/>
      <c r="OA55" s="43"/>
      <c r="OB55" s="43"/>
      <c r="OC55" s="43"/>
      <c r="OD55" s="43"/>
      <c r="OE55" s="43"/>
      <c r="OF55" s="43"/>
      <c r="OG55" s="43"/>
      <c r="OH55" s="43"/>
      <c r="OI55" s="43"/>
      <c r="OJ55" s="43"/>
      <c r="OK55" s="43"/>
      <c r="OL55" s="43"/>
      <c r="OM55" s="43"/>
      <c r="ON55" s="43"/>
      <c r="OO55" s="43"/>
      <c r="OP55" s="43"/>
      <c r="OQ55" s="43"/>
      <c r="OR55" s="43"/>
      <c r="OS55" s="43"/>
      <c r="OT55" s="43"/>
      <c r="OU55" s="43"/>
      <c r="OV55" s="43"/>
      <c r="OW55" s="43"/>
      <c r="OX55" s="43"/>
      <c r="OY55" s="43"/>
      <c r="OZ55" s="43"/>
      <c r="PA55" s="43"/>
      <c r="PB55" s="43"/>
      <c r="PC55" s="43"/>
      <c r="PD55" s="43"/>
      <c r="PE55" s="43"/>
      <c r="PF55" s="43"/>
      <c r="PG55" s="43"/>
      <c r="PH55" s="43"/>
      <c r="PI55" s="43"/>
      <c r="PJ55" s="43"/>
      <c r="PK55" s="43"/>
      <c r="PL55" s="43"/>
      <c r="PM55" s="43"/>
      <c r="PN55" s="43"/>
      <c r="PO55" s="43"/>
      <c r="PP55" s="43"/>
      <c r="PQ55" s="43"/>
      <c r="PR55" s="43"/>
      <c r="PS55" s="43"/>
      <c r="PT55" s="43"/>
      <c r="PU55" s="43"/>
      <c r="PV55" s="43"/>
      <c r="PW55" s="43"/>
      <c r="PX55" s="43"/>
      <c r="PY55" s="43"/>
      <c r="PZ55" s="43"/>
      <c r="QA55" s="43"/>
      <c r="QB55" s="43"/>
      <c r="QC55" s="43"/>
    </row>
    <row r="56" spans="1:445" x14ac:dyDescent="0.3">
      <c r="A56" s="85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46" t="str">
        <f t="shared" si="6"/>
        <v/>
      </c>
      <c r="U56" s="46" t="str">
        <f t="shared" si="7"/>
        <v/>
      </c>
      <c r="V56" s="72" t="str">
        <f t="shared" si="4"/>
        <v/>
      </c>
      <c r="X56" s="73" t="str">
        <f t="shared" si="8"/>
        <v/>
      </c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43"/>
      <c r="CY56" s="43"/>
      <c r="CZ56" s="43"/>
      <c r="DA56" s="43"/>
      <c r="DB56" s="43"/>
      <c r="DC56" s="43"/>
      <c r="DD56" s="43"/>
      <c r="DE56" s="43"/>
      <c r="DF56" s="43"/>
      <c r="DG56" s="43"/>
      <c r="DH56" s="43"/>
      <c r="DI56" s="43"/>
      <c r="DJ56" s="43"/>
      <c r="DK56" s="43"/>
      <c r="DL56" s="43"/>
      <c r="DM56" s="43"/>
      <c r="DN56" s="43"/>
      <c r="DO56" s="43"/>
      <c r="DP56" s="43"/>
      <c r="DQ56" s="43"/>
      <c r="DR56" s="43"/>
      <c r="DS56" s="43"/>
      <c r="DT56" s="43"/>
      <c r="DU56" s="43"/>
      <c r="DV56" s="43"/>
      <c r="DW56" s="43"/>
      <c r="DX56" s="43"/>
      <c r="DY56" s="43"/>
      <c r="DZ56" s="43"/>
      <c r="EA56" s="43"/>
      <c r="EB56" s="43"/>
      <c r="EC56" s="43"/>
      <c r="ED56" s="43"/>
      <c r="EE56" s="43"/>
      <c r="EF56" s="43"/>
      <c r="EG56" s="43"/>
      <c r="EH56" s="43"/>
      <c r="EI56" s="43"/>
      <c r="EJ56" s="43"/>
      <c r="EK56" s="43"/>
      <c r="EL56" s="43"/>
      <c r="EM56" s="43"/>
      <c r="EN56" s="43"/>
      <c r="EO56" s="43"/>
      <c r="EP56" s="43"/>
      <c r="EQ56" s="43"/>
      <c r="ER56" s="43"/>
      <c r="ES56" s="43"/>
      <c r="ET56" s="43"/>
      <c r="EU56" s="43"/>
      <c r="EV56" s="43"/>
      <c r="EW56" s="43"/>
      <c r="EX56" s="43"/>
      <c r="EY56" s="43"/>
      <c r="EZ56" s="43"/>
      <c r="FA56" s="43"/>
      <c r="FB56" s="43"/>
      <c r="FC56" s="43"/>
      <c r="FD56" s="43"/>
      <c r="FE56" s="43"/>
      <c r="FF56" s="43"/>
      <c r="FG56" s="43"/>
      <c r="FH56" s="43"/>
      <c r="FI56" s="43"/>
      <c r="FJ56" s="43"/>
      <c r="FK56" s="43"/>
      <c r="FL56" s="43"/>
      <c r="FM56" s="43"/>
      <c r="FN56" s="43"/>
      <c r="FO56" s="43"/>
      <c r="FP56" s="43"/>
      <c r="FQ56" s="43"/>
      <c r="FR56" s="43"/>
      <c r="FS56" s="43"/>
      <c r="FT56" s="43"/>
      <c r="FU56" s="43"/>
      <c r="FV56" s="43"/>
      <c r="FW56" s="43"/>
      <c r="FX56" s="43"/>
      <c r="FY56" s="43"/>
      <c r="FZ56" s="43"/>
      <c r="GA56" s="43"/>
      <c r="GB56" s="43"/>
      <c r="GC56" s="43"/>
      <c r="GD56" s="43"/>
      <c r="GE56" s="43"/>
      <c r="GF56" s="43"/>
      <c r="GG56" s="43"/>
      <c r="GH56" s="43"/>
      <c r="GI56" s="43"/>
      <c r="GJ56" s="43"/>
      <c r="GK56" s="43"/>
      <c r="GL56" s="43"/>
      <c r="GM56" s="43"/>
      <c r="GN56" s="43"/>
      <c r="GO56" s="43"/>
      <c r="GP56" s="43"/>
      <c r="GQ56" s="43"/>
      <c r="GR56" s="43"/>
      <c r="GS56" s="43"/>
      <c r="GT56" s="43"/>
      <c r="GU56" s="43"/>
      <c r="GV56" s="43"/>
      <c r="GW56" s="43"/>
      <c r="GX56" s="43"/>
      <c r="GY56" s="43"/>
      <c r="GZ56" s="43"/>
      <c r="HA56" s="43"/>
      <c r="HB56" s="43"/>
      <c r="HC56" s="43"/>
      <c r="HD56" s="43"/>
      <c r="HE56" s="43"/>
      <c r="HF56" s="43"/>
      <c r="HG56" s="43"/>
      <c r="HH56" s="43"/>
      <c r="HI56" s="43"/>
      <c r="HJ56" s="43"/>
      <c r="HK56" s="43"/>
      <c r="HL56" s="43"/>
      <c r="HM56" s="43"/>
      <c r="HN56" s="43"/>
      <c r="HO56" s="43"/>
      <c r="HP56" s="43"/>
      <c r="HQ56" s="43"/>
      <c r="HR56" s="43"/>
      <c r="HS56" s="43"/>
      <c r="HT56" s="43"/>
      <c r="HU56" s="43"/>
      <c r="HV56" s="43"/>
      <c r="HW56" s="43"/>
      <c r="HX56" s="43"/>
      <c r="HY56" s="43"/>
      <c r="HZ56" s="43"/>
      <c r="IA56" s="43"/>
      <c r="IB56" s="43"/>
      <c r="IC56" s="43"/>
      <c r="ID56" s="43"/>
      <c r="IE56" s="43"/>
      <c r="IF56" s="43"/>
      <c r="IG56" s="43"/>
      <c r="IH56" s="43"/>
      <c r="II56" s="43"/>
      <c r="IJ56" s="43"/>
      <c r="IK56" s="43"/>
      <c r="IL56" s="43"/>
      <c r="IM56" s="43"/>
      <c r="IN56" s="43"/>
      <c r="IO56" s="43"/>
      <c r="IP56" s="43"/>
      <c r="IQ56" s="43"/>
      <c r="IR56" s="43"/>
      <c r="IS56" s="43"/>
      <c r="IT56" s="43"/>
      <c r="IU56" s="43"/>
      <c r="IV56" s="43"/>
      <c r="IW56" s="43"/>
      <c r="IX56" s="43"/>
      <c r="IY56" s="43"/>
      <c r="IZ56" s="43"/>
      <c r="JA56" s="43"/>
      <c r="JB56" s="43"/>
      <c r="JC56" s="43"/>
      <c r="JD56" s="43"/>
      <c r="JE56" s="43"/>
      <c r="JF56" s="43"/>
      <c r="JG56" s="43"/>
      <c r="JH56" s="43"/>
      <c r="JI56" s="43"/>
      <c r="JJ56" s="43"/>
      <c r="JK56" s="43"/>
      <c r="JL56" s="43"/>
      <c r="JM56" s="43"/>
      <c r="JN56" s="43"/>
      <c r="JO56" s="43"/>
      <c r="JP56" s="43"/>
      <c r="JQ56" s="43"/>
      <c r="JR56" s="43"/>
      <c r="JS56" s="43"/>
      <c r="JT56" s="43"/>
      <c r="JU56" s="43"/>
      <c r="JV56" s="43"/>
      <c r="JW56" s="43"/>
      <c r="JX56" s="43"/>
      <c r="JY56" s="43"/>
      <c r="JZ56" s="43"/>
      <c r="KA56" s="43"/>
      <c r="KB56" s="43"/>
      <c r="KC56" s="43"/>
      <c r="KD56" s="43"/>
      <c r="KE56" s="43"/>
      <c r="KF56" s="43"/>
      <c r="KG56" s="43"/>
      <c r="KH56" s="43"/>
      <c r="KI56" s="43"/>
      <c r="KJ56" s="43"/>
      <c r="KK56" s="43"/>
      <c r="KL56" s="43"/>
      <c r="KM56" s="43"/>
      <c r="KN56" s="43"/>
      <c r="KO56" s="43"/>
      <c r="KP56" s="43"/>
      <c r="KQ56" s="43"/>
      <c r="KR56" s="43"/>
      <c r="KS56" s="43"/>
      <c r="KT56" s="43"/>
      <c r="KU56" s="43"/>
      <c r="KV56" s="43"/>
      <c r="KW56" s="43"/>
      <c r="KX56" s="43"/>
      <c r="KY56" s="43"/>
      <c r="KZ56" s="43"/>
      <c r="LA56" s="43"/>
      <c r="LB56" s="43"/>
      <c r="LC56" s="43"/>
      <c r="LD56" s="43"/>
      <c r="LE56" s="43"/>
      <c r="LF56" s="43"/>
      <c r="LG56" s="43"/>
      <c r="LH56" s="43"/>
      <c r="LI56" s="43"/>
      <c r="LJ56" s="43"/>
      <c r="LK56" s="43"/>
      <c r="LL56" s="43"/>
      <c r="LM56" s="43"/>
      <c r="LN56" s="43"/>
      <c r="LO56" s="43"/>
      <c r="LP56" s="43"/>
      <c r="LQ56" s="43"/>
      <c r="LR56" s="43"/>
      <c r="LS56" s="43"/>
      <c r="LT56" s="43"/>
      <c r="LU56" s="43"/>
      <c r="LV56" s="43"/>
      <c r="LW56" s="43"/>
      <c r="LX56" s="43"/>
      <c r="LY56" s="43"/>
      <c r="LZ56" s="43"/>
      <c r="MA56" s="43"/>
      <c r="MB56" s="43"/>
      <c r="MC56" s="43"/>
      <c r="MD56" s="43"/>
      <c r="ME56" s="43"/>
      <c r="MF56" s="43"/>
      <c r="MG56" s="43"/>
      <c r="MH56" s="43"/>
      <c r="MI56" s="43"/>
      <c r="MJ56" s="43"/>
      <c r="MK56" s="43"/>
      <c r="ML56" s="43"/>
      <c r="MM56" s="43"/>
      <c r="MN56" s="43"/>
      <c r="MO56" s="43"/>
      <c r="MP56" s="43"/>
      <c r="MQ56" s="43"/>
      <c r="MR56" s="43"/>
      <c r="MS56" s="43"/>
      <c r="MT56" s="43"/>
      <c r="MU56" s="43"/>
      <c r="MV56" s="43"/>
      <c r="MW56" s="43"/>
      <c r="MX56" s="43"/>
      <c r="MY56" s="43"/>
      <c r="MZ56" s="43"/>
      <c r="NA56" s="43"/>
      <c r="NB56" s="43"/>
      <c r="NC56" s="43"/>
      <c r="ND56" s="43"/>
      <c r="NE56" s="43"/>
      <c r="NF56" s="43"/>
      <c r="NG56" s="43"/>
      <c r="NH56" s="43"/>
      <c r="NI56" s="43"/>
      <c r="NJ56" s="43"/>
      <c r="NK56" s="43"/>
      <c r="NL56" s="43"/>
      <c r="NM56" s="43"/>
      <c r="NN56" s="43"/>
      <c r="NO56" s="43"/>
      <c r="NP56" s="43"/>
      <c r="NQ56" s="43"/>
      <c r="NR56" s="43"/>
      <c r="NS56" s="43"/>
      <c r="NT56" s="43"/>
      <c r="NU56" s="43"/>
      <c r="NV56" s="43"/>
      <c r="NW56" s="43"/>
      <c r="NX56" s="43"/>
      <c r="NY56" s="43"/>
      <c r="NZ56" s="43"/>
      <c r="OA56" s="43"/>
      <c r="OB56" s="43"/>
      <c r="OC56" s="43"/>
      <c r="OD56" s="43"/>
      <c r="OE56" s="43"/>
      <c r="OF56" s="43"/>
      <c r="OG56" s="43"/>
      <c r="OH56" s="43"/>
      <c r="OI56" s="43"/>
      <c r="OJ56" s="43"/>
      <c r="OK56" s="43"/>
      <c r="OL56" s="43"/>
      <c r="OM56" s="43"/>
      <c r="ON56" s="43"/>
      <c r="OO56" s="43"/>
      <c r="OP56" s="43"/>
      <c r="OQ56" s="43"/>
      <c r="OR56" s="43"/>
      <c r="OS56" s="43"/>
      <c r="OT56" s="43"/>
      <c r="OU56" s="43"/>
      <c r="OV56" s="43"/>
      <c r="OW56" s="43"/>
      <c r="OX56" s="43"/>
      <c r="OY56" s="43"/>
      <c r="OZ56" s="43"/>
      <c r="PA56" s="43"/>
      <c r="PB56" s="43"/>
      <c r="PC56" s="43"/>
      <c r="PD56" s="43"/>
      <c r="PE56" s="43"/>
      <c r="PF56" s="43"/>
      <c r="PG56" s="43"/>
      <c r="PH56" s="43"/>
      <c r="PI56" s="43"/>
      <c r="PJ56" s="43"/>
      <c r="PK56" s="43"/>
      <c r="PL56" s="43"/>
      <c r="PM56" s="43"/>
      <c r="PN56" s="43"/>
      <c r="PO56" s="43"/>
      <c r="PP56" s="43"/>
      <c r="PQ56" s="43"/>
      <c r="PR56" s="43"/>
      <c r="PS56" s="43"/>
      <c r="PT56" s="43"/>
      <c r="PU56" s="43"/>
      <c r="PV56" s="43"/>
      <c r="PW56" s="43"/>
      <c r="PX56" s="43"/>
      <c r="PY56" s="43"/>
      <c r="PZ56" s="43"/>
      <c r="QA56" s="43"/>
      <c r="QB56" s="43"/>
      <c r="QC56" s="43"/>
    </row>
    <row r="57" spans="1:445" x14ac:dyDescent="0.3">
      <c r="A57" s="85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46" t="str">
        <f t="shared" si="6"/>
        <v/>
      </c>
      <c r="U57" s="46" t="str">
        <f t="shared" si="7"/>
        <v/>
      </c>
      <c r="V57" s="72" t="str">
        <f t="shared" si="4"/>
        <v/>
      </c>
      <c r="W57" s="48"/>
      <c r="X57" s="73" t="str">
        <f t="shared" si="8"/>
        <v/>
      </c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43"/>
      <c r="CY57" s="43"/>
      <c r="CZ57" s="43"/>
      <c r="DA57" s="43"/>
      <c r="DB57" s="43"/>
      <c r="DC57" s="43"/>
      <c r="DD57" s="43"/>
      <c r="DE57" s="43"/>
      <c r="DF57" s="43"/>
      <c r="DG57" s="43"/>
      <c r="DH57" s="43"/>
      <c r="DI57" s="43"/>
      <c r="DJ57" s="43"/>
      <c r="DK57" s="43"/>
      <c r="DL57" s="43"/>
      <c r="DM57" s="43"/>
      <c r="DN57" s="43"/>
      <c r="DO57" s="43"/>
      <c r="DP57" s="43"/>
      <c r="DQ57" s="43"/>
      <c r="DR57" s="43"/>
      <c r="DS57" s="43"/>
      <c r="DT57" s="43"/>
      <c r="DU57" s="43"/>
      <c r="DV57" s="43"/>
      <c r="DW57" s="43"/>
      <c r="DX57" s="43"/>
      <c r="DY57" s="43"/>
      <c r="DZ57" s="43"/>
      <c r="EA57" s="43"/>
      <c r="EB57" s="43"/>
      <c r="EC57" s="43"/>
      <c r="ED57" s="43"/>
      <c r="EE57" s="43"/>
      <c r="EF57" s="43"/>
      <c r="EG57" s="43"/>
      <c r="EH57" s="43"/>
      <c r="EI57" s="43"/>
      <c r="EJ57" s="43"/>
      <c r="EK57" s="43"/>
      <c r="EL57" s="43"/>
      <c r="EM57" s="43"/>
      <c r="EN57" s="43"/>
      <c r="EO57" s="43"/>
      <c r="EP57" s="43"/>
      <c r="EQ57" s="43"/>
      <c r="ER57" s="43"/>
      <c r="ES57" s="43"/>
      <c r="ET57" s="43"/>
      <c r="EU57" s="43"/>
      <c r="EV57" s="43"/>
      <c r="EW57" s="43"/>
      <c r="EX57" s="43"/>
      <c r="EY57" s="43"/>
      <c r="EZ57" s="43"/>
      <c r="FA57" s="43"/>
      <c r="FB57" s="43"/>
      <c r="FC57" s="43"/>
      <c r="FD57" s="43"/>
      <c r="FE57" s="43"/>
      <c r="FF57" s="43"/>
      <c r="FG57" s="43"/>
      <c r="FH57" s="43"/>
      <c r="FI57" s="43"/>
      <c r="FJ57" s="43"/>
      <c r="FK57" s="43"/>
      <c r="FL57" s="43"/>
      <c r="FM57" s="43"/>
      <c r="FN57" s="43"/>
      <c r="FO57" s="43"/>
      <c r="FP57" s="43"/>
      <c r="FQ57" s="43"/>
      <c r="FR57" s="43"/>
      <c r="FS57" s="43"/>
      <c r="FT57" s="43"/>
      <c r="FU57" s="43"/>
      <c r="FV57" s="43"/>
      <c r="FW57" s="43"/>
      <c r="FX57" s="43"/>
      <c r="FY57" s="43"/>
      <c r="FZ57" s="43"/>
      <c r="GA57" s="43"/>
      <c r="GB57" s="43"/>
      <c r="GC57" s="43"/>
      <c r="GD57" s="43"/>
      <c r="GE57" s="43"/>
      <c r="GF57" s="43"/>
      <c r="GG57" s="43"/>
      <c r="GH57" s="43"/>
      <c r="GI57" s="43"/>
      <c r="GJ57" s="43"/>
      <c r="GK57" s="43"/>
      <c r="GL57" s="43"/>
      <c r="GM57" s="43"/>
      <c r="GN57" s="43"/>
      <c r="GO57" s="43"/>
      <c r="GP57" s="43"/>
      <c r="GQ57" s="43"/>
      <c r="GR57" s="43"/>
      <c r="GS57" s="43"/>
      <c r="GT57" s="43"/>
      <c r="GU57" s="43"/>
      <c r="GV57" s="43"/>
      <c r="GW57" s="43"/>
      <c r="GX57" s="43"/>
      <c r="GY57" s="43"/>
      <c r="GZ57" s="43"/>
      <c r="HA57" s="43"/>
      <c r="HB57" s="43"/>
      <c r="HC57" s="43"/>
      <c r="HD57" s="43"/>
      <c r="HE57" s="43"/>
      <c r="HF57" s="43"/>
      <c r="HG57" s="43"/>
      <c r="HH57" s="43"/>
      <c r="HI57" s="43"/>
      <c r="HJ57" s="43"/>
      <c r="HK57" s="43"/>
      <c r="HL57" s="43"/>
      <c r="HM57" s="43"/>
      <c r="HN57" s="43"/>
      <c r="HO57" s="43"/>
      <c r="HP57" s="43"/>
      <c r="HQ57" s="43"/>
      <c r="HR57" s="43"/>
      <c r="HS57" s="43"/>
      <c r="HT57" s="43"/>
      <c r="HU57" s="43"/>
      <c r="HV57" s="43"/>
      <c r="HW57" s="43"/>
      <c r="HX57" s="43"/>
      <c r="HY57" s="43"/>
      <c r="HZ57" s="43"/>
      <c r="IA57" s="43"/>
      <c r="IB57" s="43"/>
      <c r="IC57" s="43"/>
      <c r="ID57" s="43"/>
      <c r="IE57" s="43"/>
      <c r="IF57" s="43"/>
      <c r="IG57" s="43"/>
      <c r="IH57" s="43"/>
      <c r="II57" s="43"/>
      <c r="IJ57" s="43"/>
      <c r="IK57" s="43"/>
      <c r="IL57" s="43"/>
      <c r="IM57" s="43"/>
      <c r="IN57" s="43"/>
      <c r="IO57" s="43"/>
      <c r="IP57" s="43"/>
      <c r="IQ57" s="43"/>
      <c r="IR57" s="43"/>
      <c r="IS57" s="43"/>
      <c r="IT57" s="43"/>
      <c r="IU57" s="43"/>
      <c r="IV57" s="43"/>
      <c r="IW57" s="43"/>
      <c r="IX57" s="43"/>
      <c r="IY57" s="43"/>
      <c r="IZ57" s="43"/>
      <c r="JA57" s="43"/>
      <c r="JB57" s="43"/>
      <c r="JC57" s="43"/>
      <c r="JD57" s="43"/>
      <c r="JE57" s="43"/>
      <c r="JF57" s="43"/>
      <c r="JG57" s="43"/>
      <c r="JH57" s="43"/>
      <c r="JI57" s="43"/>
      <c r="JJ57" s="43"/>
      <c r="JK57" s="43"/>
      <c r="JL57" s="43"/>
      <c r="JM57" s="43"/>
      <c r="JN57" s="43"/>
      <c r="JO57" s="43"/>
      <c r="JP57" s="43"/>
      <c r="JQ57" s="43"/>
      <c r="JR57" s="43"/>
      <c r="JS57" s="43"/>
      <c r="JT57" s="43"/>
      <c r="JU57" s="43"/>
      <c r="JV57" s="43"/>
      <c r="JW57" s="43"/>
      <c r="JX57" s="43"/>
      <c r="JY57" s="43"/>
      <c r="JZ57" s="43"/>
      <c r="KA57" s="43"/>
      <c r="KB57" s="43"/>
      <c r="KC57" s="43"/>
      <c r="KD57" s="43"/>
      <c r="KE57" s="43"/>
      <c r="KF57" s="43"/>
      <c r="KG57" s="43"/>
      <c r="KH57" s="43"/>
      <c r="KI57" s="43"/>
      <c r="KJ57" s="43"/>
      <c r="KK57" s="43"/>
      <c r="KL57" s="43"/>
      <c r="KM57" s="43"/>
      <c r="KN57" s="43"/>
      <c r="KO57" s="43"/>
      <c r="KP57" s="43"/>
      <c r="KQ57" s="43"/>
      <c r="KR57" s="43"/>
      <c r="KS57" s="43"/>
      <c r="KT57" s="43"/>
      <c r="KU57" s="43"/>
      <c r="KV57" s="43"/>
      <c r="KW57" s="43"/>
      <c r="KX57" s="43"/>
      <c r="KY57" s="43"/>
      <c r="KZ57" s="43"/>
      <c r="LA57" s="43"/>
      <c r="LB57" s="43"/>
      <c r="LC57" s="43"/>
      <c r="LD57" s="43"/>
      <c r="LE57" s="43"/>
      <c r="LF57" s="43"/>
      <c r="LG57" s="43"/>
      <c r="LH57" s="43"/>
      <c r="LI57" s="43"/>
      <c r="LJ57" s="43"/>
      <c r="LK57" s="43"/>
      <c r="LL57" s="43"/>
      <c r="LM57" s="43"/>
      <c r="LN57" s="43"/>
      <c r="LO57" s="43"/>
      <c r="LP57" s="43"/>
      <c r="LQ57" s="43"/>
      <c r="LR57" s="43"/>
      <c r="LS57" s="43"/>
      <c r="LT57" s="43"/>
      <c r="LU57" s="43"/>
      <c r="LV57" s="43"/>
      <c r="LW57" s="43"/>
      <c r="LX57" s="43"/>
      <c r="LY57" s="43"/>
      <c r="LZ57" s="43"/>
      <c r="MA57" s="43"/>
      <c r="MB57" s="43"/>
      <c r="MC57" s="43"/>
      <c r="MD57" s="43"/>
      <c r="ME57" s="43"/>
      <c r="MF57" s="43"/>
      <c r="MG57" s="43"/>
      <c r="MH57" s="43"/>
      <c r="MI57" s="43"/>
      <c r="MJ57" s="43"/>
      <c r="MK57" s="43"/>
      <c r="ML57" s="43"/>
      <c r="MM57" s="43"/>
      <c r="MN57" s="43"/>
      <c r="MO57" s="43"/>
      <c r="MP57" s="43"/>
      <c r="MQ57" s="43"/>
      <c r="MR57" s="43"/>
      <c r="MS57" s="43"/>
      <c r="MT57" s="43"/>
      <c r="MU57" s="43"/>
      <c r="MV57" s="43"/>
      <c r="MW57" s="43"/>
      <c r="MX57" s="43"/>
      <c r="MY57" s="43"/>
      <c r="MZ57" s="43"/>
      <c r="NA57" s="43"/>
      <c r="NB57" s="43"/>
      <c r="NC57" s="43"/>
      <c r="ND57" s="43"/>
      <c r="NE57" s="43"/>
      <c r="NF57" s="43"/>
      <c r="NG57" s="43"/>
      <c r="NH57" s="43"/>
      <c r="NI57" s="43"/>
      <c r="NJ57" s="43"/>
      <c r="NK57" s="43"/>
      <c r="NL57" s="43"/>
      <c r="NM57" s="43"/>
      <c r="NN57" s="43"/>
      <c r="NO57" s="43"/>
      <c r="NP57" s="43"/>
      <c r="NQ57" s="43"/>
      <c r="NR57" s="43"/>
      <c r="NS57" s="43"/>
      <c r="NT57" s="43"/>
      <c r="NU57" s="43"/>
      <c r="NV57" s="43"/>
      <c r="NW57" s="43"/>
      <c r="NX57" s="43"/>
      <c r="NY57" s="43"/>
      <c r="NZ57" s="43"/>
      <c r="OA57" s="43"/>
      <c r="OB57" s="43"/>
      <c r="OC57" s="43"/>
      <c r="OD57" s="43"/>
      <c r="OE57" s="43"/>
      <c r="OF57" s="43"/>
      <c r="OG57" s="43"/>
      <c r="OH57" s="43"/>
      <c r="OI57" s="43"/>
      <c r="OJ57" s="43"/>
      <c r="OK57" s="43"/>
      <c r="OL57" s="43"/>
      <c r="OM57" s="43"/>
      <c r="ON57" s="43"/>
      <c r="OO57" s="43"/>
      <c r="OP57" s="43"/>
      <c r="OQ57" s="43"/>
      <c r="OR57" s="43"/>
      <c r="OS57" s="43"/>
      <c r="OT57" s="43"/>
      <c r="OU57" s="43"/>
      <c r="OV57" s="43"/>
      <c r="OW57" s="43"/>
      <c r="OX57" s="43"/>
      <c r="OY57" s="43"/>
      <c r="OZ57" s="43"/>
      <c r="PA57" s="43"/>
      <c r="PB57" s="43"/>
      <c r="PC57" s="43"/>
      <c r="PD57" s="43"/>
      <c r="PE57" s="43"/>
      <c r="PF57" s="43"/>
      <c r="PG57" s="43"/>
      <c r="PH57" s="43"/>
      <c r="PI57" s="43"/>
      <c r="PJ57" s="43"/>
      <c r="PK57" s="43"/>
      <c r="PL57" s="43"/>
      <c r="PM57" s="43"/>
      <c r="PN57" s="43"/>
      <c r="PO57" s="43"/>
      <c r="PP57" s="43"/>
      <c r="PQ57" s="43"/>
      <c r="PR57" s="43"/>
      <c r="PS57" s="43"/>
      <c r="PT57" s="43"/>
      <c r="PU57" s="43"/>
      <c r="PV57" s="43"/>
      <c r="PW57" s="43"/>
      <c r="PX57" s="43"/>
      <c r="PY57" s="43"/>
      <c r="PZ57" s="43"/>
      <c r="QA57" s="43"/>
      <c r="QB57" s="43"/>
      <c r="QC57" s="43"/>
    </row>
    <row r="58" spans="1:445" x14ac:dyDescent="0.3">
      <c r="A58" s="85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46" t="str">
        <f t="shared" si="6"/>
        <v/>
      </c>
      <c r="U58" s="46" t="str">
        <f t="shared" si="7"/>
        <v/>
      </c>
      <c r="V58" s="72" t="str">
        <f t="shared" si="4"/>
        <v/>
      </c>
      <c r="W58" s="48"/>
      <c r="X58" s="73" t="str">
        <f t="shared" si="8"/>
        <v/>
      </c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43"/>
      <c r="CY58" s="43"/>
      <c r="CZ58" s="43"/>
      <c r="DA58" s="43"/>
      <c r="DB58" s="43"/>
      <c r="DC58" s="43"/>
      <c r="DD58" s="43"/>
      <c r="DE58" s="43"/>
      <c r="DF58" s="43"/>
      <c r="DG58" s="43"/>
      <c r="DH58" s="43"/>
      <c r="DI58" s="43"/>
      <c r="DJ58" s="43"/>
      <c r="DK58" s="43"/>
      <c r="DL58" s="43"/>
      <c r="DM58" s="43"/>
      <c r="DN58" s="43"/>
      <c r="DO58" s="43"/>
      <c r="DP58" s="43"/>
      <c r="DQ58" s="43"/>
      <c r="DR58" s="43"/>
      <c r="DS58" s="43"/>
      <c r="DT58" s="43"/>
      <c r="DU58" s="43"/>
      <c r="DV58" s="43"/>
      <c r="DW58" s="43"/>
      <c r="DX58" s="43"/>
      <c r="DY58" s="43"/>
      <c r="DZ58" s="43"/>
      <c r="EA58" s="43"/>
      <c r="EB58" s="43"/>
      <c r="EC58" s="43"/>
      <c r="ED58" s="43"/>
      <c r="EE58" s="43"/>
      <c r="EF58" s="43"/>
      <c r="EG58" s="43"/>
      <c r="EH58" s="43"/>
      <c r="EI58" s="43"/>
      <c r="EJ58" s="43"/>
      <c r="EK58" s="43"/>
      <c r="EL58" s="43"/>
      <c r="EM58" s="43"/>
      <c r="EN58" s="43"/>
      <c r="EO58" s="43"/>
      <c r="EP58" s="43"/>
      <c r="EQ58" s="43"/>
      <c r="ER58" s="43"/>
      <c r="ES58" s="43"/>
      <c r="ET58" s="43"/>
      <c r="EU58" s="43"/>
      <c r="EV58" s="43"/>
      <c r="EW58" s="43"/>
      <c r="EX58" s="43"/>
      <c r="EY58" s="43"/>
      <c r="EZ58" s="43"/>
      <c r="FA58" s="43"/>
      <c r="FB58" s="43"/>
      <c r="FC58" s="43"/>
      <c r="FD58" s="43"/>
      <c r="FE58" s="43"/>
      <c r="FF58" s="43"/>
      <c r="FG58" s="43"/>
      <c r="FH58" s="43"/>
      <c r="FI58" s="43"/>
      <c r="FJ58" s="43"/>
      <c r="FK58" s="43"/>
      <c r="FL58" s="43"/>
      <c r="FM58" s="43"/>
      <c r="FN58" s="43"/>
      <c r="FO58" s="43"/>
      <c r="FP58" s="43"/>
      <c r="FQ58" s="43"/>
      <c r="FR58" s="43"/>
      <c r="FS58" s="43"/>
      <c r="FT58" s="43"/>
      <c r="FU58" s="43"/>
      <c r="FV58" s="43"/>
      <c r="FW58" s="43"/>
      <c r="FX58" s="43"/>
      <c r="FY58" s="43"/>
      <c r="FZ58" s="43"/>
      <c r="GA58" s="43"/>
      <c r="GB58" s="43"/>
      <c r="GC58" s="43"/>
      <c r="GD58" s="43"/>
      <c r="GE58" s="43"/>
      <c r="GF58" s="43"/>
      <c r="GG58" s="43"/>
      <c r="GH58" s="43"/>
      <c r="GI58" s="43"/>
      <c r="GJ58" s="43"/>
      <c r="GK58" s="43"/>
      <c r="GL58" s="43"/>
      <c r="GM58" s="43"/>
      <c r="GN58" s="43"/>
      <c r="GO58" s="43"/>
      <c r="GP58" s="43"/>
      <c r="GQ58" s="43"/>
      <c r="GR58" s="43"/>
      <c r="GS58" s="43"/>
      <c r="GT58" s="43"/>
      <c r="GU58" s="43"/>
      <c r="GV58" s="43"/>
      <c r="GW58" s="43"/>
      <c r="GX58" s="43"/>
      <c r="GY58" s="43"/>
      <c r="GZ58" s="43"/>
      <c r="HA58" s="43"/>
      <c r="HB58" s="43"/>
      <c r="HC58" s="43"/>
      <c r="HD58" s="43"/>
      <c r="HE58" s="43"/>
      <c r="HF58" s="43"/>
      <c r="HG58" s="43"/>
      <c r="HH58" s="43"/>
      <c r="HI58" s="43"/>
      <c r="HJ58" s="43"/>
      <c r="HK58" s="43"/>
      <c r="HL58" s="43"/>
      <c r="HM58" s="43"/>
      <c r="HN58" s="43"/>
      <c r="HO58" s="43"/>
      <c r="HP58" s="43"/>
      <c r="HQ58" s="43"/>
      <c r="HR58" s="43"/>
      <c r="HS58" s="43"/>
      <c r="HT58" s="43"/>
      <c r="HU58" s="43"/>
      <c r="HV58" s="43"/>
      <c r="HW58" s="43"/>
      <c r="HX58" s="43"/>
      <c r="HY58" s="43"/>
      <c r="HZ58" s="43"/>
      <c r="IA58" s="43"/>
      <c r="IB58" s="43"/>
      <c r="IC58" s="43"/>
      <c r="ID58" s="43"/>
      <c r="IE58" s="43"/>
      <c r="IF58" s="43"/>
      <c r="IG58" s="43"/>
      <c r="IH58" s="43"/>
      <c r="II58" s="43"/>
      <c r="IJ58" s="43"/>
      <c r="IK58" s="43"/>
      <c r="IL58" s="43"/>
      <c r="IM58" s="43"/>
      <c r="IN58" s="43"/>
      <c r="IO58" s="43"/>
      <c r="IP58" s="43"/>
      <c r="IQ58" s="43"/>
      <c r="IR58" s="43"/>
      <c r="IS58" s="43"/>
      <c r="IT58" s="43"/>
      <c r="IU58" s="43"/>
      <c r="IV58" s="43"/>
      <c r="IW58" s="43"/>
      <c r="IX58" s="43"/>
      <c r="IY58" s="43"/>
      <c r="IZ58" s="43"/>
      <c r="JA58" s="43"/>
      <c r="JB58" s="43"/>
      <c r="JC58" s="43"/>
      <c r="JD58" s="43"/>
      <c r="JE58" s="43"/>
      <c r="JF58" s="43"/>
      <c r="JG58" s="43"/>
      <c r="JH58" s="43"/>
      <c r="JI58" s="43"/>
      <c r="JJ58" s="43"/>
      <c r="JK58" s="43"/>
      <c r="JL58" s="43"/>
      <c r="JM58" s="43"/>
      <c r="JN58" s="43"/>
      <c r="JO58" s="43"/>
      <c r="JP58" s="43"/>
      <c r="JQ58" s="43"/>
      <c r="JR58" s="43"/>
      <c r="JS58" s="43"/>
      <c r="JT58" s="43"/>
      <c r="JU58" s="43"/>
      <c r="JV58" s="43"/>
      <c r="JW58" s="43"/>
      <c r="JX58" s="43"/>
      <c r="JY58" s="43"/>
      <c r="JZ58" s="43"/>
      <c r="KA58" s="43"/>
      <c r="KB58" s="43"/>
      <c r="KC58" s="43"/>
      <c r="KD58" s="43"/>
      <c r="KE58" s="43"/>
      <c r="KF58" s="43"/>
      <c r="KG58" s="43"/>
      <c r="KH58" s="43"/>
      <c r="KI58" s="43"/>
      <c r="KJ58" s="43"/>
      <c r="KK58" s="43"/>
      <c r="KL58" s="43"/>
      <c r="KM58" s="43"/>
      <c r="KN58" s="43"/>
      <c r="KO58" s="43"/>
      <c r="KP58" s="43"/>
      <c r="KQ58" s="43"/>
      <c r="KR58" s="43"/>
      <c r="KS58" s="43"/>
      <c r="KT58" s="43"/>
      <c r="KU58" s="43"/>
      <c r="KV58" s="43"/>
      <c r="KW58" s="43"/>
      <c r="KX58" s="43"/>
      <c r="KY58" s="43"/>
      <c r="KZ58" s="43"/>
      <c r="LA58" s="43"/>
      <c r="LB58" s="43"/>
      <c r="LC58" s="43"/>
      <c r="LD58" s="43"/>
      <c r="LE58" s="43"/>
      <c r="LF58" s="43"/>
      <c r="LG58" s="43"/>
      <c r="LH58" s="43"/>
      <c r="LI58" s="43"/>
      <c r="LJ58" s="43"/>
      <c r="LK58" s="43"/>
      <c r="LL58" s="43"/>
      <c r="LM58" s="43"/>
      <c r="LN58" s="43"/>
      <c r="LO58" s="43"/>
      <c r="LP58" s="43"/>
      <c r="LQ58" s="43"/>
      <c r="LR58" s="43"/>
      <c r="LS58" s="43"/>
      <c r="LT58" s="43"/>
      <c r="LU58" s="43"/>
      <c r="LV58" s="43"/>
      <c r="LW58" s="43"/>
      <c r="LX58" s="43"/>
      <c r="LY58" s="43"/>
      <c r="LZ58" s="43"/>
      <c r="MA58" s="43"/>
      <c r="MB58" s="43"/>
      <c r="MC58" s="43"/>
      <c r="MD58" s="43"/>
      <c r="ME58" s="43"/>
      <c r="MF58" s="43"/>
      <c r="MG58" s="43"/>
      <c r="MH58" s="43"/>
      <c r="MI58" s="43"/>
      <c r="MJ58" s="43"/>
      <c r="MK58" s="43"/>
      <c r="ML58" s="43"/>
      <c r="MM58" s="43"/>
      <c r="MN58" s="43"/>
      <c r="MO58" s="43"/>
      <c r="MP58" s="43"/>
      <c r="MQ58" s="43"/>
      <c r="MR58" s="43"/>
      <c r="MS58" s="43"/>
      <c r="MT58" s="43"/>
      <c r="MU58" s="43"/>
      <c r="MV58" s="43"/>
      <c r="MW58" s="43"/>
      <c r="MX58" s="43"/>
      <c r="MY58" s="43"/>
      <c r="MZ58" s="43"/>
      <c r="NA58" s="43"/>
      <c r="NB58" s="43"/>
      <c r="NC58" s="43"/>
      <c r="ND58" s="43"/>
      <c r="NE58" s="43"/>
      <c r="NF58" s="43"/>
      <c r="NG58" s="43"/>
      <c r="NH58" s="43"/>
      <c r="NI58" s="43"/>
      <c r="NJ58" s="43"/>
      <c r="NK58" s="43"/>
      <c r="NL58" s="43"/>
      <c r="NM58" s="43"/>
      <c r="NN58" s="43"/>
      <c r="NO58" s="43"/>
      <c r="NP58" s="43"/>
      <c r="NQ58" s="43"/>
      <c r="NR58" s="43"/>
      <c r="NS58" s="43"/>
      <c r="NT58" s="43"/>
      <c r="NU58" s="43"/>
      <c r="NV58" s="43"/>
      <c r="NW58" s="43"/>
      <c r="NX58" s="43"/>
      <c r="NY58" s="43"/>
      <c r="NZ58" s="43"/>
      <c r="OA58" s="43"/>
      <c r="OB58" s="43"/>
      <c r="OC58" s="43"/>
      <c r="OD58" s="43"/>
      <c r="OE58" s="43"/>
      <c r="OF58" s="43"/>
      <c r="OG58" s="43"/>
      <c r="OH58" s="43"/>
      <c r="OI58" s="43"/>
      <c r="OJ58" s="43"/>
      <c r="OK58" s="43"/>
      <c r="OL58" s="43"/>
      <c r="OM58" s="43"/>
      <c r="ON58" s="43"/>
      <c r="OO58" s="43"/>
      <c r="OP58" s="43"/>
      <c r="OQ58" s="43"/>
      <c r="OR58" s="43"/>
      <c r="OS58" s="43"/>
      <c r="OT58" s="43"/>
      <c r="OU58" s="43"/>
      <c r="OV58" s="43"/>
      <c r="OW58" s="43"/>
      <c r="OX58" s="43"/>
      <c r="OY58" s="43"/>
      <c r="OZ58" s="43"/>
      <c r="PA58" s="43"/>
      <c r="PB58" s="43"/>
      <c r="PC58" s="43"/>
      <c r="PD58" s="43"/>
      <c r="PE58" s="43"/>
      <c r="PF58" s="43"/>
      <c r="PG58" s="43"/>
      <c r="PH58" s="43"/>
      <c r="PI58" s="43"/>
      <c r="PJ58" s="43"/>
      <c r="PK58" s="43"/>
      <c r="PL58" s="43"/>
      <c r="PM58" s="43"/>
      <c r="PN58" s="43"/>
      <c r="PO58" s="43"/>
      <c r="PP58" s="43"/>
      <c r="PQ58" s="43"/>
      <c r="PR58" s="43"/>
      <c r="PS58" s="43"/>
      <c r="PT58" s="43"/>
      <c r="PU58" s="43"/>
      <c r="PV58" s="43"/>
      <c r="PW58" s="43"/>
      <c r="PX58" s="43"/>
      <c r="PY58" s="43"/>
      <c r="PZ58" s="43"/>
      <c r="QA58" s="43"/>
      <c r="QB58" s="43"/>
      <c r="QC58" s="43"/>
    </row>
    <row r="59" spans="1:445" x14ac:dyDescent="0.3">
      <c r="A59" s="85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46" t="str">
        <f t="shared" si="6"/>
        <v/>
      </c>
      <c r="U59" s="46" t="str">
        <f t="shared" si="7"/>
        <v/>
      </c>
      <c r="V59" s="72" t="str">
        <f t="shared" si="4"/>
        <v/>
      </c>
      <c r="W59" s="48"/>
      <c r="X59" s="73" t="str">
        <f t="shared" si="8"/>
        <v/>
      </c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43"/>
      <c r="CY59" s="43"/>
      <c r="CZ59" s="43"/>
      <c r="DA59" s="43"/>
      <c r="DB59" s="43"/>
      <c r="DC59" s="43"/>
      <c r="DD59" s="43"/>
      <c r="DE59" s="43"/>
      <c r="DF59" s="43"/>
      <c r="DG59" s="43"/>
      <c r="DH59" s="43"/>
      <c r="DI59" s="43"/>
      <c r="DJ59" s="43"/>
      <c r="DK59" s="43"/>
      <c r="DL59" s="43"/>
      <c r="DM59" s="43"/>
      <c r="DN59" s="43"/>
      <c r="DO59" s="43"/>
      <c r="DP59" s="43"/>
      <c r="DQ59" s="43"/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 s="43"/>
      <c r="EI59" s="43"/>
      <c r="EJ59" s="43"/>
      <c r="EK59" s="43"/>
      <c r="EL59" s="43"/>
      <c r="EM59" s="43"/>
      <c r="EN59" s="43"/>
      <c r="EO59" s="43"/>
      <c r="EP59" s="43"/>
      <c r="EQ59" s="43"/>
      <c r="ER59" s="43"/>
      <c r="ES59" s="43"/>
      <c r="ET59" s="43"/>
      <c r="EU59" s="43"/>
      <c r="EV59" s="43"/>
      <c r="EW59" s="43"/>
      <c r="EX59" s="43"/>
      <c r="EY59" s="43"/>
      <c r="EZ59" s="43"/>
      <c r="FA59" s="43"/>
      <c r="FB59" s="43"/>
      <c r="FC59" s="43"/>
      <c r="FD59" s="43"/>
      <c r="FE59" s="43"/>
      <c r="FF59" s="43"/>
      <c r="FG59" s="43"/>
      <c r="FH59" s="43"/>
      <c r="FI59" s="43"/>
      <c r="FJ59" s="43"/>
      <c r="FK59" s="43"/>
      <c r="FL59" s="43"/>
      <c r="FM59" s="43"/>
      <c r="FN59" s="43"/>
      <c r="FO59" s="43"/>
      <c r="FP59" s="43"/>
      <c r="FQ59" s="43"/>
      <c r="FR59" s="43"/>
      <c r="FS59" s="43"/>
      <c r="FT59" s="43"/>
      <c r="FU59" s="43"/>
      <c r="FV59" s="43"/>
      <c r="FW59" s="43"/>
      <c r="FX59" s="43"/>
      <c r="FY59" s="43"/>
      <c r="FZ59" s="43"/>
      <c r="GA59" s="43"/>
      <c r="GB59" s="43"/>
      <c r="GC59" s="43"/>
      <c r="GD59" s="43"/>
      <c r="GE59" s="43"/>
      <c r="GF59" s="43"/>
      <c r="GG59" s="43"/>
      <c r="GH59" s="43"/>
      <c r="GI59" s="43"/>
      <c r="GJ59" s="43"/>
      <c r="GK59" s="43"/>
      <c r="GL59" s="43"/>
      <c r="GM59" s="43"/>
      <c r="GN59" s="43"/>
      <c r="GO59" s="43"/>
      <c r="GP59" s="43"/>
      <c r="GQ59" s="43"/>
      <c r="GR59" s="43"/>
      <c r="GS59" s="43"/>
      <c r="GT59" s="43"/>
      <c r="GU59" s="43"/>
      <c r="GV59" s="43"/>
      <c r="GW59" s="43"/>
      <c r="GX59" s="43"/>
      <c r="GY59" s="43"/>
      <c r="GZ59" s="43"/>
      <c r="HA59" s="43"/>
      <c r="HB59" s="43"/>
      <c r="HC59" s="43"/>
      <c r="HD59" s="43"/>
      <c r="HE59" s="43"/>
      <c r="HF59" s="43"/>
      <c r="HG59" s="43"/>
      <c r="HH59" s="43"/>
      <c r="HI59" s="43"/>
      <c r="HJ59" s="43"/>
      <c r="HK59" s="43"/>
      <c r="HL59" s="43"/>
      <c r="HM59" s="43"/>
      <c r="HN59" s="43"/>
      <c r="HO59" s="43"/>
      <c r="HP59" s="43"/>
      <c r="HQ59" s="43"/>
      <c r="HR59" s="43"/>
      <c r="HS59" s="43"/>
      <c r="HT59" s="43"/>
      <c r="HU59" s="43"/>
      <c r="HV59" s="43"/>
      <c r="HW59" s="43"/>
      <c r="HX59" s="43"/>
      <c r="HY59" s="43"/>
      <c r="HZ59" s="43"/>
      <c r="IA59" s="43"/>
      <c r="IB59" s="43"/>
      <c r="IC59" s="43"/>
      <c r="ID59" s="43"/>
      <c r="IE59" s="43"/>
      <c r="IF59" s="43"/>
      <c r="IG59" s="43"/>
      <c r="IH59" s="43"/>
      <c r="II59" s="43"/>
      <c r="IJ59" s="43"/>
      <c r="IK59" s="43"/>
      <c r="IL59" s="43"/>
      <c r="IM59" s="43"/>
      <c r="IN59" s="43"/>
      <c r="IO59" s="43"/>
      <c r="IP59" s="43"/>
      <c r="IQ59" s="43"/>
      <c r="IR59" s="43"/>
      <c r="IS59" s="43"/>
      <c r="IT59" s="43"/>
      <c r="IU59" s="43"/>
      <c r="IV59" s="43"/>
      <c r="IW59" s="43"/>
      <c r="IX59" s="43"/>
      <c r="IY59" s="43"/>
      <c r="IZ59" s="43"/>
      <c r="JA59" s="43"/>
      <c r="JB59" s="43"/>
      <c r="JC59" s="43"/>
      <c r="JD59" s="43"/>
      <c r="JE59" s="43"/>
      <c r="JF59" s="43"/>
      <c r="JG59" s="43"/>
      <c r="JH59" s="43"/>
      <c r="JI59" s="43"/>
      <c r="JJ59" s="43"/>
      <c r="JK59" s="43"/>
      <c r="JL59" s="43"/>
      <c r="JM59" s="43"/>
      <c r="JN59" s="43"/>
      <c r="JO59" s="43"/>
      <c r="JP59" s="43"/>
      <c r="JQ59" s="43"/>
      <c r="JR59" s="43"/>
      <c r="JS59" s="43"/>
      <c r="JT59" s="43"/>
      <c r="JU59" s="43"/>
      <c r="JV59" s="43"/>
      <c r="JW59" s="43"/>
      <c r="JX59" s="43"/>
      <c r="JY59" s="43"/>
      <c r="JZ59" s="43"/>
      <c r="KA59" s="43"/>
      <c r="KB59" s="43"/>
      <c r="KC59" s="43"/>
      <c r="KD59" s="43"/>
      <c r="KE59" s="43"/>
      <c r="KF59" s="43"/>
      <c r="KG59" s="43"/>
      <c r="KH59" s="43"/>
      <c r="KI59" s="43"/>
      <c r="KJ59" s="43"/>
      <c r="KK59" s="43"/>
      <c r="KL59" s="43"/>
      <c r="KM59" s="43"/>
      <c r="KN59" s="43"/>
      <c r="KO59" s="43"/>
      <c r="KP59" s="43"/>
      <c r="KQ59" s="43"/>
      <c r="KR59" s="43"/>
      <c r="KS59" s="43"/>
      <c r="KT59" s="43"/>
      <c r="KU59" s="43"/>
      <c r="KV59" s="43"/>
      <c r="KW59" s="43"/>
      <c r="KX59" s="43"/>
      <c r="KY59" s="43"/>
      <c r="KZ59" s="43"/>
      <c r="LA59" s="43"/>
      <c r="LB59" s="43"/>
      <c r="LC59" s="43"/>
      <c r="LD59" s="43"/>
      <c r="LE59" s="43"/>
      <c r="LF59" s="43"/>
      <c r="LG59" s="43"/>
      <c r="LH59" s="43"/>
      <c r="LI59" s="43"/>
      <c r="LJ59" s="43"/>
      <c r="LK59" s="43"/>
      <c r="LL59" s="43"/>
      <c r="LM59" s="43"/>
      <c r="LN59" s="43"/>
      <c r="LO59" s="43"/>
      <c r="LP59" s="43"/>
      <c r="LQ59" s="43"/>
      <c r="LR59" s="43"/>
      <c r="LS59" s="43"/>
      <c r="LT59" s="43"/>
      <c r="LU59" s="43"/>
      <c r="LV59" s="43"/>
      <c r="LW59" s="43"/>
      <c r="LX59" s="43"/>
      <c r="LY59" s="43"/>
      <c r="LZ59" s="43"/>
      <c r="MA59" s="43"/>
      <c r="MB59" s="43"/>
      <c r="MC59" s="43"/>
      <c r="MD59" s="43"/>
      <c r="ME59" s="43"/>
      <c r="MF59" s="43"/>
      <c r="MG59" s="43"/>
      <c r="MH59" s="43"/>
      <c r="MI59" s="43"/>
      <c r="MJ59" s="43"/>
      <c r="MK59" s="43"/>
      <c r="ML59" s="43"/>
      <c r="MM59" s="43"/>
      <c r="MN59" s="43"/>
      <c r="MO59" s="43"/>
      <c r="MP59" s="43"/>
      <c r="MQ59" s="43"/>
      <c r="MR59" s="43"/>
      <c r="MS59" s="43"/>
      <c r="MT59" s="43"/>
      <c r="MU59" s="43"/>
      <c r="MV59" s="43"/>
      <c r="MW59" s="43"/>
      <c r="MX59" s="43"/>
      <c r="MY59" s="43"/>
      <c r="MZ59" s="43"/>
      <c r="NA59" s="43"/>
      <c r="NB59" s="43"/>
      <c r="NC59" s="43"/>
      <c r="ND59" s="43"/>
      <c r="NE59" s="43"/>
      <c r="NF59" s="43"/>
      <c r="NG59" s="43"/>
      <c r="NH59" s="43"/>
      <c r="NI59" s="43"/>
      <c r="NJ59" s="43"/>
      <c r="NK59" s="43"/>
      <c r="NL59" s="43"/>
      <c r="NM59" s="43"/>
      <c r="NN59" s="43"/>
      <c r="NO59" s="43"/>
      <c r="NP59" s="43"/>
      <c r="NQ59" s="43"/>
      <c r="NR59" s="43"/>
      <c r="NS59" s="43"/>
      <c r="NT59" s="43"/>
      <c r="NU59" s="43"/>
      <c r="NV59" s="43"/>
      <c r="NW59" s="43"/>
      <c r="NX59" s="43"/>
      <c r="NY59" s="43"/>
      <c r="NZ59" s="43"/>
      <c r="OA59" s="43"/>
      <c r="OB59" s="43"/>
      <c r="OC59" s="43"/>
      <c r="OD59" s="43"/>
      <c r="OE59" s="43"/>
      <c r="OF59" s="43"/>
      <c r="OG59" s="43"/>
      <c r="OH59" s="43"/>
      <c r="OI59" s="43"/>
      <c r="OJ59" s="43"/>
      <c r="OK59" s="43"/>
      <c r="OL59" s="43"/>
      <c r="OM59" s="43"/>
      <c r="ON59" s="43"/>
      <c r="OO59" s="43"/>
      <c r="OP59" s="43"/>
      <c r="OQ59" s="43"/>
      <c r="OR59" s="43"/>
      <c r="OS59" s="43"/>
      <c r="OT59" s="43"/>
      <c r="OU59" s="43"/>
      <c r="OV59" s="43"/>
      <c r="OW59" s="43"/>
      <c r="OX59" s="43"/>
      <c r="OY59" s="43"/>
      <c r="OZ59" s="43"/>
      <c r="PA59" s="43"/>
      <c r="PB59" s="43"/>
      <c r="PC59" s="43"/>
      <c r="PD59" s="43"/>
      <c r="PE59" s="43"/>
      <c r="PF59" s="43"/>
      <c r="PG59" s="43"/>
      <c r="PH59" s="43"/>
      <c r="PI59" s="43"/>
      <c r="PJ59" s="43"/>
      <c r="PK59" s="43"/>
      <c r="PL59" s="43"/>
      <c r="PM59" s="43"/>
      <c r="PN59" s="43"/>
      <c r="PO59" s="43"/>
      <c r="PP59" s="43"/>
      <c r="PQ59" s="43"/>
      <c r="PR59" s="43"/>
      <c r="PS59" s="43"/>
      <c r="PT59" s="43"/>
      <c r="PU59" s="43"/>
      <c r="PV59" s="43"/>
      <c r="PW59" s="43"/>
      <c r="PX59" s="43"/>
      <c r="PY59" s="43"/>
      <c r="PZ59" s="43"/>
      <c r="QA59" s="43"/>
      <c r="QB59" s="43"/>
      <c r="QC59" s="43"/>
    </row>
    <row r="60" spans="1:445" x14ac:dyDescent="0.3">
      <c r="A60" s="85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46" t="str">
        <f t="shared" si="6"/>
        <v/>
      </c>
      <c r="U60" s="46" t="str">
        <f t="shared" si="7"/>
        <v/>
      </c>
      <c r="V60" s="72" t="str">
        <f t="shared" si="4"/>
        <v/>
      </c>
      <c r="X60" s="73" t="str">
        <f t="shared" si="8"/>
        <v/>
      </c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43"/>
      <c r="CY60" s="43"/>
      <c r="CZ60" s="43"/>
      <c r="DA60" s="43"/>
      <c r="DB60" s="43"/>
      <c r="DC60" s="43"/>
      <c r="DD60" s="43"/>
      <c r="DE60" s="43"/>
      <c r="DF60" s="43"/>
      <c r="DG60" s="43"/>
      <c r="DH60" s="43"/>
      <c r="DI60" s="43"/>
      <c r="DJ60" s="43"/>
      <c r="DK60" s="43"/>
      <c r="DL60" s="43"/>
      <c r="DM60" s="43"/>
      <c r="DN60" s="43"/>
      <c r="DO60" s="43"/>
      <c r="DP60" s="43"/>
      <c r="DQ60" s="43"/>
      <c r="DR60" s="43"/>
      <c r="DS60" s="43"/>
      <c r="DT60" s="43"/>
      <c r="DU60" s="43"/>
      <c r="DV60" s="43"/>
      <c r="DW60" s="43"/>
      <c r="DX60" s="43"/>
      <c r="DY60" s="43"/>
      <c r="DZ60" s="43"/>
      <c r="EA60" s="43"/>
      <c r="EB60" s="43"/>
      <c r="EC60" s="43"/>
      <c r="ED60" s="43"/>
      <c r="EE60" s="43"/>
      <c r="EF60" s="43"/>
      <c r="EG60" s="43"/>
      <c r="EH60" s="43"/>
      <c r="EI60" s="43"/>
      <c r="EJ60" s="43"/>
      <c r="EK60" s="43"/>
      <c r="EL60" s="43"/>
      <c r="EM60" s="43"/>
      <c r="EN60" s="43"/>
      <c r="EO60" s="43"/>
      <c r="EP60" s="43"/>
      <c r="EQ60" s="43"/>
      <c r="ER60" s="43"/>
      <c r="ES60" s="43"/>
      <c r="ET60" s="43"/>
      <c r="EU60" s="43"/>
      <c r="EV60" s="43"/>
      <c r="EW60" s="43"/>
      <c r="EX60" s="43"/>
      <c r="EY60" s="43"/>
      <c r="EZ60" s="43"/>
      <c r="FA60" s="43"/>
      <c r="FB60" s="43"/>
      <c r="FC60" s="43"/>
      <c r="FD60" s="43"/>
      <c r="FE60" s="43"/>
      <c r="FF60" s="43"/>
      <c r="FG60" s="43"/>
      <c r="FH60" s="43"/>
      <c r="FI60" s="43"/>
      <c r="FJ60" s="43"/>
      <c r="FK60" s="43"/>
      <c r="FL60" s="43"/>
      <c r="FM60" s="43"/>
      <c r="FN60" s="43"/>
      <c r="FO60" s="43"/>
      <c r="FP60" s="43"/>
      <c r="FQ60" s="43"/>
      <c r="FR60" s="43"/>
      <c r="FS60" s="43"/>
      <c r="FT60" s="43"/>
      <c r="FU60" s="43"/>
      <c r="FV60" s="43"/>
      <c r="FW60" s="43"/>
      <c r="FX60" s="43"/>
      <c r="FY60" s="43"/>
      <c r="FZ60" s="43"/>
      <c r="GA60" s="43"/>
      <c r="GB60" s="43"/>
      <c r="GC60" s="43"/>
      <c r="GD60" s="43"/>
      <c r="GE60" s="43"/>
      <c r="GF60" s="43"/>
      <c r="GG60" s="43"/>
      <c r="GH60" s="43"/>
      <c r="GI60" s="43"/>
      <c r="GJ60" s="43"/>
      <c r="GK60" s="43"/>
      <c r="GL60" s="43"/>
      <c r="GM60" s="43"/>
      <c r="GN60" s="43"/>
      <c r="GO60" s="43"/>
      <c r="GP60" s="43"/>
      <c r="GQ60" s="43"/>
      <c r="GR60" s="43"/>
      <c r="GS60" s="43"/>
      <c r="GT60" s="43"/>
      <c r="GU60" s="43"/>
      <c r="GV60" s="43"/>
      <c r="GW60" s="43"/>
      <c r="GX60" s="43"/>
      <c r="GY60" s="43"/>
      <c r="GZ60" s="43"/>
      <c r="HA60" s="43"/>
      <c r="HB60" s="43"/>
      <c r="HC60" s="43"/>
      <c r="HD60" s="43"/>
      <c r="HE60" s="43"/>
      <c r="HF60" s="43"/>
      <c r="HG60" s="43"/>
      <c r="HH60" s="43"/>
      <c r="HI60" s="43"/>
      <c r="HJ60" s="43"/>
      <c r="HK60" s="43"/>
      <c r="HL60" s="43"/>
      <c r="HM60" s="43"/>
      <c r="HN60" s="43"/>
      <c r="HO60" s="43"/>
      <c r="HP60" s="43"/>
      <c r="HQ60" s="43"/>
      <c r="HR60" s="43"/>
      <c r="HS60" s="43"/>
      <c r="HT60" s="43"/>
      <c r="HU60" s="43"/>
      <c r="HV60" s="43"/>
      <c r="HW60" s="43"/>
      <c r="HX60" s="43"/>
      <c r="HY60" s="43"/>
      <c r="HZ60" s="43"/>
      <c r="IA60" s="43"/>
      <c r="IB60" s="43"/>
      <c r="IC60" s="43"/>
      <c r="ID60" s="43"/>
      <c r="IE60" s="43"/>
      <c r="IF60" s="43"/>
      <c r="IG60" s="43"/>
      <c r="IH60" s="43"/>
      <c r="II60" s="43"/>
      <c r="IJ60" s="43"/>
      <c r="IK60" s="43"/>
      <c r="IL60" s="43"/>
      <c r="IM60" s="43"/>
      <c r="IN60" s="43"/>
      <c r="IO60" s="43"/>
      <c r="IP60" s="43"/>
      <c r="IQ60" s="43"/>
      <c r="IR60" s="43"/>
      <c r="IS60" s="43"/>
      <c r="IT60" s="43"/>
      <c r="IU60" s="43"/>
      <c r="IV60" s="43"/>
      <c r="IW60" s="43"/>
      <c r="IX60" s="43"/>
      <c r="IY60" s="43"/>
      <c r="IZ60" s="43"/>
      <c r="JA60" s="43"/>
      <c r="JB60" s="43"/>
      <c r="JC60" s="43"/>
      <c r="JD60" s="43"/>
      <c r="JE60" s="43"/>
      <c r="JF60" s="43"/>
      <c r="JG60" s="43"/>
      <c r="JH60" s="43"/>
      <c r="JI60" s="43"/>
      <c r="JJ60" s="43"/>
      <c r="JK60" s="43"/>
      <c r="JL60" s="43"/>
      <c r="JM60" s="43"/>
      <c r="JN60" s="43"/>
      <c r="JO60" s="43"/>
      <c r="JP60" s="43"/>
      <c r="JQ60" s="43"/>
      <c r="JR60" s="43"/>
      <c r="JS60" s="43"/>
      <c r="JT60" s="43"/>
      <c r="JU60" s="43"/>
      <c r="JV60" s="43"/>
      <c r="JW60" s="43"/>
      <c r="JX60" s="43"/>
      <c r="JY60" s="43"/>
      <c r="JZ60" s="43"/>
      <c r="KA60" s="43"/>
      <c r="KB60" s="43"/>
      <c r="KC60" s="43"/>
      <c r="KD60" s="43"/>
      <c r="KE60" s="43"/>
      <c r="KF60" s="43"/>
      <c r="KG60" s="43"/>
      <c r="KH60" s="43"/>
      <c r="KI60" s="43"/>
      <c r="KJ60" s="43"/>
      <c r="KK60" s="43"/>
      <c r="KL60" s="43"/>
      <c r="KM60" s="43"/>
      <c r="KN60" s="43"/>
      <c r="KO60" s="43"/>
      <c r="KP60" s="43"/>
      <c r="KQ60" s="43"/>
      <c r="KR60" s="43"/>
      <c r="KS60" s="43"/>
      <c r="KT60" s="43"/>
      <c r="KU60" s="43"/>
      <c r="KV60" s="43"/>
      <c r="KW60" s="43"/>
      <c r="KX60" s="43"/>
      <c r="KY60" s="43"/>
      <c r="KZ60" s="43"/>
      <c r="LA60" s="43"/>
      <c r="LB60" s="43"/>
      <c r="LC60" s="43"/>
      <c r="LD60" s="43"/>
      <c r="LE60" s="43"/>
      <c r="LF60" s="43"/>
      <c r="LG60" s="43"/>
      <c r="LH60" s="43"/>
      <c r="LI60" s="43"/>
      <c r="LJ60" s="43"/>
      <c r="LK60" s="43"/>
      <c r="LL60" s="43"/>
      <c r="LM60" s="43"/>
      <c r="LN60" s="43"/>
      <c r="LO60" s="43"/>
      <c r="LP60" s="43"/>
      <c r="LQ60" s="43"/>
      <c r="LR60" s="43"/>
      <c r="LS60" s="43"/>
      <c r="LT60" s="43"/>
      <c r="LU60" s="43"/>
      <c r="LV60" s="43"/>
      <c r="LW60" s="43"/>
      <c r="LX60" s="43"/>
      <c r="LY60" s="43"/>
      <c r="LZ60" s="43"/>
      <c r="MA60" s="43"/>
      <c r="MB60" s="43"/>
      <c r="MC60" s="43"/>
      <c r="MD60" s="43"/>
      <c r="ME60" s="43"/>
      <c r="MF60" s="43"/>
      <c r="MG60" s="43"/>
      <c r="MH60" s="43"/>
      <c r="MI60" s="43"/>
      <c r="MJ60" s="43"/>
      <c r="MK60" s="43"/>
      <c r="ML60" s="43"/>
      <c r="MM60" s="43"/>
      <c r="MN60" s="43"/>
      <c r="MO60" s="43"/>
      <c r="MP60" s="43"/>
      <c r="MQ60" s="43"/>
      <c r="MR60" s="43"/>
      <c r="MS60" s="43"/>
      <c r="MT60" s="43"/>
      <c r="MU60" s="43"/>
      <c r="MV60" s="43"/>
      <c r="MW60" s="43"/>
      <c r="MX60" s="43"/>
      <c r="MY60" s="43"/>
      <c r="MZ60" s="43"/>
      <c r="NA60" s="43"/>
      <c r="NB60" s="43"/>
      <c r="NC60" s="43"/>
      <c r="ND60" s="43"/>
      <c r="NE60" s="43"/>
      <c r="NF60" s="43"/>
      <c r="NG60" s="43"/>
      <c r="NH60" s="43"/>
      <c r="NI60" s="43"/>
      <c r="NJ60" s="43"/>
      <c r="NK60" s="43"/>
      <c r="NL60" s="43"/>
      <c r="NM60" s="43"/>
      <c r="NN60" s="43"/>
      <c r="NO60" s="43"/>
      <c r="NP60" s="43"/>
      <c r="NQ60" s="43"/>
      <c r="NR60" s="43"/>
      <c r="NS60" s="43"/>
      <c r="NT60" s="43"/>
      <c r="NU60" s="43"/>
      <c r="NV60" s="43"/>
      <c r="NW60" s="43"/>
      <c r="NX60" s="43"/>
      <c r="NY60" s="43"/>
      <c r="NZ60" s="43"/>
      <c r="OA60" s="43"/>
      <c r="OB60" s="43"/>
      <c r="OC60" s="43"/>
      <c r="OD60" s="43"/>
      <c r="OE60" s="43"/>
      <c r="OF60" s="43"/>
      <c r="OG60" s="43"/>
      <c r="OH60" s="43"/>
      <c r="OI60" s="43"/>
      <c r="OJ60" s="43"/>
      <c r="OK60" s="43"/>
      <c r="OL60" s="43"/>
      <c r="OM60" s="43"/>
      <c r="ON60" s="43"/>
      <c r="OO60" s="43"/>
      <c r="OP60" s="43"/>
      <c r="OQ60" s="43"/>
      <c r="OR60" s="43"/>
      <c r="OS60" s="43"/>
      <c r="OT60" s="43"/>
      <c r="OU60" s="43"/>
      <c r="OV60" s="43"/>
      <c r="OW60" s="43"/>
      <c r="OX60" s="43"/>
      <c r="OY60" s="43"/>
      <c r="OZ60" s="43"/>
      <c r="PA60" s="43"/>
      <c r="PB60" s="43"/>
      <c r="PC60" s="43"/>
      <c r="PD60" s="43"/>
      <c r="PE60" s="43"/>
      <c r="PF60" s="43"/>
      <c r="PG60" s="43"/>
      <c r="PH60" s="43"/>
      <c r="PI60" s="43"/>
      <c r="PJ60" s="43"/>
      <c r="PK60" s="43"/>
      <c r="PL60" s="43"/>
      <c r="PM60" s="43"/>
      <c r="PN60" s="43"/>
      <c r="PO60" s="43"/>
      <c r="PP60" s="43"/>
      <c r="PQ60" s="43"/>
      <c r="PR60" s="43"/>
      <c r="PS60" s="43"/>
      <c r="PT60" s="43"/>
      <c r="PU60" s="43"/>
      <c r="PV60" s="43"/>
      <c r="PW60" s="43"/>
      <c r="PX60" s="43"/>
      <c r="PY60" s="43"/>
      <c r="PZ60" s="43"/>
      <c r="QA60" s="43"/>
      <c r="QB60" s="43"/>
      <c r="QC60" s="43"/>
    </row>
    <row r="61" spans="1:445" x14ac:dyDescent="0.3">
      <c r="A61" s="85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46" t="str">
        <f t="shared" si="6"/>
        <v/>
      </c>
      <c r="U61" s="46" t="str">
        <f t="shared" si="7"/>
        <v/>
      </c>
      <c r="V61" s="72" t="str">
        <f t="shared" si="4"/>
        <v/>
      </c>
      <c r="X61" s="73" t="str">
        <f t="shared" si="8"/>
        <v/>
      </c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43"/>
      <c r="CY61" s="43"/>
      <c r="CZ61" s="43"/>
      <c r="DA61" s="43"/>
      <c r="DB61" s="43"/>
      <c r="DC61" s="43"/>
      <c r="DD61" s="43"/>
      <c r="DE61" s="43"/>
      <c r="DF61" s="43"/>
      <c r="DG61" s="43"/>
      <c r="DH61" s="43"/>
      <c r="DI61" s="43"/>
      <c r="DJ61" s="43"/>
      <c r="DK61" s="43"/>
      <c r="DL61" s="43"/>
      <c r="DM61" s="43"/>
      <c r="DN61" s="43"/>
      <c r="DO61" s="43"/>
      <c r="DP61" s="43"/>
      <c r="DQ61" s="43"/>
      <c r="DR61" s="43"/>
      <c r="DS61" s="43"/>
      <c r="DT61" s="43"/>
      <c r="DU61" s="43"/>
      <c r="DV61" s="43"/>
      <c r="DW61" s="43"/>
      <c r="DX61" s="43"/>
      <c r="DY61" s="43"/>
      <c r="DZ61" s="43"/>
      <c r="EA61" s="43"/>
      <c r="EB61" s="43"/>
      <c r="EC61" s="43"/>
      <c r="ED61" s="43"/>
      <c r="EE61" s="43"/>
      <c r="EF61" s="43"/>
      <c r="EG61" s="43"/>
      <c r="EH61" s="43"/>
      <c r="EI61" s="43"/>
      <c r="EJ61" s="43"/>
      <c r="EK61" s="43"/>
      <c r="EL61" s="43"/>
      <c r="EM61" s="43"/>
      <c r="EN61" s="43"/>
      <c r="EO61" s="43"/>
      <c r="EP61" s="43"/>
      <c r="EQ61" s="43"/>
      <c r="ER61" s="43"/>
      <c r="ES61" s="43"/>
      <c r="ET61" s="43"/>
      <c r="EU61" s="43"/>
      <c r="EV61" s="43"/>
      <c r="EW61" s="43"/>
      <c r="EX61" s="43"/>
      <c r="EY61" s="43"/>
      <c r="EZ61" s="43"/>
      <c r="FA61" s="43"/>
      <c r="FB61" s="43"/>
      <c r="FC61" s="43"/>
      <c r="FD61" s="43"/>
      <c r="FE61" s="43"/>
      <c r="FF61" s="43"/>
      <c r="FG61" s="43"/>
      <c r="FH61" s="43"/>
      <c r="FI61" s="43"/>
      <c r="FJ61" s="43"/>
      <c r="FK61" s="43"/>
      <c r="FL61" s="43"/>
      <c r="FM61" s="43"/>
      <c r="FN61" s="43"/>
      <c r="FO61" s="43"/>
      <c r="FP61" s="43"/>
      <c r="FQ61" s="43"/>
      <c r="FR61" s="43"/>
      <c r="FS61" s="43"/>
      <c r="FT61" s="43"/>
      <c r="FU61" s="43"/>
      <c r="FV61" s="43"/>
      <c r="FW61" s="43"/>
      <c r="FX61" s="43"/>
      <c r="FY61" s="43"/>
      <c r="FZ61" s="43"/>
      <c r="GA61" s="43"/>
      <c r="GB61" s="43"/>
      <c r="GC61" s="43"/>
      <c r="GD61" s="43"/>
      <c r="GE61" s="43"/>
      <c r="GF61" s="43"/>
      <c r="GG61" s="43"/>
      <c r="GH61" s="43"/>
      <c r="GI61" s="43"/>
      <c r="GJ61" s="43"/>
      <c r="GK61" s="43"/>
      <c r="GL61" s="43"/>
      <c r="GM61" s="43"/>
      <c r="GN61" s="43"/>
      <c r="GO61" s="43"/>
      <c r="GP61" s="43"/>
      <c r="GQ61" s="43"/>
      <c r="GR61" s="43"/>
      <c r="GS61" s="43"/>
      <c r="GT61" s="43"/>
      <c r="GU61" s="43"/>
      <c r="GV61" s="43"/>
      <c r="GW61" s="43"/>
      <c r="GX61" s="43"/>
      <c r="GY61" s="43"/>
      <c r="GZ61" s="43"/>
      <c r="HA61" s="43"/>
      <c r="HB61" s="43"/>
      <c r="HC61" s="43"/>
      <c r="HD61" s="43"/>
      <c r="HE61" s="43"/>
      <c r="HF61" s="43"/>
      <c r="HG61" s="43"/>
      <c r="HH61" s="43"/>
      <c r="HI61" s="43"/>
      <c r="HJ61" s="43"/>
      <c r="HK61" s="43"/>
      <c r="HL61" s="43"/>
      <c r="HM61" s="43"/>
      <c r="HN61" s="43"/>
      <c r="HO61" s="43"/>
      <c r="HP61" s="43"/>
      <c r="HQ61" s="43"/>
      <c r="HR61" s="43"/>
      <c r="HS61" s="43"/>
      <c r="HT61" s="43"/>
      <c r="HU61" s="43"/>
      <c r="HV61" s="43"/>
      <c r="HW61" s="43"/>
      <c r="HX61" s="43"/>
      <c r="HY61" s="43"/>
      <c r="HZ61" s="43"/>
      <c r="IA61" s="43"/>
      <c r="IB61" s="43"/>
      <c r="IC61" s="43"/>
      <c r="ID61" s="43"/>
      <c r="IE61" s="43"/>
      <c r="IF61" s="43"/>
      <c r="IG61" s="43"/>
      <c r="IH61" s="43"/>
      <c r="II61" s="43"/>
      <c r="IJ61" s="43"/>
      <c r="IK61" s="43"/>
      <c r="IL61" s="43"/>
      <c r="IM61" s="43"/>
      <c r="IN61" s="43"/>
      <c r="IO61" s="43"/>
      <c r="IP61" s="43"/>
      <c r="IQ61" s="43"/>
      <c r="IR61" s="43"/>
      <c r="IS61" s="43"/>
      <c r="IT61" s="43"/>
      <c r="IU61" s="43"/>
      <c r="IV61" s="43"/>
      <c r="IW61" s="43"/>
      <c r="IX61" s="43"/>
      <c r="IY61" s="43"/>
      <c r="IZ61" s="43"/>
      <c r="JA61" s="43"/>
      <c r="JB61" s="43"/>
      <c r="JC61" s="43"/>
      <c r="JD61" s="43"/>
      <c r="JE61" s="43"/>
      <c r="JF61" s="43"/>
      <c r="JG61" s="43"/>
      <c r="JH61" s="43"/>
      <c r="JI61" s="43"/>
      <c r="JJ61" s="43"/>
      <c r="JK61" s="43"/>
      <c r="JL61" s="43"/>
      <c r="JM61" s="43"/>
      <c r="JN61" s="43"/>
      <c r="JO61" s="43"/>
      <c r="JP61" s="43"/>
      <c r="JQ61" s="43"/>
      <c r="JR61" s="43"/>
      <c r="JS61" s="43"/>
      <c r="JT61" s="43"/>
      <c r="JU61" s="43"/>
      <c r="JV61" s="43"/>
      <c r="JW61" s="43"/>
      <c r="JX61" s="43"/>
      <c r="JY61" s="43"/>
      <c r="JZ61" s="43"/>
      <c r="KA61" s="43"/>
      <c r="KB61" s="43"/>
      <c r="KC61" s="43"/>
      <c r="KD61" s="43"/>
      <c r="KE61" s="43"/>
      <c r="KF61" s="43"/>
      <c r="KG61" s="43"/>
      <c r="KH61" s="43"/>
      <c r="KI61" s="43"/>
      <c r="KJ61" s="43"/>
      <c r="KK61" s="43"/>
      <c r="KL61" s="43"/>
      <c r="KM61" s="43"/>
      <c r="KN61" s="43"/>
      <c r="KO61" s="43"/>
      <c r="KP61" s="43"/>
      <c r="KQ61" s="43"/>
      <c r="KR61" s="43"/>
      <c r="KS61" s="43"/>
      <c r="KT61" s="43"/>
      <c r="KU61" s="43"/>
      <c r="KV61" s="43"/>
      <c r="KW61" s="43"/>
      <c r="KX61" s="43"/>
      <c r="KY61" s="43"/>
      <c r="KZ61" s="43"/>
      <c r="LA61" s="43"/>
      <c r="LB61" s="43"/>
      <c r="LC61" s="43"/>
      <c r="LD61" s="43"/>
      <c r="LE61" s="43"/>
      <c r="LF61" s="43"/>
      <c r="LG61" s="43"/>
      <c r="LH61" s="43"/>
      <c r="LI61" s="43"/>
      <c r="LJ61" s="43"/>
      <c r="LK61" s="43"/>
      <c r="LL61" s="43"/>
      <c r="LM61" s="43"/>
      <c r="LN61" s="43"/>
      <c r="LO61" s="43"/>
      <c r="LP61" s="43"/>
      <c r="LQ61" s="43"/>
      <c r="LR61" s="43"/>
      <c r="LS61" s="43"/>
      <c r="LT61" s="43"/>
      <c r="LU61" s="43"/>
      <c r="LV61" s="43"/>
      <c r="LW61" s="43"/>
      <c r="LX61" s="43"/>
      <c r="LY61" s="43"/>
      <c r="LZ61" s="43"/>
      <c r="MA61" s="43"/>
      <c r="MB61" s="43"/>
      <c r="MC61" s="43"/>
      <c r="MD61" s="43"/>
      <c r="ME61" s="43"/>
      <c r="MF61" s="43"/>
      <c r="MG61" s="43"/>
      <c r="MH61" s="43"/>
      <c r="MI61" s="43"/>
      <c r="MJ61" s="43"/>
      <c r="MK61" s="43"/>
      <c r="ML61" s="43"/>
      <c r="MM61" s="43"/>
      <c r="MN61" s="43"/>
      <c r="MO61" s="43"/>
      <c r="MP61" s="43"/>
      <c r="MQ61" s="43"/>
      <c r="MR61" s="43"/>
      <c r="MS61" s="43"/>
      <c r="MT61" s="43"/>
      <c r="MU61" s="43"/>
      <c r="MV61" s="43"/>
      <c r="MW61" s="43"/>
      <c r="MX61" s="43"/>
      <c r="MY61" s="43"/>
      <c r="MZ61" s="43"/>
      <c r="NA61" s="43"/>
      <c r="NB61" s="43"/>
      <c r="NC61" s="43"/>
      <c r="ND61" s="43"/>
      <c r="NE61" s="43"/>
      <c r="NF61" s="43"/>
      <c r="NG61" s="43"/>
      <c r="NH61" s="43"/>
      <c r="NI61" s="43"/>
      <c r="NJ61" s="43"/>
      <c r="NK61" s="43"/>
      <c r="NL61" s="43"/>
      <c r="NM61" s="43"/>
      <c r="NN61" s="43"/>
      <c r="NO61" s="43"/>
      <c r="NP61" s="43"/>
      <c r="NQ61" s="43"/>
      <c r="NR61" s="43"/>
      <c r="NS61" s="43"/>
      <c r="NT61" s="43"/>
      <c r="NU61" s="43"/>
      <c r="NV61" s="43"/>
      <c r="NW61" s="43"/>
      <c r="NX61" s="43"/>
      <c r="NY61" s="43"/>
      <c r="NZ61" s="43"/>
      <c r="OA61" s="43"/>
      <c r="OB61" s="43"/>
      <c r="OC61" s="43"/>
      <c r="OD61" s="43"/>
      <c r="OE61" s="43"/>
      <c r="OF61" s="43"/>
      <c r="OG61" s="43"/>
      <c r="OH61" s="43"/>
      <c r="OI61" s="43"/>
      <c r="OJ61" s="43"/>
      <c r="OK61" s="43"/>
      <c r="OL61" s="43"/>
      <c r="OM61" s="43"/>
      <c r="ON61" s="43"/>
      <c r="OO61" s="43"/>
      <c r="OP61" s="43"/>
      <c r="OQ61" s="43"/>
      <c r="OR61" s="43"/>
      <c r="OS61" s="43"/>
      <c r="OT61" s="43"/>
      <c r="OU61" s="43"/>
      <c r="OV61" s="43"/>
      <c r="OW61" s="43"/>
      <c r="OX61" s="43"/>
      <c r="OY61" s="43"/>
      <c r="OZ61" s="43"/>
      <c r="PA61" s="43"/>
      <c r="PB61" s="43"/>
      <c r="PC61" s="43"/>
      <c r="PD61" s="43"/>
      <c r="PE61" s="43"/>
      <c r="PF61" s="43"/>
      <c r="PG61" s="43"/>
      <c r="PH61" s="43"/>
      <c r="PI61" s="43"/>
      <c r="PJ61" s="43"/>
      <c r="PK61" s="43"/>
      <c r="PL61" s="43"/>
      <c r="PM61" s="43"/>
      <c r="PN61" s="43"/>
      <c r="PO61" s="43"/>
      <c r="PP61" s="43"/>
      <c r="PQ61" s="43"/>
      <c r="PR61" s="43"/>
      <c r="PS61" s="43"/>
      <c r="PT61" s="43"/>
      <c r="PU61" s="43"/>
      <c r="PV61" s="43"/>
      <c r="PW61" s="43"/>
      <c r="PX61" s="43"/>
      <c r="PY61" s="43"/>
      <c r="PZ61" s="43"/>
      <c r="QA61" s="43"/>
      <c r="QB61" s="43"/>
      <c r="QC61" s="43"/>
    </row>
    <row r="62" spans="1:445" x14ac:dyDescent="0.3">
      <c r="A62" s="85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46" t="str">
        <f t="shared" si="6"/>
        <v/>
      </c>
      <c r="U62" s="46" t="str">
        <f t="shared" si="7"/>
        <v/>
      </c>
      <c r="V62" s="72" t="str">
        <f t="shared" si="4"/>
        <v/>
      </c>
      <c r="W62" s="48"/>
      <c r="X62" s="73" t="str">
        <f t="shared" si="8"/>
        <v/>
      </c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43"/>
      <c r="CY62" s="43"/>
      <c r="CZ62" s="43"/>
      <c r="DA62" s="43"/>
      <c r="DB62" s="43"/>
      <c r="DC62" s="43"/>
      <c r="DD62" s="43"/>
      <c r="DE62" s="43"/>
      <c r="DF62" s="43"/>
      <c r="DG62" s="43"/>
      <c r="DH62" s="43"/>
      <c r="DI62" s="43"/>
      <c r="DJ62" s="43"/>
      <c r="DK62" s="43"/>
      <c r="DL62" s="43"/>
      <c r="DM62" s="43"/>
      <c r="DN62" s="43"/>
      <c r="DO62" s="43"/>
      <c r="DP62" s="43"/>
      <c r="DQ62" s="43"/>
      <c r="DR62" s="43"/>
      <c r="DS62" s="43"/>
      <c r="DT62" s="43"/>
      <c r="DU62" s="43"/>
      <c r="DV62" s="43"/>
      <c r="DW62" s="43"/>
      <c r="DX62" s="43"/>
      <c r="DY62" s="43"/>
      <c r="DZ62" s="43"/>
      <c r="EA62" s="43"/>
      <c r="EB62" s="43"/>
      <c r="EC62" s="43"/>
      <c r="ED62" s="43"/>
      <c r="EE62" s="43"/>
      <c r="EF62" s="43"/>
      <c r="EG62" s="43"/>
      <c r="EH62" s="43"/>
      <c r="EI62" s="43"/>
      <c r="EJ62" s="43"/>
      <c r="EK62" s="43"/>
      <c r="EL62" s="43"/>
      <c r="EM62" s="43"/>
      <c r="EN62" s="43"/>
      <c r="EO62" s="43"/>
      <c r="EP62" s="43"/>
      <c r="EQ62" s="43"/>
      <c r="ER62" s="43"/>
      <c r="ES62" s="43"/>
      <c r="ET62" s="43"/>
      <c r="EU62" s="43"/>
      <c r="EV62" s="43"/>
      <c r="EW62" s="43"/>
      <c r="EX62" s="43"/>
      <c r="EY62" s="43"/>
      <c r="EZ62" s="43"/>
      <c r="FA62" s="43"/>
      <c r="FB62" s="43"/>
      <c r="FC62" s="43"/>
      <c r="FD62" s="43"/>
      <c r="FE62" s="43"/>
      <c r="FF62" s="43"/>
      <c r="FG62" s="43"/>
      <c r="FH62" s="43"/>
      <c r="FI62" s="43"/>
      <c r="FJ62" s="43"/>
      <c r="FK62" s="43"/>
      <c r="FL62" s="43"/>
      <c r="FM62" s="43"/>
      <c r="FN62" s="43"/>
      <c r="FO62" s="43"/>
      <c r="FP62" s="43"/>
      <c r="FQ62" s="43"/>
      <c r="FR62" s="43"/>
      <c r="FS62" s="43"/>
      <c r="FT62" s="43"/>
      <c r="FU62" s="43"/>
      <c r="FV62" s="43"/>
      <c r="FW62" s="43"/>
      <c r="FX62" s="43"/>
      <c r="FY62" s="43"/>
      <c r="FZ62" s="43"/>
      <c r="GA62" s="43"/>
      <c r="GB62" s="43"/>
      <c r="GC62" s="43"/>
      <c r="GD62" s="43"/>
      <c r="GE62" s="43"/>
      <c r="GF62" s="43"/>
      <c r="GG62" s="43"/>
      <c r="GH62" s="43"/>
      <c r="GI62" s="43"/>
      <c r="GJ62" s="43"/>
      <c r="GK62" s="43"/>
      <c r="GL62" s="43"/>
      <c r="GM62" s="43"/>
      <c r="GN62" s="43"/>
      <c r="GO62" s="43"/>
      <c r="GP62" s="43"/>
      <c r="GQ62" s="43"/>
      <c r="GR62" s="43"/>
      <c r="GS62" s="43"/>
      <c r="GT62" s="43"/>
      <c r="GU62" s="43"/>
      <c r="GV62" s="43"/>
      <c r="GW62" s="43"/>
      <c r="GX62" s="43"/>
      <c r="GY62" s="43"/>
      <c r="GZ62" s="43"/>
      <c r="HA62" s="43"/>
      <c r="HB62" s="43"/>
      <c r="HC62" s="43"/>
      <c r="HD62" s="43"/>
      <c r="HE62" s="43"/>
      <c r="HF62" s="43"/>
      <c r="HG62" s="43"/>
      <c r="HH62" s="43"/>
      <c r="HI62" s="43"/>
      <c r="HJ62" s="43"/>
      <c r="HK62" s="43"/>
      <c r="HL62" s="43"/>
      <c r="HM62" s="43"/>
      <c r="HN62" s="43"/>
      <c r="HO62" s="43"/>
      <c r="HP62" s="43"/>
      <c r="HQ62" s="43"/>
      <c r="HR62" s="43"/>
      <c r="HS62" s="43"/>
      <c r="HT62" s="43"/>
      <c r="HU62" s="43"/>
      <c r="HV62" s="43"/>
      <c r="HW62" s="43"/>
      <c r="HX62" s="43"/>
      <c r="HY62" s="43"/>
      <c r="HZ62" s="43"/>
      <c r="IA62" s="43"/>
      <c r="IB62" s="43"/>
      <c r="IC62" s="43"/>
      <c r="ID62" s="43"/>
      <c r="IE62" s="43"/>
      <c r="IF62" s="43"/>
      <c r="IG62" s="43"/>
      <c r="IH62" s="43"/>
      <c r="II62" s="43"/>
      <c r="IJ62" s="43"/>
      <c r="IK62" s="43"/>
      <c r="IL62" s="43"/>
      <c r="IM62" s="43"/>
      <c r="IN62" s="43"/>
      <c r="IO62" s="43"/>
      <c r="IP62" s="43"/>
      <c r="IQ62" s="43"/>
      <c r="IR62" s="43"/>
      <c r="IS62" s="43"/>
      <c r="IT62" s="43"/>
      <c r="IU62" s="43"/>
      <c r="IV62" s="43"/>
      <c r="IW62" s="43"/>
      <c r="IX62" s="43"/>
      <c r="IY62" s="43"/>
      <c r="IZ62" s="43"/>
      <c r="JA62" s="43"/>
      <c r="JB62" s="43"/>
      <c r="JC62" s="43"/>
      <c r="JD62" s="43"/>
      <c r="JE62" s="43"/>
      <c r="JF62" s="43"/>
      <c r="JG62" s="43"/>
      <c r="JH62" s="43"/>
      <c r="JI62" s="43"/>
      <c r="JJ62" s="43"/>
      <c r="JK62" s="43"/>
      <c r="JL62" s="43"/>
      <c r="JM62" s="43"/>
      <c r="JN62" s="43"/>
      <c r="JO62" s="43"/>
      <c r="JP62" s="43"/>
      <c r="JQ62" s="43"/>
      <c r="JR62" s="43"/>
      <c r="JS62" s="43"/>
      <c r="JT62" s="43"/>
      <c r="JU62" s="43"/>
      <c r="JV62" s="43"/>
      <c r="JW62" s="43"/>
      <c r="JX62" s="43"/>
      <c r="JY62" s="43"/>
      <c r="JZ62" s="43"/>
      <c r="KA62" s="43"/>
      <c r="KB62" s="43"/>
      <c r="KC62" s="43"/>
      <c r="KD62" s="43"/>
      <c r="KE62" s="43"/>
      <c r="KF62" s="43"/>
      <c r="KG62" s="43"/>
      <c r="KH62" s="43"/>
      <c r="KI62" s="43"/>
      <c r="KJ62" s="43"/>
      <c r="KK62" s="43"/>
      <c r="KL62" s="43"/>
      <c r="KM62" s="43"/>
      <c r="KN62" s="43"/>
      <c r="KO62" s="43"/>
      <c r="KP62" s="43"/>
      <c r="KQ62" s="43"/>
      <c r="KR62" s="43"/>
      <c r="KS62" s="43"/>
      <c r="KT62" s="43"/>
      <c r="KU62" s="43"/>
      <c r="KV62" s="43"/>
      <c r="KW62" s="43"/>
      <c r="KX62" s="43"/>
      <c r="KY62" s="43"/>
      <c r="KZ62" s="43"/>
      <c r="LA62" s="43"/>
      <c r="LB62" s="43"/>
      <c r="LC62" s="43"/>
      <c r="LD62" s="43"/>
      <c r="LE62" s="43"/>
      <c r="LF62" s="43"/>
      <c r="LG62" s="43"/>
      <c r="LH62" s="43"/>
      <c r="LI62" s="43"/>
      <c r="LJ62" s="43"/>
      <c r="LK62" s="43"/>
      <c r="LL62" s="43"/>
      <c r="LM62" s="43"/>
      <c r="LN62" s="43"/>
      <c r="LO62" s="43"/>
      <c r="LP62" s="43"/>
      <c r="LQ62" s="43"/>
      <c r="LR62" s="43"/>
      <c r="LS62" s="43"/>
      <c r="LT62" s="43"/>
      <c r="LU62" s="43"/>
      <c r="LV62" s="43"/>
      <c r="LW62" s="43"/>
      <c r="LX62" s="43"/>
      <c r="LY62" s="43"/>
      <c r="LZ62" s="43"/>
      <c r="MA62" s="43"/>
      <c r="MB62" s="43"/>
      <c r="MC62" s="43"/>
      <c r="MD62" s="43"/>
      <c r="ME62" s="43"/>
      <c r="MF62" s="43"/>
      <c r="MG62" s="43"/>
      <c r="MH62" s="43"/>
      <c r="MI62" s="43"/>
      <c r="MJ62" s="43"/>
      <c r="MK62" s="43"/>
      <c r="ML62" s="43"/>
      <c r="MM62" s="43"/>
      <c r="MN62" s="43"/>
      <c r="MO62" s="43"/>
      <c r="MP62" s="43"/>
      <c r="MQ62" s="43"/>
      <c r="MR62" s="43"/>
      <c r="MS62" s="43"/>
      <c r="MT62" s="43"/>
      <c r="MU62" s="43"/>
      <c r="MV62" s="43"/>
      <c r="MW62" s="43"/>
      <c r="MX62" s="43"/>
      <c r="MY62" s="43"/>
      <c r="MZ62" s="43"/>
      <c r="NA62" s="43"/>
      <c r="NB62" s="43"/>
      <c r="NC62" s="43"/>
      <c r="ND62" s="43"/>
      <c r="NE62" s="43"/>
      <c r="NF62" s="43"/>
      <c r="NG62" s="43"/>
      <c r="NH62" s="43"/>
      <c r="NI62" s="43"/>
      <c r="NJ62" s="43"/>
      <c r="NK62" s="43"/>
      <c r="NL62" s="43"/>
      <c r="NM62" s="43"/>
      <c r="NN62" s="43"/>
      <c r="NO62" s="43"/>
      <c r="NP62" s="43"/>
      <c r="NQ62" s="43"/>
      <c r="NR62" s="43"/>
      <c r="NS62" s="43"/>
      <c r="NT62" s="43"/>
      <c r="NU62" s="43"/>
      <c r="NV62" s="43"/>
      <c r="NW62" s="43"/>
      <c r="NX62" s="43"/>
      <c r="NY62" s="43"/>
      <c r="NZ62" s="43"/>
      <c r="OA62" s="43"/>
      <c r="OB62" s="43"/>
      <c r="OC62" s="43"/>
      <c r="OD62" s="43"/>
      <c r="OE62" s="43"/>
      <c r="OF62" s="43"/>
      <c r="OG62" s="43"/>
      <c r="OH62" s="43"/>
      <c r="OI62" s="43"/>
      <c r="OJ62" s="43"/>
      <c r="OK62" s="43"/>
      <c r="OL62" s="43"/>
      <c r="OM62" s="43"/>
      <c r="ON62" s="43"/>
      <c r="OO62" s="43"/>
      <c r="OP62" s="43"/>
      <c r="OQ62" s="43"/>
      <c r="OR62" s="43"/>
      <c r="OS62" s="43"/>
      <c r="OT62" s="43"/>
      <c r="OU62" s="43"/>
      <c r="OV62" s="43"/>
      <c r="OW62" s="43"/>
      <c r="OX62" s="43"/>
      <c r="OY62" s="43"/>
      <c r="OZ62" s="43"/>
      <c r="PA62" s="43"/>
      <c r="PB62" s="43"/>
      <c r="PC62" s="43"/>
      <c r="PD62" s="43"/>
      <c r="PE62" s="43"/>
      <c r="PF62" s="43"/>
      <c r="PG62" s="43"/>
      <c r="PH62" s="43"/>
      <c r="PI62" s="43"/>
      <c r="PJ62" s="43"/>
      <c r="PK62" s="43"/>
      <c r="PL62" s="43"/>
      <c r="PM62" s="43"/>
      <c r="PN62" s="43"/>
      <c r="PO62" s="43"/>
      <c r="PP62" s="43"/>
      <c r="PQ62" s="43"/>
      <c r="PR62" s="43"/>
      <c r="PS62" s="43"/>
      <c r="PT62" s="43"/>
      <c r="PU62" s="43"/>
      <c r="PV62" s="43"/>
      <c r="PW62" s="43"/>
      <c r="PX62" s="43"/>
      <c r="PY62" s="43"/>
      <c r="PZ62" s="43"/>
      <c r="QA62" s="43"/>
      <c r="QB62" s="43"/>
      <c r="QC62" s="43"/>
    </row>
    <row r="63" spans="1:445" ht="18" customHeight="1" x14ac:dyDescent="0.3">
      <c r="A63" s="85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46" t="str">
        <f t="shared" si="6"/>
        <v/>
      </c>
      <c r="U63" s="46" t="str">
        <f t="shared" si="7"/>
        <v/>
      </c>
      <c r="V63" s="72" t="str">
        <f t="shared" si="4"/>
        <v/>
      </c>
      <c r="W63" s="48"/>
      <c r="X63" s="73" t="str">
        <f t="shared" si="8"/>
        <v/>
      </c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43"/>
      <c r="CY63" s="43"/>
      <c r="CZ63" s="43"/>
      <c r="DA63" s="43"/>
      <c r="DB63" s="43"/>
      <c r="DC63" s="43"/>
      <c r="DD63" s="43"/>
      <c r="DE63" s="43"/>
      <c r="DF63" s="43"/>
      <c r="DG63" s="43"/>
      <c r="DH63" s="43"/>
      <c r="DI63" s="43"/>
      <c r="DJ63" s="43"/>
      <c r="DK63" s="43"/>
      <c r="DL63" s="43"/>
      <c r="DM63" s="43"/>
      <c r="DN63" s="43"/>
      <c r="DO63" s="43"/>
      <c r="DP63" s="43"/>
      <c r="DQ63" s="43"/>
      <c r="DR63" s="43"/>
      <c r="DS63" s="43"/>
      <c r="DT63" s="43"/>
      <c r="DU63" s="43"/>
      <c r="DV63" s="43"/>
      <c r="DW63" s="43"/>
      <c r="DX63" s="43"/>
      <c r="DY63" s="43"/>
      <c r="DZ63" s="43"/>
      <c r="EA63" s="43"/>
      <c r="EB63" s="43"/>
      <c r="EC63" s="43"/>
      <c r="ED63" s="43"/>
      <c r="EE63" s="43"/>
      <c r="EF63" s="43"/>
      <c r="EG63" s="43"/>
      <c r="EH63" s="43"/>
      <c r="EI63" s="43"/>
      <c r="EJ63" s="43"/>
      <c r="EK63" s="43"/>
      <c r="EL63" s="43"/>
      <c r="EM63" s="43"/>
      <c r="EN63" s="43"/>
      <c r="EO63" s="43"/>
      <c r="EP63" s="43"/>
      <c r="EQ63" s="43"/>
      <c r="ER63" s="43"/>
      <c r="ES63" s="43"/>
      <c r="ET63" s="43"/>
      <c r="EU63" s="43"/>
      <c r="EV63" s="43"/>
      <c r="EW63" s="43"/>
      <c r="EX63" s="43"/>
      <c r="EY63" s="43"/>
      <c r="EZ63" s="43"/>
      <c r="FA63" s="43"/>
      <c r="FB63" s="43"/>
      <c r="FC63" s="43"/>
      <c r="FD63" s="43"/>
      <c r="FE63" s="43"/>
      <c r="FF63" s="43"/>
      <c r="FG63" s="43"/>
      <c r="FH63" s="43"/>
      <c r="FI63" s="43"/>
      <c r="FJ63" s="43"/>
      <c r="FK63" s="43"/>
      <c r="FL63" s="43"/>
      <c r="FM63" s="43"/>
      <c r="FN63" s="43"/>
      <c r="FO63" s="43"/>
      <c r="FP63" s="43"/>
      <c r="FQ63" s="43"/>
      <c r="FR63" s="43"/>
      <c r="FS63" s="43"/>
      <c r="FT63" s="43"/>
      <c r="FU63" s="43"/>
      <c r="FV63" s="43"/>
      <c r="FW63" s="43"/>
      <c r="FX63" s="43"/>
      <c r="FY63" s="43"/>
      <c r="FZ63" s="43"/>
      <c r="GA63" s="43"/>
      <c r="GB63" s="43"/>
      <c r="GC63" s="43"/>
      <c r="GD63" s="43"/>
      <c r="GE63" s="43"/>
      <c r="GF63" s="43"/>
      <c r="GG63" s="43"/>
      <c r="GH63" s="43"/>
      <c r="GI63" s="43"/>
      <c r="GJ63" s="43"/>
      <c r="GK63" s="43"/>
      <c r="GL63" s="43"/>
      <c r="GM63" s="43"/>
      <c r="GN63" s="43"/>
      <c r="GO63" s="43"/>
      <c r="GP63" s="43"/>
      <c r="GQ63" s="43"/>
      <c r="GR63" s="43"/>
      <c r="GS63" s="43"/>
      <c r="GT63" s="43"/>
      <c r="GU63" s="43"/>
      <c r="GV63" s="43"/>
      <c r="GW63" s="43"/>
      <c r="GX63" s="43"/>
      <c r="GY63" s="43"/>
      <c r="GZ63" s="43"/>
      <c r="HA63" s="43"/>
      <c r="HB63" s="43"/>
      <c r="HC63" s="43"/>
      <c r="HD63" s="43"/>
      <c r="HE63" s="43"/>
      <c r="HF63" s="43"/>
      <c r="HG63" s="43"/>
      <c r="HH63" s="43"/>
      <c r="HI63" s="43"/>
      <c r="HJ63" s="43"/>
      <c r="HK63" s="43"/>
      <c r="HL63" s="43"/>
      <c r="HM63" s="43"/>
      <c r="HN63" s="43"/>
      <c r="HO63" s="43"/>
      <c r="HP63" s="43"/>
      <c r="HQ63" s="43"/>
      <c r="HR63" s="43"/>
      <c r="HS63" s="43"/>
      <c r="HT63" s="43"/>
      <c r="HU63" s="43"/>
      <c r="HV63" s="43"/>
      <c r="HW63" s="43"/>
      <c r="HX63" s="43"/>
      <c r="HY63" s="43"/>
      <c r="HZ63" s="43"/>
      <c r="IA63" s="43"/>
      <c r="IB63" s="43"/>
      <c r="IC63" s="43"/>
      <c r="ID63" s="43"/>
      <c r="IE63" s="43"/>
      <c r="IF63" s="43"/>
      <c r="IG63" s="43"/>
      <c r="IH63" s="43"/>
      <c r="II63" s="43"/>
      <c r="IJ63" s="43"/>
      <c r="IK63" s="43"/>
      <c r="IL63" s="43"/>
      <c r="IM63" s="43"/>
      <c r="IN63" s="43"/>
      <c r="IO63" s="43"/>
      <c r="IP63" s="43"/>
      <c r="IQ63" s="43"/>
      <c r="IR63" s="43"/>
      <c r="IS63" s="43"/>
      <c r="IT63" s="43"/>
      <c r="IU63" s="43"/>
      <c r="IV63" s="43"/>
      <c r="IW63" s="43"/>
      <c r="IX63" s="43"/>
      <c r="IY63" s="43"/>
      <c r="IZ63" s="43"/>
      <c r="JA63" s="43"/>
      <c r="JB63" s="43"/>
      <c r="JC63" s="43"/>
      <c r="JD63" s="43"/>
      <c r="JE63" s="43"/>
      <c r="JF63" s="43"/>
      <c r="JG63" s="43"/>
      <c r="JH63" s="43"/>
      <c r="JI63" s="43"/>
      <c r="JJ63" s="43"/>
      <c r="JK63" s="43"/>
      <c r="JL63" s="43"/>
      <c r="JM63" s="43"/>
      <c r="JN63" s="43"/>
      <c r="JO63" s="43"/>
      <c r="JP63" s="43"/>
      <c r="JQ63" s="43"/>
      <c r="JR63" s="43"/>
      <c r="JS63" s="43"/>
      <c r="JT63" s="43"/>
      <c r="JU63" s="43"/>
      <c r="JV63" s="43"/>
      <c r="JW63" s="43"/>
      <c r="JX63" s="43"/>
      <c r="JY63" s="43"/>
      <c r="JZ63" s="43"/>
      <c r="KA63" s="43"/>
      <c r="KB63" s="43"/>
      <c r="KC63" s="43"/>
      <c r="KD63" s="43"/>
      <c r="KE63" s="43"/>
      <c r="KF63" s="43"/>
      <c r="KG63" s="43"/>
      <c r="KH63" s="43"/>
      <c r="KI63" s="43"/>
      <c r="KJ63" s="43"/>
      <c r="KK63" s="43"/>
      <c r="KL63" s="43"/>
      <c r="KM63" s="43"/>
      <c r="KN63" s="43"/>
      <c r="KO63" s="43"/>
      <c r="KP63" s="43"/>
      <c r="KQ63" s="43"/>
      <c r="KR63" s="43"/>
      <c r="KS63" s="43"/>
      <c r="KT63" s="43"/>
      <c r="KU63" s="43"/>
      <c r="KV63" s="43"/>
      <c r="KW63" s="43"/>
      <c r="KX63" s="43"/>
      <c r="KY63" s="43"/>
      <c r="KZ63" s="43"/>
      <c r="LA63" s="43"/>
      <c r="LB63" s="43"/>
      <c r="LC63" s="43"/>
      <c r="LD63" s="43"/>
      <c r="LE63" s="43"/>
      <c r="LF63" s="43"/>
      <c r="LG63" s="43"/>
      <c r="LH63" s="43"/>
      <c r="LI63" s="43"/>
      <c r="LJ63" s="43"/>
      <c r="LK63" s="43"/>
      <c r="LL63" s="43"/>
      <c r="LM63" s="43"/>
      <c r="LN63" s="43"/>
      <c r="LO63" s="43"/>
      <c r="LP63" s="43"/>
      <c r="LQ63" s="43"/>
      <c r="LR63" s="43"/>
      <c r="LS63" s="43"/>
      <c r="LT63" s="43"/>
      <c r="LU63" s="43"/>
      <c r="LV63" s="43"/>
      <c r="LW63" s="43"/>
      <c r="LX63" s="43"/>
      <c r="LY63" s="43"/>
      <c r="LZ63" s="43"/>
      <c r="MA63" s="43"/>
      <c r="MB63" s="43"/>
      <c r="MC63" s="43"/>
      <c r="MD63" s="43"/>
      <c r="ME63" s="43"/>
      <c r="MF63" s="43"/>
      <c r="MG63" s="43"/>
      <c r="MH63" s="43"/>
      <c r="MI63" s="43"/>
      <c r="MJ63" s="43"/>
      <c r="MK63" s="43"/>
      <c r="ML63" s="43"/>
      <c r="MM63" s="43"/>
      <c r="MN63" s="43"/>
      <c r="MO63" s="43"/>
      <c r="MP63" s="43"/>
      <c r="MQ63" s="43"/>
      <c r="MR63" s="43"/>
      <c r="MS63" s="43"/>
      <c r="MT63" s="43"/>
      <c r="MU63" s="43"/>
      <c r="MV63" s="43"/>
      <c r="MW63" s="43"/>
      <c r="MX63" s="43"/>
      <c r="MY63" s="43"/>
      <c r="MZ63" s="43"/>
      <c r="NA63" s="43"/>
      <c r="NB63" s="43"/>
      <c r="NC63" s="43"/>
      <c r="ND63" s="43"/>
      <c r="NE63" s="43"/>
      <c r="NF63" s="43"/>
      <c r="NG63" s="43"/>
      <c r="NH63" s="43"/>
      <c r="NI63" s="43"/>
      <c r="NJ63" s="43"/>
      <c r="NK63" s="43"/>
      <c r="NL63" s="43"/>
      <c r="NM63" s="43"/>
      <c r="NN63" s="43"/>
      <c r="NO63" s="43"/>
      <c r="NP63" s="43"/>
      <c r="NQ63" s="43"/>
      <c r="NR63" s="43"/>
      <c r="NS63" s="43"/>
      <c r="NT63" s="43"/>
      <c r="NU63" s="43"/>
      <c r="NV63" s="43"/>
      <c r="NW63" s="43"/>
      <c r="NX63" s="43"/>
      <c r="NY63" s="43"/>
      <c r="NZ63" s="43"/>
      <c r="OA63" s="43"/>
      <c r="OB63" s="43"/>
      <c r="OC63" s="43"/>
      <c r="OD63" s="43"/>
      <c r="OE63" s="43"/>
      <c r="OF63" s="43"/>
      <c r="OG63" s="43"/>
      <c r="OH63" s="43"/>
      <c r="OI63" s="43"/>
      <c r="OJ63" s="43"/>
      <c r="OK63" s="43"/>
      <c r="OL63" s="43"/>
      <c r="OM63" s="43"/>
      <c r="ON63" s="43"/>
      <c r="OO63" s="43"/>
      <c r="OP63" s="43"/>
      <c r="OQ63" s="43"/>
      <c r="OR63" s="43"/>
      <c r="OS63" s="43"/>
      <c r="OT63" s="43"/>
      <c r="OU63" s="43"/>
      <c r="OV63" s="43"/>
      <c r="OW63" s="43"/>
      <c r="OX63" s="43"/>
      <c r="OY63" s="43"/>
      <c r="OZ63" s="43"/>
      <c r="PA63" s="43"/>
      <c r="PB63" s="43"/>
      <c r="PC63" s="43"/>
      <c r="PD63" s="43"/>
      <c r="PE63" s="43"/>
      <c r="PF63" s="43"/>
      <c r="PG63" s="43"/>
      <c r="PH63" s="43"/>
      <c r="PI63" s="43"/>
      <c r="PJ63" s="43"/>
      <c r="PK63" s="43"/>
      <c r="PL63" s="43"/>
      <c r="PM63" s="43"/>
      <c r="PN63" s="43"/>
      <c r="PO63" s="43"/>
      <c r="PP63" s="43"/>
      <c r="PQ63" s="43"/>
      <c r="PR63" s="43"/>
      <c r="PS63" s="43"/>
      <c r="PT63" s="43"/>
      <c r="PU63" s="43"/>
      <c r="PV63" s="43"/>
      <c r="PW63" s="43"/>
      <c r="PX63" s="43"/>
      <c r="PY63" s="43"/>
      <c r="PZ63" s="43"/>
      <c r="QA63" s="43"/>
      <c r="QB63" s="43"/>
      <c r="QC63" s="43"/>
    </row>
    <row r="64" spans="1:445" x14ac:dyDescent="0.3">
      <c r="A64" s="85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46" t="str">
        <f t="shared" si="6"/>
        <v/>
      </c>
      <c r="U64" s="46" t="str">
        <f t="shared" si="7"/>
        <v/>
      </c>
      <c r="V64" s="72" t="str">
        <f t="shared" si="4"/>
        <v/>
      </c>
      <c r="X64" s="73" t="str">
        <f t="shared" si="8"/>
        <v/>
      </c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43"/>
      <c r="CY64" s="43"/>
      <c r="CZ64" s="43"/>
      <c r="DA64" s="43"/>
      <c r="DB64" s="43"/>
      <c r="DC64" s="43"/>
      <c r="DD64" s="43"/>
      <c r="DE64" s="43"/>
      <c r="DF64" s="43"/>
      <c r="DG64" s="43"/>
      <c r="DH64" s="43"/>
      <c r="DI64" s="43"/>
      <c r="DJ64" s="43"/>
      <c r="DK64" s="43"/>
      <c r="DL64" s="43"/>
      <c r="DM64" s="43"/>
      <c r="DN64" s="43"/>
      <c r="DO64" s="43"/>
      <c r="DP64" s="43"/>
      <c r="DQ64" s="43"/>
      <c r="DR64" s="43"/>
      <c r="DS64" s="43"/>
      <c r="DT64" s="43"/>
      <c r="DU64" s="43"/>
      <c r="DV64" s="43"/>
      <c r="DW64" s="43"/>
      <c r="DX64" s="43"/>
      <c r="DY64" s="43"/>
      <c r="DZ64" s="43"/>
      <c r="EA64" s="43"/>
      <c r="EB64" s="43"/>
      <c r="EC64" s="43"/>
      <c r="ED64" s="43"/>
      <c r="EE64" s="43"/>
      <c r="EF64" s="43"/>
      <c r="EG64" s="43"/>
      <c r="EH64" s="43"/>
      <c r="EI64" s="43"/>
      <c r="EJ64" s="43"/>
      <c r="EK64" s="43"/>
      <c r="EL64" s="43"/>
      <c r="EM64" s="43"/>
      <c r="EN64" s="43"/>
      <c r="EO64" s="43"/>
      <c r="EP64" s="43"/>
      <c r="EQ64" s="43"/>
      <c r="ER64" s="43"/>
      <c r="ES64" s="43"/>
      <c r="ET64" s="43"/>
      <c r="EU64" s="43"/>
      <c r="EV64" s="43"/>
      <c r="EW64" s="43"/>
      <c r="EX64" s="43"/>
      <c r="EY64" s="43"/>
      <c r="EZ64" s="43"/>
      <c r="FA64" s="43"/>
      <c r="FB64" s="43"/>
      <c r="FC64" s="43"/>
      <c r="FD64" s="43"/>
      <c r="FE64" s="43"/>
      <c r="FF64" s="43"/>
      <c r="FG64" s="43"/>
      <c r="FH64" s="43"/>
      <c r="FI64" s="43"/>
      <c r="FJ64" s="43"/>
      <c r="FK64" s="43"/>
      <c r="FL64" s="43"/>
      <c r="FM64" s="43"/>
      <c r="FN64" s="43"/>
      <c r="FO64" s="43"/>
      <c r="FP64" s="43"/>
      <c r="FQ64" s="43"/>
      <c r="FR64" s="43"/>
      <c r="FS64" s="43"/>
      <c r="FT64" s="43"/>
      <c r="FU64" s="43"/>
      <c r="FV64" s="43"/>
      <c r="FW64" s="43"/>
      <c r="FX64" s="43"/>
      <c r="FY64" s="43"/>
      <c r="FZ64" s="43"/>
      <c r="GA64" s="43"/>
      <c r="GB64" s="43"/>
      <c r="GC64" s="43"/>
      <c r="GD64" s="43"/>
      <c r="GE64" s="43"/>
      <c r="GF64" s="43"/>
      <c r="GG64" s="43"/>
      <c r="GH64" s="43"/>
      <c r="GI64" s="43"/>
      <c r="GJ64" s="43"/>
      <c r="GK64" s="43"/>
      <c r="GL64" s="43"/>
      <c r="GM64" s="43"/>
      <c r="GN64" s="43"/>
      <c r="GO64" s="43"/>
      <c r="GP64" s="43"/>
      <c r="GQ64" s="43"/>
      <c r="GR64" s="43"/>
      <c r="GS64" s="43"/>
      <c r="GT64" s="43"/>
      <c r="GU64" s="43"/>
      <c r="GV64" s="43"/>
      <c r="GW64" s="43"/>
      <c r="GX64" s="43"/>
      <c r="GY64" s="43"/>
      <c r="GZ64" s="43"/>
      <c r="HA64" s="43"/>
      <c r="HB64" s="43"/>
      <c r="HC64" s="43"/>
      <c r="HD64" s="43"/>
      <c r="HE64" s="43"/>
      <c r="HF64" s="43"/>
      <c r="HG64" s="43"/>
      <c r="HH64" s="43"/>
      <c r="HI64" s="43"/>
      <c r="HJ64" s="43"/>
      <c r="HK64" s="43"/>
      <c r="HL64" s="43"/>
      <c r="HM64" s="43"/>
      <c r="HN64" s="43"/>
      <c r="HO64" s="43"/>
      <c r="HP64" s="43"/>
      <c r="HQ64" s="43"/>
      <c r="HR64" s="43"/>
      <c r="HS64" s="43"/>
      <c r="HT64" s="43"/>
      <c r="HU64" s="43"/>
      <c r="HV64" s="43"/>
      <c r="HW64" s="43"/>
      <c r="HX64" s="43"/>
      <c r="HY64" s="43"/>
      <c r="HZ64" s="43"/>
      <c r="IA64" s="43"/>
      <c r="IB64" s="43"/>
      <c r="IC64" s="43"/>
      <c r="ID64" s="43"/>
      <c r="IE64" s="43"/>
      <c r="IF64" s="43"/>
      <c r="IG64" s="43"/>
      <c r="IH64" s="43"/>
      <c r="II64" s="43"/>
      <c r="IJ64" s="43"/>
      <c r="IK64" s="43"/>
      <c r="IL64" s="43"/>
      <c r="IM64" s="43"/>
      <c r="IN64" s="43"/>
      <c r="IO64" s="43"/>
      <c r="IP64" s="43"/>
      <c r="IQ64" s="43"/>
      <c r="IR64" s="43"/>
      <c r="IS64" s="43"/>
      <c r="IT64" s="43"/>
      <c r="IU64" s="43"/>
      <c r="IV64" s="43"/>
      <c r="IW64" s="43"/>
      <c r="IX64" s="43"/>
      <c r="IY64" s="43"/>
      <c r="IZ64" s="43"/>
      <c r="JA64" s="43"/>
      <c r="JB64" s="43"/>
      <c r="JC64" s="43"/>
      <c r="JD64" s="43"/>
      <c r="JE64" s="43"/>
      <c r="JF64" s="43"/>
      <c r="JG64" s="43"/>
      <c r="JH64" s="43"/>
      <c r="JI64" s="43"/>
      <c r="JJ64" s="43"/>
      <c r="JK64" s="43"/>
      <c r="JL64" s="43"/>
      <c r="JM64" s="43"/>
      <c r="JN64" s="43"/>
      <c r="JO64" s="43"/>
      <c r="JP64" s="43"/>
      <c r="JQ64" s="43"/>
      <c r="JR64" s="43"/>
      <c r="JS64" s="43"/>
      <c r="JT64" s="43"/>
      <c r="JU64" s="43"/>
      <c r="JV64" s="43"/>
      <c r="JW64" s="43"/>
      <c r="JX64" s="43"/>
      <c r="JY64" s="43"/>
      <c r="JZ64" s="43"/>
      <c r="KA64" s="43"/>
      <c r="KB64" s="43"/>
      <c r="KC64" s="43"/>
      <c r="KD64" s="43"/>
      <c r="KE64" s="43"/>
      <c r="KF64" s="43"/>
      <c r="KG64" s="43"/>
      <c r="KH64" s="43"/>
      <c r="KI64" s="43"/>
      <c r="KJ64" s="43"/>
      <c r="KK64" s="43"/>
      <c r="KL64" s="43"/>
      <c r="KM64" s="43"/>
      <c r="KN64" s="43"/>
      <c r="KO64" s="43"/>
      <c r="KP64" s="43"/>
      <c r="KQ64" s="43"/>
      <c r="KR64" s="43"/>
      <c r="KS64" s="43"/>
      <c r="KT64" s="43"/>
      <c r="KU64" s="43"/>
      <c r="KV64" s="43"/>
      <c r="KW64" s="43"/>
      <c r="KX64" s="43"/>
      <c r="KY64" s="43"/>
      <c r="KZ64" s="43"/>
      <c r="LA64" s="43"/>
      <c r="LB64" s="43"/>
      <c r="LC64" s="43"/>
      <c r="LD64" s="43"/>
      <c r="LE64" s="43"/>
      <c r="LF64" s="43"/>
      <c r="LG64" s="43"/>
      <c r="LH64" s="43"/>
      <c r="LI64" s="43"/>
      <c r="LJ64" s="43"/>
      <c r="LK64" s="43"/>
      <c r="LL64" s="43"/>
      <c r="LM64" s="43"/>
      <c r="LN64" s="43"/>
      <c r="LO64" s="43"/>
      <c r="LP64" s="43"/>
      <c r="LQ64" s="43"/>
      <c r="LR64" s="43"/>
      <c r="LS64" s="43"/>
      <c r="LT64" s="43"/>
      <c r="LU64" s="43"/>
      <c r="LV64" s="43"/>
      <c r="LW64" s="43"/>
      <c r="LX64" s="43"/>
      <c r="LY64" s="43"/>
      <c r="LZ64" s="43"/>
      <c r="MA64" s="43"/>
      <c r="MB64" s="43"/>
      <c r="MC64" s="43"/>
      <c r="MD64" s="43"/>
      <c r="ME64" s="43"/>
      <c r="MF64" s="43"/>
      <c r="MG64" s="43"/>
      <c r="MH64" s="43"/>
      <c r="MI64" s="43"/>
      <c r="MJ64" s="43"/>
      <c r="MK64" s="43"/>
      <c r="ML64" s="43"/>
      <c r="MM64" s="43"/>
      <c r="MN64" s="43"/>
      <c r="MO64" s="43"/>
      <c r="MP64" s="43"/>
      <c r="MQ64" s="43"/>
      <c r="MR64" s="43"/>
      <c r="MS64" s="43"/>
      <c r="MT64" s="43"/>
      <c r="MU64" s="43"/>
      <c r="MV64" s="43"/>
      <c r="MW64" s="43"/>
      <c r="MX64" s="43"/>
      <c r="MY64" s="43"/>
      <c r="MZ64" s="43"/>
      <c r="NA64" s="43"/>
      <c r="NB64" s="43"/>
      <c r="NC64" s="43"/>
      <c r="ND64" s="43"/>
      <c r="NE64" s="43"/>
      <c r="NF64" s="43"/>
      <c r="NG64" s="43"/>
      <c r="NH64" s="43"/>
      <c r="NI64" s="43"/>
      <c r="NJ64" s="43"/>
      <c r="NK64" s="43"/>
      <c r="NL64" s="43"/>
      <c r="NM64" s="43"/>
      <c r="NN64" s="43"/>
      <c r="NO64" s="43"/>
      <c r="NP64" s="43"/>
      <c r="NQ64" s="43"/>
      <c r="NR64" s="43"/>
      <c r="NS64" s="43"/>
      <c r="NT64" s="43"/>
      <c r="NU64" s="43"/>
      <c r="NV64" s="43"/>
      <c r="NW64" s="43"/>
      <c r="NX64" s="43"/>
      <c r="NY64" s="43"/>
      <c r="NZ64" s="43"/>
      <c r="OA64" s="43"/>
      <c r="OB64" s="43"/>
      <c r="OC64" s="43"/>
      <c r="OD64" s="43"/>
      <c r="OE64" s="43"/>
      <c r="OF64" s="43"/>
      <c r="OG64" s="43"/>
      <c r="OH64" s="43"/>
      <c r="OI64" s="43"/>
      <c r="OJ64" s="43"/>
      <c r="OK64" s="43"/>
      <c r="OL64" s="43"/>
      <c r="OM64" s="43"/>
      <c r="ON64" s="43"/>
      <c r="OO64" s="43"/>
      <c r="OP64" s="43"/>
      <c r="OQ64" s="43"/>
      <c r="OR64" s="43"/>
      <c r="OS64" s="43"/>
      <c r="OT64" s="43"/>
      <c r="OU64" s="43"/>
      <c r="OV64" s="43"/>
      <c r="OW64" s="43"/>
      <c r="OX64" s="43"/>
      <c r="OY64" s="43"/>
      <c r="OZ64" s="43"/>
      <c r="PA64" s="43"/>
      <c r="PB64" s="43"/>
      <c r="PC64" s="43"/>
      <c r="PD64" s="43"/>
      <c r="PE64" s="43"/>
      <c r="PF64" s="43"/>
      <c r="PG64" s="43"/>
      <c r="PH64" s="43"/>
      <c r="PI64" s="43"/>
      <c r="PJ64" s="43"/>
      <c r="PK64" s="43"/>
      <c r="PL64" s="43"/>
      <c r="PM64" s="43"/>
      <c r="PN64" s="43"/>
      <c r="PO64" s="43"/>
      <c r="PP64" s="43"/>
      <c r="PQ64" s="43"/>
      <c r="PR64" s="43"/>
      <c r="PS64" s="43"/>
      <c r="PT64" s="43"/>
      <c r="PU64" s="43"/>
      <c r="PV64" s="43"/>
      <c r="PW64" s="43"/>
      <c r="PX64" s="43"/>
      <c r="PY64" s="43"/>
      <c r="PZ64" s="43"/>
      <c r="QA64" s="43"/>
      <c r="QB64" s="43"/>
      <c r="QC64" s="43"/>
    </row>
    <row r="65" spans="1:445" x14ac:dyDescent="0.3">
      <c r="A65" s="85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46" t="str">
        <f t="shared" si="6"/>
        <v/>
      </c>
      <c r="U65" s="46" t="str">
        <f t="shared" si="7"/>
        <v/>
      </c>
      <c r="V65" s="72" t="str">
        <f t="shared" si="4"/>
        <v/>
      </c>
      <c r="W65" s="48"/>
      <c r="X65" s="73" t="str">
        <f t="shared" si="8"/>
        <v/>
      </c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43"/>
      <c r="CY65" s="43"/>
      <c r="CZ65" s="43"/>
      <c r="DA65" s="43"/>
      <c r="DB65" s="43"/>
      <c r="DC65" s="43"/>
      <c r="DD65" s="43"/>
      <c r="DE65" s="43"/>
      <c r="DF65" s="43"/>
      <c r="DG65" s="43"/>
      <c r="DH65" s="43"/>
      <c r="DI65" s="43"/>
      <c r="DJ65" s="43"/>
      <c r="DK65" s="43"/>
      <c r="DL65" s="43"/>
      <c r="DM65" s="43"/>
      <c r="DN65" s="43"/>
      <c r="DO65" s="43"/>
      <c r="DP65" s="43"/>
      <c r="DQ65" s="43"/>
      <c r="DR65" s="43"/>
      <c r="DS65" s="43"/>
      <c r="DT65" s="43"/>
      <c r="DU65" s="43"/>
      <c r="DV65" s="43"/>
      <c r="DW65" s="43"/>
      <c r="DX65" s="43"/>
      <c r="DY65" s="43"/>
      <c r="DZ65" s="43"/>
      <c r="EA65" s="43"/>
      <c r="EB65" s="43"/>
      <c r="EC65" s="43"/>
      <c r="ED65" s="43"/>
      <c r="EE65" s="43"/>
      <c r="EF65" s="43"/>
      <c r="EG65" s="43"/>
      <c r="EH65" s="43"/>
      <c r="EI65" s="43"/>
      <c r="EJ65" s="43"/>
      <c r="EK65" s="43"/>
      <c r="EL65" s="43"/>
      <c r="EM65" s="43"/>
      <c r="EN65" s="43"/>
      <c r="EO65" s="43"/>
      <c r="EP65" s="43"/>
      <c r="EQ65" s="43"/>
      <c r="ER65" s="43"/>
      <c r="ES65" s="43"/>
      <c r="ET65" s="43"/>
      <c r="EU65" s="43"/>
      <c r="EV65" s="43"/>
      <c r="EW65" s="43"/>
      <c r="EX65" s="43"/>
      <c r="EY65" s="43"/>
      <c r="EZ65" s="43"/>
      <c r="FA65" s="43"/>
      <c r="FB65" s="43"/>
      <c r="FC65" s="43"/>
      <c r="FD65" s="43"/>
      <c r="FE65" s="43"/>
      <c r="FF65" s="43"/>
      <c r="FG65" s="43"/>
      <c r="FH65" s="43"/>
      <c r="FI65" s="43"/>
      <c r="FJ65" s="43"/>
      <c r="FK65" s="43"/>
      <c r="FL65" s="43"/>
      <c r="FM65" s="43"/>
      <c r="FN65" s="43"/>
      <c r="FO65" s="43"/>
      <c r="FP65" s="43"/>
      <c r="FQ65" s="43"/>
      <c r="FR65" s="43"/>
      <c r="FS65" s="43"/>
      <c r="FT65" s="43"/>
      <c r="FU65" s="43"/>
      <c r="FV65" s="43"/>
      <c r="FW65" s="43"/>
      <c r="FX65" s="43"/>
      <c r="FY65" s="43"/>
      <c r="FZ65" s="43"/>
      <c r="GA65" s="43"/>
      <c r="GB65" s="43"/>
      <c r="GC65" s="43"/>
      <c r="GD65" s="43"/>
      <c r="GE65" s="43"/>
      <c r="GF65" s="43"/>
      <c r="GG65" s="43"/>
      <c r="GH65" s="43"/>
      <c r="GI65" s="43"/>
      <c r="GJ65" s="43"/>
      <c r="GK65" s="43"/>
      <c r="GL65" s="43"/>
      <c r="GM65" s="43"/>
      <c r="GN65" s="43"/>
      <c r="GO65" s="43"/>
      <c r="GP65" s="43"/>
      <c r="GQ65" s="43"/>
      <c r="GR65" s="43"/>
      <c r="GS65" s="43"/>
      <c r="GT65" s="43"/>
      <c r="GU65" s="43"/>
      <c r="GV65" s="43"/>
      <c r="GW65" s="43"/>
      <c r="GX65" s="43"/>
      <c r="GY65" s="43"/>
      <c r="GZ65" s="43"/>
      <c r="HA65" s="43"/>
      <c r="HB65" s="43"/>
      <c r="HC65" s="43"/>
      <c r="HD65" s="43"/>
      <c r="HE65" s="43"/>
      <c r="HF65" s="43"/>
      <c r="HG65" s="43"/>
      <c r="HH65" s="43"/>
      <c r="HI65" s="43"/>
      <c r="HJ65" s="43"/>
      <c r="HK65" s="43"/>
      <c r="HL65" s="43"/>
      <c r="HM65" s="43"/>
      <c r="HN65" s="43"/>
      <c r="HO65" s="43"/>
      <c r="HP65" s="43"/>
      <c r="HQ65" s="43"/>
      <c r="HR65" s="43"/>
      <c r="HS65" s="43"/>
      <c r="HT65" s="43"/>
      <c r="HU65" s="43"/>
      <c r="HV65" s="43"/>
      <c r="HW65" s="43"/>
      <c r="HX65" s="43"/>
      <c r="HY65" s="43"/>
      <c r="HZ65" s="43"/>
      <c r="IA65" s="43"/>
      <c r="IB65" s="43"/>
      <c r="IC65" s="43"/>
      <c r="ID65" s="43"/>
      <c r="IE65" s="43"/>
      <c r="IF65" s="43"/>
      <c r="IG65" s="43"/>
      <c r="IH65" s="43"/>
      <c r="II65" s="43"/>
      <c r="IJ65" s="43"/>
      <c r="IK65" s="43"/>
      <c r="IL65" s="43"/>
      <c r="IM65" s="43"/>
      <c r="IN65" s="43"/>
      <c r="IO65" s="43"/>
      <c r="IP65" s="43"/>
      <c r="IQ65" s="43"/>
      <c r="IR65" s="43"/>
      <c r="IS65" s="43"/>
      <c r="IT65" s="43"/>
      <c r="IU65" s="43"/>
      <c r="IV65" s="43"/>
      <c r="IW65" s="43"/>
      <c r="IX65" s="43"/>
      <c r="IY65" s="43"/>
      <c r="IZ65" s="43"/>
      <c r="JA65" s="43"/>
      <c r="JB65" s="43"/>
      <c r="JC65" s="43"/>
      <c r="JD65" s="43"/>
      <c r="JE65" s="43"/>
      <c r="JF65" s="43"/>
      <c r="JG65" s="43"/>
      <c r="JH65" s="43"/>
      <c r="JI65" s="43"/>
      <c r="JJ65" s="43"/>
      <c r="JK65" s="43"/>
      <c r="JL65" s="43"/>
      <c r="JM65" s="43"/>
      <c r="JN65" s="43"/>
      <c r="JO65" s="43"/>
      <c r="JP65" s="43"/>
      <c r="JQ65" s="43"/>
      <c r="JR65" s="43"/>
      <c r="JS65" s="43"/>
      <c r="JT65" s="43"/>
      <c r="JU65" s="43"/>
      <c r="JV65" s="43"/>
      <c r="JW65" s="43"/>
      <c r="JX65" s="43"/>
      <c r="JY65" s="43"/>
      <c r="JZ65" s="43"/>
      <c r="KA65" s="43"/>
      <c r="KB65" s="43"/>
      <c r="KC65" s="43"/>
      <c r="KD65" s="43"/>
      <c r="KE65" s="43"/>
      <c r="KF65" s="43"/>
      <c r="KG65" s="43"/>
      <c r="KH65" s="43"/>
      <c r="KI65" s="43"/>
      <c r="KJ65" s="43"/>
      <c r="KK65" s="43"/>
      <c r="KL65" s="43"/>
      <c r="KM65" s="43"/>
      <c r="KN65" s="43"/>
      <c r="KO65" s="43"/>
      <c r="KP65" s="43"/>
      <c r="KQ65" s="43"/>
      <c r="KR65" s="43"/>
      <c r="KS65" s="43"/>
      <c r="KT65" s="43"/>
      <c r="KU65" s="43"/>
      <c r="KV65" s="43"/>
      <c r="KW65" s="43"/>
      <c r="KX65" s="43"/>
      <c r="KY65" s="43"/>
      <c r="KZ65" s="43"/>
      <c r="LA65" s="43"/>
      <c r="LB65" s="43"/>
      <c r="LC65" s="43"/>
      <c r="LD65" s="43"/>
      <c r="LE65" s="43"/>
      <c r="LF65" s="43"/>
      <c r="LG65" s="43"/>
      <c r="LH65" s="43"/>
      <c r="LI65" s="43"/>
      <c r="LJ65" s="43"/>
      <c r="LK65" s="43"/>
      <c r="LL65" s="43"/>
      <c r="LM65" s="43"/>
      <c r="LN65" s="43"/>
      <c r="LO65" s="43"/>
      <c r="LP65" s="43"/>
      <c r="LQ65" s="43"/>
      <c r="LR65" s="43"/>
      <c r="LS65" s="43"/>
      <c r="LT65" s="43"/>
      <c r="LU65" s="43"/>
      <c r="LV65" s="43"/>
      <c r="LW65" s="43"/>
      <c r="LX65" s="43"/>
      <c r="LY65" s="43"/>
      <c r="LZ65" s="43"/>
      <c r="MA65" s="43"/>
      <c r="MB65" s="43"/>
      <c r="MC65" s="43"/>
      <c r="MD65" s="43"/>
      <c r="ME65" s="43"/>
      <c r="MF65" s="43"/>
      <c r="MG65" s="43"/>
      <c r="MH65" s="43"/>
      <c r="MI65" s="43"/>
      <c r="MJ65" s="43"/>
      <c r="MK65" s="43"/>
      <c r="ML65" s="43"/>
      <c r="MM65" s="43"/>
      <c r="MN65" s="43"/>
      <c r="MO65" s="43"/>
      <c r="MP65" s="43"/>
      <c r="MQ65" s="43"/>
      <c r="MR65" s="43"/>
      <c r="MS65" s="43"/>
      <c r="MT65" s="43"/>
      <c r="MU65" s="43"/>
      <c r="MV65" s="43"/>
      <c r="MW65" s="43"/>
      <c r="MX65" s="43"/>
      <c r="MY65" s="43"/>
      <c r="MZ65" s="43"/>
      <c r="NA65" s="43"/>
      <c r="NB65" s="43"/>
      <c r="NC65" s="43"/>
      <c r="ND65" s="43"/>
      <c r="NE65" s="43"/>
      <c r="NF65" s="43"/>
      <c r="NG65" s="43"/>
      <c r="NH65" s="43"/>
      <c r="NI65" s="43"/>
      <c r="NJ65" s="43"/>
      <c r="NK65" s="43"/>
      <c r="NL65" s="43"/>
      <c r="NM65" s="43"/>
      <c r="NN65" s="43"/>
      <c r="NO65" s="43"/>
      <c r="NP65" s="43"/>
      <c r="NQ65" s="43"/>
      <c r="NR65" s="43"/>
      <c r="NS65" s="43"/>
      <c r="NT65" s="43"/>
      <c r="NU65" s="43"/>
      <c r="NV65" s="43"/>
      <c r="NW65" s="43"/>
      <c r="NX65" s="43"/>
      <c r="NY65" s="43"/>
      <c r="NZ65" s="43"/>
      <c r="OA65" s="43"/>
      <c r="OB65" s="43"/>
      <c r="OC65" s="43"/>
      <c r="OD65" s="43"/>
      <c r="OE65" s="43"/>
      <c r="OF65" s="43"/>
      <c r="OG65" s="43"/>
      <c r="OH65" s="43"/>
      <c r="OI65" s="43"/>
      <c r="OJ65" s="43"/>
      <c r="OK65" s="43"/>
      <c r="OL65" s="43"/>
      <c r="OM65" s="43"/>
      <c r="ON65" s="43"/>
      <c r="OO65" s="43"/>
      <c r="OP65" s="43"/>
      <c r="OQ65" s="43"/>
      <c r="OR65" s="43"/>
      <c r="OS65" s="43"/>
      <c r="OT65" s="43"/>
      <c r="OU65" s="43"/>
      <c r="OV65" s="43"/>
      <c r="OW65" s="43"/>
      <c r="OX65" s="43"/>
      <c r="OY65" s="43"/>
      <c r="OZ65" s="43"/>
      <c r="PA65" s="43"/>
      <c r="PB65" s="43"/>
      <c r="PC65" s="43"/>
      <c r="PD65" s="43"/>
      <c r="PE65" s="43"/>
      <c r="PF65" s="43"/>
      <c r="PG65" s="43"/>
      <c r="PH65" s="43"/>
      <c r="PI65" s="43"/>
      <c r="PJ65" s="43"/>
      <c r="PK65" s="43"/>
      <c r="PL65" s="43"/>
      <c r="PM65" s="43"/>
      <c r="PN65" s="43"/>
      <c r="PO65" s="43"/>
      <c r="PP65" s="43"/>
      <c r="PQ65" s="43"/>
      <c r="PR65" s="43"/>
      <c r="PS65" s="43"/>
      <c r="PT65" s="43"/>
      <c r="PU65" s="43"/>
      <c r="PV65" s="43"/>
      <c r="PW65" s="43"/>
      <c r="PX65" s="43"/>
      <c r="PY65" s="43"/>
      <c r="PZ65" s="43"/>
      <c r="QA65" s="43"/>
      <c r="QB65" s="43"/>
      <c r="QC65" s="43"/>
    </row>
    <row r="66" spans="1:445" x14ac:dyDescent="0.3">
      <c r="A66" s="85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46" t="str">
        <f t="shared" si="6"/>
        <v/>
      </c>
      <c r="U66" s="46" t="str">
        <f t="shared" si="7"/>
        <v/>
      </c>
      <c r="V66" s="72" t="str">
        <f t="shared" si="4"/>
        <v/>
      </c>
      <c r="W66" s="48"/>
      <c r="X66" s="73" t="str">
        <f t="shared" si="8"/>
        <v/>
      </c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43"/>
      <c r="CY66" s="43"/>
      <c r="CZ66" s="43"/>
      <c r="DA66" s="43"/>
      <c r="DB66" s="43"/>
      <c r="DC66" s="43"/>
      <c r="DD66" s="43"/>
      <c r="DE66" s="43"/>
      <c r="DF66" s="43"/>
      <c r="DG66" s="43"/>
      <c r="DH66" s="43"/>
      <c r="DI66" s="43"/>
      <c r="DJ66" s="43"/>
      <c r="DK66" s="43"/>
      <c r="DL66" s="43"/>
      <c r="DM66" s="43"/>
      <c r="DN66" s="43"/>
      <c r="DO66" s="43"/>
      <c r="DP66" s="43"/>
      <c r="DQ66" s="43"/>
      <c r="DR66" s="43"/>
      <c r="DS66" s="43"/>
      <c r="DT66" s="43"/>
      <c r="DU66" s="43"/>
      <c r="DV66" s="43"/>
      <c r="DW66" s="43"/>
      <c r="DX66" s="43"/>
      <c r="DY66" s="43"/>
      <c r="DZ66" s="43"/>
      <c r="EA66" s="43"/>
      <c r="EB66" s="43"/>
      <c r="EC66" s="43"/>
      <c r="ED66" s="43"/>
      <c r="EE66" s="43"/>
      <c r="EF66" s="43"/>
      <c r="EG66" s="43"/>
      <c r="EH66" s="43"/>
      <c r="EI66" s="43"/>
      <c r="EJ66" s="43"/>
      <c r="EK66" s="43"/>
      <c r="EL66" s="43"/>
      <c r="EM66" s="43"/>
      <c r="EN66" s="43"/>
      <c r="EO66" s="43"/>
      <c r="EP66" s="43"/>
      <c r="EQ66" s="43"/>
      <c r="ER66" s="43"/>
      <c r="ES66" s="43"/>
      <c r="ET66" s="43"/>
      <c r="EU66" s="43"/>
      <c r="EV66" s="43"/>
      <c r="EW66" s="43"/>
      <c r="EX66" s="43"/>
      <c r="EY66" s="43"/>
      <c r="EZ66" s="43"/>
      <c r="FA66" s="43"/>
      <c r="FB66" s="43"/>
      <c r="FC66" s="43"/>
      <c r="FD66" s="43"/>
      <c r="FE66" s="43"/>
      <c r="FF66" s="43"/>
      <c r="FG66" s="43"/>
      <c r="FH66" s="43"/>
      <c r="FI66" s="43"/>
      <c r="FJ66" s="43"/>
      <c r="FK66" s="43"/>
      <c r="FL66" s="43"/>
      <c r="FM66" s="43"/>
      <c r="FN66" s="43"/>
      <c r="FO66" s="43"/>
      <c r="FP66" s="43"/>
      <c r="FQ66" s="43"/>
      <c r="FR66" s="43"/>
      <c r="FS66" s="43"/>
      <c r="FT66" s="43"/>
      <c r="FU66" s="43"/>
      <c r="FV66" s="43"/>
      <c r="FW66" s="43"/>
      <c r="FX66" s="43"/>
      <c r="FY66" s="43"/>
      <c r="FZ66" s="43"/>
      <c r="GA66" s="43"/>
      <c r="GB66" s="43"/>
      <c r="GC66" s="43"/>
      <c r="GD66" s="43"/>
      <c r="GE66" s="43"/>
      <c r="GF66" s="43"/>
      <c r="GG66" s="43"/>
      <c r="GH66" s="43"/>
      <c r="GI66" s="43"/>
      <c r="GJ66" s="43"/>
      <c r="GK66" s="43"/>
      <c r="GL66" s="43"/>
      <c r="GM66" s="43"/>
      <c r="GN66" s="43"/>
      <c r="GO66" s="43"/>
      <c r="GP66" s="43"/>
      <c r="GQ66" s="43"/>
      <c r="GR66" s="43"/>
      <c r="GS66" s="43"/>
      <c r="GT66" s="43"/>
      <c r="GU66" s="43"/>
      <c r="GV66" s="43"/>
      <c r="GW66" s="43"/>
      <c r="GX66" s="43"/>
      <c r="GY66" s="43"/>
      <c r="GZ66" s="43"/>
      <c r="HA66" s="43"/>
      <c r="HB66" s="43"/>
      <c r="HC66" s="43"/>
      <c r="HD66" s="43"/>
      <c r="HE66" s="43"/>
      <c r="HF66" s="43"/>
      <c r="HG66" s="43"/>
      <c r="HH66" s="43"/>
      <c r="HI66" s="43"/>
      <c r="HJ66" s="43"/>
      <c r="HK66" s="43"/>
      <c r="HL66" s="43"/>
      <c r="HM66" s="43"/>
      <c r="HN66" s="43"/>
      <c r="HO66" s="43"/>
      <c r="HP66" s="43"/>
      <c r="HQ66" s="43"/>
      <c r="HR66" s="43"/>
      <c r="HS66" s="43"/>
      <c r="HT66" s="43"/>
      <c r="HU66" s="43"/>
      <c r="HV66" s="43"/>
      <c r="HW66" s="43"/>
      <c r="HX66" s="43"/>
      <c r="HY66" s="43"/>
      <c r="HZ66" s="43"/>
      <c r="IA66" s="43"/>
      <c r="IB66" s="43"/>
      <c r="IC66" s="43"/>
      <c r="ID66" s="43"/>
      <c r="IE66" s="43"/>
      <c r="IF66" s="43"/>
      <c r="IG66" s="43"/>
      <c r="IH66" s="43"/>
      <c r="II66" s="43"/>
      <c r="IJ66" s="43"/>
      <c r="IK66" s="43"/>
      <c r="IL66" s="43"/>
      <c r="IM66" s="43"/>
      <c r="IN66" s="43"/>
      <c r="IO66" s="43"/>
      <c r="IP66" s="43"/>
      <c r="IQ66" s="43"/>
      <c r="IR66" s="43"/>
      <c r="IS66" s="43"/>
      <c r="IT66" s="43"/>
      <c r="IU66" s="43"/>
      <c r="IV66" s="43"/>
      <c r="IW66" s="43"/>
      <c r="IX66" s="43"/>
      <c r="IY66" s="43"/>
      <c r="IZ66" s="43"/>
      <c r="JA66" s="43"/>
      <c r="JB66" s="43"/>
      <c r="JC66" s="43"/>
      <c r="JD66" s="43"/>
      <c r="JE66" s="43"/>
      <c r="JF66" s="43"/>
      <c r="JG66" s="43"/>
      <c r="JH66" s="43"/>
      <c r="JI66" s="43"/>
      <c r="JJ66" s="43"/>
      <c r="JK66" s="43"/>
      <c r="JL66" s="43"/>
      <c r="JM66" s="43"/>
      <c r="JN66" s="43"/>
      <c r="JO66" s="43"/>
      <c r="JP66" s="43"/>
      <c r="JQ66" s="43"/>
      <c r="JR66" s="43"/>
      <c r="JS66" s="43"/>
      <c r="JT66" s="43"/>
      <c r="JU66" s="43"/>
      <c r="JV66" s="43"/>
      <c r="JW66" s="43"/>
      <c r="JX66" s="43"/>
      <c r="JY66" s="43"/>
      <c r="JZ66" s="43"/>
      <c r="KA66" s="43"/>
      <c r="KB66" s="43"/>
      <c r="KC66" s="43"/>
      <c r="KD66" s="43"/>
      <c r="KE66" s="43"/>
      <c r="KF66" s="43"/>
      <c r="KG66" s="43"/>
      <c r="KH66" s="43"/>
      <c r="KI66" s="43"/>
      <c r="KJ66" s="43"/>
      <c r="KK66" s="43"/>
      <c r="KL66" s="43"/>
      <c r="KM66" s="43"/>
      <c r="KN66" s="43"/>
      <c r="KO66" s="43"/>
      <c r="KP66" s="43"/>
      <c r="KQ66" s="43"/>
      <c r="KR66" s="43"/>
      <c r="KS66" s="43"/>
      <c r="KT66" s="43"/>
      <c r="KU66" s="43"/>
      <c r="KV66" s="43"/>
      <c r="KW66" s="43"/>
      <c r="KX66" s="43"/>
      <c r="KY66" s="43"/>
      <c r="KZ66" s="43"/>
      <c r="LA66" s="43"/>
      <c r="LB66" s="43"/>
      <c r="LC66" s="43"/>
      <c r="LD66" s="43"/>
      <c r="LE66" s="43"/>
      <c r="LF66" s="43"/>
      <c r="LG66" s="43"/>
      <c r="LH66" s="43"/>
      <c r="LI66" s="43"/>
      <c r="LJ66" s="43"/>
      <c r="LK66" s="43"/>
      <c r="LL66" s="43"/>
      <c r="LM66" s="43"/>
      <c r="LN66" s="43"/>
      <c r="LO66" s="43"/>
      <c r="LP66" s="43"/>
      <c r="LQ66" s="43"/>
      <c r="LR66" s="43"/>
      <c r="LS66" s="43"/>
      <c r="LT66" s="43"/>
      <c r="LU66" s="43"/>
      <c r="LV66" s="43"/>
      <c r="LW66" s="43"/>
      <c r="LX66" s="43"/>
      <c r="LY66" s="43"/>
      <c r="LZ66" s="43"/>
      <c r="MA66" s="43"/>
      <c r="MB66" s="43"/>
      <c r="MC66" s="43"/>
      <c r="MD66" s="43"/>
      <c r="ME66" s="43"/>
      <c r="MF66" s="43"/>
      <c r="MG66" s="43"/>
      <c r="MH66" s="43"/>
      <c r="MI66" s="43"/>
      <c r="MJ66" s="43"/>
      <c r="MK66" s="43"/>
      <c r="ML66" s="43"/>
      <c r="MM66" s="43"/>
      <c r="MN66" s="43"/>
      <c r="MO66" s="43"/>
      <c r="MP66" s="43"/>
      <c r="MQ66" s="43"/>
      <c r="MR66" s="43"/>
      <c r="MS66" s="43"/>
      <c r="MT66" s="43"/>
      <c r="MU66" s="43"/>
      <c r="MV66" s="43"/>
      <c r="MW66" s="43"/>
      <c r="MX66" s="43"/>
      <c r="MY66" s="43"/>
      <c r="MZ66" s="43"/>
      <c r="NA66" s="43"/>
      <c r="NB66" s="43"/>
      <c r="NC66" s="43"/>
      <c r="ND66" s="43"/>
      <c r="NE66" s="43"/>
      <c r="NF66" s="43"/>
      <c r="NG66" s="43"/>
      <c r="NH66" s="43"/>
      <c r="NI66" s="43"/>
      <c r="NJ66" s="43"/>
      <c r="NK66" s="43"/>
      <c r="NL66" s="43"/>
      <c r="NM66" s="43"/>
      <c r="NN66" s="43"/>
      <c r="NO66" s="43"/>
      <c r="NP66" s="43"/>
      <c r="NQ66" s="43"/>
      <c r="NR66" s="43"/>
      <c r="NS66" s="43"/>
      <c r="NT66" s="43"/>
      <c r="NU66" s="43"/>
      <c r="NV66" s="43"/>
      <c r="NW66" s="43"/>
      <c r="NX66" s="43"/>
      <c r="NY66" s="43"/>
      <c r="NZ66" s="43"/>
      <c r="OA66" s="43"/>
      <c r="OB66" s="43"/>
      <c r="OC66" s="43"/>
      <c r="OD66" s="43"/>
      <c r="OE66" s="43"/>
      <c r="OF66" s="43"/>
      <c r="OG66" s="43"/>
      <c r="OH66" s="43"/>
      <c r="OI66" s="43"/>
      <c r="OJ66" s="43"/>
      <c r="OK66" s="43"/>
      <c r="OL66" s="43"/>
      <c r="OM66" s="43"/>
      <c r="ON66" s="43"/>
      <c r="OO66" s="43"/>
      <c r="OP66" s="43"/>
      <c r="OQ66" s="43"/>
      <c r="OR66" s="43"/>
      <c r="OS66" s="43"/>
      <c r="OT66" s="43"/>
      <c r="OU66" s="43"/>
      <c r="OV66" s="43"/>
      <c r="OW66" s="43"/>
      <c r="OX66" s="43"/>
      <c r="OY66" s="43"/>
      <c r="OZ66" s="43"/>
      <c r="PA66" s="43"/>
      <c r="PB66" s="43"/>
      <c r="PC66" s="43"/>
      <c r="PD66" s="43"/>
      <c r="PE66" s="43"/>
      <c r="PF66" s="43"/>
      <c r="PG66" s="43"/>
      <c r="PH66" s="43"/>
      <c r="PI66" s="43"/>
      <c r="PJ66" s="43"/>
      <c r="PK66" s="43"/>
      <c r="PL66" s="43"/>
      <c r="PM66" s="43"/>
      <c r="PN66" s="43"/>
      <c r="PO66" s="43"/>
      <c r="PP66" s="43"/>
      <c r="PQ66" s="43"/>
      <c r="PR66" s="43"/>
      <c r="PS66" s="43"/>
      <c r="PT66" s="43"/>
      <c r="PU66" s="43"/>
      <c r="PV66" s="43"/>
      <c r="PW66" s="43"/>
      <c r="PX66" s="43"/>
      <c r="PY66" s="43"/>
      <c r="PZ66" s="43"/>
      <c r="QA66" s="43"/>
      <c r="QB66" s="43"/>
      <c r="QC66" s="43"/>
    </row>
    <row r="67" spans="1:445" x14ac:dyDescent="0.3">
      <c r="A67" s="85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46" t="str">
        <f t="shared" si="6"/>
        <v/>
      </c>
      <c r="U67" s="46" t="str">
        <f t="shared" si="7"/>
        <v/>
      </c>
      <c r="V67" s="72" t="str">
        <f t="shared" si="4"/>
        <v/>
      </c>
      <c r="W67" s="48"/>
      <c r="X67" s="73" t="str">
        <f t="shared" si="8"/>
        <v/>
      </c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43"/>
      <c r="CY67" s="43"/>
      <c r="CZ67" s="43"/>
      <c r="DA67" s="43"/>
      <c r="DB67" s="43"/>
      <c r="DC67" s="43"/>
      <c r="DD67" s="43"/>
      <c r="DE67" s="43"/>
      <c r="DF67" s="43"/>
      <c r="DG67" s="43"/>
      <c r="DH67" s="43"/>
      <c r="DI67" s="43"/>
      <c r="DJ67" s="43"/>
      <c r="DK67" s="43"/>
      <c r="DL67" s="43"/>
      <c r="DM67" s="43"/>
      <c r="DN67" s="43"/>
      <c r="DO67" s="43"/>
      <c r="DP67" s="43"/>
      <c r="DQ67" s="43"/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3"/>
      <c r="ED67" s="43"/>
      <c r="EE67" s="43"/>
      <c r="EF67" s="43"/>
      <c r="EG67" s="43"/>
      <c r="EH67" s="43"/>
      <c r="EI67" s="43"/>
      <c r="EJ67" s="43"/>
      <c r="EK67" s="43"/>
      <c r="EL67" s="43"/>
      <c r="EM67" s="43"/>
      <c r="EN67" s="43"/>
      <c r="EO67" s="43"/>
      <c r="EP67" s="43"/>
      <c r="EQ67" s="43"/>
      <c r="ER67" s="43"/>
      <c r="ES67" s="43"/>
      <c r="ET67" s="43"/>
      <c r="EU67" s="43"/>
      <c r="EV67" s="43"/>
      <c r="EW67" s="43"/>
      <c r="EX67" s="43"/>
      <c r="EY67" s="43"/>
      <c r="EZ67" s="43"/>
      <c r="FA67" s="43"/>
      <c r="FB67" s="43"/>
      <c r="FC67" s="43"/>
      <c r="FD67" s="43"/>
      <c r="FE67" s="43"/>
      <c r="FF67" s="43"/>
      <c r="FG67" s="43"/>
      <c r="FH67" s="43"/>
      <c r="FI67" s="43"/>
      <c r="FJ67" s="43"/>
      <c r="FK67" s="43"/>
      <c r="FL67" s="43"/>
      <c r="FM67" s="43"/>
      <c r="FN67" s="43"/>
      <c r="FO67" s="43"/>
      <c r="FP67" s="43"/>
      <c r="FQ67" s="43"/>
      <c r="FR67" s="43"/>
      <c r="FS67" s="43"/>
      <c r="FT67" s="43"/>
      <c r="FU67" s="43"/>
      <c r="FV67" s="43"/>
      <c r="FW67" s="43"/>
      <c r="FX67" s="43"/>
      <c r="FY67" s="43"/>
      <c r="FZ67" s="43"/>
      <c r="GA67" s="43"/>
      <c r="GB67" s="43"/>
      <c r="GC67" s="43"/>
      <c r="GD67" s="43"/>
      <c r="GE67" s="43"/>
      <c r="GF67" s="43"/>
      <c r="GG67" s="43"/>
      <c r="GH67" s="43"/>
      <c r="GI67" s="43"/>
      <c r="GJ67" s="43"/>
      <c r="GK67" s="43"/>
      <c r="GL67" s="43"/>
      <c r="GM67" s="43"/>
      <c r="GN67" s="43"/>
      <c r="GO67" s="43"/>
      <c r="GP67" s="43"/>
      <c r="GQ67" s="43"/>
      <c r="GR67" s="43"/>
      <c r="GS67" s="43"/>
      <c r="GT67" s="43"/>
      <c r="GU67" s="43"/>
      <c r="GV67" s="43"/>
      <c r="GW67" s="43"/>
      <c r="GX67" s="43"/>
      <c r="GY67" s="43"/>
      <c r="GZ67" s="43"/>
      <c r="HA67" s="43"/>
      <c r="HB67" s="43"/>
      <c r="HC67" s="43"/>
      <c r="HD67" s="43"/>
      <c r="HE67" s="43"/>
      <c r="HF67" s="43"/>
      <c r="HG67" s="43"/>
      <c r="HH67" s="43"/>
      <c r="HI67" s="43"/>
      <c r="HJ67" s="43"/>
      <c r="HK67" s="43"/>
      <c r="HL67" s="43"/>
      <c r="HM67" s="43"/>
      <c r="HN67" s="43"/>
      <c r="HO67" s="43"/>
      <c r="HP67" s="43"/>
      <c r="HQ67" s="43"/>
      <c r="HR67" s="43"/>
      <c r="HS67" s="43"/>
      <c r="HT67" s="43"/>
      <c r="HU67" s="43"/>
      <c r="HV67" s="43"/>
      <c r="HW67" s="43"/>
      <c r="HX67" s="43"/>
      <c r="HY67" s="43"/>
      <c r="HZ67" s="43"/>
      <c r="IA67" s="43"/>
      <c r="IB67" s="43"/>
      <c r="IC67" s="43"/>
      <c r="ID67" s="43"/>
      <c r="IE67" s="43"/>
      <c r="IF67" s="43"/>
      <c r="IG67" s="43"/>
      <c r="IH67" s="43"/>
      <c r="II67" s="43"/>
      <c r="IJ67" s="43"/>
      <c r="IK67" s="43"/>
      <c r="IL67" s="43"/>
      <c r="IM67" s="43"/>
      <c r="IN67" s="43"/>
      <c r="IO67" s="43"/>
      <c r="IP67" s="43"/>
      <c r="IQ67" s="43"/>
      <c r="IR67" s="43"/>
      <c r="IS67" s="43"/>
      <c r="IT67" s="43"/>
      <c r="IU67" s="43"/>
      <c r="IV67" s="43"/>
      <c r="IW67" s="43"/>
      <c r="IX67" s="43"/>
      <c r="IY67" s="43"/>
      <c r="IZ67" s="43"/>
      <c r="JA67" s="43"/>
      <c r="JB67" s="43"/>
      <c r="JC67" s="43"/>
      <c r="JD67" s="43"/>
      <c r="JE67" s="43"/>
      <c r="JF67" s="43"/>
      <c r="JG67" s="43"/>
      <c r="JH67" s="43"/>
      <c r="JI67" s="43"/>
      <c r="JJ67" s="43"/>
      <c r="JK67" s="43"/>
      <c r="JL67" s="43"/>
      <c r="JM67" s="43"/>
      <c r="JN67" s="43"/>
      <c r="JO67" s="43"/>
      <c r="JP67" s="43"/>
      <c r="JQ67" s="43"/>
      <c r="JR67" s="43"/>
      <c r="JS67" s="43"/>
      <c r="JT67" s="43"/>
      <c r="JU67" s="43"/>
      <c r="JV67" s="43"/>
      <c r="JW67" s="43"/>
      <c r="JX67" s="43"/>
      <c r="JY67" s="43"/>
      <c r="JZ67" s="43"/>
      <c r="KA67" s="43"/>
      <c r="KB67" s="43"/>
      <c r="KC67" s="43"/>
      <c r="KD67" s="43"/>
      <c r="KE67" s="43"/>
      <c r="KF67" s="43"/>
      <c r="KG67" s="43"/>
      <c r="KH67" s="43"/>
      <c r="KI67" s="43"/>
      <c r="KJ67" s="43"/>
      <c r="KK67" s="43"/>
      <c r="KL67" s="43"/>
      <c r="KM67" s="43"/>
      <c r="KN67" s="43"/>
      <c r="KO67" s="43"/>
      <c r="KP67" s="43"/>
      <c r="KQ67" s="43"/>
      <c r="KR67" s="43"/>
      <c r="KS67" s="43"/>
      <c r="KT67" s="43"/>
      <c r="KU67" s="43"/>
      <c r="KV67" s="43"/>
      <c r="KW67" s="43"/>
      <c r="KX67" s="43"/>
      <c r="KY67" s="43"/>
      <c r="KZ67" s="43"/>
      <c r="LA67" s="43"/>
      <c r="LB67" s="43"/>
      <c r="LC67" s="43"/>
      <c r="LD67" s="43"/>
      <c r="LE67" s="43"/>
      <c r="LF67" s="43"/>
      <c r="LG67" s="43"/>
      <c r="LH67" s="43"/>
      <c r="LI67" s="43"/>
      <c r="LJ67" s="43"/>
      <c r="LK67" s="43"/>
      <c r="LL67" s="43"/>
      <c r="LM67" s="43"/>
      <c r="LN67" s="43"/>
      <c r="LO67" s="43"/>
      <c r="LP67" s="43"/>
      <c r="LQ67" s="43"/>
      <c r="LR67" s="43"/>
      <c r="LS67" s="43"/>
      <c r="LT67" s="43"/>
      <c r="LU67" s="43"/>
      <c r="LV67" s="43"/>
      <c r="LW67" s="43"/>
      <c r="LX67" s="43"/>
      <c r="LY67" s="43"/>
      <c r="LZ67" s="43"/>
      <c r="MA67" s="43"/>
      <c r="MB67" s="43"/>
      <c r="MC67" s="43"/>
      <c r="MD67" s="43"/>
      <c r="ME67" s="43"/>
      <c r="MF67" s="43"/>
      <c r="MG67" s="43"/>
      <c r="MH67" s="43"/>
      <c r="MI67" s="43"/>
      <c r="MJ67" s="43"/>
      <c r="MK67" s="43"/>
      <c r="ML67" s="43"/>
      <c r="MM67" s="43"/>
      <c r="MN67" s="43"/>
      <c r="MO67" s="43"/>
      <c r="MP67" s="43"/>
      <c r="MQ67" s="43"/>
      <c r="MR67" s="43"/>
      <c r="MS67" s="43"/>
      <c r="MT67" s="43"/>
      <c r="MU67" s="43"/>
      <c r="MV67" s="43"/>
      <c r="MW67" s="43"/>
      <c r="MX67" s="43"/>
      <c r="MY67" s="43"/>
      <c r="MZ67" s="43"/>
      <c r="NA67" s="43"/>
      <c r="NB67" s="43"/>
      <c r="NC67" s="43"/>
      <c r="ND67" s="43"/>
      <c r="NE67" s="43"/>
      <c r="NF67" s="43"/>
      <c r="NG67" s="43"/>
      <c r="NH67" s="43"/>
      <c r="NI67" s="43"/>
      <c r="NJ67" s="43"/>
      <c r="NK67" s="43"/>
      <c r="NL67" s="43"/>
      <c r="NM67" s="43"/>
      <c r="NN67" s="43"/>
      <c r="NO67" s="43"/>
      <c r="NP67" s="43"/>
      <c r="NQ67" s="43"/>
      <c r="NR67" s="43"/>
      <c r="NS67" s="43"/>
      <c r="NT67" s="43"/>
      <c r="NU67" s="43"/>
      <c r="NV67" s="43"/>
      <c r="NW67" s="43"/>
      <c r="NX67" s="43"/>
      <c r="NY67" s="43"/>
      <c r="NZ67" s="43"/>
      <c r="OA67" s="43"/>
      <c r="OB67" s="43"/>
      <c r="OC67" s="43"/>
      <c r="OD67" s="43"/>
      <c r="OE67" s="43"/>
      <c r="OF67" s="43"/>
      <c r="OG67" s="43"/>
      <c r="OH67" s="43"/>
      <c r="OI67" s="43"/>
      <c r="OJ67" s="43"/>
      <c r="OK67" s="43"/>
      <c r="OL67" s="43"/>
      <c r="OM67" s="43"/>
      <c r="ON67" s="43"/>
      <c r="OO67" s="43"/>
      <c r="OP67" s="43"/>
      <c r="OQ67" s="43"/>
      <c r="OR67" s="43"/>
      <c r="OS67" s="43"/>
      <c r="OT67" s="43"/>
      <c r="OU67" s="43"/>
      <c r="OV67" s="43"/>
      <c r="OW67" s="43"/>
      <c r="OX67" s="43"/>
      <c r="OY67" s="43"/>
      <c r="OZ67" s="43"/>
      <c r="PA67" s="43"/>
      <c r="PB67" s="43"/>
      <c r="PC67" s="43"/>
      <c r="PD67" s="43"/>
      <c r="PE67" s="43"/>
      <c r="PF67" s="43"/>
      <c r="PG67" s="43"/>
      <c r="PH67" s="43"/>
      <c r="PI67" s="43"/>
      <c r="PJ67" s="43"/>
      <c r="PK67" s="43"/>
      <c r="PL67" s="43"/>
      <c r="PM67" s="43"/>
      <c r="PN67" s="43"/>
      <c r="PO67" s="43"/>
      <c r="PP67" s="43"/>
      <c r="PQ67" s="43"/>
      <c r="PR67" s="43"/>
      <c r="PS67" s="43"/>
      <c r="PT67" s="43"/>
      <c r="PU67" s="43"/>
      <c r="PV67" s="43"/>
      <c r="PW67" s="43"/>
      <c r="PX67" s="43"/>
      <c r="PY67" s="43"/>
      <c r="PZ67" s="43"/>
      <c r="QA67" s="43"/>
      <c r="QB67" s="43"/>
      <c r="QC67" s="43"/>
    </row>
    <row r="68" spans="1:445" x14ac:dyDescent="0.3">
      <c r="A68" s="85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46" t="str">
        <f t="shared" si="6"/>
        <v/>
      </c>
      <c r="U68" s="46" t="str">
        <f t="shared" si="7"/>
        <v/>
      </c>
      <c r="V68" s="72" t="str">
        <f t="shared" si="4"/>
        <v/>
      </c>
      <c r="W68" s="48"/>
      <c r="X68" s="73" t="str">
        <f t="shared" si="8"/>
        <v/>
      </c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43"/>
      <c r="CY68" s="43"/>
      <c r="CZ68" s="43"/>
      <c r="DA68" s="43"/>
      <c r="DB68" s="43"/>
      <c r="DC68" s="43"/>
      <c r="DD68" s="43"/>
      <c r="DE68" s="43"/>
      <c r="DF68" s="43"/>
      <c r="DG68" s="43"/>
      <c r="DH68" s="43"/>
      <c r="DI68" s="43"/>
      <c r="DJ68" s="43"/>
      <c r="DK68" s="43"/>
      <c r="DL68" s="43"/>
      <c r="DM68" s="43"/>
      <c r="DN68" s="43"/>
      <c r="DO68" s="43"/>
      <c r="DP68" s="43"/>
      <c r="DQ68" s="43"/>
      <c r="DR68" s="43"/>
      <c r="DS68" s="43"/>
      <c r="DT68" s="43"/>
      <c r="DU68" s="43"/>
      <c r="DV68" s="43"/>
      <c r="DW68" s="43"/>
      <c r="DX68" s="43"/>
      <c r="DY68" s="43"/>
      <c r="DZ68" s="43"/>
      <c r="EA68" s="43"/>
      <c r="EB68" s="43"/>
      <c r="EC68" s="43"/>
      <c r="ED68" s="43"/>
      <c r="EE68" s="43"/>
      <c r="EF68" s="43"/>
      <c r="EG68" s="43"/>
      <c r="EH68" s="43"/>
      <c r="EI68" s="43"/>
      <c r="EJ68" s="43"/>
      <c r="EK68" s="43"/>
      <c r="EL68" s="43"/>
      <c r="EM68" s="43"/>
      <c r="EN68" s="43"/>
      <c r="EO68" s="43"/>
      <c r="EP68" s="43"/>
      <c r="EQ68" s="43"/>
      <c r="ER68" s="43"/>
      <c r="ES68" s="43"/>
      <c r="ET68" s="43"/>
      <c r="EU68" s="43"/>
      <c r="EV68" s="43"/>
      <c r="EW68" s="43"/>
      <c r="EX68" s="43"/>
      <c r="EY68" s="43"/>
      <c r="EZ68" s="43"/>
      <c r="FA68" s="43"/>
      <c r="FB68" s="43"/>
      <c r="FC68" s="43"/>
      <c r="FD68" s="43"/>
      <c r="FE68" s="43"/>
      <c r="FF68" s="43"/>
      <c r="FG68" s="43"/>
      <c r="FH68" s="43"/>
      <c r="FI68" s="43"/>
      <c r="FJ68" s="43"/>
      <c r="FK68" s="43"/>
      <c r="FL68" s="43"/>
      <c r="FM68" s="43"/>
      <c r="FN68" s="43"/>
      <c r="FO68" s="43"/>
      <c r="FP68" s="43"/>
      <c r="FQ68" s="43"/>
      <c r="FR68" s="43"/>
      <c r="FS68" s="43"/>
      <c r="FT68" s="43"/>
      <c r="FU68" s="43"/>
      <c r="FV68" s="43"/>
      <c r="FW68" s="43"/>
      <c r="FX68" s="43"/>
      <c r="FY68" s="43"/>
      <c r="FZ68" s="43"/>
      <c r="GA68" s="43"/>
      <c r="GB68" s="43"/>
      <c r="GC68" s="43"/>
      <c r="GD68" s="43"/>
      <c r="GE68" s="43"/>
      <c r="GF68" s="43"/>
      <c r="GG68" s="43"/>
      <c r="GH68" s="43"/>
      <c r="GI68" s="43"/>
      <c r="GJ68" s="43"/>
      <c r="GK68" s="43"/>
      <c r="GL68" s="43"/>
      <c r="GM68" s="43"/>
      <c r="GN68" s="43"/>
      <c r="GO68" s="43"/>
      <c r="GP68" s="43"/>
      <c r="GQ68" s="43"/>
      <c r="GR68" s="43"/>
      <c r="GS68" s="43"/>
      <c r="GT68" s="43"/>
      <c r="GU68" s="43"/>
      <c r="GV68" s="43"/>
      <c r="GW68" s="43"/>
      <c r="GX68" s="43"/>
      <c r="GY68" s="43"/>
      <c r="GZ68" s="43"/>
      <c r="HA68" s="43"/>
      <c r="HB68" s="43"/>
      <c r="HC68" s="43"/>
      <c r="HD68" s="43"/>
      <c r="HE68" s="43"/>
      <c r="HF68" s="43"/>
      <c r="HG68" s="43"/>
      <c r="HH68" s="43"/>
      <c r="HI68" s="43"/>
      <c r="HJ68" s="43"/>
      <c r="HK68" s="43"/>
      <c r="HL68" s="43"/>
      <c r="HM68" s="43"/>
      <c r="HN68" s="43"/>
      <c r="HO68" s="43"/>
      <c r="HP68" s="43"/>
      <c r="HQ68" s="43"/>
      <c r="HR68" s="43"/>
      <c r="HS68" s="43"/>
      <c r="HT68" s="43"/>
      <c r="HU68" s="43"/>
      <c r="HV68" s="43"/>
      <c r="HW68" s="43"/>
      <c r="HX68" s="43"/>
      <c r="HY68" s="43"/>
      <c r="HZ68" s="43"/>
      <c r="IA68" s="43"/>
      <c r="IB68" s="43"/>
      <c r="IC68" s="43"/>
      <c r="ID68" s="43"/>
      <c r="IE68" s="43"/>
      <c r="IF68" s="43"/>
      <c r="IG68" s="43"/>
      <c r="IH68" s="43"/>
      <c r="II68" s="43"/>
      <c r="IJ68" s="43"/>
      <c r="IK68" s="43"/>
      <c r="IL68" s="43"/>
      <c r="IM68" s="43"/>
      <c r="IN68" s="43"/>
      <c r="IO68" s="43"/>
      <c r="IP68" s="43"/>
      <c r="IQ68" s="43"/>
      <c r="IR68" s="43"/>
      <c r="IS68" s="43"/>
      <c r="IT68" s="43"/>
      <c r="IU68" s="43"/>
      <c r="IV68" s="43"/>
      <c r="IW68" s="43"/>
      <c r="IX68" s="43"/>
      <c r="IY68" s="43"/>
      <c r="IZ68" s="43"/>
      <c r="JA68" s="43"/>
      <c r="JB68" s="43"/>
      <c r="JC68" s="43"/>
      <c r="JD68" s="43"/>
      <c r="JE68" s="43"/>
      <c r="JF68" s="43"/>
      <c r="JG68" s="43"/>
      <c r="JH68" s="43"/>
      <c r="JI68" s="43"/>
      <c r="JJ68" s="43"/>
      <c r="JK68" s="43"/>
      <c r="JL68" s="43"/>
      <c r="JM68" s="43"/>
      <c r="JN68" s="43"/>
      <c r="JO68" s="43"/>
      <c r="JP68" s="43"/>
      <c r="JQ68" s="43"/>
      <c r="JR68" s="43"/>
      <c r="JS68" s="43"/>
      <c r="JT68" s="43"/>
      <c r="JU68" s="43"/>
      <c r="JV68" s="43"/>
      <c r="JW68" s="43"/>
      <c r="JX68" s="43"/>
      <c r="JY68" s="43"/>
      <c r="JZ68" s="43"/>
      <c r="KA68" s="43"/>
      <c r="KB68" s="43"/>
      <c r="KC68" s="43"/>
      <c r="KD68" s="43"/>
      <c r="KE68" s="43"/>
      <c r="KF68" s="43"/>
      <c r="KG68" s="43"/>
      <c r="KH68" s="43"/>
      <c r="KI68" s="43"/>
      <c r="KJ68" s="43"/>
      <c r="KK68" s="43"/>
      <c r="KL68" s="43"/>
      <c r="KM68" s="43"/>
      <c r="KN68" s="43"/>
      <c r="KO68" s="43"/>
      <c r="KP68" s="43"/>
      <c r="KQ68" s="43"/>
      <c r="KR68" s="43"/>
      <c r="KS68" s="43"/>
      <c r="KT68" s="43"/>
      <c r="KU68" s="43"/>
      <c r="KV68" s="43"/>
      <c r="KW68" s="43"/>
      <c r="KX68" s="43"/>
      <c r="KY68" s="43"/>
      <c r="KZ68" s="43"/>
      <c r="LA68" s="43"/>
      <c r="LB68" s="43"/>
      <c r="LC68" s="43"/>
      <c r="LD68" s="43"/>
      <c r="LE68" s="43"/>
      <c r="LF68" s="43"/>
      <c r="LG68" s="43"/>
      <c r="LH68" s="43"/>
      <c r="LI68" s="43"/>
      <c r="LJ68" s="43"/>
      <c r="LK68" s="43"/>
      <c r="LL68" s="43"/>
      <c r="LM68" s="43"/>
      <c r="LN68" s="43"/>
      <c r="LO68" s="43"/>
      <c r="LP68" s="43"/>
      <c r="LQ68" s="43"/>
      <c r="LR68" s="43"/>
      <c r="LS68" s="43"/>
      <c r="LT68" s="43"/>
      <c r="LU68" s="43"/>
      <c r="LV68" s="43"/>
      <c r="LW68" s="43"/>
      <c r="LX68" s="43"/>
      <c r="LY68" s="43"/>
      <c r="LZ68" s="43"/>
      <c r="MA68" s="43"/>
      <c r="MB68" s="43"/>
      <c r="MC68" s="43"/>
      <c r="MD68" s="43"/>
      <c r="ME68" s="43"/>
      <c r="MF68" s="43"/>
      <c r="MG68" s="43"/>
      <c r="MH68" s="43"/>
      <c r="MI68" s="43"/>
      <c r="MJ68" s="43"/>
      <c r="MK68" s="43"/>
      <c r="ML68" s="43"/>
      <c r="MM68" s="43"/>
      <c r="MN68" s="43"/>
      <c r="MO68" s="43"/>
      <c r="MP68" s="43"/>
      <c r="MQ68" s="43"/>
      <c r="MR68" s="43"/>
      <c r="MS68" s="43"/>
      <c r="MT68" s="43"/>
      <c r="MU68" s="43"/>
      <c r="MV68" s="43"/>
      <c r="MW68" s="43"/>
      <c r="MX68" s="43"/>
      <c r="MY68" s="43"/>
      <c r="MZ68" s="43"/>
      <c r="NA68" s="43"/>
      <c r="NB68" s="43"/>
      <c r="NC68" s="43"/>
      <c r="ND68" s="43"/>
      <c r="NE68" s="43"/>
      <c r="NF68" s="43"/>
      <c r="NG68" s="43"/>
      <c r="NH68" s="43"/>
      <c r="NI68" s="43"/>
      <c r="NJ68" s="43"/>
      <c r="NK68" s="43"/>
      <c r="NL68" s="43"/>
      <c r="NM68" s="43"/>
      <c r="NN68" s="43"/>
      <c r="NO68" s="43"/>
      <c r="NP68" s="43"/>
      <c r="NQ68" s="43"/>
      <c r="NR68" s="43"/>
      <c r="NS68" s="43"/>
      <c r="NT68" s="43"/>
      <c r="NU68" s="43"/>
      <c r="NV68" s="43"/>
      <c r="NW68" s="43"/>
      <c r="NX68" s="43"/>
      <c r="NY68" s="43"/>
      <c r="NZ68" s="43"/>
      <c r="OA68" s="43"/>
      <c r="OB68" s="43"/>
      <c r="OC68" s="43"/>
      <c r="OD68" s="43"/>
      <c r="OE68" s="43"/>
      <c r="OF68" s="43"/>
      <c r="OG68" s="43"/>
      <c r="OH68" s="43"/>
      <c r="OI68" s="43"/>
      <c r="OJ68" s="43"/>
      <c r="OK68" s="43"/>
      <c r="OL68" s="43"/>
      <c r="OM68" s="43"/>
      <c r="ON68" s="43"/>
      <c r="OO68" s="43"/>
      <c r="OP68" s="43"/>
      <c r="OQ68" s="43"/>
      <c r="OR68" s="43"/>
      <c r="OS68" s="43"/>
      <c r="OT68" s="43"/>
      <c r="OU68" s="43"/>
      <c r="OV68" s="43"/>
      <c r="OW68" s="43"/>
      <c r="OX68" s="43"/>
      <c r="OY68" s="43"/>
      <c r="OZ68" s="43"/>
      <c r="PA68" s="43"/>
      <c r="PB68" s="43"/>
      <c r="PC68" s="43"/>
      <c r="PD68" s="43"/>
      <c r="PE68" s="43"/>
      <c r="PF68" s="43"/>
      <c r="PG68" s="43"/>
      <c r="PH68" s="43"/>
      <c r="PI68" s="43"/>
      <c r="PJ68" s="43"/>
      <c r="PK68" s="43"/>
      <c r="PL68" s="43"/>
      <c r="PM68" s="43"/>
      <c r="PN68" s="43"/>
      <c r="PO68" s="43"/>
      <c r="PP68" s="43"/>
      <c r="PQ68" s="43"/>
      <c r="PR68" s="43"/>
      <c r="PS68" s="43"/>
      <c r="PT68" s="43"/>
      <c r="PU68" s="43"/>
      <c r="PV68" s="43"/>
      <c r="PW68" s="43"/>
      <c r="PX68" s="43"/>
      <c r="PY68" s="43"/>
      <c r="PZ68" s="43"/>
      <c r="QA68" s="43"/>
      <c r="QB68" s="43"/>
      <c r="QC68" s="43"/>
    </row>
    <row r="69" spans="1:445" x14ac:dyDescent="0.3">
      <c r="A69" s="85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46" t="str">
        <f t="shared" si="6"/>
        <v/>
      </c>
      <c r="U69" s="46" t="str">
        <f t="shared" si="7"/>
        <v/>
      </c>
      <c r="V69" s="72" t="str">
        <f t="shared" si="4"/>
        <v/>
      </c>
      <c r="W69" s="48"/>
      <c r="X69" s="73" t="str">
        <f t="shared" si="8"/>
        <v/>
      </c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43"/>
      <c r="CY69" s="43"/>
      <c r="CZ69" s="43"/>
      <c r="DA69" s="43"/>
      <c r="DB69" s="43"/>
      <c r="DC69" s="43"/>
      <c r="DD69" s="43"/>
      <c r="DE69" s="43"/>
      <c r="DF69" s="43"/>
      <c r="DG69" s="43"/>
      <c r="DH69" s="43"/>
      <c r="DI69" s="43"/>
      <c r="DJ69" s="43"/>
      <c r="DK69" s="43"/>
      <c r="DL69" s="43"/>
      <c r="DM69" s="43"/>
      <c r="DN69" s="43"/>
      <c r="DO69" s="43"/>
      <c r="DP69" s="43"/>
      <c r="DQ69" s="43"/>
      <c r="DR69" s="43"/>
      <c r="DS69" s="43"/>
      <c r="DT69" s="43"/>
      <c r="DU69" s="43"/>
      <c r="DV69" s="43"/>
      <c r="DW69" s="43"/>
      <c r="DX69" s="43"/>
      <c r="DY69" s="43"/>
      <c r="DZ69" s="43"/>
      <c r="EA69" s="43"/>
      <c r="EB69" s="43"/>
      <c r="EC69" s="43"/>
      <c r="ED69" s="43"/>
      <c r="EE69" s="43"/>
      <c r="EF69" s="43"/>
      <c r="EG69" s="43"/>
      <c r="EH69" s="43"/>
      <c r="EI69" s="43"/>
      <c r="EJ69" s="43"/>
      <c r="EK69" s="43"/>
      <c r="EL69" s="43"/>
      <c r="EM69" s="43"/>
      <c r="EN69" s="43"/>
      <c r="EO69" s="43"/>
      <c r="EP69" s="43"/>
      <c r="EQ69" s="43"/>
      <c r="ER69" s="43"/>
      <c r="ES69" s="43"/>
      <c r="ET69" s="43"/>
      <c r="EU69" s="43"/>
      <c r="EV69" s="43"/>
      <c r="EW69" s="43"/>
      <c r="EX69" s="43"/>
      <c r="EY69" s="43"/>
      <c r="EZ69" s="43"/>
      <c r="FA69" s="43"/>
      <c r="FB69" s="43"/>
      <c r="FC69" s="43"/>
      <c r="FD69" s="43"/>
      <c r="FE69" s="43"/>
      <c r="FF69" s="43"/>
      <c r="FG69" s="43"/>
      <c r="FH69" s="43"/>
      <c r="FI69" s="43"/>
      <c r="FJ69" s="43"/>
      <c r="FK69" s="43"/>
      <c r="FL69" s="43"/>
      <c r="FM69" s="43"/>
      <c r="FN69" s="43"/>
      <c r="FO69" s="43"/>
      <c r="FP69" s="43"/>
      <c r="FQ69" s="43"/>
      <c r="FR69" s="43"/>
      <c r="FS69" s="43"/>
      <c r="FT69" s="43"/>
      <c r="FU69" s="43"/>
      <c r="FV69" s="43"/>
      <c r="FW69" s="43"/>
      <c r="FX69" s="43"/>
      <c r="FY69" s="43"/>
      <c r="FZ69" s="43"/>
      <c r="GA69" s="43"/>
      <c r="GB69" s="43"/>
      <c r="GC69" s="43"/>
      <c r="GD69" s="43"/>
      <c r="GE69" s="43"/>
      <c r="GF69" s="43"/>
      <c r="GG69" s="43"/>
      <c r="GH69" s="43"/>
      <c r="GI69" s="43"/>
      <c r="GJ69" s="43"/>
      <c r="GK69" s="43"/>
      <c r="GL69" s="43"/>
      <c r="GM69" s="43"/>
      <c r="GN69" s="43"/>
      <c r="GO69" s="43"/>
      <c r="GP69" s="43"/>
      <c r="GQ69" s="43"/>
      <c r="GR69" s="43"/>
      <c r="GS69" s="43"/>
      <c r="GT69" s="43"/>
      <c r="GU69" s="43"/>
      <c r="GV69" s="43"/>
      <c r="GW69" s="43"/>
      <c r="GX69" s="43"/>
      <c r="GY69" s="43"/>
      <c r="GZ69" s="43"/>
      <c r="HA69" s="43"/>
      <c r="HB69" s="43"/>
      <c r="HC69" s="43"/>
      <c r="HD69" s="43"/>
      <c r="HE69" s="43"/>
      <c r="HF69" s="43"/>
      <c r="HG69" s="43"/>
      <c r="HH69" s="43"/>
      <c r="HI69" s="43"/>
      <c r="HJ69" s="43"/>
      <c r="HK69" s="43"/>
      <c r="HL69" s="43"/>
      <c r="HM69" s="43"/>
      <c r="HN69" s="43"/>
      <c r="HO69" s="43"/>
      <c r="HP69" s="43"/>
      <c r="HQ69" s="43"/>
      <c r="HR69" s="43"/>
      <c r="HS69" s="43"/>
      <c r="HT69" s="43"/>
      <c r="HU69" s="43"/>
      <c r="HV69" s="43"/>
      <c r="HW69" s="43"/>
      <c r="HX69" s="43"/>
      <c r="HY69" s="43"/>
      <c r="HZ69" s="43"/>
      <c r="IA69" s="43"/>
      <c r="IB69" s="43"/>
      <c r="IC69" s="43"/>
      <c r="ID69" s="43"/>
      <c r="IE69" s="43"/>
      <c r="IF69" s="43"/>
      <c r="IG69" s="43"/>
      <c r="IH69" s="43"/>
      <c r="II69" s="43"/>
      <c r="IJ69" s="43"/>
      <c r="IK69" s="43"/>
      <c r="IL69" s="43"/>
      <c r="IM69" s="43"/>
      <c r="IN69" s="43"/>
      <c r="IO69" s="43"/>
      <c r="IP69" s="43"/>
      <c r="IQ69" s="43"/>
      <c r="IR69" s="43"/>
      <c r="IS69" s="43"/>
      <c r="IT69" s="43"/>
      <c r="IU69" s="43"/>
      <c r="IV69" s="43"/>
      <c r="IW69" s="43"/>
      <c r="IX69" s="43"/>
      <c r="IY69" s="43"/>
      <c r="IZ69" s="43"/>
      <c r="JA69" s="43"/>
      <c r="JB69" s="43"/>
      <c r="JC69" s="43"/>
      <c r="JD69" s="43"/>
      <c r="JE69" s="43"/>
      <c r="JF69" s="43"/>
      <c r="JG69" s="43"/>
      <c r="JH69" s="43"/>
      <c r="JI69" s="43"/>
      <c r="JJ69" s="43"/>
      <c r="JK69" s="43"/>
      <c r="JL69" s="43"/>
      <c r="JM69" s="43"/>
      <c r="JN69" s="43"/>
      <c r="JO69" s="43"/>
      <c r="JP69" s="43"/>
      <c r="JQ69" s="43"/>
      <c r="JR69" s="43"/>
      <c r="JS69" s="43"/>
      <c r="JT69" s="43"/>
      <c r="JU69" s="43"/>
      <c r="JV69" s="43"/>
      <c r="JW69" s="43"/>
      <c r="JX69" s="43"/>
      <c r="JY69" s="43"/>
      <c r="JZ69" s="43"/>
      <c r="KA69" s="43"/>
      <c r="KB69" s="43"/>
      <c r="KC69" s="43"/>
      <c r="KD69" s="43"/>
      <c r="KE69" s="43"/>
      <c r="KF69" s="43"/>
      <c r="KG69" s="43"/>
      <c r="KH69" s="43"/>
      <c r="KI69" s="43"/>
      <c r="KJ69" s="43"/>
      <c r="KK69" s="43"/>
      <c r="KL69" s="43"/>
      <c r="KM69" s="43"/>
      <c r="KN69" s="43"/>
      <c r="KO69" s="43"/>
      <c r="KP69" s="43"/>
      <c r="KQ69" s="43"/>
      <c r="KR69" s="43"/>
      <c r="KS69" s="43"/>
      <c r="KT69" s="43"/>
      <c r="KU69" s="43"/>
      <c r="KV69" s="43"/>
      <c r="KW69" s="43"/>
      <c r="KX69" s="43"/>
      <c r="KY69" s="43"/>
      <c r="KZ69" s="43"/>
      <c r="LA69" s="43"/>
      <c r="LB69" s="43"/>
      <c r="LC69" s="43"/>
      <c r="LD69" s="43"/>
      <c r="LE69" s="43"/>
      <c r="LF69" s="43"/>
      <c r="LG69" s="43"/>
      <c r="LH69" s="43"/>
      <c r="LI69" s="43"/>
      <c r="LJ69" s="43"/>
      <c r="LK69" s="43"/>
      <c r="LL69" s="43"/>
      <c r="LM69" s="43"/>
      <c r="LN69" s="43"/>
      <c r="LO69" s="43"/>
      <c r="LP69" s="43"/>
      <c r="LQ69" s="43"/>
      <c r="LR69" s="43"/>
      <c r="LS69" s="43"/>
      <c r="LT69" s="43"/>
      <c r="LU69" s="43"/>
      <c r="LV69" s="43"/>
      <c r="LW69" s="43"/>
      <c r="LX69" s="43"/>
      <c r="LY69" s="43"/>
      <c r="LZ69" s="43"/>
      <c r="MA69" s="43"/>
      <c r="MB69" s="43"/>
      <c r="MC69" s="43"/>
      <c r="MD69" s="43"/>
      <c r="ME69" s="43"/>
      <c r="MF69" s="43"/>
      <c r="MG69" s="43"/>
      <c r="MH69" s="43"/>
      <c r="MI69" s="43"/>
      <c r="MJ69" s="43"/>
      <c r="MK69" s="43"/>
      <c r="ML69" s="43"/>
      <c r="MM69" s="43"/>
      <c r="MN69" s="43"/>
      <c r="MO69" s="43"/>
      <c r="MP69" s="43"/>
      <c r="MQ69" s="43"/>
      <c r="MR69" s="43"/>
      <c r="MS69" s="43"/>
      <c r="MT69" s="43"/>
      <c r="MU69" s="43"/>
      <c r="MV69" s="43"/>
      <c r="MW69" s="43"/>
      <c r="MX69" s="43"/>
      <c r="MY69" s="43"/>
      <c r="MZ69" s="43"/>
      <c r="NA69" s="43"/>
      <c r="NB69" s="43"/>
      <c r="NC69" s="43"/>
      <c r="ND69" s="43"/>
      <c r="NE69" s="43"/>
      <c r="NF69" s="43"/>
      <c r="NG69" s="43"/>
      <c r="NH69" s="43"/>
      <c r="NI69" s="43"/>
      <c r="NJ69" s="43"/>
      <c r="NK69" s="43"/>
      <c r="NL69" s="43"/>
      <c r="NM69" s="43"/>
      <c r="NN69" s="43"/>
      <c r="NO69" s="43"/>
      <c r="NP69" s="43"/>
      <c r="NQ69" s="43"/>
      <c r="NR69" s="43"/>
      <c r="NS69" s="43"/>
      <c r="NT69" s="43"/>
      <c r="NU69" s="43"/>
      <c r="NV69" s="43"/>
      <c r="NW69" s="43"/>
      <c r="NX69" s="43"/>
      <c r="NY69" s="43"/>
      <c r="NZ69" s="43"/>
      <c r="OA69" s="43"/>
      <c r="OB69" s="43"/>
      <c r="OC69" s="43"/>
      <c r="OD69" s="43"/>
      <c r="OE69" s="43"/>
      <c r="OF69" s="43"/>
      <c r="OG69" s="43"/>
      <c r="OH69" s="43"/>
      <c r="OI69" s="43"/>
      <c r="OJ69" s="43"/>
      <c r="OK69" s="43"/>
      <c r="OL69" s="43"/>
      <c r="OM69" s="43"/>
      <c r="ON69" s="43"/>
      <c r="OO69" s="43"/>
      <c r="OP69" s="43"/>
      <c r="OQ69" s="43"/>
      <c r="OR69" s="43"/>
      <c r="OS69" s="43"/>
      <c r="OT69" s="43"/>
      <c r="OU69" s="43"/>
      <c r="OV69" s="43"/>
      <c r="OW69" s="43"/>
      <c r="OX69" s="43"/>
      <c r="OY69" s="43"/>
      <c r="OZ69" s="43"/>
      <c r="PA69" s="43"/>
      <c r="PB69" s="43"/>
      <c r="PC69" s="43"/>
      <c r="PD69" s="43"/>
      <c r="PE69" s="43"/>
      <c r="PF69" s="43"/>
      <c r="PG69" s="43"/>
      <c r="PH69" s="43"/>
      <c r="PI69" s="43"/>
      <c r="PJ69" s="43"/>
      <c r="PK69" s="43"/>
      <c r="PL69" s="43"/>
      <c r="PM69" s="43"/>
      <c r="PN69" s="43"/>
      <c r="PO69" s="43"/>
      <c r="PP69" s="43"/>
      <c r="PQ69" s="43"/>
      <c r="PR69" s="43"/>
      <c r="PS69" s="43"/>
      <c r="PT69" s="43"/>
      <c r="PU69" s="43"/>
      <c r="PV69" s="43"/>
      <c r="PW69" s="43"/>
      <c r="PX69" s="43"/>
      <c r="PY69" s="43"/>
      <c r="PZ69" s="43"/>
      <c r="QA69" s="43"/>
      <c r="QB69" s="43"/>
      <c r="QC69" s="43"/>
    </row>
    <row r="70" spans="1:445" x14ac:dyDescent="0.3">
      <c r="A70" s="85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46" t="str">
        <f t="shared" si="6"/>
        <v/>
      </c>
      <c r="U70" s="46" t="str">
        <f t="shared" si="7"/>
        <v/>
      </c>
      <c r="V70" s="72" t="str">
        <f t="shared" si="4"/>
        <v/>
      </c>
      <c r="W70" s="48"/>
      <c r="X70" s="73" t="str">
        <f t="shared" si="8"/>
        <v/>
      </c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43"/>
      <c r="CY70" s="43"/>
      <c r="CZ70" s="43"/>
      <c r="DA70" s="43"/>
      <c r="DB70" s="43"/>
      <c r="DC70" s="43"/>
      <c r="DD70" s="43"/>
      <c r="DE70" s="43"/>
      <c r="DF70" s="43"/>
      <c r="DG70" s="43"/>
      <c r="DH70" s="43"/>
      <c r="DI70" s="43"/>
      <c r="DJ70" s="43"/>
      <c r="DK70" s="43"/>
      <c r="DL70" s="43"/>
      <c r="DM70" s="43"/>
      <c r="DN70" s="43"/>
      <c r="DO70" s="43"/>
      <c r="DP70" s="43"/>
      <c r="DQ70" s="43"/>
      <c r="DR70" s="43"/>
      <c r="DS70" s="43"/>
      <c r="DT70" s="43"/>
      <c r="DU70" s="43"/>
      <c r="DV70" s="43"/>
      <c r="DW70" s="43"/>
      <c r="DX70" s="43"/>
      <c r="DY70" s="43"/>
      <c r="DZ70" s="43"/>
      <c r="EA70" s="43"/>
      <c r="EB70" s="43"/>
      <c r="EC70" s="43"/>
      <c r="ED70" s="43"/>
      <c r="EE70" s="43"/>
      <c r="EF70" s="43"/>
      <c r="EG70" s="43"/>
      <c r="EH70" s="43"/>
      <c r="EI70" s="43"/>
      <c r="EJ70" s="43"/>
      <c r="EK70" s="43"/>
      <c r="EL70" s="43"/>
      <c r="EM70" s="43"/>
      <c r="EN70" s="43"/>
      <c r="EO70" s="43"/>
      <c r="EP70" s="43"/>
      <c r="EQ70" s="43"/>
      <c r="ER70" s="43"/>
      <c r="ES70" s="43"/>
      <c r="ET70" s="43"/>
      <c r="EU70" s="43"/>
      <c r="EV70" s="43"/>
      <c r="EW70" s="43"/>
      <c r="EX70" s="43"/>
      <c r="EY70" s="43"/>
      <c r="EZ70" s="43"/>
      <c r="FA70" s="43"/>
      <c r="FB70" s="43"/>
      <c r="FC70" s="43"/>
      <c r="FD70" s="43"/>
      <c r="FE70" s="43"/>
      <c r="FF70" s="43"/>
      <c r="FG70" s="43"/>
      <c r="FH70" s="43"/>
      <c r="FI70" s="43"/>
      <c r="FJ70" s="43"/>
      <c r="FK70" s="43"/>
      <c r="FL70" s="43"/>
      <c r="FM70" s="43"/>
      <c r="FN70" s="43"/>
      <c r="FO70" s="43"/>
      <c r="FP70" s="43"/>
      <c r="FQ70" s="43"/>
      <c r="FR70" s="43"/>
      <c r="FS70" s="43"/>
      <c r="FT70" s="43"/>
      <c r="FU70" s="43"/>
      <c r="FV70" s="43"/>
      <c r="FW70" s="43"/>
      <c r="FX70" s="43"/>
      <c r="FY70" s="43"/>
      <c r="FZ70" s="43"/>
      <c r="GA70" s="43"/>
      <c r="GB70" s="43"/>
      <c r="GC70" s="43"/>
      <c r="GD70" s="43"/>
      <c r="GE70" s="43"/>
      <c r="GF70" s="43"/>
      <c r="GG70" s="43"/>
      <c r="GH70" s="43"/>
      <c r="GI70" s="43"/>
      <c r="GJ70" s="43"/>
      <c r="GK70" s="43"/>
      <c r="GL70" s="43"/>
      <c r="GM70" s="43"/>
      <c r="GN70" s="43"/>
      <c r="GO70" s="43"/>
      <c r="GP70" s="43"/>
      <c r="GQ70" s="43"/>
      <c r="GR70" s="43"/>
      <c r="GS70" s="43"/>
      <c r="GT70" s="43"/>
      <c r="GU70" s="43"/>
      <c r="GV70" s="43"/>
      <c r="GW70" s="43"/>
      <c r="GX70" s="43"/>
      <c r="GY70" s="43"/>
      <c r="GZ70" s="43"/>
      <c r="HA70" s="43"/>
      <c r="HB70" s="43"/>
      <c r="HC70" s="43"/>
      <c r="HD70" s="43"/>
      <c r="HE70" s="43"/>
      <c r="HF70" s="43"/>
      <c r="HG70" s="43"/>
      <c r="HH70" s="43"/>
      <c r="HI70" s="43"/>
      <c r="HJ70" s="43"/>
      <c r="HK70" s="43"/>
      <c r="HL70" s="43"/>
      <c r="HM70" s="43"/>
      <c r="HN70" s="43"/>
      <c r="HO70" s="43"/>
      <c r="HP70" s="43"/>
      <c r="HQ70" s="43"/>
      <c r="HR70" s="43"/>
      <c r="HS70" s="43"/>
      <c r="HT70" s="43"/>
      <c r="HU70" s="43"/>
      <c r="HV70" s="43"/>
      <c r="HW70" s="43"/>
      <c r="HX70" s="43"/>
      <c r="HY70" s="43"/>
      <c r="HZ70" s="43"/>
      <c r="IA70" s="43"/>
      <c r="IB70" s="43"/>
      <c r="IC70" s="43"/>
      <c r="ID70" s="43"/>
      <c r="IE70" s="43"/>
      <c r="IF70" s="43"/>
      <c r="IG70" s="43"/>
      <c r="IH70" s="43"/>
      <c r="II70" s="43"/>
      <c r="IJ70" s="43"/>
      <c r="IK70" s="43"/>
      <c r="IL70" s="43"/>
      <c r="IM70" s="43"/>
      <c r="IN70" s="43"/>
      <c r="IO70" s="43"/>
      <c r="IP70" s="43"/>
      <c r="IQ70" s="43"/>
      <c r="IR70" s="43"/>
      <c r="IS70" s="43"/>
      <c r="IT70" s="43"/>
      <c r="IU70" s="43"/>
      <c r="IV70" s="43"/>
      <c r="IW70" s="43"/>
      <c r="IX70" s="43"/>
      <c r="IY70" s="43"/>
      <c r="IZ70" s="43"/>
      <c r="JA70" s="43"/>
      <c r="JB70" s="43"/>
      <c r="JC70" s="43"/>
      <c r="JD70" s="43"/>
      <c r="JE70" s="43"/>
      <c r="JF70" s="43"/>
      <c r="JG70" s="43"/>
      <c r="JH70" s="43"/>
      <c r="JI70" s="43"/>
      <c r="JJ70" s="43"/>
      <c r="JK70" s="43"/>
      <c r="JL70" s="43"/>
      <c r="JM70" s="43"/>
      <c r="JN70" s="43"/>
      <c r="JO70" s="43"/>
      <c r="JP70" s="43"/>
      <c r="JQ70" s="43"/>
      <c r="JR70" s="43"/>
      <c r="JS70" s="43"/>
      <c r="JT70" s="43"/>
      <c r="JU70" s="43"/>
      <c r="JV70" s="43"/>
      <c r="JW70" s="43"/>
      <c r="JX70" s="43"/>
      <c r="JY70" s="43"/>
      <c r="JZ70" s="43"/>
      <c r="KA70" s="43"/>
      <c r="KB70" s="43"/>
      <c r="KC70" s="43"/>
      <c r="KD70" s="43"/>
      <c r="KE70" s="43"/>
      <c r="KF70" s="43"/>
      <c r="KG70" s="43"/>
      <c r="KH70" s="43"/>
      <c r="KI70" s="43"/>
      <c r="KJ70" s="43"/>
      <c r="KK70" s="43"/>
      <c r="KL70" s="43"/>
      <c r="KM70" s="43"/>
      <c r="KN70" s="43"/>
      <c r="KO70" s="43"/>
      <c r="KP70" s="43"/>
      <c r="KQ70" s="43"/>
      <c r="KR70" s="43"/>
      <c r="KS70" s="43"/>
      <c r="KT70" s="43"/>
      <c r="KU70" s="43"/>
      <c r="KV70" s="43"/>
      <c r="KW70" s="43"/>
      <c r="KX70" s="43"/>
      <c r="KY70" s="43"/>
      <c r="KZ70" s="43"/>
      <c r="LA70" s="43"/>
      <c r="LB70" s="43"/>
      <c r="LC70" s="43"/>
      <c r="LD70" s="43"/>
      <c r="LE70" s="43"/>
      <c r="LF70" s="43"/>
      <c r="LG70" s="43"/>
      <c r="LH70" s="43"/>
      <c r="LI70" s="43"/>
      <c r="LJ70" s="43"/>
      <c r="LK70" s="43"/>
      <c r="LL70" s="43"/>
      <c r="LM70" s="43"/>
      <c r="LN70" s="43"/>
      <c r="LO70" s="43"/>
      <c r="LP70" s="43"/>
      <c r="LQ70" s="43"/>
      <c r="LR70" s="43"/>
      <c r="LS70" s="43"/>
      <c r="LT70" s="43"/>
      <c r="LU70" s="43"/>
      <c r="LV70" s="43"/>
      <c r="LW70" s="43"/>
      <c r="LX70" s="43"/>
      <c r="LY70" s="43"/>
      <c r="LZ70" s="43"/>
      <c r="MA70" s="43"/>
      <c r="MB70" s="43"/>
      <c r="MC70" s="43"/>
      <c r="MD70" s="43"/>
      <c r="ME70" s="43"/>
      <c r="MF70" s="43"/>
      <c r="MG70" s="43"/>
      <c r="MH70" s="43"/>
      <c r="MI70" s="43"/>
      <c r="MJ70" s="43"/>
      <c r="MK70" s="43"/>
      <c r="ML70" s="43"/>
      <c r="MM70" s="43"/>
      <c r="MN70" s="43"/>
      <c r="MO70" s="43"/>
      <c r="MP70" s="43"/>
      <c r="MQ70" s="43"/>
      <c r="MR70" s="43"/>
      <c r="MS70" s="43"/>
      <c r="MT70" s="43"/>
      <c r="MU70" s="43"/>
      <c r="MV70" s="43"/>
      <c r="MW70" s="43"/>
      <c r="MX70" s="43"/>
      <c r="MY70" s="43"/>
      <c r="MZ70" s="43"/>
      <c r="NA70" s="43"/>
      <c r="NB70" s="43"/>
      <c r="NC70" s="43"/>
      <c r="ND70" s="43"/>
      <c r="NE70" s="43"/>
      <c r="NF70" s="43"/>
      <c r="NG70" s="43"/>
      <c r="NH70" s="43"/>
      <c r="NI70" s="43"/>
      <c r="NJ70" s="43"/>
      <c r="NK70" s="43"/>
      <c r="NL70" s="43"/>
      <c r="NM70" s="43"/>
      <c r="NN70" s="43"/>
      <c r="NO70" s="43"/>
      <c r="NP70" s="43"/>
      <c r="NQ70" s="43"/>
      <c r="NR70" s="43"/>
      <c r="NS70" s="43"/>
      <c r="NT70" s="43"/>
      <c r="NU70" s="43"/>
      <c r="NV70" s="43"/>
      <c r="NW70" s="43"/>
      <c r="NX70" s="43"/>
      <c r="NY70" s="43"/>
      <c r="NZ70" s="43"/>
      <c r="OA70" s="43"/>
      <c r="OB70" s="43"/>
      <c r="OC70" s="43"/>
      <c r="OD70" s="43"/>
      <c r="OE70" s="43"/>
      <c r="OF70" s="43"/>
      <c r="OG70" s="43"/>
      <c r="OH70" s="43"/>
      <c r="OI70" s="43"/>
      <c r="OJ70" s="43"/>
      <c r="OK70" s="43"/>
      <c r="OL70" s="43"/>
      <c r="OM70" s="43"/>
      <c r="ON70" s="43"/>
      <c r="OO70" s="43"/>
      <c r="OP70" s="43"/>
      <c r="OQ70" s="43"/>
      <c r="OR70" s="43"/>
      <c r="OS70" s="43"/>
      <c r="OT70" s="43"/>
      <c r="OU70" s="43"/>
      <c r="OV70" s="43"/>
      <c r="OW70" s="43"/>
      <c r="OX70" s="43"/>
      <c r="OY70" s="43"/>
      <c r="OZ70" s="43"/>
      <c r="PA70" s="43"/>
      <c r="PB70" s="43"/>
      <c r="PC70" s="43"/>
      <c r="PD70" s="43"/>
      <c r="PE70" s="43"/>
      <c r="PF70" s="43"/>
      <c r="PG70" s="43"/>
      <c r="PH70" s="43"/>
      <c r="PI70" s="43"/>
      <c r="PJ70" s="43"/>
      <c r="PK70" s="43"/>
      <c r="PL70" s="43"/>
      <c r="PM70" s="43"/>
      <c r="PN70" s="43"/>
      <c r="PO70" s="43"/>
      <c r="PP70" s="43"/>
      <c r="PQ70" s="43"/>
      <c r="PR70" s="43"/>
      <c r="PS70" s="43"/>
      <c r="PT70" s="43"/>
      <c r="PU70" s="43"/>
      <c r="PV70" s="43"/>
      <c r="PW70" s="43"/>
      <c r="PX70" s="43"/>
      <c r="PY70" s="43"/>
      <c r="PZ70" s="43"/>
      <c r="QA70" s="43"/>
      <c r="QB70" s="43"/>
      <c r="QC70" s="43"/>
    </row>
    <row r="71" spans="1:445" x14ac:dyDescent="0.3">
      <c r="A71" s="85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46" t="str">
        <f t="shared" si="6"/>
        <v/>
      </c>
      <c r="U71" s="46" t="str">
        <f t="shared" si="7"/>
        <v/>
      </c>
      <c r="V71" s="72" t="str">
        <f t="shared" si="4"/>
        <v/>
      </c>
      <c r="W71" s="48"/>
      <c r="X71" s="73" t="str">
        <f t="shared" si="8"/>
        <v/>
      </c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43"/>
      <c r="CY71" s="43"/>
      <c r="CZ71" s="43"/>
      <c r="DA71" s="43"/>
      <c r="DB71" s="43"/>
      <c r="DC71" s="43"/>
      <c r="DD71" s="43"/>
      <c r="DE71" s="43"/>
      <c r="DF71" s="43"/>
      <c r="DG71" s="43"/>
      <c r="DH71" s="43"/>
      <c r="DI71" s="43"/>
      <c r="DJ71" s="43"/>
      <c r="DK71" s="43"/>
      <c r="DL71" s="43"/>
      <c r="DM71" s="43"/>
      <c r="DN71" s="43"/>
      <c r="DO71" s="43"/>
      <c r="DP71" s="43"/>
      <c r="DQ71" s="43"/>
      <c r="DR71" s="43"/>
      <c r="DS71" s="43"/>
      <c r="DT71" s="43"/>
      <c r="DU71" s="43"/>
      <c r="DV71" s="43"/>
      <c r="DW71" s="43"/>
      <c r="DX71" s="43"/>
      <c r="DY71" s="43"/>
      <c r="DZ71" s="43"/>
      <c r="EA71" s="43"/>
      <c r="EB71" s="43"/>
      <c r="EC71" s="43"/>
      <c r="ED71" s="43"/>
      <c r="EE71" s="43"/>
      <c r="EF71" s="43"/>
      <c r="EG71" s="43"/>
      <c r="EH71" s="43"/>
      <c r="EI71" s="43"/>
      <c r="EJ71" s="43"/>
      <c r="EK71" s="43"/>
      <c r="EL71" s="43"/>
      <c r="EM71" s="43"/>
      <c r="EN71" s="43"/>
      <c r="EO71" s="43"/>
      <c r="EP71" s="43"/>
      <c r="EQ71" s="43"/>
      <c r="ER71" s="43"/>
      <c r="ES71" s="43"/>
      <c r="ET71" s="43"/>
      <c r="EU71" s="43"/>
      <c r="EV71" s="43"/>
      <c r="EW71" s="43"/>
      <c r="EX71" s="43"/>
      <c r="EY71" s="43"/>
      <c r="EZ71" s="43"/>
      <c r="FA71" s="43"/>
      <c r="FB71" s="43"/>
      <c r="FC71" s="43"/>
      <c r="FD71" s="43"/>
      <c r="FE71" s="43"/>
      <c r="FF71" s="43"/>
      <c r="FG71" s="43"/>
      <c r="FH71" s="43"/>
      <c r="FI71" s="43"/>
      <c r="FJ71" s="43"/>
      <c r="FK71" s="43"/>
      <c r="FL71" s="43"/>
      <c r="FM71" s="43"/>
      <c r="FN71" s="43"/>
      <c r="FO71" s="43"/>
      <c r="FP71" s="43"/>
      <c r="FQ71" s="43"/>
      <c r="FR71" s="43"/>
      <c r="FS71" s="43"/>
      <c r="FT71" s="43"/>
      <c r="FU71" s="43"/>
      <c r="FV71" s="43"/>
      <c r="FW71" s="43"/>
      <c r="FX71" s="43"/>
      <c r="FY71" s="43"/>
      <c r="FZ71" s="43"/>
      <c r="GA71" s="43"/>
      <c r="GB71" s="43"/>
      <c r="GC71" s="43"/>
      <c r="GD71" s="43"/>
      <c r="GE71" s="43"/>
      <c r="GF71" s="43"/>
      <c r="GG71" s="43"/>
      <c r="GH71" s="43"/>
      <c r="GI71" s="43"/>
      <c r="GJ71" s="43"/>
      <c r="GK71" s="43"/>
      <c r="GL71" s="43"/>
      <c r="GM71" s="43"/>
      <c r="GN71" s="43"/>
      <c r="GO71" s="43"/>
      <c r="GP71" s="43"/>
      <c r="GQ71" s="43"/>
      <c r="GR71" s="43"/>
      <c r="GS71" s="43"/>
      <c r="GT71" s="43"/>
      <c r="GU71" s="43"/>
      <c r="GV71" s="43"/>
      <c r="GW71" s="43"/>
      <c r="GX71" s="43"/>
      <c r="GY71" s="43"/>
      <c r="GZ71" s="43"/>
      <c r="HA71" s="43"/>
      <c r="HB71" s="43"/>
      <c r="HC71" s="43"/>
      <c r="HD71" s="43"/>
      <c r="HE71" s="43"/>
      <c r="HF71" s="43"/>
      <c r="HG71" s="43"/>
      <c r="HH71" s="43"/>
      <c r="HI71" s="43"/>
      <c r="HJ71" s="43"/>
      <c r="HK71" s="43"/>
      <c r="HL71" s="43"/>
      <c r="HM71" s="43"/>
      <c r="HN71" s="43"/>
      <c r="HO71" s="43"/>
      <c r="HP71" s="43"/>
      <c r="HQ71" s="43"/>
      <c r="HR71" s="43"/>
      <c r="HS71" s="43"/>
      <c r="HT71" s="43"/>
      <c r="HU71" s="43"/>
      <c r="HV71" s="43"/>
      <c r="HW71" s="43"/>
      <c r="HX71" s="43"/>
      <c r="HY71" s="43"/>
      <c r="HZ71" s="43"/>
      <c r="IA71" s="43"/>
      <c r="IB71" s="43"/>
      <c r="IC71" s="43"/>
      <c r="ID71" s="43"/>
      <c r="IE71" s="43"/>
      <c r="IF71" s="43"/>
      <c r="IG71" s="43"/>
      <c r="IH71" s="43"/>
      <c r="II71" s="43"/>
      <c r="IJ71" s="43"/>
      <c r="IK71" s="43"/>
      <c r="IL71" s="43"/>
      <c r="IM71" s="43"/>
      <c r="IN71" s="43"/>
      <c r="IO71" s="43"/>
      <c r="IP71" s="43"/>
      <c r="IQ71" s="43"/>
      <c r="IR71" s="43"/>
      <c r="IS71" s="43"/>
      <c r="IT71" s="43"/>
      <c r="IU71" s="43"/>
      <c r="IV71" s="43"/>
      <c r="IW71" s="43"/>
      <c r="IX71" s="43"/>
      <c r="IY71" s="43"/>
      <c r="IZ71" s="43"/>
      <c r="JA71" s="43"/>
      <c r="JB71" s="43"/>
      <c r="JC71" s="43"/>
      <c r="JD71" s="43"/>
      <c r="JE71" s="43"/>
      <c r="JF71" s="43"/>
      <c r="JG71" s="43"/>
      <c r="JH71" s="43"/>
      <c r="JI71" s="43"/>
      <c r="JJ71" s="43"/>
      <c r="JK71" s="43"/>
      <c r="JL71" s="43"/>
      <c r="JM71" s="43"/>
      <c r="JN71" s="43"/>
      <c r="JO71" s="43"/>
      <c r="JP71" s="43"/>
      <c r="JQ71" s="43"/>
      <c r="JR71" s="43"/>
      <c r="JS71" s="43"/>
      <c r="JT71" s="43"/>
      <c r="JU71" s="43"/>
      <c r="JV71" s="43"/>
      <c r="JW71" s="43"/>
      <c r="JX71" s="43"/>
      <c r="JY71" s="43"/>
      <c r="JZ71" s="43"/>
      <c r="KA71" s="43"/>
      <c r="KB71" s="43"/>
      <c r="KC71" s="43"/>
      <c r="KD71" s="43"/>
      <c r="KE71" s="43"/>
      <c r="KF71" s="43"/>
      <c r="KG71" s="43"/>
      <c r="KH71" s="43"/>
      <c r="KI71" s="43"/>
      <c r="KJ71" s="43"/>
      <c r="KK71" s="43"/>
      <c r="KL71" s="43"/>
      <c r="KM71" s="43"/>
      <c r="KN71" s="43"/>
      <c r="KO71" s="43"/>
      <c r="KP71" s="43"/>
      <c r="KQ71" s="43"/>
      <c r="KR71" s="43"/>
      <c r="KS71" s="43"/>
      <c r="KT71" s="43"/>
      <c r="KU71" s="43"/>
      <c r="KV71" s="43"/>
      <c r="KW71" s="43"/>
      <c r="KX71" s="43"/>
      <c r="KY71" s="43"/>
      <c r="KZ71" s="43"/>
      <c r="LA71" s="43"/>
      <c r="LB71" s="43"/>
      <c r="LC71" s="43"/>
      <c r="LD71" s="43"/>
      <c r="LE71" s="43"/>
      <c r="LF71" s="43"/>
      <c r="LG71" s="43"/>
      <c r="LH71" s="43"/>
      <c r="LI71" s="43"/>
      <c r="LJ71" s="43"/>
      <c r="LK71" s="43"/>
      <c r="LL71" s="43"/>
      <c r="LM71" s="43"/>
      <c r="LN71" s="43"/>
      <c r="LO71" s="43"/>
      <c r="LP71" s="43"/>
      <c r="LQ71" s="43"/>
      <c r="LR71" s="43"/>
      <c r="LS71" s="43"/>
      <c r="LT71" s="43"/>
      <c r="LU71" s="43"/>
      <c r="LV71" s="43"/>
      <c r="LW71" s="43"/>
      <c r="LX71" s="43"/>
      <c r="LY71" s="43"/>
      <c r="LZ71" s="43"/>
      <c r="MA71" s="43"/>
      <c r="MB71" s="43"/>
      <c r="MC71" s="43"/>
      <c r="MD71" s="43"/>
      <c r="ME71" s="43"/>
      <c r="MF71" s="43"/>
      <c r="MG71" s="43"/>
      <c r="MH71" s="43"/>
      <c r="MI71" s="43"/>
      <c r="MJ71" s="43"/>
      <c r="MK71" s="43"/>
      <c r="ML71" s="43"/>
      <c r="MM71" s="43"/>
      <c r="MN71" s="43"/>
      <c r="MO71" s="43"/>
      <c r="MP71" s="43"/>
      <c r="MQ71" s="43"/>
      <c r="MR71" s="43"/>
      <c r="MS71" s="43"/>
      <c r="MT71" s="43"/>
      <c r="MU71" s="43"/>
      <c r="MV71" s="43"/>
      <c r="MW71" s="43"/>
      <c r="MX71" s="43"/>
      <c r="MY71" s="43"/>
      <c r="MZ71" s="43"/>
      <c r="NA71" s="43"/>
      <c r="NB71" s="43"/>
      <c r="NC71" s="43"/>
      <c r="ND71" s="43"/>
      <c r="NE71" s="43"/>
      <c r="NF71" s="43"/>
      <c r="NG71" s="43"/>
      <c r="NH71" s="43"/>
      <c r="NI71" s="43"/>
      <c r="NJ71" s="43"/>
      <c r="NK71" s="43"/>
      <c r="NL71" s="43"/>
      <c r="NM71" s="43"/>
      <c r="NN71" s="43"/>
      <c r="NO71" s="43"/>
      <c r="NP71" s="43"/>
      <c r="NQ71" s="43"/>
      <c r="NR71" s="43"/>
      <c r="NS71" s="43"/>
      <c r="NT71" s="43"/>
      <c r="NU71" s="43"/>
      <c r="NV71" s="43"/>
      <c r="NW71" s="43"/>
      <c r="NX71" s="43"/>
      <c r="NY71" s="43"/>
      <c r="NZ71" s="43"/>
      <c r="OA71" s="43"/>
      <c r="OB71" s="43"/>
      <c r="OC71" s="43"/>
      <c r="OD71" s="43"/>
      <c r="OE71" s="43"/>
      <c r="OF71" s="43"/>
      <c r="OG71" s="43"/>
      <c r="OH71" s="43"/>
      <c r="OI71" s="43"/>
      <c r="OJ71" s="43"/>
      <c r="OK71" s="43"/>
      <c r="OL71" s="43"/>
      <c r="OM71" s="43"/>
      <c r="ON71" s="43"/>
      <c r="OO71" s="43"/>
      <c r="OP71" s="43"/>
      <c r="OQ71" s="43"/>
      <c r="OR71" s="43"/>
      <c r="OS71" s="43"/>
      <c r="OT71" s="43"/>
      <c r="OU71" s="43"/>
      <c r="OV71" s="43"/>
      <c r="OW71" s="43"/>
      <c r="OX71" s="43"/>
      <c r="OY71" s="43"/>
      <c r="OZ71" s="43"/>
      <c r="PA71" s="43"/>
      <c r="PB71" s="43"/>
      <c r="PC71" s="43"/>
      <c r="PD71" s="43"/>
      <c r="PE71" s="43"/>
      <c r="PF71" s="43"/>
      <c r="PG71" s="43"/>
      <c r="PH71" s="43"/>
      <c r="PI71" s="43"/>
      <c r="PJ71" s="43"/>
      <c r="PK71" s="43"/>
      <c r="PL71" s="43"/>
      <c r="PM71" s="43"/>
      <c r="PN71" s="43"/>
      <c r="PO71" s="43"/>
      <c r="PP71" s="43"/>
      <c r="PQ71" s="43"/>
      <c r="PR71" s="43"/>
      <c r="PS71" s="43"/>
      <c r="PT71" s="43"/>
      <c r="PU71" s="43"/>
      <c r="PV71" s="43"/>
      <c r="PW71" s="43"/>
      <c r="PX71" s="43"/>
      <c r="PY71" s="43"/>
      <c r="PZ71" s="43"/>
      <c r="QA71" s="43"/>
      <c r="QB71" s="43"/>
      <c r="QC71" s="43"/>
    </row>
    <row r="72" spans="1:445" x14ac:dyDescent="0.3">
      <c r="A72" s="85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46" t="str">
        <f t="shared" si="6"/>
        <v/>
      </c>
      <c r="U72" s="46" t="str">
        <f t="shared" si="7"/>
        <v/>
      </c>
      <c r="V72" s="72" t="str">
        <f t="shared" si="4"/>
        <v/>
      </c>
      <c r="W72" s="48"/>
      <c r="X72" s="73" t="str">
        <f t="shared" si="8"/>
        <v/>
      </c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43"/>
      <c r="CY72" s="43"/>
      <c r="CZ72" s="43"/>
      <c r="DA72" s="43"/>
      <c r="DB72" s="43"/>
      <c r="DC72" s="43"/>
      <c r="DD72" s="43"/>
      <c r="DE72" s="43"/>
      <c r="DF72" s="43"/>
      <c r="DG72" s="43"/>
      <c r="DH72" s="43"/>
      <c r="DI72" s="43"/>
      <c r="DJ72" s="43"/>
      <c r="DK72" s="43"/>
      <c r="DL72" s="43"/>
      <c r="DM72" s="43"/>
      <c r="DN72" s="43"/>
      <c r="DO72" s="43"/>
      <c r="DP72" s="43"/>
      <c r="DQ72" s="43"/>
      <c r="DR72" s="43"/>
      <c r="DS72" s="43"/>
      <c r="DT72" s="43"/>
      <c r="DU72" s="43"/>
      <c r="DV72" s="43"/>
      <c r="DW72" s="43"/>
      <c r="DX72" s="43"/>
      <c r="DY72" s="43"/>
      <c r="DZ72" s="43"/>
      <c r="EA72" s="43"/>
      <c r="EB72" s="43"/>
      <c r="EC72" s="43"/>
      <c r="ED72" s="43"/>
      <c r="EE72" s="43"/>
      <c r="EF72" s="43"/>
      <c r="EG72" s="43"/>
      <c r="EH72" s="43"/>
      <c r="EI72" s="43"/>
      <c r="EJ72" s="43"/>
      <c r="EK72" s="43"/>
      <c r="EL72" s="43"/>
      <c r="EM72" s="43"/>
      <c r="EN72" s="43"/>
      <c r="EO72" s="43"/>
      <c r="EP72" s="43"/>
      <c r="EQ72" s="43"/>
      <c r="ER72" s="43"/>
      <c r="ES72" s="43"/>
      <c r="ET72" s="43"/>
      <c r="EU72" s="43"/>
      <c r="EV72" s="43"/>
      <c r="EW72" s="43"/>
      <c r="EX72" s="43"/>
      <c r="EY72" s="43"/>
      <c r="EZ72" s="43"/>
      <c r="FA72" s="43"/>
      <c r="FB72" s="43"/>
      <c r="FC72" s="43"/>
      <c r="FD72" s="43"/>
      <c r="FE72" s="43"/>
      <c r="FF72" s="43"/>
      <c r="FG72" s="43"/>
      <c r="FH72" s="43"/>
      <c r="FI72" s="43"/>
      <c r="FJ72" s="43"/>
      <c r="FK72" s="43"/>
      <c r="FL72" s="43"/>
      <c r="FM72" s="43"/>
      <c r="FN72" s="43"/>
      <c r="FO72" s="43"/>
      <c r="FP72" s="43"/>
      <c r="FQ72" s="43"/>
      <c r="FR72" s="43"/>
      <c r="FS72" s="43"/>
      <c r="FT72" s="43"/>
      <c r="FU72" s="43"/>
      <c r="FV72" s="43"/>
      <c r="FW72" s="43"/>
      <c r="FX72" s="43"/>
      <c r="FY72" s="43"/>
      <c r="FZ72" s="43"/>
      <c r="GA72" s="43"/>
      <c r="GB72" s="43"/>
      <c r="GC72" s="43"/>
      <c r="GD72" s="43"/>
      <c r="GE72" s="43"/>
      <c r="GF72" s="43"/>
      <c r="GG72" s="43"/>
      <c r="GH72" s="43"/>
      <c r="GI72" s="43"/>
      <c r="GJ72" s="43"/>
      <c r="GK72" s="43"/>
      <c r="GL72" s="43"/>
      <c r="GM72" s="43"/>
      <c r="GN72" s="43"/>
      <c r="GO72" s="43"/>
      <c r="GP72" s="43"/>
      <c r="GQ72" s="43"/>
      <c r="GR72" s="43"/>
      <c r="GS72" s="43"/>
      <c r="GT72" s="43"/>
      <c r="GU72" s="43"/>
      <c r="GV72" s="43"/>
      <c r="GW72" s="43"/>
      <c r="GX72" s="43"/>
      <c r="GY72" s="43"/>
      <c r="GZ72" s="43"/>
      <c r="HA72" s="43"/>
      <c r="HB72" s="43"/>
      <c r="HC72" s="43"/>
      <c r="HD72" s="43"/>
      <c r="HE72" s="43"/>
      <c r="HF72" s="43"/>
      <c r="HG72" s="43"/>
      <c r="HH72" s="43"/>
      <c r="HI72" s="43"/>
      <c r="HJ72" s="43"/>
      <c r="HK72" s="43"/>
      <c r="HL72" s="43"/>
      <c r="HM72" s="43"/>
      <c r="HN72" s="43"/>
      <c r="HO72" s="43"/>
      <c r="HP72" s="43"/>
      <c r="HQ72" s="43"/>
      <c r="HR72" s="43"/>
      <c r="HS72" s="43"/>
      <c r="HT72" s="43"/>
      <c r="HU72" s="43"/>
      <c r="HV72" s="43"/>
      <c r="HW72" s="43"/>
      <c r="HX72" s="43"/>
      <c r="HY72" s="43"/>
      <c r="HZ72" s="43"/>
      <c r="IA72" s="43"/>
      <c r="IB72" s="43"/>
      <c r="IC72" s="43"/>
      <c r="ID72" s="43"/>
      <c r="IE72" s="43"/>
      <c r="IF72" s="43"/>
      <c r="IG72" s="43"/>
      <c r="IH72" s="43"/>
      <c r="II72" s="43"/>
      <c r="IJ72" s="43"/>
      <c r="IK72" s="43"/>
      <c r="IL72" s="43"/>
      <c r="IM72" s="43"/>
      <c r="IN72" s="43"/>
      <c r="IO72" s="43"/>
      <c r="IP72" s="43"/>
      <c r="IQ72" s="43"/>
      <c r="IR72" s="43"/>
      <c r="IS72" s="43"/>
      <c r="IT72" s="43"/>
      <c r="IU72" s="43"/>
      <c r="IV72" s="43"/>
      <c r="IW72" s="43"/>
      <c r="IX72" s="43"/>
      <c r="IY72" s="43"/>
      <c r="IZ72" s="43"/>
      <c r="JA72" s="43"/>
      <c r="JB72" s="43"/>
      <c r="JC72" s="43"/>
      <c r="JD72" s="43"/>
      <c r="JE72" s="43"/>
      <c r="JF72" s="43"/>
      <c r="JG72" s="43"/>
      <c r="JH72" s="43"/>
      <c r="JI72" s="43"/>
      <c r="JJ72" s="43"/>
      <c r="JK72" s="43"/>
      <c r="JL72" s="43"/>
      <c r="JM72" s="43"/>
      <c r="JN72" s="43"/>
      <c r="JO72" s="43"/>
      <c r="JP72" s="43"/>
      <c r="JQ72" s="43"/>
      <c r="JR72" s="43"/>
      <c r="JS72" s="43"/>
      <c r="JT72" s="43"/>
      <c r="JU72" s="43"/>
      <c r="JV72" s="43"/>
      <c r="JW72" s="43"/>
      <c r="JX72" s="43"/>
      <c r="JY72" s="43"/>
      <c r="JZ72" s="43"/>
      <c r="KA72" s="43"/>
      <c r="KB72" s="43"/>
      <c r="KC72" s="43"/>
      <c r="KD72" s="43"/>
      <c r="KE72" s="43"/>
      <c r="KF72" s="43"/>
      <c r="KG72" s="43"/>
      <c r="KH72" s="43"/>
      <c r="KI72" s="43"/>
      <c r="KJ72" s="43"/>
      <c r="KK72" s="43"/>
      <c r="KL72" s="43"/>
      <c r="KM72" s="43"/>
      <c r="KN72" s="43"/>
      <c r="KO72" s="43"/>
      <c r="KP72" s="43"/>
      <c r="KQ72" s="43"/>
      <c r="KR72" s="43"/>
      <c r="KS72" s="43"/>
      <c r="KT72" s="43"/>
      <c r="KU72" s="43"/>
      <c r="KV72" s="43"/>
      <c r="KW72" s="43"/>
      <c r="KX72" s="43"/>
      <c r="KY72" s="43"/>
      <c r="KZ72" s="43"/>
      <c r="LA72" s="43"/>
      <c r="LB72" s="43"/>
      <c r="LC72" s="43"/>
      <c r="LD72" s="43"/>
      <c r="LE72" s="43"/>
      <c r="LF72" s="43"/>
      <c r="LG72" s="43"/>
      <c r="LH72" s="43"/>
      <c r="LI72" s="43"/>
      <c r="LJ72" s="43"/>
      <c r="LK72" s="43"/>
      <c r="LL72" s="43"/>
      <c r="LM72" s="43"/>
      <c r="LN72" s="43"/>
      <c r="LO72" s="43"/>
      <c r="LP72" s="43"/>
      <c r="LQ72" s="43"/>
      <c r="LR72" s="43"/>
      <c r="LS72" s="43"/>
      <c r="LT72" s="43"/>
      <c r="LU72" s="43"/>
      <c r="LV72" s="43"/>
      <c r="LW72" s="43"/>
      <c r="LX72" s="43"/>
      <c r="LY72" s="43"/>
      <c r="LZ72" s="43"/>
      <c r="MA72" s="43"/>
      <c r="MB72" s="43"/>
      <c r="MC72" s="43"/>
      <c r="MD72" s="43"/>
      <c r="ME72" s="43"/>
      <c r="MF72" s="43"/>
      <c r="MG72" s="43"/>
      <c r="MH72" s="43"/>
      <c r="MI72" s="43"/>
      <c r="MJ72" s="43"/>
      <c r="MK72" s="43"/>
      <c r="ML72" s="43"/>
      <c r="MM72" s="43"/>
      <c r="MN72" s="43"/>
      <c r="MO72" s="43"/>
      <c r="MP72" s="43"/>
      <c r="MQ72" s="43"/>
      <c r="MR72" s="43"/>
      <c r="MS72" s="43"/>
      <c r="MT72" s="43"/>
      <c r="MU72" s="43"/>
      <c r="MV72" s="43"/>
      <c r="MW72" s="43"/>
      <c r="MX72" s="43"/>
      <c r="MY72" s="43"/>
      <c r="MZ72" s="43"/>
      <c r="NA72" s="43"/>
      <c r="NB72" s="43"/>
      <c r="NC72" s="43"/>
      <c r="ND72" s="43"/>
      <c r="NE72" s="43"/>
      <c r="NF72" s="43"/>
      <c r="NG72" s="43"/>
      <c r="NH72" s="43"/>
      <c r="NI72" s="43"/>
      <c r="NJ72" s="43"/>
      <c r="NK72" s="43"/>
      <c r="NL72" s="43"/>
      <c r="NM72" s="43"/>
      <c r="NN72" s="43"/>
      <c r="NO72" s="43"/>
      <c r="NP72" s="43"/>
      <c r="NQ72" s="43"/>
      <c r="NR72" s="43"/>
      <c r="NS72" s="43"/>
      <c r="NT72" s="43"/>
      <c r="NU72" s="43"/>
      <c r="NV72" s="43"/>
      <c r="NW72" s="43"/>
      <c r="NX72" s="43"/>
      <c r="NY72" s="43"/>
      <c r="NZ72" s="43"/>
      <c r="OA72" s="43"/>
      <c r="OB72" s="43"/>
      <c r="OC72" s="43"/>
      <c r="OD72" s="43"/>
      <c r="OE72" s="43"/>
      <c r="OF72" s="43"/>
      <c r="OG72" s="43"/>
      <c r="OH72" s="43"/>
      <c r="OI72" s="43"/>
      <c r="OJ72" s="43"/>
      <c r="OK72" s="43"/>
      <c r="OL72" s="43"/>
      <c r="OM72" s="43"/>
      <c r="ON72" s="43"/>
      <c r="OO72" s="43"/>
      <c r="OP72" s="43"/>
      <c r="OQ72" s="43"/>
      <c r="OR72" s="43"/>
      <c r="OS72" s="43"/>
      <c r="OT72" s="43"/>
      <c r="OU72" s="43"/>
      <c r="OV72" s="43"/>
      <c r="OW72" s="43"/>
      <c r="OX72" s="43"/>
      <c r="OY72" s="43"/>
      <c r="OZ72" s="43"/>
      <c r="PA72" s="43"/>
      <c r="PB72" s="43"/>
      <c r="PC72" s="43"/>
      <c r="PD72" s="43"/>
      <c r="PE72" s="43"/>
      <c r="PF72" s="43"/>
      <c r="PG72" s="43"/>
      <c r="PH72" s="43"/>
      <c r="PI72" s="43"/>
      <c r="PJ72" s="43"/>
      <c r="PK72" s="43"/>
      <c r="PL72" s="43"/>
      <c r="PM72" s="43"/>
      <c r="PN72" s="43"/>
      <c r="PO72" s="43"/>
      <c r="PP72" s="43"/>
      <c r="PQ72" s="43"/>
      <c r="PR72" s="43"/>
      <c r="PS72" s="43"/>
      <c r="PT72" s="43"/>
      <c r="PU72" s="43"/>
      <c r="PV72" s="43"/>
      <c r="PW72" s="43"/>
      <c r="PX72" s="43"/>
      <c r="PY72" s="43"/>
      <c r="PZ72" s="43"/>
      <c r="QA72" s="43"/>
      <c r="QB72" s="43"/>
      <c r="QC72" s="43"/>
    </row>
    <row r="73" spans="1:445" x14ac:dyDescent="0.3">
      <c r="A73" s="85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46" t="str">
        <f t="shared" si="6"/>
        <v/>
      </c>
      <c r="U73" s="46" t="str">
        <f t="shared" si="7"/>
        <v/>
      </c>
      <c r="V73" s="72" t="str">
        <f t="shared" si="4"/>
        <v/>
      </c>
      <c r="W73" s="48"/>
      <c r="X73" s="73" t="str">
        <f t="shared" si="8"/>
        <v/>
      </c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43"/>
      <c r="CY73" s="43"/>
      <c r="CZ73" s="43"/>
      <c r="DA73" s="43"/>
      <c r="DB73" s="43"/>
      <c r="DC73" s="43"/>
      <c r="DD73" s="43"/>
      <c r="DE73" s="43"/>
      <c r="DF73" s="43"/>
      <c r="DG73" s="43"/>
      <c r="DH73" s="43"/>
      <c r="DI73" s="43"/>
      <c r="DJ73" s="43"/>
      <c r="DK73" s="43"/>
      <c r="DL73" s="43"/>
      <c r="DM73" s="43"/>
      <c r="DN73" s="43"/>
      <c r="DO73" s="43"/>
      <c r="DP73" s="43"/>
      <c r="DQ73" s="43"/>
      <c r="DR73" s="43"/>
      <c r="DS73" s="43"/>
      <c r="DT73" s="43"/>
      <c r="DU73" s="43"/>
      <c r="DV73" s="43"/>
      <c r="DW73" s="43"/>
      <c r="DX73" s="43"/>
      <c r="DY73" s="43"/>
      <c r="DZ73" s="43"/>
      <c r="EA73" s="43"/>
      <c r="EB73" s="43"/>
      <c r="EC73" s="43"/>
      <c r="ED73" s="43"/>
      <c r="EE73" s="43"/>
      <c r="EF73" s="43"/>
      <c r="EG73" s="43"/>
      <c r="EH73" s="43"/>
      <c r="EI73" s="43"/>
      <c r="EJ73" s="43"/>
      <c r="EK73" s="43"/>
      <c r="EL73" s="43"/>
      <c r="EM73" s="43"/>
      <c r="EN73" s="43"/>
      <c r="EO73" s="43"/>
      <c r="EP73" s="43"/>
      <c r="EQ73" s="43"/>
      <c r="ER73" s="43"/>
      <c r="ES73" s="43"/>
      <c r="ET73" s="43"/>
      <c r="EU73" s="43"/>
      <c r="EV73" s="43"/>
      <c r="EW73" s="43"/>
      <c r="EX73" s="43"/>
      <c r="EY73" s="43"/>
      <c r="EZ73" s="43"/>
      <c r="FA73" s="43"/>
      <c r="FB73" s="43"/>
      <c r="FC73" s="43"/>
      <c r="FD73" s="43"/>
      <c r="FE73" s="43"/>
      <c r="FF73" s="43"/>
      <c r="FG73" s="43"/>
      <c r="FH73" s="43"/>
      <c r="FI73" s="43"/>
      <c r="FJ73" s="43"/>
      <c r="FK73" s="43"/>
      <c r="FL73" s="43"/>
      <c r="FM73" s="43"/>
      <c r="FN73" s="43"/>
      <c r="FO73" s="43"/>
      <c r="FP73" s="43"/>
      <c r="FQ73" s="43"/>
      <c r="FR73" s="43"/>
      <c r="FS73" s="43"/>
      <c r="FT73" s="43"/>
      <c r="FU73" s="43"/>
      <c r="FV73" s="43"/>
      <c r="FW73" s="43"/>
      <c r="FX73" s="43"/>
      <c r="FY73" s="43"/>
      <c r="FZ73" s="43"/>
      <c r="GA73" s="43"/>
      <c r="GB73" s="43"/>
      <c r="GC73" s="43"/>
      <c r="GD73" s="43"/>
      <c r="GE73" s="43"/>
      <c r="GF73" s="43"/>
      <c r="GG73" s="43"/>
      <c r="GH73" s="43"/>
      <c r="GI73" s="43"/>
      <c r="GJ73" s="43"/>
      <c r="GK73" s="43"/>
      <c r="GL73" s="43"/>
      <c r="GM73" s="43"/>
      <c r="GN73" s="43"/>
      <c r="GO73" s="43"/>
      <c r="GP73" s="43"/>
      <c r="GQ73" s="43"/>
      <c r="GR73" s="43"/>
      <c r="GS73" s="43"/>
      <c r="GT73" s="43"/>
      <c r="GU73" s="43"/>
      <c r="GV73" s="43"/>
      <c r="GW73" s="43"/>
      <c r="GX73" s="43"/>
      <c r="GY73" s="43"/>
      <c r="GZ73" s="43"/>
      <c r="HA73" s="43"/>
      <c r="HB73" s="43"/>
      <c r="HC73" s="43"/>
      <c r="HD73" s="43"/>
      <c r="HE73" s="43"/>
      <c r="HF73" s="43"/>
      <c r="HG73" s="43"/>
      <c r="HH73" s="43"/>
      <c r="HI73" s="43"/>
      <c r="HJ73" s="43"/>
      <c r="HK73" s="43"/>
      <c r="HL73" s="43"/>
      <c r="HM73" s="43"/>
      <c r="HN73" s="43"/>
      <c r="HO73" s="43"/>
      <c r="HP73" s="43"/>
      <c r="HQ73" s="43"/>
      <c r="HR73" s="43"/>
      <c r="HS73" s="43"/>
      <c r="HT73" s="43"/>
      <c r="HU73" s="43"/>
      <c r="HV73" s="43"/>
      <c r="HW73" s="43"/>
      <c r="HX73" s="43"/>
      <c r="HY73" s="43"/>
      <c r="HZ73" s="43"/>
      <c r="IA73" s="43"/>
      <c r="IB73" s="43"/>
      <c r="IC73" s="43"/>
      <c r="ID73" s="43"/>
      <c r="IE73" s="43"/>
      <c r="IF73" s="43"/>
      <c r="IG73" s="43"/>
      <c r="IH73" s="43"/>
      <c r="II73" s="43"/>
      <c r="IJ73" s="43"/>
      <c r="IK73" s="43"/>
      <c r="IL73" s="43"/>
      <c r="IM73" s="43"/>
      <c r="IN73" s="43"/>
      <c r="IO73" s="43"/>
      <c r="IP73" s="43"/>
      <c r="IQ73" s="43"/>
      <c r="IR73" s="43"/>
      <c r="IS73" s="43"/>
      <c r="IT73" s="43"/>
      <c r="IU73" s="43"/>
      <c r="IV73" s="43"/>
      <c r="IW73" s="43"/>
      <c r="IX73" s="43"/>
      <c r="IY73" s="43"/>
      <c r="IZ73" s="43"/>
      <c r="JA73" s="43"/>
      <c r="JB73" s="43"/>
      <c r="JC73" s="43"/>
      <c r="JD73" s="43"/>
      <c r="JE73" s="43"/>
      <c r="JF73" s="43"/>
      <c r="JG73" s="43"/>
      <c r="JH73" s="43"/>
      <c r="JI73" s="43"/>
      <c r="JJ73" s="43"/>
      <c r="JK73" s="43"/>
      <c r="JL73" s="43"/>
      <c r="JM73" s="43"/>
      <c r="JN73" s="43"/>
      <c r="JO73" s="43"/>
      <c r="JP73" s="43"/>
      <c r="JQ73" s="43"/>
      <c r="JR73" s="43"/>
      <c r="JS73" s="43"/>
      <c r="JT73" s="43"/>
      <c r="JU73" s="43"/>
      <c r="JV73" s="43"/>
      <c r="JW73" s="43"/>
      <c r="JX73" s="43"/>
      <c r="JY73" s="43"/>
      <c r="JZ73" s="43"/>
      <c r="KA73" s="43"/>
      <c r="KB73" s="43"/>
      <c r="KC73" s="43"/>
      <c r="KD73" s="43"/>
      <c r="KE73" s="43"/>
      <c r="KF73" s="43"/>
      <c r="KG73" s="43"/>
      <c r="KH73" s="43"/>
      <c r="KI73" s="43"/>
      <c r="KJ73" s="43"/>
      <c r="KK73" s="43"/>
      <c r="KL73" s="43"/>
      <c r="KM73" s="43"/>
      <c r="KN73" s="43"/>
      <c r="KO73" s="43"/>
      <c r="KP73" s="43"/>
      <c r="KQ73" s="43"/>
      <c r="KR73" s="43"/>
      <c r="KS73" s="43"/>
      <c r="KT73" s="43"/>
      <c r="KU73" s="43"/>
      <c r="KV73" s="43"/>
      <c r="KW73" s="43"/>
      <c r="KX73" s="43"/>
      <c r="KY73" s="43"/>
      <c r="KZ73" s="43"/>
      <c r="LA73" s="43"/>
      <c r="LB73" s="43"/>
      <c r="LC73" s="43"/>
      <c r="LD73" s="43"/>
      <c r="LE73" s="43"/>
      <c r="LF73" s="43"/>
      <c r="LG73" s="43"/>
      <c r="LH73" s="43"/>
      <c r="LI73" s="43"/>
      <c r="LJ73" s="43"/>
      <c r="LK73" s="43"/>
      <c r="LL73" s="43"/>
      <c r="LM73" s="43"/>
      <c r="LN73" s="43"/>
      <c r="LO73" s="43"/>
      <c r="LP73" s="43"/>
      <c r="LQ73" s="43"/>
      <c r="LR73" s="43"/>
      <c r="LS73" s="43"/>
      <c r="LT73" s="43"/>
      <c r="LU73" s="43"/>
      <c r="LV73" s="43"/>
      <c r="LW73" s="43"/>
      <c r="LX73" s="43"/>
      <c r="LY73" s="43"/>
      <c r="LZ73" s="43"/>
      <c r="MA73" s="43"/>
      <c r="MB73" s="43"/>
      <c r="MC73" s="43"/>
      <c r="MD73" s="43"/>
      <c r="ME73" s="43"/>
      <c r="MF73" s="43"/>
      <c r="MG73" s="43"/>
      <c r="MH73" s="43"/>
      <c r="MI73" s="43"/>
      <c r="MJ73" s="43"/>
      <c r="MK73" s="43"/>
      <c r="ML73" s="43"/>
      <c r="MM73" s="43"/>
      <c r="MN73" s="43"/>
      <c r="MO73" s="43"/>
      <c r="MP73" s="43"/>
      <c r="MQ73" s="43"/>
      <c r="MR73" s="43"/>
      <c r="MS73" s="43"/>
      <c r="MT73" s="43"/>
      <c r="MU73" s="43"/>
      <c r="MV73" s="43"/>
      <c r="MW73" s="43"/>
      <c r="MX73" s="43"/>
      <c r="MY73" s="43"/>
      <c r="MZ73" s="43"/>
      <c r="NA73" s="43"/>
      <c r="NB73" s="43"/>
      <c r="NC73" s="43"/>
      <c r="ND73" s="43"/>
      <c r="NE73" s="43"/>
      <c r="NF73" s="43"/>
      <c r="NG73" s="43"/>
      <c r="NH73" s="43"/>
      <c r="NI73" s="43"/>
      <c r="NJ73" s="43"/>
      <c r="NK73" s="43"/>
      <c r="NL73" s="43"/>
      <c r="NM73" s="43"/>
      <c r="NN73" s="43"/>
      <c r="NO73" s="43"/>
      <c r="NP73" s="43"/>
      <c r="NQ73" s="43"/>
      <c r="NR73" s="43"/>
      <c r="NS73" s="43"/>
      <c r="NT73" s="43"/>
      <c r="NU73" s="43"/>
      <c r="NV73" s="43"/>
      <c r="NW73" s="43"/>
      <c r="NX73" s="43"/>
      <c r="NY73" s="43"/>
      <c r="NZ73" s="43"/>
      <c r="OA73" s="43"/>
      <c r="OB73" s="43"/>
      <c r="OC73" s="43"/>
      <c r="OD73" s="43"/>
      <c r="OE73" s="43"/>
      <c r="OF73" s="43"/>
      <c r="OG73" s="43"/>
      <c r="OH73" s="43"/>
      <c r="OI73" s="43"/>
      <c r="OJ73" s="43"/>
      <c r="OK73" s="43"/>
      <c r="OL73" s="43"/>
      <c r="OM73" s="43"/>
      <c r="ON73" s="43"/>
      <c r="OO73" s="43"/>
      <c r="OP73" s="43"/>
      <c r="OQ73" s="43"/>
      <c r="OR73" s="43"/>
      <c r="OS73" s="43"/>
      <c r="OT73" s="43"/>
      <c r="OU73" s="43"/>
      <c r="OV73" s="43"/>
      <c r="OW73" s="43"/>
      <c r="OX73" s="43"/>
      <c r="OY73" s="43"/>
      <c r="OZ73" s="43"/>
      <c r="PA73" s="43"/>
      <c r="PB73" s="43"/>
      <c r="PC73" s="43"/>
      <c r="PD73" s="43"/>
      <c r="PE73" s="43"/>
      <c r="PF73" s="43"/>
      <c r="PG73" s="43"/>
      <c r="PH73" s="43"/>
      <c r="PI73" s="43"/>
      <c r="PJ73" s="43"/>
      <c r="PK73" s="43"/>
      <c r="PL73" s="43"/>
      <c r="PM73" s="43"/>
      <c r="PN73" s="43"/>
      <c r="PO73" s="43"/>
      <c r="PP73" s="43"/>
      <c r="PQ73" s="43"/>
      <c r="PR73" s="43"/>
      <c r="PS73" s="43"/>
      <c r="PT73" s="43"/>
      <c r="PU73" s="43"/>
      <c r="PV73" s="43"/>
      <c r="PW73" s="43"/>
      <c r="PX73" s="43"/>
      <c r="PY73" s="43"/>
      <c r="PZ73" s="43"/>
      <c r="QA73" s="43"/>
      <c r="QB73" s="43"/>
      <c r="QC73" s="43"/>
    </row>
    <row r="74" spans="1:445" ht="18" customHeight="1" x14ac:dyDescent="0.3">
      <c r="A74" s="85"/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46" t="str">
        <f t="shared" si="6"/>
        <v/>
      </c>
      <c r="U74" s="46" t="str">
        <f t="shared" si="7"/>
        <v/>
      </c>
      <c r="V74" s="72" t="str">
        <f t="shared" si="4"/>
        <v/>
      </c>
      <c r="W74" s="48"/>
      <c r="X74" s="73" t="str">
        <f t="shared" si="8"/>
        <v/>
      </c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43"/>
      <c r="CY74" s="43"/>
      <c r="CZ74" s="43"/>
      <c r="DA74" s="43"/>
      <c r="DB74" s="43"/>
      <c r="DC74" s="43"/>
      <c r="DD74" s="43"/>
      <c r="DE74" s="43"/>
      <c r="DF74" s="43"/>
      <c r="DG74" s="43"/>
      <c r="DH74" s="43"/>
      <c r="DI74" s="43"/>
      <c r="DJ74" s="43"/>
      <c r="DK74" s="43"/>
      <c r="DL74" s="43"/>
      <c r="DM74" s="43"/>
      <c r="DN74" s="43"/>
      <c r="DO74" s="43"/>
      <c r="DP74" s="43"/>
      <c r="DQ74" s="43"/>
      <c r="DR74" s="43"/>
      <c r="DS74" s="43"/>
      <c r="DT74" s="43"/>
      <c r="DU74" s="43"/>
      <c r="DV74" s="43"/>
      <c r="DW74" s="43"/>
      <c r="DX74" s="43"/>
      <c r="DY74" s="43"/>
      <c r="DZ74" s="43"/>
      <c r="EA74" s="43"/>
      <c r="EB74" s="43"/>
      <c r="EC74" s="43"/>
      <c r="ED74" s="43"/>
      <c r="EE74" s="43"/>
      <c r="EF74" s="43"/>
      <c r="EG74" s="43"/>
      <c r="EH74" s="43"/>
      <c r="EI74" s="43"/>
      <c r="EJ74" s="43"/>
      <c r="EK74" s="43"/>
      <c r="EL74" s="43"/>
      <c r="EM74" s="43"/>
      <c r="EN74" s="43"/>
      <c r="EO74" s="43"/>
      <c r="EP74" s="43"/>
      <c r="EQ74" s="43"/>
      <c r="ER74" s="43"/>
      <c r="ES74" s="43"/>
      <c r="ET74" s="43"/>
      <c r="EU74" s="43"/>
      <c r="EV74" s="43"/>
      <c r="EW74" s="43"/>
      <c r="EX74" s="43"/>
      <c r="EY74" s="43"/>
      <c r="EZ74" s="43"/>
      <c r="FA74" s="43"/>
      <c r="FB74" s="43"/>
      <c r="FC74" s="43"/>
      <c r="FD74" s="43"/>
      <c r="FE74" s="43"/>
      <c r="FF74" s="43"/>
      <c r="FG74" s="43"/>
      <c r="FH74" s="43"/>
      <c r="FI74" s="43"/>
      <c r="FJ74" s="43"/>
      <c r="FK74" s="43"/>
      <c r="FL74" s="43"/>
      <c r="FM74" s="43"/>
      <c r="FN74" s="43"/>
      <c r="FO74" s="43"/>
      <c r="FP74" s="43"/>
      <c r="FQ74" s="43"/>
      <c r="FR74" s="43"/>
      <c r="FS74" s="43"/>
      <c r="FT74" s="43"/>
      <c r="FU74" s="43"/>
      <c r="FV74" s="43"/>
      <c r="FW74" s="43"/>
      <c r="FX74" s="43"/>
      <c r="FY74" s="43"/>
      <c r="FZ74" s="43"/>
      <c r="GA74" s="43"/>
      <c r="GB74" s="43"/>
      <c r="GC74" s="43"/>
      <c r="GD74" s="43"/>
      <c r="GE74" s="43"/>
      <c r="GF74" s="43"/>
      <c r="GG74" s="43"/>
      <c r="GH74" s="43"/>
      <c r="GI74" s="43"/>
      <c r="GJ74" s="43"/>
      <c r="GK74" s="43"/>
      <c r="GL74" s="43"/>
      <c r="GM74" s="43"/>
      <c r="GN74" s="43"/>
      <c r="GO74" s="43"/>
      <c r="GP74" s="43"/>
      <c r="GQ74" s="43"/>
      <c r="GR74" s="43"/>
      <c r="GS74" s="43"/>
      <c r="GT74" s="43"/>
      <c r="GU74" s="43"/>
      <c r="GV74" s="43"/>
      <c r="GW74" s="43"/>
      <c r="GX74" s="43"/>
      <c r="GY74" s="43"/>
      <c r="GZ74" s="43"/>
      <c r="HA74" s="43"/>
      <c r="HB74" s="43"/>
      <c r="HC74" s="43"/>
      <c r="HD74" s="43"/>
      <c r="HE74" s="43"/>
      <c r="HF74" s="43"/>
      <c r="HG74" s="43"/>
      <c r="HH74" s="43"/>
      <c r="HI74" s="43"/>
      <c r="HJ74" s="43"/>
      <c r="HK74" s="43"/>
      <c r="HL74" s="43"/>
      <c r="HM74" s="43"/>
      <c r="HN74" s="43"/>
      <c r="HO74" s="43"/>
      <c r="HP74" s="43"/>
      <c r="HQ74" s="43"/>
      <c r="HR74" s="43"/>
      <c r="HS74" s="43"/>
      <c r="HT74" s="43"/>
      <c r="HU74" s="43"/>
      <c r="HV74" s="43"/>
      <c r="HW74" s="43"/>
      <c r="HX74" s="43"/>
      <c r="HY74" s="43"/>
      <c r="HZ74" s="43"/>
      <c r="IA74" s="43"/>
      <c r="IB74" s="43"/>
      <c r="IC74" s="43"/>
      <c r="ID74" s="43"/>
      <c r="IE74" s="43"/>
      <c r="IF74" s="43"/>
      <c r="IG74" s="43"/>
      <c r="IH74" s="43"/>
      <c r="II74" s="43"/>
      <c r="IJ74" s="43"/>
      <c r="IK74" s="43"/>
      <c r="IL74" s="43"/>
      <c r="IM74" s="43"/>
      <c r="IN74" s="43"/>
      <c r="IO74" s="43"/>
      <c r="IP74" s="43"/>
      <c r="IQ74" s="43"/>
      <c r="IR74" s="43"/>
      <c r="IS74" s="43"/>
      <c r="IT74" s="43"/>
      <c r="IU74" s="43"/>
      <c r="IV74" s="43"/>
      <c r="IW74" s="43"/>
      <c r="IX74" s="43"/>
      <c r="IY74" s="43"/>
      <c r="IZ74" s="43"/>
      <c r="JA74" s="43"/>
      <c r="JB74" s="43"/>
      <c r="JC74" s="43"/>
      <c r="JD74" s="43"/>
      <c r="JE74" s="43"/>
      <c r="JF74" s="43"/>
      <c r="JG74" s="43"/>
      <c r="JH74" s="43"/>
      <c r="JI74" s="43"/>
      <c r="JJ74" s="43"/>
      <c r="JK74" s="43"/>
      <c r="JL74" s="43"/>
      <c r="JM74" s="43"/>
      <c r="JN74" s="43"/>
      <c r="JO74" s="43"/>
      <c r="JP74" s="43"/>
      <c r="JQ74" s="43"/>
      <c r="JR74" s="43"/>
      <c r="JS74" s="43"/>
      <c r="JT74" s="43"/>
      <c r="JU74" s="43"/>
      <c r="JV74" s="43"/>
      <c r="JW74" s="43"/>
      <c r="JX74" s="43"/>
      <c r="JY74" s="43"/>
      <c r="JZ74" s="43"/>
      <c r="KA74" s="43"/>
      <c r="KB74" s="43"/>
      <c r="KC74" s="43"/>
      <c r="KD74" s="43"/>
      <c r="KE74" s="43"/>
      <c r="KF74" s="43"/>
      <c r="KG74" s="43"/>
      <c r="KH74" s="43"/>
      <c r="KI74" s="43"/>
      <c r="KJ74" s="43"/>
      <c r="KK74" s="43"/>
      <c r="KL74" s="43"/>
      <c r="KM74" s="43"/>
      <c r="KN74" s="43"/>
      <c r="KO74" s="43"/>
      <c r="KP74" s="43"/>
      <c r="KQ74" s="43"/>
      <c r="KR74" s="43"/>
      <c r="KS74" s="43"/>
      <c r="KT74" s="43"/>
      <c r="KU74" s="43"/>
      <c r="KV74" s="43"/>
      <c r="KW74" s="43"/>
      <c r="KX74" s="43"/>
      <c r="KY74" s="43"/>
      <c r="KZ74" s="43"/>
      <c r="LA74" s="43"/>
      <c r="LB74" s="43"/>
      <c r="LC74" s="43"/>
      <c r="LD74" s="43"/>
      <c r="LE74" s="43"/>
      <c r="LF74" s="43"/>
      <c r="LG74" s="43"/>
      <c r="LH74" s="43"/>
      <c r="LI74" s="43"/>
      <c r="LJ74" s="43"/>
      <c r="LK74" s="43"/>
      <c r="LL74" s="43"/>
      <c r="LM74" s="43"/>
      <c r="LN74" s="43"/>
      <c r="LO74" s="43"/>
      <c r="LP74" s="43"/>
      <c r="LQ74" s="43"/>
      <c r="LR74" s="43"/>
      <c r="LS74" s="43"/>
      <c r="LT74" s="43"/>
      <c r="LU74" s="43"/>
      <c r="LV74" s="43"/>
      <c r="LW74" s="43"/>
      <c r="LX74" s="43"/>
      <c r="LY74" s="43"/>
      <c r="LZ74" s="43"/>
      <c r="MA74" s="43"/>
      <c r="MB74" s="43"/>
      <c r="MC74" s="43"/>
      <c r="MD74" s="43"/>
      <c r="ME74" s="43"/>
      <c r="MF74" s="43"/>
      <c r="MG74" s="43"/>
      <c r="MH74" s="43"/>
      <c r="MI74" s="43"/>
      <c r="MJ74" s="43"/>
      <c r="MK74" s="43"/>
      <c r="ML74" s="43"/>
      <c r="MM74" s="43"/>
      <c r="MN74" s="43"/>
      <c r="MO74" s="43"/>
      <c r="MP74" s="43"/>
      <c r="MQ74" s="43"/>
      <c r="MR74" s="43"/>
      <c r="MS74" s="43"/>
      <c r="MT74" s="43"/>
      <c r="MU74" s="43"/>
      <c r="MV74" s="43"/>
      <c r="MW74" s="43"/>
      <c r="MX74" s="43"/>
      <c r="MY74" s="43"/>
      <c r="MZ74" s="43"/>
      <c r="NA74" s="43"/>
      <c r="NB74" s="43"/>
      <c r="NC74" s="43"/>
      <c r="ND74" s="43"/>
      <c r="NE74" s="43"/>
      <c r="NF74" s="43"/>
      <c r="NG74" s="43"/>
      <c r="NH74" s="43"/>
      <c r="NI74" s="43"/>
      <c r="NJ74" s="43"/>
      <c r="NK74" s="43"/>
      <c r="NL74" s="43"/>
      <c r="NM74" s="43"/>
      <c r="NN74" s="43"/>
      <c r="NO74" s="43"/>
      <c r="NP74" s="43"/>
      <c r="NQ74" s="43"/>
      <c r="NR74" s="43"/>
      <c r="NS74" s="43"/>
      <c r="NT74" s="43"/>
      <c r="NU74" s="43"/>
      <c r="NV74" s="43"/>
      <c r="NW74" s="43"/>
      <c r="NX74" s="43"/>
      <c r="NY74" s="43"/>
      <c r="NZ74" s="43"/>
      <c r="OA74" s="43"/>
      <c r="OB74" s="43"/>
      <c r="OC74" s="43"/>
      <c r="OD74" s="43"/>
      <c r="OE74" s="43"/>
      <c r="OF74" s="43"/>
      <c r="OG74" s="43"/>
      <c r="OH74" s="43"/>
      <c r="OI74" s="43"/>
      <c r="OJ74" s="43"/>
      <c r="OK74" s="43"/>
      <c r="OL74" s="43"/>
      <c r="OM74" s="43"/>
      <c r="ON74" s="43"/>
      <c r="OO74" s="43"/>
      <c r="OP74" s="43"/>
      <c r="OQ74" s="43"/>
      <c r="OR74" s="43"/>
      <c r="OS74" s="43"/>
      <c r="OT74" s="43"/>
      <c r="OU74" s="43"/>
      <c r="OV74" s="43"/>
      <c r="OW74" s="43"/>
      <c r="OX74" s="43"/>
      <c r="OY74" s="43"/>
      <c r="OZ74" s="43"/>
      <c r="PA74" s="43"/>
      <c r="PB74" s="43"/>
      <c r="PC74" s="43"/>
      <c r="PD74" s="43"/>
      <c r="PE74" s="43"/>
      <c r="PF74" s="43"/>
      <c r="PG74" s="43"/>
      <c r="PH74" s="43"/>
      <c r="PI74" s="43"/>
      <c r="PJ74" s="43"/>
      <c r="PK74" s="43"/>
      <c r="PL74" s="43"/>
      <c r="PM74" s="43"/>
      <c r="PN74" s="43"/>
      <c r="PO74" s="43"/>
      <c r="PP74" s="43"/>
      <c r="PQ74" s="43"/>
      <c r="PR74" s="43"/>
      <c r="PS74" s="43"/>
      <c r="PT74" s="43"/>
      <c r="PU74" s="43"/>
      <c r="PV74" s="43"/>
      <c r="PW74" s="43"/>
      <c r="PX74" s="43"/>
      <c r="PY74" s="43"/>
      <c r="PZ74" s="43"/>
      <c r="QA74" s="43"/>
      <c r="QB74" s="43"/>
      <c r="QC74" s="43"/>
    </row>
    <row r="75" spans="1:445" x14ac:dyDescent="0.3">
      <c r="A75" s="85"/>
      <c r="B75" s="84"/>
      <c r="C75" s="84"/>
      <c r="D75" s="84"/>
      <c r="E75" s="84"/>
      <c r="F75" s="84"/>
      <c r="G75" s="84"/>
      <c r="H75" s="84"/>
      <c r="I75" s="84"/>
      <c r="J75" s="89"/>
      <c r="K75" s="84"/>
      <c r="L75" s="84"/>
      <c r="M75" s="84"/>
      <c r="N75" s="84"/>
      <c r="O75" s="84"/>
      <c r="P75" s="84"/>
      <c r="Q75" s="84"/>
      <c r="R75" s="84"/>
      <c r="S75" s="84"/>
      <c r="T75" s="46" t="str">
        <f t="shared" ref="T75:T138" si="9">IF(AND(ISBLANK(E75),ISBLANK(F75),ISBLANK(G75),ISBLANK(H75),ISBLANK(I75),ISBLANK(J75),ISBLANK(K75), ISBLANK(L75), ISBLANK(M75), ISBLANK(N75), ISBLANK(O75), ISBLANK(P75), ISBLANK(Q75), ISBLANK(R75), ISBLANK(S75)),"",SUM(G75:S75))</f>
        <v/>
      </c>
      <c r="U75" s="46" t="str">
        <f t="shared" ref="U75:U138" si="10">IF(W75&lt;&gt;0,0,IF(AND(ISBLANK(F75),ISBLANK(G75),ISBLANK(H75),ISBLANK(I75),ISBLANK(J75),ISBLANK(K75), ISBLANK(L75), ISBLANK(M75), ISBLANK(N75), ISBLANK(O75), ISBLANK(P75), ISBLANK(Q75), ISBLANK(R75), ISBLANK(S75)),"", F75-T75))</f>
        <v/>
      </c>
      <c r="V75" s="72" t="str">
        <f t="shared" si="4"/>
        <v/>
      </c>
      <c r="W75" s="48"/>
      <c r="X75" s="73" t="str">
        <f t="shared" si="8"/>
        <v/>
      </c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43"/>
      <c r="CY75" s="43"/>
      <c r="CZ75" s="43"/>
      <c r="DA75" s="43"/>
      <c r="DB75" s="43"/>
      <c r="DC75" s="43"/>
      <c r="DD75" s="43"/>
      <c r="DE75" s="43"/>
      <c r="DF75" s="43"/>
      <c r="DG75" s="43"/>
      <c r="DH75" s="43"/>
      <c r="DI75" s="43"/>
      <c r="DJ75" s="43"/>
      <c r="DK75" s="43"/>
      <c r="DL75" s="43"/>
      <c r="DM75" s="43"/>
      <c r="DN75" s="43"/>
      <c r="DO75" s="43"/>
      <c r="DP75" s="43"/>
      <c r="DQ75" s="43"/>
      <c r="DR75" s="43"/>
      <c r="DS75" s="43"/>
      <c r="DT75" s="43"/>
      <c r="DU75" s="43"/>
      <c r="DV75" s="43"/>
      <c r="DW75" s="43"/>
      <c r="DX75" s="43"/>
      <c r="DY75" s="43"/>
      <c r="DZ75" s="43"/>
      <c r="EA75" s="43"/>
      <c r="EB75" s="43"/>
      <c r="EC75" s="43"/>
      <c r="ED75" s="43"/>
      <c r="EE75" s="43"/>
      <c r="EF75" s="43"/>
      <c r="EG75" s="43"/>
      <c r="EH75" s="43"/>
      <c r="EI75" s="43"/>
      <c r="EJ75" s="43"/>
      <c r="EK75" s="43"/>
      <c r="EL75" s="43"/>
      <c r="EM75" s="43"/>
      <c r="EN75" s="43"/>
      <c r="EO75" s="43"/>
      <c r="EP75" s="43"/>
      <c r="EQ75" s="43"/>
      <c r="ER75" s="43"/>
      <c r="ES75" s="43"/>
      <c r="ET75" s="43"/>
      <c r="EU75" s="43"/>
      <c r="EV75" s="43"/>
      <c r="EW75" s="43"/>
      <c r="EX75" s="43"/>
      <c r="EY75" s="43"/>
      <c r="EZ75" s="43"/>
      <c r="FA75" s="43"/>
      <c r="FB75" s="43"/>
      <c r="FC75" s="43"/>
      <c r="FD75" s="43"/>
      <c r="FE75" s="43"/>
      <c r="FF75" s="43"/>
      <c r="FG75" s="43"/>
      <c r="FH75" s="43"/>
      <c r="FI75" s="43"/>
      <c r="FJ75" s="43"/>
      <c r="FK75" s="43"/>
      <c r="FL75" s="43"/>
      <c r="FM75" s="43"/>
      <c r="FN75" s="43"/>
      <c r="FO75" s="43"/>
      <c r="FP75" s="43"/>
      <c r="FQ75" s="43"/>
      <c r="FR75" s="43"/>
      <c r="FS75" s="43"/>
      <c r="FT75" s="43"/>
      <c r="FU75" s="43"/>
      <c r="FV75" s="43"/>
      <c r="FW75" s="43"/>
      <c r="FX75" s="43"/>
      <c r="FY75" s="43"/>
      <c r="FZ75" s="43"/>
      <c r="GA75" s="43"/>
      <c r="GB75" s="43"/>
      <c r="GC75" s="43"/>
      <c r="GD75" s="43"/>
      <c r="GE75" s="43"/>
      <c r="GF75" s="43"/>
      <c r="GG75" s="43"/>
      <c r="GH75" s="43"/>
      <c r="GI75" s="43"/>
      <c r="GJ75" s="43"/>
      <c r="GK75" s="43"/>
      <c r="GL75" s="43"/>
      <c r="GM75" s="43"/>
      <c r="GN75" s="43"/>
      <c r="GO75" s="43"/>
      <c r="GP75" s="43"/>
      <c r="GQ75" s="43"/>
      <c r="GR75" s="43"/>
      <c r="GS75" s="43"/>
      <c r="GT75" s="43"/>
      <c r="GU75" s="43"/>
      <c r="GV75" s="43"/>
      <c r="GW75" s="43"/>
      <c r="GX75" s="43"/>
      <c r="GY75" s="43"/>
      <c r="GZ75" s="43"/>
      <c r="HA75" s="43"/>
      <c r="HB75" s="43"/>
      <c r="HC75" s="43"/>
      <c r="HD75" s="43"/>
      <c r="HE75" s="43"/>
      <c r="HF75" s="43"/>
      <c r="HG75" s="43"/>
      <c r="HH75" s="43"/>
      <c r="HI75" s="43"/>
      <c r="HJ75" s="43"/>
      <c r="HK75" s="43"/>
      <c r="HL75" s="43"/>
      <c r="HM75" s="43"/>
      <c r="HN75" s="43"/>
      <c r="HO75" s="43"/>
      <c r="HP75" s="43"/>
      <c r="HQ75" s="43"/>
      <c r="HR75" s="43"/>
      <c r="HS75" s="43"/>
      <c r="HT75" s="43"/>
      <c r="HU75" s="43"/>
      <c r="HV75" s="43"/>
      <c r="HW75" s="43"/>
      <c r="HX75" s="43"/>
      <c r="HY75" s="43"/>
      <c r="HZ75" s="43"/>
      <c r="IA75" s="43"/>
      <c r="IB75" s="43"/>
      <c r="IC75" s="43"/>
      <c r="ID75" s="43"/>
      <c r="IE75" s="43"/>
      <c r="IF75" s="43"/>
      <c r="IG75" s="43"/>
      <c r="IH75" s="43"/>
      <c r="II75" s="43"/>
      <c r="IJ75" s="43"/>
      <c r="IK75" s="43"/>
      <c r="IL75" s="43"/>
      <c r="IM75" s="43"/>
      <c r="IN75" s="43"/>
      <c r="IO75" s="43"/>
      <c r="IP75" s="43"/>
      <c r="IQ75" s="43"/>
      <c r="IR75" s="43"/>
      <c r="IS75" s="43"/>
      <c r="IT75" s="43"/>
      <c r="IU75" s="43"/>
      <c r="IV75" s="43"/>
      <c r="IW75" s="43"/>
      <c r="IX75" s="43"/>
      <c r="IY75" s="43"/>
      <c r="IZ75" s="43"/>
      <c r="JA75" s="43"/>
      <c r="JB75" s="43"/>
      <c r="JC75" s="43"/>
      <c r="JD75" s="43"/>
      <c r="JE75" s="43"/>
      <c r="JF75" s="43"/>
      <c r="JG75" s="43"/>
      <c r="JH75" s="43"/>
      <c r="JI75" s="43"/>
      <c r="JJ75" s="43"/>
      <c r="JK75" s="43"/>
      <c r="JL75" s="43"/>
      <c r="JM75" s="43"/>
      <c r="JN75" s="43"/>
      <c r="JO75" s="43"/>
      <c r="JP75" s="43"/>
      <c r="JQ75" s="43"/>
      <c r="JR75" s="43"/>
      <c r="JS75" s="43"/>
      <c r="JT75" s="43"/>
      <c r="JU75" s="43"/>
      <c r="JV75" s="43"/>
      <c r="JW75" s="43"/>
      <c r="JX75" s="43"/>
      <c r="JY75" s="43"/>
      <c r="JZ75" s="43"/>
      <c r="KA75" s="43"/>
      <c r="KB75" s="43"/>
      <c r="KC75" s="43"/>
      <c r="KD75" s="43"/>
      <c r="KE75" s="43"/>
      <c r="KF75" s="43"/>
      <c r="KG75" s="43"/>
      <c r="KH75" s="43"/>
      <c r="KI75" s="43"/>
      <c r="KJ75" s="43"/>
      <c r="KK75" s="43"/>
      <c r="KL75" s="43"/>
      <c r="KM75" s="43"/>
      <c r="KN75" s="43"/>
      <c r="KO75" s="43"/>
      <c r="KP75" s="43"/>
      <c r="KQ75" s="43"/>
      <c r="KR75" s="43"/>
      <c r="KS75" s="43"/>
      <c r="KT75" s="43"/>
      <c r="KU75" s="43"/>
      <c r="KV75" s="43"/>
      <c r="KW75" s="43"/>
      <c r="KX75" s="43"/>
      <c r="KY75" s="43"/>
      <c r="KZ75" s="43"/>
      <c r="LA75" s="43"/>
      <c r="LB75" s="43"/>
      <c r="LC75" s="43"/>
      <c r="LD75" s="43"/>
      <c r="LE75" s="43"/>
      <c r="LF75" s="43"/>
      <c r="LG75" s="43"/>
      <c r="LH75" s="43"/>
      <c r="LI75" s="43"/>
      <c r="LJ75" s="43"/>
      <c r="LK75" s="43"/>
      <c r="LL75" s="43"/>
      <c r="LM75" s="43"/>
      <c r="LN75" s="43"/>
      <c r="LO75" s="43"/>
      <c r="LP75" s="43"/>
      <c r="LQ75" s="43"/>
      <c r="LR75" s="43"/>
      <c r="LS75" s="43"/>
      <c r="LT75" s="43"/>
      <c r="LU75" s="43"/>
      <c r="LV75" s="43"/>
      <c r="LW75" s="43"/>
      <c r="LX75" s="43"/>
      <c r="LY75" s="43"/>
      <c r="LZ75" s="43"/>
      <c r="MA75" s="43"/>
      <c r="MB75" s="43"/>
      <c r="MC75" s="43"/>
      <c r="MD75" s="43"/>
      <c r="ME75" s="43"/>
      <c r="MF75" s="43"/>
      <c r="MG75" s="43"/>
      <c r="MH75" s="43"/>
      <c r="MI75" s="43"/>
      <c r="MJ75" s="43"/>
      <c r="MK75" s="43"/>
      <c r="ML75" s="43"/>
      <c r="MM75" s="43"/>
      <c r="MN75" s="43"/>
      <c r="MO75" s="43"/>
      <c r="MP75" s="43"/>
      <c r="MQ75" s="43"/>
      <c r="MR75" s="43"/>
      <c r="MS75" s="43"/>
      <c r="MT75" s="43"/>
      <c r="MU75" s="43"/>
      <c r="MV75" s="43"/>
      <c r="MW75" s="43"/>
      <c r="MX75" s="43"/>
      <c r="MY75" s="43"/>
      <c r="MZ75" s="43"/>
      <c r="NA75" s="43"/>
      <c r="NB75" s="43"/>
      <c r="NC75" s="43"/>
      <c r="ND75" s="43"/>
      <c r="NE75" s="43"/>
      <c r="NF75" s="43"/>
      <c r="NG75" s="43"/>
      <c r="NH75" s="43"/>
      <c r="NI75" s="43"/>
      <c r="NJ75" s="43"/>
      <c r="NK75" s="43"/>
      <c r="NL75" s="43"/>
      <c r="NM75" s="43"/>
      <c r="NN75" s="43"/>
      <c r="NO75" s="43"/>
      <c r="NP75" s="43"/>
      <c r="NQ75" s="43"/>
      <c r="NR75" s="43"/>
      <c r="NS75" s="43"/>
      <c r="NT75" s="43"/>
      <c r="NU75" s="43"/>
      <c r="NV75" s="43"/>
      <c r="NW75" s="43"/>
      <c r="NX75" s="43"/>
      <c r="NY75" s="43"/>
      <c r="NZ75" s="43"/>
      <c r="OA75" s="43"/>
      <c r="OB75" s="43"/>
      <c r="OC75" s="43"/>
      <c r="OD75" s="43"/>
      <c r="OE75" s="43"/>
      <c r="OF75" s="43"/>
      <c r="OG75" s="43"/>
      <c r="OH75" s="43"/>
      <c r="OI75" s="43"/>
      <c r="OJ75" s="43"/>
      <c r="OK75" s="43"/>
      <c r="OL75" s="43"/>
      <c r="OM75" s="43"/>
      <c r="ON75" s="43"/>
      <c r="OO75" s="43"/>
      <c r="OP75" s="43"/>
      <c r="OQ75" s="43"/>
      <c r="OR75" s="43"/>
      <c r="OS75" s="43"/>
      <c r="OT75" s="43"/>
      <c r="OU75" s="43"/>
      <c r="OV75" s="43"/>
      <c r="OW75" s="43"/>
      <c r="OX75" s="43"/>
      <c r="OY75" s="43"/>
      <c r="OZ75" s="43"/>
      <c r="PA75" s="43"/>
      <c r="PB75" s="43"/>
      <c r="PC75" s="43"/>
      <c r="PD75" s="43"/>
      <c r="PE75" s="43"/>
      <c r="PF75" s="43"/>
      <c r="PG75" s="43"/>
      <c r="PH75" s="43"/>
      <c r="PI75" s="43"/>
      <c r="PJ75" s="43"/>
      <c r="PK75" s="43"/>
      <c r="PL75" s="43"/>
      <c r="PM75" s="43"/>
      <c r="PN75" s="43"/>
      <c r="PO75" s="43"/>
      <c r="PP75" s="43"/>
      <c r="PQ75" s="43"/>
      <c r="PR75" s="43"/>
      <c r="PS75" s="43"/>
      <c r="PT75" s="43"/>
      <c r="PU75" s="43"/>
      <c r="PV75" s="43"/>
      <c r="PW75" s="43"/>
      <c r="PX75" s="43"/>
      <c r="PY75" s="43"/>
      <c r="PZ75" s="43"/>
      <c r="QA75" s="43"/>
      <c r="QB75" s="43"/>
      <c r="QC75" s="43"/>
    </row>
    <row r="76" spans="1:445" x14ac:dyDescent="0.3">
      <c r="A76" s="85"/>
      <c r="B76" s="84"/>
      <c r="C76" s="84"/>
      <c r="D76" s="84"/>
      <c r="E76" s="84"/>
      <c r="F76" s="84"/>
      <c r="G76" s="84"/>
      <c r="H76" s="84"/>
      <c r="I76" s="84"/>
      <c r="J76" s="88"/>
      <c r="K76" s="84"/>
      <c r="L76" s="84"/>
      <c r="M76" s="84"/>
      <c r="N76" s="84"/>
      <c r="O76" s="84"/>
      <c r="P76" s="84"/>
      <c r="Q76" s="84"/>
      <c r="R76" s="84"/>
      <c r="S76" s="84"/>
      <c r="T76" s="46" t="str">
        <f t="shared" si="9"/>
        <v/>
      </c>
      <c r="U76" s="46" t="str">
        <f t="shared" si="10"/>
        <v/>
      </c>
      <c r="V76" s="72" t="str">
        <f t="shared" si="4"/>
        <v/>
      </c>
      <c r="W76" s="48"/>
      <c r="X76" s="73" t="str">
        <f t="shared" si="8"/>
        <v/>
      </c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43"/>
      <c r="CY76" s="43"/>
      <c r="CZ76" s="43"/>
      <c r="DA76" s="43"/>
      <c r="DB76" s="43"/>
      <c r="DC76" s="43"/>
      <c r="DD76" s="43"/>
      <c r="DE76" s="43"/>
      <c r="DF76" s="43"/>
      <c r="DG76" s="43"/>
      <c r="DH76" s="43"/>
      <c r="DI76" s="43"/>
      <c r="DJ76" s="43"/>
      <c r="DK76" s="43"/>
      <c r="DL76" s="43"/>
      <c r="DM76" s="43"/>
      <c r="DN76" s="43"/>
      <c r="DO76" s="43"/>
      <c r="DP76" s="43"/>
      <c r="DQ76" s="43"/>
      <c r="DR76" s="43"/>
      <c r="DS76" s="43"/>
      <c r="DT76" s="43"/>
      <c r="DU76" s="43"/>
      <c r="DV76" s="43"/>
      <c r="DW76" s="43"/>
      <c r="DX76" s="43"/>
      <c r="DY76" s="43"/>
      <c r="DZ76" s="43"/>
      <c r="EA76" s="43"/>
      <c r="EB76" s="43"/>
      <c r="EC76" s="43"/>
      <c r="ED76" s="43"/>
      <c r="EE76" s="43"/>
      <c r="EF76" s="43"/>
      <c r="EG76" s="43"/>
      <c r="EH76" s="43"/>
      <c r="EI76" s="43"/>
      <c r="EJ76" s="43"/>
      <c r="EK76" s="43"/>
      <c r="EL76" s="43"/>
      <c r="EM76" s="43"/>
      <c r="EN76" s="43"/>
      <c r="EO76" s="43"/>
      <c r="EP76" s="43"/>
      <c r="EQ76" s="43"/>
      <c r="ER76" s="43"/>
      <c r="ES76" s="43"/>
      <c r="ET76" s="43"/>
      <c r="EU76" s="43"/>
      <c r="EV76" s="43"/>
      <c r="EW76" s="43"/>
      <c r="EX76" s="43"/>
      <c r="EY76" s="43"/>
      <c r="EZ76" s="43"/>
      <c r="FA76" s="43"/>
      <c r="FB76" s="43"/>
      <c r="FC76" s="43"/>
      <c r="FD76" s="43"/>
      <c r="FE76" s="43"/>
      <c r="FF76" s="43"/>
      <c r="FG76" s="43"/>
      <c r="FH76" s="43"/>
      <c r="FI76" s="43"/>
      <c r="FJ76" s="43"/>
      <c r="FK76" s="43"/>
      <c r="FL76" s="43"/>
      <c r="FM76" s="43"/>
      <c r="FN76" s="43"/>
      <c r="FO76" s="43"/>
      <c r="FP76" s="43"/>
      <c r="FQ76" s="43"/>
      <c r="FR76" s="43"/>
      <c r="FS76" s="43"/>
      <c r="FT76" s="43"/>
      <c r="FU76" s="43"/>
      <c r="FV76" s="43"/>
      <c r="FW76" s="43"/>
      <c r="FX76" s="43"/>
      <c r="FY76" s="43"/>
      <c r="FZ76" s="43"/>
      <c r="GA76" s="43"/>
      <c r="GB76" s="43"/>
      <c r="GC76" s="43"/>
      <c r="GD76" s="43"/>
      <c r="GE76" s="43"/>
      <c r="GF76" s="43"/>
      <c r="GG76" s="43"/>
      <c r="GH76" s="43"/>
      <c r="GI76" s="43"/>
      <c r="GJ76" s="43"/>
      <c r="GK76" s="43"/>
      <c r="GL76" s="43"/>
      <c r="GM76" s="43"/>
      <c r="GN76" s="43"/>
      <c r="GO76" s="43"/>
      <c r="GP76" s="43"/>
      <c r="GQ76" s="43"/>
      <c r="GR76" s="43"/>
      <c r="GS76" s="43"/>
      <c r="GT76" s="43"/>
      <c r="GU76" s="43"/>
      <c r="GV76" s="43"/>
      <c r="GW76" s="43"/>
      <c r="GX76" s="43"/>
      <c r="GY76" s="43"/>
      <c r="GZ76" s="43"/>
      <c r="HA76" s="43"/>
      <c r="HB76" s="43"/>
      <c r="HC76" s="43"/>
      <c r="HD76" s="43"/>
      <c r="HE76" s="43"/>
      <c r="HF76" s="43"/>
      <c r="HG76" s="43"/>
      <c r="HH76" s="43"/>
      <c r="HI76" s="43"/>
      <c r="HJ76" s="43"/>
      <c r="HK76" s="43"/>
      <c r="HL76" s="43"/>
      <c r="HM76" s="43"/>
      <c r="HN76" s="43"/>
      <c r="HO76" s="43"/>
      <c r="HP76" s="43"/>
      <c r="HQ76" s="43"/>
      <c r="HR76" s="43"/>
      <c r="HS76" s="43"/>
      <c r="HT76" s="43"/>
      <c r="HU76" s="43"/>
      <c r="HV76" s="43"/>
      <c r="HW76" s="43"/>
      <c r="HX76" s="43"/>
      <c r="HY76" s="43"/>
      <c r="HZ76" s="43"/>
      <c r="IA76" s="43"/>
      <c r="IB76" s="43"/>
      <c r="IC76" s="43"/>
      <c r="ID76" s="43"/>
      <c r="IE76" s="43"/>
      <c r="IF76" s="43"/>
      <c r="IG76" s="43"/>
      <c r="IH76" s="43"/>
      <c r="II76" s="43"/>
      <c r="IJ76" s="43"/>
      <c r="IK76" s="43"/>
      <c r="IL76" s="43"/>
      <c r="IM76" s="43"/>
      <c r="IN76" s="43"/>
      <c r="IO76" s="43"/>
      <c r="IP76" s="43"/>
      <c r="IQ76" s="43"/>
      <c r="IR76" s="43"/>
      <c r="IS76" s="43"/>
      <c r="IT76" s="43"/>
      <c r="IU76" s="43"/>
      <c r="IV76" s="43"/>
      <c r="IW76" s="43"/>
      <c r="IX76" s="43"/>
      <c r="IY76" s="43"/>
      <c r="IZ76" s="43"/>
      <c r="JA76" s="43"/>
      <c r="JB76" s="43"/>
      <c r="JC76" s="43"/>
      <c r="JD76" s="43"/>
      <c r="JE76" s="43"/>
      <c r="JF76" s="43"/>
      <c r="JG76" s="43"/>
      <c r="JH76" s="43"/>
      <c r="JI76" s="43"/>
      <c r="JJ76" s="43"/>
      <c r="JK76" s="43"/>
      <c r="JL76" s="43"/>
      <c r="JM76" s="43"/>
      <c r="JN76" s="43"/>
      <c r="JO76" s="43"/>
      <c r="JP76" s="43"/>
      <c r="JQ76" s="43"/>
      <c r="JR76" s="43"/>
      <c r="JS76" s="43"/>
      <c r="JT76" s="43"/>
      <c r="JU76" s="43"/>
      <c r="JV76" s="43"/>
      <c r="JW76" s="43"/>
      <c r="JX76" s="43"/>
      <c r="JY76" s="43"/>
      <c r="JZ76" s="43"/>
      <c r="KA76" s="43"/>
      <c r="KB76" s="43"/>
      <c r="KC76" s="43"/>
      <c r="KD76" s="43"/>
      <c r="KE76" s="43"/>
      <c r="KF76" s="43"/>
      <c r="KG76" s="43"/>
      <c r="KH76" s="43"/>
      <c r="KI76" s="43"/>
      <c r="KJ76" s="43"/>
      <c r="KK76" s="43"/>
      <c r="KL76" s="43"/>
      <c r="KM76" s="43"/>
      <c r="KN76" s="43"/>
      <c r="KO76" s="43"/>
      <c r="KP76" s="43"/>
      <c r="KQ76" s="43"/>
      <c r="KR76" s="43"/>
      <c r="KS76" s="43"/>
      <c r="KT76" s="43"/>
      <c r="KU76" s="43"/>
      <c r="KV76" s="43"/>
      <c r="KW76" s="43"/>
      <c r="KX76" s="43"/>
      <c r="KY76" s="43"/>
      <c r="KZ76" s="43"/>
      <c r="LA76" s="43"/>
      <c r="LB76" s="43"/>
      <c r="LC76" s="43"/>
      <c r="LD76" s="43"/>
      <c r="LE76" s="43"/>
      <c r="LF76" s="43"/>
      <c r="LG76" s="43"/>
      <c r="LH76" s="43"/>
      <c r="LI76" s="43"/>
      <c r="LJ76" s="43"/>
      <c r="LK76" s="43"/>
      <c r="LL76" s="43"/>
      <c r="LM76" s="43"/>
      <c r="LN76" s="43"/>
      <c r="LO76" s="43"/>
      <c r="LP76" s="43"/>
      <c r="LQ76" s="43"/>
      <c r="LR76" s="43"/>
      <c r="LS76" s="43"/>
      <c r="LT76" s="43"/>
      <c r="LU76" s="43"/>
      <c r="LV76" s="43"/>
      <c r="LW76" s="43"/>
      <c r="LX76" s="43"/>
      <c r="LY76" s="43"/>
      <c r="LZ76" s="43"/>
      <c r="MA76" s="43"/>
      <c r="MB76" s="43"/>
      <c r="MC76" s="43"/>
      <c r="MD76" s="43"/>
      <c r="ME76" s="43"/>
      <c r="MF76" s="43"/>
      <c r="MG76" s="43"/>
      <c r="MH76" s="43"/>
      <c r="MI76" s="43"/>
      <c r="MJ76" s="43"/>
      <c r="MK76" s="43"/>
      <c r="ML76" s="43"/>
      <c r="MM76" s="43"/>
      <c r="MN76" s="43"/>
      <c r="MO76" s="43"/>
      <c r="MP76" s="43"/>
      <c r="MQ76" s="43"/>
      <c r="MR76" s="43"/>
      <c r="MS76" s="43"/>
      <c r="MT76" s="43"/>
      <c r="MU76" s="43"/>
      <c r="MV76" s="43"/>
      <c r="MW76" s="43"/>
      <c r="MX76" s="43"/>
      <c r="MY76" s="43"/>
      <c r="MZ76" s="43"/>
      <c r="NA76" s="43"/>
      <c r="NB76" s="43"/>
      <c r="NC76" s="43"/>
      <c r="ND76" s="43"/>
      <c r="NE76" s="43"/>
      <c r="NF76" s="43"/>
      <c r="NG76" s="43"/>
      <c r="NH76" s="43"/>
      <c r="NI76" s="43"/>
      <c r="NJ76" s="43"/>
      <c r="NK76" s="43"/>
      <c r="NL76" s="43"/>
      <c r="NM76" s="43"/>
      <c r="NN76" s="43"/>
      <c r="NO76" s="43"/>
      <c r="NP76" s="43"/>
      <c r="NQ76" s="43"/>
      <c r="NR76" s="43"/>
      <c r="NS76" s="43"/>
      <c r="NT76" s="43"/>
      <c r="NU76" s="43"/>
      <c r="NV76" s="43"/>
      <c r="NW76" s="43"/>
      <c r="NX76" s="43"/>
      <c r="NY76" s="43"/>
      <c r="NZ76" s="43"/>
      <c r="OA76" s="43"/>
      <c r="OB76" s="43"/>
      <c r="OC76" s="43"/>
      <c r="OD76" s="43"/>
      <c r="OE76" s="43"/>
      <c r="OF76" s="43"/>
      <c r="OG76" s="43"/>
      <c r="OH76" s="43"/>
      <c r="OI76" s="43"/>
      <c r="OJ76" s="43"/>
      <c r="OK76" s="43"/>
      <c r="OL76" s="43"/>
      <c r="OM76" s="43"/>
      <c r="ON76" s="43"/>
      <c r="OO76" s="43"/>
      <c r="OP76" s="43"/>
      <c r="OQ76" s="43"/>
      <c r="OR76" s="43"/>
      <c r="OS76" s="43"/>
      <c r="OT76" s="43"/>
      <c r="OU76" s="43"/>
      <c r="OV76" s="43"/>
      <c r="OW76" s="43"/>
      <c r="OX76" s="43"/>
      <c r="OY76" s="43"/>
      <c r="OZ76" s="43"/>
      <c r="PA76" s="43"/>
      <c r="PB76" s="43"/>
      <c r="PC76" s="43"/>
      <c r="PD76" s="43"/>
      <c r="PE76" s="43"/>
      <c r="PF76" s="43"/>
      <c r="PG76" s="43"/>
      <c r="PH76" s="43"/>
      <c r="PI76" s="43"/>
      <c r="PJ76" s="43"/>
      <c r="PK76" s="43"/>
      <c r="PL76" s="43"/>
      <c r="PM76" s="43"/>
      <c r="PN76" s="43"/>
      <c r="PO76" s="43"/>
      <c r="PP76" s="43"/>
      <c r="PQ76" s="43"/>
      <c r="PR76" s="43"/>
      <c r="PS76" s="43"/>
      <c r="PT76" s="43"/>
      <c r="PU76" s="43"/>
      <c r="PV76" s="43"/>
      <c r="PW76" s="43"/>
      <c r="PX76" s="43"/>
      <c r="PY76" s="43"/>
      <c r="PZ76" s="43"/>
      <c r="QA76" s="43"/>
      <c r="QB76" s="43"/>
      <c r="QC76" s="43"/>
    </row>
    <row r="77" spans="1:445" x14ac:dyDescent="0.3">
      <c r="A77" s="85"/>
      <c r="B77" s="84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46" t="str">
        <f t="shared" si="9"/>
        <v/>
      </c>
      <c r="U77" s="46" t="str">
        <f t="shared" si="10"/>
        <v/>
      </c>
      <c r="V77" s="72" t="str">
        <f t="shared" si="4"/>
        <v/>
      </c>
      <c r="W77" s="48"/>
      <c r="X77" s="73" t="str">
        <f t="shared" si="8"/>
        <v/>
      </c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43"/>
      <c r="CY77" s="43"/>
      <c r="CZ77" s="43"/>
      <c r="DA77" s="43"/>
      <c r="DB77" s="43"/>
      <c r="DC77" s="43"/>
      <c r="DD77" s="43"/>
      <c r="DE77" s="43"/>
      <c r="DF77" s="43"/>
      <c r="DG77" s="43"/>
      <c r="DH77" s="43"/>
      <c r="DI77" s="43"/>
      <c r="DJ77" s="43"/>
      <c r="DK77" s="43"/>
      <c r="DL77" s="43"/>
      <c r="DM77" s="43"/>
      <c r="DN77" s="43"/>
      <c r="DO77" s="43"/>
      <c r="DP77" s="43"/>
      <c r="DQ77" s="43"/>
      <c r="DR77" s="43"/>
      <c r="DS77" s="43"/>
      <c r="DT77" s="43"/>
      <c r="DU77" s="43"/>
      <c r="DV77" s="43"/>
      <c r="DW77" s="43"/>
      <c r="DX77" s="43"/>
      <c r="DY77" s="43"/>
      <c r="DZ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43"/>
      <c r="EM77" s="43"/>
      <c r="EN77" s="43"/>
      <c r="EO77" s="43"/>
      <c r="EP77" s="43"/>
      <c r="EQ77" s="43"/>
      <c r="ER77" s="43"/>
      <c r="ES77" s="43"/>
      <c r="ET77" s="43"/>
      <c r="EU77" s="43"/>
      <c r="EV77" s="43"/>
      <c r="EW77" s="43"/>
      <c r="EX77" s="43"/>
      <c r="EY77" s="43"/>
      <c r="EZ77" s="43"/>
      <c r="FA77" s="43"/>
      <c r="FB77" s="43"/>
      <c r="FC77" s="43"/>
      <c r="FD77" s="43"/>
      <c r="FE77" s="43"/>
      <c r="FF77" s="43"/>
      <c r="FG77" s="43"/>
      <c r="FH77" s="43"/>
      <c r="FI77" s="43"/>
      <c r="FJ77" s="43"/>
      <c r="FK77" s="43"/>
      <c r="FL77" s="43"/>
      <c r="FM77" s="43"/>
      <c r="FN77" s="43"/>
      <c r="FO77" s="43"/>
      <c r="FP77" s="43"/>
      <c r="FQ77" s="43"/>
      <c r="FR77" s="43"/>
      <c r="FS77" s="43"/>
      <c r="FT77" s="43"/>
      <c r="FU77" s="43"/>
      <c r="FV77" s="43"/>
      <c r="FW77" s="43"/>
      <c r="FX77" s="43"/>
      <c r="FY77" s="43"/>
      <c r="FZ77" s="43"/>
      <c r="GA77" s="43"/>
      <c r="GB77" s="43"/>
      <c r="GC77" s="43"/>
      <c r="GD77" s="43"/>
      <c r="GE77" s="43"/>
      <c r="GF77" s="43"/>
      <c r="GG77" s="43"/>
      <c r="GH77" s="43"/>
      <c r="GI77" s="43"/>
      <c r="GJ77" s="43"/>
      <c r="GK77" s="43"/>
      <c r="GL77" s="43"/>
      <c r="GM77" s="43"/>
      <c r="GN77" s="43"/>
      <c r="GO77" s="43"/>
      <c r="GP77" s="43"/>
      <c r="GQ77" s="43"/>
      <c r="GR77" s="43"/>
      <c r="GS77" s="43"/>
      <c r="GT77" s="43"/>
      <c r="GU77" s="43"/>
      <c r="GV77" s="43"/>
      <c r="GW77" s="43"/>
      <c r="GX77" s="43"/>
      <c r="GY77" s="43"/>
      <c r="GZ77" s="43"/>
      <c r="HA77" s="43"/>
      <c r="HB77" s="43"/>
      <c r="HC77" s="43"/>
      <c r="HD77" s="43"/>
      <c r="HE77" s="43"/>
      <c r="HF77" s="43"/>
      <c r="HG77" s="43"/>
      <c r="HH77" s="43"/>
      <c r="HI77" s="43"/>
      <c r="HJ77" s="43"/>
      <c r="HK77" s="43"/>
      <c r="HL77" s="43"/>
      <c r="HM77" s="43"/>
      <c r="HN77" s="43"/>
      <c r="HO77" s="43"/>
      <c r="HP77" s="43"/>
      <c r="HQ77" s="43"/>
      <c r="HR77" s="43"/>
      <c r="HS77" s="43"/>
      <c r="HT77" s="43"/>
      <c r="HU77" s="43"/>
      <c r="HV77" s="43"/>
      <c r="HW77" s="43"/>
      <c r="HX77" s="43"/>
      <c r="HY77" s="43"/>
      <c r="HZ77" s="43"/>
      <c r="IA77" s="43"/>
      <c r="IB77" s="43"/>
      <c r="IC77" s="43"/>
      <c r="ID77" s="43"/>
      <c r="IE77" s="43"/>
      <c r="IF77" s="43"/>
      <c r="IG77" s="43"/>
      <c r="IH77" s="43"/>
      <c r="II77" s="43"/>
      <c r="IJ77" s="43"/>
      <c r="IK77" s="43"/>
      <c r="IL77" s="43"/>
      <c r="IM77" s="43"/>
      <c r="IN77" s="43"/>
      <c r="IO77" s="43"/>
      <c r="IP77" s="43"/>
      <c r="IQ77" s="43"/>
      <c r="IR77" s="43"/>
      <c r="IS77" s="43"/>
      <c r="IT77" s="43"/>
      <c r="IU77" s="43"/>
      <c r="IV77" s="43"/>
      <c r="IW77" s="43"/>
      <c r="IX77" s="43"/>
      <c r="IY77" s="43"/>
      <c r="IZ77" s="43"/>
      <c r="JA77" s="43"/>
      <c r="JB77" s="43"/>
      <c r="JC77" s="43"/>
      <c r="JD77" s="43"/>
      <c r="JE77" s="43"/>
      <c r="JF77" s="43"/>
      <c r="JG77" s="43"/>
      <c r="JH77" s="43"/>
      <c r="JI77" s="43"/>
      <c r="JJ77" s="43"/>
      <c r="JK77" s="43"/>
      <c r="JL77" s="43"/>
      <c r="JM77" s="43"/>
      <c r="JN77" s="43"/>
      <c r="JO77" s="43"/>
      <c r="JP77" s="43"/>
      <c r="JQ77" s="43"/>
      <c r="JR77" s="43"/>
      <c r="JS77" s="43"/>
      <c r="JT77" s="43"/>
      <c r="JU77" s="43"/>
      <c r="JV77" s="43"/>
      <c r="JW77" s="43"/>
      <c r="JX77" s="43"/>
      <c r="JY77" s="43"/>
      <c r="JZ77" s="43"/>
      <c r="KA77" s="43"/>
      <c r="KB77" s="43"/>
      <c r="KC77" s="43"/>
      <c r="KD77" s="43"/>
      <c r="KE77" s="43"/>
      <c r="KF77" s="43"/>
      <c r="KG77" s="43"/>
      <c r="KH77" s="43"/>
      <c r="KI77" s="43"/>
      <c r="KJ77" s="43"/>
      <c r="KK77" s="43"/>
      <c r="KL77" s="43"/>
      <c r="KM77" s="43"/>
      <c r="KN77" s="43"/>
      <c r="KO77" s="43"/>
      <c r="KP77" s="43"/>
      <c r="KQ77" s="43"/>
      <c r="KR77" s="43"/>
      <c r="KS77" s="43"/>
      <c r="KT77" s="43"/>
      <c r="KU77" s="43"/>
      <c r="KV77" s="43"/>
      <c r="KW77" s="43"/>
      <c r="KX77" s="43"/>
      <c r="KY77" s="43"/>
      <c r="KZ77" s="43"/>
      <c r="LA77" s="43"/>
      <c r="LB77" s="43"/>
      <c r="LC77" s="43"/>
      <c r="LD77" s="43"/>
      <c r="LE77" s="43"/>
      <c r="LF77" s="43"/>
      <c r="LG77" s="43"/>
      <c r="LH77" s="43"/>
      <c r="LI77" s="43"/>
      <c r="LJ77" s="43"/>
      <c r="LK77" s="43"/>
      <c r="LL77" s="43"/>
      <c r="LM77" s="43"/>
      <c r="LN77" s="43"/>
      <c r="LO77" s="43"/>
      <c r="LP77" s="43"/>
      <c r="LQ77" s="43"/>
      <c r="LR77" s="43"/>
      <c r="LS77" s="43"/>
      <c r="LT77" s="43"/>
      <c r="LU77" s="43"/>
      <c r="LV77" s="43"/>
      <c r="LW77" s="43"/>
      <c r="LX77" s="43"/>
      <c r="LY77" s="43"/>
      <c r="LZ77" s="43"/>
      <c r="MA77" s="43"/>
      <c r="MB77" s="43"/>
      <c r="MC77" s="43"/>
      <c r="MD77" s="43"/>
      <c r="ME77" s="43"/>
      <c r="MF77" s="43"/>
      <c r="MG77" s="43"/>
      <c r="MH77" s="43"/>
      <c r="MI77" s="43"/>
      <c r="MJ77" s="43"/>
      <c r="MK77" s="43"/>
      <c r="ML77" s="43"/>
      <c r="MM77" s="43"/>
      <c r="MN77" s="43"/>
      <c r="MO77" s="43"/>
      <c r="MP77" s="43"/>
      <c r="MQ77" s="43"/>
      <c r="MR77" s="43"/>
      <c r="MS77" s="43"/>
      <c r="MT77" s="43"/>
      <c r="MU77" s="43"/>
      <c r="MV77" s="43"/>
      <c r="MW77" s="43"/>
      <c r="MX77" s="43"/>
      <c r="MY77" s="43"/>
      <c r="MZ77" s="43"/>
      <c r="NA77" s="43"/>
      <c r="NB77" s="43"/>
      <c r="NC77" s="43"/>
      <c r="ND77" s="43"/>
      <c r="NE77" s="43"/>
      <c r="NF77" s="43"/>
      <c r="NG77" s="43"/>
      <c r="NH77" s="43"/>
      <c r="NI77" s="43"/>
      <c r="NJ77" s="43"/>
      <c r="NK77" s="43"/>
      <c r="NL77" s="43"/>
      <c r="NM77" s="43"/>
      <c r="NN77" s="43"/>
      <c r="NO77" s="43"/>
      <c r="NP77" s="43"/>
      <c r="NQ77" s="43"/>
      <c r="NR77" s="43"/>
      <c r="NS77" s="43"/>
      <c r="NT77" s="43"/>
      <c r="NU77" s="43"/>
      <c r="NV77" s="43"/>
      <c r="NW77" s="43"/>
      <c r="NX77" s="43"/>
      <c r="NY77" s="43"/>
      <c r="NZ77" s="43"/>
      <c r="OA77" s="43"/>
      <c r="OB77" s="43"/>
      <c r="OC77" s="43"/>
      <c r="OD77" s="43"/>
      <c r="OE77" s="43"/>
      <c r="OF77" s="43"/>
      <c r="OG77" s="43"/>
      <c r="OH77" s="43"/>
      <c r="OI77" s="43"/>
      <c r="OJ77" s="43"/>
      <c r="OK77" s="43"/>
      <c r="OL77" s="43"/>
      <c r="OM77" s="43"/>
      <c r="ON77" s="43"/>
      <c r="OO77" s="43"/>
      <c r="OP77" s="43"/>
      <c r="OQ77" s="43"/>
      <c r="OR77" s="43"/>
      <c r="OS77" s="43"/>
      <c r="OT77" s="43"/>
      <c r="OU77" s="43"/>
      <c r="OV77" s="43"/>
      <c r="OW77" s="43"/>
      <c r="OX77" s="43"/>
      <c r="OY77" s="43"/>
      <c r="OZ77" s="43"/>
      <c r="PA77" s="43"/>
      <c r="PB77" s="43"/>
      <c r="PC77" s="43"/>
      <c r="PD77" s="43"/>
      <c r="PE77" s="43"/>
      <c r="PF77" s="43"/>
      <c r="PG77" s="43"/>
      <c r="PH77" s="43"/>
      <c r="PI77" s="43"/>
      <c r="PJ77" s="43"/>
      <c r="PK77" s="43"/>
      <c r="PL77" s="43"/>
      <c r="PM77" s="43"/>
      <c r="PN77" s="43"/>
      <c r="PO77" s="43"/>
      <c r="PP77" s="43"/>
      <c r="PQ77" s="43"/>
      <c r="PR77" s="43"/>
      <c r="PS77" s="43"/>
      <c r="PT77" s="43"/>
      <c r="PU77" s="43"/>
      <c r="PV77" s="43"/>
      <c r="PW77" s="43"/>
      <c r="PX77" s="43"/>
      <c r="PY77" s="43"/>
      <c r="PZ77" s="43"/>
      <c r="QA77" s="43"/>
      <c r="QB77" s="43"/>
      <c r="QC77" s="43"/>
    </row>
    <row r="78" spans="1:445" x14ac:dyDescent="0.3">
      <c r="A78" s="85"/>
      <c r="B78" s="84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46" t="str">
        <f t="shared" si="9"/>
        <v/>
      </c>
      <c r="U78" s="46" t="str">
        <f t="shared" si="10"/>
        <v/>
      </c>
      <c r="V78" s="72" t="str">
        <f t="shared" si="4"/>
        <v/>
      </c>
      <c r="W78" s="48"/>
      <c r="X78" s="73" t="str">
        <f t="shared" si="8"/>
        <v/>
      </c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43"/>
      <c r="BO78" s="43"/>
      <c r="BP78" s="43"/>
      <c r="BQ78" s="43"/>
      <c r="BR78" s="43"/>
      <c r="BS78" s="43"/>
      <c r="BT78" s="43"/>
      <c r="BU78" s="43"/>
      <c r="BV78" s="43"/>
      <c r="BW78" s="43"/>
      <c r="BX78" s="43"/>
      <c r="BY78" s="43"/>
      <c r="BZ78" s="43"/>
      <c r="CA78" s="43"/>
      <c r="CB78" s="43"/>
      <c r="CC78" s="43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43"/>
      <c r="CY78" s="43"/>
      <c r="CZ78" s="43"/>
      <c r="DA78" s="43"/>
      <c r="DB78" s="43"/>
      <c r="DC78" s="43"/>
      <c r="DD78" s="43"/>
      <c r="DE78" s="43"/>
      <c r="DF78" s="43"/>
      <c r="DG78" s="43"/>
      <c r="DH78" s="43"/>
      <c r="DI78" s="43"/>
      <c r="DJ78" s="43"/>
      <c r="DK78" s="43"/>
      <c r="DL78" s="43"/>
      <c r="DM78" s="43"/>
      <c r="DN78" s="43"/>
      <c r="DO78" s="43"/>
      <c r="DP78" s="43"/>
      <c r="DQ78" s="43"/>
      <c r="DR78" s="43"/>
      <c r="DS78" s="43"/>
      <c r="DT78" s="43"/>
      <c r="DU78" s="43"/>
      <c r="DV78" s="43"/>
      <c r="DW78" s="43"/>
      <c r="DX78" s="43"/>
      <c r="DY78" s="43"/>
      <c r="DZ78" s="43"/>
      <c r="EA78" s="43"/>
      <c r="EB78" s="43"/>
      <c r="EC78" s="43"/>
      <c r="ED78" s="43"/>
      <c r="EE78" s="43"/>
      <c r="EF78" s="43"/>
      <c r="EG78" s="43"/>
      <c r="EH78" s="43"/>
      <c r="EI78" s="43"/>
      <c r="EJ78" s="43"/>
      <c r="EK78" s="43"/>
      <c r="EL78" s="43"/>
      <c r="EM78" s="43"/>
      <c r="EN78" s="43"/>
      <c r="EO78" s="43"/>
      <c r="EP78" s="43"/>
      <c r="EQ78" s="43"/>
      <c r="ER78" s="43"/>
      <c r="ES78" s="43"/>
      <c r="ET78" s="43"/>
      <c r="EU78" s="43"/>
      <c r="EV78" s="43"/>
      <c r="EW78" s="43"/>
      <c r="EX78" s="43"/>
      <c r="EY78" s="43"/>
      <c r="EZ78" s="43"/>
      <c r="FA78" s="43"/>
      <c r="FB78" s="43"/>
      <c r="FC78" s="43"/>
      <c r="FD78" s="43"/>
      <c r="FE78" s="43"/>
      <c r="FF78" s="43"/>
      <c r="FG78" s="43"/>
      <c r="FH78" s="43"/>
      <c r="FI78" s="43"/>
      <c r="FJ78" s="43"/>
      <c r="FK78" s="43"/>
      <c r="FL78" s="43"/>
      <c r="FM78" s="43"/>
      <c r="FN78" s="43"/>
      <c r="FO78" s="43"/>
      <c r="FP78" s="43"/>
      <c r="FQ78" s="43"/>
      <c r="FR78" s="43"/>
      <c r="FS78" s="43"/>
      <c r="FT78" s="43"/>
      <c r="FU78" s="43"/>
      <c r="FV78" s="43"/>
      <c r="FW78" s="43"/>
      <c r="FX78" s="43"/>
      <c r="FY78" s="43"/>
      <c r="FZ78" s="43"/>
      <c r="GA78" s="43"/>
      <c r="GB78" s="43"/>
      <c r="GC78" s="43"/>
      <c r="GD78" s="43"/>
      <c r="GE78" s="43"/>
      <c r="GF78" s="43"/>
      <c r="GG78" s="43"/>
      <c r="GH78" s="43"/>
      <c r="GI78" s="43"/>
      <c r="GJ78" s="43"/>
      <c r="GK78" s="43"/>
      <c r="GL78" s="43"/>
      <c r="GM78" s="43"/>
      <c r="GN78" s="43"/>
      <c r="GO78" s="43"/>
      <c r="GP78" s="43"/>
      <c r="GQ78" s="43"/>
      <c r="GR78" s="43"/>
      <c r="GS78" s="43"/>
      <c r="GT78" s="43"/>
      <c r="GU78" s="43"/>
      <c r="GV78" s="43"/>
      <c r="GW78" s="43"/>
      <c r="GX78" s="43"/>
      <c r="GY78" s="43"/>
      <c r="GZ78" s="43"/>
      <c r="HA78" s="43"/>
      <c r="HB78" s="43"/>
      <c r="HC78" s="43"/>
      <c r="HD78" s="43"/>
      <c r="HE78" s="43"/>
      <c r="HF78" s="43"/>
      <c r="HG78" s="43"/>
      <c r="HH78" s="43"/>
      <c r="HI78" s="43"/>
      <c r="HJ78" s="43"/>
      <c r="HK78" s="43"/>
      <c r="HL78" s="43"/>
      <c r="HM78" s="43"/>
      <c r="HN78" s="43"/>
      <c r="HO78" s="43"/>
      <c r="HP78" s="43"/>
      <c r="HQ78" s="43"/>
      <c r="HR78" s="43"/>
      <c r="HS78" s="43"/>
      <c r="HT78" s="43"/>
      <c r="HU78" s="43"/>
      <c r="HV78" s="43"/>
      <c r="HW78" s="43"/>
      <c r="HX78" s="43"/>
      <c r="HY78" s="43"/>
      <c r="HZ78" s="43"/>
      <c r="IA78" s="43"/>
      <c r="IB78" s="43"/>
      <c r="IC78" s="43"/>
      <c r="ID78" s="43"/>
      <c r="IE78" s="43"/>
      <c r="IF78" s="43"/>
      <c r="IG78" s="43"/>
      <c r="IH78" s="43"/>
      <c r="II78" s="43"/>
      <c r="IJ78" s="43"/>
      <c r="IK78" s="43"/>
      <c r="IL78" s="43"/>
      <c r="IM78" s="43"/>
      <c r="IN78" s="43"/>
      <c r="IO78" s="43"/>
      <c r="IP78" s="43"/>
      <c r="IQ78" s="43"/>
      <c r="IR78" s="43"/>
      <c r="IS78" s="43"/>
      <c r="IT78" s="43"/>
      <c r="IU78" s="43"/>
      <c r="IV78" s="43"/>
      <c r="IW78" s="43"/>
      <c r="IX78" s="43"/>
      <c r="IY78" s="43"/>
      <c r="IZ78" s="43"/>
      <c r="JA78" s="43"/>
      <c r="JB78" s="43"/>
      <c r="JC78" s="43"/>
      <c r="JD78" s="43"/>
      <c r="JE78" s="43"/>
      <c r="JF78" s="43"/>
      <c r="JG78" s="43"/>
      <c r="JH78" s="43"/>
      <c r="JI78" s="43"/>
      <c r="JJ78" s="43"/>
      <c r="JK78" s="43"/>
      <c r="JL78" s="43"/>
      <c r="JM78" s="43"/>
      <c r="JN78" s="43"/>
      <c r="JO78" s="43"/>
      <c r="JP78" s="43"/>
      <c r="JQ78" s="43"/>
      <c r="JR78" s="43"/>
      <c r="JS78" s="43"/>
      <c r="JT78" s="43"/>
      <c r="JU78" s="43"/>
      <c r="JV78" s="43"/>
      <c r="JW78" s="43"/>
      <c r="JX78" s="43"/>
      <c r="JY78" s="43"/>
      <c r="JZ78" s="43"/>
      <c r="KA78" s="43"/>
      <c r="KB78" s="43"/>
      <c r="KC78" s="43"/>
      <c r="KD78" s="43"/>
      <c r="KE78" s="43"/>
      <c r="KF78" s="43"/>
      <c r="KG78" s="43"/>
      <c r="KH78" s="43"/>
      <c r="KI78" s="43"/>
      <c r="KJ78" s="43"/>
      <c r="KK78" s="43"/>
      <c r="KL78" s="43"/>
      <c r="KM78" s="43"/>
      <c r="KN78" s="43"/>
      <c r="KO78" s="43"/>
      <c r="KP78" s="43"/>
      <c r="KQ78" s="43"/>
      <c r="KR78" s="43"/>
      <c r="KS78" s="43"/>
      <c r="KT78" s="43"/>
      <c r="KU78" s="43"/>
      <c r="KV78" s="43"/>
      <c r="KW78" s="43"/>
      <c r="KX78" s="43"/>
      <c r="KY78" s="43"/>
      <c r="KZ78" s="43"/>
      <c r="LA78" s="43"/>
      <c r="LB78" s="43"/>
      <c r="LC78" s="43"/>
      <c r="LD78" s="43"/>
      <c r="LE78" s="43"/>
      <c r="LF78" s="43"/>
      <c r="LG78" s="43"/>
      <c r="LH78" s="43"/>
      <c r="LI78" s="43"/>
      <c r="LJ78" s="43"/>
      <c r="LK78" s="43"/>
      <c r="LL78" s="43"/>
      <c r="LM78" s="43"/>
      <c r="LN78" s="43"/>
      <c r="LO78" s="43"/>
      <c r="LP78" s="43"/>
      <c r="LQ78" s="43"/>
      <c r="LR78" s="43"/>
      <c r="LS78" s="43"/>
      <c r="LT78" s="43"/>
      <c r="LU78" s="43"/>
      <c r="LV78" s="43"/>
      <c r="LW78" s="43"/>
      <c r="LX78" s="43"/>
      <c r="LY78" s="43"/>
      <c r="LZ78" s="43"/>
      <c r="MA78" s="43"/>
      <c r="MB78" s="43"/>
      <c r="MC78" s="43"/>
      <c r="MD78" s="43"/>
      <c r="ME78" s="43"/>
      <c r="MF78" s="43"/>
      <c r="MG78" s="43"/>
      <c r="MH78" s="43"/>
      <c r="MI78" s="43"/>
      <c r="MJ78" s="43"/>
      <c r="MK78" s="43"/>
      <c r="ML78" s="43"/>
      <c r="MM78" s="43"/>
      <c r="MN78" s="43"/>
      <c r="MO78" s="43"/>
      <c r="MP78" s="43"/>
      <c r="MQ78" s="43"/>
      <c r="MR78" s="43"/>
      <c r="MS78" s="43"/>
      <c r="MT78" s="43"/>
      <c r="MU78" s="43"/>
      <c r="MV78" s="43"/>
      <c r="MW78" s="43"/>
      <c r="MX78" s="43"/>
      <c r="MY78" s="43"/>
      <c r="MZ78" s="43"/>
      <c r="NA78" s="43"/>
      <c r="NB78" s="43"/>
      <c r="NC78" s="43"/>
      <c r="ND78" s="43"/>
      <c r="NE78" s="43"/>
      <c r="NF78" s="43"/>
      <c r="NG78" s="43"/>
      <c r="NH78" s="43"/>
      <c r="NI78" s="43"/>
      <c r="NJ78" s="43"/>
      <c r="NK78" s="43"/>
      <c r="NL78" s="43"/>
      <c r="NM78" s="43"/>
      <c r="NN78" s="43"/>
      <c r="NO78" s="43"/>
      <c r="NP78" s="43"/>
      <c r="NQ78" s="43"/>
      <c r="NR78" s="43"/>
      <c r="NS78" s="43"/>
      <c r="NT78" s="43"/>
      <c r="NU78" s="43"/>
      <c r="NV78" s="43"/>
      <c r="NW78" s="43"/>
      <c r="NX78" s="43"/>
      <c r="NY78" s="43"/>
      <c r="NZ78" s="43"/>
      <c r="OA78" s="43"/>
      <c r="OB78" s="43"/>
      <c r="OC78" s="43"/>
      <c r="OD78" s="43"/>
      <c r="OE78" s="43"/>
      <c r="OF78" s="43"/>
      <c r="OG78" s="43"/>
      <c r="OH78" s="43"/>
      <c r="OI78" s="43"/>
      <c r="OJ78" s="43"/>
      <c r="OK78" s="43"/>
      <c r="OL78" s="43"/>
      <c r="OM78" s="43"/>
      <c r="ON78" s="43"/>
      <c r="OO78" s="43"/>
      <c r="OP78" s="43"/>
      <c r="OQ78" s="43"/>
      <c r="OR78" s="43"/>
      <c r="OS78" s="43"/>
      <c r="OT78" s="43"/>
      <c r="OU78" s="43"/>
      <c r="OV78" s="43"/>
      <c r="OW78" s="43"/>
      <c r="OX78" s="43"/>
      <c r="OY78" s="43"/>
      <c r="OZ78" s="43"/>
      <c r="PA78" s="43"/>
      <c r="PB78" s="43"/>
      <c r="PC78" s="43"/>
      <c r="PD78" s="43"/>
      <c r="PE78" s="43"/>
      <c r="PF78" s="43"/>
      <c r="PG78" s="43"/>
      <c r="PH78" s="43"/>
      <c r="PI78" s="43"/>
      <c r="PJ78" s="43"/>
      <c r="PK78" s="43"/>
      <c r="PL78" s="43"/>
      <c r="PM78" s="43"/>
      <c r="PN78" s="43"/>
      <c r="PO78" s="43"/>
      <c r="PP78" s="43"/>
      <c r="PQ78" s="43"/>
      <c r="PR78" s="43"/>
      <c r="PS78" s="43"/>
      <c r="PT78" s="43"/>
      <c r="PU78" s="43"/>
      <c r="PV78" s="43"/>
      <c r="PW78" s="43"/>
      <c r="PX78" s="43"/>
      <c r="PY78" s="43"/>
      <c r="PZ78" s="43"/>
      <c r="QA78" s="43"/>
      <c r="QB78" s="43"/>
      <c r="QC78" s="43"/>
    </row>
    <row r="79" spans="1:445" s="54" customFormat="1" x14ac:dyDescent="0.3">
      <c r="A79" s="85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46" t="str">
        <f t="shared" si="9"/>
        <v/>
      </c>
      <c r="U79" s="46" t="str">
        <f t="shared" si="10"/>
        <v/>
      </c>
      <c r="V79" s="72" t="str">
        <f t="shared" si="4"/>
        <v/>
      </c>
      <c r="W79" s="48"/>
      <c r="X79" s="73" t="str">
        <f t="shared" si="8"/>
        <v/>
      </c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  <c r="IW79" s="43"/>
      <c r="IX79" s="43"/>
      <c r="IY79" s="43"/>
      <c r="IZ79" s="43"/>
      <c r="JA79" s="43"/>
      <c r="JB79" s="43"/>
      <c r="JC79" s="43"/>
      <c r="JD79" s="43"/>
      <c r="JE79" s="43"/>
      <c r="JF79" s="43"/>
      <c r="JG79" s="43"/>
      <c r="JH79" s="43"/>
      <c r="JI79" s="43"/>
      <c r="JJ79" s="43"/>
      <c r="JK79" s="43"/>
      <c r="JL79" s="43"/>
      <c r="JM79" s="43"/>
      <c r="JN79" s="43"/>
      <c r="JO79" s="43"/>
      <c r="JP79" s="43"/>
      <c r="JQ79" s="43"/>
      <c r="JR79" s="43"/>
      <c r="JS79" s="43"/>
      <c r="JT79" s="43"/>
      <c r="JU79" s="43"/>
      <c r="JV79" s="43"/>
      <c r="JW79" s="43"/>
      <c r="JX79" s="43"/>
      <c r="JY79" s="43"/>
      <c r="JZ79" s="43"/>
      <c r="KA79" s="43"/>
      <c r="KB79" s="43"/>
      <c r="KC79" s="43"/>
      <c r="KD79" s="43"/>
      <c r="KE79" s="43"/>
      <c r="KF79" s="43"/>
      <c r="KG79" s="43"/>
      <c r="KH79" s="43"/>
      <c r="KI79" s="43"/>
      <c r="KJ79" s="43"/>
      <c r="KK79" s="43"/>
      <c r="KL79" s="43"/>
      <c r="KM79" s="43"/>
      <c r="KN79" s="43"/>
      <c r="KO79" s="43"/>
      <c r="KP79" s="43"/>
      <c r="KQ79" s="43"/>
      <c r="KR79" s="43"/>
      <c r="KS79" s="43"/>
      <c r="KT79" s="43"/>
      <c r="KU79" s="43"/>
      <c r="KV79" s="43"/>
      <c r="KW79" s="43"/>
      <c r="KX79" s="43"/>
      <c r="KY79" s="43"/>
      <c r="KZ79" s="43"/>
      <c r="LA79" s="43"/>
      <c r="LB79" s="43"/>
      <c r="LC79" s="43"/>
      <c r="LD79" s="43"/>
      <c r="LE79" s="43"/>
      <c r="LF79" s="43"/>
      <c r="LG79" s="43"/>
      <c r="LH79" s="43"/>
      <c r="LI79" s="43"/>
      <c r="LJ79" s="43"/>
      <c r="LK79" s="43"/>
      <c r="LL79" s="43"/>
      <c r="LM79" s="43"/>
      <c r="LN79" s="43"/>
      <c r="LO79" s="43"/>
      <c r="LP79" s="43"/>
      <c r="LQ79" s="43"/>
      <c r="LR79" s="43"/>
      <c r="LS79" s="43"/>
      <c r="LT79" s="43"/>
      <c r="LU79" s="43"/>
      <c r="LV79" s="43"/>
      <c r="LW79" s="43"/>
      <c r="LX79" s="43"/>
      <c r="LY79" s="43"/>
      <c r="LZ79" s="43"/>
      <c r="MA79" s="43"/>
      <c r="MB79" s="43"/>
      <c r="MC79" s="43"/>
      <c r="MD79" s="43"/>
      <c r="ME79" s="43"/>
      <c r="MF79" s="43"/>
      <c r="MG79" s="43"/>
      <c r="MH79" s="43"/>
      <c r="MI79" s="43"/>
      <c r="MJ79" s="43"/>
      <c r="MK79" s="43"/>
      <c r="ML79" s="43"/>
      <c r="MM79" s="43"/>
      <c r="MN79" s="43"/>
      <c r="MO79" s="43"/>
      <c r="MP79" s="43"/>
      <c r="MQ79" s="43"/>
      <c r="MR79" s="43"/>
      <c r="MS79" s="43"/>
      <c r="MT79" s="43"/>
      <c r="MU79" s="43"/>
      <c r="MV79" s="43"/>
      <c r="MW79" s="43"/>
      <c r="MX79" s="43"/>
      <c r="MY79" s="43"/>
      <c r="MZ79" s="43"/>
      <c r="NA79" s="43"/>
      <c r="NB79" s="43"/>
      <c r="NC79" s="43"/>
      <c r="ND79" s="43"/>
      <c r="NE79" s="43"/>
      <c r="NF79" s="43"/>
      <c r="NG79" s="43"/>
      <c r="NH79" s="43"/>
      <c r="NI79" s="43"/>
      <c r="NJ79" s="43"/>
      <c r="NK79" s="43"/>
      <c r="NL79" s="43"/>
      <c r="NM79" s="43"/>
      <c r="NN79" s="43"/>
      <c r="NO79" s="43"/>
      <c r="NP79" s="43"/>
      <c r="NQ79" s="43"/>
      <c r="NR79" s="43"/>
      <c r="NS79" s="43"/>
      <c r="NT79" s="43"/>
      <c r="NU79" s="43"/>
      <c r="NV79" s="43"/>
      <c r="NW79" s="43"/>
      <c r="NX79" s="43"/>
      <c r="NY79" s="43"/>
      <c r="NZ79" s="43"/>
      <c r="OA79" s="43"/>
      <c r="OB79" s="43"/>
      <c r="OC79" s="43"/>
      <c r="OD79" s="43"/>
      <c r="OE79" s="43"/>
      <c r="OF79" s="43"/>
      <c r="OG79" s="43"/>
      <c r="OH79" s="43"/>
      <c r="OI79" s="43"/>
      <c r="OJ79" s="43"/>
      <c r="OK79" s="43"/>
      <c r="OL79" s="43"/>
      <c r="OM79" s="43"/>
      <c r="ON79" s="43"/>
      <c r="OO79" s="43"/>
      <c r="OP79" s="43"/>
      <c r="OQ79" s="43"/>
      <c r="OR79" s="43"/>
      <c r="OS79" s="43"/>
      <c r="OT79" s="43"/>
      <c r="OU79" s="43"/>
      <c r="OV79" s="43"/>
      <c r="OW79" s="43"/>
      <c r="OX79" s="43"/>
      <c r="OY79" s="43"/>
      <c r="OZ79" s="43"/>
      <c r="PA79" s="43"/>
      <c r="PB79" s="43"/>
      <c r="PC79" s="43"/>
      <c r="PD79" s="43"/>
      <c r="PE79" s="43"/>
      <c r="PF79" s="43"/>
      <c r="PG79" s="43"/>
      <c r="PH79" s="43"/>
      <c r="PI79" s="43"/>
      <c r="PJ79" s="43"/>
      <c r="PK79" s="43"/>
      <c r="PL79" s="43"/>
      <c r="PM79" s="43"/>
      <c r="PN79" s="43"/>
      <c r="PO79" s="43"/>
      <c r="PP79" s="43"/>
      <c r="PQ79" s="43"/>
      <c r="PR79" s="43"/>
      <c r="PS79" s="43"/>
      <c r="PT79" s="43"/>
      <c r="PU79" s="43"/>
      <c r="PV79" s="43"/>
      <c r="PW79" s="43"/>
      <c r="PX79" s="43"/>
      <c r="PY79" s="43"/>
      <c r="PZ79" s="43"/>
      <c r="QA79" s="43"/>
      <c r="QB79" s="43"/>
      <c r="QC79" s="43"/>
    </row>
    <row r="80" spans="1:445" x14ac:dyDescent="0.3">
      <c r="A80" s="85"/>
      <c r="B80" s="84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46" t="str">
        <f t="shared" si="9"/>
        <v/>
      </c>
      <c r="U80" s="46" t="str">
        <f t="shared" si="10"/>
        <v/>
      </c>
      <c r="V80" s="72" t="str">
        <f t="shared" si="4"/>
        <v/>
      </c>
      <c r="W80" s="48"/>
      <c r="X80" s="73" t="str">
        <f t="shared" si="8"/>
        <v/>
      </c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43"/>
      <c r="BO80" s="43"/>
      <c r="BP80" s="43"/>
      <c r="BQ80" s="43"/>
      <c r="BR80" s="43"/>
      <c r="BS80" s="43"/>
      <c r="BT80" s="43"/>
      <c r="BU80" s="43"/>
      <c r="BV80" s="43"/>
      <c r="BW80" s="43"/>
      <c r="BX80" s="43"/>
      <c r="BY80" s="43"/>
      <c r="BZ80" s="43"/>
      <c r="CA80" s="43"/>
      <c r="CB80" s="43"/>
      <c r="CC80" s="43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43"/>
      <c r="CY80" s="43"/>
      <c r="CZ80" s="43"/>
      <c r="DA80" s="43"/>
      <c r="DB80" s="43"/>
      <c r="DC80" s="43"/>
      <c r="DD80" s="43"/>
      <c r="DE80" s="43"/>
      <c r="DF80" s="43"/>
      <c r="DG80" s="43"/>
      <c r="DH80" s="43"/>
      <c r="DI80" s="43"/>
      <c r="DJ80" s="43"/>
      <c r="DK80" s="43"/>
      <c r="DL80" s="43"/>
      <c r="DM80" s="43"/>
      <c r="DN80" s="43"/>
      <c r="DO80" s="43"/>
      <c r="DP80" s="43"/>
      <c r="DQ80" s="43"/>
      <c r="DR80" s="43"/>
      <c r="DS80" s="43"/>
      <c r="DT80" s="43"/>
      <c r="DU80" s="43"/>
      <c r="DV80" s="43"/>
      <c r="DW80" s="43"/>
      <c r="DX80" s="43"/>
      <c r="DY80" s="43"/>
      <c r="DZ80" s="43"/>
      <c r="EA80" s="43"/>
      <c r="EB80" s="43"/>
      <c r="EC80" s="43"/>
      <c r="ED80" s="43"/>
      <c r="EE80" s="43"/>
      <c r="EF80" s="43"/>
      <c r="EG80" s="43"/>
      <c r="EH80" s="43"/>
      <c r="EI80" s="43"/>
      <c r="EJ80" s="43"/>
      <c r="EK80" s="43"/>
      <c r="EL80" s="43"/>
      <c r="EM80" s="43"/>
      <c r="EN80" s="43"/>
      <c r="EO80" s="43"/>
      <c r="EP80" s="43"/>
      <c r="EQ80" s="43"/>
      <c r="ER80" s="43"/>
      <c r="ES80" s="43"/>
      <c r="ET80" s="43"/>
      <c r="EU80" s="43"/>
      <c r="EV80" s="43"/>
      <c r="EW80" s="43"/>
      <c r="EX80" s="43"/>
      <c r="EY80" s="43"/>
      <c r="EZ80" s="43"/>
      <c r="FA80" s="43"/>
      <c r="FB80" s="43"/>
      <c r="FC80" s="43"/>
      <c r="FD80" s="43"/>
      <c r="FE80" s="43"/>
      <c r="FF80" s="43"/>
      <c r="FG80" s="43"/>
      <c r="FH80" s="43"/>
      <c r="FI80" s="43"/>
      <c r="FJ80" s="43"/>
      <c r="FK80" s="43"/>
      <c r="FL80" s="43"/>
      <c r="FM80" s="43"/>
      <c r="FN80" s="43"/>
      <c r="FO80" s="43"/>
      <c r="FP80" s="43"/>
      <c r="FQ80" s="43"/>
      <c r="FR80" s="43"/>
      <c r="FS80" s="43"/>
      <c r="FT80" s="43"/>
      <c r="FU80" s="43"/>
      <c r="FV80" s="43"/>
      <c r="FW80" s="43"/>
      <c r="FX80" s="43"/>
      <c r="FY80" s="43"/>
      <c r="FZ80" s="43"/>
      <c r="GA80" s="43"/>
      <c r="GB80" s="43"/>
      <c r="GC80" s="43"/>
      <c r="GD80" s="43"/>
      <c r="GE80" s="43"/>
      <c r="GF80" s="43"/>
      <c r="GG80" s="43"/>
      <c r="GH80" s="43"/>
      <c r="GI80" s="43"/>
      <c r="GJ80" s="43"/>
      <c r="GK80" s="43"/>
      <c r="GL80" s="43"/>
      <c r="GM80" s="43"/>
      <c r="GN80" s="43"/>
      <c r="GO80" s="43"/>
      <c r="GP80" s="43"/>
      <c r="GQ80" s="43"/>
      <c r="GR80" s="43"/>
      <c r="GS80" s="43"/>
      <c r="GT80" s="43"/>
      <c r="GU80" s="43"/>
      <c r="GV80" s="43"/>
      <c r="GW80" s="43"/>
      <c r="GX80" s="43"/>
      <c r="GY80" s="43"/>
      <c r="GZ80" s="43"/>
      <c r="HA80" s="43"/>
      <c r="HB80" s="43"/>
      <c r="HC80" s="43"/>
      <c r="HD80" s="43"/>
      <c r="HE80" s="43"/>
      <c r="HF80" s="43"/>
      <c r="HG80" s="43"/>
      <c r="HH80" s="43"/>
      <c r="HI80" s="43"/>
      <c r="HJ80" s="43"/>
      <c r="HK80" s="43"/>
      <c r="HL80" s="43"/>
      <c r="HM80" s="43"/>
      <c r="HN80" s="43"/>
      <c r="HO80" s="43"/>
      <c r="HP80" s="43"/>
      <c r="HQ80" s="43"/>
      <c r="HR80" s="43"/>
      <c r="HS80" s="43"/>
      <c r="HT80" s="43"/>
      <c r="HU80" s="43"/>
      <c r="HV80" s="43"/>
      <c r="HW80" s="43"/>
      <c r="HX80" s="43"/>
      <c r="HY80" s="43"/>
      <c r="HZ80" s="43"/>
      <c r="IA80" s="43"/>
      <c r="IB80" s="43"/>
      <c r="IC80" s="43"/>
      <c r="ID80" s="43"/>
      <c r="IE80" s="43"/>
      <c r="IF80" s="43"/>
      <c r="IG80" s="43"/>
      <c r="IH80" s="43"/>
      <c r="II80" s="43"/>
      <c r="IJ80" s="43"/>
      <c r="IK80" s="43"/>
      <c r="IL80" s="43"/>
      <c r="IM80" s="43"/>
      <c r="IN80" s="43"/>
      <c r="IO80" s="43"/>
      <c r="IP80" s="43"/>
      <c r="IQ80" s="43"/>
      <c r="IR80" s="43"/>
      <c r="IS80" s="43"/>
      <c r="IT80" s="43"/>
      <c r="IU80" s="43"/>
      <c r="IV80" s="43"/>
      <c r="IW80" s="43"/>
      <c r="IX80" s="43"/>
      <c r="IY80" s="43"/>
      <c r="IZ80" s="43"/>
      <c r="JA80" s="43"/>
      <c r="JB80" s="43"/>
      <c r="JC80" s="43"/>
      <c r="JD80" s="43"/>
      <c r="JE80" s="43"/>
      <c r="JF80" s="43"/>
      <c r="JG80" s="43"/>
      <c r="JH80" s="43"/>
      <c r="JI80" s="43"/>
      <c r="JJ80" s="43"/>
      <c r="JK80" s="43"/>
      <c r="JL80" s="43"/>
      <c r="JM80" s="43"/>
      <c r="JN80" s="43"/>
      <c r="JO80" s="43"/>
      <c r="JP80" s="43"/>
      <c r="JQ80" s="43"/>
      <c r="JR80" s="43"/>
      <c r="JS80" s="43"/>
      <c r="JT80" s="43"/>
      <c r="JU80" s="43"/>
      <c r="JV80" s="43"/>
      <c r="JW80" s="43"/>
      <c r="JX80" s="43"/>
      <c r="JY80" s="43"/>
      <c r="JZ80" s="43"/>
      <c r="KA80" s="43"/>
      <c r="KB80" s="43"/>
      <c r="KC80" s="43"/>
      <c r="KD80" s="43"/>
      <c r="KE80" s="43"/>
      <c r="KF80" s="43"/>
      <c r="KG80" s="43"/>
      <c r="KH80" s="43"/>
      <c r="KI80" s="43"/>
      <c r="KJ80" s="43"/>
      <c r="KK80" s="43"/>
      <c r="KL80" s="43"/>
      <c r="KM80" s="43"/>
      <c r="KN80" s="43"/>
      <c r="KO80" s="43"/>
      <c r="KP80" s="43"/>
      <c r="KQ80" s="43"/>
      <c r="KR80" s="43"/>
      <c r="KS80" s="43"/>
      <c r="KT80" s="43"/>
      <c r="KU80" s="43"/>
      <c r="KV80" s="43"/>
      <c r="KW80" s="43"/>
      <c r="KX80" s="43"/>
      <c r="KY80" s="43"/>
      <c r="KZ80" s="43"/>
      <c r="LA80" s="43"/>
      <c r="LB80" s="43"/>
      <c r="LC80" s="43"/>
      <c r="LD80" s="43"/>
      <c r="LE80" s="43"/>
      <c r="LF80" s="43"/>
      <c r="LG80" s="43"/>
      <c r="LH80" s="43"/>
      <c r="LI80" s="43"/>
      <c r="LJ80" s="43"/>
      <c r="LK80" s="43"/>
      <c r="LL80" s="43"/>
      <c r="LM80" s="43"/>
      <c r="LN80" s="43"/>
      <c r="LO80" s="43"/>
      <c r="LP80" s="43"/>
      <c r="LQ80" s="43"/>
      <c r="LR80" s="43"/>
      <c r="LS80" s="43"/>
      <c r="LT80" s="43"/>
      <c r="LU80" s="43"/>
      <c r="LV80" s="43"/>
      <c r="LW80" s="43"/>
      <c r="LX80" s="43"/>
      <c r="LY80" s="43"/>
      <c r="LZ80" s="43"/>
      <c r="MA80" s="43"/>
      <c r="MB80" s="43"/>
      <c r="MC80" s="43"/>
      <c r="MD80" s="43"/>
      <c r="ME80" s="43"/>
      <c r="MF80" s="43"/>
      <c r="MG80" s="43"/>
      <c r="MH80" s="43"/>
      <c r="MI80" s="43"/>
      <c r="MJ80" s="43"/>
      <c r="MK80" s="43"/>
      <c r="ML80" s="43"/>
      <c r="MM80" s="43"/>
      <c r="MN80" s="43"/>
      <c r="MO80" s="43"/>
      <c r="MP80" s="43"/>
      <c r="MQ80" s="43"/>
      <c r="MR80" s="43"/>
      <c r="MS80" s="43"/>
      <c r="MT80" s="43"/>
      <c r="MU80" s="43"/>
      <c r="MV80" s="43"/>
      <c r="MW80" s="43"/>
      <c r="MX80" s="43"/>
      <c r="MY80" s="43"/>
      <c r="MZ80" s="43"/>
      <c r="NA80" s="43"/>
      <c r="NB80" s="43"/>
      <c r="NC80" s="43"/>
      <c r="ND80" s="43"/>
      <c r="NE80" s="43"/>
      <c r="NF80" s="43"/>
      <c r="NG80" s="43"/>
      <c r="NH80" s="43"/>
      <c r="NI80" s="43"/>
      <c r="NJ80" s="43"/>
      <c r="NK80" s="43"/>
      <c r="NL80" s="43"/>
      <c r="NM80" s="43"/>
      <c r="NN80" s="43"/>
      <c r="NO80" s="43"/>
      <c r="NP80" s="43"/>
      <c r="NQ80" s="43"/>
      <c r="NR80" s="43"/>
      <c r="NS80" s="43"/>
      <c r="NT80" s="43"/>
      <c r="NU80" s="43"/>
      <c r="NV80" s="43"/>
      <c r="NW80" s="43"/>
      <c r="NX80" s="43"/>
      <c r="NY80" s="43"/>
      <c r="NZ80" s="43"/>
      <c r="OA80" s="43"/>
      <c r="OB80" s="43"/>
      <c r="OC80" s="43"/>
      <c r="OD80" s="43"/>
      <c r="OE80" s="43"/>
      <c r="OF80" s="43"/>
      <c r="OG80" s="43"/>
      <c r="OH80" s="43"/>
      <c r="OI80" s="43"/>
      <c r="OJ80" s="43"/>
      <c r="OK80" s="43"/>
      <c r="OL80" s="43"/>
      <c r="OM80" s="43"/>
      <c r="ON80" s="43"/>
      <c r="OO80" s="43"/>
      <c r="OP80" s="43"/>
      <c r="OQ80" s="43"/>
      <c r="OR80" s="43"/>
      <c r="OS80" s="43"/>
      <c r="OT80" s="43"/>
      <c r="OU80" s="43"/>
      <c r="OV80" s="43"/>
      <c r="OW80" s="43"/>
      <c r="OX80" s="43"/>
      <c r="OY80" s="43"/>
      <c r="OZ80" s="43"/>
      <c r="PA80" s="43"/>
      <c r="PB80" s="43"/>
      <c r="PC80" s="43"/>
      <c r="PD80" s="43"/>
      <c r="PE80" s="43"/>
      <c r="PF80" s="43"/>
      <c r="PG80" s="43"/>
      <c r="PH80" s="43"/>
      <c r="PI80" s="43"/>
      <c r="PJ80" s="43"/>
      <c r="PK80" s="43"/>
      <c r="PL80" s="43"/>
      <c r="PM80" s="43"/>
      <c r="PN80" s="43"/>
      <c r="PO80" s="43"/>
      <c r="PP80" s="43"/>
      <c r="PQ80" s="43"/>
      <c r="PR80" s="43"/>
      <c r="PS80" s="43"/>
      <c r="PT80" s="43"/>
      <c r="PU80" s="43"/>
      <c r="PV80" s="43"/>
      <c r="PW80" s="43"/>
      <c r="PX80" s="43"/>
      <c r="PY80" s="43"/>
      <c r="PZ80" s="43"/>
      <c r="QA80" s="43"/>
      <c r="QB80" s="43"/>
      <c r="QC80" s="43"/>
    </row>
    <row r="81" spans="1:445" x14ac:dyDescent="0.3">
      <c r="A81" s="85"/>
      <c r="B81" s="84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46" t="str">
        <f t="shared" si="9"/>
        <v/>
      </c>
      <c r="U81" s="46" t="str">
        <f t="shared" si="10"/>
        <v/>
      </c>
      <c r="V81" s="72" t="str">
        <f t="shared" si="4"/>
        <v/>
      </c>
      <c r="X81" s="73" t="str">
        <f t="shared" si="8"/>
        <v/>
      </c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43"/>
      <c r="BO81" s="43"/>
      <c r="BP81" s="43"/>
      <c r="BQ81" s="43"/>
      <c r="BR81" s="43"/>
      <c r="BS81" s="43"/>
      <c r="BT81" s="43"/>
      <c r="BU81" s="43"/>
      <c r="BV81" s="43"/>
      <c r="BW81" s="43"/>
      <c r="BX81" s="43"/>
      <c r="BY81" s="43"/>
      <c r="BZ81" s="43"/>
      <c r="CA81" s="43"/>
      <c r="CB81" s="43"/>
      <c r="CC81" s="43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43"/>
      <c r="CY81" s="43"/>
      <c r="CZ81" s="43"/>
      <c r="DA81" s="43"/>
      <c r="DB81" s="43"/>
      <c r="DC81" s="43"/>
      <c r="DD81" s="43"/>
      <c r="DE81" s="43"/>
      <c r="DF81" s="43"/>
      <c r="DG81" s="43"/>
      <c r="DH81" s="43"/>
      <c r="DI81" s="43"/>
      <c r="DJ81" s="43"/>
      <c r="DK81" s="43"/>
      <c r="DL81" s="43"/>
      <c r="DM81" s="43"/>
      <c r="DN81" s="43"/>
      <c r="DO81" s="43"/>
      <c r="DP81" s="43"/>
      <c r="DQ81" s="43"/>
      <c r="DR81" s="43"/>
      <c r="DS81" s="43"/>
      <c r="DT81" s="43"/>
      <c r="DU81" s="43"/>
      <c r="DV81" s="43"/>
      <c r="DW81" s="43"/>
      <c r="DX81" s="43"/>
      <c r="DY81" s="43"/>
      <c r="DZ81" s="43"/>
      <c r="EA81" s="43"/>
      <c r="EB81" s="43"/>
      <c r="EC81" s="43"/>
      <c r="ED81" s="43"/>
      <c r="EE81" s="43"/>
      <c r="EF81" s="43"/>
      <c r="EG81" s="43"/>
      <c r="EH81" s="43"/>
      <c r="EI81" s="43"/>
      <c r="EJ81" s="43"/>
      <c r="EK81" s="43"/>
      <c r="EL81" s="43"/>
      <c r="EM81" s="43"/>
      <c r="EN81" s="43"/>
      <c r="EO81" s="43"/>
      <c r="EP81" s="43"/>
      <c r="EQ81" s="43"/>
      <c r="ER81" s="43"/>
      <c r="ES81" s="43"/>
      <c r="ET81" s="43"/>
      <c r="EU81" s="43"/>
      <c r="EV81" s="43"/>
      <c r="EW81" s="43"/>
      <c r="EX81" s="43"/>
      <c r="EY81" s="43"/>
      <c r="EZ81" s="43"/>
      <c r="FA81" s="43"/>
      <c r="FB81" s="43"/>
      <c r="FC81" s="43"/>
      <c r="FD81" s="43"/>
      <c r="FE81" s="43"/>
      <c r="FF81" s="43"/>
      <c r="FG81" s="43"/>
      <c r="FH81" s="43"/>
      <c r="FI81" s="43"/>
      <c r="FJ81" s="43"/>
      <c r="FK81" s="43"/>
      <c r="FL81" s="43"/>
      <c r="FM81" s="43"/>
      <c r="FN81" s="43"/>
      <c r="FO81" s="43"/>
      <c r="FP81" s="43"/>
      <c r="FQ81" s="43"/>
      <c r="FR81" s="43"/>
      <c r="FS81" s="43"/>
      <c r="FT81" s="43"/>
      <c r="FU81" s="43"/>
      <c r="FV81" s="43"/>
      <c r="FW81" s="43"/>
      <c r="FX81" s="43"/>
      <c r="FY81" s="43"/>
      <c r="FZ81" s="43"/>
      <c r="GA81" s="43"/>
      <c r="GB81" s="43"/>
      <c r="GC81" s="43"/>
      <c r="GD81" s="43"/>
      <c r="GE81" s="43"/>
      <c r="GF81" s="43"/>
      <c r="GG81" s="43"/>
      <c r="GH81" s="43"/>
      <c r="GI81" s="43"/>
      <c r="GJ81" s="43"/>
      <c r="GK81" s="43"/>
      <c r="GL81" s="43"/>
      <c r="GM81" s="43"/>
      <c r="GN81" s="43"/>
      <c r="GO81" s="43"/>
      <c r="GP81" s="43"/>
      <c r="GQ81" s="43"/>
      <c r="GR81" s="43"/>
      <c r="GS81" s="43"/>
      <c r="GT81" s="43"/>
      <c r="GU81" s="43"/>
      <c r="GV81" s="43"/>
      <c r="GW81" s="43"/>
      <c r="GX81" s="43"/>
      <c r="GY81" s="43"/>
      <c r="GZ81" s="43"/>
      <c r="HA81" s="43"/>
      <c r="HB81" s="43"/>
      <c r="HC81" s="43"/>
      <c r="HD81" s="43"/>
      <c r="HE81" s="43"/>
      <c r="HF81" s="43"/>
      <c r="HG81" s="43"/>
      <c r="HH81" s="43"/>
      <c r="HI81" s="43"/>
      <c r="HJ81" s="43"/>
      <c r="HK81" s="43"/>
      <c r="HL81" s="43"/>
      <c r="HM81" s="43"/>
      <c r="HN81" s="43"/>
      <c r="HO81" s="43"/>
      <c r="HP81" s="43"/>
      <c r="HQ81" s="43"/>
      <c r="HR81" s="43"/>
      <c r="HS81" s="43"/>
      <c r="HT81" s="43"/>
      <c r="HU81" s="43"/>
      <c r="HV81" s="43"/>
      <c r="HW81" s="43"/>
      <c r="HX81" s="43"/>
      <c r="HY81" s="43"/>
      <c r="HZ81" s="43"/>
      <c r="IA81" s="43"/>
      <c r="IB81" s="43"/>
      <c r="IC81" s="43"/>
      <c r="ID81" s="43"/>
      <c r="IE81" s="43"/>
      <c r="IF81" s="43"/>
      <c r="IG81" s="43"/>
      <c r="IH81" s="43"/>
      <c r="II81" s="43"/>
      <c r="IJ81" s="43"/>
      <c r="IK81" s="43"/>
      <c r="IL81" s="43"/>
      <c r="IM81" s="43"/>
      <c r="IN81" s="43"/>
      <c r="IO81" s="43"/>
      <c r="IP81" s="43"/>
      <c r="IQ81" s="43"/>
      <c r="IR81" s="43"/>
      <c r="IS81" s="43"/>
      <c r="IT81" s="43"/>
      <c r="IU81" s="43"/>
      <c r="IV81" s="43"/>
      <c r="IW81" s="43"/>
      <c r="IX81" s="43"/>
      <c r="IY81" s="43"/>
      <c r="IZ81" s="43"/>
      <c r="JA81" s="43"/>
      <c r="JB81" s="43"/>
      <c r="JC81" s="43"/>
      <c r="JD81" s="43"/>
      <c r="JE81" s="43"/>
      <c r="JF81" s="43"/>
      <c r="JG81" s="43"/>
      <c r="JH81" s="43"/>
      <c r="JI81" s="43"/>
      <c r="JJ81" s="43"/>
      <c r="JK81" s="43"/>
      <c r="JL81" s="43"/>
      <c r="JM81" s="43"/>
      <c r="JN81" s="43"/>
      <c r="JO81" s="43"/>
      <c r="JP81" s="43"/>
      <c r="JQ81" s="43"/>
      <c r="JR81" s="43"/>
      <c r="JS81" s="43"/>
      <c r="JT81" s="43"/>
      <c r="JU81" s="43"/>
      <c r="JV81" s="43"/>
      <c r="JW81" s="43"/>
      <c r="JX81" s="43"/>
      <c r="JY81" s="43"/>
      <c r="JZ81" s="43"/>
      <c r="KA81" s="43"/>
      <c r="KB81" s="43"/>
      <c r="KC81" s="43"/>
      <c r="KD81" s="43"/>
      <c r="KE81" s="43"/>
      <c r="KF81" s="43"/>
      <c r="KG81" s="43"/>
      <c r="KH81" s="43"/>
      <c r="KI81" s="43"/>
      <c r="KJ81" s="43"/>
      <c r="KK81" s="43"/>
      <c r="KL81" s="43"/>
      <c r="KM81" s="43"/>
      <c r="KN81" s="43"/>
      <c r="KO81" s="43"/>
      <c r="KP81" s="43"/>
      <c r="KQ81" s="43"/>
      <c r="KR81" s="43"/>
      <c r="KS81" s="43"/>
      <c r="KT81" s="43"/>
      <c r="KU81" s="43"/>
      <c r="KV81" s="43"/>
      <c r="KW81" s="43"/>
      <c r="KX81" s="43"/>
      <c r="KY81" s="43"/>
      <c r="KZ81" s="43"/>
      <c r="LA81" s="43"/>
      <c r="LB81" s="43"/>
      <c r="LC81" s="43"/>
      <c r="LD81" s="43"/>
      <c r="LE81" s="43"/>
      <c r="LF81" s="43"/>
      <c r="LG81" s="43"/>
      <c r="LH81" s="43"/>
      <c r="LI81" s="43"/>
      <c r="LJ81" s="43"/>
      <c r="LK81" s="43"/>
      <c r="LL81" s="43"/>
      <c r="LM81" s="43"/>
      <c r="LN81" s="43"/>
      <c r="LO81" s="43"/>
      <c r="LP81" s="43"/>
      <c r="LQ81" s="43"/>
      <c r="LR81" s="43"/>
      <c r="LS81" s="43"/>
      <c r="LT81" s="43"/>
      <c r="LU81" s="43"/>
      <c r="LV81" s="43"/>
      <c r="LW81" s="43"/>
      <c r="LX81" s="43"/>
      <c r="LY81" s="43"/>
      <c r="LZ81" s="43"/>
      <c r="MA81" s="43"/>
      <c r="MB81" s="43"/>
      <c r="MC81" s="43"/>
      <c r="MD81" s="43"/>
      <c r="ME81" s="43"/>
      <c r="MF81" s="43"/>
      <c r="MG81" s="43"/>
      <c r="MH81" s="43"/>
      <c r="MI81" s="43"/>
      <c r="MJ81" s="43"/>
      <c r="MK81" s="43"/>
      <c r="ML81" s="43"/>
      <c r="MM81" s="43"/>
      <c r="MN81" s="43"/>
      <c r="MO81" s="43"/>
      <c r="MP81" s="43"/>
      <c r="MQ81" s="43"/>
      <c r="MR81" s="43"/>
      <c r="MS81" s="43"/>
      <c r="MT81" s="43"/>
      <c r="MU81" s="43"/>
      <c r="MV81" s="43"/>
      <c r="MW81" s="43"/>
      <c r="MX81" s="43"/>
      <c r="MY81" s="43"/>
      <c r="MZ81" s="43"/>
      <c r="NA81" s="43"/>
      <c r="NB81" s="43"/>
      <c r="NC81" s="43"/>
      <c r="ND81" s="43"/>
      <c r="NE81" s="43"/>
      <c r="NF81" s="43"/>
      <c r="NG81" s="43"/>
      <c r="NH81" s="43"/>
      <c r="NI81" s="43"/>
      <c r="NJ81" s="43"/>
      <c r="NK81" s="43"/>
      <c r="NL81" s="43"/>
      <c r="NM81" s="43"/>
      <c r="NN81" s="43"/>
      <c r="NO81" s="43"/>
      <c r="NP81" s="43"/>
      <c r="NQ81" s="43"/>
      <c r="NR81" s="43"/>
      <c r="NS81" s="43"/>
      <c r="NT81" s="43"/>
      <c r="NU81" s="43"/>
      <c r="NV81" s="43"/>
      <c r="NW81" s="43"/>
      <c r="NX81" s="43"/>
      <c r="NY81" s="43"/>
      <c r="NZ81" s="43"/>
      <c r="OA81" s="43"/>
      <c r="OB81" s="43"/>
      <c r="OC81" s="43"/>
      <c r="OD81" s="43"/>
      <c r="OE81" s="43"/>
      <c r="OF81" s="43"/>
      <c r="OG81" s="43"/>
      <c r="OH81" s="43"/>
      <c r="OI81" s="43"/>
      <c r="OJ81" s="43"/>
      <c r="OK81" s="43"/>
      <c r="OL81" s="43"/>
      <c r="OM81" s="43"/>
      <c r="ON81" s="43"/>
      <c r="OO81" s="43"/>
      <c r="OP81" s="43"/>
      <c r="OQ81" s="43"/>
      <c r="OR81" s="43"/>
      <c r="OS81" s="43"/>
      <c r="OT81" s="43"/>
      <c r="OU81" s="43"/>
      <c r="OV81" s="43"/>
      <c r="OW81" s="43"/>
      <c r="OX81" s="43"/>
      <c r="OY81" s="43"/>
      <c r="OZ81" s="43"/>
      <c r="PA81" s="43"/>
      <c r="PB81" s="43"/>
      <c r="PC81" s="43"/>
      <c r="PD81" s="43"/>
      <c r="PE81" s="43"/>
      <c r="PF81" s="43"/>
      <c r="PG81" s="43"/>
      <c r="PH81" s="43"/>
      <c r="PI81" s="43"/>
      <c r="PJ81" s="43"/>
      <c r="PK81" s="43"/>
      <c r="PL81" s="43"/>
      <c r="PM81" s="43"/>
      <c r="PN81" s="43"/>
      <c r="PO81" s="43"/>
      <c r="PP81" s="43"/>
      <c r="PQ81" s="43"/>
      <c r="PR81" s="43"/>
      <c r="PS81" s="43"/>
      <c r="PT81" s="43"/>
      <c r="PU81" s="43"/>
      <c r="PV81" s="43"/>
      <c r="PW81" s="43"/>
      <c r="PX81" s="43"/>
      <c r="PY81" s="43"/>
      <c r="PZ81" s="43"/>
      <c r="QA81" s="43"/>
      <c r="QB81" s="43"/>
      <c r="QC81" s="43"/>
    </row>
    <row r="82" spans="1:445" x14ac:dyDescent="0.3">
      <c r="A82" s="85"/>
      <c r="B82" s="84"/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46" t="str">
        <f t="shared" si="9"/>
        <v/>
      </c>
      <c r="U82" s="46" t="str">
        <f t="shared" si="10"/>
        <v/>
      </c>
      <c r="V82" s="72" t="str">
        <f t="shared" si="4"/>
        <v/>
      </c>
      <c r="W82" s="48"/>
      <c r="X82" s="73" t="str">
        <f t="shared" si="8"/>
        <v/>
      </c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43"/>
      <c r="BO82" s="43"/>
      <c r="BP82" s="43"/>
      <c r="BQ82" s="43"/>
      <c r="BR82" s="43"/>
      <c r="BS82" s="43"/>
      <c r="BT82" s="43"/>
      <c r="BU82" s="43"/>
      <c r="BV82" s="43"/>
      <c r="BW82" s="43"/>
      <c r="BX82" s="43"/>
      <c r="BY82" s="43"/>
      <c r="BZ82" s="43"/>
      <c r="CA82" s="43"/>
      <c r="CB82" s="43"/>
      <c r="CC82" s="4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43"/>
      <c r="CY82" s="43"/>
      <c r="CZ82" s="43"/>
      <c r="DA82" s="43"/>
      <c r="DB82" s="43"/>
      <c r="DC82" s="43"/>
      <c r="DD82" s="43"/>
      <c r="DE82" s="43"/>
      <c r="DF82" s="43"/>
      <c r="DG82" s="43"/>
      <c r="DH82" s="43"/>
      <c r="DI82" s="43"/>
      <c r="DJ82" s="43"/>
      <c r="DK82" s="43"/>
      <c r="DL82" s="43"/>
      <c r="DM82" s="43"/>
      <c r="DN82" s="43"/>
      <c r="DO82" s="43"/>
      <c r="DP82" s="43"/>
      <c r="DQ82" s="43"/>
      <c r="DR82" s="43"/>
      <c r="DS82" s="43"/>
      <c r="DT82" s="43"/>
      <c r="DU82" s="43"/>
      <c r="DV82" s="43"/>
      <c r="DW82" s="43"/>
      <c r="DX82" s="43"/>
      <c r="DY82" s="43"/>
      <c r="DZ82" s="43"/>
      <c r="EA82" s="43"/>
      <c r="EB82" s="43"/>
      <c r="EC82" s="43"/>
      <c r="ED82" s="43"/>
      <c r="EE82" s="43"/>
      <c r="EF82" s="43"/>
      <c r="EG82" s="43"/>
      <c r="EH82" s="43"/>
      <c r="EI82" s="43"/>
      <c r="EJ82" s="43"/>
      <c r="EK82" s="43"/>
      <c r="EL82" s="43"/>
      <c r="EM82" s="43"/>
      <c r="EN82" s="43"/>
      <c r="EO82" s="43"/>
      <c r="EP82" s="43"/>
      <c r="EQ82" s="43"/>
      <c r="ER82" s="43"/>
      <c r="ES82" s="43"/>
      <c r="ET82" s="43"/>
      <c r="EU82" s="43"/>
      <c r="EV82" s="43"/>
      <c r="EW82" s="43"/>
      <c r="EX82" s="43"/>
      <c r="EY82" s="43"/>
      <c r="EZ82" s="43"/>
      <c r="FA82" s="43"/>
      <c r="FB82" s="43"/>
      <c r="FC82" s="43"/>
      <c r="FD82" s="43"/>
      <c r="FE82" s="43"/>
      <c r="FF82" s="43"/>
      <c r="FG82" s="43"/>
      <c r="FH82" s="43"/>
      <c r="FI82" s="43"/>
      <c r="FJ82" s="43"/>
      <c r="FK82" s="43"/>
      <c r="FL82" s="43"/>
      <c r="FM82" s="43"/>
      <c r="FN82" s="43"/>
      <c r="FO82" s="43"/>
      <c r="FP82" s="43"/>
      <c r="FQ82" s="43"/>
      <c r="FR82" s="43"/>
      <c r="FS82" s="43"/>
      <c r="FT82" s="43"/>
      <c r="FU82" s="43"/>
      <c r="FV82" s="43"/>
      <c r="FW82" s="43"/>
      <c r="FX82" s="43"/>
      <c r="FY82" s="43"/>
      <c r="FZ82" s="43"/>
      <c r="GA82" s="43"/>
      <c r="GB82" s="43"/>
      <c r="GC82" s="43"/>
      <c r="GD82" s="43"/>
      <c r="GE82" s="43"/>
      <c r="GF82" s="43"/>
      <c r="GG82" s="43"/>
      <c r="GH82" s="43"/>
      <c r="GI82" s="43"/>
      <c r="GJ82" s="43"/>
      <c r="GK82" s="43"/>
      <c r="GL82" s="43"/>
      <c r="GM82" s="43"/>
      <c r="GN82" s="43"/>
      <c r="GO82" s="43"/>
      <c r="GP82" s="43"/>
      <c r="GQ82" s="43"/>
      <c r="GR82" s="43"/>
      <c r="GS82" s="43"/>
      <c r="GT82" s="43"/>
      <c r="GU82" s="43"/>
      <c r="GV82" s="43"/>
      <c r="GW82" s="43"/>
      <c r="GX82" s="43"/>
      <c r="GY82" s="43"/>
      <c r="GZ82" s="43"/>
      <c r="HA82" s="43"/>
      <c r="HB82" s="43"/>
      <c r="HC82" s="43"/>
      <c r="HD82" s="43"/>
      <c r="HE82" s="43"/>
      <c r="HF82" s="43"/>
      <c r="HG82" s="43"/>
      <c r="HH82" s="43"/>
      <c r="HI82" s="43"/>
      <c r="HJ82" s="43"/>
      <c r="HK82" s="43"/>
      <c r="HL82" s="43"/>
      <c r="HM82" s="43"/>
      <c r="HN82" s="43"/>
      <c r="HO82" s="43"/>
      <c r="HP82" s="43"/>
      <c r="HQ82" s="43"/>
      <c r="HR82" s="43"/>
      <c r="HS82" s="43"/>
      <c r="HT82" s="43"/>
      <c r="HU82" s="43"/>
      <c r="HV82" s="43"/>
      <c r="HW82" s="43"/>
      <c r="HX82" s="43"/>
      <c r="HY82" s="43"/>
      <c r="HZ82" s="43"/>
      <c r="IA82" s="43"/>
      <c r="IB82" s="43"/>
      <c r="IC82" s="43"/>
      <c r="ID82" s="43"/>
      <c r="IE82" s="43"/>
      <c r="IF82" s="43"/>
      <c r="IG82" s="43"/>
      <c r="IH82" s="43"/>
      <c r="II82" s="43"/>
      <c r="IJ82" s="43"/>
      <c r="IK82" s="43"/>
      <c r="IL82" s="43"/>
      <c r="IM82" s="43"/>
      <c r="IN82" s="43"/>
      <c r="IO82" s="43"/>
      <c r="IP82" s="43"/>
      <c r="IQ82" s="43"/>
      <c r="IR82" s="43"/>
      <c r="IS82" s="43"/>
      <c r="IT82" s="43"/>
      <c r="IU82" s="43"/>
      <c r="IV82" s="43"/>
      <c r="IW82" s="43"/>
      <c r="IX82" s="43"/>
      <c r="IY82" s="43"/>
      <c r="IZ82" s="43"/>
      <c r="JA82" s="43"/>
      <c r="JB82" s="43"/>
      <c r="JC82" s="43"/>
      <c r="JD82" s="43"/>
      <c r="JE82" s="43"/>
      <c r="JF82" s="43"/>
      <c r="JG82" s="43"/>
      <c r="JH82" s="43"/>
      <c r="JI82" s="43"/>
      <c r="JJ82" s="43"/>
      <c r="JK82" s="43"/>
      <c r="JL82" s="43"/>
      <c r="JM82" s="43"/>
      <c r="JN82" s="43"/>
      <c r="JO82" s="43"/>
      <c r="JP82" s="43"/>
      <c r="JQ82" s="43"/>
      <c r="JR82" s="43"/>
      <c r="JS82" s="43"/>
      <c r="JT82" s="43"/>
      <c r="JU82" s="43"/>
      <c r="JV82" s="43"/>
      <c r="JW82" s="43"/>
      <c r="JX82" s="43"/>
      <c r="JY82" s="43"/>
      <c r="JZ82" s="43"/>
      <c r="KA82" s="43"/>
      <c r="KB82" s="43"/>
      <c r="KC82" s="43"/>
      <c r="KD82" s="43"/>
      <c r="KE82" s="43"/>
      <c r="KF82" s="43"/>
      <c r="KG82" s="43"/>
      <c r="KH82" s="43"/>
      <c r="KI82" s="43"/>
      <c r="KJ82" s="43"/>
      <c r="KK82" s="43"/>
      <c r="KL82" s="43"/>
      <c r="KM82" s="43"/>
      <c r="KN82" s="43"/>
      <c r="KO82" s="43"/>
      <c r="KP82" s="43"/>
      <c r="KQ82" s="43"/>
      <c r="KR82" s="43"/>
      <c r="KS82" s="43"/>
      <c r="KT82" s="43"/>
      <c r="KU82" s="43"/>
      <c r="KV82" s="43"/>
      <c r="KW82" s="43"/>
      <c r="KX82" s="43"/>
      <c r="KY82" s="43"/>
      <c r="KZ82" s="43"/>
      <c r="LA82" s="43"/>
      <c r="LB82" s="43"/>
      <c r="LC82" s="43"/>
      <c r="LD82" s="43"/>
      <c r="LE82" s="43"/>
      <c r="LF82" s="43"/>
      <c r="LG82" s="43"/>
      <c r="LH82" s="43"/>
      <c r="LI82" s="43"/>
      <c r="LJ82" s="43"/>
      <c r="LK82" s="43"/>
      <c r="LL82" s="43"/>
      <c r="LM82" s="43"/>
      <c r="LN82" s="43"/>
      <c r="LO82" s="43"/>
      <c r="LP82" s="43"/>
      <c r="LQ82" s="43"/>
      <c r="LR82" s="43"/>
      <c r="LS82" s="43"/>
      <c r="LT82" s="43"/>
      <c r="LU82" s="43"/>
      <c r="LV82" s="43"/>
      <c r="LW82" s="43"/>
      <c r="LX82" s="43"/>
      <c r="LY82" s="43"/>
      <c r="LZ82" s="43"/>
      <c r="MA82" s="43"/>
      <c r="MB82" s="43"/>
      <c r="MC82" s="43"/>
      <c r="MD82" s="43"/>
      <c r="ME82" s="43"/>
      <c r="MF82" s="43"/>
      <c r="MG82" s="43"/>
      <c r="MH82" s="43"/>
      <c r="MI82" s="43"/>
      <c r="MJ82" s="43"/>
      <c r="MK82" s="43"/>
      <c r="ML82" s="43"/>
      <c r="MM82" s="43"/>
      <c r="MN82" s="43"/>
      <c r="MO82" s="43"/>
      <c r="MP82" s="43"/>
      <c r="MQ82" s="43"/>
      <c r="MR82" s="43"/>
      <c r="MS82" s="43"/>
      <c r="MT82" s="43"/>
      <c r="MU82" s="43"/>
      <c r="MV82" s="43"/>
      <c r="MW82" s="43"/>
      <c r="MX82" s="43"/>
      <c r="MY82" s="43"/>
      <c r="MZ82" s="43"/>
      <c r="NA82" s="43"/>
      <c r="NB82" s="43"/>
      <c r="NC82" s="43"/>
      <c r="ND82" s="43"/>
      <c r="NE82" s="43"/>
      <c r="NF82" s="43"/>
      <c r="NG82" s="43"/>
      <c r="NH82" s="43"/>
      <c r="NI82" s="43"/>
      <c r="NJ82" s="43"/>
      <c r="NK82" s="43"/>
      <c r="NL82" s="43"/>
      <c r="NM82" s="43"/>
      <c r="NN82" s="43"/>
      <c r="NO82" s="43"/>
      <c r="NP82" s="43"/>
      <c r="NQ82" s="43"/>
      <c r="NR82" s="43"/>
      <c r="NS82" s="43"/>
      <c r="NT82" s="43"/>
      <c r="NU82" s="43"/>
      <c r="NV82" s="43"/>
      <c r="NW82" s="43"/>
      <c r="NX82" s="43"/>
      <c r="NY82" s="43"/>
      <c r="NZ82" s="43"/>
      <c r="OA82" s="43"/>
      <c r="OB82" s="43"/>
      <c r="OC82" s="43"/>
      <c r="OD82" s="43"/>
      <c r="OE82" s="43"/>
      <c r="OF82" s="43"/>
      <c r="OG82" s="43"/>
      <c r="OH82" s="43"/>
      <c r="OI82" s="43"/>
      <c r="OJ82" s="43"/>
      <c r="OK82" s="43"/>
      <c r="OL82" s="43"/>
      <c r="OM82" s="43"/>
      <c r="ON82" s="43"/>
      <c r="OO82" s="43"/>
      <c r="OP82" s="43"/>
      <c r="OQ82" s="43"/>
      <c r="OR82" s="43"/>
      <c r="OS82" s="43"/>
      <c r="OT82" s="43"/>
      <c r="OU82" s="43"/>
      <c r="OV82" s="43"/>
      <c r="OW82" s="43"/>
      <c r="OX82" s="43"/>
      <c r="OY82" s="43"/>
      <c r="OZ82" s="43"/>
      <c r="PA82" s="43"/>
      <c r="PB82" s="43"/>
      <c r="PC82" s="43"/>
      <c r="PD82" s="43"/>
      <c r="PE82" s="43"/>
      <c r="PF82" s="43"/>
      <c r="PG82" s="43"/>
      <c r="PH82" s="43"/>
      <c r="PI82" s="43"/>
      <c r="PJ82" s="43"/>
      <c r="PK82" s="43"/>
      <c r="PL82" s="43"/>
      <c r="PM82" s="43"/>
      <c r="PN82" s="43"/>
      <c r="PO82" s="43"/>
      <c r="PP82" s="43"/>
      <c r="PQ82" s="43"/>
      <c r="PR82" s="43"/>
      <c r="PS82" s="43"/>
      <c r="PT82" s="43"/>
      <c r="PU82" s="43"/>
      <c r="PV82" s="43"/>
      <c r="PW82" s="43"/>
      <c r="PX82" s="43"/>
      <c r="PY82" s="43"/>
      <c r="PZ82" s="43"/>
      <c r="QA82" s="43"/>
      <c r="QB82" s="43"/>
      <c r="QC82" s="43"/>
    </row>
    <row r="83" spans="1:445" x14ac:dyDescent="0.3">
      <c r="A83" s="85"/>
      <c r="B83" s="84"/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46" t="str">
        <f t="shared" si="9"/>
        <v/>
      </c>
      <c r="U83" s="46" t="str">
        <f t="shared" si="10"/>
        <v/>
      </c>
      <c r="V83" s="72" t="str">
        <f t="shared" si="4"/>
        <v/>
      </c>
      <c r="W83" s="48"/>
      <c r="X83" s="73" t="str">
        <f t="shared" si="8"/>
        <v/>
      </c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43"/>
      <c r="BO83" s="43"/>
      <c r="BP83" s="43"/>
      <c r="BQ83" s="43"/>
      <c r="BR83" s="43"/>
      <c r="BS83" s="43"/>
      <c r="BT83" s="43"/>
      <c r="BU83" s="43"/>
      <c r="BV83" s="43"/>
      <c r="BW83" s="43"/>
      <c r="BX83" s="43"/>
      <c r="BY83" s="43"/>
      <c r="BZ83" s="43"/>
      <c r="CA83" s="43"/>
      <c r="CB83" s="43"/>
      <c r="CC83" s="4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43"/>
      <c r="CY83" s="43"/>
      <c r="CZ83" s="43"/>
      <c r="DA83" s="43"/>
      <c r="DB83" s="43"/>
      <c r="DC83" s="43"/>
      <c r="DD83" s="43"/>
      <c r="DE83" s="43"/>
      <c r="DF83" s="43"/>
      <c r="DG83" s="43"/>
      <c r="DH83" s="43"/>
      <c r="DI83" s="43"/>
      <c r="DJ83" s="43"/>
      <c r="DK83" s="43"/>
      <c r="DL83" s="43"/>
      <c r="DM83" s="43"/>
      <c r="DN83" s="43"/>
      <c r="DO83" s="43"/>
      <c r="DP83" s="43"/>
      <c r="DQ83" s="43"/>
      <c r="DR83" s="43"/>
      <c r="DS83" s="43"/>
      <c r="DT83" s="43"/>
      <c r="DU83" s="43"/>
      <c r="DV83" s="43"/>
      <c r="DW83" s="43"/>
      <c r="DX83" s="43"/>
      <c r="DY83" s="43"/>
      <c r="DZ83" s="43"/>
      <c r="EA83" s="43"/>
      <c r="EB83" s="43"/>
      <c r="EC83" s="43"/>
      <c r="ED83" s="43"/>
      <c r="EE83" s="43"/>
      <c r="EF83" s="43"/>
      <c r="EG83" s="43"/>
      <c r="EH83" s="43"/>
      <c r="EI83" s="43"/>
      <c r="EJ83" s="43"/>
      <c r="EK83" s="43"/>
      <c r="EL83" s="43"/>
      <c r="EM83" s="43"/>
      <c r="EN83" s="43"/>
      <c r="EO83" s="43"/>
      <c r="EP83" s="43"/>
      <c r="EQ83" s="43"/>
      <c r="ER83" s="43"/>
      <c r="ES83" s="43"/>
      <c r="ET83" s="43"/>
      <c r="EU83" s="43"/>
      <c r="EV83" s="43"/>
      <c r="EW83" s="43"/>
      <c r="EX83" s="43"/>
      <c r="EY83" s="43"/>
      <c r="EZ83" s="43"/>
      <c r="FA83" s="43"/>
      <c r="FB83" s="43"/>
      <c r="FC83" s="43"/>
      <c r="FD83" s="43"/>
      <c r="FE83" s="43"/>
      <c r="FF83" s="43"/>
      <c r="FG83" s="43"/>
      <c r="FH83" s="43"/>
      <c r="FI83" s="43"/>
      <c r="FJ83" s="43"/>
      <c r="FK83" s="43"/>
      <c r="FL83" s="43"/>
      <c r="FM83" s="43"/>
      <c r="FN83" s="43"/>
      <c r="FO83" s="43"/>
      <c r="FP83" s="43"/>
      <c r="FQ83" s="43"/>
      <c r="FR83" s="43"/>
      <c r="FS83" s="43"/>
      <c r="FT83" s="43"/>
      <c r="FU83" s="43"/>
      <c r="FV83" s="43"/>
      <c r="FW83" s="43"/>
      <c r="FX83" s="43"/>
      <c r="FY83" s="43"/>
      <c r="FZ83" s="43"/>
      <c r="GA83" s="43"/>
      <c r="GB83" s="43"/>
      <c r="GC83" s="43"/>
      <c r="GD83" s="43"/>
      <c r="GE83" s="43"/>
      <c r="GF83" s="43"/>
      <c r="GG83" s="43"/>
      <c r="GH83" s="43"/>
      <c r="GI83" s="43"/>
      <c r="GJ83" s="43"/>
      <c r="GK83" s="43"/>
      <c r="GL83" s="43"/>
      <c r="GM83" s="43"/>
      <c r="GN83" s="43"/>
      <c r="GO83" s="43"/>
      <c r="GP83" s="43"/>
      <c r="GQ83" s="43"/>
      <c r="GR83" s="43"/>
      <c r="GS83" s="43"/>
      <c r="GT83" s="43"/>
      <c r="GU83" s="43"/>
      <c r="GV83" s="43"/>
      <c r="GW83" s="43"/>
      <c r="GX83" s="43"/>
      <c r="GY83" s="43"/>
      <c r="GZ83" s="43"/>
      <c r="HA83" s="43"/>
      <c r="HB83" s="43"/>
      <c r="HC83" s="43"/>
      <c r="HD83" s="43"/>
      <c r="HE83" s="43"/>
      <c r="HF83" s="43"/>
      <c r="HG83" s="43"/>
      <c r="HH83" s="43"/>
      <c r="HI83" s="43"/>
      <c r="HJ83" s="43"/>
      <c r="HK83" s="43"/>
      <c r="HL83" s="43"/>
      <c r="HM83" s="43"/>
      <c r="HN83" s="43"/>
      <c r="HO83" s="43"/>
      <c r="HP83" s="43"/>
      <c r="HQ83" s="43"/>
      <c r="HR83" s="43"/>
      <c r="HS83" s="43"/>
      <c r="HT83" s="43"/>
      <c r="HU83" s="43"/>
      <c r="HV83" s="43"/>
      <c r="HW83" s="43"/>
      <c r="HX83" s="43"/>
      <c r="HY83" s="43"/>
      <c r="HZ83" s="43"/>
      <c r="IA83" s="43"/>
      <c r="IB83" s="43"/>
      <c r="IC83" s="43"/>
      <c r="ID83" s="43"/>
      <c r="IE83" s="43"/>
      <c r="IF83" s="43"/>
      <c r="IG83" s="43"/>
      <c r="IH83" s="43"/>
      <c r="II83" s="43"/>
      <c r="IJ83" s="43"/>
      <c r="IK83" s="43"/>
      <c r="IL83" s="43"/>
      <c r="IM83" s="43"/>
      <c r="IN83" s="43"/>
      <c r="IO83" s="43"/>
      <c r="IP83" s="43"/>
      <c r="IQ83" s="43"/>
      <c r="IR83" s="43"/>
      <c r="IS83" s="43"/>
      <c r="IT83" s="43"/>
      <c r="IU83" s="43"/>
      <c r="IV83" s="43"/>
      <c r="IW83" s="43"/>
      <c r="IX83" s="43"/>
      <c r="IY83" s="43"/>
      <c r="IZ83" s="43"/>
      <c r="JA83" s="43"/>
      <c r="JB83" s="43"/>
      <c r="JC83" s="43"/>
      <c r="JD83" s="43"/>
      <c r="JE83" s="43"/>
      <c r="JF83" s="43"/>
      <c r="JG83" s="43"/>
      <c r="JH83" s="43"/>
      <c r="JI83" s="43"/>
      <c r="JJ83" s="43"/>
      <c r="JK83" s="43"/>
      <c r="JL83" s="43"/>
      <c r="JM83" s="43"/>
      <c r="JN83" s="43"/>
      <c r="JO83" s="43"/>
      <c r="JP83" s="43"/>
      <c r="JQ83" s="43"/>
      <c r="JR83" s="43"/>
      <c r="JS83" s="43"/>
      <c r="JT83" s="43"/>
      <c r="JU83" s="43"/>
      <c r="JV83" s="43"/>
      <c r="JW83" s="43"/>
      <c r="JX83" s="43"/>
      <c r="JY83" s="43"/>
      <c r="JZ83" s="43"/>
      <c r="KA83" s="43"/>
      <c r="KB83" s="43"/>
      <c r="KC83" s="43"/>
      <c r="KD83" s="43"/>
      <c r="KE83" s="43"/>
      <c r="KF83" s="43"/>
      <c r="KG83" s="43"/>
      <c r="KH83" s="43"/>
      <c r="KI83" s="43"/>
      <c r="KJ83" s="43"/>
      <c r="KK83" s="43"/>
      <c r="KL83" s="43"/>
      <c r="KM83" s="43"/>
      <c r="KN83" s="43"/>
      <c r="KO83" s="43"/>
      <c r="KP83" s="43"/>
      <c r="KQ83" s="43"/>
      <c r="KR83" s="43"/>
      <c r="KS83" s="43"/>
      <c r="KT83" s="43"/>
      <c r="KU83" s="43"/>
      <c r="KV83" s="43"/>
      <c r="KW83" s="43"/>
      <c r="KX83" s="43"/>
      <c r="KY83" s="43"/>
      <c r="KZ83" s="43"/>
      <c r="LA83" s="43"/>
      <c r="LB83" s="43"/>
      <c r="LC83" s="43"/>
      <c r="LD83" s="43"/>
      <c r="LE83" s="43"/>
      <c r="LF83" s="43"/>
      <c r="LG83" s="43"/>
      <c r="LH83" s="43"/>
      <c r="LI83" s="43"/>
      <c r="LJ83" s="43"/>
      <c r="LK83" s="43"/>
      <c r="LL83" s="43"/>
      <c r="LM83" s="43"/>
      <c r="LN83" s="43"/>
      <c r="LO83" s="43"/>
      <c r="LP83" s="43"/>
      <c r="LQ83" s="43"/>
      <c r="LR83" s="43"/>
      <c r="LS83" s="43"/>
      <c r="LT83" s="43"/>
      <c r="LU83" s="43"/>
      <c r="LV83" s="43"/>
      <c r="LW83" s="43"/>
      <c r="LX83" s="43"/>
      <c r="LY83" s="43"/>
      <c r="LZ83" s="43"/>
      <c r="MA83" s="43"/>
      <c r="MB83" s="43"/>
      <c r="MC83" s="43"/>
      <c r="MD83" s="43"/>
      <c r="ME83" s="43"/>
      <c r="MF83" s="43"/>
      <c r="MG83" s="43"/>
      <c r="MH83" s="43"/>
      <c r="MI83" s="43"/>
      <c r="MJ83" s="43"/>
      <c r="MK83" s="43"/>
      <c r="ML83" s="43"/>
      <c r="MM83" s="43"/>
      <c r="MN83" s="43"/>
      <c r="MO83" s="43"/>
      <c r="MP83" s="43"/>
      <c r="MQ83" s="43"/>
      <c r="MR83" s="43"/>
      <c r="MS83" s="43"/>
      <c r="MT83" s="43"/>
      <c r="MU83" s="43"/>
      <c r="MV83" s="43"/>
      <c r="MW83" s="43"/>
      <c r="MX83" s="43"/>
      <c r="MY83" s="43"/>
      <c r="MZ83" s="43"/>
      <c r="NA83" s="43"/>
      <c r="NB83" s="43"/>
      <c r="NC83" s="43"/>
      <c r="ND83" s="43"/>
      <c r="NE83" s="43"/>
      <c r="NF83" s="43"/>
      <c r="NG83" s="43"/>
      <c r="NH83" s="43"/>
      <c r="NI83" s="43"/>
      <c r="NJ83" s="43"/>
      <c r="NK83" s="43"/>
      <c r="NL83" s="43"/>
      <c r="NM83" s="43"/>
      <c r="NN83" s="43"/>
      <c r="NO83" s="43"/>
      <c r="NP83" s="43"/>
      <c r="NQ83" s="43"/>
      <c r="NR83" s="43"/>
      <c r="NS83" s="43"/>
      <c r="NT83" s="43"/>
      <c r="NU83" s="43"/>
      <c r="NV83" s="43"/>
      <c r="NW83" s="43"/>
      <c r="NX83" s="43"/>
      <c r="NY83" s="43"/>
      <c r="NZ83" s="43"/>
      <c r="OA83" s="43"/>
      <c r="OB83" s="43"/>
      <c r="OC83" s="43"/>
      <c r="OD83" s="43"/>
      <c r="OE83" s="43"/>
      <c r="OF83" s="43"/>
      <c r="OG83" s="43"/>
      <c r="OH83" s="43"/>
      <c r="OI83" s="43"/>
      <c r="OJ83" s="43"/>
      <c r="OK83" s="43"/>
      <c r="OL83" s="43"/>
      <c r="OM83" s="43"/>
      <c r="ON83" s="43"/>
      <c r="OO83" s="43"/>
      <c r="OP83" s="43"/>
      <c r="OQ83" s="43"/>
      <c r="OR83" s="43"/>
      <c r="OS83" s="43"/>
      <c r="OT83" s="43"/>
      <c r="OU83" s="43"/>
      <c r="OV83" s="43"/>
      <c r="OW83" s="43"/>
      <c r="OX83" s="43"/>
      <c r="OY83" s="43"/>
      <c r="OZ83" s="43"/>
      <c r="PA83" s="43"/>
      <c r="PB83" s="43"/>
      <c r="PC83" s="43"/>
      <c r="PD83" s="43"/>
      <c r="PE83" s="43"/>
      <c r="PF83" s="43"/>
      <c r="PG83" s="43"/>
      <c r="PH83" s="43"/>
      <c r="PI83" s="43"/>
      <c r="PJ83" s="43"/>
      <c r="PK83" s="43"/>
      <c r="PL83" s="43"/>
      <c r="PM83" s="43"/>
      <c r="PN83" s="43"/>
      <c r="PO83" s="43"/>
      <c r="PP83" s="43"/>
      <c r="PQ83" s="43"/>
      <c r="PR83" s="43"/>
      <c r="PS83" s="43"/>
      <c r="PT83" s="43"/>
      <c r="PU83" s="43"/>
      <c r="PV83" s="43"/>
      <c r="PW83" s="43"/>
      <c r="PX83" s="43"/>
      <c r="PY83" s="43"/>
      <c r="PZ83" s="43"/>
      <c r="QA83" s="43"/>
      <c r="QB83" s="43"/>
      <c r="QC83" s="43"/>
    </row>
    <row r="84" spans="1:445" x14ac:dyDescent="0.3">
      <c r="A84" s="85"/>
      <c r="B84" s="84"/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46" t="str">
        <f t="shared" si="9"/>
        <v/>
      </c>
      <c r="U84" s="46" t="str">
        <f t="shared" si="10"/>
        <v/>
      </c>
      <c r="V84" s="72" t="str">
        <f t="shared" si="4"/>
        <v/>
      </c>
      <c r="W84" s="48"/>
      <c r="X84" s="73" t="str">
        <f t="shared" si="8"/>
        <v/>
      </c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43"/>
      <c r="BO84" s="43"/>
      <c r="BP84" s="43"/>
      <c r="BQ84" s="43"/>
      <c r="BR84" s="43"/>
      <c r="BS84" s="43"/>
      <c r="BT84" s="43"/>
      <c r="BU84" s="43"/>
      <c r="BV84" s="43"/>
      <c r="BW84" s="43"/>
      <c r="BX84" s="43"/>
      <c r="BY84" s="43"/>
      <c r="BZ84" s="43"/>
      <c r="CA84" s="43"/>
      <c r="CB84" s="43"/>
      <c r="CC84" s="43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43"/>
      <c r="CY84" s="43"/>
      <c r="CZ84" s="43"/>
      <c r="DA84" s="43"/>
      <c r="DB84" s="43"/>
      <c r="DC84" s="43"/>
      <c r="DD84" s="43"/>
      <c r="DE84" s="43"/>
      <c r="DF84" s="43"/>
      <c r="DG84" s="43"/>
      <c r="DH84" s="43"/>
      <c r="DI84" s="43"/>
      <c r="DJ84" s="43"/>
      <c r="DK84" s="43"/>
      <c r="DL84" s="43"/>
      <c r="DM84" s="43"/>
      <c r="DN84" s="43"/>
      <c r="DO84" s="43"/>
      <c r="DP84" s="43"/>
      <c r="DQ84" s="43"/>
      <c r="DR84" s="43"/>
      <c r="DS84" s="43"/>
      <c r="DT84" s="43"/>
      <c r="DU84" s="43"/>
      <c r="DV84" s="43"/>
      <c r="DW84" s="43"/>
      <c r="DX84" s="43"/>
      <c r="DY84" s="43"/>
      <c r="DZ84" s="43"/>
      <c r="EA84" s="43"/>
      <c r="EB84" s="43"/>
      <c r="EC84" s="43"/>
      <c r="ED84" s="43"/>
      <c r="EE84" s="43"/>
      <c r="EF84" s="43"/>
      <c r="EG84" s="43"/>
      <c r="EH84" s="43"/>
      <c r="EI84" s="43"/>
      <c r="EJ84" s="43"/>
      <c r="EK84" s="43"/>
      <c r="EL84" s="43"/>
      <c r="EM84" s="43"/>
      <c r="EN84" s="43"/>
      <c r="EO84" s="43"/>
      <c r="EP84" s="43"/>
      <c r="EQ84" s="43"/>
      <c r="ER84" s="43"/>
      <c r="ES84" s="43"/>
      <c r="ET84" s="43"/>
      <c r="EU84" s="43"/>
      <c r="EV84" s="43"/>
      <c r="EW84" s="43"/>
      <c r="EX84" s="43"/>
      <c r="EY84" s="43"/>
      <c r="EZ84" s="43"/>
      <c r="FA84" s="43"/>
      <c r="FB84" s="43"/>
      <c r="FC84" s="43"/>
      <c r="FD84" s="43"/>
      <c r="FE84" s="43"/>
      <c r="FF84" s="43"/>
      <c r="FG84" s="43"/>
      <c r="FH84" s="43"/>
      <c r="FI84" s="43"/>
      <c r="FJ84" s="43"/>
      <c r="FK84" s="43"/>
      <c r="FL84" s="43"/>
      <c r="FM84" s="43"/>
      <c r="FN84" s="43"/>
      <c r="FO84" s="43"/>
      <c r="FP84" s="43"/>
      <c r="FQ84" s="43"/>
      <c r="FR84" s="43"/>
      <c r="FS84" s="43"/>
      <c r="FT84" s="43"/>
      <c r="FU84" s="43"/>
      <c r="FV84" s="43"/>
      <c r="FW84" s="43"/>
      <c r="FX84" s="43"/>
      <c r="FY84" s="43"/>
      <c r="FZ84" s="43"/>
      <c r="GA84" s="43"/>
      <c r="GB84" s="43"/>
      <c r="GC84" s="43"/>
      <c r="GD84" s="43"/>
      <c r="GE84" s="43"/>
      <c r="GF84" s="43"/>
      <c r="GG84" s="43"/>
      <c r="GH84" s="43"/>
      <c r="GI84" s="43"/>
      <c r="GJ84" s="43"/>
      <c r="GK84" s="43"/>
      <c r="GL84" s="43"/>
      <c r="GM84" s="43"/>
      <c r="GN84" s="43"/>
      <c r="GO84" s="43"/>
      <c r="GP84" s="43"/>
      <c r="GQ84" s="43"/>
      <c r="GR84" s="43"/>
      <c r="GS84" s="43"/>
      <c r="GT84" s="43"/>
      <c r="GU84" s="43"/>
      <c r="GV84" s="43"/>
      <c r="GW84" s="43"/>
      <c r="GX84" s="43"/>
      <c r="GY84" s="43"/>
      <c r="GZ84" s="43"/>
      <c r="HA84" s="43"/>
      <c r="HB84" s="43"/>
      <c r="HC84" s="43"/>
      <c r="HD84" s="43"/>
      <c r="HE84" s="43"/>
      <c r="HF84" s="43"/>
      <c r="HG84" s="43"/>
      <c r="HH84" s="43"/>
      <c r="HI84" s="43"/>
      <c r="HJ84" s="43"/>
      <c r="HK84" s="43"/>
      <c r="HL84" s="43"/>
      <c r="HM84" s="43"/>
      <c r="HN84" s="43"/>
      <c r="HO84" s="43"/>
      <c r="HP84" s="43"/>
      <c r="HQ84" s="43"/>
      <c r="HR84" s="43"/>
      <c r="HS84" s="43"/>
      <c r="HT84" s="43"/>
      <c r="HU84" s="43"/>
      <c r="HV84" s="43"/>
      <c r="HW84" s="43"/>
      <c r="HX84" s="43"/>
      <c r="HY84" s="43"/>
      <c r="HZ84" s="43"/>
      <c r="IA84" s="43"/>
      <c r="IB84" s="43"/>
      <c r="IC84" s="43"/>
      <c r="ID84" s="43"/>
      <c r="IE84" s="43"/>
      <c r="IF84" s="43"/>
      <c r="IG84" s="43"/>
      <c r="IH84" s="43"/>
      <c r="II84" s="43"/>
      <c r="IJ84" s="43"/>
      <c r="IK84" s="43"/>
      <c r="IL84" s="43"/>
      <c r="IM84" s="43"/>
      <c r="IN84" s="43"/>
      <c r="IO84" s="43"/>
      <c r="IP84" s="43"/>
      <c r="IQ84" s="43"/>
      <c r="IR84" s="43"/>
      <c r="IS84" s="43"/>
      <c r="IT84" s="43"/>
      <c r="IU84" s="43"/>
      <c r="IV84" s="43"/>
      <c r="IW84" s="43"/>
      <c r="IX84" s="43"/>
      <c r="IY84" s="43"/>
      <c r="IZ84" s="43"/>
      <c r="JA84" s="43"/>
      <c r="JB84" s="43"/>
      <c r="JC84" s="43"/>
      <c r="JD84" s="43"/>
      <c r="JE84" s="43"/>
      <c r="JF84" s="43"/>
      <c r="JG84" s="43"/>
      <c r="JH84" s="43"/>
      <c r="JI84" s="43"/>
      <c r="JJ84" s="43"/>
      <c r="JK84" s="43"/>
      <c r="JL84" s="43"/>
      <c r="JM84" s="43"/>
      <c r="JN84" s="43"/>
      <c r="JO84" s="43"/>
      <c r="JP84" s="43"/>
      <c r="JQ84" s="43"/>
      <c r="JR84" s="43"/>
      <c r="JS84" s="43"/>
      <c r="JT84" s="43"/>
      <c r="JU84" s="43"/>
      <c r="JV84" s="43"/>
      <c r="JW84" s="43"/>
      <c r="JX84" s="43"/>
      <c r="JY84" s="43"/>
      <c r="JZ84" s="43"/>
      <c r="KA84" s="43"/>
      <c r="KB84" s="43"/>
      <c r="KC84" s="43"/>
      <c r="KD84" s="43"/>
      <c r="KE84" s="43"/>
      <c r="KF84" s="43"/>
      <c r="KG84" s="43"/>
      <c r="KH84" s="43"/>
      <c r="KI84" s="43"/>
      <c r="KJ84" s="43"/>
      <c r="KK84" s="43"/>
      <c r="KL84" s="43"/>
      <c r="KM84" s="43"/>
      <c r="KN84" s="43"/>
      <c r="KO84" s="43"/>
      <c r="KP84" s="43"/>
      <c r="KQ84" s="43"/>
      <c r="KR84" s="43"/>
      <c r="KS84" s="43"/>
      <c r="KT84" s="43"/>
      <c r="KU84" s="43"/>
      <c r="KV84" s="43"/>
      <c r="KW84" s="43"/>
      <c r="KX84" s="43"/>
      <c r="KY84" s="43"/>
      <c r="KZ84" s="43"/>
      <c r="LA84" s="43"/>
      <c r="LB84" s="43"/>
      <c r="LC84" s="43"/>
      <c r="LD84" s="43"/>
      <c r="LE84" s="43"/>
      <c r="LF84" s="43"/>
      <c r="LG84" s="43"/>
      <c r="LH84" s="43"/>
      <c r="LI84" s="43"/>
      <c r="LJ84" s="43"/>
      <c r="LK84" s="43"/>
      <c r="LL84" s="43"/>
      <c r="LM84" s="43"/>
      <c r="LN84" s="43"/>
      <c r="LO84" s="43"/>
      <c r="LP84" s="43"/>
      <c r="LQ84" s="43"/>
      <c r="LR84" s="43"/>
      <c r="LS84" s="43"/>
      <c r="LT84" s="43"/>
      <c r="LU84" s="43"/>
      <c r="LV84" s="43"/>
      <c r="LW84" s="43"/>
      <c r="LX84" s="43"/>
      <c r="LY84" s="43"/>
      <c r="LZ84" s="43"/>
      <c r="MA84" s="43"/>
      <c r="MB84" s="43"/>
      <c r="MC84" s="43"/>
      <c r="MD84" s="43"/>
      <c r="ME84" s="43"/>
      <c r="MF84" s="43"/>
      <c r="MG84" s="43"/>
      <c r="MH84" s="43"/>
      <c r="MI84" s="43"/>
      <c r="MJ84" s="43"/>
      <c r="MK84" s="43"/>
      <c r="ML84" s="43"/>
      <c r="MM84" s="43"/>
      <c r="MN84" s="43"/>
      <c r="MO84" s="43"/>
      <c r="MP84" s="43"/>
      <c r="MQ84" s="43"/>
      <c r="MR84" s="43"/>
      <c r="MS84" s="43"/>
      <c r="MT84" s="43"/>
      <c r="MU84" s="43"/>
      <c r="MV84" s="43"/>
      <c r="MW84" s="43"/>
      <c r="MX84" s="43"/>
      <c r="MY84" s="43"/>
      <c r="MZ84" s="43"/>
      <c r="NA84" s="43"/>
      <c r="NB84" s="43"/>
      <c r="NC84" s="43"/>
      <c r="ND84" s="43"/>
      <c r="NE84" s="43"/>
      <c r="NF84" s="43"/>
      <c r="NG84" s="43"/>
      <c r="NH84" s="43"/>
      <c r="NI84" s="43"/>
      <c r="NJ84" s="43"/>
      <c r="NK84" s="43"/>
      <c r="NL84" s="43"/>
      <c r="NM84" s="43"/>
      <c r="NN84" s="43"/>
      <c r="NO84" s="43"/>
      <c r="NP84" s="43"/>
      <c r="NQ84" s="43"/>
      <c r="NR84" s="43"/>
      <c r="NS84" s="43"/>
      <c r="NT84" s="43"/>
      <c r="NU84" s="43"/>
      <c r="NV84" s="43"/>
      <c r="NW84" s="43"/>
      <c r="NX84" s="43"/>
      <c r="NY84" s="43"/>
      <c r="NZ84" s="43"/>
      <c r="OA84" s="43"/>
      <c r="OB84" s="43"/>
      <c r="OC84" s="43"/>
      <c r="OD84" s="43"/>
      <c r="OE84" s="43"/>
      <c r="OF84" s="43"/>
      <c r="OG84" s="43"/>
      <c r="OH84" s="43"/>
      <c r="OI84" s="43"/>
      <c r="OJ84" s="43"/>
      <c r="OK84" s="43"/>
      <c r="OL84" s="43"/>
      <c r="OM84" s="43"/>
      <c r="ON84" s="43"/>
      <c r="OO84" s="43"/>
      <c r="OP84" s="43"/>
      <c r="OQ84" s="43"/>
      <c r="OR84" s="43"/>
      <c r="OS84" s="43"/>
      <c r="OT84" s="43"/>
      <c r="OU84" s="43"/>
      <c r="OV84" s="43"/>
      <c r="OW84" s="43"/>
      <c r="OX84" s="43"/>
      <c r="OY84" s="43"/>
      <c r="OZ84" s="43"/>
      <c r="PA84" s="43"/>
      <c r="PB84" s="43"/>
      <c r="PC84" s="43"/>
      <c r="PD84" s="43"/>
      <c r="PE84" s="43"/>
      <c r="PF84" s="43"/>
      <c r="PG84" s="43"/>
      <c r="PH84" s="43"/>
      <c r="PI84" s="43"/>
      <c r="PJ84" s="43"/>
      <c r="PK84" s="43"/>
      <c r="PL84" s="43"/>
      <c r="PM84" s="43"/>
      <c r="PN84" s="43"/>
      <c r="PO84" s="43"/>
      <c r="PP84" s="43"/>
      <c r="PQ84" s="43"/>
      <c r="PR84" s="43"/>
      <c r="PS84" s="43"/>
      <c r="PT84" s="43"/>
      <c r="PU84" s="43"/>
      <c r="PV84" s="43"/>
      <c r="PW84" s="43"/>
      <c r="PX84" s="43"/>
      <c r="PY84" s="43"/>
      <c r="PZ84" s="43"/>
      <c r="QA84" s="43"/>
      <c r="QB84" s="43"/>
      <c r="QC84" s="43"/>
    </row>
    <row r="85" spans="1:445" x14ac:dyDescent="0.3">
      <c r="A85" s="85"/>
      <c r="B85" s="84"/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46" t="str">
        <f t="shared" si="9"/>
        <v/>
      </c>
      <c r="U85" s="46" t="str">
        <f t="shared" si="10"/>
        <v/>
      </c>
      <c r="V85" s="72" t="str">
        <f t="shared" si="4"/>
        <v/>
      </c>
      <c r="W85" s="48"/>
      <c r="X85" s="73" t="str">
        <f t="shared" si="8"/>
        <v/>
      </c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3"/>
      <c r="BT85" s="43"/>
      <c r="BU85" s="43"/>
      <c r="BV85" s="43"/>
      <c r="BW85" s="43"/>
      <c r="BX85" s="43"/>
      <c r="BY85" s="43"/>
      <c r="BZ85" s="43"/>
      <c r="CA85" s="43"/>
      <c r="CB85" s="43"/>
      <c r="CC85" s="4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43"/>
      <c r="CY85" s="43"/>
      <c r="CZ85" s="43"/>
      <c r="DA85" s="43"/>
      <c r="DB85" s="43"/>
      <c r="DC85" s="43"/>
      <c r="DD85" s="43"/>
      <c r="DE85" s="43"/>
      <c r="DF85" s="43"/>
      <c r="DG85" s="43"/>
      <c r="DH85" s="43"/>
      <c r="DI85" s="43"/>
      <c r="DJ85" s="43"/>
      <c r="DK85" s="43"/>
      <c r="DL85" s="43"/>
      <c r="DM85" s="43"/>
      <c r="DN85" s="43"/>
      <c r="DO85" s="43"/>
      <c r="DP85" s="43"/>
      <c r="DQ85" s="43"/>
      <c r="DR85" s="43"/>
      <c r="DS85" s="43"/>
      <c r="DT85" s="43"/>
      <c r="DU85" s="43"/>
      <c r="DV85" s="43"/>
      <c r="DW85" s="43"/>
      <c r="DX85" s="43"/>
      <c r="DY85" s="43"/>
      <c r="DZ85" s="43"/>
      <c r="EA85" s="43"/>
      <c r="EB85" s="43"/>
      <c r="EC85" s="43"/>
      <c r="ED85" s="43"/>
      <c r="EE85" s="43"/>
      <c r="EF85" s="43"/>
      <c r="EG85" s="43"/>
      <c r="EH85" s="43"/>
      <c r="EI85" s="43"/>
      <c r="EJ85" s="43"/>
      <c r="EK85" s="43"/>
      <c r="EL85" s="43"/>
      <c r="EM85" s="43"/>
      <c r="EN85" s="43"/>
      <c r="EO85" s="43"/>
      <c r="EP85" s="43"/>
      <c r="EQ85" s="43"/>
      <c r="ER85" s="43"/>
      <c r="ES85" s="43"/>
      <c r="ET85" s="43"/>
      <c r="EU85" s="43"/>
      <c r="EV85" s="43"/>
      <c r="EW85" s="43"/>
      <c r="EX85" s="43"/>
      <c r="EY85" s="43"/>
      <c r="EZ85" s="43"/>
      <c r="FA85" s="43"/>
      <c r="FB85" s="43"/>
      <c r="FC85" s="43"/>
      <c r="FD85" s="43"/>
      <c r="FE85" s="43"/>
      <c r="FF85" s="43"/>
      <c r="FG85" s="43"/>
      <c r="FH85" s="43"/>
      <c r="FI85" s="43"/>
      <c r="FJ85" s="43"/>
      <c r="FK85" s="43"/>
      <c r="FL85" s="43"/>
      <c r="FM85" s="43"/>
      <c r="FN85" s="43"/>
      <c r="FO85" s="43"/>
      <c r="FP85" s="43"/>
      <c r="FQ85" s="43"/>
      <c r="FR85" s="43"/>
      <c r="FS85" s="43"/>
      <c r="FT85" s="43"/>
      <c r="FU85" s="43"/>
      <c r="FV85" s="43"/>
      <c r="FW85" s="43"/>
      <c r="FX85" s="43"/>
      <c r="FY85" s="43"/>
      <c r="FZ85" s="43"/>
      <c r="GA85" s="43"/>
      <c r="GB85" s="43"/>
      <c r="GC85" s="43"/>
      <c r="GD85" s="43"/>
      <c r="GE85" s="43"/>
      <c r="GF85" s="43"/>
      <c r="GG85" s="43"/>
      <c r="GH85" s="43"/>
      <c r="GI85" s="43"/>
      <c r="GJ85" s="43"/>
      <c r="GK85" s="43"/>
      <c r="GL85" s="43"/>
      <c r="GM85" s="43"/>
      <c r="GN85" s="43"/>
      <c r="GO85" s="43"/>
      <c r="GP85" s="43"/>
      <c r="GQ85" s="43"/>
      <c r="GR85" s="43"/>
      <c r="GS85" s="43"/>
      <c r="GT85" s="43"/>
      <c r="GU85" s="43"/>
      <c r="GV85" s="43"/>
      <c r="GW85" s="43"/>
      <c r="GX85" s="43"/>
      <c r="GY85" s="43"/>
      <c r="GZ85" s="43"/>
      <c r="HA85" s="43"/>
      <c r="HB85" s="43"/>
      <c r="HC85" s="43"/>
      <c r="HD85" s="43"/>
      <c r="HE85" s="43"/>
      <c r="HF85" s="43"/>
      <c r="HG85" s="43"/>
      <c r="HH85" s="43"/>
      <c r="HI85" s="43"/>
      <c r="HJ85" s="43"/>
      <c r="HK85" s="43"/>
      <c r="HL85" s="43"/>
      <c r="HM85" s="43"/>
      <c r="HN85" s="43"/>
      <c r="HO85" s="43"/>
      <c r="HP85" s="43"/>
      <c r="HQ85" s="43"/>
      <c r="HR85" s="43"/>
      <c r="HS85" s="43"/>
      <c r="HT85" s="43"/>
      <c r="HU85" s="43"/>
      <c r="HV85" s="43"/>
      <c r="HW85" s="43"/>
      <c r="HX85" s="43"/>
      <c r="HY85" s="43"/>
      <c r="HZ85" s="43"/>
      <c r="IA85" s="43"/>
      <c r="IB85" s="43"/>
      <c r="IC85" s="43"/>
      <c r="ID85" s="43"/>
      <c r="IE85" s="43"/>
      <c r="IF85" s="43"/>
      <c r="IG85" s="43"/>
      <c r="IH85" s="43"/>
      <c r="II85" s="43"/>
      <c r="IJ85" s="43"/>
      <c r="IK85" s="43"/>
      <c r="IL85" s="43"/>
      <c r="IM85" s="43"/>
      <c r="IN85" s="43"/>
      <c r="IO85" s="43"/>
      <c r="IP85" s="43"/>
      <c r="IQ85" s="43"/>
      <c r="IR85" s="43"/>
      <c r="IS85" s="43"/>
      <c r="IT85" s="43"/>
      <c r="IU85" s="43"/>
      <c r="IV85" s="43"/>
      <c r="IW85" s="43"/>
      <c r="IX85" s="43"/>
      <c r="IY85" s="43"/>
      <c r="IZ85" s="43"/>
      <c r="JA85" s="43"/>
      <c r="JB85" s="43"/>
      <c r="JC85" s="43"/>
      <c r="JD85" s="43"/>
      <c r="JE85" s="43"/>
      <c r="JF85" s="43"/>
      <c r="JG85" s="43"/>
      <c r="JH85" s="43"/>
      <c r="JI85" s="43"/>
      <c r="JJ85" s="43"/>
      <c r="JK85" s="43"/>
      <c r="JL85" s="43"/>
      <c r="JM85" s="43"/>
      <c r="JN85" s="43"/>
      <c r="JO85" s="43"/>
      <c r="JP85" s="43"/>
      <c r="JQ85" s="43"/>
      <c r="JR85" s="43"/>
      <c r="JS85" s="43"/>
      <c r="JT85" s="43"/>
      <c r="JU85" s="43"/>
      <c r="JV85" s="43"/>
      <c r="JW85" s="43"/>
      <c r="JX85" s="43"/>
      <c r="JY85" s="43"/>
      <c r="JZ85" s="43"/>
      <c r="KA85" s="43"/>
      <c r="KB85" s="43"/>
      <c r="KC85" s="43"/>
      <c r="KD85" s="43"/>
      <c r="KE85" s="43"/>
      <c r="KF85" s="43"/>
      <c r="KG85" s="43"/>
      <c r="KH85" s="43"/>
      <c r="KI85" s="43"/>
      <c r="KJ85" s="43"/>
      <c r="KK85" s="43"/>
      <c r="KL85" s="43"/>
      <c r="KM85" s="43"/>
      <c r="KN85" s="43"/>
      <c r="KO85" s="43"/>
      <c r="KP85" s="43"/>
      <c r="KQ85" s="43"/>
      <c r="KR85" s="43"/>
      <c r="KS85" s="43"/>
      <c r="KT85" s="43"/>
      <c r="KU85" s="43"/>
      <c r="KV85" s="43"/>
      <c r="KW85" s="43"/>
      <c r="KX85" s="43"/>
      <c r="KY85" s="43"/>
      <c r="KZ85" s="43"/>
      <c r="LA85" s="43"/>
      <c r="LB85" s="43"/>
      <c r="LC85" s="43"/>
      <c r="LD85" s="43"/>
      <c r="LE85" s="43"/>
      <c r="LF85" s="43"/>
      <c r="LG85" s="43"/>
      <c r="LH85" s="43"/>
      <c r="LI85" s="43"/>
      <c r="LJ85" s="43"/>
      <c r="LK85" s="43"/>
      <c r="LL85" s="43"/>
      <c r="LM85" s="43"/>
      <c r="LN85" s="43"/>
      <c r="LO85" s="43"/>
      <c r="LP85" s="43"/>
      <c r="LQ85" s="43"/>
      <c r="LR85" s="43"/>
      <c r="LS85" s="43"/>
      <c r="LT85" s="43"/>
      <c r="LU85" s="43"/>
      <c r="LV85" s="43"/>
      <c r="LW85" s="43"/>
      <c r="LX85" s="43"/>
      <c r="LY85" s="43"/>
      <c r="LZ85" s="43"/>
      <c r="MA85" s="43"/>
      <c r="MB85" s="43"/>
      <c r="MC85" s="43"/>
      <c r="MD85" s="43"/>
      <c r="ME85" s="43"/>
      <c r="MF85" s="43"/>
      <c r="MG85" s="43"/>
      <c r="MH85" s="43"/>
      <c r="MI85" s="43"/>
      <c r="MJ85" s="43"/>
      <c r="MK85" s="43"/>
      <c r="ML85" s="43"/>
      <c r="MM85" s="43"/>
      <c r="MN85" s="43"/>
      <c r="MO85" s="43"/>
      <c r="MP85" s="43"/>
      <c r="MQ85" s="43"/>
      <c r="MR85" s="43"/>
      <c r="MS85" s="43"/>
      <c r="MT85" s="43"/>
      <c r="MU85" s="43"/>
      <c r="MV85" s="43"/>
      <c r="MW85" s="43"/>
      <c r="MX85" s="43"/>
      <c r="MY85" s="43"/>
      <c r="MZ85" s="43"/>
      <c r="NA85" s="43"/>
      <c r="NB85" s="43"/>
      <c r="NC85" s="43"/>
      <c r="ND85" s="43"/>
      <c r="NE85" s="43"/>
      <c r="NF85" s="43"/>
      <c r="NG85" s="43"/>
      <c r="NH85" s="43"/>
      <c r="NI85" s="43"/>
      <c r="NJ85" s="43"/>
      <c r="NK85" s="43"/>
      <c r="NL85" s="43"/>
      <c r="NM85" s="43"/>
      <c r="NN85" s="43"/>
      <c r="NO85" s="43"/>
      <c r="NP85" s="43"/>
      <c r="NQ85" s="43"/>
      <c r="NR85" s="43"/>
      <c r="NS85" s="43"/>
      <c r="NT85" s="43"/>
      <c r="NU85" s="43"/>
      <c r="NV85" s="43"/>
      <c r="NW85" s="43"/>
      <c r="NX85" s="43"/>
      <c r="NY85" s="43"/>
      <c r="NZ85" s="43"/>
      <c r="OA85" s="43"/>
      <c r="OB85" s="43"/>
      <c r="OC85" s="43"/>
      <c r="OD85" s="43"/>
      <c r="OE85" s="43"/>
      <c r="OF85" s="43"/>
      <c r="OG85" s="43"/>
      <c r="OH85" s="43"/>
      <c r="OI85" s="43"/>
      <c r="OJ85" s="43"/>
      <c r="OK85" s="43"/>
      <c r="OL85" s="43"/>
      <c r="OM85" s="43"/>
      <c r="ON85" s="43"/>
      <c r="OO85" s="43"/>
      <c r="OP85" s="43"/>
      <c r="OQ85" s="43"/>
      <c r="OR85" s="43"/>
      <c r="OS85" s="43"/>
      <c r="OT85" s="43"/>
      <c r="OU85" s="43"/>
      <c r="OV85" s="43"/>
      <c r="OW85" s="43"/>
      <c r="OX85" s="43"/>
      <c r="OY85" s="43"/>
      <c r="OZ85" s="43"/>
      <c r="PA85" s="43"/>
      <c r="PB85" s="43"/>
      <c r="PC85" s="43"/>
      <c r="PD85" s="43"/>
      <c r="PE85" s="43"/>
      <c r="PF85" s="43"/>
      <c r="PG85" s="43"/>
      <c r="PH85" s="43"/>
      <c r="PI85" s="43"/>
      <c r="PJ85" s="43"/>
      <c r="PK85" s="43"/>
      <c r="PL85" s="43"/>
      <c r="PM85" s="43"/>
      <c r="PN85" s="43"/>
      <c r="PO85" s="43"/>
      <c r="PP85" s="43"/>
      <c r="PQ85" s="43"/>
      <c r="PR85" s="43"/>
      <c r="PS85" s="43"/>
      <c r="PT85" s="43"/>
      <c r="PU85" s="43"/>
      <c r="PV85" s="43"/>
      <c r="PW85" s="43"/>
      <c r="PX85" s="43"/>
      <c r="PY85" s="43"/>
      <c r="PZ85" s="43"/>
      <c r="QA85" s="43"/>
      <c r="QB85" s="43"/>
      <c r="QC85" s="43"/>
    </row>
    <row r="86" spans="1:445" x14ac:dyDescent="0.3">
      <c r="A86" s="85"/>
      <c r="B86" s="84"/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46" t="str">
        <f t="shared" si="9"/>
        <v/>
      </c>
      <c r="U86" s="46" t="str">
        <f t="shared" si="10"/>
        <v/>
      </c>
      <c r="V86" s="72" t="str">
        <f t="shared" ref="V86:V149" si="11">IF(AND(ISBLANK(E86),ISBLANK(F86), ISBLANK(G86), ISBLANK(H86), ISBLANK(I86), ISBLANK(J86), ISBLANK(K86), ISBLANK(L86), ISBLANK(M86),ISBLANK(N86), ISBLANK(O86), ISBLANK(P86), ISBLANK(Q86), ISBLANK(R86), ISBLANK(S86)), "",IFERROR(((F86+E86)-U86)/F86,""))</f>
        <v/>
      </c>
      <c r="W86" s="48"/>
      <c r="X86" s="73" t="str">
        <f t="shared" ref="X86:X117" si="12">IF(W86&lt;&gt;"",F86 - (SUM(G86:S86)),"")</f>
        <v/>
      </c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43"/>
      <c r="BO86" s="43"/>
      <c r="BP86" s="43"/>
      <c r="BQ86" s="43"/>
      <c r="BR86" s="43"/>
      <c r="BS86" s="43"/>
      <c r="BT86" s="43"/>
      <c r="BU86" s="43"/>
      <c r="BV86" s="43"/>
      <c r="BW86" s="43"/>
      <c r="BX86" s="43"/>
      <c r="BY86" s="43"/>
      <c r="BZ86" s="43"/>
      <c r="CA86" s="43"/>
      <c r="CB86" s="43"/>
      <c r="CC86" s="43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43"/>
      <c r="CY86" s="43"/>
      <c r="CZ86" s="43"/>
      <c r="DA86" s="43"/>
      <c r="DB86" s="43"/>
      <c r="DC86" s="43"/>
      <c r="DD86" s="43"/>
      <c r="DE86" s="43"/>
      <c r="DF86" s="43"/>
      <c r="DG86" s="43"/>
      <c r="DH86" s="43"/>
      <c r="DI86" s="43"/>
      <c r="DJ86" s="43"/>
      <c r="DK86" s="43"/>
      <c r="DL86" s="43"/>
      <c r="DM86" s="43"/>
      <c r="DN86" s="43"/>
      <c r="DO86" s="43"/>
      <c r="DP86" s="43"/>
      <c r="DQ86" s="43"/>
      <c r="DR86" s="43"/>
      <c r="DS86" s="43"/>
      <c r="DT86" s="43"/>
      <c r="DU86" s="43"/>
      <c r="DV86" s="43"/>
      <c r="DW86" s="43"/>
      <c r="DX86" s="43"/>
      <c r="DY86" s="43"/>
      <c r="DZ86" s="43"/>
      <c r="EA86" s="43"/>
      <c r="EB86" s="43"/>
      <c r="EC86" s="43"/>
      <c r="ED86" s="43"/>
      <c r="EE86" s="43"/>
      <c r="EF86" s="43"/>
      <c r="EG86" s="43"/>
      <c r="EH86" s="43"/>
      <c r="EI86" s="43"/>
      <c r="EJ86" s="43"/>
      <c r="EK86" s="43"/>
      <c r="EL86" s="43"/>
      <c r="EM86" s="43"/>
      <c r="EN86" s="43"/>
      <c r="EO86" s="43"/>
      <c r="EP86" s="43"/>
      <c r="EQ86" s="43"/>
      <c r="ER86" s="43"/>
      <c r="ES86" s="43"/>
      <c r="ET86" s="43"/>
      <c r="EU86" s="43"/>
      <c r="EV86" s="43"/>
      <c r="EW86" s="43"/>
      <c r="EX86" s="43"/>
      <c r="EY86" s="43"/>
      <c r="EZ86" s="43"/>
      <c r="FA86" s="43"/>
      <c r="FB86" s="43"/>
      <c r="FC86" s="43"/>
      <c r="FD86" s="43"/>
      <c r="FE86" s="43"/>
      <c r="FF86" s="43"/>
      <c r="FG86" s="43"/>
      <c r="FH86" s="43"/>
      <c r="FI86" s="43"/>
      <c r="FJ86" s="43"/>
      <c r="FK86" s="43"/>
      <c r="FL86" s="43"/>
      <c r="FM86" s="43"/>
      <c r="FN86" s="43"/>
      <c r="FO86" s="43"/>
      <c r="FP86" s="43"/>
      <c r="FQ86" s="43"/>
      <c r="FR86" s="43"/>
      <c r="FS86" s="43"/>
      <c r="FT86" s="43"/>
      <c r="FU86" s="43"/>
      <c r="FV86" s="43"/>
      <c r="FW86" s="43"/>
      <c r="FX86" s="43"/>
      <c r="FY86" s="43"/>
      <c r="FZ86" s="43"/>
      <c r="GA86" s="43"/>
      <c r="GB86" s="43"/>
      <c r="GC86" s="43"/>
      <c r="GD86" s="43"/>
      <c r="GE86" s="43"/>
      <c r="GF86" s="43"/>
      <c r="GG86" s="43"/>
      <c r="GH86" s="43"/>
      <c r="GI86" s="43"/>
      <c r="GJ86" s="43"/>
      <c r="GK86" s="43"/>
      <c r="GL86" s="43"/>
      <c r="GM86" s="43"/>
      <c r="GN86" s="43"/>
      <c r="GO86" s="43"/>
      <c r="GP86" s="43"/>
      <c r="GQ86" s="43"/>
      <c r="GR86" s="43"/>
      <c r="GS86" s="43"/>
      <c r="GT86" s="43"/>
      <c r="GU86" s="43"/>
      <c r="GV86" s="43"/>
      <c r="GW86" s="43"/>
      <c r="GX86" s="43"/>
      <c r="GY86" s="43"/>
      <c r="GZ86" s="43"/>
      <c r="HA86" s="43"/>
      <c r="HB86" s="43"/>
      <c r="HC86" s="43"/>
      <c r="HD86" s="43"/>
      <c r="HE86" s="43"/>
      <c r="HF86" s="43"/>
      <c r="HG86" s="43"/>
      <c r="HH86" s="43"/>
      <c r="HI86" s="43"/>
      <c r="HJ86" s="43"/>
      <c r="HK86" s="43"/>
      <c r="HL86" s="43"/>
      <c r="HM86" s="43"/>
      <c r="HN86" s="43"/>
      <c r="HO86" s="43"/>
      <c r="HP86" s="43"/>
      <c r="HQ86" s="43"/>
      <c r="HR86" s="43"/>
      <c r="HS86" s="43"/>
      <c r="HT86" s="43"/>
      <c r="HU86" s="43"/>
      <c r="HV86" s="43"/>
      <c r="HW86" s="43"/>
      <c r="HX86" s="43"/>
      <c r="HY86" s="43"/>
      <c r="HZ86" s="43"/>
      <c r="IA86" s="43"/>
      <c r="IB86" s="43"/>
      <c r="IC86" s="43"/>
      <c r="ID86" s="43"/>
      <c r="IE86" s="43"/>
      <c r="IF86" s="43"/>
      <c r="IG86" s="43"/>
      <c r="IH86" s="43"/>
      <c r="II86" s="43"/>
      <c r="IJ86" s="43"/>
      <c r="IK86" s="43"/>
      <c r="IL86" s="43"/>
      <c r="IM86" s="43"/>
      <c r="IN86" s="43"/>
      <c r="IO86" s="43"/>
      <c r="IP86" s="43"/>
      <c r="IQ86" s="43"/>
      <c r="IR86" s="43"/>
      <c r="IS86" s="43"/>
      <c r="IT86" s="43"/>
      <c r="IU86" s="43"/>
      <c r="IV86" s="43"/>
      <c r="IW86" s="43"/>
      <c r="IX86" s="43"/>
      <c r="IY86" s="43"/>
      <c r="IZ86" s="43"/>
      <c r="JA86" s="43"/>
      <c r="JB86" s="43"/>
      <c r="JC86" s="43"/>
      <c r="JD86" s="43"/>
      <c r="JE86" s="43"/>
      <c r="JF86" s="43"/>
      <c r="JG86" s="43"/>
      <c r="JH86" s="43"/>
      <c r="JI86" s="43"/>
      <c r="JJ86" s="43"/>
      <c r="JK86" s="43"/>
      <c r="JL86" s="43"/>
      <c r="JM86" s="43"/>
      <c r="JN86" s="43"/>
      <c r="JO86" s="43"/>
      <c r="JP86" s="43"/>
      <c r="JQ86" s="43"/>
      <c r="JR86" s="43"/>
      <c r="JS86" s="43"/>
      <c r="JT86" s="43"/>
      <c r="JU86" s="43"/>
      <c r="JV86" s="43"/>
      <c r="JW86" s="43"/>
      <c r="JX86" s="43"/>
      <c r="JY86" s="43"/>
      <c r="JZ86" s="43"/>
      <c r="KA86" s="43"/>
      <c r="KB86" s="43"/>
      <c r="KC86" s="43"/>
      <c r="KD86" s="43"/>
      <c r="KE86" s="43"/>
      <c r="KF86" s="43"/>
      <c r="KG86" s="43"/>
      <c r="KH86" s="43"/>
      <c r="KI86" s="43"/>
      <c r="KJ86" s="43"/>
      <c r="KK86" s="43"/>
      <c r="KL86" s="43"/>
      <c r="KM86" s="43"/>
      <c r="KN86" s="43"/>
      <c r="KO86" s="43"/>
      <c r="KP86" s="43"/>
      <c r="KQ86" s="43"/>
      <c r="KR86" s="43"/>
      <c r="KS86" s="43"/>
      <c r="KT86" s="43"/>
      <c r="KU86" s="43"/>
      <c r="KV86" s="43"/>
      <c r="KW86" s="43"/>
      <c r="KX86" s="43"/>
      <c r="KY86" s="43"/>
      <c r="KZ86" s="43"/>
      <c r="LA86" s="43"/>
      <c r="LB86" s="43"/>
      <c r="LC86" s="43"/>
      <c r="LD86" s="43"/>
      <c r="LE86" s="43"/>
      <c r="LF86" s="43"/>
      <c r="LG86" s="43"/>
      <c r="LH86" s="43"/>
      <c r="LI86" s="43"/>
      <c r="LJ86" s="43"/>
      <c r="LK86" s="43"/>
      <c r="LL86" s="43"/>
      <c r="LM86" s="43"/>
      <c r="LN86" s="43"/>
      <c r="LO86" s="43"/>
      <c r="LP86" s="43"/>
      <c r="LQ86" s="43"/>
      <c r="LR86" s="43"/>
      <c r="LS86" s="43"/>
      <c r="LT86" s="43"/>
      <c r="LU86" s="43"/>
      <c r="LV86" s="43"/>
      <c r="LW86" s="43"/>
      <c r="LX86" s="43"/>
      <c r="LY86" s="43"/>
      <c r="LZ86" s="43"/>
      <c r="MA86" s="43"/>
      <c r="MB86" s="43"/>
      <c r="MC86" s="43"/>
      <c r="MD86" s="43"/>
      <c r="ME86" s="43"/>
      <c r="MF86" s="43"/>
      <c r="MG86" s="43"/>
      <c r="MH86" s="43"/>
      <c r="MI86" s="43"/>
      <c r="MJ86" s="43"/>
      <c r="MK86" s="43"/>
      <c r="ML86" s="43"/>
      <c r="MM86" s="43"/>
      <c r="MN86" s="43"/>
      <c r="MO86" s="43"/>
      <c r="MP86" s="43"/>
      <c r="MQ86" s="43"/>
      <c r="MR86" s="43"/>
      <c r="MS86" s="43"/>
      <c r="MT86" s="43"/>
      <c r="MU86" s="43"/>
      <c r="MV86" s="43"/>
      <c r="MW86" s="43"/>
      <c r="MX86" s="43"/>
      <c r="MY86" s="43"/>
      <c r="MZ86" s="43"/>
      <c r="NA86" s="43"/>
      <c r="NB86" s="43"/>
      <c r="NC86" s="43"/>
      <c r="ND86" s="43"/>
      <c r="NE86" s="43"/>
      <c r="NF86" s="43"/>
      <c r="NG86" s="43"/>
      <c r="NH86" s="43"/>
      <c r="NI86" s="43"/>
      <c r="NJ86" s="43"/>
      <c r="NK86" s="43"/>
      <c r="NL86" s="43"/>
      <c r="NM86" s="43"/>
      <c r="NN86" s="43"/>
      <c r="NO86" s="43"/>
      <c r="NP86" s="43"/>
      <c r="NQ86" s="43"/>
      <c r="NR86" s="43"/>
      <c r="NS86" s="43"/>
      <c r="NT86" s="43"/>
      <c r="NU86" s="43"/>
      <c r="NV86" s="43"/>
      <c r="NW86" s="43"/>
      <c r="NX86" s="43"/>
      <c r="NY86" s="43"/>
      <c r="NZ86" s="43"/>
      <c r="OA86" s="43"/>
      <c r="OB86" s="43"/>
      <c r="OC86" s="43"/>
      <c r="OD86" s="43"/>
      <c r="OE86" s="43"/>
      <c r="OF86" s="43"/>
      <c r="OG86" s="43"/>
      <c r="OH86" s="43"/>
      <c r="OI86" s="43"/>
      <c r="OJ86" s="43"/>
      <c r="OK86" s="43"/>
      <c r="OL86" s="43"/>
      <c r="OM86" s="43"/>
      <c r="ON86" s="43"/>
      <c r="OO86" s="43"/>
      <c r="OP86" s="43"/>
      <c r="OQ86" s="43"/>
      <c r="OR86" s="43"/>
      <c r="OS86" s="43"/>
      <c r="OT86" s="43"/>
      <c r="OU86" s="43"/>
      <c r="OV86" s="43"/>
      <c r="OW86" s="43"/>
      <c r="OX86" s="43"/>
      <c r="OY86" s="43"/>
      <c r="OZ86" s="43"/>
      <c r="PA86" s="43"/>
      <c r="PB86" s="43"/>
      <c r="PC86" s="43"/>
      <c r="PD86" s="43"/>
      <c r="PE86" s="43"/>
      <c r="PF86" s="43"/>
      <c r="PG86" s="43"/>
      <c r="PH86" s="43"/>
      <c r="PI86" s="43"/>
      <c r="PJ86" s="43"/>
      <c r="PK86" s="43"/>
      <c r="PL86" s="43"/>
      <c r="PM86" s="43"/>
      <c r="PN86" s="43"/>
      <c r="PO86" s="43"/>
      <c r="PP86" s="43"/>
      <c r="PQ86" s="43"/>
      <c r="PR86" s="43"/>
      <c r="PS86" s="43"/>
      <c r="PT86" s="43"/>
      <c r="PU86" s="43"/>
      <c r="PV86" s="43"/>
      <c r="PW86" s="43"/>
      <c r="PX86" s="43"/>
      <c r="PY86" s="43"/>
      <c r="PZ86" s="43"/>
      <c r="QA86" s="43"/>
      <c r="QB86" s="43"/>
      <c r="QC86" s="43"/>
    </row>
    <row r="87" spans="1:445" x14ac:dyDescent="0.3">
      <c r="A87" s="85"/>
      <c r="B87" s="84"/>
      <c r="C87" s="84"/>
      <c r="D87" s="84"/>
      <c r="E87" s="84"/>
      <c r="F87" s="84"/>
      <c r="G87" s="84"/>
      <c r="H87" s="95"/>
      <c r="I87" s="84"/>
      <c r="J87" s="86"/>
      <c r="K87" s="84"/>
      <c r="L87" s="84"/>
      <c r="M87" s="84"/>
      <c r="N87" s="84"/>
      <c r="O87" s="84"/>
      <c r="P87" s="84"/>
      <c r="Q87" s="84"/>
      <c r="R87" s="84"/>
      <c r="S87" s="84"/>
      <c r="T87" s="46" t="str">
        <f t="shared" si="9"/>
        <v/>
      </c>
      <c r="U87" s="46" t="str">
        <f t="shared" si="10"/>
        <v/>
      </c>
      <c r="V87" s="72" t="str">
        <f t="shared" si="11"/>
        <v/>
      </c>
      <c r="W87" s="48"/>
      <c r="X87" s="73" t="str">
        <f t="shared" si="12"/>
        <v/>
      </c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43"/>
      <c r="BN87" s="43"/>
      <c r="BO87" s="43"/>
      <c r="BP87" s="43"/>
      <c r="BQ87" s="43"/>
      <c r="BR87" s="43"/>
      <c r="BS87" s="43"/>
      <c r="BT87" s="43"/>
      <c r="BU87" s="43"/>
      <c r="BV87" s="43"/>
      <c r="BW87" s="43"/>
      <c r="BX87" s="43"/>
      <c r="BY87" s="43"/>
      <c r="BZ87" s="43"/>
      <c r="CA87" s="43"/>
      <c r="CB87" s="43"/>
      <c r="CC87" s="4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43"/>
      <c r="CY87" s="43"/>
      <c r="CZ87" s="43"/>
      <c r="DA87" s="43"/>
      <c r="DB87" s="43"/>
      <c r="DC87" s="43"/>
      <c r="DD87" s="43"/>
      <c r="DE87" s="43"/>
      <c r="DF87" s="43"/>
      <c r="DG87" s="43"/>
      <c r="DH87" s="43"/>
      <c r="DI87" s="43"/>
      <c r="DJ87" s="43"/>
      <c r="DK87" s="43"/>
      <c r="DL87" s="43"/>
      <c r="DM87" s="43"/>
      <c r="DN87" s="43"/>
      <c r="DO87" s="43"/>
      <c r="DP87" s="43"/>
      <c r="DQ87" s="43"/>
      <c r="DR87" s="43"/>
      <c r="DS87" s="43"/>
      <c r="DT87" s="43"/>
      <c r="DU87" s="43"/>
      <c r="DV87" s="43"/>
      <c r="DW87" s="43"/>
      <c r="DX87" s="43"/>
      <c r="DY87" s="43"/>
      <c r="DZ87" s="43"/>
      <c r="EA87" s="43"/>
      <c r="EB87" s="43"/>
      <c r="EC87" s="43"/>
      <c r="ED87" s="43"/>
      <c r="EE87" s="43"/>
      <c r="EF87" s="43"/>
      <c r="EG87" s="43"/>
      <c r="EH87" s="43"/>
      <c r="EI87" s="43"/>
      <c r="EJ87" s="43"/>
      <c r="EK87" s="43"/>
      <c r="EL87" s="43"/>
      <c r="EM87" s="43"/>
      <c r="EN87" s="43"/>
      <c r="EO87" s="43"/>
      <c r="EP87" s="43"/>
      <c r="EQ87" s="43"/>
      <c r="ER87" s="43"/>
      <c r="ES87" s="43"/>
      <c r="ET87" s="43"/>
      <c r="EU87" s="43"/>
      <c r="EV87" s="43"/>
      <c r="EW87" s="43"/>
      <c r="EX87" s="43"/>
      <c r="EY87" s="43"/>
      <c r="EZ87" s="43"/>
      <c r="FA87" s="43"/>
      <c r="FB87" s="43"/>
      <c r="FC87" s="43"/>
      <c r="FD87" s="43"/>
      <c r="FE87" s="43"/>
      <c r="FF87" s="43"/>
      <c r="FG87" s="43"/>
      <c r="FH87" s="43"/>
      <c r="FI87" s="43"/>
      <c r="FJ87" s="43"/>
      <c r="FK87" s="43"/>
      <c r="FL87" s="43"/>
      <c r="FM87" s="43"/>
      <c r="FN87" s="43"/>
      <c r="FO87" s="43"/>
      <c r="FP87" s="43"/>
      <c r="FQ87" s="43"/>
      <c r="FR87" s="43"/>
      <c r="FS87" s="43"/>
      <c r="FT87" s="43"/>
      <c r="FU87" s="43"/>
      <c r="FV87" s="43"/>
      <c r="FW87" s="43"/>
      <c r="FX87" s="43"/>
      <c r="FY87" s="43"/>
      <c r="FZ87" s="43"/>
      <c r="GA87" s="43"/>
      <c r="GB87" s="43"/>
      <c r="GC87" s="43"/>
      <c r="GD87" s="43"/>
      <c r="GE87" s="43"/>
      <c r="GF87" s="43"/>
      <c r="GG87" s="43"/>
      <c r="GH87" s="43"/>
      <c r="GI87" s="43"/>
      <c r="GJ87" s="43"/>
      <c r="GK87" s="43"/>
      <c r="GL87" s="43"/>
      <c r="GM87" s="43"/>
      <c r="GN87" s="43"/>
      <c r="GO87" s="43"/>
      <c r="GP87" s="43"/>
      <c r="GQ87" s="43"/>
      <c r="GR87" s="43"/>
      <c r="GS87" s="43"/>
      <c r="GT87" s="43"/>
      <c r="GU87" s="43"/>
      <c r="GV87" s="43"/>
      <c r="GW87" s="43"/>
      <c r="GX87" s="43"/>
      <c r="GY87" s="43"/>
      <c r="GZ87" s="43"/>
      <c r="HA87" s="43"/>
      <c r="HB87" s="43"/>
      <c r="HC87" s="43"/>
      <c r="HD87" s="43"/>
      <c r="HE87" s="43"/>
      <c r="HF87" s="43"/>
      <c r="HG87" s="43"/>
      <c r="HH87" s="43"/>
      <c r="HI87" s="43"/>
      <c r="HJ87" s="43"/>
      <c r="HK87" s="43"/>
      <c r="HL87" s="43"/>
      <c r="HM87" s="43"/>
      <c r="HN87" s="43"/>
      <c r="HO87" s="43"/>
      <c r="HP87" s="43"/>
      <c r="HQ87" s="43"/>
      <c r="HR87" s="43"/>
      <c r="HS87" s="43"/>
      <c r="HT87" s="43"/>
      <c r="HU87" s="43"/>
      <c r="HV87" s="43"/>
      <c r="HW87" s="43"/>
      <c r="HX87" s="43"/>
      <c r="HY87" s="43"/>
      <c r="HZ87" s="43"/>
      <c r="IA87" s="43"/>
      <c r="IB87" s="43"/>
      <c r="IC87" s="43"/>
      <c r="ID87" s="43"/>
      <c r="IE87" s="43"/>
      <c r="IF87" s="43"/>
      <c r="IG87" s="43"/>
      <c r="IH87" s="43"/>
      <c r="II87" s="43"/>
      <c r="IJ87" s="43"/>
      <c r="IK87" s="43"/>
      <c r="IL87" s="43"/>
      <c r="IM87" s="43"/>
      <c r="IN87" s="43"/>
      <c r="IO87" s="43"/>
      <c r="IP87" s="43"/>
      <c r="IQ87" s="43"/>
      <c r="IR87" s="43"/>
      <c r="IS87" s="43"/>
      <c r="IT87" s="43"/>
      <c r="IU87" s="43"/>
      <c r="IV87" s="43"/>
      <c r="IW87" s="43"/>
      <c r="IX87" s="43"/>
      <c r="IY87" s="43"/>
      <c r="IZ87" s="43"/>
      <c r="JA87" s="43"/>
      <c r="JB87" s="43"/>
      <c r="JC87" s="43"/>
      <c r="JD87" s="43"/>
      <c r="JE87" s="43"/>
      <c r="JF87" s="43"/>
      <c r="JG87" s="43"/>
      <c r="JH87" s="43"/>
      <c r="JI87" s="43"/>
      <c r="JJ87" s="43"/>
      <c r="JK87" s="43"/>
      <c r="JL87" s="43"/>
      <c r="JM87" s="43"/>
      <c r="JN87" s="43"/>
      <c r="JO87" s="43"/>
      <c r="JP87" s="43"/>
      <c r="JQ87" s="43"/>
      <c r="JR87" s="43"/>
      <c r="JS87" s="43"/>
      <c r="JT87" s="43"/>
      <c r="JU87" s="43"/>
      <c r="JV87" s="43"/>
      <c r="JW87" s="43"/>
      <c r="JX87" s="43"/>
      <c r="JY87" s="43"/>
      <c r="JZ87" s="43"/>
      <c r="KA87" s="43"/>
      <c r="KB87" s="43"/>
      <c r="KC87" s="43"/>
      <c r="KD87" s="43"/>
      <c r="KE87" s="43"/>
      <c r="KF87" s="43"/>
      <c r="KG87" s="43"/>
      <c r="KH87" s="43"/>
      <c r="KI87" s="43"/>
      <c r="KJ87" s="43"/>
      <c r="KK87" s="43"/>
      <c r="KL87" s="43"/>
      <c r="KM87" s="43"/>
      <c r="KN87" s="43"/>
      <c r="KO87" s="43"/>
      <c r="KP87" s="43"/>
      <c r="KQ87" s="43"/>
      <c r="KR87" s="43"/>
      <c r="KS87" s="43"/>
      <c r="KT87" s="43"/>
      <c r="KU87" s="43"/>
      <c r="KV87" s="43"/>
      <c r="KW87" s="43"/>
      <c r="KX87" s="43"/>
      <c r="KY87" s="43"/>
      <c r="KZ87" s="43"/>
      <c r="LA87" s="43"/>
      <c r="LB87" s="43"/>
      <c r="LC87" s="43"/>
      <c r="LD87" s="43"/>
      <c r="LE87" s="43"/>
      <c r="LF87" s="43"/>
      <c r="LG87" s="43"/>
      <c r="LH87" s="43"/>
      <c r="LI87" s="43"/>
      <c r="LJ87" s="43"/>
      <c r="LK87" s="43"/>
      <c r="LL87" s="43"/>
      <c r="LM87" s="43"/>
      <c r="LN87" s="43"/>
      <c r="LO87" s="43"/>
      <c r="LP87" s="43"/>
      <c r="LQ87" s="43"/>
      <c r="LR87" s="43"/>
      <c r="LS87" s="43"/>
      <c r="LT87" s="43"/>
      <c r="LU87" s="43"/>
      <c r="LV87" s="43"/>
      <c r="LW87" s="43"/>
      <c r="LX87" s="43"/>
      <c r="LY87" s="43"/>
      <c r="LZ87" s="43"/>
      <c r="MA87" s="43"/>
      <c r="MB87" s="43"/>
      <c r="MC87" s="43"/>
      <c r="MD87" s="43"/>
      <c r="ME87" s="43"/>
      <c r="MF87" s="43"/>
      <c r="MG87" s="43"/>
      <c r="MH87" s="43"/>
      <c r="MI87" s="43"/>
      <c r="MJ87" s="43"/>
      <c r="MK87" s="43"/>
      <c r="ML87" s="43"/>
      <c r="MM87" s="43"/>
      <c r="MN87" s="43"/>
      <c r="MO87" s="43"/>
      <c r="MP87" s="43"/>
      <c r="MQ87" s="43"/>
      <c r="MR87" s="43"/>
      <c r="MS87" s="43"/>
      <c r="MT87" s="43"/>
      <c r="MU87" s="43"/>
      <c r="MV87" s="43"/>
      <c r="MW87" s="43"/>
      <c r="MX87" s="43"/>
      <c r="MY87" s="43"/>
      <c r="MZ87" s="43"/>
      <c r="NA87" s="43"/>
      <c r="NB87" s="43"/>
      <c r="NC87" s="43"/>
      <c r="ND87" s="43"/>
      <c r="NE87" s="43"/>
      <c r="NF87" s="43"/>
      <c r="NG87" s="43"/>
      <c r="NH87" s="43"/>
      <c r="NI87" s="43"/>
      <c r="NJ87" s="43"/>
      <c r="NK87" s="43"/>
      <c r="NL87" s="43"/>
      <c r="NM87" s="43"/>
      <c r="NN87" s="43"/>
      <c r="NO87" s="43"/>
      <c r="NP87" s="43"/>
      <c r="NQ87" s="43"/>
      <c r="NR87" s="43"/>
      <c r="NS87" s="43"/>
      <c r="NT87" s="43"/>
      <c r="NU87" s="43"/>
      <c r="NV87" s="43"/>
      <c r="NW87" s="43"/>
      <c r="NX87" s="43"/>
      <c r="NY87" s="43"/>
      <c r="NZ87" s="43"/>
      <c r="OA87" s="43"/>
      <c r="OB87" s="43"/>
      <c r="OC87" s="43"/>
      <c r="OD87" s="43"/>
      <c r="OE87" s="43"/>
      <c r="OF87" s="43"/>
      <c r="OG87" s="43"/>
      <c r="OH87" s="43"/>
      <c r="OI87" s="43"/>
      <c r="OJ87" s="43"/>
      <c r="OK87" s="43"/>
      <c r="OL87" s="43"/>
      <c r="OM87" s="43"/>
      <c r="ON87" s="43"/>
      <c r="OO87" s="43"/>
      <c r="OP87" s="43"/>
      <c r="OQ87" s="43"/>
      <c r="OR87" s="43"/>
      <c r="OS87" s="43"/>
      <c r="OT87" s="43"/>
      <c r="OU87" s="43"/>
      <c r="OV87" s="43"/>
      <c r="OW87" s="43"/>
      <c r="OX87" s="43"/>
      <c r="OY87" s="43"/>
      <c r="OZ87" s="43"/>
      <c r="PA87" s="43"/>
      <c r="PB87" s="43"/>
      <c r="PC87" s="43"/>
      <c r="PD87" s="43"/>
      <c r="PE87" s="43"/>
      <c r="PF87" s="43"/>
      <c r="PG87" s="43"/>
      <c r="PH87" s="43"/>
      <c r="PI87" s="43"/>
      <c r="PJ87" s="43"/>
      <c r="PK87" s="43"/>
      <c r="PL87" s="43"/>
      <c r="PM87" s="43"/>
      <c r="PN87" s="43"/>
      <c r="PO87" s="43"/>
      <c r="PP87" s="43"/>
      <c r="PQ87" s="43"/>
      <c r="PR87" s="43"/>
      <c r="PS87" s="43"/>
      <c r="PT87" s="43"/>
      <c r="PU87" s="43"/>
      <c r="PV87" s="43"/>
      <c r="PW87" s="43"/>
      <c r="PX87" s="43"/>
      <c r="PY87" s="43"/>
      <c r="PZ87" s="43"/>
      <c r="QA87" s="43"/>
      <c r="QB87" s="43"/>
      <c r="QC87" s="43"/>
    </row>
    <row r="88" spans="1:445" x14ac:dyDescent="0.3">
      <c r="A88" s="85"/>
      <c r="B88" s="84"/>
      <c r="C88" s="84"/>
      <c r="D88" s="84"/>
      <c r="E88" s="84"/>
      <c r="F88" s="84"/>
      <c r="G88" s="84"/>
      <c r="H88" s="84"/>
      <c r="I88" s="84"/>
      <c r="J88" s="89"/>
      <c r="K88" s="84"/>
      <c r="L88" s="84"/>
      <c r="M88" s="84"/>
      <c r="N88" s="84"/>
      <c r="O88" s="84"/>
      <c r="P88" s="84"/>
      <c r="Q88" s="84"/>
      <c r="R88" s="84"/>
      <c r="S88" s="84"/>
      <c r="T88" s="46" t="str">
        <f t="shared" si="9"/>
        <v/>
      </c>
      <c r="U88" s="46" t="str">
        <f t="shared" si="10"/>
        <v/>
      </c>
      <c r="V88" s="72" t="str">
        <f t="shared" si="11"/>
        <v/>
      </c>
      <c r="W88" s="48"/>
      <c r="X88" s="73" t="str">
        <f t="shared" si="12"/>
        <v/>
      </c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43"/>
      <c r="BN88" s="43"/>
      <c r="BO88" s="43"/>
      <c r="BP88" s="43"/>
      <c r="BQ88" s="43"/>
      <c r="BR88" s="43"/>
      <c r="BS88" s="43"/>
      <c r="BT88" s="43"/>
      <c r="BU88" s="43"/>
      <c r="BV88" s="43"/>
      <c r="BW88" s="43"/>
      <c r="BX88" s="43"/>
      <c r="BY88" s="43"/>
      <c r="BZ88" s="43"/>
      <c r="CA88" s="43"/>
      <c r="CB88" s="43"/>
      <c r="CC88" s="43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43"/>
      <c r="CY88" s="43"/>
      <c r="CZ88" s="43"/>
      <c r="DA88" s="43"/>
      <c r="DB88" s="43"/>
      <c r="DC88" s="43"/>
      <c r="DD88" s="43"/>
      <c r="DE88" s="43"/>
      <c r="DF88" s="43"/>
      <c r="DG88" s="43"/>
      <c r="DH88" s="43"/>
      <c r="DI88" s="43"/>
      <c r="DJ88" s="43"/>
      <c r="DK88" s="43"/>
      <c r="DL88" s="43"/>
      <c r="DM88" s="43"/>
      <c r="DN88" s="43"/>
      <c r="DO88" s="43"/>
      <c r="DP88" s="43"/>
      <c r="DQ88" s="43"/>
      <c r="DR88" s="43"/>
      <c r="DS88" s="43"/>
      <c r="DT88" s="43"/>
      <c r="DU88" s="43"/>
      <c r="DV88" s="43"/>
      <c r="DW88" s="43"/>
      <c r="DX88" s="43"/>
      <c r="DY88" s="43"/>
      <c r="DZ88" s="43"/>
      <c r="EA88" s="43"/>
      <c r="EB88" s="43"/>
      <c r="EC88" s="43"/>
      <c r="ED88" s="43"/>
      <c r="EE88" s="43"/>
      <c r="EF88" s="43"/>
      <c r="EG88" s="43"/>
      <c r="EH88" s="43"/>
      <c r="EI88" s="43"/>
      <c r="EJ88" s="43"/>
      <c r="EK88" s="43"/>
      <c r="EL88" s="43"/>
      <c r="EM88" s="43"/>
      <c r="EN88" s="43"/>
      <c r="EO88" s="43"/>
      <c r="EP88" s="43"/>
      <c r="EQ88" s="43"/>
      <c r="ER88" s="43"/>
      <c r="ES88" s="43"/>
      <c r="ET88" s="43"/>
      <c r="EU88" s="43"/>
      <c r="EV88" s="43"/>
      <c r="EW88" s="43"/>
      <c r="EX88" s="43"/>
      <c r="EY88" s="43"/>
      <c r="EZ88" s="43"/>
      <c r="FA88" s="43"/>
      <c r="FB88" s="43"/>
      <c r="FC88" s="43"/>
      <c r="FD88" s="43"/>
      <c r="FE88" s="43"/>
      <c r="FF88" s="43"/>
      <c r="FG88" s="43"/>
      <c r="FH88" s="43"/>
      <c r="FI88" s="43"/>
      <c r="FJ88" s="43"/>
      <c r="FK88" s="43"/>
      <c r="FL88" s="43"/>
      <c r="FM88" s="43"/>
      <c r="FN88" s="43"/>
      <c r="FO88" s="43"/>
      <c r="FP88" s="43"/>
      <c r="FQ88" s="43"/>
      <c r="FR88" s="43"/>
      <c r="FS88" s="43"/>
      <c r="FT88" s="43"/>
      <c r="FU88" s="43"/>
      <c r="FV88" s="43"/>
      <c r="FW88" s="43"/>
      <c r="FX88" s="43"/>
      <c r="FY88" s="43"/>
      <c r="FZ88" s="43"/>
      <c r="GA88" s="43"/>
      <c r="GB88" s="43"/>
      <c r="GC88" s="43"/>
      <c r="GD88" s="43"/>
      <c r="GE88" s="43"/>
      <c r="GF88" s="43"/>
      <c r="GG88" s="43"/>
      <c r="GH88" s="43"/>
      <c r="GI88" s="43"/>
      <c r="GJ88" s="43"/>
      <c r="GK88" s="43"/>
      <c r="GL88" s="43"/>
      <c r="GM88" s="43"/>
      <c r="GN88" s="43"/>
      <c r="GO88" s="43"/>
      <c r="GP88" s="43"/>
      <c r="GQ88" s="43"/>
      <c r="GR88" s="43"/>
      <c r="GS88" s="43"/>
      <c r="GT88" s="43"/>
      <c r="GU88" s="43"/>
      <c r="GV88" s="43"/>
      <c r="GW88" s="43"/>
      <c r="GX88" s="43"/>
      <c r="GY88" s="43"/>
      <c r="GZ88" s="43"/>
      <c r="HA88" s="43"/>
      <c r="HB88" s="43"/>
      <c r="HC88" s="43"/>
      <c r="HD88" s="43"/>
      <c r="HE88" s="43"/>
      <c r="HF88" s="43"/>
      <c r="HG88" s="43"/>
      <c r="HH88" s="43"/>
      <c r="HI88" s="43"/>
      <c r="HJ88" s="43"/>
      <c r="HK88" s="43"/>
      <c r="HL88" s="43"/>
      <c r="HM88" s="43"/>
      <c r="HN88" s="43"/>
      <c r="HO88" s="43"/>
      <c r="HP88" s="43"/>
      <c r="HQ88" s="43"/>
      <c r="HR88" s="43"/>
      <c r="HS88" s="43"/>
      <c r="HT88" s="43"/>
      <c r="HU88" s="43"/>
      <c r="HV88" s="43"/>
      <c r="HW88" s="43"/>
      <c r="HX88" s="43"/>
      <c r="HY88" s="43"/>
      <c r="HZ88" s="43"/>
      <c r="IA88" s="43"/>
      <c r="IB88" s="43"/>
      <c r="IC88" s="43"/>
      <c r="ID88" s="43"/>
      <c r="IE88" s="43"/>
      <c r="IF88" s="43"/>
      <c r="IG88" s="43"/>
      <c r="IH88" s="43"/>
      <c r="II88" s="43"/>
      <c r="IJ88" s="43"/>
      <c r="IK88" s="43"/>
      <c r="IL88" s="43"/>
      <c r="IM88" s="43"/>
      <c r="IN88" s="43"/>
      <c r="IO88" s="43"/>
      <c r="IP88" s="43"/>
      <c r="IQ88" s="43"/>
      <c r="IR88" s="43"/>
      <c r="IS88" s="43"/>
      <c r="IT88" s="43"/>
      <c r="IU88" s="43"/>
      <c r="IV88" s="43"/>
      <c r="IW88" s="43"/>
      <c r="IX88" s="43"/>
      <c r="IY88" s="43"/>
      <c r="IZ88" s="43"/>
      <c r="JA88" s="43"/>
      <c r="JB88" s="43"/>
      <c r="JC88" s="43"/>
      <c r="JD88" s="43"/>
      <c r="JE88" s="43"/>
      <c r="JF88" s="43"/>
      <c r="JG88" s="43"/>
      <c r="JH88" s="43"/>
      <c r="JI88" s="43"/>
      <c r="JJ88" s="43"/>
      <c r="JK88" s="43"/>
      <c r="JL88" s="43"/>
      <c r="JM88" s="43"/>
      <c r="JN88" s="43"/>
      <c r="JO88" s="43"/>
      <c r="JP88" s="43"/>
      <c r="JQ88" s="43"/>
      <c r="JR88" s="43"/>
      <c r="JS88" s="43"/>
      <c r="JT88" s="43"/>
      <c r="JU88" s="43"/>
      <c r="JV88" s="43"/>
      <c r="JW88" s="43"/>
      <c r="JX88" s="43"/>
      <c r="JY88" s="43"/>
      <c r="JZ88" s="43"/>
      <c r="KA88" s="43"/>
      <c r="KB88" s="43"/>
      <c r="KC88" s="43"/>
      <c r="KD88" s="43"/>
      <c r="KE88" s="43"/>
      <c r="KF88" s="43"/>
      <c r="KG88" s="43"/>
      <c r="KH88" s="43"/>
      <c r="KI88" s="43"/>
      <c r="KJ88" s="43"/>
      <c r="KK88" s="43"/>
      <c r="KL88" s="43"/>
      <c r="KM88" s="43"/>
      <c r="KN88" s="43"/>
      <c r="KO88" s="43"/>
      <c r="KP88" s="43"/>
      <c r="KQ88" s="43"/>
      <c r="KR88" s="43"/>
      <c r="KS88" s="43"/>
      <c r="KT88" s="43"/>
      <c r="KU88" s="43"/>
      <c r="KV88" s="43"/>
      <c r="KW88" s="43"/>
      <c r="KX88" s="43"/>
      <c r="KY88" s="43"/>
      <c r="KZ88" s="43"/>
      <c r="LA88" s="43"/>
      <c r="LB88" s="43"/>
      <c r="LC88" s="43"/>
      <c r="LD88" s="43"/>
      <c r="LE88" s="43"/>
      <c r="LF88" s="43"/>
      <c r="LG88" s="43"/>
      <c r="LH88" s="43"/>
      <c r="LI88" s="43"/>
      <c r="LJ88" s="43"/>
      <c r="LK88" s="43"/>
      <c r="LL88" s="43"/>
      <c r="LM88" s="43"/>
      <c r="LN88" s="43"/>
      <c r="LO88" s="43"/>
      <c r="LP88" s="43"/>
      <c r="LQ88" s="43"/>
      <c r="LR88" s="43"/>
      <c r="LS88" s="43"/>
      <c r="LT88" s="43"/>
      <c r="LU88" s="43"/>
      <c r="LV88" s="43"/>
      <c r="LW88" s="43"/>
      <c r="LX88" s="43"/>
      <c r="LY88" s="43"/>
      <c r="LZ88" s="43"/>
      <c r="MA88" s="43"/>
      <c r="MB88" s="43"/>
      <c r="MC88" s="43"/>
      <c r="MD88" s="43"/>
      <c r="ME88" s="43"/>
      <c r="MF88" s="43"/>
      <c r="MG88" s="43"/>
      <c r="MH88" s="43"/>
      <c r="MI88" s="43"/>
      <c r="MJ88" s="43"/>
      <c r="MK88" s="43"/>
      <c r="ML88" s="43"/>
      <c r="MM88" s="43"/>
      <c r="MN88" s="43"/>
      <c r="MO88" s="43"/>
      <c r="MP88" s="43"/>
      <c r="MQ88" s="43"/>
      <c r="MR88" s="43"/>
      <c r="MS88" s="43"/>
      <c r="MT88" s="43"/>
      <c r="MU88" s="43"/>
      <c r="MV88" s="43"/>
      <c r="MW88" s="43"/>
      <c r="MX88" s="43"/>
      <c r="MY88" s="43"/>
      <c r="MZ88" s="43"/>
      <c r="NA88" s="43"/>
      <c r="NB88" s="43"/>
      <c r="NC88" s="43"/>
      <c r="ND88" s="43"/>
      <c r="NE88" s="43"/>
      <c r="NF88" s="43"/>
      <c r="NG88" s="43"/>
      <c r="NH88" s="43"/>
      <c r="NI88" s="43"/>
      <c r="NJ88" s="43"/>
      <c r="NK88" s="43"/>
      <c r="NL88" s="43"/>
      <c r="NM88" s="43"/>
      <c r="NN88" s="43"/>
      <c r="NO88" s="43"/>
      <c r="NP88" s="43"/>
      <c r="NQ88" s="43"/>
      <c r="NR88" s="43"/>
      <c r="NS88" s="43"/>
      <c r="NT88" s="43"/>
      <c r="NU88" s="43"/>
      <c r="NV88" s="43"/>
      <c r="NW88" s="43"/>
      <c r="NX88" s="43"/>
      <c r="NY88" s="43"/>
      <c r="NZ88" s="43"/>
      <c r="OA88" s="43"/>
      <c r="OB88" s="43"/>
      <c r="OC88" s="43"/>
      <c r="OD88" s="43"/>
      <c r="OE88" s="43"/>
      <c r="OF88" s="43"/>
      <c r="OG88" s="43"/>
      <c r="OH88" s="43"/>
      <c r="OI88" s="43"/>
      <c r="OJ88" s="43"/>
      <c r="OK88" s="43"/>
      <c r="OL88" s="43"/>
      <c r="OM88" s="43"/>
      <c r="ON88" s="43"/>
      <c r="OO88" s="43"/>
      <c r="OP88" s="43"/>
      <c r="OQ88" s="43"/>
      <c r="OR88" s="43"/>
      <c r="OS88" s="43"/>
      <c r="OT88" s="43"/>
      <c r="OU88" s="43"/>
      <c r="OV88" s="43"/>
      <c r="OW88" s="43"/>
      <c r="OX88" s="43"/>
      <c r="OY88" s="43"/>
      <c r="OZ88" s="43"/>
      <c r="PA88" s="43"/>
      <c r="PB88" s="43"/>
      <c r="PC88" s="43"/>
      <c r="PD88" s="43"/>
      <c r="PE88" s="43"/>
      <c r="PF88" s="43"/>
      <c r="PG88" s="43"/>
      <c r="PH88" s="43"/>
      <c r="PI88" s="43"/>
      <c r="PJ88" s="43"/>
      <c r="PK88" s="43"/>
      <c r="PL88" s="43"/>
      <c r="PM88" s="43"/>
      <c r="PN88" s="43"/>
      <c r="PO88" s="43"/>
      <c r="PP88" s="43"/>
      <c r="PQ88" s="43"/>
      <c r="PR88" s="43"/>
      <c r="PS88" s="43"/>
      <c r="PT88" s="43"/>
      <c r="PU88" s="43"/>
      <c r="PV88" s="43"/>
      <c r="PW88" s="43"/>
      <c r="PX88" s="43"/>
      <c r="PY88" s="43"/>
      <c r="PZ88" s="43"/>
      <c r="QA88" s="43"/>
      <c r="QB88" s="43"/>
      <c r="QC88" s="43"/>
    </row>
    <row r="89" spans="1:445" x14ac:dyDescent="0.3">
      <c r="A89" s="85"/>
      <c r="B89" s="84"/>
      <c r="C89" s="84"/>
      <c r="D89" s="84"/>
      <c r="E89" s="84"/>
      <c r="F89" s="84"/>
      <c r="G89" s="84"/>
      <c r="H89" s="84"/>
      <c r="I89" s="84"/>
      <c r="J89" s="88"/>
      <c r="K89" s="84"/>
      <c r="L89" s="84"/>
      <c r="M89" s="84"/>
      <c r="N89" s="84"/>
      <c r="O89" s="84"/>
      <c r="P89" s="84"/>
      <c r="Q89" s="84"/>
      <c r="R89" s="84"/>
      <c r="S89" s="84"/>
      <c r="T89" s="46" t="str">
        <f t="shared" si="9"/>
        <v/>
      </c>
      <c r="U89" s="46" t="str">
        <f t="shared" si="10"/>
        <v/>
      </c>
      <c r="V89" s="72" t="str">
        <f t="shared" si="11"/>
        <v/>
      </c>
      <c r="W89" s="48"/>
      <c r="X89" s="73" t="str">
        <f t="shared" si="12"/>
        <v/>
      </c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43"/>
      <c r="BN89" s="43"/>
      <c r="BO89" s="43"/>
      <c r="BP89" s="43"/>
      <c r="BQ89" s="43"/>
      <c r="BR89" s="43"/>
      <c r="BS89" s="43"/>
      <c r="BT89" s="43"/>
      <c r="BU89" s="43"/>
      <c r="BV89" s="43"/>
      <c r="BW89" s="43"/>
      <c r="BX89" s="43"/>
      <c r="BY89" s="43"/>
      <c r="BZ89" s="43"/>
      <c r="CA89" s="43"/>
      <c r="CB89" s="43"/>
      <c r="CC89" s="43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43"/>
      <c r="CY89" s="43"/>
      <c r="CZ89" s="43"/>
      <c r="DA89" s="43"/>
      <c r="DB89" s="43"/>
      <c r="DC89" s="43"/>
      <c r="DD89" s="43"/>
      <c r="DE89" s="43"/>
      <c r="DF89" s="43"/>
      <c r="DG89" s="43"/>
      <c r="DH89" s="43"/>
      <c r="DI89" s="43"/>
      <c r="DJ89" s="43"/>
      <c r="DK89" s="43"/>
      <c r="DL89" s="43"/>
      <c r="DM89" s="43"/>
      <c r="DN89" s="43"/>
      <c r="DO89" s="43"/>
      <c r="DP89" s="43"/>
      <c r="DQ89" s="43"/>
      <c r="DR89" s="43"/>
      <c r="DS89" s="43"/>
      <c r="DT89" s="43"/>
      <c r="DU89" s="43"/>
      <c r="DV89" s="43"/>
      <c r="DW89" s="43"/>
      <c r="DX89" s="43"/>
      <c r="DY89" s="43"/>
      <c r="DZ89" s="43"/>
      <c r="EA89" s="43"/>
      <c r="EB89" s="43"/>
      <c r="EC89" s="43"/>
      <c r="ED89" s="43"/>
      <c r="EE89" s="43"/>
      <c r="EF89" s="43"/>
      <c r="EG89" s="43"/>
      <c r="EH89" s="43"/>
      <c r="EI89" s="43"/>
      <c r="EJ89" s="43"/>
      <c r="EK89" s="43"/>
      <c r="EL89" s="43"/>
      <c r="EM89" s="43"/>
      <c r="EN89" s="43"/>
      <c r="EO89" s="43"/>
      <c r="EP89" s="43"/>
      <c r="EQ89" s="43"/>
      <c r="ER89" s="43"/>
      <c r="ES89" s="43"/>
      <c r="ET89" s="43"/>
      <c r="EU89" s="43"/>
      <c r="EV89" s="43"/>
      <c r="EW89" s="43"/>
      <c r="EX89" s="43"/>
      <c r="EY89" s="43"/>
      <c r="EZ89" s="43"/>
      <c r="FA89" s="43"/>
      <c r="FB89" s="43"/>
      <c r="FC89" s="43"/>
      <c r="FD89" s="43"/>
      <c r="FE89" s="43"/>
      <c r="FF89" s="43"/>
      <c r="FG89" s="43"/>
      <c r="FH89" s="43"/>
      <c r="FI89" s="43"/>
      <c r="FJ89" s="43"/>
      <c r="FK89" s="43"/>
      <c r="FL89" s="43"/>
      <c r="FM89" s="43"/>
      <c r="FN89" s="43"/>
      <c r="FO89" s="43"/>
      <c r="FP89" s="43"/>
      <c r="FQ89" s="43"/>
      <c r="FR89" s="43"/>
      <c r="FS89" s="43"/>
      <c r="FT89" s="43"/>
      <c r="FU89" s="43"/>
      <c r="FV89" s="43"/>
      <c r="FW89" s="43"/>
      <c r="FX89" s="43"/>
      <c r="FY89" s="43"/>
      <c r="FZ89" s="43"/>
      <c r="GA89" s="43"/>
      <c r="GB89" s="43"/>
      <c r="GC89" s="43"/>
      <c r="GD89" s="43"/>
      <c r="GE89" s="43"/>
      <c r="GF89" s="43"/>
      <c r="GG89" s="43"/>
      <c r="GH89" s="43"/>
      <c r="GI89" s="43"/>
      <c r="GJ89" s="43"/>
      <c r="GK89" s="43"/>
      <c r="GL89" s="43"/>
      <c r="GM89" s="43"/>
      <c r="GN89" s="43"/>
      <c r="GO89" s="43"/>
      <c r="GP89" s="43"/>
      <c r="GQ89" s="43"/>
      <c r="GR89" s="43"/>
      <c r="GS89" s="43"/>
      <c r="GT89" s="43"/>
      <c r="GU89" s="43"/>
      <c r="GV89" s="43"/>
      <c r="GW89" s="43"/>
      <c r="GX89" s="43"/>
      <c r="GY89" s="43"/>
      <c r="GZ89" s="43"/>
      <c r="HA89" s="43"/>
      <c r="HB89" s="43"/>
      <c r="HC89" s="43"/>
      <c r="HD89" s="43"/>
      <c r="HE89" s="43"/>
      <c r="HF89" s="43"/>
      <c r="HG89" s="43"/>
      <c r="HH89" s="43"/>
      <c r="HI89" s="43"/>
      <c r="HJ89" s="43"/>
      <c r="HK89" s="43"/>
      <c r="HL89" s="43"/>
      <c r="HM89" s="43"/>
      <c r="HN89" s="43"/>
      <c r="HO89" s="43"/>
      <c r="HP89" s="43"/>
      <c r="HQ89" s="43"/>
      <c r="HR89" s="43"/>
      <c r="HS89" s="43"/>
      <c r="HT89" s="43"/>
      <c r="HU89" s="43"/>
      <c r="HV89" s="43"/>
      <c r="HW89" s="43"/>
      <c r="HX89" s="43"/>
      <c r="HY89" s="43"/>
      <c r="HZ89" s="43"/>
      <c r="IA89" s="43"/>
      <c r="IB89" s="43"/>
      <c r="IC89" s="43"/>
      <c r="ID89" s="43"/>
      <c r="IE89" s="43"/>
      <c r="IF89" s="43"/>
      <c r="IG89" s="43"/>
      <c r="IH89" s="43"/>
      <c r="II89" s="43"/>
      <c r="IJ89" s="43"/>
      <c r="IK89" s="43"/>
      <c r="IL89" s="43"/>
      <c r="IM89" s="43"/>
      <c r="IN89" s="43"/>
      <c r="IO89" s="43"/>
      <c r="IP89" s="43"/>
      <c r="IQ89" s="43"/>
      <c r="IR89" s="43"/>
      <c r="IS89" s="43"/>
      <c r="IT89" s="43"/>
      <c r="IU89" s="43"/>
      <c r="IV89" s="43"/>
      <c r="IW89" s="43"/>
      <c r="IX89" s="43"/>
      <c r="IY89" s="43"/>
      <c r="IZ89" s="43"/>
      <c r="JA89" s="43"/>
      <c r="JB89" s="43"/>
      <c r="JC89" s="43"/>
      <c r="JD89" s="43"/>
      <c r="JE89" s="43"/>
      <c r="JF89" s="43"/>
      <c r="JG89" s="43"/>
      <c r="JH89" s="43"/>
      <c r="JI89" s="43"/>
      <c r="JJ89" s="43"/>
      <c r="JK89" s="43"/>
      <c r="JL89" s="43"/>
      <c r="JM89" s="43"/>
      <c r="JN89" s="43"/>
      <c r="JO89" s="43"/>
      <c r="JP89" s="43"/>
      <c r="JQ89" s="43"/>
      <c r="JR89" s="43"/>
      <c r="JS89" s="43"/>
      <c r="JT89" s="43"/>
      <c r="JU89" s="43"/>
      <c r="JV89" s="43"/>
      <c r="JW89" s="43"/>
      <c r="JX89" s="43"/>
      <c r="JY89" s="43"/>
      <c r="JZ89" s="43"/>
      <c r="KA89" s="43"/>
      <c r="KB89" s="43"/>
      <c r="KC89" s="43"/>
      <c r="KD89" s="43"/>
      <c r="KE89" s="43"/>
      <c r="KF89" s="43"/>
      <c r="KG89" s="43"/>
      <c r="KH89" s="43"/>
      <c r="KI89" s="43"/>
      <c r="KJ89" s="43"/>
      <c r="KK89" s="43"/>
      <c r="KL89" s="43"/>
      <c r="KM89" s="43"/>
      <c r="KN89" s="43"/>
      <c r="KO89" s="43"/>
      <c r="KP89" s="43"/>
      <c r="KQ89" s="43"/>
      <c r="KR89" s="43"/>
      <c r="KS89" s="43"/>
      <c r="KT89" s="43"/>
      <c r="KU89" s="43"/>
      <c r="KV89" s="43"/>
      <c r="KW89" s="43"/>
      <c r="KX89" s="43"/>
      <c r="KY89" s="43"/>
      <c r="KZ89" s="43"/>
      <c r="LA89" s="43"/>
      <c r="LB89" s="43"/>
      <c r="LC89" s="43"/>
      <c r="LD89" s="43"/>
      <c r="LE89" s="43"/>
      <c r="LF89" s="43"/>
      <c r="LG89" s="43"/>
      <c r="LH89" s="43"/>
      <c r="LI89" s="43"/>
      <c r="LJ89" s="43"/>
      <c r="LK89" s="43"/>
      <c r="LL89" s="43"/>
      <c r="LM89" s="43"/>
      <c r="LN89" s="43"/>
      <c r="LO89" s="43"/>
      <c r="LP89" s="43"/>
      <c r="LQ89" s="43"/>
      <c r="LR89" s="43"/>
      <c r="LS89" s="43"/>
      <c r="LT89" s="43"/>
      <c r="LU89" s="43"/>
      <c r="LV89" s="43"/>
      <c r="LW89" s="43"/>
      <c r="LX89" s="43"/>
      <c r="LY89" s="43"/>
      <c r="LZ89" s="43"/>
      <c r="MA89" s="43"/>
      <c r="MB89" s="43"/>
      <c r="MC89" s="43"/>
      <c r="MD89" s="43"/>
      <c r="ME89" s="43"/>
      <c r="MF89" s="43"/>
      <c r="MG89" s="43"/>
      <c r="MH89" s="43"/>
      <c r="MI89" s="43"/>
      <c r="MJ89" s="43"/>
      <c r="MK89" s="43"/>
      <c r="ML89" s="43"/>
      <c r="MM89" s="43"/>
      <c r="MN89" s="43"/>
      <c r="MO89" s="43"/>
      <c r="MP89" s="43"/>
      <c r="MQ89" s="43"/>
      <c r="MR89" s="43"/>
      <c r="MS89" s="43"/>
      <c r="MT89" s="43"/>
      <c r="MU89" s="43"/>
      <c r="MV89" s="43"/>
      <c r="MW89" s="43"/>
      <c r="MX89" s="43"/>
      <c r="MY89" s="43"/>
      <c r="MZ89" s="43"/>
      <c r="NA89" s="43"/>
      <c r="NB89" s="43"/>
      <c r="NC89" s="43"/>
      <c r="ND89" s="43"/>
      <c r="NE89" s="43"/>
      <c r="NF89" s="43"/>
      <c r="NG89" s="43"/>
      <c r="NH89" s="43"/>
      <c r="NI89" s="43"/>
      <c r="NJ89" s="43"/>
      <c r="NK89" s="43"/>
      <c r="NL89" s="43"/>
      <c r="NM89" s="43"/>
      <c r="NN89" s="43"/>
      <c r="NO89" s="43"/>
      <c r="NP89" s="43"/>
      <c r="NQ89" s="43"/>
      <c r="NR89" s="43"/>
      <c r="NS89" s="43"/>
      <c r="NT89" s="43"/>
      <c r="NU89" s="43"/>
      <c r="NV89" s="43"/>
      <c r="NW89" s="43"/>
      <c r="NX89" s="43"/>
      <c r="NY89" s="43"/>
      <c r="NZ89" s="43"/>
      <c r="OA89" s="43"/>
      <c r="OB89" s="43"/>
      <c r="OC89" s="43"/>
      <c r="OD89" s="43"/>
      <c r="OE89" s="43"/>
      <c r="OF89" s="43"/>
      <c r="OG89" s="43"/>
      <c r="OH89" s="43"/>
      <c r="OI89" s="43"/>
      <c r="OJ89" s="43"/>
      <c r="OK89" s="43"/>
      <c r="OL89" s="43"/>
      <c r="OM89" s="43"/>
      <c r="ON89" s="43"/>
      <c r="OO89" s="43"/>
      <c r="OP89" s="43"/>
      <c r="OQ89" s="43"/>
      <c r="OR89" s="43"/>
      <c r="OS89" s="43"/>
      <c r="OT89" s="43"/>
      <c r="OU89" s="43"/>
      <c r="OV89" s="43"/>
      <c r="OW89" s="43"/>
      <c r="OX89" s="43"/>
      <c r="OY89" s="43"/>
      <c r="OZ89" s="43"/>
      <c r="PA89" s="43"/>
      <c r="PB89" s="43"/>
      <c r="PC89" s="43"/>
      <c r="PD89" s="43"/>
      <c r="PE89" s="43"/>
      <c r="PF89" s="43"/>
      <c r="PG89" s="43"/>
      <c r="PH89" s="43"/>
      <c r="PI89" s="43"/>
      <c r="PJ89" s="43"/>
      <c r="PK89" s="43"/>
      <c r="PL89" s="43"/>
      <c r="PM89" s="43"/>
      <c r="PN89" s="43"/>
      <c r="PO89" s="43"/>
      <c r="PP89" s="43"/>
      <c r="PQ89" s="43"/>
      <c r="PR89" s="43"/>
      <c r="PS89" s="43"/>
      <c r="PT89" s="43"/>
      <c r="PU89" s="43"/>
      <c r="PV89" s="43"/>
      <c r="PW89" s="43"/>
      <c r="PX89" s="43"/>
      <c r="PY89" s="43"/>
      <c r="PZ89" s="43"/>
      <c r="QA89" s="43"/>
      <c r="QB89" s="43"/>
      <c r="QC89" s="43"/>
    </row>
    <row r="90" spans="1:445" s="56" customFormat="1" x14ac:dyDescent="0.3">
      <c r="A90" s="85"/>
      <c r="B90" s="84"/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46" t="str">
        <f t="shared" si="9"/>
        <v/>
      </c>
      <c r="U90" s="46" t="str">
        <f t="shared" si="10"/>
        <v/>
      </c>
      <c r="V90" s="72" t="str">
        <f t="shared" si="11"/>
        <v/>
      </c>
      <c r="W90" s="48"/>
      <c r="X90" s="73" t="str">
        <f t="shared" si="12"/>
        <v/>
      </c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43"/>
      <c r="BN90" s="43"/>
      <c r="BO90" s="43"/>
      <c r="BP90" s="43"/>
      <c r="BQ90" s="43"/>
      <c r="BR90" s="43"/>
      <c r="BS90" s="43"/>
      <c r="BT90" s="43"/>
      <c r="BU90" s="43"/>
      <c r="BV90" s="43"/>
      <c r="BW90" s="43"/>
      <c r="BX90" s="43"/>
      <c r="BY90" s="43"/>
      <c r="BZ90" s="43"/>
      <c r="CA90" s="43"/>
      <c r="CB90" s="43"/>
      <c r="CC90" s="43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43"/>
      <c r="CY90" s="43"/>
      <c r="CZ90" s="43"/>
      <c r="DA90" s="43"/>
      <c r="DB90" s="43"/>
      <c r="DC90" s="43"/>
      <c r="DD90" s="43"/>
      <c r="DE90" s="43"/>
      <c r="DF90" s="43"/>
      <c r="DG90" s="43"/>
      <c r="DH90" s="43"/>
      <c r="DI90" s="43"/>
      <c r="DJ90" s="43"/>
      <c r="DK90" s="43"/>
      <c r="DL90" s="43"/>
      <c r="DM90" s="43"/>
      <c r="DN90" s="43"/>
      <c r="DO90" s="43"/>
      <c r="DP90" s="43"/>
      <c r="DQ90" s="43"/>
      <c r="DR90" s="43"/>
      <c r="DS90" s="43"/>
      <c r="DT90" s="43"/>
      <c r="DU90" s="43"/>
      <c r="DV90" s="43"/>
      <c r="DW90" s="43"/>
      <c r="DX90" s="43"/>
      <c r="DY90" s="43"/>
      <c r="DZ90" s="43"/>
      <c r="EA90" s="43"/>
      <c r="EB90" s="43"/>
      <c r="EC90" s="43"/>
      <c r="ED90" s="43"/>
      <c r="EE90" s="43"/>
      <c r="EF90" s="43"/>
      <c r="EG90" s="43"/>
      <c r="EH90" s="43"/>
      <c r="EI90" s="43"/>
      <c r="EJ90" s="43"/>
      <c r="EK90" s="43"/>
      <c r="EL90" s="43"/>
      <c r="EM90" s="43"/>
      <c r="EN90" s="43"/>
      <c r="EO90" s="43"/>
      <c r="EP90" s="43"/>
      <c r="EQ90" s="43"/>
      <c r="ER90" s="43"/>
      <c r="ES90" s="43"/>
      <c r="ET90" s="43"/>
      <c r="EU90" s="43"/>
      <c r="EV90" s="43"/>
      <c r="EW90" s="43"/>
      <c r="EX90" s="43"/>
      <c r="EY90" s="43"/>
      <c r="EZ90" s="43"/>
      <c r="FA90" s="43"/>
      <c r="FB90" s="43"/>
      <c r="FC90" s="43"/>
      <c r="FD90" s="43"/>
      <c r="FE90" s="43"/>
      <c r="FF90" s="43"/>
      <c r="FG90" s="43"/>
      <c r="FH90" s="43"/>
      <c r="FI90" s="43"/>
      <c r="FJ90" s="43"/>
      <c r="FK90" s="43"/>
      <c r="FL90" s="43"/>
      <c r="FM90" s="43"/>
      <c r="FN90" s="43"/>
      <c r="FO90" s="43"/>
      <c r="FP90" s="43"/>
      <c r="FQ90" s="43"/>
      <c r="FR90" s="43"/>
      <c r="FS90" s="43"/>
      <c r="FT90" s="43"/>
      <c r="FU90" s="43"/>
      <c r="FV90" s="43"/>
      <c r="FW90" s="43"/>
      <c r="FX90" s="43"/>
      <c r="FY90" s="43"/>
      <c r="FZ90" s="43"/>
      <c r="GA90" s="43"/>
      <c r="GB90" s="43"/>
      <c r="GC90" s="43"/>
      <c r="GD90" s="43"/>
      <c r="GE90" s="43"/>
      <c r="GF90" s="43"/>
      <c r="GG90" s="43"/>
      <c r="GH90" s="43"/>
      <c r="GI90" s="43"/>
      <c r="GJ90" s="43"/>
      <c r="GK90" s="43"/>
      <c r="GL90" s="43"/>
      <c r="GM90" s="43"/>
      <c r="GN90" s="43"/>
      <c r="GO90" s="43"/>
      <c r="GP90" s="43"/>
      <c r="GQ90" s="43"/>
      <c r="GR90" s="43"/>
      <c r="GS90" s="43"/>
      <c r="GT90" s="43"/>
      <c r="GU90" s="43"/>
      <c r="GV90" s="43"/>
      <c r="GW90" s="43"/>
      <c r="GX90" s="43"/>
      <c r="GY90" s="43"/>
      <c r="GZ90" s="43"/>
      <c r="HA90" s="43"/>
      <c r="HB90" s="43"/>
      <c r="HC90" s="43"/>
      <c r="HD90" s="43"/>
      <c r="HE90" s="43"/>
      <c r="HF90" s="43"/>
      <c r="HG90" s="43"/>
      <c r="HH90" s="43"/>
      <c r="HI90" s="43"/>
      <c r="HJ90" s="43"/>
      <c r="HK90" s="43"/>
      <c r="HL90" s="43"/>
      <c r="HM90" s="43"/>
      <c r="HN90" s="43"/>
      <c r="HO90" s="43"/>
      <c r="HP90" s="43"/>
      <c r="HQ90" s="43"/>
      <c r="HR90" s="43"/>
      <c r="HS90" s="43"/>
      <c r="HT90" s="43"/>
      <c r="HU90" s="43"/>
      <c r="HV90" s="43"/>
      <c r="HW90" s="43"/>
      <c r="HX90" s="43"/>
      <c r="HY90" s="43"/>
      <c r="HZ90" s="43"/>
      <c r="IA90" s="43"/>
      <c r="IB90" s="43"/>
      <c r="IC90" s="43"/>
      <c r="ID90" s="43"/>
      <c r="IE90" s="43"/>
      <c r="IF90" s="43"/>
      <c r="IG90" s="43"/>
      <c r="IH90" s="43"/>
      <c r="II90" s="43"/>
      <c r="IJ90" s="43"/>
      <c r="IK90" s="43"/>
      <c r="IL90" s="43"/>
      <c r="IM90" s="43"/>
      <c r="IN90" s="43"/>
      <c r="IO90" s="43"/>
      <c r="IP90" s="43"/>
      <c r="IQ90" s="43"/>
      <c r="IR90" s="43"/>
      <c r="IS90" s="43"/>
      <c r="IT90" s="43"/>
      <c r="IU90" s="43"/>
      <c r="IV90" s="43"/>
      <c r="IW90" s="43"/>
      <c r="IX90" s="43"/>
      <c r="IY90" s="43"/>
      <c r="IZ90" s="43"/>
      <c r="JA90" s="43"/>
      <c r="JB90" s="43"/>
      <c r="JC90" s="43"/>
      <c r="JD90" s="43"/>
      <c r="JE90" s="43"/>
      <c r="JF90" s="43"/>
      <c r="JG90" s="43"/>
      <c r="JH90" s="43"/>
      <c r="JI90" s="43"/>
      <c r="JJ90" s="43"/>
      <c r="JK90" s="43"/>
      <c r="JL90" s="43"/>
      <c r="JM90" s="43"/>
      <c r="JN90" s="43"/>
      <c r="JO90" s="43"/>
      <c r="JP90" s="43"/>
      <c r="JQ90" s="43"/>
      <c r="JR90" s="43"/>
      <c r="JS90" s="43"/>
      <c r="JT90" s="43"/>
      <c r="JU90" s="43"/>
      <c r="JV90" s="43"/>
      <c r="JW90" s="43"/>
      <c r="JX90" s="43"/>
      <c r="JY90" s="43"/>
      <c r="JZ90" s="43"/>
      <c r="KA90" s="43"/>
      <c r="KB90" s="43"/>
      <c r="KC90" s="43"/>
      <c r="KD90" s="43"/>
      <c r="KE90" s="43"/>
      <c r="KF90" s="43"/>
      <c r="KG90" s="43"/>
      <c r="KH90" s="43"/>
      <c r="KI90" s="43"/>
      <c r="KJ90" s="43"/>
      <c r="KK90" s="43"/>
      <c r="KL90" s="43"/>
      <c r="KM90" s="43"/>
      <c r="KN90" s="43"/>
      <c r="KO90" s="43"/>
      <c r="KP90" s="43"/>
      <c r="KQ90" s="43"/>
      <c r="KR90" s="43"/>
      <c r="KS90" s="43"/>
      <c r="KT90" s="43"/>
      <c r="KU90" s="43"/>
      <c r="KV90" s="43"/>
      <c r="KW90" s="43"/>
      <c r="KX90" s="43"/>
      <c r="KY90" s="43"/>
      <c r="KZ90" s="43"/>
      <c r="LA90" s="43"/>
      <c r="LB90" s="43"/>
      <c r="LC90" s="43"/>
      <c r="LD90" s="43"/>
      <c r="LE90" s="43"/>
      <c r="LF90" s="43"/>
      <c r="LG90" s="43"/>
      <c r="LH90" s="43"/>
      <c r="LI90" s="43"/>
      <c r="LJ90" s="43"/>
      <c r="LK90" s="43"/>
      <c r="LL90" s="43"/>
      <c r="LM90" s="43"/>
      <c r="LN90" s="43"/>
      <c r="LO90" s="43"/>
      <c r="LP90" s="43"/>
      <c r="LQ90" s="43"/>
      <c r="LR90" s="43"/>
      <c r="LS90" s="43"/>
      <c r="LT90" s="43"/>
      <c r="LU90" s="43"/>
      <c r="LV90" s="43"/>
      <c r="LW90" s="43"/>
      <c r="LX90" s="43"/>
      <c r="LY90" s="43"/>
      <c r="LZ90" s="43"/>
      <c r="MA90" s="43"/>
      <c r="MB90" s="43"/>
      <c r="MC90" s="43"/>
      <c r="MD90" s="43"/>
      <c r="ME90" s="43"/>
      <c r="MF90" s="43"/>
      <c r="MG90" s="43"/>
      <c r="MH90" s="43"/>
      <c r="MI90" s="43"/>
      <c r="MJ90" s="43"/>
      <c r="MK90" s="43"/>
      <c r="ML90" s="43"/>
      <c r="MM90" s="43"/>
      <c r="MN90" s="43"/>
      <c r="MO90" s="43"/>
      <c r="MP90" s="43"/>
      <c r="MQ90" s="43"/>
      <c r="MR90" s="43"/>
      <c r="MS90" s="43"/>
      <c r="MT90" s="43"/>
      <c r="MU90" s="43"/>
      <c r="MV90" s="43"/>
      <c r="MW90" s="43"/>
      <c r="MX90" s="43"/>
      <c r="MY90" s="43"/>
      <c r="MZ90" s="43"/>
      <c r="NA90" s="43"/>
      <c r="NB90" s="43"/>
      <c r="NC90" s="43"/>
      <c r="ND90" s="43"/>
      <c r="NE90" s="43"/>
      <c r="NF90" s="43"/>
      <c r="NG90" s="43"/>
      <c r="NH90" s="43"/>
      <c r="NI90" s="43"/>
      <c r="NJ90" s="43"/>
      <c r="NK90" s="43"/>
      <c r="NL90" s="43"/>
      <c r="NM90" s="43"/>
      <c r="NN90" s="43"/>
      <c r="NO90" s="43"/>
      <c r="NP90" s="43"/>
      <c r="NQ90" s="43"/>
      <c r="NR90" s="43"/>
      <c r="NS90" s="43"/>
      <c r="NT90" s="43"/>
      <c r="NU90" s="43"/>
      <c r="NV90" s="43"/>
      <c r="NW90" s="43"/>
      <c r="NX90" s="43"/>
      <c r="NY90" s="43"/>
      <c r="NZ90" s="43"/>
      <c r="OA90" s="43"/>
      <c r="OB90" s="43"/>
      <c r="OC90" s="43"/>
      <c r="OD90" s="43"/>
      <c r="OE90" s="43"/>
      <c r="OF90" s="43"/>
      <c r="OG90" s="43"/>
      <c r="OH90" s="43"/>
      <c r="OI90" s="43"/>
      <c r="OJ90" s="43"/>
      <c r="OK90" s="43"/>
      <c r="OL90" s="43"/>
      <c r="OM90" s="43"/>
      <c r="ON90" s="43"/>
      <c r="OO90" s="43"/>
      <c r="OP90" s="43"/>
      <c r="OQ90" s="43"/>
      <c r="OR90" s="43"/>
      <c r="OS90" s="43"/>
      <c r="OT90" s="43"/>
      <c r="OU90" s="43"/>
      <c r="OV90" s="43"/>
      <c r="OW90" s="43"/>
      <c r="OX90" s="43"/>
      <c r="OY90" s="43"/>
      <c r="OZ90" s="43"/>
      <c r="PA90" s="43"/>
      <c r="PB90" s="43"/>
      <c r="PC90" s="43"/>
      <c r="PD90" s="43"/>
      <c r="PE90" s="43"/>
      <c r="PF90" s="43"/>
      <c r="PG90" s="43"/>
      <c r="PH90" s="43"/>
      <c r="PI90" s="43"/>
      <c r="PJ90" s="43"/>
      <c r="PK90" s="43"/>
      <c r="PL90" s="43"/>
      <c r="PM90" s="43"/>
      <c r="PN90" s="43"/>
      <c r="PO90" s="43"/>
      <c r="PP90" s="43"/>
      <c r="PQ90" s="43"/>
      <c r="PR90" s="43"/>
      <c r="PS90" s="43"/>
      <c r="PT90" s="43"/>
      <c r="PU90" s="43"/>
      <c r="PV90" s="43"/>
      <c r="PW90" s="43"/>
      <c r="PX90" s="43"/>
      <c r="PY90" s="43"/>
      <c r="PZ90" s="43"/>
      <c r="QA90" s="43"/>
      <c r="QB90" s="43"/>
      <c r="QC90" s="43"/>
    </row>
    <row r="91" spans="1:445" x14ac:dyDescent="0.3">
      <c r="A91" s="85"/>
      <c r="B91" s="84"/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46" t="str">
        <f t="shared" si="9"/>
        <v/>
      </c>
      <c r="U91" s="46" t="str">
        <f t="shared" si="10"/>
        <v/>
      </c>
      <c r="V91" s="72" t="str">
        <f t="shared" si="11"/>
        <v/>
      </c>
      <c r="X91" s="73" t="str">
        <f t="shared" si="12"/>
        <v/>
      </c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43"/>
      <c r="BN91" s="43"/>
      <c r="BO91" s="43"/>
      <c r="BP91" s="43"/>
      <c r="BQ91" s="43"/>
      <c r="BR91" s="43"/>
      <c r="BS91" s="43"/>
      <c r="BT91" s="43"/>
      <c r="BU91" s="43"/>
      <c r="BV91" s="43"/>
      <c r="BW91" s="43"/>
      <c r="BX91" s="43"/>
      <c r="BY91" s="43"/>
      <c r="BZ91" s="43"/>
      <c r="CA91" s="43"/>
      <c r="CB91" s="43"/>
      <c r="CC91" s="43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43"/>
      <c r="CY91" s="43"/>
      <c r="CZ91" s="43"/>
      <c r="DA91" s="43"/>
      <c r="DB91" s="43"/>
      <c r="DC91" s="43"/>
      <c r="DD91" s="43"/>
      <c r="DE91" s="43"/>
      <c r="DF91" s="43"/>
      <c r="DG91" s="43"/>
      <c r="DH91" s="43"/>
      <c r="DI91" s="43"/>
      <c r="DJ91" s="43"/>
      <c r="DK91" s="43"/>
      <c r="DL91" s="43"/>
      <c r="DM91" s="43"/>
      <c r="DN91" s="43"/>
      <c r="DO91" s="43"/>
      <c r="DP91" s="43"/>
      <c r="DQ91" s="43"/>
      <c r="DR91" s="43"/>
      <c r="DS91" s="43"/>
      <c r="DT91" s="43"/>
      <c r="DU91" s="43"/>
      <c r="DV91" s="43"/>
      <c r="DW91" s="43"/>
      <c r="DX91" s="43"/>
      <c r="DY91" s="43"/>
      <c r="DZ91" s="43"/>
      <c r="EA91" s="43"/>
      <c r="EB91" s="43"/>
      <c r="EC91" s="43"/>
      <c r="ED91" s="43"/>
      <c r="EE91" s="43"/>
      <c r="EF91" s="43"/>
      <c r="EG91" s="43"/>
      <c r="EH91" s="43"/>
      <c r="EI91" s="43"/>
      <c r="EJ91" s="43"/>
      <c r="EK91" s="43"/>
      <c r="EL91" s="43"/>
      <c r="EM91" s="43"/>
      <c r="EN91" s="43"/>
      <c r="EO91" s="43"/>
      <c r="EP91" s="43"/>
      <c r="EQ91" s="43"/>
      <c r="ER91" s="43"/>
      <c r="ES91" s="43"/>
      <c r="ET91" s="43"/>
      <c r="EU91" s="43"/>
      <c r="EV91" s="43"/>
      <c r="EW91" s="43"/>
      <c r="EX91" s="43"/>
      <c r="EY91" s="43"/>
      <c r="EZ91" s="43"/>
      <c r="FA91" s="43"/>
      <c r="FB91" s="43"/>
      <c r="FC91" s="43"/>
      <c r="FD91" s="43"/>
      <c r="FE91" s="43"/>
      <c r="FF91" s="43"/>
      <c r="FG91" s="43"/>
      <c r="FH91" s="43"/>
      <c r="FI91" s="43"/>
      <c r="FJ91" s="43"/>
      <c r="FK91" s="43"/>
      <c r="FL91" s="43"/>
      <c r="FM91" s="43"/>
      <c r="FN91" s="43"/>
      <c r="FO91" s="43"/>
      <c r="FP91" s="43"/>
      <c r="FQ91" s="43"/>
      <c r="FR91" s="43"/>
      <c r="FS91" s="43"/>
      <c r="FT91" s="43"/>
      <c r="FU91" s="43"/>
      <c r="FV91" s="43"/>
      <c r="FW91" s="43"/>
      <c r="FX91" s="43"/>
      <c r="FY91" s="43"/>
      <c r="FZ91" s="43"/>
      <c r="GA91" s="43"/>
      <c r="GB91" s="43"/>
      <c r="GC91" s="43"/>
      <c r="GD91" s="43"/>
      <c r="GE91" s="43"/>
      <c r="GF91" s="43"/>
      <c r="GG91" s="43"/>
      <c r="GH91" s="43"/>
      <c r="GI91" s="43"/>
      <c r="GJ91" s="43"/>
      <c r="GK91" s="43"/>
      <c r="GL91" s="43"/>
      <c r="GM91" s="43"/>
      <c r="GN91" s="43"/>
      <c r="GO91" s="43"/>
      <c r="GP91" s="43"/>
      <c r="GQ91" s="43"/>
      <c r="GR91" s="43"/>
      <c r="GS91" s="43"/>
      <c r="GT91" s="43"/>
      <c r="GU91" s="43"/>
      <c r="GV91" s="43"/>
      <c r="GW91" s="43"/>
      <c r="GX91" s="43"/>
      <c r="GY91" s="43"/>
      <c r="GZ91" s="43"/>
      <c r="HA91" s="43"/>
      <c r="HB91" s="43"/>
      <c r="HC91" s="43"/>
      <c r="HD91" s="43"/>
      <c r="HE91" s="43"/>
      <c r="HF91" s="43"/>
      <c r="HG91" s="43"/>
      <c r="HH91" s="43"/>
      <c r="HI91" s="43"/>
      <c r="HJ91" s="43"/>
      <c r="HK91" s="43"/>
      <c r="HL91" s="43"/>
      <c r="HM91" s="43"/>
      <c r="HN91" s="43"/>
      <c r="HO91" s="43"/>
      <c r="HP91" s="43"/>
      <c r="HQ91" s="43"/>
      <c r="HR91" s="43"/>
      <c r="HS91" s="43"/>
      <c r="HT91" s="43"/>
      <c r="HU91" s="43"/>
      <c r="HV91" s="43"/>
      <c r="HW91" s="43"/>
      <c r="HX91" s="43"/>
      <c r="HY91" s="43"/>
      <c r="HZ91" s="43"/>
      <c r="IA91" s="43"/>
      <c r="IB91" s="43"/>
      <c r="IC91" s="43"/>
      <c r="ID91" s="43"/>
      <c r="IE91" s="43"/>
      <c r="IF91" s="43"/>
      <c r="IG91" s="43"/>
      <c r="IH91" s="43"/>
      <c r="II91" s="43"/>
      <c r="IJ91" s="43"/>
      <c r="IK91" s="43"/>
      <c r="IL91" s="43"/>
      <c r="IM91" s="43"/>
      <c r="IN91" s="43"/>
      <c r="IO91" s="43"/>
      <c r="IP91" s="43"/>
      <c r="IQ91" s="43"/>
      <c r="IR91" s="43"/>
      <c r="IS91" s="43"/>
      <c r="IT91" s="43"/>
      <c r="IU91" s="43"/>
      <c r="IV91" s="43"/>
      <c r="IW91" s="43"/>
      <c r="IX91" s="43"/>
      <c r="IY91" s="43"/>
      <c r="IZ91" s="43"/>
      <c r="JA91" s="43"/>
      <c r="JB91" s="43"/>
      <c r="JC91" s="43"/>
      <c r="JD91" s="43"/>
      <c r="JE91" s="43"/>
      <c r="JF91" s="43"/>
      <c r="JG91" s="43"/>
      <c r="JH91" s="43"/>
      <c r="JI91" s="43"/>
      <c r="JJ91" s="43"/>
      <c r="JK91" s="43"/>
      <c r="JL91" s="43"/>
      <c r="JM91" s="43"/>
      <c r="JN91" s="43"/>
      <c r="JO91" s="43"/>
      <c r="JP91" s="43"/>
      <c r="JQ91" s="43"/>
      <c r="JR91" s="43"/>
      <c r="JS91" s="43"/>
      <c r="JT91" s="43"/>
      <c r="JU91" s="43"/>
      <c r="JV91" s="43"/>
      <c r="JW91" s="43"/>
      <c r="JX91" s="43"/>
      <c r="JY91" s="43"/>
      <c r="JZ91" s="43"/>
      <c r="KA91" s="43"/>
      <c r="KB91" s="43"/>
      <c r="KC91" s="43"/>
      <c r="KD91" s="43"/>
      <c r="KE91" s="43"/>
      <c r="KF91" s="43"/>
      <c r="KG91" s="43"/>
      <c r="KH91" s="43"/>
      <c r="KI91" s="43"/>
      <c r="KJ91" s="43"/>
      <c r="KK91" s="43"/>
      <c r="KL91" s="43"/>
      <c r="KM91" s="43"/>
      <c r="KN91" s="43"/>
      <c r="KO91" s="43"/>
      <c r="KP91" s="43"/>
      <c r="KQ91" s="43"/>
      <c r="KR91" s="43"/>
      <c r="KS91" s="43"/>
      <c r="KT91" s="43"/>
      <c r="KU91" s="43"/>
      <c r="KV91" s="43"/>
      <c r="KW91" s="43"/>
      <c r="KX91" s="43"/>
      <c r="KY91" s="43"/>
      <c r="KZ91" s="43"/>
      <c r="LA91" s="43"/>
      <c r="LB91" s="43"/>
      <c r="LC91" s="43"/>
      <c r="LD91" s="43"/>
      <c r="LE91" s="43"/>
      <c r="LF91" s="43"/>
      <c r="LG91" s="43"/>
      <c r="LH91" s="43"/>
      <c r="LI91" s="43"/>
      <c r="LJ91" s="43"/>
      <c r="LK91" s="43"/>
      <c r="LL91" s="43"/>
      <c r="LM91" s="43"/>
      <c r="LN91" s="43"/>
      <c r="LO91" s="43"/>
      <c r="LP91" s="43"/>
      <c r="LQ91" s="43"/>
      <c r="LR91" s="43"/>
      <c r="LS91" s="43"/>
      <c r="LT91" s="43"/>
      <c r="LU91" s="43"/>
      <c r="LV91" s="43"/>
      <c r="LW91" s="43"/>
      <c r="LX91" s="43"/>
      <c r="LY91" s="43"/>
      <c r="LZ91" s="43"/>
      <c r="MA91" s="43"/>
      <c r="MB91" s="43"/>
      <c r="MC91" s="43"/>
      <c r="MD91" s="43"/>
      <c r="ME91" s="43"/>
      <c r="MF91" s="43"/>
      <c r="MG91" s="43"/>
      <c r="MH91" s="43"/>
      <c r="MI91" s="43"/>
      <c r="MJ91" s="43"/>
      <c r="MK91" s="43"/>
      <c r="ML91" s="43"/>
      <c r="MM91" s="43"/>
      <c r="MN91" s="43"/>
      <c r="MO91" s="43"/>
      <c r="MP91" s="43"/>
      <c r="MQ91" s="43"/>
      <c r="MR91" s="43"/>
      <c r="MS91" s="43"/>
      <c r="MT91" s="43"/>
      <c r="MU91" s="43"/>
      <c r="MV91" s="43"/>
      <c r="MW91" s="43"/>
      <c r="MX91" s="43"/>
      <c r="MY91" s="43"/>
      <c r="MZ91" s="43"/>
      <c r="NA91" s="43"/>
      <c r="NB91" s="43"/>
      <c r="NC91" s="43"/>
      <c r="ND91" s="43"/>
      <c r="NE91" s="43"/>
      <c r="NF91" s="43"/>
      <c r="NG91" s="43"/>
      <c r="NH91" s="43"/>
      <c r="NI91" s="43"/>
      <c r="NJ91" s="43"/>
      <c r="NK91" s="43"/>
      <c r="NL91" s="43"/>
      <c r="NM91" s="43"/>
      <c r="NN91" s="43"/>
      <c r="NO91" s="43"/>
      <c r="NP91" s="43"/>
      <c r="NQ91" s="43"/>
      <c r="NR91" s="43"/>
      <c r="NS91" s="43"/>
      <c r="NT91" s="43"/>
      <c r="NU91" s="43"/>
      <c r="NV91" s="43"/>
      <c r="NW91" s="43"/>
      <c r="NX91" s="43"/>
      <c r="NY91" s="43"/>
      <c r="NZ91" s="43"/>
      <c r="OA91" s="43"/>
      <c r="OB91" s="43"/>
      <c r="OC91" s="43"/>
      <c r="OD91" s="43"/>
      <c r="OE91" s="43"/>
      <c r="OF91" s="43"/>
      <c r="OG91" s="43"/>
      <c r="OH91" s="43"/>
      <c r="OI91" s="43"/>
      <c r="OJ91" s="43"/>
      <c r="OK91" s="43"/>
      <c r="OL91" s="43"/>
      <c r="OM91" s="43"/>
      <c r="ON91" s="43"/>
      <c r="OO91" s="43"/>
      <c r="OP91" s="43"/>
      <c r="OQ91" s="43"/>
      <c r="OR91" s="43"/>
      <c r="OS91" s="43"/>
      <c r="OT91" s="43"/>
      <c r="OU91" s="43"/>
      <c r="OV91" s="43"/>
      <c r="OW91" s="43"/>
      <c r="OX91" s="43"/>
      <c r="OY91" s="43"/>
      <c r="OZ91" s="43"/>
      <c r="PA91" s="43"/>
      <c r="PB91" s="43"/>
      <c r="PC91" s="43"/>
      <c r="PD91" s="43"/>
      <c r="PE91" s="43"/>
      <c r="PF91" s="43"/>
      <c r="PG91" s="43"/>
      <c r="PH91" s="43"/>
      <c r="PI91" s="43"/>
      <c r="PJ91" s="43"/>
      <c r="PK91" s="43"/>
      <c r="PL91" s="43"/>
      <c r="PM91" s="43"/>
      <c r="PN91" s="43"/>
      <c r="PO91" s="43"/>
      <c r="PP91" s="43"/>
      <c r="PQ91" s="43"/>
      <c r="PR91" s="43"/>
      <c r="PS91" s="43"/>
      <c r="PT91" s="43"/>
      <c r="PU91" s="43"/>
      <c r="PV91" s="43"/>
      <c r="PW91" s="43"/>
      <c r="PX91" s="43"/>
      <c r="PY91" s="43"/>
      <c r="PZ91" s="43"/>
      <c r="QA91" s="43"/>
      <c r="QB91" s="43"/>
      <c r="QC91" s="43"/>
    </row>
    <row r="92" spans="1:445" x14ac:dyDescent="0.3">
      <c r="A92" s="85"/>
      <c r="B92" s="84"/>
      <c r="C92" s="84"/>
      <c r="D92" s="84"/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46" t="str">
        <f t="shared" si="9"/>
        <v/>
      </c>
      <c r="U92" s="46" t="str">
        <f t="shared" si="10"/>
        <v/>
      </c>
      <c r="V92" s="72" t="str">
        <f t="shared" si="11"/>
        <v/>
      </c>
      <c r="X92" s="73" t="str">
        <f t="shared" si="12"/>
        <v/>
      </c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43"/>
      <c r="BN92" s="43"/>
      <c r="BO92" s="43"/>
      <c r="BP92" s="43"/>
      <c r="BQ92" s="43"/>
      <c r="BR92" s="43"/>
      <c r="BS92" s="43"/>
      <c r="BT92" s="43"/>
      <c r="BU92" s="43"/>
      <c r="BV92" s="43"/>
      <c r="BW92" s="43"/>
      <c r="BX92" s="43"/>
      <c r="BY92" s="43"/>
      <c r="BZ92" s="43"/>
      <c r="CA92" s="43"/>
      <c r="CB92" s="43"/>
      <c r="CC92" s="4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43"/>
      <c r="CY92" s="43"/>
      <c r="CZ92" s="43"/>
      <c r="DA92" s="43"/>
      <c r="DB92" s="43"/>
      <c r="DC92" s="43"/>
      <c r="DD92" s="43"/>
      <c r="DE92" s="43"/>
      <c r="DF92" s="43"/>
      <c r="DG92" s="43"/>
      <c r="DH92" s="43"/>
      <c r="DI92" s="43"/>
      <c r="DJ92" s="43"/>
      <c r="DK92" s="43"/>
      <c r="DL92" s="43"/>
      <c r="DM92" s="43"/>
      <c r="DN92" s="43"/>
      <c r="DO92" s="43"/>
      <c r="DP92" s="43"/>
      <c r="DQ92" s="43"/>
      <c r="DR92" s="43"/>
      <c r="DS92" s="43"/>
      <c r="DT92" s="43"/>
      <c r="DU92" s="43"/>
      <c r="DV92" s="43"/>
      <c r="DW92" s="43"/>
      <c r="DX92" s="43"/>
      <c r="DY92" s="43"/>
      <c r="DZ92" s="43"/>
      <c r="EA92" s="43"/>
      <c r="EB92" s="43"/>
      <c r="EC92" s="43"/>
      <c r="ED92" s="43"/>
      <c r="EE92" s="43"/>
      <c r="EF92" s="43"/>
      <c r="EG92" s="43"/>
      <c r="EH92" s="43"/>
      <c r="EI92" s="43"/>
      <c r="EJ92" s="43"/>
      <c r="EK92" s="43"/>
      <c r="EL92" s="43"/>
      <c r="EM92" s="43"/>
      <c r="EN92" s="43"/>
      <c r="EO92" s="43"/>
      <c r="EP92" s="43"/>
      <c r="EQ92" s="43"/>
      <c r="ER92" s="43"/>
      <c r="ES92" s="43"/>
      <c r="ET92" s="43"/>
      <c r="EU92" s="43"/>
      <c r="EV92" s="43"/>
      <c r="EW92" s="43"/>
      <c r="EX92" s="43"/>
      <c r="EY92" s="43"/>
      <c r="EZ92" s="43"/>
      <c r="FA92" s="43"/>
      <c r="FB92" s="43"/>
      <c r="FC92" s="43"/>
      <c r="FD92" s="43"/>
      <c r="FE92" s="43"/>
      <c r="FF92" s="43"/>
      <c r="FG92" s="43"/>
      <c r="FH92" s="43"/>
      <c r="FI92" s="43"/>
      <c r="FJ92" s="43"/>
      <c r="FK92" s="43"/>
      <c r="FL92" s="43"/>
      <c r="FM92" s="43"/>
      <c r="FN92" s="43"/>
      <c r="FO92" s="43"/>
      <c r="FP92" s="43"/>
      <c r="FQ92" s="43"/>
      <c r="FR92" s="43"/>
      <c r="FS92" s="43"/>
      <c r="FT92" s="43"/>
      <c r="FU92" s="43"/>
      <c r="FV92" s="43"/>
      <c r="FW92" s="43"/>
      <c r="FX92" s="43"/>
      <c r="FY92" s="43"/>
      <c r="FZ92" s="43"/>
      <c r="GA92" s="43"/>
      <c r="GB92" s="43"/>
      <c r="GC92" s="43"/>
      <c r="GD92" s="43"/>
      <c r="GE92" s="43"/>
      <c r="GF92" s="43"/>
      <c r="GG92" s="43"/>
      <c r="GH92" s="43"/>
      <c r="GI92" s="43"/>
      <c r="GJ92" s="43"/>
      <c r="GK92" s="43"/>
      <c r="GL92" s="43"/>
      <c r="GM92" s="43"/>
      <c r="GN92" s="43"/>
      <c r="GO92" s="43"/>
      <c r="GP92" s="43"/>
      <c r="GQ92" s="43"/>
      <c r="GR92" s="43"/>
      <c r="GS92" s="43"/>
      <c r="GT92" s="43"/>
      <c r="GU92" s="43"/>
      <c r="GV92" s="43"/>
      <c r="GW92" s="43"/>
      <c r="GX92" s="43"/>
      <c r="GY92" s="43"/>
      <c r="GZ92" s="43"/>
      <c r="HA92" s="43"/>
      <c r="HB92" s="43"/>
      <c r="HC92" s="43"/>
      <c r="HD92" s="43"/>
      <c r="HE92" s="43"/>
      <c r="HF92" s="43"/>
      <c r="HG92" s="43"/>
      <c r="HH92" s="43"/>
      <c r="HI92" s="43"/>
      <c r="HJ92" s="43"/>
      <c r="HK92" s="43"/>
      <c r="HL92" s="43"/>
      <c r="HM92" s="43"/>
      <c r="HN92" s="43"/>
      <c r="HO92" s="43"/>
      <c r="HP92" s="43"/>
      <c r="HQ92" s="43"/>
      <c r="HR92" s="43"/>
      <c r="HS92" s="43"/>
      <c r="HT92" s="43"/>
      <c r="HU92" s="43"/>
      <c r="HV92" s="43"/>
      <c r="HW92" s="43"/>
      <c r="HX92" s="43"/>
      <c r="HY92" s="43"/>
      <c r="HZ92" s="43"/>
      <c r="IA92" s="43"/>
      <c r="IB92" s="43"/>
      <c r="IC92" s="43"/>
      <c r="ID92" s="43"/>
      <c r="IE92" s="43"/>
      <c r="IF92" s="43"/>
      <c r="IG92" s="43"/>
      <c r="IH92" s="43"/>
      <c r="II92" s="43"/>
      <c r="IJ92" s="43"/>
      <c r="IK92" s="43"/>
      <c r="IL92" s="43"/>
      <c r="IM92" s="43"/>
      <c r="IN92" s="43"/>
      <c r="IO92" s="43"/>
      <c r="IP92" s="43"/>
      <c r="IQ92" s="43"/>
      <c r="IR92" s="43"/>
      <c r="IS92" s="43"/>
      <c r="IT92" s="43"/>
      <c r="IU92" s="43"/>
      <c r="IV92" s="43"/>
      <c r="IW92" s="43"/>
      <c r="IX92" s="43"/>
      <c r="IY92" s="43"/>
      <c r="IZ92" s="43"/>
      <c r="JA92" s="43"/>
      <c r="JB92" s="43"/>
      <c r="JC92" s="43"/>
      <c r="JD92" s="43"/>
      <c r="JE92" s="43"/>
      <c r="JF92" s="43"/>
      <c r="JG92" s="43"/>
      <c r="JH92" s="43"/>
      <c r="JI92" s="43"/>
      <c r="JJ92" s="43"/>
      <c r="JK92" s="43"/>
      <c r="JL92" s="43"/>
      <c r="JM92" s="43"/>
      <c r="JN92" s="43"/>
      <c r="JO92" s="43"/>
      <c r="JP92" s="43"/>
      <c r="JQ92" s="43"/>
      <c r="JR92" s="43"/>
      <c r="JS92" s="43"/>
      <c r="JT92" s="43"/>
      <c r="JU92" s="43"/>
      <c r="JV92" s="43"/>
      <c r="JW92" s="43"/>
      <c r="JX92" s="43"/>
      <c r="JY92" s="43"/>
      <c r="JZ92" s="43"/>
      <c r="KA92" s="43"/>
      <c r="KB92" s="43"/>
      <c r="KC92" s="43"/>
      <c r="KD92" s="43"/>
      <c r="KE92" s="43"/>
      <c r="KF92" s="43"/>
      <c r="KG92" s="43"/>
      <c r="KH92" s="43"/>
      <c r="KI92" s="43"/>
      <c r="KJ92" s="43"/>
      <c r="KK92" s="43"/>
      <c r="KL92" s="43"/>
      <c r="KM92" s="43"/>
      <c r="KN92" s="43"/>
      <c r="KO92" s="43"/>
      <c r="KP92" s="43"/>
      <c r="KQ92" s="43"/>
      <c r="KR92" s="43"/>
      <c r="KS92" s="43"/>
      <c r="KT92" s="43"/>
      <c r="KU92" s="43"/>
      <c r="KV92" s="43"/>
      <c r="KW92" s="43"/>
      <c r="KX92" s="43"/>
      <c r="KY92" s="43"/>
      <c r="KZ92" s="43"/>
      <c r="LA92" s="43"/>
      <c r="LB92" s="43"/>
      <c r="LC92" s="43"/>
      <c r="LD92" s="43"/>
      <c r="LE92" s="43"/>
      <c r="LF92" s="43"/>
      <c r="LG92" s="43"/>
      <c r="LH92" s="43"/>
      <c r="LI92" s="43"/>
      <c r="LJ92" s="43"/>
      <c r="LK92" s="43"/>
      <c r="LL92" s="43"/>
      <c r="LM92" s="43"/>
      <c r="LN92" s="43"/>
      <c r="LO92" s="43"/>
      <c r="LP92" s="43"/>
      <c r="LQ92" s="43"/>
      <c r="LR92" s="43"/>
      <c r="LS92" s="43"/>
      <c r="LT92" s="43"/>
      <c r="LU92" s="43"/>
      <c r="LV92" s="43"/>
      <c r="LW92" s="43"/>
      <c r="LX92" s="43"/>
      <c r="LY92" s="43"/>
      <c r="LZ92" s="43"/>
      <c r="MA92" s="43"/>
      <c r="MB92" s="43"/>
      <c r="MC92" s="43"/>
      <c r="MD92" s="43"/>
      <c r="ME92" s="43"/>
      <c r="MF92" s="43"/>
      <c r="MG92" s="43"/>
      <c r="MH92" s="43"/>
      <c r="MI92" s="43"/>
      <c r="MJ92" s="43"/>
      <c r="MK92" s="43"/>
      <c r="ML92" s="43"/>
      <c r="MM92" s="43"/>
      <c r="MN92" s="43"/>
      <c r="MO92" s="43"/>
      <c r="MP92" s="43"/>
      <c r="MQ92" s="43"/>
      <c r="MR92" s="43"/>
      <c r="MS92" s="43"/>
      <c r="MT92" s="43"/>
      <c r="MU92" s="43"/>
      <c r="MV92" s="43"/>
      <c r="MW92" s="43"/>
      <c r="MX92" s="43"/>
      <c r="MY92" s="43"/>
      <c r="MZ92" s="43"/>
      <c r="NA92" s="43"/>
      <c r="NB92" s="43"/>
      <c r="NC92" s="43"/>
      <c r="ND92" s="43"/>
      <c r="NE92" s="43"/>
      <c r="NF92" s="43"/>
      <c r="NG92" s="43"/>
      <c r="NH92" s="43"/>
      <c r="NI92" s="43"/>
      <c r="NJ92" s="43"/>
      <c r="NK92" s="43"/>
      <c r="NL92" s="43"/>
      <c r="NM92" s="43"/>
      <c r="NN92" s="43"/>
      <c r="NO92" s="43"/>
      <c r="NP92" s="43"/>
      <c r="NQ92" s="43"/>
      <c r="NR92" s="43"/>
      <c r="NS92" s="43"/>
      <c r="NT92" s="43"/>
      <c r="NU92" s="43"/>
      <c r="NV92" s="43"/>
      <c r="NW92" s="43"/>
      <c r="NX92" s="43"/>
      <c r="NY92" s="43"/>
      <c r="NZ92" s="43"/>
      <c r="OA92" s="43"/>
      <c r="OB92" s="43"/>
      <c r="OC92" s="43"/>
      <c r="OD92" s="43"/>
      <c r="OE92" s="43"/>
      <c r="OF92" s="43"/>
      <c r="OG92" s="43"/>
      <c r="OH92" s="43"/>
      <c r="OI92" s="43"/>
      <c r="OJ92" s="43"/>
      <c r="OK92" s="43"/>
      <c r="OL92" s="43"/>
      <c r="OM92" s="43"/>
      <c r="ON92" s="43"/>
      <c r="OO92" s="43"/>
      <c r="OP92" s="43"/>
      <c r="OQ92" s="43"/>
      <c r="OR92" s="43"/>
      <c r="OS92" s="43"/>
      <c r="OT92" s="43"/>
      <c r="OU92" s="43"/>
      <c r="OV92" s="43"/>
      <c r="OW92" s="43"/>
      <c r="OX92" s="43"/>
      <c r="OY92" s="43"/>
      <c r="OZ92" s="43"/>
      <c r="PA92" s="43"/>
      <c r="PB92" s="43"/>
      <c r="PC92" s="43"/>
      <c r="PD92" s="43"/>
      <c r="PE92" s="43"/>
      <c r="PF92" s="43"/>
      <c r="PG92" s="43"/>
      <c r="PH92" s="43"/>
      <c r="PI92" s="43"/>
      <c r="PJ92" s="43"/>
      <c r="PK92" s="43"/>
      <c r="PL92" s="43"/>
      <c r="PM92" s="43"/>
      <c r="PN92" s="43"/>
      <c r="PO92" s="43"/>
      <c r="PP92" s="43"/>
      <c r="PQ92" s="43"/>
      <c r="PR92" s="43"/>
      <c r="PS92" s="43"/>
      <c r="PT92" s="43"/>
      <c r="PU92" s="43"/>
      <c r="PV92" s="43"/>
      <c r="PW92" s="43"/>
      <c r="PX92" s="43"/>
      <c r="PY92" s="43"/>
      <c r="PZ92" s="43"/>
      <c r="QA92" s="43"/>
      <c r="QB92" s="43"/>
      <c r="QC92" s="43"/>
    </row>
    <row r="93" spans="1:445" x14ac:dyDescent="0.3">
      <c r="A93" s="85"/>
      <c r="B93" s="84"/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46" t="str">
        <f t="shared" si="9"/>
        <v/>
      </c>
      <c r="U93" s="46" t="str">
        <f t="shared" si="10"/>
        <v/>
      </c>
      <c r="V93" s="72" t="str">
        <f t="shared" si="11"/>
        <v/>
      </c>
      <c r="X93" s="73" t="str">
        <f t="shared" si="12"/>
        <v/>
      </c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43"/>
      <c r="BN93" s="43"/>
      <c r="BO93" s="43"/>
      <c r="BP93" s="43"/>
      <c r="BQ93" s="43"/>
      <c r="BR93" s="43"/>
      <c r="BS93" s="43"/>
      <c r="BT93" s="43"/>
      <c r="BU93" s="43"/>
      <c r="BV93" s="43"/>
      <c r="BW93" s="43"/>
      <c r="BX93" s="43"/>
      <c r="BY93" s="43"/>
      <c r="BZ93" s="43"/>
      <c r="CA93" s="43"/>
      <c r="CB93" s="43"/>
      <c r="CC93" s="43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43"/>
      <c r="CY93" s="43"/>
      <c r="CZ93" s="43"/>
      <c r="DA93" s="43"/>
      <c r="DB93" s="43"/>
      <c r="DC93" s="43"/>
      <c r="DD93" s="43"/>
      <c r="DE93" s="43"/>
      <c r="DF93" s="43"/>
      <c r="DG93" s="43"/>
      <c r="DH93" s="43"/>
      <c r="DI93" s="43"/>
      <c r="DJ93" s="43"/>
      <c r="DK93" s="43"/>
      <c r="DL93" s="43"/>
      <c r="DM93" s="43"/>
      <c r="DN93" s="43"/>
      <c r="DO93" s="43"/>
      <c r="DP93" s="43"/>
      <c r="DQ93" s="43"/>
      <c r="DR93" s="43"/>
      <c r="DS93" s="43"/>
      <c r="DT93" s="43"/>
      <c r="DU93" s="43"/>
      <c r="DV93" s="43"/>
      <c r="DW93" s="43"/>
      <c r="DX93" s="43"/>
      <c r="DY93" s="43"/>
      <c r="DZ93" s="43"/>
      <c r="EA93" s="43"/>
      <c r="EB93" s="43"/>
      <c r="EC93" s="43"/>
      <c r="ED93" s="43"/>
      <c r="EE93" s="43"/>
      <c r="EF93" s="43"/>
      <c r="EG93" s="43"/>
      <c r="EH93" s="43"/>
      <c r="EI93" s="43"/>
      <c r="EJ93" s="43"/>
      <c r="EK93" s="43"/>
      <c r="EL93" s="43"/>
      <c r="EM93" s="43"/>
      <c r="EN93" s="43"/>
      <c r="EO93" s="43"/>
      <c r="EP93" s="43"/>
      <c r="EQ93" s="43"/>
      <c r="ER93" s="43"/>
      <c r="ES93" s="43"/>
      <c r="ET93" s="43"/>
      <c r="EU93" s="43"/>
      <c r="EV93" s="43"/>
      <c r="EW93" s="43"/>
      <c r="EX93" s="43"/>
      <c r="EY93" s="43"/>
      <c r="EZ93" s="43"/>
      <c r="FA93" s="43"/>
      <c r="FB93" s="43"/>
      <c r="FC93" s="43"/>
      <c r="FD93" s="43"/>
      <c r="FE93" s="43"/>
      <c r="FF93" s="43"/>
      <c r="FG93" s="43"/>
      <c r="FH93" s="43"/>
      <c r="FI93" s="43"/>
      <c r="FJ93" s="43"/>
      <c r="FK93" s="43"/>
      <c r="FL93" s="43"/>
      <c r="FM93" s="43"/>
      <c r="FN93" s="43"/>
      <c r="FO93" s="43"/>
      <c r="FP93" s="43"/>
      <c r="FQ93" s="43"/>
      <c r="FR93" s="43"/>
      <c r="FS93" s="43"/>
      <c r="FT93" s="43"/>
      <c r="FU93" s="43"/>
      <c r="FV93" s="43"/>
      <c r="FW93" s="43"/>
      <c r="FX93" s="43"/>
      <c r="FY93" s="43"/>
      <c r="FZ93" s="43"/>
      <c r="GA93" s="43"/>
      <c r="GB93" s="43"/>
      <c r="GC93" s="43"/>
      <c r="GD93" s="43"/>
      <c r="GE93" s="43"/>
      <c r="GF93" s="43"/>
      <c r="GG93" s="43"/>
      <c r="GH93" s="43"/>
      <c r="GI93" s="43"/>
      <c r="GJ93" s="43"/>
      <c r="GK93" s="43"/>
      <c r="GL93" s="43"/>
      <c r="GM93" s="43"/>
      <c r="GN93" s="43"/>
      <c r="GO93" s="43"/>
      <c r="GP93" s="43"/>
      <c r="GQ93" s="43"/>
      <c r="GR93" s="43"/>
      <c r="GS93" s="43"/>
      <c r="GT93" s="43"/>
      <c r="GU93" s="43"/>
      <c r="GV93" s="43"/>
      <c r="GW93" s="43"/>
      <c r="GX93" s="43"/>
      <c r="GY93" s="43"/>
      <c r="GZ93" s="43"/>
      <c r="HA93" s="43"/>
      <c r="HB93" s="43"/>
      <c r="HC93" s="43"/>
      <c r="HD93" s="43"/>
      <c r="HE93" s="43"/>
      <c r="HF93" s="43"/>
      <c r="HG93" s="43"/>
      <c r="HH93" s="43"/>
      <c r="HI93" s="43"/>
      <c r="HJ93" s="43"/>
      <c r="HK93" s="43"/>
      <c r="HL93" s="43"/>
      <c r="HM93" s="43"/>
      <c r="HN93" s="43"/>
      <c r="HO93" s="43"/>
      <c r="HP93" s="43"/>
      <c r="HQ93" s="43"/>
      <c r="HR93" s="43"/>
      <c r="HS93" s="43"/>
      <c r="HT93" s="43"/>
      <c r="HU93" s="43"/>
      <c r="HV93" s="43"/>
      <c r="HW93" s="43"/>
      <c r="HX93" s="43"/>
      <c r="HY93" s="43"/>
      <c r="HZ93" s="43"/>
      <c r="IA93" s="43"/>
      <c r="IB93" s="43"/>
      <c r="IC93" s="43"/>
      <c r="ID93" s="43"/>
      <c r="IE93" s="43"/>
      <c r="IF93" s="43"/>
      <c r="IG93" s="43"/>
      <c r="IH93" s="43"/>
      <c r="II93" s="43"/>
      <c r="IJ93" s="43"/>
      <c r="IK93" s="43"/>
      <c r="IL93" s="43"/>
      <c r="IM93" s="43"/>
      <c r="IN93" s="43"/>
      <c r="IO93" s="43"/>
      <c r="IP93" s="43"/>
      <c r="IQ93" s="43"/>
      <c r="IR93" s="43"/>
      <c r="IS93" s="43"/>
      <c r="IT93" s="43"/>
      <c r="IU93" s="43"/>
      <c r="IV93" s="43"/>
      <c r="IW93" s="43"/>
      <c r="IX93" s="43"/>
      <c r="IY93" s="43"/>
      <c r="IZ93" s="43"/>
      <c r="JA93" s="43"/>
      <c r="JB93" s="43"/>
      <c r="JC93" s="43"/>
      <c r="JD93" s="43"/>
      <c r="JE93" s="43"/>
      <c r="JF93" s="43"/>
      <c r="JG93" s="43"/>
      <c r="JH93" s="43"/>
      <c r="JI93" s="43"/>
      <c r="JJ93" s="43"/>
      <c r="JK93" s="43"/>
      <c r="JL93" s="43"/>
      <c r="JM93" s="43"/>
      <c r="JN93" s="43"/>
      <c r="JO93" s="43"/>
      <c r="JP93" s="43"/>
      <c r="JQ93" s="43"/>
      <c r="JR93" s="43"/>
      <c r="JS93" s="43"/>
      <c r="JT93" s="43"/>
      <c r="JU93" s="43"/>
      <c r="JV93" s="43"/>
      <c r="JW93" s="43"/>
      <c r="JX93" s="43"/>
      <c r="JY93" s="43"/>
      <c r="JZ93" s="43"/>
      <c r="KA93" s="43"/>
      <c r="KB93" s="43"/>
      <c r="KC93" s="43"/>
      <c r="KD93" s="43"/>
      <c r="KE93" s="43"/>
      <c r="KF93" s="43"/>
      <c r="KG93" s="43"/>
      <c r="KH93" s="43"/>
      <c r="KI93" s="43"/>
      <c r="KJ93" s="43"/>
      <c r="KK93" s="43"/>
      <c r="KL93" s="43"/>
      <c r="KM93" s="43"/>
      <c r="KN93" s="43"/>
      <c r="KO93" s="43"/>
      <c r="KP93" s="43"/>
      <c r="KQ93" s="43"/>
      <c r="KR93" s="43"/>
      <c r="KS93" s="43"/>
      <c r="KT93" s="43"/>
      <c r="KU93" s="43"/>
      <c r="KV93" s="43"/>
      <c r="KW93" s="43"/>
      <c r="KX93" s="43"/>
      <c r="KY93" s="43"/>
      <c r="KZ93" s="43"/>
      <c r="LA93" s="43"/>
      <c r="LB93" s="43"/>
      <c r="LC93" s="43"/>
      <c r="LD93" s="43"/>
      <c r="LE93" s="43"/>
      <c r="LF93" s="43"/>
      <c r="LG93" s="43"/>
      <c r="LH93" s="43"/>
      <c r="LI93" s="43"/>
      <c r="LJ93" s="43"/>
      <c r="LK93" s="43"/>
      <c r="LL93" s="43"/>
      <c r="LM93" s="43"/>
      <c r="LN93" s="43"/>
      <c r="LO93" s="43"/>
      <c r="LP93" s="43"/>
      <c r="LQ93" s="43"/>
      <c r="LR93" s="43"/>
      <c r="LS93" s="43"/>
      <c r="LT93" s="43"/>
      <c r="LU93" s="43"/>
      <c r="LV93" s="43"/>
      <c r="LW93" s="43"/>
      <c r="LX93" s="43"/>
      <c r="LY93" s="43"/>
      <c r="LZ93" s="43"/>
      <c r="MA93" s="43"/>
      <c r="MB93" s="43"/>
      <c r="MC93" s="43"/>
      <c r="MD93" s="43"/>
      <c r="ME93" s="43"/>
      <c r="MF93" s="43"/>
      <c r="MG93" s="43"/>
      <c r="MH93" s="43"/>
      <c r="MI93" s="43"/>
      <c r="MJ93" s="43"/>
      <c r="MK93" s="43"/>
      <c r="ML93" s="43"/>
      <c r="MM93" s="43"/>
      <c r="MN93" s="43"/>
      <c r="MO93" s="43"/>
      <c r="MP93" s="43"/>
      <c r="MQ93" s="43"/>
      <c r="MR93" s="43"/>
      <c r="MS93" s="43"/>
      <c r="MT93" s="43"/>
      <c r="MU93" s="43"/>
      <c r="MV93" s="43"/>
      <c r="MW93" s="43"/>
      <c r="MX93" s="43"/>
      <c r="MY93" s="43"/>
      <c r="MZ93" s="43"/>
      <c r="NA93" s="43"/>
      <c r="NB93" s="43"/>
      <c r="NC93" s="43"/>
      <c r="ND93" s="43"/>
      <c r="NE93" s="43"/>
      <c r="NF93" s="43"/>
      <c r="NG93" s="43"/>
      <c r="NH93" s="43"/>
      <c r="NI93" s="43"/>
      <c r="NJ93" s="43"/>
      <c r="NK93" s="43"/>
      <c r="NL93" s="43"/>
      <c r="NM93" s="43"/>
      <c r="NN93" s="43"/>
      <c r="NO93" s="43"/>
      <c r="NP93" s="43"/>
      <c r="NQ93" s="43"/>
      <c r="NR93" s="43"/>
      <c r="NS93" s="43"/>
      <c r="NT93" s="43"/>
      <c r="NU93" s="43"/>
      <c r="NV93" s="43"/>
      <c r="NW93" s="43"/>
      <c r="NX93" s="43"/>
      <c r="NY93" s="43"/>
      <c r="NZ93" s="43"/>
      <c r="OA93" s="43"/>
      <c r="OB93" s="43"/>
      <c r="OC93" s="43"/>
      <c r="OD93" s="43"/>
      <c r="OE93" s="43"/>
      <c r="OF93" s="43"/>
      <c r="OG93" s="43"/>
      <c r="OH93" s="43"/>
      <c r="OI93" s="43"/>
      <c r="OJ93" s="43"/>
      <c r="OK93" s="43"/>
      <c r="OL93" s="43"/>
      <c r="OM93" s="43"/>
      <c r="ON93" s="43"/>
      <c r="OO93" s="43"/>
      <c r="OP93" s="43"/>
      <c r="OQ93" s="43"/>
      <c r="OR93" s="43"/>
      <c r="OS93" s="43"/>
      <c r="OT93" s="43"/>
      <c r="OU93" s="43"/>
      <c r="OV93" s="43"/>
      <c r="OW93" s="43"/>
      <c r="OX93" s="43"/>
      <c r="OY93" s="43"/>
      <c r="OZ93" s="43"/>
      <c r="PA93" s="43"/>
      <c r="PB93" s="43"/>
      <c r="PC93" s="43"/>
      <c r="PD93" s="43"/>
      <c r="PE93" s="43"/>
      <c r="PF93" s="43"/>
      <c r="PG93" s="43"/>
      <c r="PH93" s="43"/>
      <c r="PI93" s="43"/>
      <c r="PJ93" s="43"/>
      <c r="PK93" s="43"/>
      <c r="PL93" s="43"/>
      <c r="PM93" s="43"/>
      <c r="PN93" s="43"/>
      <c r="PO93" s="43"/>
      <c r="PP93" s="43"/>
      <c r="PQ93" s="43"/>
      <c r="PR93" s="43"/>
      <c r="PS93" s="43"/>
      <c r="PT93" s="43"/>
      <c r="PU93" s="43"/>
      <c r="PV93" s="43"/>
      <c r="PW93" s="43"/>
      <c r="PX93" s="43"/>
      <c r="PY93" s="43"/>
      <c r="PZ93" s="43"/>
      <c r="QA93" s="43"/>
      <c r="QB93" s="43"/>
      <c r="QC93" s="43"/>
    </row>
    <row r="94" spans="1:445" x14ac:dyDescent="0.3">
      <c r="A94" s="85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46" t="str">
        <f t="shared" si="9"/>
        <v/>
      </c>
      <c r="U94" s="46" t="str">
        <f t="shared" si="10"/>
        <v/>
      </c>
      <c r="V94" s="72" t="str">
        <f t="shared" si="11"/>
        <v/>
      </c>
      <c r="W94" s="48"/>
      <c r="X94" s="73" t="str">
        <f t="shared" si="12"/>
        <v/>
      </c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43"/>
      <c r="BN94" s="43"/>
      <c r="BO94" s="43"/>
      <c r="BP94" s="43"/>
      <c r="BQ94" s="43"/>
      <c r="BR94" s="43"/>
      <c r="BS94" s="43"/>
      <c r="BT94" s="43"/>
      <c r="BU94" s="43"/>
      <c r="BV94" s="43"/>
      <c r="BW94" s="43"/>
      <c r="BX94" s="43"/>
      <c r="BY94" s="43"/>
      <c r="BZ94" s="43"/>
      <c r="CA94" s="43"/>
      <c r="CB94" s="43"/>
      <c r="CC94" s="43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43"/>
      <c r="CY94" s="43"/>
      <c r="CZ94" s="43"/>
      <c r="DA94" s="43"/>
      <c r="DB94" s="43"/>
      <c r="DC94" s="43"/>
      <c r="DD94" s="43"/>
      <c r="DE94" s="43"/>
      <c r="DF94" s="43"/>
      <c r="DG94" s="43"/>
      <c r="DH94" s="43"/>
      <c r="DI94" s="43"/>
      <c r="DJ94" s="43"/>
      <c r="DK94" s="43"/>
      <c r="DL94" s="43"/>
      <c r="DM94" s="43"/>
      <c r="DN94" s="43"/>
      <c r="DO94" s="43"/>
      <c r="DP94" s="43"/>
      <c r="DQ94" s="43"/>
      <c r="DR94" s="43"/>
      <c r="DS94" s="43"/>
      <c r="DT94" s="43"/>
      <c r="DU94" s="43"/>
      <c r="DV94" s="43"/>
      <c r="DW94" s="43"/>
      <c r="DX94" s="43"/>
      <c r="DY94" s="43"/>
      <c r="DZ94" s="43"/>
      <c r="EA94" s="43"/>
      <c r="EB94" s="43"/>
      <c r="EC94" s="43"/>
      <c r="ED94" s="43"/>
      <c r="EE94" s="43"/>
      <c r="EF94" s="43"/>
      <c r="EG94" s="43"/>
      <c r="EH94" s="43"/>
      <c r="EI94" s="43"/>
      <c r="EJ94" s="43"/>
      <c r="EK94" s="43"/>
      <c r="EL94" s="43"/>
      <c r="EM94" s="43"/>
      <c r="EN94" s="43"/>
      <c r="EO94" s="43"/>
      <c r="EP94" s="43"/>
      <c r="EQ94" s="43"/>
      <c r="ER94" s="43"/>
      <c r="ES94" s="43"/>
      <c r="ET94" s="43"/>
      <c r="EU94" s="43"/>
      <c r="EV94" s="43"/>
      <c r="EW94" s="43"/>
      <c r="EX94" s="43"/>
      <c r="EY94" s="43"/>
      <c r="EZ94" s="43"/>
      <c r="FA94" s="43"/>
      <c r="FB94" s="43"/>
      <c r="FC94" s="43"/>
      <c r="FD94" s="43"/>
      <c r="FE94" s="43"/>
      <c r="FF94" s="43"/>
      <c r="FG94" s="43"/>
      <c r="FH94" s="43"/>
      <c r="FI94" s="43"/>
      <c r="FJ94" s="43"/>
      <c r="FK94" s="43"/>
      <c r="FL94" s="43"/>
      <c r="FM94" s="43"/>
      <c r="FN94" s="43"/>
      <c r="FO94" s="43"/>
      <c r="FP94" s="43"/>
      <c r="FQ94" s="43"/>
      <c r="FR94" s="43"/>
      <c r="FS94" s="43"/>
      <c r="FT94" s="43"/>
      <c r="FU94" s="43"/>
      <c r="FV94" s="43"/>
      <c r="FW94" s="43"/>
      <c r="FX94" s="43"/>
      <c r="FY94" s="43"/>
      <c r="FZ94" s="43"/>
      <c r="GA94" s="43"/>
      <c r="GB94" s="43"/>
      <c r="GC94" s="43"/>
      <c r="GD94" s="43"/>
      <c r="GE94" s="43"/>
      <c r="GF94" s="43"/>
      <c r="GG94" s="43"/>
      <c r="GH94" s="43"/>
      <c r="GI94" s="43"/>
      <c r="GJ94" s="43"/>
      <c r="GK94" s="43"/>
      <c r="GL94" s="43"/>
      <c r="GM94" s="43"/>
      <c r="GN94" s="43"/>
      <c r="GO94" s="43"/>
      <c r="GP94" s="43"/>
      <c r="GQ94" s="43"/>
      <c r="GR94" s="43"/>
      <c r="GS94" s="43"/>
      <c r="GT94" s="43"/>
      <c r="GU94" s="43"/>
      <c r="GV94" s="43"/>
      <c r="GW94" s="43"/>
      <c r="GX94" s="43"/>
      <c r="GY94" s="43"/>
      <c r="GZ94" s="43"/>
      <c r="HA94" s="43"/>
      <c r="HB94" s="43"/>
      <c r="HC94" s="43"/>
      <c r="HD94" s="43"/>
      <c r="HE94" s="43"/>
      <c r="HF94" s="43"/>
      <c r="HG94" s="43"/>
      <c r="HH94" s="43"/>
      <c r="HI94" s="43"/>
      <c r="HJ94" s="43"/>
      <c r="HK94" s="43"/>
      <c r="HL94" s="43"/>
      <c r="HM94" s="43"/>
      <c r="HN94" s="43"/>
      <c r="HO94" s="43"/>
      <c r="HP94" s="43"/>
      <c r="HQ94" s="43"/>
      <c r="HR94" s="43"/>
      <c r="HS94" s="43"/>
      <c r="HT94" s="43"/>
      <c r="HU94" s="43"/>
      <c r="HV94" s="43"/>
      <c r="HW94" s="43"/>
      <c r="HX94" s="43"/>
      <c r="HY94" s="43"/>
      <c r="HZ94" s="43"/>
      <c r="IA94" s="43"/>
      <c r="IB94" s="43"/>
      <c r="IC94" s="43"/>
      <c r="ID94" s="43"/>
      <c r="IE94" s="43"/>
      <c r="IF94" s="43"/>
      <c r="IG94" s="43"/>
      <c r="IH94" s="43"/>
      <c r="II94" s="43"/>
      <c r="IJ94" s="43"/>
      <c r="IK94" s="43"/>
      <c r="IL94" s="43"/>
      <c r="IM94" s="43"/>
      <c r="IN94" s="43"/>
      <c r="IO94" s="43"/>
      <c r="IP94" s="43"/>
      <c r="IQ94" s="43"/>
      <c r="IR94" s="43"/>
      <c r="IS94" s="43"/>
      <c r="IT94" s="43"/>
      <c r="IU94" s="43"/>
      <c r="IV94" s="43"/>
      <c r="IW94" s="43"/>
      <c r="IX94" s="43"/>
      <c r="IY94" s="43"/>
      <c r="IZ94" s="43"/>
      <c r="JA94" s="43"/>
      <c r="JB94" s="43"/>
      <c r="JC94" s="43"/>
      <c r="JD94" s="43"/>
      <c r="JE94" s="43"/>
      <c r="JF94" s="43"/>
      <c r="JG94" s="43"/>
      <c r="JH94" s="43"/>
      <c r="JI94" s="43"/>
      <c r="JJ94" s="43"/>
      <c r="JK94" s="43"/>
      <c r="JL94" s="43"/>
      <c r="JM94" s="43"/>
      <c r="JN94" s="43"/>
      <c r="JO94" s="43"/>
      <c r="JP94" s="43"/>
      <c r="JQ94" s="43"/>
      <c r="JR94" s="43"/>
      <c r="JS94" s="43"/>
      <c r="JT94" s="43"/>
      <c r="JU94" s="43"/>
      <c r="JV94" s="43"/>
      <c r="JW94" s="43"/>
      <c r="JX94" s="43"/>
      <c r="JY94" s="43"/>
      <c r="JZ94" s="43"/>
      <c r="KA94" s="43"/>
      <c r="KB94" s="43"/>
      <c r="KC94" s="43"/>
      <c r="KD94" s="43"/>
      <c r="KE94" s="43"/>
      <c r="KF94" s="43"/>
      <c r="KG94" s="43"/>
      <c r="KH94" s="43"/>
      <c r="KI94" s="43"/>
      <c r="KJ94" s="43"/>
      <c r="KK94" s="43"/>
      <c r="KL94" s="43"/>
      <c r="KM94" s="43"/>
      <c r="KN94" s="43"/>
      <c r="KO94" s="43"/>
      <c r="KP94" s="43"/>
      <c r="KQ94" s="43"/>
      <c r="KR94" s="43"/>
      <c r="KS94" s="43"/>
      <c r="KT94" s="43"/>
      <c r="KU94" s="43"/>
      <c r="KV94" s="43"/>
      <c r="KW94" s="43"/>
      <c r="KX94" s="43"/>
      <c r="KY94" s="43"/>
      <c r="KZ94" s="43"/>
      <c r="LA94" s="43"/>
      <c r="LB94" s="43"/>
      <c r="LC94" s="43"/>
      <c r="LD94" s="43"/>
      <c r="LE94" s="43"/>
      <c r="LF94" s="43"/>
      <c r="LG94" s="43"/>
      <c r="LH94" s="43"/>
      <c r="LI94" s="43"/>
      <c r="LJ94" s="43"/>
      <c r="LK94" s="43"/>
      <c r="LL94" s="43"/>
      <c r="LM94" s="43"/>
      <c r="LN94" s="43"/>
      <c r="LO94" s="43"/>
      <c r="LP94" s="43"/>
      <c r="LQ94" s="43"/>
      <c r="LR94" s="43"/>
      <c r="LS94" s="43"/>
      <c r="LT94" s="43"/>
      <c r="LU94" s="43"/>
      <c r="LV94" s="43"/>
      <c r="LW94" s="43"/>
      <c r="LX94" s="43"/>
      <c r="LY94" s="43"/>
      <c r="LZ94" s="43"/>
      <c r="MA94" s="43"/>
      <c r="MB94" s="43"/>
      <c r="MC94" s="43"/>
      <c r="MD94" s="43"/>
      <c r="ME94" s="43"/>
      <c r="MF94" s="43"/>
      <c r="MG94" s="43"/>
      <c r="MH94" s="43"/>
      <c r="MI94" s="43"/>
      <c r="MJ94" s="43"/>
      <c r="MK94" s="43"/>
      <c r="ML94" s="43"/>
      <c r="MM94" s="43"/>
      <c r="MN94" s="43"/>
      <c r="MO94" s="43"/>
      <c r="MP94" s="43"/>
      <c r="MQ94" s="43"/>
      <c r="MR94" s="43"/>
      <c r="MS94" s="43"/>
      <c r="MT94" s="43"/>
      <c r="MU94" s="43"/>
      <c r="MV94" s="43"/>
      <c r="MW94" s="43"/>
      <c r="MX94" s="43"/>
      <c r="MY94" s="43"/>
      <c r="MZ94" s="43"/>
      <c r="NA94" s="43"/>
      <c r="NB94" s="43"/>
      <c r="NC94" s="43"/>
      <c r="ND94" s="43"/>
      <c r="NE94" s="43"/>
      <c r="NF94" s="43"/>
      <c r="NG94" s="43"/>
      <c r="NH94" s="43"/>
      <c r="NI94" s="43"/>
      <c r="NJ94" s="43"/>
      <c r="NK94" s="43"/>
      <c r="NL94" s="43"/>
      <c r="NM94" s="43"/>
      <c r="NN94" s="43"/>
      <c r="NO94" s="43"/>
      <c r="NP94" s="43"/>
      <c r="NQ94" s="43"/>
      <c r="NR94" s="43"/>
      <c r="NS94" s="43"/>
      <c r="NT94" s="43"/>
      <c r="NU94" s="43"/>
      <c r="NV94" s="43"/>
      <c r="NW94" s="43"/>
      <c r="NX94" s="43"/>
      <c r="NY94" s="43"/>
      <c r="NZ94" s="43"/>
      <c r="OA94" s="43"/>
      <c r="OB94" s="43"/>
      <c r="OC94" s="43"/>
      <c r="OD94" s="43"/>
      <c r="OE94" s="43"/>
      <c r="OF94" s="43"/>
      <c r="OG94" s="43"/>
      <c r="OH94" s="43"/>
      <c r="OI94" s="43"/>
      <c r="OJ94" s="43"/>
      <c r="OK94" s="43"/>
      <c r="OL94" s="43"/>
      <c r="OM94" s="43"/>
      <c r="ON94" s="43"/>
      <c r="OO94" s="43"/>
      <c r="OP94" s="43"/>
      <c r="OQ94" s="43"/>
      <c r="OR94" s="43"/>
      <c r="OS94" s="43"/>
      <c r="OT94" s="43"/>
      <c r="OU94" s="43"/>
      <c r="OV94" s="43"/>
      <c r="OW94" s="43"/>
      <c r="OX94" s="43"/>
      <c r="OY94" s="43"/>
      <c r="OZ94" s="43"/>
      <c r="PA94" s="43"/>
      <c r="PB94" s="43"/>
      <c r="PC94" s="43"/>
      <c r="PD94" s="43"/>
      <c r="PE94" s="43"/>
      <c r="PF94" s="43"/>
      <c r="PG94" s="43"/>
      <c r="PH94" s="43"/>
      <c r="PI94" s="43"/>
      <c r="PJ94" s="43"/>
      <c r="PK94" s="43"/>
      <c r="PL94" s="43"/>
      <c r="PM94" s="43"/>
      <c r="PN94" s="43"/>
      <c r="PO94" s="43"/>
      <c r="PP94" s="43"/>
      <c r="PQ94" s="43"/>
      <c r="PR94" s="43"/>
      <c r="PS94" s="43"/>
      <c r="PT94" s="43"/>
      <c r="PU94" s="43"/>
      <c r="PV94" s="43"/>
      <c r="PW94" s="43"/>
      <c r="PX94" s="43"/>
      <c r="PY94" s="43"/>
      <c r="PZ94" s="43"/>
      <c r="QA94" s="43"/>
      <c r="QB94" s="43"/>
      <c r="QC94" s="43"/>
    </row>
    <row r="95" spans="1:445" x14ac:dyDescent="0.3">
      <c r="A95" s="85"/>
      <c r="B95" s="84"/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46" t="str">
        <f t="shared" si="9"/>
        <v/>
      </c>
      <c r="U95" s="46" t="str">
        <f t="shared" si="10"/>
        <v/>
      </c>
      <c r="V95" s="72" t="str">
        <f t="shared" si="11"/>
        <v/>
      </c>
      <c r="W95" s="48"/>
      <c r="X95" s="73" t="str">
        <f t="shared" si="12"/>
        <v/>
      </c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43"/>
      <c r="BN95" s="43"/>
      <c r="BO95" s="43"/>
      <c r="BP95" s="43"/>
      <c r="BQ95" s="43"/>
      <c r="BR95" s="43"/>
      <c r="BS95" s="43"/>
      <c r="BT95" s="43"/>
      <c r="BU95" s="43"/>
      <c r="BV95" s="43"/>
      <c r="BW95" s="43"/>
      <c r="BX95" s="43"/>
      <c r="BY95" s="43"/>
      <c r="BZ95" s="43"/>
      <c r="CA95" s="43"/>
      <c r="CB95" s="43"/>
      <c r="CC95" s="43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43"/>
      <c r="CY95" s="43"/>
      <c r="CZ95" s="43"/>
      <c r="DA95" s="43"/>
      <c r="DB95" s="43"/>
      <c r="DC95" s="43"/>
      <c r="DD95" s="43"/>
      <c r="DE95" s="43"/>
      <c r="DF95" s="43"/>
      <c r="DG95" s="43"/>
      <c r="DH95" s="43"/>
      <c r="DI95" s="43"/>
      <c r="DJ95" s="43"/>
      <c r="DK95" s="43"/>
      <c r="DL95" s="43"/>
      <c r="DM95" s="43"/>
      <c r="DN95" s="43"/>
      <c r="DO95" s="43"/>
      <c r="DP95" s="43"/>
      <c r="DQ95" s="43"/>
      <c r="DR95" s="43"/>
      <c r="DS95" s="43"/>
      <c r="DT95" s="43"/>
      <c r="DU95" s="43"/>
      <c r="DV95" s="43"/>
      <c r="DW95" s="43"/>
      <c r="DX95" s="43"/>
      <c r="DY95" s="43"/>
      <c r="DZ95" s="43"/>
      <c r="EA95" s="43"/>
      <c r="EB95" s="43"/>
      <c r="EC95" s="43"/>
      <c r="ED95" s="43"/>
      <c r="EE95" s="43"/>
      <c r="EF95" s="43"/>
      <c r="EG95" s="43"/>
      <c r="EH95" s="43"/>
      <c r="EI95" s="43"/>
      <c r="EJ95" s="43"/>
      <c r="EK95" s="43"/>
      <c r="EL95" s="43"/>
      <c r="EM95" s="43"/>
      <c r="EN95" s="43"/>
      <c r="EO95" s="43"/>
      <c r="EP95" s="43"/>
      <c r="EQ95" s="43"/>
      <c r="ER95" s="43"/>
      <c r="ES95" s="43"/>
      <c r="ET95" s="43"/>
      <c r="EU95" s="43"/>
      <c r="EV95" s="43"/>
      <c r="EW95" s="43"/>
      <c r="EX95" s="43"/>
      <c r="EY95" s="43"/>
      <c r="EZ95" s="43"/>
      <c r="FA95" s="43"/>
      <c r="FB95" s="43"/>
      <c r="FC95" s="43"/>
      <c r="FD95" s="43"/>
      <c r="FE95" s="43"/>
      <c r="FF95" s="43"/>
      <c r="FG95" s="43"/>
      <c r="FH95" s="43"/>
      <c r="FI95" s="43"/>
      <c r="FJ95" s="43"/>
      <c r="FK95" s="43"/>
      <c r="FL95" s="43"/>
      <c r="FM95" s="43"/>
      <c r="FN95" s="43"/>
      <c r="FO95" s="43"/>
      <c r="FP95" s="43"/>
      <c r="FQ95" s="43"/>
      <c r="FR95" s="43"/>
      <c r="FS95" s="43"/>
      <c r="FT95" s="43"/>
      <c r="FU95" s="43"/>
      <c r="FV95" s="43"/>
      <c r="FW95" s="43"/>
      <c r="FX95" s="43"/>
      <c r="FY95" s="43"/>
      <c r="FZ95" s="43"/>
      <c r="GA95" s="43"/>
      <c r="GB95" s="43"/>
      <c r="GC95" s="43"/>
      <c r="GD95" s="43"/>
      <c r="GE95" s="43"/>
      <c r="GF95" s="43"/>
      <c r="GG95" s="43"/>
      <c r="GH95" s="43"/>
      <c r="GI95" s="43"/>
      <c r="GJ95" s="43"/>
      <c r="GK95" s="43"/>
      <c r="GL95" s="43"/>
      <c r="GM95" s="43"/>
      <c r="GN95" s="43"/>
      <c r="GO95" s="43"/>
      <c r="GP95" s="43"/>
      <c r="GQ95" s="43"/>
      <c r="GR95" s="43"/>
      <c r="GS95" s="43"/>
      <c r="GT95" s="43"/>
      <c r="GU95" s="43"/>
      <c r="GV95" s="43"/>
      <c r="GW95" s="43"/>
      <c r="GX95" s="43"/>
      <c r="GY95" s="43"/>
      <c r="GZ95" s="43"/>
      <c r="HA95" s="43"/>
      <c r="HB95" s="43"/>
      <c r="HC95" s="43"/>
      <c r="HD95" s="43"/>
      <c r="HE95" s="43"/>
      <c r="HF95" s="43"/>
      <c r="HG95" s="43"/>
      <c r="HH95" s="43"/>
      <c r="HI95" s="43"/>
      <c r="HJ95" s="43"/>
      <c r="HK95" s="43"/>
      <c r="HL95" s="43"/>
      <c r="HM95" s="43"/>
      <c r="HN95" s="43"/>
      <c r="HO95" s="43"/>
      <c r="HP95" s="43"/>
      <c r="HQ95" s="43"/>
      <c r="HR95" s="43"/>
      <c r="HS95" s="43"/>
      <c r="HT95" s="43"/>
      <c r="HU95" s="43"/>
      <c r="HV95" s="43"/>
      <c r="HW95" s="43"/>
      <c r="HX95" s="43"/>
      <c r="HY95" s="43"/>
      <c r="HZ95" s="43"/>
      <c r="IA95" s="43"/>
      <c r="IB95" s="43"/>
      <c r="IC95" s="43"/>
      <c r="ID95" s="43"/>
      <c r="IE95" s="43"/>
      <c r="IF95" s="43"/>
      <c r="IG95" s="43"/>
      <c r="IH95" s="43"/>
      <c r="II95" s="43"/>
      <c r="IJ95" s="43"/>
      <c r="IK95" s="43"/>
      <c r="IL95" s="43"/>
      <c r="IM95" s="43"/>
      <c r="IN95" s="43"/>
      <c r="IO95" s="43"/>
      <c r="IP95" s="43"/>
      <c r="IQ95" s="43"/>
      <c r="IR95" s="43"/>
      <c r="IS95" s="43"/>
      <c r="IT95" s="43"/>
      <c r="IU95" s="43"/>
      <c r="IV95" s="43"/>
      <c r="IW95" s="43"/>
      <c r="IX95" s="43"/>
      <c r="IY95" s="43"/>
      <c r="IZ95" s="43"/>
      <c r="JA95" s="43"/>
      <c r="JB95" s="43"/>
      <c r="JC95" s="43"/>
      <c r="JD95" s="43"/>
      <c r="JE95" s="43"/>
      <c r="JF95" s="43"/>
      <c r="JG95" s="43"/>
      <c r="JH95" s="43"/>
      <c r="JI95" s="43"/>
      <c r="JJ95" s="43"/>
      <c r="JK95" s="43"/>
      <c r="JL95" s="43"/>
      <c r="JM95" s="43"/>
      <c r="JN95" s="43"/>
      <c r="JO95" s="43"/>
      <c r="JP95" s="43"/>
      <c r="JQ95" s="43"/>
      <c r="JR95" s="43"/>
      <c r="JS95" s="43"/>
      <c r="JT95" s="43"/>
      <c r="JU95" s="43"/>
      <c r="JV95" s="43"/>
      <c r="JW95" s="43"/>
      <c r="JX95" s="43"/>
      <c r="JY95" s="43"/>
      <c r="JZ95" s="43"/>
      <c r="KA95" s="43"/>
      <c r="KB95" s="43"/>
      <c r="KC95" s="43"/>
      <c r="KD95" s="43"/>
      <c r="KE95" s="43"/>
      <c r="KF95" s="43"/>
      <c r="KG95" s="43"/>
      <c r="KH95" s="43"/>
      <c r="KI95" s="43"/>
      <c r="KJ95" s="43"/>
      <c r="KK95" s="43"/>
      <c r="KL95" s="43"/>
      <c r="KM95" s="43"/>
      <c r="KN95" s="43"/>
      <c r="KO95" s="43"/>
      <c r="KP95" s="43"/>
      <c r="KQ95" s="43"/>
      <c r="KR95" s="43"/>
      <c r="KS95" s="43"/>
      <c r="KT95" s="43"/>
      <c r="KU95" s="43"/>
      <c r="KV95" s="43"/>
      <c r="KW95" s="43"/>
      <c r="KX95" s="43"/>
      <c r="KY95" s="43"/>
      <c r="KZ95" s="43"/>
      <c r="LA95" s="43"/>
      <c r="LB95" s="43"/>
      <c r="LC95" s="43"/>
      <c r="LD95" s="43"/>
      <c r="LE95" s="43"/>
      <c r="LF95" s="43"/>
      <c r="LG95" s="43"/>
      <c r="LH95" s="43"/>
      <c r="LI95" s="43"/>
      <c r="LJ95" s="43"/>
      <c r="LK95" s="43"/>
      <c r="LL95" s="43"/>
      <c r="LM95" s="43"/>
      <c r="LN95" s="43"/>
      <c r="LO95" s="43"/>
      <c r="LP95" s="43"/>
      <c r="LQ95" s="43"/>
      <c r="LR95" s="43"/>
      <c r="LS95" s="43"/>
      <c r="LT95" s="43"/>
      <c r="LU95" s="43"/>
      <c r="LV95" s="43"/>
      <c r="LW95" s="43"/>
      <c r="LX95" s="43"/>
      <c r="LY95" s="43"/>
      <c r="LZ95" s="43"/>
      <c r="MA95" s="43"/>
      <c r="MB95" s="43"/>
      <c r="MC95" s="43"/>
      <c r="MD95" s="43"/>
      <c r="ME95" s="43"/>
      <c r="MF95" s="43"/>
      <c r="MG95" s="43"/>
      <c r="MH95" s="43"/>
      <c r="MI95" s="43"/>
      <c r="MJ95" s="43"/>
      <c r="MK95" s="43"/>
      <c r="ML95" s="43"/>
      <c r="MM95" s="43"/>
      <c r="MN95" s="43"/>
      <c r="MO95" s="43"/>
      <c r="MP95" s="43"/>
      <c r="MQ95" s="43"/>
      <c r="MR95" s="43"/>
      <c r="MS95" s="43"/>
      <c r="MT95" s="43"/>
      <c r="MU95" s="43"/>
      <c r="MV95" s="43"/>
      <c r="MW95" s="43"/>
      <c r="MX95" s="43"/>
      <c r="MY95" s="43"/>
      <c r="MZ95" s="43"/>
      <c r="NA95" s="43"/>
      <c r="NB95" s="43"/>
      <c r="NC95" s="43"/>
      <c r="ND95" s="43"/>
      <c r="NE95" s="43"/>
      <c r="NF95" s="43"/>
      <c r="NG95" s="43"/>
      <c r="NH95" s="43"/>
      <c r="NI95" s="43"/>
      <c r="NJ95" s="43"/>
      <c r="NK95" s="43"/>
      <c r="NL95" s="43"/>
      <c r="NM95" s="43"/>
      <c r="NN95" s="43"/>
      <c r="NO95" s="43"/>
      <c r="NP95" s="43"/>
      <c r="NQ95" s="43"/>
      <c r="NR95" s="43"/>
      <c r="NS95" s="43"/>
      <c r="NT95" s="43"/>
      <c r="NU95" s="43"/>
      <c r="NV95" s="43"/>
      <c r="NW95" s="43"/>
      <c r="NX95" s="43"/>
      <c r="NY95" s="43"/>
      <c r="NZ95" s="43"/>
      <c r="OA95" s="43"/>
      <c r="OB95" s="43"/>
      <c r="OC95" s="43"/>
      <c r="OD95" s="43"/>
      <c r="OE95" s="43"/>
      <c r="OF95" s="43"/>
      <c r="OG95" s="43"/>
      <c r="OH95" s="43"/>
      <c r="OI95" s="43"/>
      <c r="OJ95" s="43"/>
      <c r="OK95" s="43"/>
      <c r="OL95" s="43"/>
      <c r="OM95" s="43"/>
      <c r="ON95" s="43"/>
      <c r="OO95" s="43"/>
      <c r="OP95" s="43"/>
      <c r="OQ95" s="43"/>
      <c r="OR95" s="43"/>
      <c r="OS95" s="43"/>
      <c r="OT95" s="43"/>
      <c r="OU95" s="43"/>
      <c r="OV95" s="43"/>
      <c r="OW95" s="43"/>
      <c r="OX95" s="43"/>
      <c r="OY95" s="43"/>
      <c r="OZ95" s="43"/>
      <c r="PA95" s="43"/>
      <c r="PB95" s="43"/>
      <c r="PC95" s="43"/>
      <c r="PD95" s="43"/>
      <c r="PE95" s="43"/>
      <c r="PF95" s="43"/>
      <c r="PG95" s="43"/>
      <c r="PH95" s="43"/>
      <c r="PI95" s="43"/>
      <c r="PJ95" s="43"/>
      <c r="PK95" s="43"/>
      <c r="PL95" s="43"/>
      <c r="PM95" s="43"/>
      <c r="PN95" s="43"/>
      <c r="PO95" s="43"/>
      <c r="PP95" s="43"/>
      <c r="PQ95" s="43"/>
      <c r="PR95" s="43"/>
      <c r="PS95" s="43"/>
      <c r="PT95" s="43"/>
      <c r="PU95" s="43"/>
      <c r="PV95" s="43"/>
      <c r="PW95" s="43"/>
      <c r="PX95" s="43"/>
      <c r="PY95" s="43"/>
      <c r="PZ95" s="43"/>
      <c r="QA95" s="43"/>
      <c r="QB95" s="43"/>
      <c r="QC95" s="43"/>
    </row>
    <row r="96" spans="1:445" x14ac:dyDescent="0.3">
      <c r="A96" s="85"/>
      <c r="B96" s="84"/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46" t="str">
        <f t="shared" si="9"/>
        <v/>
      </c>
      <c r="U96" s="46" t="str">
        <f t="shared" si="10"/>
        <v/>
      </c>
      <c r="V96" s="72" t="str">
        <f t="shared" si="11"/>
        <v/>
      </c>
      <c r="W96" s="48"/>
      <c r="X96" s="73" t="str">
        <f t="shared" si="12"/>
        <v/>
      </c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43"/>
      <c r="BN96" s="43"/>
      <c r="BO96" s="43"/>
      <c r="BP96" s="43"/>
      <c r="BQ96" s="43"/>
      <c r="BR96" s="43"/>
      <c r="BS96" s="43"/>
      <c r="BT96" s="43"/>
      <c r="BU96" s="43"/>
      <c r="BV96" s="43"/>
      <c r="BW96" s="43"/>
      <c r="BX96" s="43"/>
      <c r="BY96" s="43"/>
      <c r="BZ96" s="43"/>
      <c r="CA96" s="43"/>
      <c r="CB96" s="43"/>
      <c r="CC96" s="4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43"/>
      <c r="CY96" s="43"/>
      <c r="CZ96" s="43"/>
      <c r="DA96" s="43"/>
      <c r="DB96" s="43"/>
      <c r="DC96" s="43"/>
      <c r="DD96" s="43"/>
      <c r="DE96" s="43"/>
      <c r="DF96" s="43"/>
      <c r="DG96" s="43"/>
      <c r="DH96" s="43"/>
      <c r="DI96" s="43"/>
      <c r="DJ96" s="43"/>
      <c r="DK96" s="43"/>
      <c r="DL96" s="43"/>
      <c r="DM96" s="43"/>
      <c r="DN96" s="43"/>
      <c r="DO96" s="43"/>
      <c r="DP96" s="43"/>
      <c r="DQ96" s="43"/>
      <c r="DR96" s="43"/>
      <c r="DS96" s="43"/>
      <c r="DT96" s="43"/>
      <c r="DU96" s="43"/>
      <c r="DV96" s="43"/>
      <c r="DW96" s="43"/>
      <c r="DX96" s="43"/>
      <c r="DY96" s="43"/>
      <c r="DZ96" s="43"/>
      <c r="EA96" s="43"/>
      <c r="EB96" s="43"/>
      <c r="EC96" s="43"/>
      <c r="ED96" s="43"/>
      <c r="EE96" s="43"/>
      <c r="EF96" s="43"/>
      <c r="EG96" s="43"/>
      <c r="EH96" s="43"/>
      <c r="EI96" s="43"/>
      <c r="EJ96" s="43"/>
      <c r="EK96" s="43"/>
      <c r="EL96" s="43"/>
      <c r="EM96" s="43"/>
      <c r="EN96" s="43"/>
      <c r="EO96" s="43"/>
      <c r="EP96" s="43"/>
      <c r="EQ96" s="43"/>
      <c r="ER96" s="43"/>
      <c r="ES96" s="43"/>
      <c r="ET96" s="43"/>
      <c r="EU96" s="43"/>
      <c r="EV96" s="43"/>
      <c r="EW96" s="43"/>
      <c r="EX96" s="43"/>
      <c r="EY96" s="43"/>
      <c r="EZ96" s="43"/>
      <c r="FA96" s="43"/>
      <c r="FB96" s="43"/>
      <c r="FC96" s="43"/>
      <c r="FD96" s="43"/>
      <c r="FE96" s="43"/>
      <c r="FF96" s="43"/>
      <c r="FG96" s="43"/>
      <c r="FH96" s="43"/>
      <c r="FI96" s="43"/>
      <c r="FJ96" s="43"/>
      <c r="FK96" s="43"/>
      <c r="FL96" s="43"/>
      <c r="FM96" s="43"/>
      <c r="FN96" s="43"/>
      <c r="FO96" s="43"/>
      <c r="FP96" s="43"/>
      <c r="FQ96" s="43"/>
      <c r="FR96" s="43"/>
      <c r="FS96" s="43"/>
      <c r="FT96" s="43"/>
      <c r="FU96" s="43"/>
      <c r="FV96" s="43"/>
      <c r="FW96" s="43"/>
      <c r="FX96" s="43"/>
      <c r="FY96" s="43"/>
      <c r="FZ96" s="43"/>
      <c r="GA96" s="43"/>
      <c r="GB96" s="43"/>
      <c r="GC96" s="43"/>
      <c r="GD96" s="43"/>
      <c r="GE96" s="43"/>
      <c r="GF96" s="43"/>
      <c r="GG96" s="43"/>
      <c r="GH96" s="43"/>
      <c r="GI96" s="43"/>
      <c r="GJ96" s="43"/>
      <c r="GK96" s="43"/>
      <c r="GL96" s="43"/>
      <c r="GM96" s="43"/>
      <c r="GN96" s="43"/>
      <c r="GO96" s="43"/>
      <c r="GP96" s="43"/>
      <c r="GQ96" s="43"/>
      <c r="GR96" s="43"/>
      <c r="GS96" s="43"/>
      <c r="GT96" s="43"/>
      <c r="GU96" s="43"/>
      <c r="GV96" s="43"/>
      <c r="GW96" s="43"/>
      <c r="GX96" s="43"/>
      <c r="GY96" s="43"/>
      <c r="GZ96" s="43"/>
      <c r="HA96" s="43"/>
      <c r="HB96" s="43"/>
      <c r="HC96" s="43"/>
      <c r="HD96" s="43"/>
      <c r="HE96" s="43"/>
      <c r="HF96" s="43"/>
      <c r="HG96" s="43"/>
      <c r="HH96" s="43"/>
      <c r="HI96" s="43"/>
      <c r="HJ96" s="43"/>
      <c r="HK96" s="43"/>
      <c r="HL96" s="43"/>
      <c r="HM96" s="43"/>
      <c r="HN96" s="43"/>
      <c r="HO96" s="43"/>
      <c r="HP96" s="43"/>
      <c r="HQ96" s="43"/>
      <c r="HR96" s="43"/>
      <c r="HS96" s="43"/>
      <c r="HT96" s="43"/>
      <c r="HU96" s="43"/>
      <c r="HV96" s="43"/>
      <c r="HW96" s="43"/>
      <c r="HX96" s="43"/>
      <c r="HY96" s="43"/>
      <c r="HZ96" s="43"/>
      <c r="IA96" s="43"/>
      <c r="IB96" s="43"/>
      <c r="IC96" s="43"/>
      <c r="ID96" s="43"/>
      <c r="IE96" s="43"/>
      <c r="IF96" s="43"/>
      <c r="IG96" s="43"/>
      <c r="IH96" s="43"/>
      <c r="II96" s="43"/>
      <c r="IJ96" s="43"/>
      <c r="IK96" s="43"/>
      <c r="IL96" s="43"/>
      <c r="IM96" s="43"/>
      <c r="IN96" s="43"/>
      <c r="IO96" s="43"/>
      <c r="IP96" s="43"/>
      <c r="IQ96" s="43"/>
      <c r="IR96" s="43"/>
      <c r="IS96" s="43"/>
      <c r="IT96" s="43"/>
      <c r="IU96" s="43"/>
      <c r="IV96" s="43"/>
      <c r="IW96" s="43"/>
      <c r="IX96" s="43"/>
      <c r="IY96" s="43"/>
      <c r="IZ96" s="43"/>
      <c r="JA96" s="43"/>
      <c r="JB96" s="43"/>
      <c r="JC96" s="43"/>
      <c r="JD96" s="43"/>
      <c r="JE96" s="43"/>
      <c r="JF96" s="43"/>
      <c r="JG96" s="43"/>
      <c r="JH96" s="43"/>
      <c r="JI96" s="43"/>
      <c r="JJ96" s="43"/>
      <c r="JK96" s="43"/>
      <c r="JL96" s="43"/>
      <c r="JM96" s="43"/>
      <c r="JN96" s="43"/>
      <c r="JO96" s="43"/>
      <c r="JP96" s="43"/>
      <c r="JQ96" s="43"/>
      <c r="JR96" s="43"/>
      <c r="JS96" s="43"/>
      <c r="JT96" s="43"/>
      <c r="JU96" s="43"/>
      <c r="JV96" s="43"/>
      <c r="JW96" s="43"/>
      <c r="JX96" s="43"/>
      <c r="JY96" s="43"/>
      <c r="JZ96" s="43"/>
      <c r="KA96" s="43"/>
      <c r="KB96" s="43"/>
      <c r="KC96" s="43"/>
      <c r="KD96" s="43"/>
      <c r="KE96" s="43"/>
      <c r="KF96" s="43"/>
      <c r="KG96" s="43"/>
      <c r="KH96" s="43"/>
      <c r="KI96" s="43"/>
      <c r="KJ96" s="43"/>
      <c r="KK96" s="43"/>
      <c r="KL96" s="43"/>
      <c r="KM96" s="43"/>
      <c r="KN96" s="43"/>
      <c r="KO96" s="43"/>
      <c r="KP96" s="43"/>
      <c r="KQ96" s="43"/>
      <c r="KR96" s="43"/>
      <c r="KS96" s="43"/>
      <c r="KT96" s="43"/>
      <c r="KU96" s="43"/>
      <c r="KV96" s="43"/>
      <c r="KW96" s="43"/>
      <c r="KX96" s="43"/>
      <c r="KY96" s="43"/>
      <c r="KZ96" s="43"/>
      <c r="LA96" s="43"/>
      <c r="LB96" s="43"/>
      <c r="LC96" s="43"/>
      <c r="LD96" s="43"/>
      <c r="LE96" s="43"/>
      <c r="LF96" s="43"/>
      <c r="LG96" s="43"/>
      <c r="LH96" s="43"/>
      <c r="LI96" s="43"/>
      <c r="LJ96" s="43"/>
      <c r="LK96" s="43"/>
      <c r="LL96" s="43"/>
      <c r="LM96" s="43"/>
      <c r="LN96" s="43"/>
      <c r="LO96" s="43"/>
      <c r="LP96" s="43"/>
      <c r="LQ96" s="43"/>
      <c r="LR96" s="43"/>
      <c r="LS96" s="43"/>
      <c r="LT96" s="43"/>
      <c r="LU96" s="43"/>
      <c r="LV96" s="43"/>
      <c r="LW96" s="43"/>
      <c r="LX96" s="43"/>
      <c r="LY96" s="43"/>
      <c r="LZ96" s="43"/>
      <c r="MA96" s="43"/>
      <c r="MB96" s="43"/>
      <c r="MC96" s="43"/>
      <c r="MD96" s="43"/>
      <c r="ME96" s="43"/>
      <c r="MF96" s="43"/>
      <c r="MG96" s="43"/>
      <c r="MH96" s="43"/>
      <c r="MI96" s="43"/>
      <c r="MJ96" s="43"/>
      <c r="MK96" s="43"/>
      <c r="ML96" s="43"/>
      <c r="MM96" s="43"/>
      <c r="MN96" s="43"/>
      <c r="MO96" s="43"/>
      <c r="MP96" s="43"/>
      <c r="MQ96" s="43"/>
      <c r="MR96" s="43"/>
      <c r="MS96" s="43"/>
      <c r="MT96" s="43"/>
      <c r="MU96" s="43"/>
      <c r="MV96" s="43"/>
      <c r="MW96" s="43"/>
      <c r="MX96" s="43"/>
      <c r="MY96" s="43"/>
      <c r="MZ96" s="43"/>
      <c r="NA96" s="43"/>
      <c r="NB96" s="43"/>
      <c r="NC96" s="43"/>
      <c r="ND96" s="43"/>
      <c r="NE96" s="43"/>
      <c r="NF96" s="43"/>
      <c r="NG96" s="43"/>
      <c r="NH96" s="43"/>
      <c r="NI96" s="43"/>
      <c r="NJ96" s="43"/>
      <c r="NK96" s="43"/>
      <c r="NL96" s="43"/>
      <c r="NM96" s="43"/>
      <c r="NN96" s="43"/>
      <c r="NO96" s="43"/>
      <c r="NP96" s="43"/>
      <c r="NQ96" s="43"/>
      <c r="NR96" s="43"/>
      <c r="NS96" s="43"/>
      <c r="NT96" s="43"/>
      <c r="NU96" s="43"/>
      <c r="NV96" s="43"/>
      <c r="NW96" s="43"/>
      <c r="NX96" s="43"/>
      <c r="NY96" s="43"/>
      <c r="NZ96" s="43"/>
      <c r="OA96" s="43"/>
      <c r="OB96" s="43"/>
      <c r="OC96" s="43"/>
      <c r="OD96" s="43"/>
      <c r="OE96" s="43"/>
      <c r="OF96" s="43"/>
      <c r="OG96" s="43"/>
      <c r="OH96" s="43"/>
      <c r="OI96" s="43"/>
      <c r="OJ96" s="43"/>
      <c r="OK96" s="43"/>
      <c r="OL96" s="43"/>
      <c r="OM96" s="43"/>
      <c r="ON96" s="43"/>
      <c r="OO96" s="43"/>
      <c r="OP96" s="43"/>
      <c r="OQ96" s="43"/>
      <c r="OR96" s="43"/>
      <c r="OS96" s="43"/>
      <c r="OT96" s="43"/>
      <c r="OU96" s="43"/>
      <c r="OV96" s="43"/>
      <c r="OW96" s="43"/>
      <c r="OX96" s="43"/>
      <c r="OY96" s="43"/>
      <c r="OZ96" s="43"/>
      <c r="PA96" s="43"/>
      <c r="PB96" s="43"/>
      <c r="PC96" s="43"/>
      <c r="PD96" s="43"/>
      <c r="PE96" s="43"/>
      <c r="PF96" s="43"/>
      <c r="PG96" s="43"/>
      <c r="PH96" s="43"/>
      <c r="PI96" s="43"/>
      <c r="PJ96" s="43"/>
      <c r="PK96" s="43"/>
      <c r="PL96" s="43"/>
      <c r="PM96" s="43"/>
      <c r="PN96" s="43"/>
      <c r="PO96" s="43"/>
      <c r="PP96" s="43"/>
      <c r="PQ96" s="43"/>
      <c r="PR96" s="43"/>
      <c r="PS96" s="43"/>
      <c r="PT96" s="43"/>
      <c r="PU96" s="43"/>
      <c r="PV96" s="43"/>
      <c r="PW96" s="43"/>
      <c r="PX96" s="43"/>
      <c r="PY96" s="43"/>
      <c r="PZ96" s="43"/>
      <c r="QA96" s="43"/>
      <c r="QB96" s="43"/>
      <c r="QC96" s="43"/>
    </row>
    <row r="97" spans="1:445" x14ac:dyDescent="0.3">
      <c r="A97" s="85"/>
      <c r="B97" s="84"/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9"/>
      <c r="O97" s="84"/>
      <c r="P97" s="84"/>
      <c r="Q97" s="84"/>
      <c r="R97" s="84"/>
      <c r="S97" s="84"/>
      <c r="T97" s="46" t="str">
        <f t="shared" si="9"/>
        <v/>
      </c>
      <c r="U97" s="46" t="str">
        <f t="shared" si="10"/>
        <v/>
      </c>
      <c r="V97" s="72" t="str">
        <f t="shared" si="11"/>
        <v/>
      </c>
      <c r="W97" s="48"/>
      <c r="X97" s="73" t="str">
        <f t="shared" si="12"/>
        <v/>
      </c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43"/>
      <c r="BN97" s="43"/>
      <c r="BO97" s="43"/>
      <c r="BP97" s="43"/>
      <c r="BQ97" s="43"/>
      <c r="BR97" s="43"/>
      <c r="BS97" s="43"/>
      <c r="BT97" s="43"/>
      <c r="BU97" s="43"/>
      <c r="BV97" s="43"/>
      <c r="BW97" s="43"/>
      <c r="BX97" s="43"/>
      <c r="BY97" s="43"/>
      <c r="BZ97" s="43"/>
      <c r="CA97" s="43"/>
      <c r="CB97" s="43"/>
      <c r="CC97" s="43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43"/>
      <c r="CY97" s="43"/>
      <c r="CZ97" s="43"/>
      <c r="DA97" s="43"/>
      <c r="DB97" s="43"/>
      <c r="DC97" s="43"/>
      <c r="DD97" s="43"/>
      <c r="DE97" s="43"/>
      <c r="DF97" s="43"/>
      <c r="DG97" s="43"/>
      <c r="DH97" s="43"/>
      <c r="DI97" s="43"/>
      <c r="DJ97" s="43"/>
      <c r="DK97" s="43"/>
      <c r="DL97" s="43"/>
      <c r="DM97" s="43"/>
      <c r="DN97" s="43"/>
      <c r="DO97" s="43"/>
      <c r="DP97" s="43"/>
      <c r="DQ97" s="43"/>
      <c r="DR97" s="43"/>
      <c r="DS97" s="43"/>
      <c r="DT97" s="43"/>
      <c r="DU97" s="43"/>
      <c r="DV97" s="43"/>
      <c r="DW97" s="43"/>
      <c r="DX97" s="43"/>
      <c r="DY97" s="43"/>
      <c r="DZ97" s="43"/>
      <c r="EA97" s="43"/>
      <c r="EB97" s="43"/>
      <c r="EC97" s="43"/>
      <c r="ED97" s="43"/>
      <c r="EE97" s="43"/>
      <c r="EF97" s="43"/>
      <c r="EG97" s="43"/>
      <c r="EH97" s="43"/>
      <c r="EI97" s="43"/>
      <c r="EJ97" s="43"/>
      <c r="EK97" s="43"/>
      <c r="EL97" s="43"/>
      <c r="EM97" s="43"/>
      <c r="EN97" s="43"/>
      <c r="EO97" s="43"/>
      <c r="EP97" s="43"/>
      <c r="EQ97" s="43"/>
      <c r="ER97" s="43"/>
      <c r="ES97" s="43"/>
      <c r="ET97" s="43"/>
      <c r="EU97" s="43"/>
      <c r="EV97" s="43"/>
      <c r="EW97" s="43"/>
      <c r="EX97" s="43"/>
      <c r="EY97" s="43"/>
      <c r="EZ97" s="43"/>
      <c r="FA97" s="43"/>
      <c r="FB97" s="43"/>
      <c r="FC97" s="43"/>
      <c r="FD97" s="43"/>
      <c r="FE97" s="43"/>
      <c r="FF97" s="43"/>
      <c r="FG97" s="43"/>
      <c r="FH97" s="43"/>
      <c r="FI97" s="43"/>
      <c r="FJ97" s="43"/>
      <c r="FK97" s="43"/>
      <c r="FL97" s="43"/>
      <c r="FM97" s="43"/>
      <c r="FN97" s="43"/>
      <c r="FO97" s="43"/>
      <c r="FP97" s="43"/>
      <c r="FQ97" s="43"/>
      <c r="FR97" s="43"/>
      <c r="FS97" s="43"/>
      <c r="FT97" s="43"/>
      <c r="FU97" s="43"/>
      <c r="FV97" s="43"/>
      <c r="FW97" s="43"/>
      <c r="FX97" s="43"/>
      <c r="FY97" s="43"/>
      <c r="FZ97" s="43"/>
      <c r="GA97" s="43"/>
      <c r="GB97" s="43"/>
      <c r="GC97" s="43"/>
      <c r="GD97" s="43"/>
      <c r="GE97" s="43"/>
      <c r="GF97" s="43"/>
      <c r="GG97" s="43"/>
      <c r="GH97" s="43"/>
      <c r="GI97" s="43"/>
      <c r="GJ97" s="43"/>
      <c r="GK97" s="43"/>
      <c r="GL97" s="43"/>
      <c r="GM97" s="43"/>
      <c r="GN97" s="43"/>
      <c r="GO97" s="43"/>
      <c r="GP97" s="43"/>
      <c r="GQ97" s="43"/>
      <c r="GR97" s="43"/>
      <c r="GS97" s="43"/>
      <c r="GT97" s="43"/>
      <c r="GU97" s="43"/>
      <c r="GV97" s="43"/>
      <c r="GW97" s="43"/>
      <c r="GX97" s="43"/>
      <c r="GY97" s="43"/>
      <c r="GZ97" s="43"/>
      <c r="HA97" s="43"/>
      <c r="HB97" s="43"/>
      <c r="HC97" s="43"/>
      <c r="HD97" s="43"/>
      <c r="HE97" s="43"/>
      <c r="HF97" s="43"/>
      <c r="HG97" s="43"/>
      <c r="HH97" s="43"/>
      <c r="HI97" s="43"/>
      <c r="HJ97" s="43"/>
      <c r="HK97" s="43"/>
      <c r="HL97" s="43"/>
      <c r="HM97" s="43"/>
      <c r="HN97" s="43"/>
      <c r="HO97" s="43"/>
      <c r="HP97" s="43"/>
      <c r="HQ97" s="43"/>
      <c r="HR97" s="43"/>
      <c r="HS97" s="43"/>
      <c r="HT97" s="43"/>
      <c r="HU97" s="43"/>
      <c r="HV97" s="43"/>
      <c r="HW97" s="43"/>
      <c r="HX97" s="43"/>
      <c r="HY97" s="43"/>
      <c r="HZ97" s="43"/>
      <c r="IA97" s="43"/>
      <c r="IB97" s="43"/>
      <c r="IC97" s="43"/>
      <c r="ID97" s="43"/>
      <c r="IE97" s="43"/>
      <c r="IF97" s="43"/>
      <c r="IG97" s="43"/>
      <c r="IH97" s="43"/>
      <c r="II97" s="43"/>
      <c r="IJ97" s="43"/>
      <c r="IK97" s="43"/>
      <c r="IL97" s="43"/>
      <c r="IM97" s="43"/>
      <c r="IN97" s="43"/>
      <c r="IO97" s="43"/>
      <c r="IP97" s="43"/>
      <c r="IQ97" s="43"/>
      <c r="IR97" s="43"/>
      <c r="IS97" s="43"/>
      <c r="IT97" s="43"/>
      <c r="IU97" s="43"/>
      <c r="IV97" s="43"/>
      <c r="IW97" s="43"/>
      <c r="IX97" s="43"/>
      <c r="IY97" s="43"/>
      <c r="IZ97" s="43"/>
      <c r="JA97" s="43"/>
      <c r="JB97" s="43"/>
      <c r="JC97" s="43"/>
      <c r="JD97" s="43"/>
      <c r="JE97" s="43"/>
      <c r="JF97" s="43"/>
      <c r="JG97" s="43"/>
      <c r="JH97" s="43"/>
      <c r="JI97" s="43"/>
      <c r="JJ97" s="43"/>
      <c r="JK97" s="43"/>
      <c r="JL97" s="43"/>
      <c r="JM97" s="43"/>
      <c r="JN97" s="43"/>
      <c r="JO97" s="43"/>
      <c r="JP97" s="43"/>
      <c r="JQ97" s="43"/>
      <c r="JR97" s="43"/>
      <c r="JS97" s="43"/>
      <c r="JT97" s="43"/>
      <c r="JU97" s="43"/>
      <c r="JV97" s="43"/>
      <c r="JW97" s="43"/>
      <c r="JX97" s="43"/>
      <c r="JY97" s="43"/>
      <c r="JZ97" s="43"/>
      <c r="KA97" s="43"/>
      <c r="KB97" s="43"/>
      <c r="KC97" s="43"/>
      <c r="KD97" s="43"/>
      <c r="KE97" s="43"/>
      <c r="KF97" s="43"/>
      <c r="KG97" s="43"/>
      <c r="KH97" s="43"/>
      <c r="KI97" s="43"/>
      <c r="KJ97" s="43"/>
      <c r="KK97" s="43"/>
      <c r="KL97" s="43"/>
      <c r="KM97" s="43"/>
      <c r="KN97" s="43"/>
      <c r="KO97" s="43"/>
      <c r="KP97" s="43"/>
      <c r="KQ97" s="43"/>
      <c r="KR97" s="43"/>
      <c r="KS97" s="43"/>
      <c r="KT97" s="43"/>
      <c r="KU97" s="43"/>
      <c r="KV97" s="43"/>
      <c r="KW97" s="43"/>
      <c r="KX97" s="43"/>
      <c r="KY97" s="43"/>
      <c r="KZ97" s="43"/>
      <c r="LA97" s="43"/>
      <c r="LB97" s="43"/>
      <c r="LC97" s="43"/>
      <c r="LD97" s="43"/>
      <c r="LE97" s="43"/>
      <c r="LF97" s="43"/>
      <c r="LG97" s="43"/>
      <c r="LH97" s="43"/>
      <c r="LI97" s="43"/>
      <c r="LJ97" s="43"/>
      <c r="LK97" s="43"/>
      <c r="LL97" s="43"/>
      <c r="LM97" s="43"/>
      <c r="LN97" s="43"/>
      <c r="LO97" s="43"/>
      <c r="LP97" s="43"/>
      <c r="LQ97" s="43"/>
      <c r="LR97" s="43"/>
      <c r="LS97" s="43"/>
      <c r="LT97" s="43"/>
      <c r="LU97" s="43"/>
      <c r="LV97" s="43"/>
      <c r="LW97" s="43"/>
      <c r="LX97" s="43"/>
      <c r="LY97" s="43"/>
      <c r="LZ97" s="43"/>
      <c r="MA97" s="43"/>
      <c r="MB97" s="43"/>
      <c r="MC97" s="43"/>
      <c r="MD97" s="43"/>
      <c r="ME97" s="43"/>
      <c r="MF97" s="43"/>
      <c r="MG97" s="43"/>
      <c r="MH97" s="43"/>
      <c r="MI97" s="43"/>
      <c r="MJ97" s="43"/>
      <c r="MK97" s="43"/>
      <c r="ML97" s="43"/>
      <c r="MM97" s="43"/>
      <c r="MN97" s="43"/>
      <c r="MO97" s="43"/>
      <c r="MP97" s="43"/>
      <c r="MQ97" s="43"/>
      <c r="MR97" s="43"/>
      <c r="MS97" s="43"/>
      <c r="MT97" s="43"/>
      <c r="MU97" s="43"/>
      <c r="MV97" s="43"/>
      <c r="MW97" s="43"/>
      <c r="MX97" s="43"/>
      <c r="MY97" s="43"/>
      <c r="MZ97" s="43"/>
      <c r="NA97" s="43"/>
      <c r="NB97" s="43"/>
      <c r="NC97" s="43"/>
      <c r="ND97" s="43"/>
      <c r="NE97" s="43"/>
      <c r="NF97" s="43"/>
      <c r="NG97" s="43"/>
      <c r="NH97" s="43"/>
      <c r="NI97" s="43"/>
      <c r="NJ97" s="43"/>
      <c r="NK97" s="43"/>
      <c r="NL97" s="43"/>
      <c r="NM97" s="43"/>
      <c r="NN97" s="43"/>
      <c r="NO97" s="43"/>
      <c r="NP97" s="43"/>
      <c r="NQ97" s="43"/>
      <c r="NR97" s="43"/>
      <c r="NS97" s="43"/>
      <c r="NT97" s="43"/>
      <c r="NU97" s="43"/>
      <c r="NV97" s="43"/>
      <c r="NW97" s="43"/>
      <c r="NX97" s="43"/>
      <c r="NY97" s="43"/>
      <c r="NZ97" s="43"/>
      <c r="OA97" s="43"/>
      <c r="OB97" s="43"/>
      <c r="OC97" s="43"/>
      <c r="OD97" s="43"/>
      <c r="OE97" s="43"/>
      <c r="OF97" s="43"/>
      <c r="OG97" s="43"/>
      <c r="OH97" s="43"/>
      <c r="OI97" s="43"/>
      <c r="OJ97" s="43"/>
      <c r="OK97" s="43"/>
      <c r="OL97" s="43"/>
      <c r="OM97" s="43"/>
      <c r="ON97" s="43"/>
      <c r="OO97" s="43"/>
      <c r="OP97" s="43"/>
      <c r="OQ97" s="43"/>
      <c r="OR97" s="43"/>
      <c r="OS97" s="43"/>
      <c r="OT97" s="43"/>
      <c r="OU97" s="43"/>
      <c r="OV97" s="43"/>
      <c r="OW97" s="43"/>
      <c r="OX97" s="43"/>
      <c r="OY97" s="43"/>
      <c r="OZ97" s="43"/>
      <c r="PA97" s="43"/>
      <c r="PB97" s="43"/>
      <c r="PC97" s="43"/>
      <c r="PD97" s="43"/>
      <c r="PE97" s="43"/>
      <c r="PF97" s="43"/>
      <c r="PG97" s="43"/>
      <c r="PH97" s="43"/>
      <c r="PI97" s="43"/>
      <c r="PJ97" s="43"/>
      <c r="PK97" s="43"/>
      <c r="PL97" s="43"/>
      <c r="PM97" s="43"/>
      <c r="PN97" s="43"/>
      <c r="PO97" s="43"/>
      <c r="PP97" s="43"/>
      <c r="PQ97" s="43"/>
      <c r="PR97" s="43"/>
      <c r="PS97" s="43"/>
      <c r="PT97" s="43"/>
      <c r="PU97" s="43"/>
      <c r="PV97" s="43"/>
      <c r="PW97" s="43"/>
      <c r="PX97" s="43"/>
      <c r="PY97" s="43"/>
      <c r="PZ97" s="43"/>
      <c r="QA97" s="43"/>
      <c r="QB97" s="43"/>
      <c r="QC97" s="43"/>
    </row>
    <row r="98" spans="1:445" x14ac:dyDescent="0.3">
      <c r="A98" s="85"/>
      <c r="B98" s="84"/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6"/>
      <c r="O98" s="84"/>
      <c r="P98" s="84"/>
      <c r="Q98" s="84"/>
      <c r="R98" s="84"/>
      <c r="S98" s="84"/>
      <c r="T98" s="46" t="str">
        <f t="shared" si="9"/>
        <v/>
      </c>
      <c r="U98" s="46" t="str">
        <f t="shared" si="10"/>
        <v/>
      </c>
      <c r="V98" s="72" t="str">
        <f t="shared" si="11"/>
        <v/>
      </c>
      <c r="W98" s="48"/>
      <c r="X98" s="73" t="str">
        <f t="shared" si="12"/>
        <v/>
      </c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43"/>
      <c r="BN98" s="43"/>
      <c r="BO98" s="43"/>
      <c r="BP98" s="43"/>
      <c r="BQ98" s="43"/>
      <c r="BR98" s="43"/>
      <c r="BS98" s="43"/>
      <c r="BT98" s="43"/>
      <c r="BU98" s="43"/>
      <c r="BV98" s="43"/>
      <c r="BW98" s="43"/>
      <c r="BX98" s="43"/>
      <c r="BY98" s="43"/>
      <c r="BZ98" s="43"/>
      <c r="CA98" s="43"/>
      <c r="CB98" s="43"/>
      <c r="CC98" s="4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43"/>
      <c r="CY98" s="43"/>
      <c r="CZ98" s="43"/>
      <c r="DA98" s="43"/>
      <c r="DB98" s="43"/>
      <c r="DC98" s="43"/>
      <c r="DD98" s="43"/>
      <c r="DE98" s="43"/>
      <c r="DF98" s="43"/>
      <c r="DG98" s="43"/>
      <c r="DH98" s="43"/>
      <c r="DI98" s="43"/>
      <c r="DJ98" s="43"/>
      <c r="DK98" s="43"/>
      <c r="DL98" s="43"/>
      <c r="DM98" s="43"/>
      <c r="DN98" s="43"/>
      <c r="DO98" s="43"/>
      <c r="DP98" s="43"/>
      <c r="DQ98" s="43"/>
      <c r="DR98" s="43"/>
      <c r="DS98" s="43"/>
      <c r="DT98" s="43"/>
      <c r="DU98" s="43"/>
      <c r="DV98" s="43"/>
      <c r="DW98" s="43"/>
      <c r="DX98" s="43"/>
      <c r="DY98" s="43"/>
      <c r="DZ98" s="43"/>
      <c r="EA98" s="43"/>
      <c r="EB98" s="43"/>
      <c r="EC98" s="43"/>
      <c r="ED98" s="43"/>
      <c r="EE98" s="43"/>
      <c r="EF98" s="43"/>
      <c r="EG98" s="43"/>
      <c r="EH98" s="43"/>
      <c r="EI98" s="43"/>
      <c r="EJ98" s="43"/>
      <c r="EK98" s="43"/>
      <c r="EL98" s="43"/>
      <c r="EM98" s="43"/>
      <c r="EN98" s="43"/>
      <c r="EO98" s="43"/>
      <c r="EP98" s="43"/>
      <c r="EQ98" s="43"/>
      <c r="ER98" s="43"/>
      <c r="ES98" s="43"/>
      <c r="ET98" s="43"/>
      <c r="EU98" s="43"/>
      <c r="EV98" s="43"/>
      <c r="EW98" s="43"/>
      <c r="EX98" s="43"/>
      <c r="EY98" s="43"/>
      <c r="EZ98" s="43"/>
      <c r="FA98" s="43"/>
      <c r="FB98" s="43"/>
      <c r="FC98" s="43"/>
      <c r="FD98" s="43"/>
      <c r="FE98" s="43"/>
      <c r="FF98" s="43"/>
      <c r="FG98" s="43"/>
      <c r="FH98" s="43"/>
      <c r="FI98" s="43"/>
      <c r="FJ98" s="43"/>
      <c r="FK98" s="43"/>
      <c r="FL98" s="43"/>
      <c r="FM98" s="43"/>
      <c r="FN98" s="43"/>
      <c r="FO98" s="43"/>
      <c r="FP98" s="43"/>
      <c r="FQ98" s="43"/>
      <c r="FR98" s="43"/>
      <c r="FS98" s="43"/>
      <c r="FT98" s="43"/>
      <c r="FU98" s="43"/>
      <c r="FV98" s="43"/>
      <c r="FW98" s="43"/>
      <c r="FX98" s="43"/>
      <c r="FY98" s="43"/>
      <c r="FZ98" s="43"/>
      <c r="GA98" s="43"/>
      <c r="GB98" s="43"/>
      <c r="GC98" s="43"/>
      <c r="GD98" s="43"/>
      <c r="GE98" s="43"/>
      <c r="GF98" s="43"/>
      <c r="GG98" s="43"/>
      <c r="GH98" s="43"/>
      <c r="GI98" s="43"/>
      <c r="GJ98" s="43"/>
      <c r="GK98" s="43"/>
      <c r="GL98" s="43"/>
      <c r="GM98" s="43"/>
      <c r="GN98" s="43"/>
      <c r="GO98" s="43"/>
      <c r="GP98" s="43"/>
      <c r="GQ98" s="43"/>
      <c r="GR98" s="43"/>
      <c r="GS98" s="43"/>
      <c r="GT98" s="43"/>
      <c r="GU98" s="43"/>
      <c r="GV98" s="43"/>
      <c r="GW98" s="43"/>
      <c r="GX98" s="43"/>
      <c r="GY98" s="43"/>
      <c r="GZ98" s="43"/>
      <c r="HA98" s="43"/>
      <c r="HB98" s="43"/>
      <c r="HC98" s="43"/>
      <c r="HD98" s="43"/>
      <c r="HE98" s="43"/>
      <c r="HF98" s="43"/>
      <c r="HG98" s="43"/>
      <c r="HH98" s="43"/>
      <c r="HI98" s="43"/>
      <c r="HJ98" s="43"/>
      <c r="HK98" s="43"/>
      <c r="HL98" s="43"/>
      <c r="HM98" s="43"/>
      <c r="HN98" s="43"/>
      <c r="HO98" s="43"/>
      <c r="HP98" s="43"/>
      <c r="HQ98" s="43"/>
      <c r="HR98" s="43"/>
      <c r="HS98" s="43"/>
      <c r="HT98" s="43"/>
      <c r="HU98" s="43"/>
      <c r="HV98" s="43"/>
      <c r="HW98" s="43"/>
      <c r="HX98" s="43"/>
      <c r="HY98" s="43"/>
      <c r="HZ98" s="43"/>
      <c r="IA98" s="43"/>
      <c r="IB98" s="43"/>
      <c r="IC98" s="43"/>
      <c r="ID98" s="43"/>
      <c r="IE98" s="43"/>
      <c r="IF98" s="43"/>
      <c r="IG98" s="43"/>
      <c r="IH98" s="43"/>
      <c r="II98" s="43"/>
      <c r="IJ98" s="43"/>
      <c r="IK98" s="43"/>
      <c r="IL98" s="43"/>
      <c r="IM98" s="43"/>
      <c r="IN98" s="43"/>
      <c r="IO98" s="43"/>
      <c r="IP98" s="43"/>
      <c r="IQ98" s="43"/>
      <c r="IR98" s="43"/>
      <c r="IS98" s="43"/>
      <c r="IT98" s="43"/>
      <c r="IU98" s="43"/>
      <c r="IV98" s="43"/>
      <c r="IW98" s="43"/>
      <c r="IX98" s="43"/>
      <c r="IY98" s="43"/>
      <c r="IZ98" s="43"/>
      <c r="JA98" s="43"/>
      <c r="JB98" s="43"/>
      <c r="JC98" s="43"/>
      <c r="JD98" s="43"/>
      <c r="JE98" s="43"/>
      <c r="JF98" s="43"/>
      <c r="JG98" s="43"/>
      <c r="JH98" s="43"/>
      <c r="JI98" s="43"/>
      <c r="JJ98" s="43"/>
      <c r="JK98" s="43"/>
      <c r="JL98" s="43"/>
      <c r="JM98" s="43"/>
      <c r="JN98" s="43"/>
      <c r="JO98" s="43"/>
      <c r="JP98" s="43"/>
      <c r="JQ98" s="43"/>
      <c r="JR98" s="43"/>
      <c r="JS98" s="43"/>
      <c r="JT98" s="43"/>
      <c r="JU98" s="43"/>
      <c r="JV98" s="43"/>
      <c r="JW98" s="43"/>
      <c r="JX98" s="43"/>
      <c r="JY98" s="43"/>
      <c r="JZ98" s="43"/>
      <c r="KA98" s="43"/>
      <c r="KB98" s="43"/>
      <c r="KC98" s="43"/>
      <c r="KD98" s="43"/>
      <c r="KE98" s="43"/>
      <c r="KF98" s="43"/>
      <c r="KG98" s="43"/>
      <c r="KH98" s="43"/>
      <c r="KI98" s="43"/>
      <c r="KJ98" s="43"/>
      <c r="KK98" s="43"/>
      <c r="KL98" s="43"/>
      <c r="KM98" s="43"/>
      <c r="KN98" s="43"/>
      <c r="KO98" s="43"/>
      <c r="KP98" s="43"/>
      <c r="KQ98" s="43"/>
      <c r="KR98" s="43"/>
      <c r="KS98" s="43"/>
      <c r="KT98" s="43"/>
      <c r="KU98" s="43"/>
      <c r="KV98" s="43"/>
      <c r="KW98" s="43"/>
      <c r="KX98" s="43"/>
      <c r="KY98" s="43"/>
      <c r="KZ98" s="43"/>
      <c r="LA98" s="43"/>
      <c r="LB98" s="43"/>
      <c r="LC98" s="43"/>
      <c r="LD98" s="43"/>
      <c r="LE98" s="43"/>
      <c r="LF98" s="43"/>
      <c r="LG98" s="43"/>
      <c r="LH98" s="43"/>
      <c r="LI98" s="43"/>
      <c r="LJ98" s="43"/>
      <c r="LK98" s="43"/>
      <c r="LL98" s="43"/>
      <c r="LM98" s="43"/>
      <c r="LN98" s="43"/>
      <c r="LO98" s="43"/>
      <c r="LP98" s="43"/>
      <c r="LQ98" s="43"/>
      <c r="LR98" s="43"/>
      <c r="LS98" s="43"/>
      <c r="LT98" s="43"/>
      <c r="LU98" s="43"/>
      <c r="LV98" s="43"/>
      <c r="LW98" s="43"/>
      <c r="LX98" s="43"/>
      <c r="LY98" s="43"/>
      <c r="LZ98" s="43"/>
      <c r="MA98" s="43"/>
      <c r="MB98" s="43"/>
      <c r="MC98" s="43"/>
      <c r="MD98" s="43"/>
      <c r="ME98" s="43"/>
      <c r="MF98" s="43"/>
      <c r="MG98" s="43"/>
      <c r="MH98" s="43"/>
      <c r="MI98" s="43"/>
      <c r="MJ98" s="43"/>
      <c r="MK98" s="43"/>
      <c r="ML98" s="43"/>
      <c r="MM98" s="43"/>
      <c r="MN98" s="43"/>
      <c r="MO98" s="43"/>
      <c r="MP98" s="43"/>
      <c r="MQ98" s="43"/>
      <c r="MR98" s="43"/>
      <c r="MS98" s="43"/>
      <c r="MT98" s="43"/>
      <c r="MU98" s="43"/>
      <c r="MV98" s="43"/>
      <c r="MW98" s="43"/>
      <c r="MX98" s="43"/>
      <c r="MY98" s="43"/>
      <c r="MZ98" s="43"/>
      <c r="NA98" s="43"/>
      <c r="NB98" s="43"/>
      <c r="NC98" s="43"/>
      <c r="ND98" s="43"/>
      <c r="NE98" s="43"/>
      <c r="NF98" s="43"/>
      <c r="NG98" s="43"/>
      <c r="NH98" s="43"/>
      <c r="NI98" s="43"/>
      <c r="NJ98" s="43"/>
      <c r="NK98" s="43"/>
      <c r="NL98" s="43"/>
      <c r="NM98" s="43"/>
      <c r="NN98" s="43"/>
      <c r="NO98" s="43"/>
      <c r="NP98" s="43"/>
      <c r="NQ98" s="43"/>
      <c r="NR98" s="43"/>
      <c r="NS98" s="43"/>
      <c r="NT98" s="43"/>
      <c r="NU98" s="43"/>
      <c r="NV98" s="43"/>
      <c r="NW98" s="43"/>
      <c r="NX98" s="43"/>
      <c r="NY98" s="43"/>
      <c r="NZ98" s="43"/>
      <c r="OA98" s="43"/>
      <c r="OB98" s="43"/>
      <c r="OC98" s="43"/>
      <c r="OD98" s="43"/>
      <c r="OE98" s="43"/>
      <c r="OF98" s="43"/>
      <c r="OG98" s="43"/>
      <c r="OH98" s="43"/>
      <c r="OI98" s="43"/>
      <c r="OJ98" s="43"/>
      <c r="OK98" s="43"/>
      <c r="OL98" s="43"/>
      <c r="OM98" s="43"/>
      <c r="ON98" s="43"/>
      <c r="OO98" s="43"/>
      <c r="OP98" s="43"/>
      <c r="OQ98" s="43"/>
      <c r="OR98" s="43"/>
      <c r="OS98" s="43"/>
      <c r="OT98" s="43"/>
      <c r="OU98" s="43"/>
      <c r="OV98" s="43"/>
      <c r="OW98" s="43"/>
      <c r="OX98" s="43"/>
      <c r="OY98" s="43"/>
      <c r="OZ98" s="43"/>
      <c r="PA98" s="43"/>
      <c r="PB98" s="43"/>
      <c r="PC98" s="43"/>
      <c r="PD98" s="43"/>
      <c r="PE98" s="43"/>
      <c r="PF98" s="43"/>
      <c r="PG98" s="43"/>
      <c r="PH98" s="43"/>
      <c r="PI98" s="43"/>
      <c r="PJ98" s="43"/>
      <c r="PK98" s="43"/>
      <c r="PL98" s="43"/>
      <c r="PM98" s="43"/>
      <c r="PN98" s="43"/>
      <c r="PO98" s="43"/>
      <c r="PP98" s="43"/>
      <c r="PQ98" s="43"/>
      <c r="PR98" s="43"/>
      <c r="PS98" s="43"/>
      <c r="PT98" s="43"/>
      <c r="PU98" s="43"/>
      <c r="PV98" s="43"/>
      <c r="PW98" s="43"/>
      <c r="PX98" s="43"/>
      <c r="PY98" s="43"/>
      <c r="PZ98" s="43"/>
      <c r="QA98" s="43"/>
      <c r="QB98" s="43"/>
      <c r="QC98" s="43"/>
    </row>
    <row r="99" spans="1:445" x14ac:dyDescent="0.3">
      <c r="A99" s="85"/>
      <c r="B99" s="84"/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46" t="str">
        <f t="shared" si="9"/>
        <v/>
      </c>
      <c r="U99" s="46" t="str">
        <f t="shared" si="10"/>
        <v/>
      </c>
      <c r="V99" s="72" t="str">
        <f t="shared" si="11"/>
        <v/>
      </c>
      <c r="W99" s="48"/>
      <c r="X99" s="73" t="str">
        <f t="shared" si="12"/>
        <v/>
      </c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43"/>
      <c r="BN99" s="43"/>
      <c r="BO99" s="43"/>
      <c r="BP99" s="43"/>
      <c r="BQ99" s="43"/>
      <c r="BR99" s="43"/>
      <c r="BS99" s="43"/>
      <c r="BT99" s="43"/>
      <c r="BU99" s="43"/>
      <c r="BV99" s="43"/>
      <c r="BW99" s="43"/>
      <c r="BX99" s="43"/>
      <c r="BY99" s="43"/>
      <c r="BZ99" s="43"/>
      <c r="CA99" s="43"/>
      <c r="CB99" s="43"/>
      <c r="CC99" s="4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43"/>
      <c r="CY99" s="43"/>
      <c r="CZ99" s="43"/>
      <c r="DA99" s="43"/>
      <c r="DB99" s="43"/>
      <c r="DC99" s="43"/>
      <c r="DD99" s="43"/>
      <c r="DE99" s="43"/>
      <c r="DF99" s="43"/>
      <c r="DG99" s="43"/>
      <c r="DH99" s="43"/>
      <c r="DI99" s="43"/>
      <c r="DJ99" s="43"/>
      <c r="DK99" s="43"/>
      <c r="DL99" s="43"/>
      <c r="DM99" s="43"/>
      <c r="DN99" s="43"/>
      <c r="DO99" s="43"/>
      <c r="DP99" s="43"/>
      <c r="DQ99" s="43"/>
      <c r="DR99" s="43"/>
      <c r="DS99" s="43"/>
      <c r="DT99" s="43"/>
      <c r="DU99" s="43"/>
      <c r="DV99" s="43"/>
      <c r="DW99" s="43"/>
      <c r="DX99" s="43"/>
      <c r="DY99" s="43"/>
      <c r="DZ99" s="43"/>
      <c r="EA99" s="43"/>
      <c r="EB99" s="43"/>
      <c r="EC99" s="43"/>
      <c r="ED99" s="43"/>
      <c r="EE99" s="43"/>
      <c r="EF99" s="43"/>
      <c r="EG99" s="43"/>
      <c r="EH99" s="43"/>
      <c r="EI99" s="43"/>
      <c r="EJ99" s="43"/>
      <c r="EK99" s="43"/>
      <c r="EL99" s="43"/>
      <c r="EM99" s="43"/>
      <c r="EN99" s="43"/>
      <c r="EO99" s="43"/>
      <c r="EP99" s="43"/>
      <c r="EQ99" s="43"/>
      <c r="ER99" s="43"/>
      <c r="ES99" s="43"/>
      <c r="ET99" s="43"/>
      <c r="EU99" s="43"/>
      <c r="EV99" s="43"/>
      <c r="EW99" s="43"/>
      <c r="EX99" s="43"/>
      <c r="EY99" s="43"/>
      <c r="EZ99" s="43"/>
      <c r="FA99" s="43"/>
      <c r="FB99" s="43"/>
      <c r="FC99" s="43"/>
      <c r="FD99" s="43"/>
      <c r="FE99" s="43"/>
      <c r="FF99" s="43"/>
      <c r="FG99" s="43"/>
      <c r="FH99" s="43"/>
      <c r="FI99" s="43"/>
      <c r="FJ99" s="43"/>
      <c r="FK99" s="43"/>
      <c r="FL99" s="43"/>
      <c r="FM99" s="43"/>
      <c r="FN99" s="43"/>
      <c r="FO99" s="43"/>
      <c r="FP99" s="43"/>
      <c r="FQ99" s="43"/>
      <c r="FR99" s="43"/>
      <c r="FS99" s="43"/>
      <c r="FT99" s="43"/>
      <c r="FU99" s="43"/>
      <c r="FV99" s="43"/>
      <c r="FW99" s="43"/>
      <c r="FX99" s="43"/>
      <c r="FY99" s="43"/>
      <c r="FZ99" s="43"/>
      <c r="GA99" s="43"/>
      <c r="GB99" s="43"/>
      <c r="GC99" s="43"/>
      <c r="GD99" s="43"/>
      <c r="GE99" s="43"/>
      <c r="GF99" s="43"/>
      <c r="GG99" s="43"/>
      <c r="GH99" s="43"/>
      <c r="GI99" s="43"/>
      <c r="GJ99" s="43"/>
      <c r="GK99" s="43"/>
      <c r="GL99" s="43"/>
      <c r="GM99" s="43"/>
      <c r="GN99" s="43"/>
      <c r="GO99" s="43"/>
      <c r="GP99" s="43"/>
      <c r="GQ99" s="43"/>
      <c r="GR99" s="43"/>
      <c r="GS99" s="43"/>
      <c r="GT99" s="43"/>
      <c r="GU99" s="43"/>
      <c r="GV99" s="43"/>
      <c r="GW99" s="43"/>
      <c r="GX99" s="43"/>
      <c r="GY99" s="43"/>
      <c r="GZ99" s="43"/>
      <c r="HA99" s="43"/>
      <c r="HB99" s="43"/>
      <c r="HC99" s="43"/>
      <c r="HD99" s="43"/>
      <c r="HE99" s="43"/>
      <c r="HF99" s="43"/>
      <c r="HG99" s="43"/>
      <c r="HH99" s="43"/>
      <c r="HI99" s="43"/>
      <c r="HJ99" s="43"/>
      <c r="HK99" s="43"/>
      <c r="HL99" s="43"/>
      <c r="HM99" s="43"/>
      <c r="HN99" s="43"/>
      <c r="HO99" s="43"/>
      <c r="HP99" s="43"/>
      <c r="HQ99" s="43"/>
      <c r="HR99" s="43"/>
      <c r="HS99" s="43"/>
      <c r="HT99" s="43"/>
      <c r="HU99" s="43"/>
      <c r="HV99" s="43"/>
      <c r="HW99" s="43"/>
      <c r="HX99" s="43"/>
      <c r="HY99" s="43"/>
      <c r="HZ99" s="43"/>
      <c r="IA99" s="43"/>
      <c r="IB99" s="43"/>
      <c r="IC99" s="43"/>
      <c r="ID99" s="43"/>
      <c r="IE99" s="43"/>
      <c r="IF99" s="43"/>
      <c r="IG99" s="43"/>
      <c r="IH99" s="43"/>
      <c r="II99" s="43"/>
      <c r="IJ99" s="43"/>
      <c r="IK99" s="43"/>
      <c r="IL99" s="43"/>
      <c r="IM99" s="43"/>
      <c r="IN99" s="43"/>
      <c r="IO99" s="43"/>
      <c r="IP99" s="43"/>
      <c r="IQ99" s="43"/>
      <c r="IR99" s="43"/>
      <c r="IS99" s="43"/>
      <c r="IT99" s="43"/>
      <c r="IU99" s="43"/>
      <c r="IV99" s="43"/>
      <c r="IW99" s="43"/>
      <c r="IX99" s="43"/>
      <c r="IY99" s="43"/>
      <c r="IZ99" s="43"/>
      <c r="JA99" s="43"/>
      <c r="JB99" s="43"/>
      <c r="JC99" s="43"/>
      <c r="JD99" s="43"/>
      <c r="JE99" s="43"/>
      <c r="JF99" s="43"/>
      <c r="JG99" s="43"/>
      <c r="JH99" s="43"/>
      <c r="JI99" s="43"/>
      <c r="JJ99" s="43"/>
      <c r="JK99" s="43"/>
      <c r="JL99" s="43"/>
      <c r="JM99" s="43"/>
      <c r="JN99" s="43"/>
      <c r="JO99" s="43"/>
      <c r="JP99" s="43"/>
      <c r="JQ99" s="43"/>
      <c r="JR99" s="43"/>
      <c r="JS99" s="43"/>
      <c r="JT99" s="43"/>
      <c r="JU99" s="43"/>
      <c r="JV99" s="43"/>
      <c r="JW99" s="43"/>
      <c r="JX99" s="43"/>
      <c r="JY99" s="43"/>
      <c r="JZ99" s="43"/>
      <c r="KA99" s="43"/>
      <c r="KB99" s="43"/>
      <c r="KC99" s="43"/>
      <c r="KD99" s="43"/>
      <c r="KE99" s="43"/>
      <c r="KF99" s="43"/>
      <c r="KG99" s="43"/>
      <c r="KH99" s="43"/>
      <c r="KI99" s="43"/>
      <c r="KJ99" s="43"/>
      <c r="KK99" s="43"/>
      <c r="KL99" s="43"/>
      <c r="KM99" s="43"/>
      <c r="KN99" s="43"/>
      <c r="KO99" s="43"/>
      <c r="KP99" s="43"/>
      <c r="KQ99" s="43"/>
      <c r="KR99" s="43"/>
      <c r="KS99" s="43"/>
      <c r="KT99" s="43"/>
      <c r="KU99" s="43"/>
      <c r="KV99" s="43"/>
      <c r="KW99" s="43"/>
      <c r="KX99" s="43"/>
      <c r="KY99" s="43"/>
      <c r="KZ99" s="43"/>
      <c r="LA99" s="43"/>
      <c r="LB99" s="43"/>
      <c r="LC99" s="43"/>
      <c r="LD99" s="43"/>
      <c r="LE99" s="43"/>
      <c r="LF99" s="43"/>
      <c r="LG99" s="43"/>
      <c r="LH99" s="43"/>
      <c r="LI99" s="43"/>
      <c r="LJ99" s="43"/>
      <c r="LK99" s="43"/>
      <c r="LL99" s="43"/>
      <c r="LM99" s="43"/>
      <c r="LN99" s="43"/>
      <c r="LO99" s="43"/>
      <c r="LP99" s="43"/>
      <c r="LQ99" s="43"/>
      <c r="LR99" s="43"/>
      <c r="LS99" s="43"/>
      <c r="LT99" s="43"/>
      <c r="LU99" s="43"/>
      <c r="LV99" s="43"/>
      <c r="LW99" s="43"/>
      <c r="LX99" s="43"/>
      <c r="LY99" s="43"/>
      <c r="LZ99" s="43"/>
      <c r="MA99" s="43"/>
      <c r="MB99" s="43"/>
      <c r="MC99" s="43"/>
      <c r="MD99" s="43"/>
      <c r="ME99" s="43"/>
      <c r="MF99" s="43"/>
      <c r="MG99" s="43"/>
      <c r="MH99" s="43"/>
      <c r="MI99" s="43"/>
      <c r="MJ99" s="43"/>
      <c r="MK99" s="43"/>
      <c r="ML99" s="43"/>
      <c r="MM99" s="43"/>
      <c r="MN99" s="43"/>
      <c r="MO99" s="43"/>
      <c r="MP99" s="43"/>
      <c r="MQ99" s="43"/>
      <c r="MR99" s="43"/>
      <c r="MS99" s="43"/>
      <c r="MT99" s="43"/>
      <c r="MU99" s="43"/>
      <c r="MV99" s="43"/>
      <c r="MW99" s="43"/>
      <c r="MX99" s="43"/>
      <c r="MY99" s="43"/>
      <c r="MZ99" s="43"/>
      <c r="NA99" s="43"/>
      <c r="NB99" s="43"/>
      <c r="NC99" s="43"/>
      <c r="ND99" s="43"/>
      <c r="NE99" s="43"/>
      <c r="NF99" s="43"/>
      <c r="NG99" s="43"/>
      <c r="NH99" s="43"/>
      <c r="NI99" s="43"/>
      <c r="NJ99" s="43"/>
      <c r="NK99" s="43"/>
      <c r="NL99" s="43"/>
      <c r="NM99" s="43"/>
      <c r="NN99" s="43"/>
      <c r="NO99" s="43"/>
      <c r="NP99" s="43"/>
      <c r="NQ99" s="43"/>
      <c r="NR99" s="43"/>
      <c r="NS99" s="43"/>
      <c r="NT99" s="43"/>
      <c r="NU99" s="43"/>
      <c r="NV99" s="43"/>
      <c r="NW99" s="43"/>
      <c r="NX99" s="43"/>
      <c r="NY99" s="43"/>
      <c r="NZ99" s="43"/>
      <c r="OA99" s="43"/>
      <c r="OB99" s="43"/>
      <c r="OC99" s="43"/>
      <c r="OD99" s="43"/>
      <c r="OE99" s="43"/>
      <c r="OF99" s="43"/>
      <c r="OG99" s="43"/>
      <c r="OH99" s="43"/>
      <c r="OI99" s="43"/>
      <c r="OJ99" s="43"/>
      <c r="OK99" s="43"/>
      <c r="OL99" s="43"/>
      <c r="OM99" s="43"/>
      <c r="ON99" s="43"/>
      <c r="OO99" s="43"/>
      <c r="OP99" s="43"/>
      <c r="OQ99" s="43"/>
      <c r="OR99" s="43"/>
      <c r="OS99" s="43"/>
      <c r="OT99" s="43"/>
      <c r="OU99" s="43"/>
      <c r="OV99" s="43"/>
      <c r="OW99" s="43"/>
      <c r="OX99" s="43"/>
      <c r="OY99" s="43"/>
      <c r="OZ99" s="43"/>
      <c r="PA99" s="43"/>
      <c r="PB99" s="43"/>
      <c r="PC99" s="43"/>
      <c r="PD99" s="43"/>
      <c r="PE99" s="43"/>
      <c r="PF99" s="43"/>
      <c r="PG99" s="43"/>
      <c r="PH99" s="43"/>
      <c r="PI99" s="43"/>
      <c r="PJ99" s="43"/>
      <c r="PK99" s="43"/>
      <c r="PL99" s="43"/>
      <c r="PM99" s="43"/>
      <c r="PN99" s="43"/>
      <c r="PO99" s="43"/>
      <c r="PP99" s="43"/>
      <c r="PQ99" s="43"/>
      <c r="PR99" s="43"/>
      <c r="PS99" s="43"/>
      <c r="PT99" s="43"/>
      <c r="PU99" s="43"/>
      <c r="PV99" s="43"/>
      <c r="PW99" s="43"/>
      <c r="PX99" s="43"/>
      <c r="PY99" s="43"/>
      <c r="PZ99" s="43"/>
      <c r="QA99" s="43"/>
      <c r="QB99" s="43"/>
      <c r="QC99" s="43"/>
    </row>
    <row r="100" spans="1:445" x14ac:dyDescent="0.3">
      <c r="A100" s="85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46" t="str">
        <f t="shared" si="9"/>
        <v/>
      </c>
      <c r="U100" s="46" t="str">
        <f t="shared" si="10"/>
        <v/>
      </c>
      <c r="V100" s="72" t="str">
        <f t="shared" si="11"/>
        <v/>
      </c>
      <c r="W100" s="48"/>
      <c r="X100" s="73" t="str">
        <f t="shared" si="12"/>
        <v/>
      </c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43"/>
      <c r="BN100" s="43"/>
      <c r="BO100" s="43"/>
      <c r="BP100" s="43"/>
      <c r="BQ100" s="43"/>
      <c r="BR100" s="43"/>
      <c r="BS100" s="43"/>
      <c r="BT100" s="43"/>
      <c r="BU100" s="43"/>
      <c r="BV100" s="43"/>
      <c r="BW100" s="43"/>
      <c r="BX100" s="43"/>
      <c r="BY100" s="43"/>
      <c r="BZ100" s="43"/>
      <c r="CA100" s="43"/>
      <c r="CB100" s="43"/>
      <c r="CC100" s="43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43"/>
      <c r="CY100" s="43"/>
      <c r="CZ100" s="43"/>
      <c r="DA100" s="43"/>
      <c r="DB100" s="43"/>
      <c r="DC100" s="43"/>
      <c r="DD100" s="43"/>
      <c r="DE100" s="43"/>
      <c r="DF100" s="43"/>
      <c r="DG100" s="43"/>
      <c r="DH100" s="43"/>
      <c r="DI100" s="43"/>
      <c r="DJ100" s="43"/>
      <c r="DK100" s="43"/>
      <c r="DL100" s="43"/>
      <c r="DM100" s="43"/>
      <c r="DN100" s="43"/>
      <c r="DO100" s="43"/>
      <c r="DP100" s="43"/>
      <c r="DQ100" s="43"/>
      <c r="DR100" s="43"/>
      <c r="DS100" s="43"/>
      <c r="DT100" s="43"/>
      <c r="DU100" s="43"/>
      <c r="DV100" s="43"/>
      <c r="DW100" s="43"/>
      <c r="DX100" s="43"/>
      <c r="DY100" s="43"/>
      <c r="DZ100" s="43"/>
      <c r="EA100" s="43"/>
      <c r="EB100" s="43"/>
      <c r="EC100" s="43"/>
      <c r="ED100" s="43"/>
      <c r="EE100" s="43"/>
      <c r="EF100" s="43"/>
      <c r="EG100" s="43"/>
      <c r="EH100" s="43"/>
      <c r="EI100" s="43"/>
      <c r="EJ100" s="43"/>
      <c r="EK100" s="43"/>
      <c r="EL100" s="43"/>
      <c r="EM100" s="43"/>
      <c r="EN100" s="43"/>
      <c r="EO100" s="43"/>
      <c r="EP100" s="43"/>
      <c r="EQ100" s="43"/>
      <c r="ER100" s="43"/>
      <c r="ES100" s="43"/>
      <c r="ET100" s="43"/>
      <c r="EU100" s="43"/>
      <c r="EV100" s="43"/>
      <c r="EW100" s="43"/>
      <c r="EX100" s="43"/>
      <c r="EY100" s="43"/>
      <c r="EZ100" s="43"/>
      <c r="FA100" s="43"/>
      <c r="FB100" s="43"/>
      <c r="FC100" s="43"/>
      <c r="FD100" s="43"/>
      <c r="FE100" s="43"/>
      <c r="FF100" s="43"/>
      <c r="FG100" s="43"/>
      <c r="FH100" s="43"/>
      <c r="FI100" s="43"/>
      <c r="FJ100" s="43"/>
      <c r="FK100" s="43"/>
      <c r="FL100" s="43"/>
      <c r="FM100" s="43"/>
      <c r="FN100" s="43"/>
      <c r="FO100" s="43"/>
      <c r="FP100" s="43"/>
      <c r="FQ100" s="43"/>
      <c r="FR100" s="43"/>
      <c r="FS100" s="43"/>
      <c r="FT100" s="43"/>
      <c r="FU100" s="43"/>
      <c r="FV100" s="43"/>
      <c r="FW100" s="43"/>
      <c r="FX100" s="43"/>
      <c r="FY100" s="43"/>
      <c r="FZ100" s="43"/>
      <c r="GA100" s="43"/>
      <c r="GB100" s="43"/>
      <c r="GC100" s="43"/>
      <c r="GD100" s="43"/>
      <c r="GE100" s="43"/>
      <c r="GF100" s="43"/>
      <c r="GG100" s="43"/>
      <c r="GH100" s="43"/>
      <c r="GI100" s="43"/>
      <c r="GJ100" s="43"/>
      <c r="GK100" s="43"/>
      <c r="GL100" s="43"/>
      <c r="GM100" s="43"/>
      <c r="GN100" s="43"/>
      <c r="GO100" s="43"/>
      <c r="GP100" s="43"/>
      <c r="GQ100" s="43"/>
      <c r="GR100" s="43"/>
      <c r="GS100" s="43"/>
      <c r="GT100" s="43"/>
      <c r="GU100" s="43"/>
      <c r="GV100" s="43"/>
      <c r="GW100" s="43"/>
      <c r="GX100" s="43"/>
      <c r="GY100" s="43"/>
      <c r="GZ100" s="43"/>
      <c r="HA100" s="43"/>
      <c r="HB100" s="43"/>
      <c r="HC100" s="43"/>
      <c r="HD100" s="43"/>
      <c r="HE100" s="43"/>
      <c r="HF100" s="43"/>
      <c r="HG100" s="43"/>
      <c r="HH100" s="43"/>
      <c r="HI100" s="43"/>
      <c r="HJ100" s="43"/>
      <c r="HK100" s="43"/>
      <c r="HL100" s="43"/>
      <c r="HM100" s="43"/>
      <c r="HN100" s="43"/>
      <c r="HO100" s="43"/>
      <c r="HP100" s="43"/>
      <c r="HQ100" s="43"/>
      <c r="HR100" s="43"/>
      <c r="HS100" s="43"/>
      <c r="HT100" s="43"/>
      <c r="HU100" s="43"/>
      <c r="HV100" s="43"/>
      <c r="HW100" s="43"/>
      <c r="HX100" s="43"/>
      <c r="HY100" s="43"/>
      <c r="HZ100" s="43"/>
      <c r="IA100" s="43"/>
      <c r="IB100" s="43"/>
      <c r="IC100" s="43"/>
      <c r="ID100" s="43"/>
      <c r="IE100" s="43"/>
      <c r="IF100" s="43"/>
      <c r="IG100" s="43"/>
      <c r="IH100" s="43"/>
      <c r="II100" s="43"/>
      <c r="IJ100" s="43"/>
      <c r="IK100" s="43"/>
      <c r="IL100" s="43"/>
      <c r="IM100" s="43"/>
      <c r="IN100" s="43"/>
      <c r="IO100" s="43"/>
      <c r="IP100" s="43"/>
      <c r="IQ100" s="43"/>
      <c r="IR100" s="43"/>
      <c r="IS100" s="43"/>
      <c r="IT100" s="43"/>
      <c r="IU100" s="43"/>
      <c r="IV100" s="43"/>
      <c r="IW100" s="43"/>
      <c r="IX100" s="43"/>
      <c r="IY100" s="43"/>
      <c r="IZ100" s="43"/>
      <c r="JA100" s="43"/>
      <c r="JB100" s="43"/>
      <c r="JC100" s="43"/>
      <c r="JD100" s="43"/>
      <c r="JE100" s="43"/>
      <c r="JF100" s="43"/>
      <c r="JG100" s="43"/>
      <c r="JH100" s="43"/>
      <c r="JI100" s="43"/>
      <c r="JJ100" s="43"/>
      <c r="JK100" s="43"/>
      <c r="JL100" s="43"/>
      <c r="JM100" s="43"/>
      <c r="JN100" s="43"/>
      <c r="JO100" s="43"/>
      <c r="JP100" s="43"/>
      <c r="JQ100" s="43"/>
      <c r="JR100" s="43"/>
      <c r="JS100" s="43"/>
      <c r="JT100" s="43"/>
      <c r="JU100" s="43"/>
      <c r="JV100" s="43"/>
      <c r="JW100" s="43"/>
      <c r="JX100" s="43"/>
      <c r="JY100" s="43"/>
      <c r="JZ100" s="43"/>
      <c r="KA100" s="43"/>
      <c r="KB100" s="43"/>
      <c r="KC100" s="43"/>
      <c r="KD100" s="43"/>
      <c r="KE100" s="43"/>
      <c r="KF100" s="43"/>
      <c r="KG100" s="43"/>
      <c r="KH100" s="43"/>
      <c r="KI100" s="43"/>
      <c r="KJ100" s="43"/>
      <c r="KK100" s="43"/>
      <c r="KL100" s="43"/>
      <c r="KM100" s="43"/>
      <c r="KN100" s="43"/>
      <c r="KO100" s="43"/>
      <c r="KP100" s="43"/>
      <c r="KQ100" s="43"/>
      <c r="KR100" s="43"/>
      <c r="KS100" s="43"/>
      <c r="KT100" s="43"/>
      <c r="KU100" s="43"/>
      <c r="KV100" s="43"/>
      <c r="KW100" s="43"/>
      <c r="KX100" s="43"/>
      <c r="KY100" s="43"/>
      <c r="KZ100" s="43"/>
      <c r="LA100" s="43"/>
      <c r="LB100" s="43"/>
      <c r="LC100" s="43"/>
      <c r="LD100" s="43"/>
      <c r="LE100" s="43"/>
      <c r="LF100" s="43"/>
      <c r="LG100" s="43"/>
      <c r="LH100" s="43"/>
      <c r="LI100" s="43"/>
      <c r="LJ100" s="43"/>
      <c r="LK100" s="43"/>
      <c r="LL100" s="43"/>
      <c r="LM100" s="43"/>
      <c r="LN100" s="43"/>
      <c r="LO100" s="43"/>
      <c r="LP100" s="43"/>
      <c r="LQ100" s="43"/>
      <c r="LR100" s="43"/>
      <c r="LS100" s="43"/>
      <c r="LT100" s="43"/>
      <c r="LU100" s="43"/>
      <c r="LV100" s="43"/>
      <c r="LW100" s="43"/>
      <c r="LX100" s="43"/>
      <c r="LY100" s="43"/>
      <c r="LZ100" s="43"/>
      <c r="MA100" s="43"/>
      <c r="MB100" s="43"/>
      <c r="MC100" s="43"/>
      <c r="MD100" s="43"/>
      <c r="ME100" s="43"/>
      <c r="MF100" s="43"/>
      <c r="MG100" s="43"/>
      <c r="MH100" s="43"/>
      <c r="MI100" s="43"/>
      <c r="MJ100" s="43"/>
      <c r="MK100" s="43"/>
      <c r="ML100" s="43"/>
      <c r="MM100" s="43"/>
      <c r="MN100" s="43"/>
      <c r="MO100" s="43"/>
      <c r="MP100" s="43"/>
      <c r="MQ100" s="43"/>
      <c r="MR100" s="43"/>
      <c r="MS100" s="43"/>
      <c r="MT100" s="43"/>
      <c r="MU100" s="43"/>
      <c r="MV100" s="43"/>
      <c r="MW100" s="43"/>
      <c r="MX100" s="43"/>
      <c r="MY100" s="43"/>
      <c r="MZ100" s="43"/>
      <c r="NA100" s="43"/>
      <c r="NB100" s="43"/>
      <c r="NC100" s="43"/>
      <c r="ND100" s="43"/>
      <c r="NE100" s="43"/>
      <c r="NF100" s="43"/>
      <c r="NG100" s="43"/>
      <c r="NH100" s="43"/>
      <c r="NI100" s="43"/>
      <c r="NJ100" s="43"/>
      <c r="NK100" s="43"/>
      <c r="NL100" s="43"/>
      <c r="NM100" s="43"/>
      <c r="NN100" s="43"/>
      <c r="NO100" s="43"/>
      <c r="NP100" s="43"/>
      <c r="NQ100" s="43"/>
      <c r="NR100" s="43"/>
      <c r="NS100" s="43"/>
      <c r="NT100" s="43"/>
      <c r="NU100" s="43"/>
      <c r="NV100" s="43"/>
      <c r="NW100" s="43"/>
      <c r="NX100" s="43"/>
      <c r="NY100" s="43"/>
      <c r="NZ100" s="43"/>
      <c r="OA100" s="43"/>
      <c r="OB100" s="43"/>
      <c r="OC100" s="43"/>
      <c r="OD100" s="43"/>
      <c r="OE100" s="43"/>
      <c r="OF100" s="43"/>
      <c r="OG100" s="43"/>
      <c r="OH100" s="43"/>
      <c r="OI100" s="43"/>
      <c r="OJ100" s="43"/>
      <c r="OK100" s="43"/>
      <c r="OL100" s="43"/>
      <c r="OM100" s="43"/>
      <c r="ON100" s="43"/>
      <c r="OO100" s="43"/>
      <c r="OP100" s="43"/>
      <c r="OQ100" s="43"/>
      <c r="OR100" s="43"/>
      <c r="OS100" s="43"/>
      <c r="OT100" s="43"/>
      <c r="OU100" s="43"/>
      <c r="OV100" s="43"/>
      <c r="OW100" s="43"/>
      <c r="OX100" s="43"/>
      <c r="OY100" s="43"/>
      <c r="OZ100" s="43"/>
      <c r="PA100" s="43"/>
      <c r="PB100" s="43"/>
      <c r="PC100" s="43"/>
      <c r="PD100" s="43"/>
      <c r="PE100" s="43"/>
      <c r="PF100" s="43"/>
      <c r="PG100" s="43"/>
      <c r="PH100" s="43"/>
      <c r="PI100" s="43"/>
      <c r="PJ100" s="43"/>
      <c r="PK100" s="43"/>
      <c r="PL100" s="43"/>
      <c r="PM100" s="43"/>
      <c r="PN100" s="43"/>
      <c r="PO100" s="43"/>
      <c r="PP100" s="43"/>
      <c r="PQ100" s="43"/>
      <c r="PR100" s="43"/>
      <c r="PS100" s="43"/>
      <c r="PT100" s="43"/>
      <c r="PU100" s="43"/>
      <c r="PV100" s="43"/>
      <c r="PW100" s="43"/>
      <c r="PX100" s="43"/>
      <c r="PY100" s="43"/>
      <c r="PZ100" s="43"/>
      <c r="QA100" s="43"/>
      <c r="QB100" s="43"/>
      <c r="QC100" s="43"/>
    </row>
    <row r="101" spans="1:445" x14ac:dyDescent="0.3">
      <c r="A101" s="85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46" t="str">
        <f t="shared" si="9"/>
        <v/>
      </c>
      <c r="U101" s="46" t="str">
        <f t="shared" si="10"/>
        <v/>
      </c>
      <c r="V101" s="72" t="str">
        <f t="shared" si="11"/>
        <v/>
      </c>
      <c r="W101" s="48"/>
      <c r="X101" s="73" t="str">
        <f t="shared" si="12"/>
        <v/>
      </c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43"/>
      <c r="BN101" s="43"/>
      <c r="BO101" s="43"/>
      <c r="BP101" s="43"/>
      <c r="BQ101" s="43"/>
      <c r="BR101" s="43"/>
      <c r="BS101" s="43"/>
      <c r="BT101" s="43"/>
      <c r="BU101" s="43"/>
      <c r="BV101" s="43"/>
      <c r="BW101" s="43"/>
      <c r="BX101" s="43"/>
      <c r="BY101" s="43"/>
      <c r="BZ101" s="43"/>
      <c r="CA101" s="43"/>
      <c r="CB101" s="43"/>
      <c r="CC101" s="4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43"/>
      <c r="CY101" s="43"/>
      <c r="CZ101" s="43"/>
      <c r="DA101" s="43"/>
      <c r="DB101" s="43"/>
      <c r="DC101" s="43"/>
      <c r="DD101" s="43"/>
      <c r="DE101" s="43"/>
      <c r="DF101" s="43"/>
      <c r="DG101" s="43"/>
      <c r="DH101" s="43"/>
      <c r="DI101" s="43"/>
      <c r="DJ101" s="43"/>
      <c r="DK101" s="43"/>
      <c r="DL101" s="43"/>
      <c r="DM101" s="43"/>
      <c r="DN101" s="43"/>
      <c r="DO101" s="43"/>
      <c r="DP101" s="43"/>
      <c r="DQ101" s="43"/>
      <c r="DR101" s="43"/>
      <c r="DS101" s="43"/>
      <c r="DT101" s="43"/>
      <c r="DU101" s="43"/>
      <c r="DV101" s="43"/>
      <c r="DW101" s="43"/>
      <c r="DX101" s="43"/>
      <c r="DY101" s="43"/>
      <c r="DZ101" s="43"/>
      <c r="EA101" s="43"/>
      <c r="EB101" s="43"/>
      <c r="EC101" s="43"/>
      <c r="ED101" s="43"/>
      <c r="EE101" s="43"/>
      <c r="EF101" s="43"/>
      <c r="EG101" s="43"/>
      <c r="EH101" s="43"/>
      <c r="EI101" s="43"/>
      <c r="EJ101" s="43"/>
      <c r="EK101" s="43"/>
      <c r="EL101" s="43"/>
      <c r="EM101" s="43"/>
      <c r="EN101" s="43"/>
      <c r="EO101" s="43"/>
      <c r="EP101" s="43"/>
      <c r="EQ101" s="43"/>
      <c r="ER101" s="43"/>
      <c r="ES101" s="43"/>
      <c r="ET101" s="43"/>
      <c r="EU101" s="43"/>
      <c r="EV101" s="43"/>
      <c r="EW101" s="43"/>
      <c r="EX101" s="43"/>
      <c r="EY101" s="43"/>
      <c r="EZ101" s="43"/>
      <c r="FA101" s="43"/>
      <c r="FB101" s="43"/>
      <c r="FC101" s="43"/>
      <c r="FD101" s="43"/>
      <c r="FE101" s="43"/>
      <c r="FF101" s="43"/>
      <c r="FG101" s="43"/>
      <c r="FH101" s="43"/>
      <c r="FI101" s="43"/>
      <c r="FJ101" s="43"/>
      <c r="FK101" s="43"/>
      <c r="FL101" s="43"/>
      <c r="FM101" s="43"/>
      <c r="FN101" s="43"/>
      <c r="FO101" s="43"/>
      <c r="FP101" s="43"/>
      <c r="FQ101" s="43"/>
      <c r="FR101" s="43"/>
      <c r="FS101" s="43"/>
      <c r="FT101" s="43"/>
      <c r="FU101" s="43"/>
      <c r="FV101" s="43"/>
      <c r="FW101" s="43"/>
      <c r="FX101" s="43"/>
      <c r="FY101" s="43"/>
      <c r="FZ101" s="43"/>
      <c r="GA101" s="43"/>
      <c r="GB101" s="43"/>
      <c r="GC101" s="43"/>
      <c r="GD101" s="43"/>
      <c r="GE101" s="43"/>
      <c r="GF101" s="43"/>
      <c r="GG101" s="43"/>
      <c r="GH101" s="43"/>
      <c r="GI101" s="43"/>
      <c r="GJ101" s="43"/>
      <c r="GK101" s="43"/>
      <c r="GL101" s="43"/>
      <c r="GM101" s="43"/>
      <c r="GN101" s="43"/>
      <c r="GO101" s="43"/>
      <c r="GP101" s="43"/>
      <c r="GQ101" s="43"/>
      <c r="GR101" s="43"/>
      <c r="GS101" s="43"/>
      <c r="GT101" s="43"/>
      <c r="GU101" s="43"/>
      <c r="GV101" s="43"/>
      <c r="GW101" s="43"/>
      <c r="GX101" s="43"/>
      <c r="GY101" s="43"/>
      <c r="GZ101" s="43"/>
      <c r="HA101" s="43"/>
      <c r="HB101" s="43"/>
      <c r="HC101" s="43"/>
      <c r="HD101" s="43"/>
      <c r="HE101" s="43"/>
      <c r="HF101" s="43"/>
      <c r="HG101" s="43"/>
      <c r="HH101" s="43"/>
      <c r="HI101" s="43"/>
      <c r="HJ101" s="43"/>
      <c r="HK101" s="43"/>
      <c r="HL101" s="43"/>
      <c r="HM101" s="43"/>
      <c r="HN101" s="43"/>
      <c r="HO101" s="43"/>
      <c r="HP101" s="43"/>
      <c r="HQ101" s="43"/>
      <c r="HR101" s="43"/>
      <c r="HS101" s="43"/>
      <c r="HT101" s="43"/>
      <c r="HU101" s="43"/>
      <c r="HV101" s="43"/>
      <c r="HW101" s="43"/>
      <c r="HX101" s="43"/>
      <c r="HY101" s="43"/>
      <c r="HZ101" s="43"/>
      <c r="IA101" s="43"/>
      <c r="IB101" s="43"/>
      <c r="IC101" s="43"/>
      <c r="ID101" s="43"/>
      <c r="IE101" s="43"/>
      <c r="IF101" s="43"/>
      <c r="IG101" s="43"/>
      <c r="IH101" s="43"/>
      <c r="II101" s="43"/>
      <c r="IJ101" s="43"/>
      <c r="IK101" s="43"/>
      <c r="IL101" s="43"/>
      <c r="IM101" s="43"/>
      <c r="IN101" s="43"/>
      <c r="IO101" s="43"/>
      <c r="IP101" s="43"/>
      <c r="IQ101" s="43"/>
      <c r="IR101" s="43"/>
      <c r="IS101" s="43"/>
      <c r="IT101" s="43"/>
      <c r="IU101" s="43"/>
      <c r="IV101" s="43"/>
      <c r="IW101" s="43"/>
      <c r="IX101" s="43"/>
      <c r="IY101" s="43"/>
      <c r="IZ101" s="43"/>
      <c r="JA101" s="43"/>
      <c r="JB101" s="43"/>
      <c r="JC101" s="43"/>
      <c r="JD101" s="43"/>
      <c r="JE101" s="43"/>
      <c r="JF101" s="43"/>
      <c r="JG101" s="43"/>
      <c r="JH101" s="43"/>
      <c r="JI101" s="43"/>
      <c r="JJ101" s="43"/>
      <c r="JK101" s="43"/>
      <c r="JL101" s="43"/>
      <c r="JM101" s="43"/>
      <c r="JN101" s="43"/>
      <c r="JO101" s="43"/>
      <c r="JP101" s="43"/>
      <c r="JQ101" s="43"/>
      <c r="JR101" s="43"/>
      <c r="JS101" s="43"/>
      <c r="JT101" s="43"/>
      <c r="JU101" s="43"/>
      <c r="JV101" s="43"/>
      <c r="JW101" s="43"/>
      <c r="JX101" s="43"/>
      <c r="JY101" s="43"/>
      <c r="JZ101" s="43"/>
      <c r="KA101" s="43"/>
      <c r="KB101" s="43"/>
      <c r="KC101" s="43"/>
      <c r="KD101" s="43"/>
      <c r="KE101" s="43"/>
      <c r="KF101" s="43"/>
      <c r="KG101" s="43"/>
      <c r="KH101" s="43"/>
      <c r="KI101" s="43"/>
      <c r="KJ101" s="43"/>
      <c r="KK101" s="43"/>
      <c r="KL101" s="43"/>
      <c r="KM101" s="43"/>
      <c r="KN101" s="43"/>
      <c r="KO101" s="43"/>
      <c r="KP101" s="43"/>
      <c r="KQ101" s="43"/>
      <c r="KR101" s="43"/>
      <c r="KS101" s="43"/>
      <c r="KT101" s="43"/>
      <c r="KU101" s="43"/>
      <c r="KV101" s="43"/>
      <c r="KW101" s="43"/>
      <c r="KX101" s="43"/>
      <c r="KY101" s="43"/>
      <c r="KZ101" s="43"/>
      <c r="LA101" s="43"/>
      <c r="LB101" s="43"/>
      <c r="LC101" s="43"/>
      <c r="LD101" s="43"/>
      <c r="LE101" s="43"/>
      <c r="LF101" s="43"/>
      <c r="LG101" s="43"/>
      <c r="LH101" s="43"/>
      <c r="LI101" s="43"/>
      <c r="LJ101" s="43"/>
      <c r="LK101" s="43"/>
      <c r="LL101" s="43"/>
      <c r="LM101" s="43"/>
      <c r="LN101" s="43"/>
      <c r="LO101" s="43"/>
      <c r="LP101" s="43"/>
      <c r="LQ101" s="43"/>
      <c r="LR101" s="43"/>
      <c r="LS101" s="43"/>
      <c r="LT101" s="43"/>
      <c r="LU101" s="43"/>
      <c r="LV101" s="43"/>
      <c r="LW101" s="43"/>
      <c r="LX101" s="43"/>
      <c r="LY101" s="43"/>
      <c r="LZ101" s="43"/>
      <c r="MA101" s="43"/>
      <c r="MB101" s="43"/>
      <c r="MC101" s="43"/>
      <c r="MD101" s="43"/>
      <c r="ME101" s="43"/>
      <c r="MF101" s="43"/>
      <c r="MG101" s="43"/>
      <c r="MH101" s="43"/>
      <c r="MI101" s="43"/>
      <c r="MJ101" s="43"/>
      <c r="MK101" s="43"/>
      <c r="ML101" s="43"/>
      <c r="MM101" s="43"/>
      <c r="MN101" s="43"/>
      <c r="MO101" s="43"/>
      <c r="MP101" s="43"/>
      <c r="MQ101" s="43"/>
      <c r="MR101" s="43"/>
      <c r="MS101" s="43"/>
      <c r="MT101" s="43"/>
      <c r="MU101" s="43"/>
      <c r="MV101" s="43"/>
      <c r="MW101" s="43"/>
      <c r="MX101" s="43"/>
      <c r="MY101" s="43"/>
      <c r="MZ101" s="43"/>
      <c r="NA101" s="43"/>
      <c r="NB101" s="43"/>
      <c r="NC101" s="43"/>
      <c r="ND101" s="43"/>
      <c r="NE101" s="43"/>
      <c r="NF101" s="43"/>
      <c r="NG101" s="43"/>
      <c r="NH101" s="43"/>
      <c r="NI101" s="43"/>
      <c r="NJ101" s="43"/>
      <c r="NK101" s="43"/>
      <c r="NL101" s="43"/>
      <c r="NM101" s="43"/>
      <c r="NN101" s="43"/>
      <c r="NO101" s="43"/>
      <c r="NP101" s="43"/>
      <c r="NQ101" s="43"/>
      <c r="NR101" s="43"/>
      <c r="NS101" s="43"/>
      <c r="NT101" s="43"/>
      <c r="NU101" s="43"/>
      <c r="NV101" s="43"/>
      <c r="NW101" s="43"/>
      <c r="NX101" s="43"/>
      <c r="NY101" s="43"/>
      <c r="NZ101" s="43"/>
      <c r="OA101" s="43"/>
      <c r="OB101" s="43"/>
      <c r="OC101" s="43"/>
      <c r="OD101" s="43"/>
      <c r="OE101" s="43"/>
      <c r="OF101" s="43"/>
      <c r="OG101" s="43"/>
      <c r="OH101" s="43"/>
      <c r="OI101" s="43"/>
      <c r="OJ101" s="43"/>
      <c r="OK101" s="43"/>
      <c r="OL101" s="43"/>
      <c r="OM101" s="43"/>
      <c r="ON101" s="43"/>
      <c r="OO101" s="43"/>
      <c r="OP101" s="43"/>
      <c r="OQ101" s="43"/>
      <c r="OR101" s="43"/>
      <c r="OS101" s="43"/>
      <c r="OT101" s="43"/>
      <c r="OU101" s="43"/>
      <c r="OV101" s="43"/>
      <c r="OW101" s="43"/>
      <c r="OX101" s="43"/>
      <c r="OY101" s="43"/>
      <c r="OZ101" s="43"/>
      <c r="PA101" s="43"/>
      <c r="PB101" s="43"/>
      <c r="PC101" s="43"/>
      <c r="PD101" s="43"/>
      <c r="PE101" s="43"/>
      <c r="PF101" s="43"/>
      <c r="PG101" s="43"/>
      <c r="PH101" s="43"/>
      <c r="PI101" s="43"/>
      <c r="PJ101" s="43"/>
      <c r="PK101" s="43"/>
      <c r="PL101" s="43"/>
      <c r="PM101" s="43"/>
      <c r="PN101" s="43"/>
      <c r="PO101" s="43"/>
      <c r="PP101" s="43"/>
      <c r="PQ101" s="43"/>
      <c r="PR101" s="43"/>
      <c r="PS101" s="43"/>
      <c r="PT101" s="43"/>
      <c r="PU101" s="43"/>
      <c r="PV101" s="43"/>
      <c r="PW101" s="43"/>
      <c r="PX101" s="43"/>
      <c r="PY101" s="43"/>
      <c r="PZ101" s="43"/>
      <c r="QA101" s="43"/>
      <c r="QB101" s="43"/>
      <c r="QC101" s="43"/>
    </row>
    <row r="102" spans="1:445" x14ac:dyDescent="0.3">
      <c r="A102" s="85"/>
      <c r="B102" s="84"/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46" t="str">
        <f t="shared" si="9"/>
        <v/>
      </c>
      <c r="U102" s="46" t="str">
        <f t="shared" si="10"/>
        <v/>
      </c>
      <c r="V102" s="72" t="str">
        <f t="shared" si="11"/>
        <v/>
      </c>
      <c r="W102" s="48"/>
      <c r="X102" s="73" t="str">
        <f t="shared" si="12"/>
        <v/>
      </c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43"/>
      <c r="CY102" s="43"/>
      <c r="CZ102" s="43"/>
      <c r="DA102" s="43"/>
      <c r="DB102" s="43"/>
      <c r="DC102" s="43"/>
      <c r="DD102" s="43"/>
      <c r="DE102" s="43"/>
      <c r="DF102" s="43"/>
      <c r="DG102" s="43"/>
      <c r="DH102" s="43"/>
      <c r="DI102" s="43"/>
      <c r="DJ102" s="43"/>
      <c r="DK102" s="43"/>
      <c r="DL102" s="43"/>
      <c r="DM102" s="43"/>
      <c r="DN102" s="43"/>
      <c r="DO102" s="43"/>
      <c r="DP102" s="43"/>
      <c r="DQ102" s="43"/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43"/>
      <c r="EM102" s="43"/>
      <c r="EN102" s="43"/>
      <c r="EO102" s="43"/>
      <c r="EP102" s="43"/>
      <c r="EQ102" s="43"/>
      <c r="ER102" s="43"/>
      <c r="ES102" s="43"/>
      <c r="ET102" s="43"/>
      <c r="EU102" s="43"/>
      <c r="EV102" s="43"/>
      <c r="EW102" s="43"/>
      <c r="EX102" s="43"/>
      <c r="EY102" s="43"/>
      <c r="EZ102" s="43"/>
      <c r="FA102" s="43"/>
      <c r="FB102" s="43"/>
      <c r="FC102" s="43"/>
      <c r="FD102" s="43"/>
      <c r="FE102" s="43"/>
      <c r="FF102" s="43"/>
      <c r="FG102" s="43"/>
      <c r="FH102" s="43"/>
      <c r="FI102" s="43"/>
      <c r="FJ102" s="43"/>
      <c r="FK102" s="43"/>
      <c r="FL102" s="43"/>
      <c r="FM102" s="43"/>
      <c r="FN102" s="43"/>
      <c r="FO102" s="43"/>
      <c r="FP102" s="43"/>
      <c r="FQ102" s="43"/>
      <c r="FR102" s="43"/>
      <c r="FS102" s="43"/>
      <c r="FT102" s="43"/>
      <c r="FU102" s="43"/>
      <c r="FV102" s="43"/>
      <c r="FW102" s="43"/>
      <c r="FX102" s="43"/>
      <c r="FY102" s="43"/>
      <c r="FZ102" s="43"/>
      <c r="GA102" s="43"/>
      <c r="GB102" s="43"/>
      <c r="GC102" s="43"/>
      <c r="GD102" s="43"/>
      <c r="GE102" s="43"/>
      <c r="GF102" s="43"/>
      <c r="GG102" s="43"/>
      <c r="GH102" s="43"/>
      <c r="GI102" s="43"/>
      <c r="GJ102" s="43"/>
      <c r="GK102" s="43"/>
      <c r="GL102" s="43"/>
      <c r="GM102" s="43"/>
      <c r="GN102" s="43"/>
      <c r="GO102" s="43"/>
      <c r="GP102" s="43"/>
      <c r="GQ102" s="43"/>
      <c r="GR102" s="43"/>
      <c r="GS102" s="43"/>
      <c r="GT102" s="43"/>
      <c r="GU102" s="43"/>
      <c r="GV102" s="43"/>
      <c r="GW102" s="43"/>
      <c r="GX102" s="43"/>
      <c r="GY102" s="43"/>
      <c r="GZ102" s="43"/>
      <c r="HA102" s="43"/>
      <c r="HB102" s="43"/>
      <c r="HC102" s="43"/>
      <c r="HD102" s="43"/>
      <c r="HE102" s="43"/>
      <c r="HF102" s="43"/>
      <c r="HG102" s="43"/>
      <c r="HH102" s="43"/>
      <c r="HI102" s="43"/>
      <c r="HJ102" s="43"/>
      <c r="HK102" s="43"/>
      <c r="HL102" s="43"/>
      <c r="HM102" s="43"/>
      <c r="HN102" s="43"/>
      <c r="HO102" s="43"/>
      <c r="HP102" s="43"/>
      <c r="HQ102" s="43"/>
      <c r="HR102" s="43"/>
      <c r="HS102" s="43"/>
      <c r="HT102" s="43"/>
      <c r="HU102" s="43"/>
      <c r="HV102" s="43"/>
      <c r="HW102" s="43"/>
      <c r="HX102" s="43"/>
      <c r="HY102" s="43"/>
      <c r="HZ102" s="43"/>
      <c r="IA102" s="43"/>
      <c r="IB102" s="43"/>
      <c r="IC102" s="43"/>
      <c r="ID102" s="43"/>
      <c r="IE102" s="43"/>
      <c r="IF102" s="43"/>
      <c r="IG102" s="43"/>
      <c r="IH102" s="43"/>
      <c r="II102" s="43"/>
      <c r="IJ102" s="43"/>
      <c r="IK102" s="43"/>
      <c r="IL102" s="43"/>
      <c r="IM102" s="43"/>
      <c r="IN102" s="43"/>
      <c r="IO102" s="43"/>
      <c r="IP102" s="43"/>
      <c r="IQ102" s="43"/>
      <c r="IR102" s="43"/>
      <c r="IS102" s="43"/>
      <c r="IT102" s="43"/>
      <c r="IU102" s="43"/>
      <c r="IV102" s="43"/>
      <c r="IW102" s="43"/>
      <c r="IX102" s="43"/>
      <c r="IY102" s="43"/>
      <c r="IZ102" s="43"/>
      <c r="JA102" s="43"/>
      <c r="JB102" s="43"/>
      <c r="JC102" s="43"/>
      <c r="JD102" s="43"/>
      <c r="JE102" s="43"/>
      <c r="JF102" s="43"/>
      <c r="JG102" s="43"/>
      <c r="JH102" s="43"/>
      <c r="JI102" s="43"/>
      <c r="JJ102" s="43"/>
      <c r="JK102" s="43"/>
      <c r="JL102" s="43"/>
      <c r="JM102" s="43"/>
      <c r="JN102" s="43"/>
      <c r="JO102" s="43"/>
      <c r="JP102" s="43"/>
      <c r="JQ102" s="43"/>
      <c r="JR102" s="43"/>
      <c r="JS102" s="43"/>
      <c r="JT102" s="43"/>
      <c r="JU102" s="43"/>
      <c r="JV102" s="43"/>
      <c r="JW102" s="43"/>
      <c r="JX102" s="43"/>
      <c r="JY102" s="43"/>
      <c r="JZ102" s="43"/>
      <c r="KA102" s="43"/>
      <c r="KB102" s="43"/>
      <c r="KC102" s="43"/>
      <c r="KD102" s="43"/>
      <c r="KE102" s="43"/>
      <c r="KF102" s="43"/>
      <c r="KG102" s="43"/>
      <c r="KH102" s="43"/>
      <c r="KI102" s="43"/>
      <c r="KJ102" s="43"/>
      <c r="KK102" s="43"/>
      <c r="KL102" s="43"/>
      <c r="KM102" s="43"/>
      <c r="KN102" s="43"/>
      <c r="KO102" s="43"/>
      <c r="KP102" s="43"/>
      <c r="KQ102" s="43"/>
      <c r="KR102" s="43"/>
      <c r="KS102" s="43"/>
      <c r="KT102" s="43"/>
      <c r="KU102" s="43"/>
      <c r="KV102" s="43"/>
      <c r="KW102" s="43"/>
      <c r="KX102" s="43"/>
      <c r="KY102" s="43"/>
      <c r="KZ102" s="43"/>
      <c r="LA102" s="43"/>
      <c r="LB102" s="43"/>
      <c r="LC102" s="43"/>
      <c r="LD102" s="43"/>
      <c r="LE102" s="43"/>
      <c r="LF102" s="43"/>
      <c r="LG102" s="43"/>
      <c r="LH102" s="43"/>
      <c r="LI102" s="43"/>
      <c r="LJ102" s="43"/>
      <c r="LK102" s="43"/>
      <c r="LL102" s="43"/>
      <c r="LM102" s="43"/>
      <c r="LN102" s="43"/>
      <c r="LO102" s="43"/>
      <c r="LP102" s="43"/>
      <c r="LQ102" s="43"/>
      <c r="LR102" s="43"/>
      <c r="LS102" s="43"/>
      <c r="LT102" s="43"/>
      <c r="LU102" s="43"/>
      <c r="LV102" s="43"/>
      <c r="LW102" s="43"/>
      <c r="LX102" s="43"/>
      <c r="LY102" s="43"/>
      <c r="LZ102" s="43"/>
      <c r="MA102" s="43"/>
      <c r="MB102" s="43"/>
      <c r="MC102" s="43"/>
      <c r="MD102" s="43"/>
      <c r="ME102" s="43"/>
      <c r="MF102" s="43"/>
      <c r="MG102" s="43"/>
      <c r="MH102" s="43"/>
      <c r="MI102" s="43"/>
      <c r="MJ102" s="43"/>
      <c r="MK102" s="43"/>
      <c r="ML102" s="43"/>
      <c r="MM102" s="43"/>
      <c r="MN102" s="43"/>
      <c r="MO102" s="43"/>
      <c r="MP102" s="43"/>
      <c r="MQ102" s="43"/>
      <c r="MR102" s="43"/>
      <c r="MS102" s="43"/>
      <c r="MT102" s="43"/>
      <c r="MU102" s="43"/>
      <c r="MV102" s="43"/>
      <c r="MW102" s="43"/>
      <c r="MX102" s="43"/>
      <c r="MY102" s="43"/>
      <c r="MZ102" s="43"/>
      <c r="NA102" s="43"/>
      <c r="NB102" s="43"/>
      <c r="NC102" s="43"/>
      <c r="ND102" s="43"/>
      <c r="NE102" s="43"/>
      <c r="NF102" s="43"/>
      <c r="NG102" s="43"/>
      <c r="NH102" s="43"/>
      <c r="NI102" s="43"/>
      <c r="NJ102" s="43"/>
      <c r="NK102" s="43"/>
      <c r="NL102" s="43"/>
      <c r="NM102" s="43"/>
      <c r="NN102" s="43"/>
      <c r="NO102" s="43"/>
      <c r="NP102" s="43"/>
      <c r="NQ102" s="43"/>
      <c r="NR102" s="43"/>
      <c r="NS102" s="43"/>
      <c r="NT102" s="43"/>
      <c r="NU102" s="43"/>
      <c r="NV102" s="43"/>
      <c r="NW102" s="43"/>
      <c r="NX102" s="43"/>
      <c r="NY102" s="43"/>
      <c r="NZ102" s="43"/>
      <c r="OA102" s="43"/>
      <c r="OB102" s="43"/>
      <c r="OC102" s="43"/>
      <c r="OD102" s="43"/>
      <c r="OE102" s="43"/>
      <c r="OF102" s="43"/>
      <c r="OG102" s="43"/>
      <c r="OH102" s="43"/>
      <c r="OI102" s="43"/>
      <c r="OJ102" s="43"/>
      <c r="OK102" s="43"/>
      <c r="OL102" s="43"/>
      <c r="OM102" s="43"/>
      <c r="ON102" s="43"/>
      <c r="OO102" s="43"/>
      <c r="OP102" s="43"/>
      <c r="OQ102" s="43"/>
      <c r="OR102" s="43"/>
      <c r="OS102" s="43"/>
      <c r="OT102" s="43"/>
      <c r="OU102" s="43"/>
      <c r="OV102" s="43"/>
      <c r="OW102" s="43"/>
      <c r="OX102" s="43"/>
      <c r="OY102" s="43"/>
      <c r="OZ102" s="43"/>
      <c r="PA102" s="43"/>
      <c r="PB102" s="43"/>
      <c r="PC102" s="43"/>
      <c r="PD102" s="43"/>
      <c r="PE102" s="43"/>
      <c r="PF102" s="43"/>
      <c r="PG102" s="43"/>
      <c r="PH102" s="43"/>
      <c r="PI102" s="43"/>
      <c r="PJ102" s="43"/>
      <c r="PK102" s="43"/>
      <c r="PL102" s="43"/>
      <c r="PM102" s="43"/>
      <c r="PN102" s="43"/>
      <c r="PO102" s="43"/>
      <c r="PP102" s="43"/>
      <c r="PQ102" s="43"/>
      <c r="PR102" s="43"/>
      <c r="PS102" s="43"/>
      <c r="PT102" s="43"/>
      <c r="PU102" s="43"/>
      <c r="PV102" s="43"/>
      <c r="PW102" s="43"/>
      <c r="PX102" s="43"/>
      <c r="PY102" s="43"/>
      <c r="PZ102" s="43"/>
      <c r="QA102" s="43"/>
      <c r="QB102" s="43"/>
      <c r="QC102" s="43"/>
    </row>
    <row r="103" spans="1:445" x14ac:dyDescent="0.3">
      <c r="A103" s="85"/>
      <c r="B103" s="84"/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46" t="str">
        <f t="shared" si="9"/>
        <v/>
      </c>
      <c r="U103" s="46" t="str">
        <f t="shared" si="10"/>
        <v/>
      </c>
      <c r="V103" s="72" t="str">
        <f t="shared" si="11"/>
        <v/>
      </c>
      <c r="W103" s="48"/>
      <c r="X103" s="73" t="str">
        <f t="shared" si="12"/>
        <v/>
      </c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43"/>
      <c r="BO103" s="43"/>
      <c r="BP103" s="43"/>
      <c r="BQ103" s="43"/>
      <c r="BR103" s="43"/>
      <c r="BS103" s="43"/>
      <c r="BT103" s="43"/>
      <c r="BU103" s="43"/>
      <c r="BV103" s="43"/>
      <c r="BW103" s="43"/>
      <c r="BX103" s="43"/>
      <c r="BY103" s="43"/>
      <c r="BZ103" s="43"/>
      <c r="CA103" s="43"/>
      <c r="CB103" s="43"/>
      <c r="CC103" s="4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43"/>
      <c r="CY103" s="43"/>
      <c r="CZ103" s="43"/>
      <c r="DA103" s="43"/>
      <c r="DB103" s="43"/>
      <c r="DC103" s="43"/>
      <c r="DD103" s="43"/>
      <c r="DE103" s="43"/>
      <c r="DF103" s="43"/>
      <c r="DG103" s="43"/>
      <c r="DH103" s="43"/>
      <c r="DI103" s="43"/>
      <c r="DJ103" s="43"/>
      <c r="DK103" s="43"/>
      <c r="DL103" s="43"/>
      <c r="DM103" s="43"/>
      <c r="DN103" s="43"/>
      <c r="DO103" s="43"/>
      <c r="DP103" s="43"/>
      <c r="DQ103" s="43"/>
      <c r="DR103" s="43"/>
      <c r="DS103" s="43"/>
      <c r="DT103" s="43"/>
      <c r="DU103" s="43"/>
      <c r="DV103" s="43"/>
      <c r="DW103" s="43"/>
      <c r="DX103" s="43"/>
      <c r="DY103" s="43"/>
      <c r="DZ103" s="43"/>
      <c r="EA103" s="43"/>
      <c r="EB103" s="43"/>
      <c r="EC103" s="43"/>
      <c r="ED103" s="43"/>
      <c r="EE103" s="43"/>
      <c r="EF103" s="43"/>
      <c r="EG103" s="43"/>
      <c r="EH103" s="43"/>
      <c r="EI103" s="43"/>
      <c r="EJ103" s="43"/>
      <c r="EK103" s="43"/>
      <c r="EL103" s="43"/>
      <c r="EM103" s="43"/>
      <c r="EN103" s="43"/>
      <c r="EO103" s="43"/>
      <c r="EP103" s="43"/>
      <c r="EQ103" s="43"/>
      <c r="ER103" s="43"/>
      <c r="ES103" s="43"/>
      <c r="ET103" s="43"/>
      <c r="EU103" s="43"/>
      <c r="EV103" s="43"/>
      <c r="EW103" s="43"/>
      <c r="EX103" s="43"/>
      <c r="EY103" s="43"/>
      <c r="EZ103" s="43"/>
      <c r="FA103" s="43"/>
      <c r="FB103" s="43"/>
      <c r="FC103" s="43"/>
      <c r="FD103" s="43"/>
      <c r="FE103" s="43"/>
      <c r="FF103" s="43"/>
      <c r="FG103" s="43"/>
      <c r="FH103" s="43"/>
      <c r="FI103" s="43"/>
      <c r="FJ103" s="43"/>
      <c r="FK103" s="43"/>
      <c r="FL103" s="43"/>
      <c r="FM103" s="43"/>
      <c r="FN103" s="43"/>
      <c r="FO103" s="43"/>
      <c r="FP103" s="43"/>
      <c r="FQ103" s="43"/>
      <c r="FR103" s="43"/>
      <c r="FS103" s="43"/>
      <c r="FT103" s="43"/>
      <c r="FU103" s="43"/>
      <c r="FV103" s="43"/>
      <c r="FW103" s="43"/>
      <c r="FX103" s="43"/>
      <c r="FY103" s="43"/>
      <c r="FZ103" s="43"/>
      <c r="GA103" s="43"/>
      <c r="GB103" s="43"/>
      <c r="GC103" s="43"/>
      <c r="GD103" s="43"/>
      <c r="GE103" s="43"/>
      <c r="GF103" s="43"/>
      <c r="GG103" s="43"/>
      <c r="GH103" s="43"/>
      <c r="GI103" s="43"/>
      <c r="GJ103" s="43"/>
      <c r="GK103" s="43"/>
      <c r="GL103" s="43"/>
      <c r="GM103" s="43"/>
      <c r="GN103" s="43"/>
      <c r="GO103" s="43"/>
      <c r="GP103" s="43"/>
      <c r="GQ103" s="43"/>
      <c r="GR103" s="43"/>
      <c r="GS103" s="43"/>
      <c r="GT103" s="43"/>
      <c r="GU103" s="43"/>
      <c r="GV103" s="43"/>
      <c r="GW103" s="43"/>
      <c r="GX103" s="43"/>
      <c r="GY103" s="43"/>
      <c r="GZ103" s="43"/>
      <c r="HA103" s="43"/>
      <c r="HB103" s="43"/>
      <c r="HC103" s="43"/>
      <c r="HD103" s="43"/>
      <c r="HE103" s="43"/>
      <c r="HF103" s="43"/>
      <c r="HG103" s="43"/>
      <c r="HH103" s="43"/>
      <c r="HI103" s="43"/>
      <c r="HJ103" s="43"/>
      <c r="HK103" s="43"/>
      <c r="HL103" s="43"/>
      <c r="HM103" s="43"/>
      <c r="HN103" s="43"/>
      <c r="HO103" s="43"/>
      <c r="HP103" s="43"/>
      <c r="HQ103" s="43"/>
      <c r="HR103" s="43"/>
      <c r="HS103" s="43"/>
      <c r="HT103" s="43"/>
      <c r="HU103" s="43"/>
      <c r="HV103" s="43"/>
      <c r="HW103" s="43"/>
      <c r="HX103" s="43"/>
      <c r="HY103" s="43"/>
      <c r="HZ103" s="43"/>
      <c r="IA103" s="43"/>
      <c r="IB103" s="43"/>
      <c r="IC103" s="43"/>
      <c r="ID103" s="43"/>
      <c r="IE103" s="43"/>
      <c r="IF103" s="43"/>
      <c r="IG103" s="43"/>
      <c r="IH103" s="43"/>
      <c r="II103" s="43"/>
      <c r="IJ103" s="43"/>
      <c r="IK103" s="43"/>
      <c r="IL103" s="43"/>
      <c r="IM103" s="43"/>
      <c r="IN103" s="43"/>
      <c r="IO103" s="43"/>
      <c r="IP103" s="43"/>
      <c r="IQ103" s="43"/>
      <c r="IR103" s="43"/>
      <c r="IS103" s="43"/>
      <c r="IT103" s="43"/>
      <c r="IU103" s="43"/>
      <c r="IV103" s="43"/>
      <c r="IW103" s="43"/>
      <c r="IX103" s="43"/>
      <c r="IY103" s="43"/>
      <c r="IZ103" s="43"/>
      <c r="JA103" s="43"/>
      <c r="JB103" s="43"/>
      <c r="JC103" s="43"/>
      <c r="JD103" s="43"/>
      <c r="JE103" s="43"/>
      <c r="JF103" s="43"/>
      <c r="JG103" s="43"/>
      <c r="JH103" s="43"/>
      <c r="JI103" s="43"/>
      <c r="JJ103" s="43"/>
      <c r="JK103" s="43"/>
      <c r="JL103" s="43"/>
      <c r="JM103" s="43"/>
      <c r="JN103" s="43"/>
      <c r="JO103" s="43"/>
      <c r="JP103" s="43"/>
      <c r="JQ103" s="43"/>
      <c r="JR103" s="43"/>
      <c r="JS103" s="43"/>
      <c r="JT103" s="43"/>
      <c r="JU103" s="43"/>
      <c r="JV103" s="43"/>
      <c r="JW103" s="43"/>
      <c r="JX103" s="43"/>
      <c r="JY103" s="43"/>
      <c r="JZ103" s="43"/>
      <c r="KA103" s="43"/>
      <c r="KB103" s="43"/>
      <c r="KC103" s="43"/>
      <c r="KD103" s="43"/>
      <c r="KE103" s="43"/>
      <c r="KF103" s="43"/>
      <c r="KG103" s="43"/>
      <c r="KH103" s="43"/>
      <c r="KI103" s="43"/>
      <c r="KJ103" s="43"/>
      <c r="KK103" s="43"/>
      <c r="KL103" s="43"/>
      <c r="KM103" s="43"/>
      <c r="KN103" s="43"/>
      <c r="KO103" s="43"/>
      <c r="KP103" s="43"/>
      <c r="KQ103" s="43"/>
      <c r="KR103" s="43"/>
      <c r="KS103" s="43"/>
      <c r="KT103" s="43"/>
      <c r="KU103" s="43"/>
      <c r="KV103" s="43"/>
      <c r="KW103" s="43"/>
      <c r="KX103" s="43"/>
      <c r="KY103" s="43"/>
      <c r="KZ103" s="43"/>
      <c r="LA103" s="43"/>
      <c r="LB103" s="43"/>
      <c r="LC103" s="43"/>
      <c r="LD103" s="43"/>
      <c r="LE103" s="43"/>
      <c r="LF103" s="43"/>
      <c r="LG103" s="43"/>
      <c r="LH103" s="43"/>
      <c r="LI103" s="43"/>
      <c r="LJ103" s="43"/>
      <c r="LK103" s="43"/>
      <c r="LL103" s="43"/>
      <c r="LM103" s="43"/>
      <c r="LN103" s="43"/>
      <c r="LO103" s="43"/>
      <c r="LP103" s="43"/>
      <c r="LQ103" s="43"/>
      <c r="LR103" s="43"/>
      <c r="LS103" s="43"/>
      <c r="LT103" s="43"/>
      <c r="LU103" s="43"/>
      <c r="LV103" s="43"/>
      <c r="LW103" s="43"/>
      <c r="LX103" s="43"/>
      <c r="LY103" s="43"/>
      <c r="LZ103" s="43"/>
      <c r="MA103" s="43"/>
      <c r="MB103" s="43"/>
      <c r="MC103" s="43"/>
      <c r="MD103" s="43"/>
      <c r="ME103" s="43"/>
      <c r="MF103" s="43"/>
      <c r="MG103" s="43"/>
      <c r="MH103" s="43"/>
      <c r="MI103" s="43"/>
      <c r="MJ103" s="43"/>
      <c r="MK103" s="43"/>
      <c r="ML103" s="43"/>
      <c r="MM103" s="43"/>
      <c r="MN103" s="43"/>
      <c r="MO103" s="43"/>
      <c r="MP103" s="43"/>
      <c r="MQ103" s="43"/>
      <c r="MR103" s="43"/>
      <c r="MS103" s="43"/>
      <c r="MT103" s="43"/>
      <c r="MU103" s="43"/>
      <c r="MV103" s="43"/>
      <c r="MW103" s="43"/>
      <c r="MX103" s="43"/>
      <c r="MY103" s="43"/>
      <c r="MZ103" s="43"/>
      <c r="NA103" s="43"/>
      <c r="NB103" s="43"/>
      <c r="NC103" s="43"/>
      <c r="ND103" s="43"/>
      <c r="NE103" s="43"/>
      <c r="NF103" s="43"/>
      <c r="NG103" s="43"/>
      <c r="NH103" s="43"/>
      <c r="NI103" s="43"/>
      <c r="NJ103" s="43"/>
      <c r="NK103" s="43"/>
      <c r="NL103" s="43"/>
      <c r="NM103" s="43"/>
      <c r="NN103" s="43"/>
      <c r="NO103" s="43"/>
      <c r="NP103" s="43"/>
      <c r="NQ103" s="43"/>
      <c r="NR103" s="43"/>
      <c r="NS103" s="43"/>
      <c r="NT103" s="43"/>
      <c r="NU103" s="43"/>
      <c r="NV103" s="43"/>
      <c r="NW103" s="43"/>
      <c r="NX103" s="43"/>
      <c r="NY103" s="43"/>
      <c r="NZ103" s="43"/>
      <c r="OA103" s="43"/>
      <c r="OB103" s="43"/>
      <c r="OC103" s="43"/>
      <c r="OD103" s="43"/>
      <c r="OE103" s="43"/>
      <c r="OF103" s="43"/>
      <c r="OG103" s="43"/>
      <c r="OH103" s="43"/>
      <c r="OI103" s="43"/>
      <c r="OJ103" s="43"/>
      <c r="OK103" s="43"/>
      <c r="OL103" s="43"/>
      <c r="OM103" s="43"/>
      <c r="ON103" s="43"/>
      <c r="OO103" s="43"/>
      <c r="OP103" s="43"/>
      <c r="OQ103" s="43"/>
      <c r="OR103" s="43"/>
      <c r="OS103" s="43"/>
      <c r="OT103" s="43"/>
      <c r="OU103" s="43"/>
      <c r="OV103" s="43"/>
      <c r="OW103" s="43"/>
      <c r="OX103" s="43"/>
      <c r="OY103" s="43"/>
      <c r="OZ103" s="43"/>
      <c r="PA103" s="43"/>
      <c r="PB103" s="43"/>
      <c r="PC103" s="43"/>
      <c r="PD103" s="43"/>
      <c r="PE103" s="43"/>
      <c r="PF103" s="43"/>
      <c r="PG103" s="43"/>
      <c r="PH103" s="43"/>
      <c r="PI103" s="43"/>
      <c r="PJ103" s="43"/>
      <c r="PK103" s="43"/>
      <c r="PL103" s="43"/>
      <c r="PM103" s="43"/>
      <c r="PN103" s="43"/>
      <c r="PO103" s="43"/>
      <c r="PP103" s="43"/>
      <c r="PQ103" s="43"/>
      <c r="PR103" s="43"/>
      <c r="PS103" s="43"/>
      <c r="PT103" s="43"/>
      <c r="PU103" s="43"/>
      <c r="PV103" s="43"/>
      <c r="PW103" s="43"/>
      <c r="PX103" s="43"/>
      <c r="PY103" s="43"/>
      <c r="PZ103" s="43"/>
      <c r="QA103" s="43"/>
      <c r="QB103" s="43"/>
      <c r="QC103" s="43"/>
    </row>
    <row r="104" spans="1:445" x14ac:dyDescent="0.3">
      <c r="A104" s="85"/>
      <c r="B104" s="84"/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46" t="str">
        <f t="shared" si="9"/>
        <v/>
      </c>
      <c r="U104" s="46" t="str">
        <f t="shared" si="10"/>
        <v/>
      </c>
      <c r="V104" s="72" t="str">
        <f t="shared" si="11"/>
        <v/>
      </c>
      <c r="W104" s="48"/>
      <c r="X104" s="73" t="str">
        <f t="shared" si="12"/>
        <v/>
      </c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43"/>
      <c r="BN104" s="43"/>
      <c r="BO104" s="43"/>
      <c r="BP104" s="43"/>
      <c r="BQ104" s="43"/>
      <c r="BR104" s="43"/>
      <c r="BS104" s="43"/>
      <c r="BT104" s="43"/>
      <c r="BU104" s="43"/>
      <c r="BV104" s="43"/>
      <c r="BW104" s="43"/>
      <c r="BX104" s="43"/>
      <c r="BY104" s="43"/>
      <c r="BZ104" s="43"/>
      <c r="CA104" s="43"/>
      <c r="CB104" s="43"/>
      <c r="CC104" s="43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43"/>
      <c r="CY104" s="43"/>
      <c r="CZ104" s="43"/>
      <c r="DA104" s="43"/>
      <c r="DB104" s="43"/>
      <c r="DC104" s="43"/>
      <c r="DD104" s="43"/>
      <c r="DE104" s="43"/>
      <c r="DF104" s="43"/>
      <c r="DG104" s="43"/>
      <c r="DH104" s="43"/>
      <c r="DI104" s="43"/>
      <c r="DJ104" s="43"/>
      <c r="DK104" s="43"/>
      <c r="DL104" s="43"/>
      <c r="DM104" s="43"/>
      <c r="DN104" s="43"/>
      <c r="DO104" s="43"/>
      <c r="DP104" s="43"/>
      <c r="DQ104" s="43"/>
      <c r="DR104" s="43"/>
      <c r="DS104" s="43"/>
      <c r="DT104" s="43"/>
      <c r="DU104" s="43"/>
      <c r="DV104" s="43"/>
      <c r="DW104" s="43"/>
      <c r="DX104" s="43"/>
      <c r="DY104" s="43"/>
      <c r="DZ104" s="43"/>
      <c r="EA104" s="43"/>
      <c r="EB104" s="43"/>
      <c r="EC104" s="43"/>
      <c r="ED104" s="43"/>
      <c r="EE104" s="43"/>
      <c r="EF104" s="43"/>
      <c r="EG104" s="43"/>
      <c r="EH104" s="43"/>
      <c r="EI104" s="43"/>
      <c r="EJ104" s="43"/>
      <c r="EK104" s="43"/>
      <c r="EL104" s="43"/>
      <c r="EM104" s="43"/>
      <c r="EN104" s="43"/>
      <c r="EO104" s="43"/>
      <c r="EP104" s="43"/>
      <c r="EQ104" s="43"/>
      <c r="ER104" s="43"/>
      <c r="ES104" s="43"/>
      <c r="ET104" s="43"/>
      <c r="EU104" s="43"/>
      <c r="EV104" s="43"/>
      <c r="EW104" s="43"/>
      <c r="EX104" s="43"/>
      <c r="EY104" s="43"/>
      <c r="EZ104" s="43"/>
      <c r="FA104" s="43"/>
      <c r="FB104" s="43"/>
      <c r="FC104" s="43"/>
      <c r="FD104" s="43"/>
      <c r="FE104" s="43"/>
      <c r="FF104" s="43"/>
      <c r="FG104" s="43"/>
      <c r="FH104" s="43"/>
      <c r="FI104" s="43"/>
      <c r="FJ104" s="43"/>
      <c r="FK104" s="43"/>
      <c r="FL104" s="43"/>
      <c r="FM104" s="43"/>
      <c r="FN104" s="43"/>
      <c r="FO104" s="43"/>
      <c r="FP104" s="43"/>
      <c r="FQ104" s="43"/>
      <c r="FR104" s="43"/>
      <c r="FS104" s="43"/>
      <c r="FT104" s="43"/>
      <c r="FU104" s="43"/>
      <c r="FV104" s="43"/>
      <c r="FW104" s="43"/>
      <c r="FX104" s="43"/>
      <c r="FY104" s="43"/>
      <c r="FZ104" s="43"/>
      <c r="GA104" s="43"/>
      <c r="GB104" s="43"/>
      <c r="GC104" s="43"/>
      <c r="GD104" s="43"/>
      <c r="GE104" s="43"/>
      <c r="GF104" s="43"/>
      <c r="GG104" s="43"/>
      <c r="GH104" s="43"/>
      <c r="GI104" s="43"/>
      <c r="GJ104" s="43"/>
      <c r="GK104" s="43"/>
      <c r="GL104" s="43"/>
      <c r="GM104" s="43"/>
      <c r="GN104" s="43"/>
      <c r="GO104" s="43"/>
      <c r="GP104" s="43"/>
      <c r="GQ104" s="43"/>
      <c r="GR104" s="43"/>
      <c r="GS104" s="43"/>
      <c r="GT104" s="43"/>
      <c r="GU104" s="43"/>
      <c r="GV104" s="43"/>
      <c r="GW104" s="43"/>
      <c r="GX104" s="43"/>
      <c r="GY104" s="43"/>
      <c r="GZ104" s="43"/>
      <c r="HA104" s="43"/>
      <c r="HB104" s="43"/>
      <c r="HC104" s="43"/>
      <c r="HD104" s="43"/>
      <c r="HE104" s="43"/>
      <c r="HF104" s="43"/>
      <c r="HG104" s="43"/>
      <c r="HH104" s="43"/>
      <c r="HI104" s="43"/>
      <c r="HJ104" s="43"/>
      <c r="HK104" s="43"/>
      <c r="HL104" s="43"/>
      <c r="HM104" s="43"/>
      <c r="HN104" s="43"/>
      <c r="HO104" s="43"/>
      <c r="HP104" s="43"/>
      <c r="HQ104" s="43"/>
      <c r="HR104" s="43"/>
      <c r="HS104" s="43"/>
      <c r="HT104" s="43"/>
      <c r="HU104" s="43"/>
      <c r="HV104" s="43"/>
      <c r="HW104" s="43"/>
      <c r="HX104" s="43"/>
      <c r="HY104" s="43"/>
      <c r="HZ104" s="43"/>
      <c r="IA104" s="43"/>
      <c r="IB104" s="43"/>
      <c r="IC104" s="43"/>
      <c r="ID104" s="43"/>
      <c r="IE104" s="43"/>
      <c r="IF104" s="43"/>
      <c r="IG104" s="43"/>
      <c r="IH104" s="43"/>
      <c r="II104" s="43"/>
      <c r="IJ104" s="43"/>
      <c r="IK104" s="43"/>
      <c r="IL104" s="43"/>
      <c r="IM104" s="43"/>
      <c r="IN104" s="43"/>
      <c r="IO104" s="43"/>
      <c r="IP104" s="43"/>
      <c r="IQ104" s="43"/>
      <c r="IR104" s="43"/>
      <c r="IS104" s="43"/>
      <c r="IT104" s="43"/>
      <c r="IU104" s="43"/>
      <c r="IV104" s="43"/>
      <c r="IW104" s="43"/>
      <c r="IX104" s="43"/>
      <c r="IY104" s="43"/>
      <c r="IZ104" s="43"/>
      <c r="JA104" s="43"/>
      <c r="JB104" s="43"/>
      <c r="JC104" s="43"/>
      <c r="JD104" s="43"/>
      <c r="JE104" s="43"/>
      <c r="JF104" s="43"/>
      <c r="JG104" s="43"/>
      <c r="JH104" s="43"/>
      <c r="JI104" s="43"/>
      <c r="JJ104" s="43"/>
      <c r="JK104" s="43"/>
      <c r="JL104" s="43"/>
      <c r="JM104" s="43"/>
      <c r="JN104" s="43"/>
      <c r="JO104" s="43"/>
      <c r="JP104" s="43"/>
      <c r="JQ104" s="43"/>
      <c r="JR104" s="43"/>
      <c r="JS104" s="43"/>
      <c r="JT104" s="43"/>
      <c r="JU104" s="43"/>
      <c r="JV104" s="43"/>
      <c r="JW104" s="43"/>
      <c r="JX104" s="43"/>
      <c r="JY104" s="43"/>
      <c r="JZ104" s="43"/>
      <c r="KA104" s="43"/>
      <c r="KB104" s="43"/>
      <c r="KC104" s="43"/>
      <c r="KD104" s="43"/>
      <c r="KE104" s="43"/>
      <c r="KF104" s="43"/>
      <c r="KG104" s="43"/>
      <c r="KH104" s="43"/>
      <c r="KI104" s="43"/>
      <c r="KJ104" s="43"/>
      <c r="KK104" s="43"/>
      <c r="KL104" s="43"/>
      <c r="KM104" s="43"/>
      <c r="KN104" s="43"/>
      <c r="KO104" s="43"/>
      <c r="KP104" s="43"/>
      <c r="KQ104" s="43"/>
      <c r="KR104" s="43"/>
      <c r="KS104" s="43"/>
      <c r="KT104" s="43"/>
      <c r="KU104" s="43"/>
      <c r="KV104" s="43"/>
      <c r="KW104" s="43"/>
      <c r="KX104" s="43"/>
      <c r="KY104" s="43"/>
      <c r="KZ104" s="43"/>
      <c r="LA104" s="43"/>
      <c r="LB104" s="43"/>
      <c r="LC104" s="43"/>
      <c r="LD104" s="43"/>
      <c r="LE104" s="43"/>
      <c r="LF104" s="43"/>
      <c r="LG104" s="43"/>
      <c r="LH104" s="43"/>
      <c r="LI104" s="43"/>
      <c r="LJ104" s="43"/>
      <c r="LK104" s="43"/>
      <c r="LL104" s="43"/>
      <c r="LM104" s="43"/>
      <c r="LN104" s="43"/>
      <c r="LO104" s="43"/>
      <c r="LP104" s="43"/>
      <c r="LQ104" s="43"/>
      <c r="LR104" s="43"/>
      <c r="LS104" s="43"/>
      <c r="LT104" s="43"/>
      <c r="LU104" s="43"/>
      <c r="LV104" s="43"/>
      <c r="LW104" s="43"/>
      <c r="LX104" s="43"/>
      <c r="LY104" s="43"/>
      <c r="LZ104" s="43"/>
      <c r="MA104" s="43"/>
      <c r="MB104" s="43"/>
      <c r="MC104" s="43"/>
      <c r="MD104" s="43"/>
      <c r="ME104" s="43"/>
      <c r="MF104" s="43"/>
      <c r="MG104" s="43"/>
      <c r="MH104" s="43"/>
      <c r="MI104" s="43"/>
      <c r="MJ104" s="43"/>
      <c r="MK104" s="43"/>
      <c r="ML104" s="43"/>
      <c r="MM104" s="43"/>
      <c r="MN104" s="43"/>
      <c r="MO104" s="43"/>
      <c r="MP104" s="43"/>
      <c r="MQ104" s="43"/>
      <c r="MR104" s="43"/>
      <c r="MS104" s="43"/>
      <c r="MT104" s="43"/>
      <c r="MU104" s="43"/>
      <c r="MV104" s="43"/>
      <c r="MW104" s="43"/>
      <c r="MX104" s="43"/>
      <c r="MY104" s="43"/>
      <c r="MZ104" s="43"/>
      <c r="NA104" s="43"/>
      <c r="NB104" s="43"/>
      <c r="NC104" s="43"/>
      <c r="ND104" s="43"/>
      <c r="NE104" s="43"/>
      <c r="NF104" s="43"/>
      <c r="NG104" s="43"/>
      <c r="NH104" s="43"/>
      <c r="NI104" s="43"/>
      <c r="NJ104" s="43"/>
      <c r="NK104" s="43"/>
      <c r="NL104" s="43"/>
      <c r="NM104" s="43"/>
      <c r="NN104" s="43"/>
      <c r="NO104" s="43"/>
      <c r="NP104" s="43"/>
      <c r="NQ104" s="43"/>
      <c r="NR104" s="43"/>
      <c r="NS104" s="43"/>
      <c r="NT104" s="43"/>
      <c r="NU104" s="43"/>
      <c r="NV104" s="43"/>
      <c r="NW104" s="43"/>
      <c r="NX104" s="43"/>
      <c r="NY104" s="43"/>
      <c r="NZ104" s="43"/>
      <c r="OA104" s="43"/>
      <c r="OB104" s="43"/>
      <c r="OC104" s="43"/>
      <c r="OD104" s="43"/>
      <c r="OE104" s="43"/>
      <c r="OF104" s="43"/>
      <c r="OG104" s="43"/>
      <c r="OH104" s="43"/>
      <c r="OI104" s="43"/>
      <c r="OJ104" s="43"/>
      <c r="OK104" s="43"/>
      <c r="OL104" s="43"/>
      <c r="OM104" s="43"/>
      <c r="ON104" s="43"/>
      <c r="OO104" s="43"/>
      <c r="OP104" s="43"/>
      <c r="OQ104" s="43"/>
      <c r="OR104" s="43"/>
      <c r="OS104" s="43"/>
      <c r="OT104" s="43"/>
      <c r="OU104" s="43"/>
      <c r="OV104" s="43"/>
      <c r="OW104" s="43"/>
      <c r="OX104" s="43"/>
      <c r="OY104" s="43"/>
      <c r="OZ104" s="43"/>
      <c r="PA104" s="43"/>
      <c r="PB104" s="43"/>
      <c r="PC104" s="43"/>
      <c r="PD104" s="43"/>
      <c r="PE104" s="43"/>
      <c r="PF104" s="43"/>
      <c r="PG104" s="43"/>
      <c r="PH104" s="43"/>
      <c r="PI104" s="43"/>
      <c r="PJ104" s="43"/>
      <c r="PK104" s="43"/>
      <c r="PL104" s="43"/>
      <c r="PM104" s="43"/>
      <c r="PN104" s="43"/>
      <c r="PO104" s="43"/>
      <c r="PP104" s="43"/>
      <c r="PQ104" s="43"/>
      <c r="PR104" s="43"/>
      <c r="PS104" s="43"/>
      <c r="PT104" s="43"/>
      <c r="PU104" s="43"/>
      <c r="PV104" s="43"/>
      <c r="PW104" s="43"/>
      <c r="PX104" s="43"/>
      <c r="PY104" s="43"/>
      <c r="PZ104" s="43"/>
      <c r="QA104" s="43"/>
      <c r="QB104" s="43"/>
      <c r="QC104" s="43"/>
    </row>
    <row r="105" spans="1:445" x14ac:dyDescent="0.3">
      <c r="A105" s="85"/>
      <c r="B105" s="84"/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46" t="str">
        <f t="shared" si="9"/>
        <v/>
      </c>
      <c r="U105" s="46" t="str">
        <f t="shared" si="10"/>
        <v/>
      </c>
      <c r="V105" s="72" t="str">
        <f t="shared" si="11"/>
        <v/>
      </c>
      <c r="W105" s="48"/>
      <c r="X105" s="73" t="str">
        <f t="shared" si="12"/>
        <v/>
      </c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43"/>
      <c r="BO105" s="43"/>
      <c r="BP105" s="43"/>
      <c r="BQ105" s="43"/>
      <c r="BR105" s="43"/>
      <c r="BS105" s="43"/>
      <c r="BT105" s="43"/>
      <c r="BU105" s="43"/>
      <c r="BV105" s="43"/>
      <c r="BW105" s="43"/>
      <c r="BX105" s="43"/>
      <c r="BY105" s="43"/>
      <c r="BZ105" s="43"/>
      <c r="CA105" s="43"/>
      <c r="CB105" s="43"/>
      <c r="CC105" s="4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43"/>
      <c r="CY105" s="43"/>
      <c r="CZ105" s="43"/>
      <c r="DA105" s="43"/>
      <c r="DB105" s="43"/>
      <c r="DC105" s="43"/>
      <c r="DD105" s="43"/>
      <c r="DE105" s="43"/>
      <c r="DF105" s="43"/>
      <c r="DG105" s="43"/>
      <c r="DH105" s="43"/>
      <c r="DI105" s="43"/>
      <c r="DJ105" s="43"/>
      <c r="DK105" s="43"/>
      <c r="DL105" s="43"/>
      <c r="DM105" s="43"/>
      <c r="DN105" s="43"/>
      <c r="DO105" s="43"/>
      <c r="DP105" s="43"/>
      <c r="DQ105" s="43"/>
      <c r="DR105" s="43"/>
      <c r="DS105" s="43"/>
      <c r="DT105" s="43"/>
      <c r="DU105" s="43"/>
      <c r="DV105" s="43"/>
      <c r="DW105" s="43"/>
      <c r="DX105" s="43"/>
      <c r="DY105" s="43"/>
      <c r="DZ105" s="43"/>
      <c r="EA105" s="43"/>
      <c r="EB105" s="43"/>
      <c r="EC105" s="43"/>
      <c r="ED105" s="43"/>
      <c r="EE105" s="43"/>
      <c r="EF105" s="43"/>
      <c r="EG105" s="43"/>
      <c r="EH105" s="43"/>
      <c r="EI105" s="43"/>
      <c r="EJ105" s="43"/>
      <c r="EK105" s="43"/>
      <c r="EL105" s="43"/>
      <c r="EM105" s="43"/>
      <c r="EN105" s="43"/>
      <c r="EO105" s="43"/>
      <c r="EP105" s="43"/>
      <c r="EQ105" s="43"/>
      <c r="ER105" s="43"/>
      <c r="ES105" s="43"/>
      <c r="ET105" s="43"/>
      <c r="EU105" s="43"/>
      <c r="EV105" s="43"/>
      <c r="EW105" s="43"/>
      <c r="EX105" s="43"/>
      <c r="EY105" s="43"/>
      <c r="EZ105" s="43"/>
      <c r="FA105" s="43"/>
      <c r="FB105" s="43"/>
      <c r="FC105" s="43"/>
      <c r="FD105" s="43"/>
      <c r="FE105" s="43"/>
      <c r="FF105" s="43"/>
      <c r="FG105" s="43"/>
      <c r="FH105" s="43"/>
      <c r="FI105" s="43"/>
      <c r="FJ105" s="43"/>
      <c r="FK105" s="43"/>
      <c r="FL105" s="43"/>
      <c r="FM105" s="43"/>
      <c r="FN105" s="43"/>
      <c r="FO105" s="43"/>
      <c r="FP105" s="43"/>
      <c r="FQ105" s="43"/>
      <c r="FR105" s="43"/>
      <c r="FS105" s="43"/>
      <c r="FT105" s="43"/>
      <c r="FU105" s="43"/>
      <c r="FV105" s="43"/>
      <c r="FW105" s="43"/>
      <c r="FX105" s="43"/>
      <c r="FY105" s="43"/>
      <c r="FZ105" s="43"/>
      <c r="GA105" s="43"/>
      <c r="GB105" s="43"/>
      <c r="GC105" s="43"/>
      <c r="GD105" s="43"/>
      <c r="GE105" s="43"/>
      <c r="GF105" s="43"/>
      <c r="GG105" s="43"/>
      <c r="GH105" s="43"/>
      <c r="GI105" s="43"/>
      <c r="GJ105" s="43"/>
      <c r="GK105" s="43"/>
      <c r="GL105" s="43"/>
      <c r="GM105" s="43"/>
      <c r="GN105" s="43"/>
      <c r="GO105" s="43"/>
      <c r="GP105" s="43"/>
      <c r="GQ105" s="43"/>
      <c r="GR105" s="43"/>
      <c r="GS105" s="43"/>
      <c r="GT105" s="43"/>
      <c r="GU105" s="43"/>
      <c r="GV105" s="43"/>
      <c r="GW105" s="43"/>
      <c r="GX105" s="43"/>
      <c r="GY105" s="43"/>
      <c r="GZ105" s="43"/>
      <c r="HA105" s="43"/>
      <c r="HB105" s="43"/>
      <c r="HC105" s="43"/>
      <c r="HD105" s="43"/>
      <c r="HE105" s="43"/>
      <c r="HF105" s="43"/>
      <c r="HG105" s="43"/>
      <c r="HH105" s="43"/>
      <c r="HI105" s="43"/>
      <c r="HJ105" s="43"/>
      <c r="HK105" s="43"/>
      <c r="HL105" s="43"/>
      <c r="HM105" s="43"/>
      <c r="HN105" s="43"/>
      <c r="HO105" s="43"/>
      <c r="HP105" s="43"/>
      <c r="HQ105" s="43"/>
      <c r="HR105" s="43"/>
      <c r="HS105" s="43"/>
      <c r="HT105" s="43"/>
      <c r="HU105" s="43"/>
      <c r="HV105" s="43"/>
      <c r="HW105" s="43"/>
      <c r="HX105" s="43"/>
      <c r="HY105" s="43"/>
      <c r="HZ105" s="43"/>
      <c r="IA105" s="43"/>
      <c r="IB105" s="43"/>
      <c r="IC105" s="43"/>
      <c r="ID105" s="43"/>
      <c r="IE105" s="43"/>
      <c r="IF105" s="43"/>
      <c r="IG105" s="43"/>
      <c r="IH105" s="43"/>
      <c r="II105" s="43"/>
      <c r="IJ105" s="43"/>
      <c r="IK105" s="43"/>
      <c r="IL105" s="43"/>
      <c r="IM105" s="43"/>
      <c r="IN105" s="43"/>
      <c r="IO105" s="43"/>
      <c r="IP105" s="43"/>
      <c r="IQ105" s="43"/>
      <c r="IR105" s="43"/>
      <c r="IS105" s="43"/>
      <c r="IT105" s="43"/>
      <c r="IU105" s="43"/>
      <c r="IV105" s="43"/>
      <c r="IW105" s="43"/>
      <c r="IX105" s="43"/>
      <c r="IY105" s="43"/>
      <c r="IZ105" s="43"/>
      <c r="JA105" s="43"/>
      <c r="JB105" s="43"/>
      <c r="JC105" s="43"/>
      <c r="JD105" s="43"/>
      <c r="JE105" s="43"/>
      <c r="JF105" s="43"/>
      <c r="JG105" s="43"/>
      <c r="JH105" s="43"/>
      <c r="JI105" s="43"/>
      <c r="JJ105" s="43"/>
      <c r="JK105" s="43"/>
      <c r="JL105" s="43"/>
      <c r="JM105" s="43"/>
      <c r="JN105" s="43"/>
      <c r="JO105" s="43"/>
      <c r="JP105" s="43"/>
      <c r="JQ105" s="43"/>
      <c r="JR105" s="43"/>
      <c r="JS105" s="43"/>
      <c r="JT105" s="43"/>
      <c r="JU105" s="43"/>
      <c r="JV105" s="43"/>
      <c r="JW105" s="43"/>
      <c r="JX105" s="43"/>
      <c r="JY105" s="43"/>
      <c r="JZ105" s="43"/>
      <c r="KA105" s="43"/>
      <c r="KB105" s="43"/>
      <c r="KC105" s="43"/>
      <c r="KD105" s="43"/>
      <c r="KE105" s="43"/>
      <c r="KF105" s="43"/>
      <c r="KG105" s="43"/>
      <c r="KH105" s="43"/>
      <c r="KI105" s="43"/>
      <c r="KJ105" s="43"/>
      <c r="KK105" s="43"/>
      <c r="KL105" s="43"/>
      <c r="KM105" s="43"/>
      <c r="KN105" s="43"/>
      <c r="KO105" s="43"/>
      <c r="KP105" s="43"/>
      <c r="KQ105" s="43"/>
      <c r="KR105" s="43"/>
      <c r="KS105" s="43"/>
      <c r="KT105" s="43"/>
      <c r="KU105" s="43"/>
      <c r="KV105" s="43"/>
      <c r="KW105" s="43"/>
      <c r="KX105" s="43"/>
      <c r="KY105" s="43"/>
      <c r="KZ105" s="43"/>
      <c r="LA105" s="43"/>
      <c r="LB105" s="43"/>
      <c r="LC105" s="43"/>
      <c r="LD105" s="43"/>
      <c r="LE105" s="43"/>
      <c r="LF105" s="43"/>
      <c r="LG105" s="43"/>
      <c r="LH105" s="43"/>
      <c r="LI105" s="43"/>
      <c r="LJ105" s="43"/>
      <c r="LK105" s="43"/>
      <c r="LL105" s="43"/>
      <c r="LM105" s="43"/>
      <c r="LN105" s="43"/>
      <c r="LO105" s="43"/>
      <c r="LP105" s="43"/>
      <c r="LQ105" s="43"/>
      <c r="LR105" s="43"/>
      <c r="LS105" s="43"/>
      <c r="LT105" s="43"/>
      <c r="LU105" s="43"/>
      <c r="LV105" s="43"/>
      <c r="LW105" s="43"/>
      <c r="LX105" s="43"/>
      <c r="LY105" s="43"/>
      <c r="LZ105" s="43"/>
      <c r="MA105" s="43"/>
      <c r="MB105" s="43"/>
      <c r="MC105" s="43"/>
      <c r="MD105" s="43"/>
      <c r="ME105" s="43"/>
      <c r="MF105" s="43"/>
      <c r="MG105" s="43"/>
      <c r="MH105" s="43"/>
      <c r="MI105" s="43"/>
      <c r="MJ105" s="43"/>
      <c r="MK105" s="43"/>
      <c r="ML105" s="43"/>
      <c r="MM105" s="43"/>
      <c r="MN105" s="43"/>
      <c r="MO105" s="43"/>
      <c r="MP105" s="43"/>
      <c r="MQ105" s="43"/>
      <c r="MR105" s="43"/>
      <c r="MS105" s="43"/>
      <c r="MT105" s="43"/>
      <c r="MU105" s="43"/>
      <c r="MV105" s="43"/>
      <c r="MW105" s="43"/>
      <c r="MX105" s="43"/>
      <c r="MY105" s="43"/>
      <c r="MZ105" s="43"/>
      <c r="NA105" s="43"/>
      <c r="NB105" s="43"/>
      <c r="NC105" s="43"/>
      <c r="ND105" s="43"/>
      <c r="NE105" s="43"/>
      <c r="NF105" s="43"/>
      <c r="NG105" s="43"/>
      <c r="NH105" s="43"/>
      <c r="NI105" s="43"/>
      <c r="NJ105" s="43"/>
      <c r="NK105" s="43"/>
      <c r="NL105" s="43"/>
      <c r="NM105" s="43"/>
      <c r="NN105" s="43"/>
      <c r="NO105" s="43"/>
      <c r="NP105" s="43"/>
      <c r="NQ105" s="43"/>
      <c r="NR105" s="43"/>
      <c r="NS105" s="43"/>
      <c r="NT105" s="43"/>
      <c r="NU105" s="43"/>
      <c r="NV105" s="43"/>
      <c r="NW105" s="43"/>
      <c r="NX105" s="43"/>
      <c r="NY105" s="43"/>
      <c r="NZ105" s="43"/>
      <c r="OA105" s="43"/>
      <c r="OB105" s="43"/>
      <c r="OC105" s="43"/>
      <c r="OD105" s="43"/>
      <c r="OE105" s="43"/>
      <c r="OF105" s="43"/>
      <c r="OG105" s="43"/>
      <c r="OH105" s="43"/>
      <c r="OI105" s="43"/>
      <c r="OJ105" s="43"/>
      <c r="OK105" s="43"/>
      <c r="OL105" s="43"/>
      <c r="OM105" s="43"/>
      <c r="ON105" s="43"/>
      <c r="OO105" s="43"/>
      <c r="OP105" s="43"/>
      <c r="OQ105" s="43"/>
      <c r="OR105" s="43"/>
      <c r="OS105" s="43"/>
      <c r="OT105" s="43"/>
      <c r="OU105" s="43"/>
      <c r="OV105" s="43"/>
      <c r="OW105" s="43"/>
      <c r="OX105" s="43"/>
      <c r="OY105" s="43"/>
      <c r="OZ105" s="43"/>
      <c r="PA105" s="43"/>
      <c r="PB105" s="43"/>
      <c r="PC105" s="43"/>
      <c r="PD105" s="43"/>
      <c r="PE105" s="43"/>
      <c r="PF105" s="43"/>
      <c r="PG105" s="43"/>
      <c r="PH105" s="43"/>
      <c r="PI105" s="43"/>
      <c r="PJ105" s="43"/>
      <c r="PK105" s="43"/>
      <c r="PL105" s="43"/>
      <c r="PM105" s="43"/>
      <c r="PN105" s="43"/>
      <c r="PO105" s="43"/>
      <c r="PP105" s="43"/>
      <c r="PQ105" s="43"/>
      <c r="PR105" s="43"/>
      <c r="PS105" s="43"/>
      <c r="PT105" s="43"/>
      <c r="PU105" s="43"/>
      <c r="PV105" s="43"/>
      <c r="PW105" s="43"/>
      <c r="PX105" s="43"/>
      <c r="PY105" s="43"/>
      <c r="PZ105" s="43"/>
      <c r="QA105" s="43"/>
      <c r="QB105" s="43"/>
      <c r="QC105" s="43"/>
    </row>
    <row r="106" spans="1:445" x14ac:dyDescent="0.3">
      <c r="A106" s="85"/>
      <c r="B106" s="84"/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46" t="str">
        <f t="shared" si="9"/>
        <v/>
      </c>
      <c r="U106" s="46" t="str">
        <f t="shared" si="10"/>
        <v/>
      </c>
      <c r="V106" s="72" t="str">
        <f t="shared" si="11"/>
        <v/>
      </c>
      <c r="W106" s="48"/>
      <c r="X106" s="73" t="str">
        <f t="shared" si="12"/>
        <v/>
      </c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43"/>
      <c r="BN106" s="43"/>
      <c r="BO106" s="43"/>
      <c r="BP106" s="43"/>
      <c r="BQ106" s="43"/>
      <c r="BR106" s="43"/>
      <c r="BS106" s="43"/>
      <c r="BT106" s="43"/>
      <c r="BU106" s="43"/>
      <c r="BV106" s="43"/>
      <c r="BW106" s="43"/>
      <c r="BX106" s="43"/>
      <c r="BY106" s="43"/>
      <c r="BZ106" s="43"/>
      <c r="CA106" s="43"/>
      <c r="CB106" s="43"/>
      <c r="CC106" s="43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43"/>
      <c r="CY106" s="43"/>
      <c r="CZ106" s="43"/>
      <c r="DA106" s="43"/>
      <c r="DB106" s="43"/>
      <c r="DC106" s="43"/>
      <c r="DD106" s="43"/>
      <c r="DE106" s="43"/>
      <c r="DF106" s="43"/>
      <c r="DG106" s="43"/>
      <c r="DH106" s="43"/>
      <c r="DI106" s="43"/>
      <c r="DJ106" s="43"/>
      <c r="DK106" s="43"/>
      <c r="DL106" s="43"/>
      <c r="DM106" s="43"/>
      <c r="DN106" s="43"/>
      <c r="DO106" s="43"/>
      <c r="DP106" s="43"/>
      <c r="DQ106" s="43"/>
      <c r="DR106" s="43"/>
      <c r="DS106" s="43"/>
      <c r="DT106" s="43"/>
      <c r="DU106" s="43"/>
      <c r="DV106" s="43"/>
      <c r="DW106" s="43"/>
      <c r="DX106" s="43"/>
      <c r="DY106" s="43"/>
      <c r="DZ106" s="43"/>
      <c r="EA106" s="43"/>
      <c r="EB106" s="43"/>
      <c r="EC106" s="43"/>
      <c r="ED106" s="43"/>
      <c r="EE106" s="43"/>
      <c r="EF106" s="43"/>
      <c r="EG106" s="43"/>
      <c r="EH106" s="43"/>
      <c r="EI106" s="43"/>
      <c r="EJ106" s="43"/>
      <c r="EK106" s="43"/>
      <c r="EL106" s="43"/>
      <c r="EM106" s="43"/>
      <c r="EN106" s="43"/>
      <c r="EO106" s="43"/>
      <c r="EP106" s="43"/>
      <c r="EQ106" s="43"/>
      <c r="ER106" s="43"/>
      <c r="ES106" s="43"/>
      <c r="ET106" s="43"/>
      <c r="EU106" s="43"/>
      <c r="EV106" s="43"/>
      <c r="EW106" s="43"/>
      <c r="EX106" s="43"/>
      <c r="EY106" s="43"/>
      <c r="EZ106" s="43"/>
      <c r="FA106" s="43"/>
      <c r="FB106" s="43"/>
      <c r="FC106" s="43"/>
      <c r="FD106" s="43"/>
      <c r="FE106" s="43"/>
      <c r="FF106" s="43"/>
      <c r="FG106" s="43"/>
      <c r="FH106" s="43"/>
      <c r="FI106" s="43"/>
      <c r="FJ106" s="43"/>
      <c r="FK106" s="43"/>
      <c r="FL106" s="43"/>
      <c r="FM106" s="43"/>
      <c r="FN106" s="43"/>
      <c r="FO106" s="43"/>
      <c r="FP106" s="43"/>
      <c r="FQ106" s="43"/>
      <c r="FR106" s="43"/>
      <c r="FS106" s="43"/>
      <c r="FT106" s="43"/>
      <c r="FU106" s="43"/>
      <c r="FV106" s="43"/>
      <c r="FW106" s="43"/>
      <c r="FX106" s="43"/>
      <c r="FY106" s="43"/>
      <c r="FZ106" s="43"/>
      <c r="GA106" s="43"/>
      <c r="GB106" s="43"/>
      <c r="GC106" s="43"/>
      <c r="GD106" s="43"/>
      <c r="GE106" s="43"/>
      <c r="GF106" s="43"/>
      <c r="GG106" s="43"/>
      <c r="GH106" s="43"/>
      <c r="GI106" s="43"/>
      <c r="GJ106" s="43"/>
      <c r="GK106" s="43"/>
      <c r="GL106" s="43"/>
      <c r="GM106" s="43"/>
      <c r="GN106" s="43"/>
      <c r="GO106" s="43"/>
      <c r="GP106" s="43"/>
      <c r="GQ106" s="43"/>
      <c r="GR106" s="43"/>
      <c r="GS106" s="43"/>
      <c r="GT106" s="43"/>
      <c r="GU106" s="43"/>
      <c r="GV106" s="43"/>
      <c r="GW106" s="43"/>
      <c r="GX106" s="43"/>
      <c r="GY106" s="43"/>
      <c r="GZ106" s="43"/>
      <c r="HA106" s="43"/>
      <c r="HB106" s="43"/>
      <c r="HC106" s="43"/>
      <c r="HD106" s="43"/>
      <c r="HE106" s="43"/>
      <c r="HF106" s="43"/>
      <c r="HG106" s="43"/>
      <c r="HH106" s="43"/>
      <c r="HI106" s="43"/>
      <c r="HJ106" s="43"/>
      <c r="HK106" s="43"/>
      <c r="HL106" s="43"/>
      <c r="HM106" s="43"/>
      <c r="HN106" s="43"/>
      <c r="HO106" s="43"/>
      <c r="HP106" s="43"/>
      <c r="HQ106" s="43"/>
      <c r="HR106" s="43"/>
      <c r="HS106" s="43"/>
      <c r="HT106" s="43"/>
      <c r="HU106" s="43"/>
      <c r="HV106" s="43"/>
      <c r="HW106" s="43"/>
      <c r="HX106" s="43"/>
      <c r="HY106" s="43"/>
      <c r="HZ106" s="43"/>
      <c r="IA106" s="43"/>
      <c r="IB106" s="43"/>
      <c r="IC106" s="43"/>
      <c r="ID106" s="43"/>
      <c r="IE106" s="43"/>
      <c r="IF106" s="43"/>
      <c r="IG106" s="43"/>
      <c r="IH106" s="43"/>
      <c r="II106" s="43"/>
      <c r="IJ106" s="43"/>
      <c r="IK106" s="43"/>
      <c r="IL106" s="43"/>
      <c r="IM106" s="43"/>
      <c r="IN106" s="43"/>
      <c r="IO106" s="43"/>
      <c r="IP106" s="43"/>
      <c r="IQ106" s="43"/>
      <c r="IR106" s="43"/>
      <c r="IS106" s="43"/>
      <c r="IT106" s="43"/>
      <c r="IU106" s="43"/>
      <c r="IV106" s="43"/>
      <c r="IW106" s="43"/>
      <c r="IX106" s="43"/>
      <c r="IY106" s="43"/>
      <c r="IZ106" s="43"/>
      <c r="JA106" s="43"/>
      <c r="JB106" s="43"/>
      <c r="JC106" s="43"/>
      <c r="JD106" s="43"/>
      <c r="JE106" s="43"/>
      <c r="JF106" s="43"/>
      <c r="JG106" s="43"/>
      <c r="JH106" s="43"/>
      <c r="JI106" s="43"/>
      <c r="JJ106" s="43"/>
      <c r="JK106" s="43"/>
      <c r="JL106" s="43"/>
      <c r="JM106" s="43"/>
      <c r="JN106" s="43"/>
      <c r="JO106" s="43"/>
      <c r="JP106" s="43"/>
      <c r="JQ106" s="43"/>
      <c r="JR106" s="43"/>
      <c r="JS106" s="43"/>
      <c r="JT106" s="43"/>
      <c r="JU106" s="43"/>
      <c r="JV106" s="43"/>
      <c r="JW106" s="43"/>
      <c r="JX106" s="43"/>
      <c r="JY106" s="43"/>
      <c r="JZ106" s="43"/>
      <c r="KA106" s="43"/>
      <c r="KB106" s="43"/>
      <c r="KC106" s="43"/>
      <c r="KD106" s="43"/>
      <c r="KE106" s="43"/>
      <c r="KF106" s="43"/>
      <c r="KG106" s="43"/>
      <c r="KH106" s="43"/>
      <c r="KI106" s="43"/>
      <c r="KJ106" s="43"/>
      <c r="KK106" s="43"/>
      <c r="KL106" s="43"/>
      <c r="KM106" s="43"/>
      <c r="KN106" s="43"/>
      <c r="KO106" s="43"/>
      <c r="KP106" s="43"/>
      <c r="KQ106" s="43"/>
      <c r="KR106" s="43"/>
      <c r="KS106" s="43"/>
      <c r="KT106" s="43"/>
      <c r="KU106" s="43"/>
      <c r="KV106" s="43"/>
      <c r="KW106" s="43"/>
      <c r="KX106" s="43"/>
      <c r="KY106" s="43"/>
      <c r="KZ106" s="43"/>
      <c r="LA106" s="43"/>
      <c r="LB106" s="43"/>
      <c r="LC106" s="43"/>
      <c r="LD106" s="43"/>
      <c r="LE106" s="43"/>
      <c r="LF106" s="43"/>
      <c r="LG106" s="43"/>
      <c r="LH106" s="43"/>
      <c r="LI106" s="43"/>
      <c r="LJ106" s="43"/>
      <c r="LK106" s="43"/>
      <c r="LL106" s="43"/>
      <c r="LM106" s="43"/>
      <c r="LN106" s="43"/>
      <c r="LO106" s="43"/>
      <c r="LP106" s="43"/>
      <c r="LQ106" s="43"/>
      <c r="LR106" s="43"/>
      <c r="LS106" s="43"/>
      <c r="LT106" s="43"/>
      <c r="LU106" s="43"/>
      <c r="LV106" s="43"/>
      <c r="LW106" s="43"/>
      <c r="LX106" s="43"/>
      <c r="LY106" s="43"/>
      <c r="LZ106" s="43"/>
      <c r="MA106" s="43"/>
      <c r="MB106" s="43"/>
      <c r="MC106" s="43"/>
      <c r="MD106" s="43"/>
      <c r="ME106" s="43"/>
      <c r="MF106" s="43"/>
      <c r="MG106" s="43"/>
      <c r="MH106" s="43"/>
      <c r="MI106" s="43"/>
      <c r="MJ106" s="43"/>
      <c r="MK106" s="43"/>
      <c r="ML106" s="43"/>
      <c r="MM106" s="43"/>
      <c r="MN106" s="43"/>
      <c r="MO106" s="43"/>
      <c r="MP106" s="43"/>
      <c r="MQ106" s="43"/>
      <c r="MR106" s="43"/>
      <c r="MS106" s="43"/>
      <c r="MT106" s="43"/>
      <c r="MU106" s="43"/>
      <c r="MV106" s="43"/>
      <c r="MW106" s="43"/>
      <c r="MX106" s="43"/>
      <c r="MY106" s="43"/>
      <c r="MZ106" s="43"/>
      <c r="NA106" s="43"/>
      <c r="NB106" s="43"/>
      <c r="NC106" s="43"/>
      <c r="ND106" s="43"/>
      <c r="NE106" s="43"/>
      <c r="NF106" s="43"/>
      <c r="NG106" s="43"/>
      <c r="NH106" s="43"/>
      <c r="NI106" s="43"/>
      <c r="NJ106" s="43"/>
      <c r="NK106" s="43"/>
      <c r="NL106" s="43"/>
      <c r="NM106" s="43"/>
      <c r="NN106" s="43"/>
      <c r="NO106" s="43"/>
      <c r="NP106" s="43"/>
      <c r="NQ106" s="43"/>
      <c r="NR106" s="43"/>
      <c r="NS106" s="43"/>
      <c r="NT106" s="43"/>
      <c r="NU106" s="43"/>
      <c r="NV106" s="43"/>
      <c r="NW106" s="43"/>
      <c r="NX106" s="43"/>
      <c r="NY106" s="43"/>
      <c r="NZ106" s="43"/>
      <c r="OA106" s="43"/>
      <c r="OB106" s="43"/>
      <c r="OC106" s="43"/>
      <c r="OD106" s="43"/>
      <c r="OE106" s="43"/>
      <c r="OF106" s="43"/>
      <c r="OG106" s="43"/>
      <c r="OH106" s="43"/>
      <c r="OI106" s="43"/>
      <c r="OJ106" s="43"/>
      <c r="OK106" s="43"/>
      <c r="OL106" s="43"/>
      <c r="OM106" s="43"/>
      <c r="ON106" s="43"/>
      <c r="OO106" s="43"/>
      <c r="OP106" s="43"/>
      <c r="OQ106" s="43"/>
      <c r="OR106" s="43"/>
      <c r="OS106" s="43"/>
      <c r="OT106" s="43"/>
      <c r="OU106" s="43"/>
      <c r="OV106" s="43"/>
      <c r="OW106" s="43"/>
      <c r="OX106" s="43"/>
      <c r="OY106" s="43"/>
      <c r="OZ106" s="43"/>
      <c r="PA106" s="43"/>
      <c r="PB106" s="43"/>
      <c r="PC106" s="43"/>
      <c r="PD106" s="43"/>
      <c r="PE106" s="43"/>
      <c r="PF106" s="43"/>
      <c r="PG106" s="43"/>
      <c r="PH106" s="43"/>
      <c r="PI106" s="43"/>
      <c r="PJ106" s="43"/>
      <c r="PK106" s="43"/>
      <c r="PL106" s="43"/>
      <c r="PM106" s="43"/>
      <c r="PN106" s="43"/>
      <c r="PO106" s="43"/>
      <c r="PP106" s="43"/>
      <c r="PQ106" s="43"/>
      <c r="PR106" s="43"/>
      <c r="PS106" s="43"/>
      <c r="PT106" s="43"/>
      <c r="PU106" s="43"/>
      <c r="PV106" s="43"/>
      <c r="PW106" s="43"/>
      <c r="PX106" s="43"/>
      <c r="PY106" s="43"/>
      <c r="PZ106" s="43"/>
      <c r="QA106" s="43"/>
      <c r="QB106" s="43"/>
      <c r="QC106" s="43"/>
    </row>
    <row r="107" spans="1:445" x14ac:dyDescent="0.3">
      <c r="A107" s="85"/>
      <c r="B107" s="84"/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46" t="str">
        <f t="shared" si="9"/>
        <v/>
      </c>
      <c r="U107" s="46" t="str">
        <f t="shared" si="10"/>
        <v/>
      </c>
      <c r="V107" s="72" t="str">
        <f t="shared" si="11"/>
        <v/>
      </c>
      <c r="W107" s="48"/>
      <c r="X107" s="73" t="str">
        <f t="shared" si="12"/>
        <v/>
      </c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43"/>
      <c r="BN107" s="43"/>
      <c r="BO107" s="43"/>
      <c r="BP107" s="43"/>
      <c r="BQ107" s="43"/>
      <c r="BR107" s="43"/>
      <c r="BS107" s="43"/>
      <c r="BT107" s="43"/>
      <c r="BU107" s="43"/>
      <c r="BV107" s="43"/>
      <c r="BW107" s="43"/>
      <c r="BX107" s="43"/>
      <c r="BY107" s="43"/>
      <c r="BZ107" s="43"/>
      <c r="CA107" s="43"/>
      <c r="CB107" s="43"/>
      <c r="CC107" s="43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43"/>
      <c r="CY107" s="43"/>
      <c r="CZ107" s="43"/>
      <c r="DA107" s="43"/>
      <c r="DB107" s="43"/>
      <c r="DC107" s="43"/>
      <c r="DD107" s="43"/>
      <c r="DE107" s="43"/>
      <c r="DF107" s="43"/>
      <c r="DG107" s="43"/>
      <c r="DH107" s="43"/>
      <c r="DI107" s="43"/>
      <c r="DJ107" s="43"/>
      <c r="DK107" s="43"/>
      <c r="DL107" s="43"/>
      <c r="DM107" s="43"/>
      <c r="DN107" s="43"/>
      <c r="DO107" s="43"/>
      <c r="DP107" s="43"/>
      <c r="DQ107" s="43"/>
      <c r="DR107" s="43"/>
      <c r="DS107" s="43"/>
      <c r="DT107" s="43"/>
      <c r="DU107" s="43"/>
      <c r="DV107" s="43"/>
      <c r="DW107" s="43"/>
      <c r="DX107" s="43"/>
      <c r="DY107" s="43"/>
      <c r="DZ107" s="43"/>
      <c r="EA107" s="43"/>
      <c r="EB107" s="43"/>
      <c r="EC107" s="43"/>
      <c r="ED107" s="43"/>
      <c r="EE107" s="43"/>
      <c r="EF107" s="43"/>
      <c r="EG107" s="43"/>
      <c r="EH107" s="43"/>
      <c r="EI107" s="43"/>
      <c r="EJ107" s="43"/>
      <c r="EK107" s="43"/>
      <c r="EL107" s="43"/>
      <c r="EM107" s="43"/>
      <c r="EN107" s="43"/>
      <c r="EO107" s="43"/>
      <c r="EP107" s="43"/>
      <c r="EQ107" s="43"/>
      <c r="ER107" s="43"/>
      <c r="ES107" s="43"/>
      <c r="ET107" s="43"/>
      <c r="EU107" s="43"/>
      <c r="EV107" s="43"/>
      <c r="EW107" s="43"/>
      <c r="EX107" s="43"/>
      <c r="EY107" s="43"/>
      <c r="EZ107" s="43"/>
      <c r="FA107" s="43"/>
      <c r="FB107" s="43"/>
      <c r="FC107" s="43"/>
      <c r="FD107" s="43"/>
      <c r="FE107" s="43"/>
      <c r="FF107" s="43"/>
      <c r="FG107" s="43"/>
      <c r="FH107" s="43"/>
      <c r="FI107" s="43"/>
      <c r="FJ107" s="43"/>
      <c r="FK107" s="43"/>
      <c r="FL107" s="43"/>
      <c r="FM107" s="43"/>
      <c r="FN107" s="43"/>
      <c r="FO107" s="43"/>
      <c r="FP107" s="43"/>
      <c r="FQ107" s="43"/>
      <c r="FR107" s="43"/>
      <c r="FS107" s="43"/>
      <c r="FT107" s="43"/>
      <c r="FU107" s="43"/>
      <c r="FV107" s="43"/>
      <c r="FW107" s="43"/>
      <c r="FX107" s="43"/>
      <c r="FY107" s="43"/>
      <c r="FZ107" s="43"/>
      <c r="GA107" s="43"/>
      <c r="GB107" s="43"/>
      <c r="GC107" s="43"/>
      <c r="GD107" s="43"/>
      <c r="GE107" s="43"/>
      <c r="GF107" s="43"/>
      <c r="GG107" s="43"/>
      <c r="GH107" s="43"/>
      <c r="GI107" s="43"/>
      <c r="GJ107" s="43"/>
      <c r="GK107" s="43"/>
      <c r="GL107" s="43"/>
      <c r="GM107" s="43"/>
      <c r="GN107" s="43"/>
      <c r="GO107" s="43"/>
      <c r="GP107" s="43"/>
      <c r="GQ107" s="43"/>
      <c r="GR107" s="43"/>
      <c r="GS107" s="43"/>
      <c r="GT107" s="43"/>
      <c r="GU107" s="43"/>
      <c r="GV107" s="43"/>
      <c r="GW107" s="43"/>
      <c r="GX107" s="43"/>
      <c r="GY107" s="43"/>
      <c r="GZ107" s="43"/>
      <c r="HA107" s="43"/>
      <c r="HB107" s="43"/>
      <c r="HC107" s="43"/>
      <c r="HD107" s="43"/>
      <c r="HE107" s="43"/>
      <c r="HF107" s="43"/>
      <c r="HG107" s="43"/>
      <c r="HH107" s="43"/>
      <c r="HI107" s="43"/>
      <c r="HJ107" s="43"/>
      <c r="HK107" s="43"/>
      <c r="HL107" s="43"/>
      <c r="HM107" s="43"/>
      <c r="HN107" s="43"/>
      <c r="HO107" s="43"/>
      <c r="HP107" s="43"/>
      <c r="HQ107" s="43"/>
      <c r="HR107" s="43"/>
      <c r="HS107" s="43"/>
      <c r="HT107" s="43"/>
      <c r="HU107" s="43"/>
      <c r="HV107" s="43"/>
      <c r="HW107" s="43"/>
      <c r="HX107" s="43"/>
      <c r="HY107" s="43"/>
      <c r="HZ107" s="43"/>
      <c r="IA107" s="43"/>
      <c r="IB107" s="43"/>
      <c r="IC107" s="43"/>
      <c r="ID107" s="43"/>
      <c r="IE107" s="43"/>
      <c r="IF107" s="43"/>
      <c r="IG107" s="43"/>
      <c r="IH107" s="43"/>
      <c r="II107" s="43"/>
      <c r="IJ107" s="43"/>
      <c r="IK107" s="43"/>
      <c r="IL107" s="43"/>
      <c r="IM107" s="43"/>
      <c r="IN107" s="43"/>
      <c r="IO107" s="43"/>
      <c r="IP107" s="43"/>
      <c r="IQ107" s="43"/>
      <c r="IR107" s="43"/>
      <c r="IS107" s="43"/>
      <c r="IT107" s="43"/>
      <c r="IU107" s="43"/>
      <c r="IV107" s="43"/>
      <c r="IW107" s="43"/>
      <c r="IX107" s="43"/>
      <c r="IY107" s="43"/>
      <c r="IZ107" s="43"/>
      <c r="JA107" s="43"/>
      <c r="JB107" s="43"/>
      <c r="JC107" s="43"/>
      <c r="JD107" s="43"/>
      <c r="JE107" s="43"/>
      <c r="JF107" s="43"/>
      <c r="JG107" s="43"/>
      <c r="JH107" s="43"/>
      <c r="JI107" s="43"/>
      <c r="JJ107" s="43"/>
      <c r="JK107" s="43"/>
      <c r="JL107" s="43"/>
      <c r="JM107" s="43"/>
      <c r="JN107" s="43"/>
      <c r="JO107" s="43"/>
      <c r="JP107" s="43"/>
      <c r="JQ107" s="43"/>
      <c r="JR107" s="43"/>
      <c r="JS107" s="43"/>
      <c r="JT107" s="43"/>
      <c r="JU107" s="43"/>
      <c r="JV107" s="43"/>
      <c r="JW107" s="43"/>
      <c r="JX107" s="43"/>
      <c r="JY107" s="43"/>
      <c r="JZ107" s="43"/>
      <c r="KA107" s="43"/>
      <c r="KB107" s="43"/>
      <c r="KC107" s="43"/>
      <c r="KD107" s="43"/>
      <c r="KE107" s="43"/>
      <c r="KF107" s="43"/>
      <c r="KG107" s="43"/>
      <c r="KH107" s="43"/>
      <c r="KI107" s="43"/>
      <c r="KJ107" s="43"/>
      <c r="KK107" s="43"/>
      <c r="KL107" s="43"/>
      <c r="KM107" s="43"/>
      <c r="KN107" s="43"/>
      <c r="KO107" s="43"/>
      <c r="KP107" s="43"/>
      <c r="KQ107" s="43"/>
      <c r="KR107" s="43"/>
      <c r="KS107" s="43"/>
      <c r="KT107" s="43"/>
      <c r="KU107" s="43"/>
      <c r="KV107" s="43"/>
      <c r="KW107" s="43"/>
      <c r="KX107" s="43"/>
      <c r="KY107" s="43"/>
      <c r="KZ107" s="43"/>
      <c r="LA107" s="43"/>
      <c r="LB107" s="43"/>
      <c r="LC107" s="43"/>
      <c r="LD107" s="43"/>
      <c r="LE107" s="43"/>
      <c r="LF107" s="43"/>
      <c r="LG107" s="43"/>
      <c r="LH107" s="43"/>
      <c r="LI107" s="43"/>
      <c r="LJ107" s="43"/>
      <c r="LK107" s="43"/>
      <c r="LL107" s="43"/>
      <c r="LM107" s="43"/>
      <c r="LN107" s="43"/>
      <c r="LO107" s="43"/>
      <c r="LP107" s="43"/>
      <c r="LQ107" s="43"/>
      <c r="LR107" s="43"/>
      <c r="LS107" s="43"/>
      <c r="LT107" s="43"/>
      <c r="LU107" s="43"/>
      <c r="LV107" s="43"/>
      <c r="LW107" s="43"/>
      <c r="LX107" s="43"/>
      <c r="LY107" s="43"/>
      <c r="LZ107" s="43"/>
      <c r="MA107" s="43"/>
      <c r="MB107" s="43"/>
      <c r="MC107" s="43"/>
      <c r="MD107" s="43"/>
      <c r="ME107" s="43"/>
      <c r="MF107" s="43"/>
      <c r="MG107" s="43"/>
      <c r="MH107" s="43"/>
      <c r="MI107" s="43"/>
      <c r="MJ107" s="43"/>
      <c r="MK107" s="43"/>
      <c r="ML107" s="43"/>
      <c r="MM107" s="43"/>
      <c r="MN107" s="43"/>
      <c r="MO107" s="43"/>
      <c r="MP107" s="43"/>
      <c r="MQ107" s="43"/>
      <c r="MR107" s="43"/>
      <c r="MS107" s="43"/>
      <c r="MT107" s="43"/>
      <c r="MU107" s="43"/>
      <c r="MV107" s="43"/>
      <c r="MW107" s="43"/>
      <c r="MX107" s="43"/>
      <c r="MY107" s="43"/>
      <c r="MZ107" s="43"/>
      <c r="NA107" s="43"/>
      <c r="NB107" s="43"/>
      <c r="NC107" s="43"/>
      <c r="ND107" s="43"/>
      <c r="NE107" s="43"/>
      <c r="NF107" s="43"/>
      <c r="NG107" s="43"/>
      <c r="NH107" s="43"/>
      <c r="NI107" s="43"/>
      <c r="NJ107" s="43"/>
      <c r="NK107" s="43"/>
      <c r="NL107" s="43"/>
      <c r="NM107" s="43"/>
      <c r="NN107" s="43"/>
      <c r="NO107" s="43"/>
      <c r="NP107" s="43"/>
      <c r="NQ107" s="43"/>
      <c r="NR107" s="43"/>
      <c r="NS107" s="43"/>
      <c r="NT107" s="43"/>
      <c r="NU107" s="43"/>
      <c r="NV107" s="43"/>
      <c r="NW107" s="43"/>
      <c r="NX107" s="43"/>
      <c r="NY107" s="43"/>
      <c r="NZ107" s="43"/>
      <c r="OA107" s="43"/>
      <c r="OB107" s="43"/>
      <c r="OC107" s="43"/>
      <c r="OD107" s="43"/>
      <c r="OE107" s="43"/>
      <c r="OF107" s="43"/>
      <c r="OG107" s="43"/>
      <c r="OH107" s="43"/>
      <c r="OI107" s="43"/>
      <c r="OJ107" s="43"/>
      <c r="OK107" s="43"/>
      <c r="OL107" s="43"/>
      <c r="OM107" s="43"/>
      <c r="ON107" s="43"/>
      <c r="OO107" s="43"/>
      <c r="OP107" s="43"/>
      <c r="OQ107" s="43"/>
      <c r="OR107" s="43"/>
      <c r="OS107" s="43"/>
      <c r="OT107" s="43"/>
      <c r="OU107" s="43"/>
      <c r="OV107" s="43"/>
      <c r="OW107" s="43"/>
      <c r="OX107" s="43"/>
      <c r="OY107" s="43"/>
      <c r="OZ107" s="43"/>
      <c r="PA107" s="43"/>
      <c r="PB107" s="43"/>
      <c r="PC107" s="43"/>
      <c r="PD107" s="43"/>
      <c r="PE107" s="43"/>
      <c r="PF107" s="43"/>
      <c r="PG107" s="43"/>
      <c r="PH107" s="43"/>
      <c r="PI107" s="43"/>
      <c r="PJ107" s="43"/>
      <c r="PK107" s="43"/>
      <c r="PL107" s="43"/>
      <c r="PM107" s="43"/>
      <c r="PN107" s="43"/>
      <c r="PO107" s="43"/>
      <c r="PP107" s="43"/>
      <c r="PQ107" s="43"/>
      <c r="PR107" s="43"/>
      <c r="PS107" s="43"/>
      <c r="PT107" s="43"/>
      <c r="PU107" s="43"/>
      <c r="PV107" s="43"/>
      <c r="PW107" s="43"/>
      <c r="PX107" s="43"/>
      <c r="PY107" s="43"/>
      <c r="PZ107" s="43"/>
      <c r="QA107" s="43"/>
      <c r="QB107" s="43"/>
      <c r="QC107" s="43"/>
    </row>
    <row r="108" spans="1:445" x14ac:dyDescent="0.3">
      <c r="A108" s="85"/>
      <c r="B108" s="84"/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6"/>
      <c r="P108" s="84"/>
      <c r="Q108" s="84"/>
      <c r="R108" s="84"/>
      <c r="S108" s="84"/>
      <c r="T108" s="46" t="str">
        <f t="shared" si="9"/>
        <v/>
      </c>
      <c r="U108" s="46" t="str">
        <f t="shared" si="10"/>
        <v/>
      </c>
      <c r="V108" s="72" t="str">
        <f t="shared" si="11"/>
        <v/>
      </c>
      <c r="W108" s="48"/>
      <c r="X108" s="73" t="str">
        <f t="shared" si="12"/>
        <v/>
      </c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43"/>
      <c r="BN108" s="43"/>
      <c r="BO108" s="43"/>
      <c r="BP108" s="43"/>
      <c r="BQ108" s="43"/>
      <c r="BR108" s="43"/>
      <c r="BS108" s="43"/>
      <c r="BT108" s="43"/>
      <c r="BU108" s="43"/>
      <c r="BV108" s="43"/>
      <c r="BW108" s="43"/>
      <c r="BX108" s="43"/>
      <c r="BY108" s="43"/>
      <c r="BZ108" s="43"/>
      <c r="CA108" s="43"/>
      <c r="CB108" s="43"/>
      <c r="CC108" s="4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43"/>
      <c r="CY108" s="43"/>
      <c r="CZ108" s="43"/>
      <c r="DA108" s="43"/>
      <c r="DB108" s="43"/>
      <c r="DC108" s="43"/>
      <c r="DD108" s="43"/>
      <c r="DE108" s="43"/>
      <c r="DF108" s="43"/>
      <c r="DG108" s="43"/>
      <c r="DH108" s="43"/>
      <c r="DI108" s="43"/>
      <c r="DJ108" s="43"/>
      <c r="DK108" s="43"/>
      <c r="DL108" s="43"/>
      <c r="DM108" s="43"/>
      <c r="DN108" s="43"/>
      <c r="DO108" s="43"/>
      <c r="DP108" s="43"/>
      <c r="DQ108" s="43"/>
      <c r="DR108" s="43"/>
      <c r="DS108" s="43"/>
      <c r="DT108" s="43"/>
      <c r="DU108" s="43"/>
      <c r="DV108" s="43"/>
      <c r="DW108" s="43"/>
      <c r="DX108" s="43"/>
      <c r="DY108" s="43"/>
      <c r="DZ108" s="43"/>
      <c r="EA108" s="43"/>
      <c r="EB108" s="43"/>
      <c r="EC108" s="43"/>
      <c r="ED108" s="43"/>
      <c r="EE108" s="43"/>
      <c r="EF108" s="43"/>
      <c r="EG108" s="43"/>
      <c r="EH108" s="43"/>
      <c r="EI108" s="43"/>
      <c r="EJ108" s="43"/>
      <c r="EK108" s="43"/>
      <c r="EL108" s="43"/>
      <c r="EM108" s="43"/>
      <c r="EN108" s="43"/>
      <c r="EO108" s="43"/>
      <c r="EP108" s="43"/>
      <c r="EQ108" s="43"/>
      <c r="ER108" s="43"/>
      <c r="ES108" s="43"/>
      <c r="ET108" s="43"/>
      <c r="EU108" s="43"/>
      <c r="EV108" s="43"/>
      <c r="EW108" s="43"/>
      <c r="EX108" s="43"/>
      <c r="EY108" s="43"/>
      <c r="EZ108" s="43"/>
      <c r="FA108" s="43"/>
      <c r="FB108" s="43"/>
      <c r="FC108" s="43"/>
      <c r="FD108" s="43"/>
      <c r="FE108" s="43"/>
      <c r="FF108" s="43"/>
      <c r="FG108" s="43"/>
      <c r="FH108" s="43"/>
      <c r="FI108" s="43"/>
      <c r="FJ108" s="43"/>
      <c r="FK108" s="43"/>
      <c r="FL108" s="43"/>
      <c r="FM108" s="43"/>
      <c r="FN108" s="43"/>
      <c r="FO108" s="43"/>
      <c r="FP108" s="43"/>
      <c r="FQ108" s="43"/>
      <c r="FR108" s="43"/>
      <c r="FS108" s="43"/>
      <c r="FT108" s="43"/>
      <c r="FU108" s="43"/>
      <c r="FV108" s="43"/>
      <c r="FW108" s="43"/>
      <c r="FX108" s="43"/>
      <c r="FY108" s="43"/>
      <c r="FZ108" s="43"/>
      <c r="GA108" s="43"/>
      <c r="GB108" s="43"/>
      <c r="GC108" s="43"/>
      <c r="GD108" s="43"/>
      <c r="GE108" s="43"/>
      <c r="GF108" s="43"/>
      <c r="GG108" s="43"/>
      <c r="GH108" s="43"/>
      <c r="GI108" s="43"/>
      <c r="GJ108" s="43"/>
      <c r="GK108" s="43"/>
      <c r="GL108" s="43"/>
      <c r="GM108" s="43"/>
      <c r="GN108" s="43"/>
      <c r="GO108" s="43"/>
      <c r="GP108" s="43"/>
      <c r="GQ108" s="43"/>
      <c r="GR108" s="43"/>
      <c r="GS108" s="43"/>
      <c r="GT108" s="43"/>
      <c r="GU108" s="43"/>
      <c r="GV108" s="43"/>
      <c r="GW108" s="43"/>
      <c r="GX108" s="43"/>
      <c r="GY108" s="43"/>
      <c r="GZ108" s="43"/>
      <c r="HA108" s="43"/>
      <c r="HB108" s="43"/>
      <c r="HC108" s="43"/>
      <c r="HD108" s="43"/>
      <c r="HE108" s="43"/>
      <c r="HF108" s="43"/>
      <c r="HG108" s="43"/>
      <c r="HH108" s="43"/>
      <c r="HI108" s="43"/>
      <c r="HJ108" s="43"/>
      <c r="HK108" s="43"/>
      <c r="HL108" s="43"/>
      <c r="HM108" s="43"/>
      <c r="HN108" s="43"/>
      <c r="HO108" s="43"/>
      <c r="HP108" s="43"/>
      <c r="HQ108" s="43"/>
      <c r="HR108" s="43"/>
      <c r="HS108" s="43"/>
      <c r="HT108" s="43"/>
      <c r="HU108" s="43"/>
      <c r="HV108" s="43"/>
      <c r="HW108" s="43"/>
      <c r="HX108" s="43"/>
      <c r="HY108" s="43"/>
      <c r="HZ108" s="43"/>
      <c r="IA108" s="43"/>
      <c r="IB108" s="43"/>
      <c r="IC108" s="43"/>
      <c r="ID108" s="43"/>
      <c r="IE108" s="43"/>
      <c r="IF108" s="43"/>
      <c r="IG108" s="43"/>
      <c r="IH108" s="43"/>
      <c r="II108" s="43"/>
      <c r="IJ108" s="43"/>
      <c r="IK108" s="43"/>
      <c r="IL108" s="43"/>
      <c r="IM108" s="43"/>
      <c r="IN108" s="43"/>
      <c r="IO108" s="43"/>
      <c r="IP108" s="43"/>
      <c r="IQ108" s="43"/>
      <c r="IR108" s="43"/>
      <c r="IS108" s="43"/>
      <c r="IT108" s="43"/>
      <c r="IU108" s="43"/>
      <c r="IV108" s="43"/>
      <c r="IW108" s="43"/>
      <c r="IX108" s="43"/>
      <c r="IY108" s="43"/>
      <c r="IZ108" s="43"/>
      <c r="JA108" s="43"/>
      <c r="JB108" s="43"/>
      <c r="JC108" s="43"/>
      <c r="JD108" s="43"/>
      <c r="JE108" s="43"/>
      <c r="JF108" s="43"/>
      <c r="JG108" s="43"/>
      <c r="JH108" s="43"/>
      <c r="JI108" s="43"/>
      <c r="JJ108" s="43"/>
      <c r="JK108" s="43"/>
      <c r="JL108" s="43"/>
      <c r="JM108" s="43"/>
      <c r="JN108" s="43"/>
      <c r="JO108" s="43"/>
      <c r="JP108" s="43"/>
      <c r="JQ108" s="43"/>
      <c r="JR108" s="43"/>
      <c r="JS108" s="43"/>
      <c r="JT108" s="43"/>
      <c r="JU108" s="43"/>
      <c r="JV108" s="43"/>
      <c r="JW108" s="43"/>
      <c r="JX108" s="43"/>
      <c r="JY108" s="43"/>
      <c r="JZ108" s="43"/>
      <c r="KA108" s="43"/>
      <c r="KB108" s="43"/>
      <c r="KC108" s="43"/>
      <c r="KD108" s="43"/>
      <c r="KE108" s="43"/>
      <c r="KF108" s="43"/>
      <c r="KG108" s="43"/>
      <c r="KH108" s="43"/>
      <c r="KI108" s="43"/>
      <c r="KJ108" s="43"/>
      <c r="KK108" s="43"/>
      <c r="KL108" s="43"/>
      <c r="KM108" s="43"/>
      <c r="KN108" s="43"/>
      <c r="KO108" s="43"/>
      <c r="KP108" s="43"/>
      <c r="KQ108" s="43"/>
      <c r="KR108" s="43"/>
      <c r="KS108" s="43"/>
      <c r="KT108" s="43"/>
      <c r="KU108" s="43"/>
      <c r="KV108" s="43"/>
      <c r="KW108" s="43"/>
      <c r="KX108" s="43"/>
      <c r="KY108" s="43"/>
      <c r="KZ108" s="43"/>
      <c r="LA108" s="43"/>
      <c r="LB108" s="43"/>
      <c r="LC108" s="43"/>
      <c r="LD108" s="43"/>
      <c r="LE108" s="43"/>
      <c r="LF108" s="43"/>
      <c r="LG108" s="43"/>
      <c r="LH108" s="43"/>
      <c r="LI108" s="43"/>
      <c r="LJ108" s="43"/>
      <c r="LK108" s="43"/>
      <c r="LL108" s="43"/>
      <c r="LM108" s="43"/>
      <c r="LN108" s="43"/>
      <c r="LO108" s="43"/>
      <c r="LP108" s="43"/>
      <c r="LQ108" s="43"/>
      <c r="LR108" s="43"/>
      <c r="LS108" s="43"/>
      <c r="LT108" s="43"/>
      <c r="LU108" s="43"/>
      <c r="LV108" s="43"/>
      <c r="LW108" s="43"/>
      <c r="LX108" s="43"/>
      <c r="LY108" s="43"/>
      <c r="LZ108" s="43"/>
      <c r="MA108" s="43"/>
      <c r="MB108" s="43"/>
      <c r="MC108" s="43"/>
      <c r="MD108" s="43"/>
      <c r="ME108" s="43"/>
      <c r="MF108" s="43"/>
      <c r="MG108" s="43"/>
      <c r="MH108" s="43"/>
      <c r="MI108" s="43"/>
      <c r="MJ108" s="43"/>
      <c r="MK108" s="43"/>
      <c r="ML108" s="43"/>
      <c r="MM108" s="43"/>
      <c r="MN108" s="43"/>
      <c r="MO108" s="43"/>
      <c r="MP108" s="43"/>
      <c r="MQ108" s="43"/>
      <c r="MR108" s="43"/>
      <c r="MS108" s="43"/>
      <c r="MT108" s="43"/>
      <c r="MU108" s="43"/>
      <c r="MV108" s="43"/>
      <c r="MW108" s="43"/>
      <c r="MX108" s="43"/>
      <c r="MY108" s="43"/>
      <c r="MZ108" s="43"/>
      <c r="NA108" s="43"/>
      <c r="NB108" s="43"/>
      <c r="NC108" s="43"/>
      <c r="ND108" s="43"/>
      <c r="NE108" s="43"/>
      <c r="NF108" s="43"/>
      <c r="NG108" s="43"/>
      <c r="NH108" s="43"/>
      <c r="NI108" s="43"/>
      <c r="NJ108" s="43"/>
      <c r="NK108" s="43"/>
      <c r="NL108" s="43"/>
      <c r="NM108" s="43"/>
      <c r="NN108" s="43"/>
      <c r="NO108" s="43"/>
      <c r="NP108" s="43"/>
      <c r="NQ108" s="43"/>
      <c r="NR108" s="43"/>
      <c r="NS108" s="43"/>
      <c r="NT108" s="43"/>
      <c r="NU108" s="43"/>
      <c r="NV108" s="43"/>
      <c r="NW108" s="43"/>
      <c r="NX108" s="43"/>
      <c r="NY108" s="43"/>
      <c r="NZ108" s="43"/>
      <c r="OA108" s="43"/>
      <c r="OB108" s="43"/>
      <c r="OC108" s="43"/>
      <c r="OD108" s="43"/>
      <c r="OE108" s="43"/>
      <c r="OF108" s="43"/>
      <c r="OG108" s="43"/>
      <c r="OH108" s="43"/>
      <c r="OI108" s="43"/>
      <c r="OJ108" s="43"/>
      <c r="OK108" s="43"/>
      <c r="OL108" s="43"/>
      <c r="OM108" s="43"/>
      <c r="ON108" s="43"/>
      <c r="OO108" s="43"/>
      <c r="OP108" s="43"/>
      <c r="OQ108" s="43"/>
      <c r="OR108" s="43"/>
      <c r="OS108" s="43"/>
      <c r="OT108" s="43"/>
      <c r="OU108" s="43"/>
      <c r="OV108" s="43"/>
      <c r="OW108" s="43"/>
      <c r="OX108" s="43"/>
      <c r="OY108" s="43"/>
      <c r="OZ108" s="43"/>
      <c r="PA108" s="43"/>
      <c r="PB108" s="43"/>
      <c r="PC108" s="43"/>
      <c r="PD108" s="43"/>
      <c r="PE108" s="43"/>
      <c r="PF108" s="43"/>
      <c r="PG108" s="43"/>
      <c r="PH108" s="43"/>
      <c r="PI108" s="43"/>
      <c r="PJ108" s="43"/>
      <c r="PK108" s="43"/>
      <c r="PL108" s="43"/>
      <c r="PM108" s="43"/>
      <c r="PN108" s="43"/>
      <c r="PO108" s="43"/>
      <c r="PP108" s="43"/>
      <c r="PQ108" s="43"/>
      <c r="PR108" s="43"/>
      <c r="PS108" s="43"/>
      <c r="PT108" s="43"/>
      <c r="PU108" s="43"/>
      <c r="PV108" s="43"/>
      <c r="PW108" s="43"/>
      <c r="PX108" s="43"/>
      <c r="PY108" s="43"/>
      <c r="PZ108" s="43"/>
      <c r="QA108" s="43"/>
      <c r="QB108" s="43"/>
      <c r="QC108" s="43"/>
    </row>
    <row r="109" spans="1:445" x14ac:dyDescent="0.3">
      <c r="A109" s="85"/>
      <c r="B109" s="84"/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46" t="str">
        <f t="shared" si="9"/>
        <v/>
      </c>
      <c r="U109" s="46" t="str">
        <f t="shared" si="10"/>
        <v/>
      </c>
      <c r="V109" s="72" t="str">
        <f t="shared" si="11"/>
        <v/>
      </c>
      <c r="X109" s="73" t="str">
        <f t="shared" si="12"/>
        <v/>
      </c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43"/>
      <c r="BN109" s="43"/>
      <c r="BO109" s="43"/>
      <c r="BP109" s="43"/>
      <c r="BQ109" s="43"/>
      <c r="BR109" s="43"/>
      <c r="BS109" s="43"/>
      <c r="BT109" s="43"/>
      <c r="BU109" s="43"/>
      <c r="BV109" s="43"/>
      <c r="BW109" s="43"/>
      <c r="BX109" s="43"/>
      <c r="BY109" s="43"/>
      <c r="BZ109" s="43"/>
      <c r="CA109" s="43"/>
      <c r="CB109" s="43"/>
      <c r="CC109" s="4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43"/>
      <c r="CY109" s="43"/>
      <c r="CZ109" s="43"/>
      <c r="DA109" s="43"/>
      <c r="DB109" s="43"/>
      <c r="DC109" s="43"/>
      <c r="DD109" s="43"/>
      <c r="DE109" s="43"/>
      <c r="DF109" s="43"/>
      <c r="DG109" s="43"/>
      <c r="DH109" s="43"/>
      <c r="DI109" s="43"/>
      <c r="DJ109" s="43"/>
      <c r="DK109" s="43"/>
      <c r="DL109" s="43"/>
      <c r="DM109" s="43"/>
      <c r="DN109" s="43"/>
      <c r="DO109" s="43"/>
      <c r="DP109" s="43"/>
      <c r="DQ109" s="43"/>
      <c r="DR109" s="43"/>
      <c r="DS109" s="43"/>
      <c r="DT109" s="43"/>
      <c r="DU109" s="43"/>
      <c r="DV109" s="43"/>
      <c r="DW109" s="43"/>
      <c r="DX109" s="43"/>
      <c r="DY109" s="43"/>
      <c r="DZ109" s="43"/>
      <c r="EA109" s="43"/>
      <c r="EB109" s="43"/>
      <c r="EC109" s="43"/>
      <c r="ED109" s="43"/>
      <c r="EE109" s="43"/>
      <c r="EF109" s="43"/>
      <c r="EG109" s="43"/>
      <c r="EH109" s="43"/>
      <c r="EI109" s="43"/>
      <c r="EJ109" s="43"/>
      <c r="EK109" s="43"/>
      <c r="EL109" s="43"/>
      <c r="EM109" s="43"/>
      <c r="EN109" s="43"/>
      <c r="EO109" s="43"/>
      <c r="EP109" s="43"/>
      <c r="EQ109" s="43"/>
      <c r="ER109" s="43"/>
      <c r="ES109" s="43"/>
      <c r="ET109" s="43"/>
      <c r="EU109" s="43"/>
      <c r="EV109" s="43"/>
      <c r="EW109" s="43"/>
      <c r="EX109" s="43"/>
      <c r="EY109" s="43"/>
      <c r="EZ109" s="43"/>
      <c r="FA109" s="43"/>
      <c r="FB109" s="43"/>
      <c r="FC109" s="43"/>
      <c r="FD109" s="43"/>
      <c r="FE109" s="43"/>
      <c r="FF109" s="43"/>
      <c r="FG109" s="43"/>
      <c r="FH109" s="43"/>
      <c r="FI109" s="43"/>
      <c r="FJ109" s="43"/>
      <c r="FK109" s="43"/>
      <c r="FL109" s="43"/>
      <c r="FM109" s="43"/>
      <c r="FN109" s="43"/>
      <c r="FO109" s="43"/>
      <c r="FP109" s="43"/>
      <c r="FQ109" s="43"/>
      <c r="FR109" s="43"/>
      <c r="FS109" s="43"/>
      <c r="FT109" s="43"/>
      <c r="FU109" s="43"/>
      <c r="FV109" s="43"/>
      <c r="FW109" s="43"/>
      <c r="FX109" s="43"/>
      <c r="FY109" s="43"/>
      <c r="FZ109" s="43"/>
      <c r="GA109" s="43"/>
      <c r="GB109" s="43"/>
      <c r="GC109" s="43"/>
      <c r="GD109" s="43"/>
      <c r="GE109" s="43"/>
      <c r="GF109" s="43"/>
      <c r="GG109" s="43"/>
      <c r="GH109" s="43"/>
      <c r="GI109" s="43"/>
      <c r="GJ109" s="43"/>
      <c r="GK109" s="43"/>
      <c r="GL109" s="43"/>
      <c r="GM109" s="43"/>
      <c r="GN109" s="43"/>
      <c r="GO109" s="43"/>
      <c r="GP109" s="43"/>
      <c r="GQ109" s="43"/>
      <c r="GR109" s="43"/>
      <c r="GS109" s="43"/>
      <c r="GT109" s="43"/>
      <c r="GU109" s="43"/>
      <c r="GV109" s="43"/>
      <c r="GW109" s="43"/>
      <c r="GX109" s="43"/>
      <c r="GY109" s="43"/>
      <c r="GZ109" s="43"/>
      <c r="HA109" s="43"/>
      <c r="HB109" s="43"/>
      <c r="HC109" s="43"/>
      <c r="HD109" s="43"/>
      <c r="HE109" s="43"/>
      <c r="HF109" s="43"/>
      <c r="HG109" s="43"/>
      <c r="HH109" s="43"/>
      <c r="HI109" s="43"/>
      <c r="HJ109" s="43"/>
      <c r="HK109" s="43"/>
      <c r="HL109" s="43"/>
      <c r="HM109" s="43"/>
      <c r="HN109" s="43"/>
      <c r="HO109" s="43"/>
      <c r="HP109" s="43"/>
      <c r="HQ109" s="43"/>
      <c r="HR109" s="43"/>
      <c r="HS109" s="43"/>
      <c r="HT109" s="43"/>
      <c r="HU109" s="43"/>
      <c r="HV109" s="43"/>
      <c r="HW109" s="43"/>
      <c r="HX109" s="43"/>
      <c r="HY109" s="43"/>
      <c r="HZ109" s="43"/>
      <c r="IA109" s="43"/>
      <c r="IB109" s="43"/>
      <c r="IC109" s="43"/>
      <c r="ID109" s="43"/>
      <c r="IE109" s="43"/>
      <c r="IF109" s="43"/>
      <c r="IG109" s="43"/>
      <c r="IH109" s="43"/>
      <c r="II109" s="43"/>
      <c r="IJ109" s="43"/>
      <c r="IK109" s="43"/>
      <c r="IL109" s="43"/>
      <c r="IM109" s="43"/>
      <c r="IN109" s="43"/>
      <c r="IO109" s="43"/>
      <c r="IP109" s="43"/>
      <c r="IQ109" s="43"/>
      <c r="IR109" s="43"/>
      <c r="IS109" s="43"/>
      <c r="IT109" s="43"/>
      <c r="IU109" s="43"/>
      <c r="IV109" s="43"/>
      <c r="IW109" s="43"/>
      <c r="IX109" s="43"/>
      <c r="IY109" s="43"/>
      <c r="IZ109" s="43"/>
      <c r="JA109" s="43"/>
      <c r="JB109" s="43"/>
      <c r="JC109" s="43"/>
      <c r="JD109" s="43"/>
      <c r="JE109" s="43"/>
      <c r="JF109" s="43"/>
      <c r="JG109" s="43"/>
      <c r="JH109" s="43"/>
      <c r="JI109" s="43"/>
      <c r="JJ109" s="43"/>
      <c r="JK109" s="43"/>
      <c r="JL109" s="43"/>
      <c r="JM109" s="43"/>
      <c r="JN109" s="43"/>
      <c r="JO109" s="43"/>
      <c r="JP109" s="43"/>
      <c r="JQ109" s="43"/>
      <c r="JR109" s="43"/>
      <c r="JS109" s="43"/>
      <c r="JT109" s="43"/>
      <c r="JU109" s="43"/>
      <c r="JV109" s="43"/>
      <c r="JW109" s="43"/>
      <c r="JX109" s="43"/>
      <c r="JY109" s="43"/>
      <c r="JZ109" s="43"/>
      <c r="KA109" s="43"/>
      <c r="KB109" s="43"/>
      <c r="KC109" s="43"/>
      <c r="KD109" s="43"/>
      <c r="KE109" s="43"/>
      <c r="KF109" s="43"/>
      <c r="KG109" s="43"/>
      <c r="KH109" s="43"/>
      <c r="KI109" s="43"/>
      <c r="KJ109" s="43"/>
      <c r="KK109" s="43"/>
      <c r="KL109" s="43"/>
      <c r="KM109" s="43"/>
      <c r="KN109" s="43"/>
      <c r="KO109" s="43"/>
      <c r="KP109" s="43"/>
      <c r="KQ109" s="43"/>
      <c r="KR109" s="43"/>
      <c r="KS109" s="43"/>
      <c r="KT109" s="43"/>
      <c r="KU109" s="43"/>
      <c r="KV109" s="43"/>
      <c r="KW109" s="43"/>
      <c r="KX109" s="43"/>
      <c r="KY109" s="43"/>
      <c r="KZ109" s="43"/>
      <c r="LA109" s="43"/>
      <c r="LB109" s="43"/>
      <c r="LC109" s="43"/>
      <c r="LD109" s="43"/>
      <c r="LE109" s="43"/>
      <c r="LF109" s="43"/>
      <c r="LG109" s="43"/>
      <c r="LH109" s="43"/>
      <c r="LI109" s="43"/>
      <c r="LJ109" s="43"/>
      <c r="LK109" s="43"/>
      <c r="LL109" s="43"/>
      <c r="LM109" s="43"/>
      <c r="LN109" s="43"/>
      <c r="LO109" s="43"/>
      <c r="LP109" s="43"/>
      <c r="LQ109" s="43"/>
      <c r="LR109" s="43"/>
      <c r="LS109" s="43"/>
      <c r="LT109" s="43"/>
      <c r="LU109" s="43"/>
      <c r="LV109" s="43"/>
      <c r="LW109" s="43"/>
      <c r="LX109" s="43"/>
      <c r="LY109" s="43"/>
      <c r="LZ109" s="43"/>
      <c r="MA109" s="43"/>
      <c r="MB109" s="43"/>
      <c r="MC109" s="43"/>
      <c r="MD109" s="43"/>
      <c r="ME109" s="43"/>
      <c r="MF109" s="43"/>
      <c r="MG109" s="43"/>
      <c r="MH109" s="43"/>
      <c r="MI109" s="43"/>
      <c r="MJ109" s="43"/>
      <c r="MK109" s="43"/>
      <c r="ML109" s="43"/>
      <c r="MM109" s="43"/>
      <c r="MN109" s="43"/>
      <c r="MO109" s="43"/>
      <c r="MP109" s="43"/>
      <c r="MQ109" s="43"/>
      <c r="MR109" s="43"/>
      <c r="MS109" s="43"/>
      <c r="MT109" s="43"/>
      <c r="MU109" s="43"/>
      <c r="MV109" s="43"/>
      <c r="MW109" s="43"/>
      <c r="MX109" s="43"/>
      <c r="MY109" s="43"/>
      <c r="MZ109" s="43"/>
      <c r="NA109" s="43"/>
      <c r="NB109" s="43"/>
      <c r="NC109" s="43"/>
      <c r="ND109" s="43"/>
      <c r="NE109" s="43"/>
      <c r="NF109" s="43"/>
      <c r="NG109" s="43"/>
      <c r="NH109" s="43"/>
      <c r="NI109" s="43"/>
      <c r="NJ109" s="43"/>
      <c r="NK109" s="43"/>
      <c r="NL109" s="43"/>
      <c r="NM109" s="43"/>
      <c r="NN109" s="43"/>
      <c r="NO109" s="43"/>
      <c r="NP109" s="43"/>
      <c r="NQ109" s="43"/>
      <c r="NR109" s="43"/>
      <c r="NS109" s="43"/>
      <c r="NT109" s="43"/>
      <c r="NU109" s="43"/>
      <c r="NV109" s="43"/>
      <c r="NW109" s="43"/>
      <c r="NX109" s="43"/>
      <c r="NY109" s="43"/>
      <c r="NZ109" s="43"/>
      <c r="OA109" s="43"/>
      <c r="OB109" s="43"/>
      <c r="OC109" s="43"/>
      <c r="OD109" s="43"/>
      <c r="OE109" s="43"/>
      <c r="OF109" s="43"/>
      <c r="OG109" s="43"/>
      <c r="OH109" s="43"/>
      <c r="OI109" s="43"/>
      <c r="OJ109" s="43"/>
      <c r="OK109" s="43"/>
      <c r="OL109" s="43"/>
      <c r="OM109" s="43"/>
      <c r="ON109" s="43"/>
      <c r="OO109" s="43"/>
      <c r="OP109" s="43"/>
      <c r="OQ109" s="43"/>
      <c r="OR109" s="43"/>
      <c r="OS109" s="43"/>
      <c r="OT109" s="43"/>
      <c r="OU109" s="43"/>
      <c r="OV109" s="43"/>
      <c r="OW109" s="43"/>
      <c r="OX109" s="43"/>
      <c r="OY109" s="43"/>
      <c r="OZ109" s="43"/>
      <c r="PA109" s="43"/>
      <c r="PB109" s="43"/>
      <c r="PC109" s="43"/>
      <c r="PD109" s="43"/>
      <c r="PE109" s="43"/>
      <c r="PF109" s="43"/>
      <c r="PG109" s="43"/>
      <c r="PH109" s="43"/>
      <c r="PI109" s="43"/>
      <c r="PJ109" s="43"/>
      <c r="PK109" s="43"/>
      <c r="PL109" s="43"/>
      <c r="PM109" s="43"/>
      <c r="PN109" s="43"/>
      <c r="PO109" s="43"/>
      <c r="PP109" s="43"/>
      <c r="PQ109" s="43"/>
      <c r="PR109" s="43"/>
      <c r="PS109" s="43"/>
      <c r="PT109" s="43"/>
      <c r="PU109" s="43"/>
      <c r="PV109" s="43"/>
      <c r="PW109" s="43"/>
      <c r="PX109" s="43"/>
      <c r="PY109" s="43"/>
      <c r="PZ109" s="43"/>
      <c r="QA109" s="43"/>
      <c r="QB109" s="43"/>
      <c r="QC109" s="43"/>
    </row>
    <row r="110" spans="1:445" x14ac:dyDescent="0.3">
      <c r="A110" s="85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46" t="str">
        <f t="shared" si="9"/>
        <v/>
      </c>
      <c r="U110" s="46" t="str">
        <f t="shared" si="10"/>
        <v/>
      </c>
      <c r="V110" s="72" t="str">
        <f t="shared" si="11"/>
        <v/>
      </c>
      <c r="W110" s="48"/>
      <c r="X110" s="73" t="str">
        <f t="shared" si="12"/>
        <v/>
      </c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43"/>
      <c r="BN110" s="43"/>
      <c r="BO110" s="43"/>
      <c r="BP110" s="43"/>
      <c r="BQ110" s="43"/>
      <c r="BR110" s="43"/>
      <c r="BS110" s="43"/>
      <c r="BT110" s="43"/>
      <c r="BU110" s="43"/>
      <c r="BV110" s="43"/>
      <c r="BW110" s="43"/>
      <c r="BX110" s="43"/>
      <c r="BY110" s="43"/>
      <c r="BZ110" s="43"/>
      <c r="CA110" s="43"/>
      <c r="CB110" s="43"/>
      <c r="CC110" s="4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43"/>
      <c r="CY110" s="43"/>
      <c r="CZ110" s="43"/>
      <c r="DA110" s="43"/>
      <c r="DB110" s="43"/>
      <c r="DC110" s="43"/>
      <c r="DD110" s="43"/>
      <c r="DE110" s="43"/>
      <c r="DF110" s="43"/>
      <c r="DG110" s="43"/>
      <c r="DH110" s="43"/>
      <c r="DI110" s="43"/>
      <c r="DJ110" s="43"/>
      <c r="DK110" s="43"/>
      <c r="DL110" s="43"/>
      <c r="DM110" s="43"/>
      <c r="DN110" s="43"/>
      <c r="DO110" s="43"/>
      <c r="DP110" s="43"/>
      <c r="DQ110" s="43"/>
      <c r="DR110" s="43"/>
      <c r="DS110" s="43"/>
      <c r="DT110" s="43"/>
      <c r="DU110" s="43"/>
      <c r="DV110" s="43"/>
      <c r="DW110" s="43"/>
      <c r="DX110" s="43"/>
      <c r="DY110" s="43"/>
      <c r="DZ110" s="43"/>
      <c r="EA110" s="43"/>
      <c r="EB110" s="43"/>
      <c r="EC110" s="43"/>
      <c r="ED110" s="43"/>
      <c r="EE110" s="43"/>
      <c r="EF110" s="43"/>
      <c r="EG110" s="43"/>
      <c r="EH110" s="43"/>
      <c r="EI110" s="43"/>
      <c r="EJ110" s="43"/>
      <c r="EK110" s="43"/>
      <c r="EL110" s="43"/>
      <c r="EM110" s="43"/>
      <c r="EN110" s="43"/>
      <c r="EO110" s="43"/>
      <c r="EP110" s="43"/>
      <c r="EQ110" s="43"/>
      <c r="ER110" s="43"/>
      <c r="ES110" s="43"/>
      <c r="ET110" s="43"/>
      <c r="EU110" s="43"/>
      <c r="EV110" s="43"/>
      <c r="EW110" s="43"/>
      <c r="EX110" s="43"/>
      <c r="EY110" s="43"/>
      <c r="EZ110" s="43"/>
      <c r="FA110" s="43"/>
      <c r="FB110" s="43"/>
      <c r="FC110" s="43"/>
      <c r="FD110" s="43"/>
      <c r="FE110" s="43"/>
      <c r="FF110" s="43"/>
      <c r="FG110" s="43"/>
      <c r="FH110" s="43"/>
      <c r="FI110" s="43"/>
      <c r="FJ110" s="43"/>
      <c r="FK110" s="43"/>
      <c r="FL110" s="43"/>
      <c r="FM110" s="43"/>
      <c r="FN110" s="43"/>
      <c r="FO110" s="43"/>
      <c r="FP110" s="43"/>
      <c r="FQ110" s="43"/>
      <c r="FR110" s="43"/>
      <c r="FS110" s="43"/>
      <c r="FT110" s="43"/>
      <c r="FU110" s="43"/>
      <c r="FV110" s="43"/>
      <c r="FW110" s="43"/>
      <c r="FX110" s="43"/>
      <c r="FY110" s="43"/>
      <c r="FZ110" s="43"/>
      <c r="GA110" s="43"/>
      <c r="GB110" s="43"/>
      <c r="GC110" s="43"/>
      <c r="GD110" s="43"/>
      <c r="GE110" s="43"/>
      <c r="GF110" s="43"/>
      <c r="GG110" s="43"/>
      <c r="GH110" s="43"/>
      <c r="GI110" s="43"/>
      <c r="GJ110" s="43"/>
      <c r="GK110" s="43"/>
      <c r="GL110" s="43"/>
      <c r="GM110" s="43"/>
      <c r="GN110" s="43"/>
      <c r="GO110" s="43"/>
      <c r="GP110" s="43"/>
      <c r="GQ110" s="43"/>
      <c r="GR110" s="43"/>
      <c r="GS110" s="43"/>
      <c r="GT110" s="43"/>
      <c r="GU110" s="43"/>
      <c r="GV110" s="43"/>
      <c r="GW110" s="43"/>
      <c r="GX110" s="43"/>
      <c r="GY110" s="43"/>
      <c r="GZ110" s="43"/>
      <c r="HA110" s="43"/>
      <c r="HB110" s="43"/>
      <c r="HC110" s="43"/>
      <c r="HD110" s="43"/>
      <c r="HE110" s="43"/>
      <c r="HF110" s="43"/>
      <c r="HG110" s="43"/>
      <c r="HH110" s="43"/>
      <c r="HI110" s="43"/>
      <c r="HJ110" s="43"/>
      <c r="HK110" s="43"/>
      <c r="HL110" s="43"/>
      <c r="HM110" s="43"/>
      <c r="HN110" s="43"/>
      <c r="HO110" s="43"/>
      <c r="HP110" s="43"/>
      <c r="HQ110" s="43"/>
      <c r="HR110" s="43"/>
      <c r="HS110" s="43"/>
      <c r="HT110" s="43"/>
      <c r="HU110" s="43"/>
      <c r="HV110" s="43"/>
      <c r="HW110" s="43"/>
      <c r="HX110" s="43"/>
      <c r="HY110" s="43"/>
      <c r="HZ110" s="43"/>
      <c r="IA110" s="43"/>
      <c r="IB110" s="43"/>
      <c r="IC110" s="43"/>
      <c r="ID110" s="43"/>
      <c r="IE110" s="43"/>
      <c r="IF110" s="43"/>
      <c r="IG110" s="43"/>
      <c r="IH110" s="43"/>
      <c r="II110" s="43"/>
      <c r="IJ110" s="43"/>
      <c r="IK110" s="43"/>
      <c r="IL110" s="43"/>
      <c r="IM110" s="43"/>
      <c r="IN110" s="43"/>
      <c r="IO110" s="43"/>
      <c r="IP110" s="43"/>
      <c r="IQ110" s="43"/>
      <c r="IR110" s="43"/>
      <c r="IS110" s="43"/>
      <c r="IT110" s="43"/>
      <c r="IU110" s="43"/>
      <c r="IV110" s="43"/>
      <c r="IW110" s="43"/>
      <c r="IX110" s="43"/>
      <c r="IY110" s="43"/>
      <c r="IZ110" s="43"/>
      <c r="JA110" s="43"/>
      <c r="JB110" s="43"/>
      <c r="JC110" s="43"/>
      <c r="JD110" s="43"/>
      <c r="JE110" s="43"/>
      <c r="JF110" s="43"/>
      <c r="JG110" s="43"/>
      <c r="JH110" s="43"/>
      <c r="JI110" s="43"/>
      <c r="JJ110" s="43"/>
      <c r="JK110" s="43"/>
      <c r="JL110" s="43"/>
      <c r="JM110" s="43"/>
      <c r="JN110" s="43"/>
      <c r="JO110" s="43"/>
      <c r="JP110" s="43"/>
      <c r="JQ110" s="43"/>
      <c r="JR110" s="43"/>
      <c r="JS110" s="43"/>
      <c r="JT110" s="43"/>
      <c r="JU110" s="43"/>
      <c r="JV110" s="43"/>
      <c r="JW110" s="43"/>
      <c r="JX110" s="43"/>
      <c r="JY110" s="43"/>
      <c r="JZ110" s="43"/>
      <c r="KA110" s="43"/>
      <c r="KB110" s="43"/>
      <c r="KC110" s="43"/>
      <c r="KD110" s="43"/>
      <c r="KE110" s="43"/>
      <c r="KF110" s="43"/>
      <c r="KG110" s="43"/>
      <c r="KH110" s="43"/>
      <c r="KI110" s="43"/>
      <c r="KJ110" s="43"/>
      <c r="KK110" s="43"/>
      <c r="KL110" s="43"/>
      <c r="KM110" s="43"/>
      <c r="KN110" s="43"/>
      <c r="KO110" s="43"/>
      <c r="KP110" s="43"/>
      <c r="KQ110" s="43"/>
      <c r="KR110" s="43"/>
      <c r="KS110" s="43"/>
      <c r="KT110" s="43"/>
      <c r="KU110" s="43"/>
      <c r="KV110" s="43"/>
      <c r="KW110" s="43"/>
      <c r="KX110" s="43"/>
      <c r="KY110" s="43"/>
      <c r="KZ110" s="43"/>
      <c r="LA110" s="43"/>
      <c r="LB110" s="43"/>
      <c r="LC110" s="43"/>
      <c r="LD110" s="43"/>
      <c r="LE110" s="43"/>
      <c r="LF110" s="43"/>
      <c r="LG110" s="43"/>
      <c r="LH110" s="43"/>
      <c r="LI110" s="43"/>
      <c r="LJ110" s="43"/>
      <c r="LK110" s="43"/>
      <c r="LL110" s="43"/>
      <c r="LM110" s="43"/>
      <c r="LN110" s="43"/>
      <c r="LO110" s="43"/>
      <c r="LP110" s="43"/>
      <c r="LQ110" s="43"/>
      <c r="LR110" s="43"/>
      <c r="LS110" s="43"/>
      <c r="LT110" s="43"/>
      <c r="LU110" s="43"/>
      <c r="LV110" s="43"/>
      <c r="LW110" s="43"/>
      <c r="LX110" s="43"/>
      <c r="LY110" s="43"/>
      <c r="LZ110" s="43"/>
      <c r="MA110" s="43"/>
      <c r="MB110" s="43"/>
      <c r="MC110" s="43"/>
      <c r="MD110" s="43"/>
      <c r="ME110" s="43"/>
      <c r="MF110" s="43"/>
      <c r="MG110" s="43"/>
      <c r="MH110" s="43"/>
      <c r="MI110" s="43"/>
      <c r="MJ110" s="43"/>
      <c r="MK110" s="43"/>
      <c r="ML110" s="43"/>
      <c r="MM110" s="43"/>
      <c r="MN110" s="43"/>
      <c r="MO110" s="43"/>
      <c r="MP110" s="43"/>
      <c r="MQ110" s="43"/>
      <c r="MR110" s="43"/>
      <c r="MS110" s="43"/>
      <c r="MT110" s="43"/>
      <c r="MU110" s="43"/>
      <c r="MV110" s="43"/>
      <c r="MW110" s="43"/>
      <c r="MX110" s="43"/>
      <c r="MY110" s="43"/>
      <c r="MZ110" s="43"/>
      <c r="NA110" s="43"/>
      <c r="NB110" s="43"/>
      <c r="NC110" s="43"/>
      <c r="ND110" s="43"/>
      <c r="NE110" s="43"/>
      <c r="NF110" s="43"/>
      <c r="NG110" s="43"/>
      <c r="NH110" s="43"/>
      <c r="NI110" s="43"/>
      <c r="NJ110" s="43"/>
      <c r="NK110" s="43"/>
      <c r="NL110" s="43"/>
      <c r="NM110" s="43"/>
      <c r="NN110" s="43"/>
      <c r="NO110" s="43"/>
      <c r="NP110" s="43"/>
      <c r="NQ110" s="43"/>
      <c r="NR110" s="43"/>
      <c r="NS110" s="43"/>
      <c r="NT110" s="43"/>
      <c r="NU110" s="43"/>
      <c r="NV110" s="43"/>
      <c r="NW110" s="43"/>
      <c r="NX110" s="43"/>
      <c r="NY110" s="43"/>
      <c r="NZ110" s="43"/>
      <c r="OA110" s="43"/>
      <c r="OB110" s="43"/>
      <c r="OC110" s="43"/>
      <c r="OD110" s="43"/>
      <c r="OE110" s="43"/>
      <c r="OF110" s="43"/>
      <c r="OG110" s="43"/>
      <c r="OH110" s="43"/>
      <c r="OI110" s="43"/>
      <c r="OJ110" s="43"/>
      <c r="OK110" s="43"/>
      <c r="OL110" s="43"/>
      <c r="OM110" s="43"/>
      <c r="ON110" s="43"/>
      <c r="OO110" s="43"/>
      <c r="OP110" s="43"/>
      <c r="OQ110" s="43"/>
      <c r="OR110" s="43"/>
      <c r="OS110" s="43"/>
      <c r="OT110" s="43"/>
      <c r="OU110" s="43"/>
      <c r="OV110" s="43"/>
      <c r="OW110" s="43"/>
      <c r="OX110" s="43"/>
      <c r="OY110" s="43"/>
      <c r="OZ110" s="43"/>
      <c r="PA110" s="43"/>
      <c r="PB110" s="43"/>
      <c r="PC110" s="43"/>
      <c r="PD110" s="43"/>
      <c r="PE110" s="43"/>
      <c r="PF110" s="43"/>
      <c r="PG110" s="43"/>
      <c r="PH110" s="43"/>
      <c r="PI110" s="43"/>
      <c r="PJ110" s="43"/>
      <c r="PK110" s="43"/>
      <c r="PL110" s="43"/>
      <c r="PM110" s="43"/>
      <c r="PN110" s="43"/>
      <c r="PO110" s="43"/>
      <c r="PP110" s="43"/>
      <c r="PQ110" s="43"/>
      <c r="PR110" s="43"/>
      <c r="PS110" s="43"/>
      <c r="PT110" s="43"/>
      <c r="PU110" s="43"/>
      <c r="PV110" s="43"/>
      <c r="PW110" s="43"/>
      <c r="PX110" s="43"/>
      <c r="PY110" s="43"/>
      <c r="PZ110" s="43"/>
      <c r="QA110" s="43"/>
      <c r="QB110" s="43"/>
      <c r="QC110" s="43"/>
    </row>
    <row r="111" spans="1:445" x14ac:dyDescent="0.3">
      <c r="A111" s="85"/>
      <c r="B111" s="84"/>
      <c r="C111" s="84"/>
      <c r="D111" s="84"/>
      <c r="E111" s="84"/>
      <c r="F111" s="84"/>
      <c r="G111" s="84"/>
      <c r="H111" s="84"/>
      <c r="I111" s="84"/>
      <c r="J111" s="84"/>
      <c r="K111" s="89"/>
      <c r="L111" s="84"/>
      <c r="M111" s="84"/>
      <c r="N111" s="84"/>
      <c r="O111" s="84"/>
      <c r="P111" s="84"/>
      <c r="Q111" s="84"/>
      <c r="R111" s="84"/>
      <c r="S111" s="84"/>
      <c r="T111" s="46" t="str">
        <f t="shared" si="9"/>
        <v/>
      </c>
      <c r="U111" s="46" t="str">
        <f t="shared" si="10"/>
        <v/>
      </c>
      <c r="V111" s="72" t="str">
        <f t="shared" si="11"/>
        <v/>
      </c>
      <c r="W111" s="48"/>
      <c r="X111" s="73" t="str">
        <f t="shared" si="12"/>
        <v/>
      </c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43"/>
      <c r="BN111" s="43"/>
      <c r="BO111" s="43"/>
      <c r="BP111" s="43"/>
      <c r="BQ111" s="43"/>
      <c r="BR111" s="43"/>
      <c r="BS111" s="43"/>
      <c r="BT111" s="43"/>
      <c r="BU111" s="43"/>
      <c r="BV111" s="43"/>
      <c r="BW111" s="43"/>
      <c r="BX111" s="43"/>
      <c r="BY111" s="43"/>
      <c r="BZ111" s="43"/>
      <c r="CA111" s="43"/>
      <c r="CB111" s="43"/>
      <c r="CC111" s="43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43"/>
      <c r="CY111" s="43"/>
      <c r="CZ111" s="43"/>
      <c r="DA111" s="43"/>
      <c r="DB111" s="43"/>
      <c r="DC111" s="43"/>
      <c r="DD111" s="43"/>
      <c r="DE111" s="43"/>
      <c r="DF111" s="43"/>
      <c r="DG111" s="43"/>
      <c r="DH111" s="43"/>
      <c r="DI111" s="43"/>
      <c r="DJ111" s="43"/>
      <c r="DK111" s="43"/>
      <c r="DL111" s="43"/>
      <c r="DM111" s="43"/>
      <c r="DN111" s="43"/>
      <c r="DO111" s="43"/>
      <c r="DP111" s="43"/>
      <c r="DQ111" s="43"/>
      <c r="DR111" s="43"/>
      <c r="DS111" s="43"/>
      <c r="DT111" s="43"/>
      <c r="DU111" s="43"/>
      <c r="DV111" s="43"/>
      <c r="DW111" s="43"/>
      <c r="DX111" s="43"/>
      <c r="DY111" s="43"/>
      <c r="DZ111" s="43"/>
      <c r="EA111" s="43"/>
      <c r="EB111" s="43"/>
      <c r="EC111" s="43"/>
      <c r="ED111" s="43"/>
      <c r="EE111" s="43"/>
      <c r="EF111" s="43"/>
      <c r="EG111" s="43"/>
      <c r="EH111" s="43"/>
      <c r="EI111" s="43"/>
      <c r="EJ111" s="43"/>
      <c r="EK111" s="43"/>
      <c r="EL111" s="43"/>
      <c r="EM111" s="43"/>
      <c r="EN111" s="43"/>
      <c r="EO111" s="43"/>
      <c r="EP111" s="43"/>
      <c r="EQ111" s="43"/>
      <c r="ER111" s="43"/>
      <c r="ES111" s="43"/>
      <c r="ET111" s="43"/>
      <c r="EU111" s="43"/>
      <c r="EV111" s="43"/>
      <c r="EW111" s="43"/>
      <c r="EX111" s="43"/>
      <c r="EY111" s="43"/>
      <c r="EZ111" s="43"/>
      <c r="FA111" s="43"/>
      <c r="FB111" s="43"/>
      <c r="FC111" s="43"/>
      <c r="FD111" s="43"/>
      <c r="FE111" s="43"/>
      <c r="FF111" s="43"/>
      <c r="FG111" s="43"/>
      <c r="FH111" s="43"/>
      <c r="FI111" s="43"/>
      <c r="FJ111" s="43"/>
      <c r="FK111" s="43"/>
      <c r="FL111" s="43"/>
      <c r="FM111" s="43"/>
      <c r="FN111" s="43"/>
      <c r="FO111" s="43"/>
      <c r="FP111" s="43"/>
      <c r="FQ111" s="43"/>
      <c r="FR111" s="43"/>
      <c r="FS111" s="43"/>
      <c r="FT111" s="43"/>
      <c r="FU111" s="43"/>
      <c r="FV111" s="43"/>
      <c r="FW111" s="43"/>
      <c r="FX111" s="43"/>
      <c r="FY111" s="43"/>
      <c r="FZ111" s="43"/>
      <c r="GA111" s="43"/>
      <c r="GB111" s="43"/>
      <c r="GC111" s="43"/>
      <c r="GD111" s="43"/>
      <c r="GE111" s="43"/>
      <c r="GF111" s="43"/>
      <c r="GG111" s="43"/>
      <c r="GH111" s="43"/>
      <c r="GI111" s="43"/>
      <c r="GJ111" s="43"/>
      <c r="GK111" s="43"/>
      <c r="GL111" s="43"/>
      <c r="GM111" s="43"/>
      <c r="GN111" s="43"/>
      <c r="GO111" s="43"/>
      <c r="GP111" s="43"/>
      <c r="GQ111" s="43"/>
      <c r="GR111" s="43"/>
      <c r="GS111" s="43"/>
      <c r="GT111" s="43"/>
      <c r="GU111" s="43"/>
      <c r="GV111" s="43"/>
      <c r="GW111" s="43"/>
      <c r="GX111" s="43"/>
      <c r="GY111" s="43"/>
      <c r="GZ111" s="43"/>
      <c r="HA111" s="43"/>
      <c r="HB111" s="43"/>
      <c r="HC111" s="43"/>
      <c r="HD111" s="43"/>
      <c r="HE111" s="43"/>
      <c r="HF111" s="43"/>
      <c r="HG111" s="43"/>
      <c r="HH111" s="43"/>
      <c r="HI111" s="43"/>
      <c r="HJ111" s="43"/>
      <c r="HK111" s="43"/>
      <c r="HL111" s="43"/>
      <c r="HM111" s="43"/>
      <c r="HN111" s="43"/>
      <c r="HO111" s="43"/>
      <c r="HP111" s="43"/>
      <c r="HQ111" s="43"/>
      <c r="HR111" s="43"/>
      <c r="HS111" s="43"/>
      <c r="HT111" s="43"/>
      <c r="HU111" s="43"/>
      <c r="HV111" s="43"/>
      <c r="HW111" s="43"/>
      <c r="HX111" s="43"/>
      <c r="HY111" s="43"/>
      <c r="HZ111" s="43"/>
      <c r="IA111" s="43"/>
      <c r="IB111" s="43"/>
      <c r="IC111" s="43"/>
      <c r="ID111" s="43"/>
      <c r="IE111" s="43"/>
      <c r="IF111" s="43"/>
      <c r="IG111" s="43"/>
      <c r="IH111" s="43"/>
      <c r="II111" s="43"/>
      <c r="IJ111" s="43"/>
      <c r="IK111" s="43"/>
      <c r="IL111" s="43"/>
      <c r="IM111" s="43"/>
      <c r="IN111" s="43"/>
      <c r="IO111" s="43"/>
      <c r="IP111" s="43"/>
      <c r="IQ111" s="43"/>
      <c r="IR111" s="43"/>
      <c r="IS111" s="43"/>
      <c r="IT111" s="43"/>
      <c r="IU111" s="43"/>
      <c r="IV111" s="43"/>
      <c r="IW111" s="43"/>
      <c r="IX111" s="43"/>
      <c r="IY111" s="43"/>
      <c r="IZ111" s="43"/>
      <c r="JA111" s="43"/>
      <c r="JB111" s="43"/>
      <c r="JC111" s="43"/>
      <c r="JD111" s="43"/>
      <c r="JE111" s="43"/>
      <c r="JF111" s="43"/>
      <c r="JG111" s="43"/>
      <c r="JH111" s="43"/>
      <c r="JI111" s="43"/>
      <c r="JJ111" s="43"/>
      <c r="JK111" s="43"/>
      <c r="JL111" s="43"/>
      <c r="JM111" s="43"/>
      <c r="JN111" s="43"/>
      <c r="JO111" s="43"/>
      <c r="JP111" s="43"/>
      <c r="JQ111" s="43"/>
      <c r="JR111" s="43"/>
      <c r="JS111" s="43"/>
      <c r="JT111" s="43"/>
      <c r="JU111" s="43"/>
      <c r="JV111" s="43"/>
      <c r="JW111" s="43"/>
      <c r="JX111" s="43"/>
      <c r="JY111" s="43"/>
      <c r="JZ111" s="43"/>
      <c r="KA111" s="43"/>
      <c r="KB111" s="43"/>
      <c r="KC111" s="43"/>
      <c r="KD111" s="43"/>
      <c r="KE111" s="43"/>
      <c r="KF111" s="43"/>
      <c r="KG111" s="43"/>
      <c r="KH111" s="43"/>
      <c r="KI111" s="43"/>
      <c r="KJ111" s="43"/>
      <c r="KK111" s="43"/>
      <c r="KL111" s="43"/>
      <c r="KM111" s="43"/>
      <c r="KN111" s="43"/>
      <c r="KO111" s="43"/>
      <c r="KP111" s="43"/>
      <c r="KQ111" s="43"/>
      <c r="KR111" s="43"/>
      <c r="KS111" s="43"/>
      <c r="KT111" s="43"/>
      <c r="KU111" s="43"/>
      <c r="KV111" s="43"/>
      <c r="KW111" s="43"/>
      <c r="KX111" s="43"/>
      <c r="KY111" s="43"/>
      <c r="KZ111" s="43"/>
      <c r="LA111" s="43"/>
      <c r="LB111" s="43"/>
      <c r="LC111" s="43"/>
      <c r="LD111" s="43"/>
      <c r="LE111" s="43"/>
      <c r="LF111" s="43"/>
      <c r="LG111" s="43"/>
      <c r="LH111" s="43"/>
      <c r="LI111" s="43"/>
      <c r="LJ111" s="43"/>
      <c r="LK111" s="43"/>
      <c r="LL111" s="43"/>
      <c r="LM111" s="43"/>
      <c r="LN111" s="43"/>
      <c r="LO111" s="43"/>
      <c r="LP111" s="43"/>
      <c r="LQ111" s="43"/>
      <c r="LR111" s="43"/>
      <c r="LS111" s="43"/>
      <c r="LT111" s="43"/>
      <c r="LU111" s="43"/>
      <c r="LV111" s="43"/>
      <c r="LW111" s="43"/>
      <c r="LX111" s="43"/>
      <c r="LY111" s="43"/>
      <c r="LZ111" s="43"/>
      <c r="MA111" s="43"/>
      <c r="MB111" s="43"/>
      <c r="MC111" s="43"/>
      <c r="MD111" s="43"/>
      <c r="ME111" s="43"/>
      <c r="MF111" s="43"/>
      <c r="MG111" s="43"/>
      <c r="MH111" s="43"/>
      <c r="MI111" s="43"/>
      <c r="MJ111" s="43"/>
      <c r="MK111" s="43"/>
      <c r="ML111" s="43"/>
      <c r="MM111" s="43"/>
      <c r="MN111" s="43"/>
      <c r="MO111" s="43"/>
      <c r="MP111" s="43"/>
      <c r="MQ111" s="43"/>
      <c r="MR111" s="43"/>
      <c r="MS111" s="43"/>
      <c r="MT111" s="43"/>
      <c r="MU111" s="43"/>
      <c r="MV111" s="43"/>
      <c r="MW111" s="43"/>
      <c r="MX111" s="43"/>
      <c r="MY111" s="43"/>
      <c r="MZ111" s="43"/>
      <c r="NA111" s="43"/>
      <c r="NB111" s="43"/>
      <c r="NC111" s="43"/>
      <c r="ND111" s="43"/>
      <c r="NE111" s="43"/>
      <c r="NF111" s="43"/>
      <c r="NG111" s="43"/>
      <c r="NH111" s="43"/>
      <c r="NI111" s="43"/>
      <c r="NJ111" s="43"/>
      <c r="NK111" s="43"/>
      <c r="NL111" s="43"/>
      <c r="NM111" s="43"/>
      <c r="NN111" s="43"/>
      <c r="NO111" s="43"/>
      <c r="NP111" s="43"/>
      <c r="NQ111" s="43"/>
      <c r="NR111" s="43"/>
      <c r="NS111" s="43"/>
      <c r="NT111" s="43"/>
      <c r="NU111" s="43"/>
      <c r="NV111" s="43"/>
      <c r="NW111" s="43"/>
      <c r="NX111" s="43"/>
      <c r="NY111" s="43"/>
      <c r="NZ111" s="43"/>
      <c r="OA111" s="43"/>
      <c r="OB111" s="43"/>
      <c r="OC111" s="43"/>
      <c r="OD111" s="43"/>
      <c r="OE111" s="43"/>
      <c r="OF111" s="43"/>
      <c r="OG111" s="43"/>
      <c r="OH111" s="43"/>
      <c r="OI111" s="43"/>
      <c r="OJ111" s="43"/>
      <c r="OK111" s="43"/>
      <c r="OL111" s="43"/>
      <c r="OM111" s="43"/>
      <c r="ON111" s="43"/>
      <c r="OO111" s="43"/>
      <c r="OP111" s="43"/>
      <c r="OQ111" s="43"/>
      <c r="OR111" s="43"/>
      <c r="OS111" s="43"/>
      <c r="OT111" s="43"/>
      <c r="OU111" s="43"/>
      <c r="OV111" s="43"/>
      <c r="OW111" s="43"/>
      <c r="OX111" s="43"/>
      <c r="OY111" s="43"/>
      <c r="OZ111" s="43"/>
      <c r="PA111" s="43"/>
      <c r="PB111" s="43"/>
      <c r="PC111" s="43"/>
      <c r="PD111" s="43"/>
      <c r="PE111" s="43"/>
      <c r="PF111" s="43"/>
      <c r="PG111" s="43"/>
      <c r="PH111" s="43"/>
      <c r="PI111" s="43"/>
      <c r="PJ111" s="43"/>
      <c r="PK111" s="43"/>
      <c r="PL111" s="43"/>
      <c r="PM111" s="43"/>
      <c r="PN111" s="43"/>
      <c r="PO111" s="43"/>
      <c r="PP111" s="43"/>
      <c r="PQ111" s="43"/>
      <c r="PR111" s="43"/>
      <c r="PS111" s="43"/>
      <c r="PT111" s="43"/>
      <c r="PU111" s="43"/>
      <c r="PV111" s="43"/>
      <c r="PW111" s="43"/>
      <c r="PX111" s="43"/>
      <c r="PY111" s="43"/>
      <c r="PZ111" s="43"/>
      <c r="QA111" s="43"/>
      <c r="QB111" s="43"/>
      <c r="QC111" s="43"/>
    </row>
    <row r="112" spans="1:445" x14ac:dyDescent="0.3">
      <c r="A112" s="85"/>
      <c r="B112" s="84"/>
      <c r="C112" s="84"/>
      <c r="D112" s="84"/>
      <c r="E112" s="84"/>
      <c r="F112" s="84"/>
      <c r="G112" s="84"/>
      <c r="H112" s="84"/>
      <c r="I112" s="84"/>
      <c r="J112" s="84"/>
      <c r="K112" s="89"/>
      <c r="L112" s="84"/>
      <c r="M112" s="84"/>
      <c r="N112" s="84"/>
      <c r="O112" s="84"/>
      <c r="P112" s="84"/>
      <c r="Q112" s="84"/>
      <c r="R112" s="84"/>
      <c r="S112" s="84"/>
      <c r="T112" s="46" t="str">
        <f t="shared" si="9"/>
        <v/>
      </c>
      <c r="U112" s="46" t="str">
        <f t="shared" si="10"/>
        <v/>
      </c>
      <c r="V112" s="72" t="str">
        <f t="shared" si="11"/>
        <v/>
      </c>
      <c r="W112" s="48"/>
      <c r="X112" s="73" t="str">
        <f t="shared" si="12"/>
        <v/>
      </c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43"/>
      <c r="BN112" s="43"/>
      <c r="BO112" s="43"/>
      <c r="BP112" s="43"/>
      <c r="BQ112" s="43"/>
      <c r="BR112" s="43"/>
      <c r="BS112" s="43"/>
      <c r="BT112" s="43"/>
      <c r="BU112" s="43"/>
      <c r="BV112" s="43"/>
      <c r="BW112" s="43"/>
      <c r="BX112" s="43"/>
      <c r="BY112" s="43"/>
      <c r="BZ112" s="43"/>
      <c r="CA112" s="43"/>
      <c r="CB112" s="43"/>
      <c r="CC112" s="43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43"/>
      <c r="CY112" s="43"/>
      <c r="CZ112" s="43"/>
      <c r="DA112" s="43"/>
      <c r="DB112" s="43"/>
      <c r="DC112" s="43"/>
      <c r="DD112" s="43"/>
      <c r="DE112" s="43"/>
      <c r="DF112" s="43"/>
      <c r="DG112" s="43"/>
      <c r="DH112" s="43"/>
      <c r="DI112" s="43"/>
      <c r="DJ112" s="43"/>
      <c r="DK112" s="43"/>
      <c r="DL112" s="43"/>
      <c r="DM112" s="43"/>
      <c r="DN112" s="43"/>
      <c r="DO112" s="43"/>
      <c r="DP112" s="43"/>
      <c r="DQ112" s="43"/>
      <c r="DR112" s="43"/>
      <c r="DS112" s="43"/>
      <c r="DT112" s="43"/>
      <c r="DU112" s="43"/>
      <c r="DV112" s="43"/>
      <c r="DW112" s="43"/>
      <c r="DX112" s="43"/>
      <c r="DY112" s="43"/>
      <c r="DZ112" s="43"/>
      <c r="EA112" s="43"/>
      <c r="EB112" s="43"/>
      <c r="EC112" s="43"/>
      <c r="ED112" s="43"/>
      <c r="EE112" s="43"/>
      <c r="EF112" s="43"/>
      <c r="EG112" s="43"/>
      <c r="EH112" s="43"/>
      <c r="EI112" s="43"/>
      <c r="EJ112" s="43"/>
      <c r="EK112" s="43"/>
      <c r="EL112" s="43"/>
      <c r="EM112" s="43"/>
      <c r="EN112" s="43"/>
      <c r="EO112" s="43"/>
      <c r="EP112" s="43"/>
      <c r="EQ112" s="43"/>
      <c r="ER112" s="43"/>
      <c r="ES112" s="43"/>
      <c r="ET112" s="43"/>
      <c r="EU112" s="43"/>
      <c r="EV112" s="43"/>
      <c r="EW112" s="43"/>
      <c r="EX112" s="43"/>
      <c r="EY112" s="43"/>
      <c r="EZ112" s="43"/>
      <c r="FA112" s="43"/>
      <c r="FB112" s="43"/>
      <c r="FC112" s="43"/>
      <c r="FD112" s="43"/>
      <c r="FE112" s="43"/>
      <c r="FF112" s="43"/>
      <c r="FG112" s="43"/>
      <c r="FH112" s="43"/>
      <c r="FI112" s="43"/>
      <c r="FJ112" s="43"/>
      <c r="FK112" s="43"/>
      <c r="FL112" s="43"/>
      <c r="FM112" s="43"/>
      <c r="FN112" s="43"/>
      <c r="FO112" s="43"/>
      <c r="FP112" s="43"/>
      <c r="FQ112" s="43"/>
      <c r="FR112" s="43"/>
      <c r="FS112" s="43"/>
      <c r="FT112" s="43"/>
      <c r="FU112" s="43"/>
      <c r="FV112" s="43"/>
      <c r="FW112" s="43"/>
      <c r="FX112" s="43"/>
      <c r="FY112" s="43"/>
      <c r="FZ112" s="43"/>
      <c r="GA112" s="43"/>
      <c r="GB112" s="43"/>
      <c r="GC112" s="43"/>
      <c r="GD112" s="43"/>
      <c r="GE112" s="43"/>
      <c r="GF112" s="43"/>
      <c r="GG112" s="43"/>
      <c r="GH112" s="43"/>
      <c r="GI112" s="43"/>
      <c r="GJ112" s="43"/>
      <c r="GK112" s="43"/>
      <c r="GL112" s="43"/>
      <c r="GM112" s="43"/>
      <c r="GN112" s="43"/>
      <c r="GO112" s="43"/>
      <c r="GP112" s="43"/>
      <c r="GQ112" s="43"/>
      <c r="GR112" s="43"/>
      <c r="GS112" s="43"/>
      <c r="GT112" s="43"/>
      <c r="GU112" s="43"/>
      <c r="GV112" s="43"/>
      <c r="GW112" s="43"/>
      <c r="GX112" s="43"/>
      <c r="GY112" s="43"/>
      <c r="GZ112" s="43"/>
      <c r="HA112" s="43"/>
      <c r="HB112" s="43"/>
      <c r="HC112" s="43"/>
      <c r="HD112" s="43"/>
      <c r="HE112" s="43"/>
      <c r="HF112" s="43"/>
      <c r="HG112" s="43"/>
      <c r="HH112" s="43"/>
      <c r="HI112" s="43"/>
      <c r="HJ112" s="43"/>
      <c r="HK112" s="43"/>
      <c r="HL112" s="43"/>
      <c r="HM112" s="43"/>
      <c r="HN112" s="43"/>
      <c r="HO112" s="43"/>
      <c r="HP112" s="43"/>
      <c r="HQ112" s="43"/>
      <c r="HR112" s="43"/>
      <c r="HS112" s="43"/>
      <c r="HT112" s="43"/>
      <c r="HU112" s="43"/>
      <c r="HV112" s="43"/>
      <c r="HW112" s="43"/>
      <c r="HX112" s="43"/>
      <c r="HY112" s="43"/>
      <c r="HZ112" s="43"/>
      <c r="IA112" s="43"/>
      <c r="IB112" s="43"/>
      <c r="IC112" s="43"/>
      <c r="ID112" s="43"/>
      <c r="IE112" s="43"/>
      <c r="IF112" s="43"/>
      <c r="IG112" s="43"/>
      <c r="IH112" s="43"/>
      <c r="II112" s="43"/>
      <c r="IJ112" s="43"/>
      <c r="IK112" s="43"/>
      <c r="IL112" s="43"/>
      <c r="IM112" s="43"/>
      <c r="IN112" s="43"/>
      <c r="IO112" s="43"/>
      <c r="IP112" s="43"/>
      <c r="IQ112" s="43"/>
      <c r="IR112" s="43"/>
      <c r="IS112" s="43"/>
      <c r="IT112" s="43"/>
      <c r="IU112" s="43"/>
      <c r="IV112" s="43"/>
      <c r="IW112" s="43"/>
      <c r="IX112" s="43"/>
      <c r="IY112" s="43"/>
      <c r="IZ112" s="43"/>
      <c r="JA112" s="43"/>
      <c r="JB112" s="43"/>
      <c r="JC112" s="43"/>
      <c r="JD112" s="43"/>
      <c r="JE112" s="43"/>
      <c r="JF112" s="43"/>
      <c r="JG112" s="43"/>
      <c r="JH112" s="43"/>
      <c r="JI112" s="43"/>
      <c r="JJ112" s="43"/>
      <c r="JK112" s="43"/>
      <c r="JL112" s="43"/>
      <c r="JM112" s="43"/>
      <c r="JN112" s="43"/>
      <c r="JO112" s="43"/>
      <c r="JP112" s="43"/>
      <c r="JQ112" s="43"/>
      <c r="JR112" s="43"/>
      <c r="JS112" s="43"/>
      <c r="JT112" s="43"/>
      <c r="JU112" s="43"/>
      <c r="JV112" s="43"/>
      <c r="JW112" s="43"/>
      <c r="JX112" s="43"/>
      <c r="JY112" s="43"/>
      <c r="JZ112" s="43"/>
      <c r="KA112" s="43"/>
      <c r="KB112" s="43"/>
      <c r="KC112" s="43"/>
      <c r="KD112" s="43"/>
      <c r="KE112" s="43"/>
      <c r="KF112" s="43"/>
      <c r="KG112" s="43"/>
      <c r="KH112" s="43"/>
      <c r="KI112" s="43"/>
      <c r="KJ112" s="43"/>
      <c r="KK112" s="43"/>
      <c r="KL112" s="43"/>
      <c r="KM112" s="43"/>
      <c r="KN112" s="43"/>
      <c r="KO112" s="43"/>
      <c r="KP112" s="43"/>
      <c r="KQ112" s="43"/>
      <c r="KR112" s="43"/>
      <c r="KS112" s="43"/>
      <c r="KT112" s="43"/>
      <c r="KU112" s="43"/>
      <c r="KV112" s="43"/>
      <c r="KW112" s="43"/>
      <c r="KX112" s="43"/>
      <c r="KY112" s="43"/>
      <c r="KZ112" s="43"/>
      <c r="LA112" s="43"/>
      <c r="LB112" s="43"/>
      <c r="LC112" s="43"/>
      <c r="LD112" s="43"/>
      <c r="LE112" s="43"/>
      <c r="LF112" s="43"/>
      <c r="LG112" s="43"/>
      <c r="LH112" s="43"/>
      <c r="LI112" s="43"/>
      <c r="LJ112" s="43"/>
      <c r="LK112" s="43"/>
      <c r="LL112" s="43"/>
      <c r="LM112" s="43"/>
      <c r="LN112" s="43"/>
      <c r="LO112" s="43"/>
      <c r="LP112" s="43"/>
      <c r="LQ112" s="43"/>
      <c r="LR112" s="43"/>
      <c r="LS112" s="43"/>
      <c r="LT112" s="43"/>
      <c r="LU112" s="43"/>
      <c r="LV112" s="43"/>
      <c r="LW112" s="43"/>
      <c r="LX112" s="43"/>
      <c r="LY112" s="43"/>
      <c r="LZ112" s="43"/>
      <c r="MA112" s="43"/>
      <c r="MB112" s="43"/>
      <c r="MC112" s="43"/>
      <c r="MD112" s="43"/>
      <c r="ME112" s="43"/>
      <c r="MF112" s="43"/>
      <c r="MG112" s="43"/>
      <c r="MH112" s="43"/>
      <c r="MI112" s="43"/>
      <c r="MJ112" s="43"/>
      <c r="MK112" s="43"/>
      <c r="ML112" s="43"/>
      <c r="MM112" s="43"/>
      <c r="MN112" s="43"/>
      <c r="MO112" s="43"/>
      <c r="MP112" s="43"/>
      <c r="MQ112" s="43"/>
      <c r="MR112" s="43"/>
      <c r="MS112" s="43"/>
      <c r="MT112" s="43"/>
      <c r="MU112" s="43"/>
      <c r="MV112" s="43"/>
      <c r="MW112" s="43"/>
      <c r="MX112" s="43"/>
      <c r="MY112" s="43"/>
      <c r="MZ112" s="43"/>
      <c r="NA112" s="43"/>
      <c r="NB112" s="43"/>
      <c r="NC112" s="43"/>
      <c r="ND112" s="43"/>
      <c r="NE112" s="43"/>
      <c r="NF112" s="43"/>
      <c r="NG112" s="43"/>
      <c r="NH112" s="43"/>
      <c r="NI112" s="43"/>
      <c r="NJ112" s="43"/>
      <c r="NK112" s="43"/>
      <c r="NL112" s="43"/>
      <c r="NM112" s="43"/>
      <c r="NN112" s="43"/>
      <c r="NO112" s="43"/>
      <c r="NP112" s="43"/>
      <c r="NQ112" s="43"/>
      <c r="NR112" s="43"/>
      <c r="NS112" s="43"/>
      <c r="NT112" s="43"/>
      <c r="NU112" s="43"/>
      <c r="NV112" s="43"/>
      <c r="NW112" s="43"/>
      <c r="NX112" s="43"/>
      <c r="NY112" s="43"/>
      <c r="NZ112" s="43"/>
      <c r="OA112" s="43"/>
      <c r="OB112" s="43"/>
      <c r="OC112" s="43"/>
      <c r="OD112" s="43"/>
      <c r="OE112" s="43"/>
      <c r="OF112" s="43"/>
      <c r="OG112" s="43"/>
      <c r="OH112" s="43"/>
      <c r="OI112" s="43"/>
      <c r="OJ112" s="43"/>
      <c r="OK112" s="43"/>
      <c r="OL112" s="43"/>
      <c r="OM112" s="43"/>
      <c r="ON112" s="43"/>
      <c r="OO112" s="43"/>
      <c r="OP112" s="43"/>
      <c r="OQ112" s="43"/>
      <c r="OR112" s="43"/>
      <c r="OS112" s="43"/>
      <c r="OT112" s="43"/>
      <c r="OU112" s="43"/>
      <c r="OV112" s="43"/>
      <c r="OW112" s="43"/>
      <c r="OX112" s="43"/>
      <c r="OY112" s="43"/>
      <c r="OZ112" s="43"/>
      <c r="PA112" s="43"/>
      <c r="PB112" s="43"/>
      <c r="PC112" s="43"/>
      <c r="PD112" s="43"/>
      <c r="PE112" s="43"/>
      <c r="PF112" s="43"/>
      <c r="PG112" s="43"/>
      <c r="PH112" s="43"/>
      <c r="PI112" s="43"/>
      <c r="PJ112" s="43"/>
      <c r="PK112" s="43"/>
      <c r="PL112" s="43"/>
      <c r="PM112" s="43"/>
      <c r="PN112" s="43"/>
      <c r="PO112" s="43"/>
      <c r="PP112" s="43"/>
      <c r="PQ112" s="43"/>
      <c r="PR112" s="43"/>
      <c r="PS112" s="43"/>
      <c r="PT112" s="43"/>
      <c r="PU112" s="43"/>
      <c r="PV112" s="43"/>
      <c r="PW112" s="43"/>
      <c r="PX112" s="43"/>
      <c r="PY112" s="43"/>
      <c r="PZ112" s="43"/>
      <c r="QA112" s="43"/>
      <c r="QB112" s="43"/>
      <c r="QC112" s="43"/>
    </row>
    <row r="113" spans="1:445" x14ac:dyDescent="0.3">
      <c r="A113" s="85"/>
      <c r="B113" s="84"/>
      <c r="C113" s="84"/>
      <c r="D113" s="84"/>
      <c r="E113" s="84"/>
      <c r="F113" s="84"/>
      <c r="G113" s="84"/>
      <c r="H113" s="84"/>
      <c r="I113" s="84"/>
      <c r="J113" s="84"/>
      <c r="K113" s="86"/>
      <c r="L113" s="84"/>
      <c r="M113" s="84"/>
      <c r="N113" s="84"/>
      <c r="O113" s="89"/>
      <c r="P113" s="84"/>
      <c r="Q113" s="84"/>
      <c r="R113" s="84"/>
      <c r="S113" s="84"/>
      <c r="T113" s="46" t="str">
        <f t="shared" si="9"/>
        <v/>
      </c>
      <c r="U113" s="46" t="str">
        <f t="shared" si="10"/>
        <v/>
      </c>
      <c r="V113" s="72" t="str">
        <f t="shared" si="11"/>
        <v/>
      </c>
      <c r="W113" s="48"/>
      <c r="X113" s="73" t="str">
        <f t="shared" si="12"/>
        <v/>
      </c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43"/>
      <c r="BN113" s="43"/>
      <c r="BO113" s="43"/>
      <c r="BP113" s="43"/>
      <c r="BQ113" s="43"/>
      <c r="BR113" s="43"/>
      <c r="BS113" s="43"/>
      <c r="BT113" s="43"/>
      <c r="BU113" s="43"/>
      <c r="BV113" s="43"/>
      <c r="BW113" s="43"/>
      <c r="BX113" s="43"/>
      <c r="BY113" s="43"/>
      <c r="BZ113" s="43"/>
      <c r="CA113" s="43"/>
      <c r="CB113" s="43"/>
      <c r="CC113" s="4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43"/>
      <c r="CY113" s="43"/>
      <c r="CZ113" s="43"/>
      <c r="DA113" s="43"/>
      <c r="DB113" s="43"/>
      <c r="DC113" s="43"/>
      <c r="DD113" s="43"/>
      <c r="DE113" s="43"/>
      <c r="DF113" s="43"/>
      <c r="DG113" s="43"/>
      <c r="DH113" s="43"/>
      <c r="DI113" s="43"/>
      <c r="DJ113" s="43"/>
      <c r="DK113" s="43"/>
      <c r="DL113" s="43"/>
      <c r="DM113" s="43"/>
      <c r="DN113" s="43"/>
      <c r="DO113" s="43"/>
      <c r="DP113" s="43"/>
      <c r="DQ113" s="43"/>
      <c r="DR113" s="43"/>
      <c r="DS113" s="43"/>
      <c r="DT113" s="43"/>
      <c r="DU113" s="43"/>
      <c r="DV113" s="43"/>
      <c r="DW113" s="43"/>
      <c r="DX113" s="43"/>
      <c r="DY113" s="43"/>
      <c r="DZ113" s="43"/>
      <c r="EA113" s="43"/>
      <c r="EB113" s="43"/>
      <c r="EC113" s="43"/>
      <c r="ED113" s="43"/>
      <c r="EE113" s="43"/>
      <c r="EF113" s="43"/>
      <c r="EG113" s="43"/>
      <c r="EH113" s="43"/>
      <c r="EI113" s="43"/>
      <c r="EJ113" s="43"/>
      <c r="EK113" s="43"/>
      <c r="EL113" s="43"/>
      <c r="EM113" s="43"/>
      <c r="EN113" s="43"/>
      <c r="EO113" s="43"/>
      <c r="EP113" s="43"/>
      <c r="EQ113" s="43"/>
      <c r="ER113" s="43"/>
      <c r="ES113" s="43"/>
      <c r="ET113" s="43"/>
      <c r="EU113" s="43"/>
      <c r="EV113" s="43"/>
      <c r="EW113" s="43"/>
      <c r="EX113" s="43"/>
      <c r="EY113" s="43"/>
      <c r="EZ113" s="43"/>
      <c r="FA113" s="43"/>
      <c r="FB113" s="43"/>
      <c r="FC113" s="43"/>
      <c r="FD113" s="43"/>
      <c r="FE113" s="43"/>
      <c r="FF113" s="43"/>
      <c r="FG113" s="43"/>
      <c r="FH113" s="43"/>
      <c r="FI113" s="43"/>
      <c r="FJ113" s="43"/>
      <c r="FK113" s="43"/>
      <c r="FL113" s="43"/>
      <c r="FM113" s="43"/>
      <c r="FN113" s="43"/>
      <c r="FO113" s="43"/>
      <c r="FP113" s="43"/>
      <c r="FQ113" s="43"/>
      <c r="FR113" s="43"/>
      <c r="FS113" s="43"/>
      <c r="FT113" s="43"/>
      <c r="FU113" s="43"/>
      <c r="FV113" s="43"/>
      <c r="FW113" s="43"/>
      <c r="FX113" s="43"/>
      <c r="FY113" s="43"/>
      <c r="FZ113" s="43"/>
      <c r="GA113" s="43"/>
      <c r="GB113" s="43"/>
      <c r="GC113" s="43"/>
      <c r="GD113" s="43"/>
      <c r="GE113" s="43"/>
      <c r="GF113" s="43"/>
      <c r="GG113" s="43"/>
      <c r="GH113" s="43"/>
      <c r="GI113" s="43"/>
      <c r="GJ113" s="43"/>
      <c r="GK113" s="43"/>
      <c r="GL113" s="43"/>
      <c r="GM113" s="43"/>
      <c r="GN113" s="43"/>
      <c r="GO113" s="43"/>
      <c r="GP113" s="43"/>
      <c r="GQ113" s="43"/>
      <c r="GR113" s="43"/>
      <c r="GS113" s="43"/>
      <c r="GT113" s="43"/>
      <c r="GU113" s="43"/>
      <c r="GV113" s="43"/>
      <c r="GW113" s="43"/>
      <c r="GX113" s="43"/>
      <c r="GY113" s="43"/>
      <c r="GZ113" s="43"/>
      <c r="HA113" s="43"/>
      <c r="HB113" s="43"/>
      <c r="HC113" s="43"/>
      <c r="HD113" s="43"/>
      <c r="HE113" s="43"/>
      <c r="HF113" s="43"/>
      <c r="HG113" s="43"/>
      <c r="HH113" s="43"/>
      <c r="HI113" s="43"/>
      <c r="HJ113" s="43"/>
      <c r="HK113" s="43"/>
      <c r="HL113" s="43"/>
      <c r="HM113" s="43"/>
      <c r="HN113" s="43"/>
      <c r="HO113" s="43"/>
      <c r="HP113" s="43"/>
      <c r="HQ113" s="43"/>
      <c r="HR113" s="43"/>
      <c r="HS113" s="43"/>
      <c r="HT113" s="43"/>
      <c r="HU113" s="43"/>
      <c r="HV113" s="43"/>
      <c r="HW113" s="43"/>
      <c r="HX113" s="43"/>
      <c r="HY113" s="43"/>
      <c r="HZ113" s="43"/>
      <c r="IA113" s="43"/>
      <c r="IB113" s="43"/>
      <c r="IC113" s="43"/>
      <c r="ID113" s="43"/>
      <c r="IE113" s="43"/>
      <c r="IF113" s="43"/>
      <c r="IG113" s="43"/>
      <c r="IH113" s="43"/>
      <c r="II113" s="43"/>
      <c r="IJ113" s="43"/>
      <c r="IK113" s="43"/>
      <c r="IL113" s="43"/>
      <c r="IM113" s="43"/>
      <c r="IN113" s="43"/>
      <c r="IO113" s="43"/>
      <c r="IP113" s="43"/>
      <c r="IQ113" s="43"/>
      <c r="IR113" s="43"/>
      <c r="IS113" s="43"/>
      <c r="IT113" s="43"/>
      <c r="IU113" s="43"/>
      <c r="IV113" s="43"/>
      <c r="IW113" s="43"/>
      <c r="IX113" s="43"/>
      <c r="IY113" s="43"/>
      <c r="IZ113" s="43"/>
      <c r="JA113" s="43"/>
      <c r="JB113" s="43"/>
      <c r="JC113" s="43"/>
      <c r="JD113" s="43"/>
      <c r="JE113" s="43"/>
      <c r="JF113" s="43"/>
      <c r="JG113" s="43"/>
      <c r="JH113" s="43"/>
      <c r="JI113" s="43"/>
      <c r="JJ113" s="43"/>
      <c r="JK113" s="43"/>
      <c r="JL113" s="43"/>
      <c r="JM113" s="43"/>
      <c r="JN113" s="43"/>
      <c r="JO113" s="43"/>
      <c r="JP113" s="43"/>
      <c r="JQ113" s="43"/>
      <c r="JR113" s="43"/>
      <c r="JS113" s="43"/>
      <c r="JT113" s="43"/>
      <c r="JU113" s="43"/>
      <c r="JV113" s="43"/>
      <c r="JW113" s="43"/>
      <c r="JX113" s="43"/>
      <c r="JY113" s="43"/>
      <c r="JZ113" s="43"/>
      <c r="KA113" s="43"/>
      <c r="KB113" s="43"/>
      <c r="KC113" s="43"/>
      <c r="KD113" s="43"/>
      <c r="KE113" s="43"/>
      <c r="KF113" s="43"/>
      <c r="KG113" s="43"/>
      <c r="KH113" s="43"/>
      <c r="KI113" s="43"/>
      <c r="KJ113" s="43"/>
      <c r="KK113" s="43"/>
      <c r="KL113" s="43"/>
      <c r="KM113" s="43"/>
      <c r="KN113" s="43"/>
      <c r="KO113" s="43"/>
      <c r="KP113" s="43"/>
      <c r="KQ113" s="43"/>
      <c r="KR113" s="43"/>
      <c r="KS113" s="43"/>
      <c r="KT113" s="43"/>
      <c r="KU113" s="43"/>
      <c r="KV113" s="43"/>
      <c r="KW113" s="43"/>
      <c r="KX113" s="43"/>
      <c r="KY113" s="43"/>
      <c r="KZ113" s="43"/>
      <c r="LA113" s="43"/>
      <c r="LB113" s="43"/>
      <c r="LC113" s="43"/>
      <c r="LD113" s="43"/>
      <c r="LE113" s="43"/>
      <c r="LF113" s="43"/>
      <c r="LG113" s="43"/>
      <c r="LH113" s="43"/>
      <c r="LI113" s="43"/>
      <c r="LJ113" s="43"/>
      <c r="LK113" s="43"/>
      <c r="LL113" s="43"/>
      <c r="LM113" s="43"/>
      <c r="LN113" s="43"/>
      <c r="LO113" s="43"/>
      <c r="LP113" s="43"/>
      <c r="LQ113" s="43"/>
      <c r="LR113" s="43"/>
      <c r="LS113" s="43"/>
      <c r="LT113" s="43"/>
      <c r="LU113" s="43"/>
      <c r="LV113" s="43"/>
      <c r="LW113" s="43"/>
      <c r="LX113" s="43"/>
      <c r="LY113" s="43"/>
      <c r="LZ113" s="43"/>
      <c r="MA113" s="43"/>
      <c r="MB113" s="43"/>
      <c r="MC113" s="43"/>
      <c r="MD113" s="43"/>
      <c r="ME113" s="43"/>
      <c r="MF113" s="43"/>
      <c r="MG113" s="43"/>
      <c r="MH113" s="43"/>
      <c r="MI113" s="43"/>
      <c r="MJ113" s="43"/>
      <c r="MK113" s="43"/>
      <c r="ML113" s="43"/>
      <c r="MM113" s="43"/>
      <c r="MN113" s="43"/>
      <c r="MO113" s="43"/>
      <c r="MP113" s="43"/>
      <c r="MQ113" s="43"/>
      <c r="MR113" s="43"/>
      <c r="MS113" s="43"/>
      <c r="MT113" s="43"/>
      <c r="MU113" s="43"/>
      <c r="MV113" s="43"/>
      <c r="MW113" s="43"/>
      <c r="MX113" s="43"/>
      <c r="MY113" s="43"/>
      <c r="MZ113" s="43"/>
      <c r="NA113" s="43"/>
      <c r="NB113" s="43"/>
      <c r="NC113" s="43"/>
      <c r="ND113" s="43"/>
      <c r="NE113" s="43"/>
      <c r="NF113" s="43"/>
      <c r="NG113" s="43"/>
      <c r="NH113" s="43"/>
      <c r="NI113" s="43"/>
      <c r="NJ113" s="43"/>
      <c r="NK113" s="43"/>
      <c r="NL113" s="43"/>
      <c r="NM113" s="43"/>
      <c r="NN113" s="43"/>
      <c r="NO113" s="43"/>
      <c r="NP113" s="43"/>
      <c r="NQ113" s="43"/>
      <c r="NR113" s="43"/>
      <c r="NS113" s="43"/>
      <c r="NT113" s="43"/>
      <c r="NU113" s="43"/>
      <c r="NV113" s="43"/>
      <c r="NW113" s="43"/>
      <c r="NX113" s="43"/>
      <c r="NY113" s="43"/>
      <c r="NZ113" s="43"/>
      <c r="OA113" s="43"/>
      <c r="OB113" s="43"/>
      <c r="OC113" s="43"/>
      <c r="OD113" s="43"/>
      <c r="OE113" s="43"/>
      <c r="OF113" s="43"/>
      <c r="OG113" s="43"/>
      <c r="OH113" s="43"/>
      <c r="OI113" s="43"/>
      <c r="OJ113" s="43"/>
      <c r="OK113" s="43"/>
      <c r="OL113" s="43"/>
      <c r="OM113" s="43"/>
      <c r="ON113" s="43"/>
      <c r="OO113" s="43"/>
      <c r="OP113" s="43"/>
      <c r="OQ113" s="43"/>
      <c r="OR113" s="43"/>
      <c r="OS113" s="43"/>
      <c r="OT113" s="43"/>
      <c r="OU113" s="43"/>
      <c r="OV113" s="43"/>
      <c r="OW113" s="43"/>
      <c r="OX113" s="43"/>
      <c r="OY113" s="43"/>
      <c r="OZ113" s="43"/>
      <c r="PA113" s="43"/>
      <c r="PB113" s="43"/>
      <c r="PC113" s="43"/>
      <c r="PD113" s="43"/>
      <c r="PE113" s="43"/>
      <c r="PF113" s="43"/>
      <c r="PG113" s="43"/>
      <c r="PH113" s="43"/>
      <c r="PI113" s="43"/>
      <c r="PJ113" s="43"/>
      <c r="PK113" s="43"/>
      <c r="PL113" s="43"/>
      <c r="PM113" s="43"/>
      <c r="PN113" s="43"/>
      <c r="PO113" s="43"/>
      <c r="PP113" s="43"/>
      <c r="PQ113" s="43"/>
      <c r="PR113" s="43"/>
      <c r="PS113" s="43"/>
      <c r="PT113" s="43"/>
      <c r="PU113" s="43"/>
      <c r="PV113" s="43"/>
      <c r="PW113" s="43"/>
      <c r="PX113" s="43"/>
      <c r="PY113" s="43"/>
      <c r="PZ113" s="43"/>
      <c r="QA113" s="43"/>
      <c r="QB113" s="43"/>
      <c r="QC113" s="43"/>
    </row>
    <row r="114" spans="1:445" x14ac:dyDescent="0.3">
      <c r="A114" s="85"/>
      <c r="B114" s="84"/>
      <c r="C114" s="84"/>
      <c r="D114" s="84"/>
      <c r="E114" s="84"/>
      <c r="F114" s="84"/>
      <c r="G114" s="84"/>
      <c r="H114" s="84"/>
      <c r="I114" s="84"/>
      <c r="J114" s="84"/>
      <c r="K114" s="86"/>
      <c r="L114" s="84"/>
      <c r="M114" s="84"/>
      <c r="N114" s="84"/>
      <c r="O114" s="84"/>
      <c r="P114" s="84"/>
      <c r="Q114" s="84"/>
      <c r="R114" s="84"/>
      <c r="S114" s="84"/>
      <c r="T114" s="46" t="str">
        <f t="shared" si="9"/>
        <v/>
      </c>
      <c r="U114" s="46" t="str">
        <f t="shared" si="10"/>
        <v/>
      </c>
      <c r="V114" s="72" t="str">
        <f t="shared" si="11"/>
        <v/>
      </c>
      <c r="X114" s="73" t="str">
        <f t="shared" si="12"/>
        <v/>
      </c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43"/>
      <c r="BO114" s="43"/>
      <c r="BP114" s="43"/>
      <c r="BQ114" s="43"/>
      <c r="BR114" s="43"/>
      <c r="BS114" s="43"/>
      <c r="BT114" s="43"/>
      <c r="BU114" s="43"/>
      <c r="BV114" s="43"/>
      <c r="BW114" s="43"/>
      <c r="BX114" s="43"/>
      <c r="BY114" s="43"/>
      <c r="BZ114" s="43"/>
      <c r="CA114" s="43"/>
      <c r="CB114" s="43"/>
      <c r="CC114" s="4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43"/>
      <c r="CY114" s="43"/>
      <c r="CZ114" s="43"/>
      <c r="DA114" s="43"/>
      <c r="DB114" s="43"/>
      <c r="DC114" s="43"/>
      <c r="DD114" s="43"/>
      <c r="DE114" s="43"/>
      <c r="DF114" s="43"/>
      <c r="DG114" s="43"/>
      <c r="DH114" s="43"/>
      <c r="DI114" s="43"/>
      <c r="DJ114" s="43"/>
      <c r="DK114" s="43"/>
      <c r="DL114" s="43"/>
      <c r="DM114" s="43"/>
      <c r="DN114" s="43"/>
      <c r="DO114" s="43"/>
      <c r="DP114" s="43"/>
      <c r="DQ114" s="43"/>
      <c r="DR114" s="43"/>
      <c r="DS114" s="43"/>
      <c r="DT114" s="43"/>
      <c r="DU114" s="43"/>
      <c r="DV114" s="43"/>
      <c r="DW114" s="43"/>
      <c r="DX114" s="43"/>
      <c r="DY114" s="43"/>
      <c r="DZ114" s="43"/>
      <c r="EA114" s="43"/>
      <c r="EB114" s="43"/>
      <c r="EC114" s="43"/>
      <c r="ED114" s="43"/>
      <c r="EE114" s="43"/>
      <c r="EF114" s="43"/>
      <c r="EG114" s="43"/>
      <c r="EH114" s="43"/>
      <c r="EI114" s="43"/>
      <c r="EJ114" s="43"/>
      <c r="EK114" s="43"/>
      <c r="EL114" s="43"/>
      <c r="EM114" s="43"/>
      <c r="EN114" s="43"/>
      <c r="EO114" s="43"/>
      <c r="EP114" s="43"/>
      <c r="EQ114" s="43"/>
      <c r="ER114" s="43"/>
      <c r="ES114" s="43"/>
      <c r="ET114" s="43"/>
      <c r="EU114" s="43"/>
      <c r="EV114" s="43"/>
      <c r="EW114" s="43"/>
      <c r="EX114" s="43"/>
      <c r="EY114" s="43"/>
      <c r="EZ114" s="43"/>
      <c r="FA114" s="43"/>
      <c r="FB114" s="43"/>
      <c r="FC114" s="43"/>
      <c r="FD114" s="43"/>
      <c r="FE114" s="43"/>
      <c r="FF114" s="43"/>
      <c r="FG114" s="43"/>
      <c r="FH114" s="43"/>
      <c r="FI114" s="43"/>
      <c r="FJ114" s="43"/>
      <c r="FK114" s="43"/>
      <c r="FL114" s="43"/>
      <c r="FM114" s="43"/>
      <c r="FN114" s="43"/>
      <c r="FO114" s="43"/>
      <c r="FP114" s="43"/>
      <c r="FQ114" s="43"/>
      <c r="FR114" s="43"/>
      <c r="FS114" s="43"/>
      <c r="FT114" s="43"/>
      <c r="FU114" s="43"/>
      <c r="FV114" s="43"/>
      <c r="FW114" s="43"/>
      <c r="FX114" s="43"/>
      <c r="FY114" s="43"/>
      <c r="FZ114" s="43"/>
      <c r="GA114" s="43"/>
      <c r="GB114" s="43"/>
      <c r="GC114" s="43"/>
      <c r="GD114" s="43"/>
      <c r="GE114" s="43"/>
      <c r="GF114" s="43"/>
      <c r="GG114" s="43"/>
      <c r="GH114" s="43"/>
      <c r="GI114" s="43"/>
      <c r="GJ114" s="43"/>
      <c r="GK114" s="43"/>
      <c r="GL114" s="43"/>
      <c r="GM114" s="43"/>
      <c r="GN114" s="43"/>
      <c r="GO114" s="43"/>
      <c r="GP114" s="43"/>
      <c r="GQ114" s="43"/>
      <c r="GR114" s="43"/>
      <c r="GS114" s="43"/>
      <c r="GT114" s="43"/>
      <c r="GU114" s="43"/>
      <c r="GV114" s="43"/>
      <c r="GW114" s="43"/>
      <c r="GX114" s="43"/>
      <c r="GY114" s="43"/>
      <c r="GZ114" s="43"/>
      <c r="HA114" s="43"/>
      <c r="HB114" s="43"/>
      <c r="HC114" s="43"/>
      <c r="HD114" s="43"/>
      <c r="HE114" s="43"/>
      <c r="HF114" s="43"/>
      <c r="HG114" s="43"/>
      <c r="HH114" s="43"/>
      <c r="HI114" s="43"/>
      <c r="HJ114" s="43"/>
      <c r="HK114" s="43"/>
      <c r="HL114" s="43"/>
      <c r="HM114" s="43"/>
      <c r="HN114" s="43"/>
      <c r="HO114" s="43"/>
      <c r="HP114" s="43"/>
      <c r="HQ114" s="43"/>
      <c r="HR114" s="43"/>
      <c r="HS114" s="43"/>
      <c r="HT114" s="43"/>
      <c r="HU114" s="43"/>
      <c r="HV114" s="43"/>
      <c r="HW114" s="43"/>
      <c r="HX114" s="43"/>
      <c r="HY114" s="43"/>
      <c r="HZ114" s="43"/>
      <c r="IA114" s="43"/>
      <c r="IB114" s="43"/>
      <c r="IC114" s="43"/>
      <c r="ID114" s="43"/>
      <c r="IE114" s="43"/>
      <c r="IF114" s="43"/>
      <c r="IG114" s="43"/>
      <c r="IH114" s="43"/>
      <c r="II114" s="43"/>
      <c r="IJ114" s="43"/>
      <c r="IK114" s="43"/>
      <c r="IL114" s="43"/>
      <c r="IM114" s="43"/>
      <c r="IN114" s="43"/>
      <c r="IO114" s="43"/>
      <c r="IP114" s="43"/>
      <c r="IQ114" s="43"/>
      <c r="IR114" s="43"/>
      <c r="IS114" s="43"/>
      <c r="IT114" s="43"/>
      <c r="IU114" s="43"/>
      <c r="IV114" s="43"/>
      <c r="IW114" s="43"/>
      <c r="IX114" s="43"/>
      <c r="IY114" s="43"/>
      <c r="IZ114" s="43"/>
      <c r="JA114" s="43"/>
      <c r="JB114" s="43"/>
      <c r="JC114" s="43"/>
      <c r="JD114" s="43"/>
      <c r="JE114" s="43"/>
      <c r="JF114" s="43"/>
      <c r="JG114" s="43"/>
      <c r="JH114" s="43"/>
      <c r="JI114" s="43"/>
      <c r="JJ114" s="43"/>
      <c r="JK114" s="43"/>
      <c r="JL114" s="43"/>
      <c r="JM114" s="43"/>
      <c r="JN114" s="43"/>
      <c r="JO114" s="43"/>
      <c r="JP114" s="43"/>
      <c r="JQ114" s="43"/>
      <c r="JR114" s="43"/>
      <c r="JS114" s="43"/>
      <c r="JT114" s="43"/>
      <c r="JU114" s="43"/>
      <c r="JV114" s="43"/>
      <c r="JW114" s="43"/>
      <c r="JX114" s="43"/>
      <c r="JY114" s="43"/>
      <c r="JZ114" s="43"/>
      <c r="KA114" s="43"/>
      <c r="KB114" s="43"/>
      <c r="KC114" s="43"/>
      <c r="KD114" s="43"/>
      <c r="KE114" s="43"/>
      <c r="KF114" s="43"/>
      <c r="KG114" s="43"/>
      <c r="KH114" s="43"/>
      <c r="KI114" s="43"/>
      <c r="KJ114" s="43"/>
      <c r="KK114" s="43"/>
      <c r="KL114" s="43"/>
      <c r="KM114" s="43"/>
      <c r="KN114" s="43"/>
      <c r="KO114" s="43"/>
      <c r="KP114" s="43"/>
      <c r="KQ114" s="43"/>
      <c r="KR114" s="43"/>
      <c r="KS114" s="43"/>
      <c r="KT114" s="43"/>
      <c r="KU114" s="43"/>
      <c r="KV114" s="43"/>
      <c r="KW114" s="43"/>
      <c r="KX114" s="43"/>
      <c r="KY114" s="43"/>
      <c r="KZ114" s="43"/>
      <c r="LA114" s="43"/>
      <c r="LB114" s="43"/>
      <c r="LC114" s="43"/>
      <c r="LD114" s="43"/>
      <c r="LE114" s="43"/>
      <c r="LF114" s="43"/>
      <c r="LG114" s="43"/>
      <c r="LH114" s="43"/>
      <c r="LI114" s="43"/>
      <c r="LJ114" s="43"/>
      <c r="LK114" s="43"/>
      <c r="LL114" s="43"/>
      <c r="LM114" s="43"/>
      <c r="LN114" s="43"/>
      <c r="LO114" s="43"/>
      <c r="LP114" s="43"/>
      <c r="LQ114" s="43"/>
      <c r="LR114" s="43"/>
      <c r="LS114" s="43"/>
      <c r="LT114" s="43"/>
      <c r="LU114" s="43"/>
      <c r="LV114" s="43"/>
      <c r="LW114" s="43"/>
      <c r="LX114" s="43"/>
      <c r="LY114" s="43"/>
      <c r="LZ114" s="43"/>
      <c r="MA114" s="43"/>
      <c r="MB114" s="43"/>
      <c r="MC114" s="43"/>
      <c r="MD114" s="43"/>
      <c r="ME114" s="43"/>
      <c r="MF114" s="43"/>
      <c r="MG114" s="43"/>
      <c r="MH114" s="43"/>
      <c r="MI114" s="43"/>
      <c r="MJ114" s="43"/>
      <c r="MK114" s="43"/>
      <c r="ML114" s="43"/>
      <c r="MM114" s="43"/>
      <c r="MN114" s="43"/>
      <c r="MO114" s="43"/>
      <c r="MP114" s="43"/>
      <c r="MQ114" s="43"/>
      <c r="MR114" s="43"/>
      <c r="MS114" s="43"/>
      <c r="MT114" s="43"/>
      <c r="MU114" s="43"/>
      <c r="MV114" s="43"/>
      <c r="MW114" s="43"/>
      <c r="MX114" s="43"/>
      <c r="MY114" s="43"/>
      <c r="MZ114" s="43"/>
      <c r="NA114" s="43"/>
      <c r="NB114" s="43"/>
      <c r="NC114" s="43"/>
      <c r="ND114" s="43"/>
      <c r="NE114" s="43"/>
      <c r="NF114" s="43"/>
      <c r="NG114" s="43"/>
      <c r="NH114" s="43"/>
      <c r="NI114" s="43"/>
      <c r="NJ114" s="43"/>
      <c r="NK114" s="43"/>
      <c r="NL114" s="43"/>
      <c r="NM114" s="43"/>
      <c r="NN114" s="43"/>
      <c r="NO114" s="43"/>
      <c r="NP114" s="43"/>
      <c r="NQ114" s="43"/>
      <c r="NR114" s="43"/>
      <c r="NS114" s="43"/>
      <c r="NT114" s="43"/>
      <c r="NU114" s="43"/>
      <c r="NV114" s="43"/>
      <c r="NW114" s="43"/>
      <c r="NX114" s="43"/>
      <c r="NY114" s="43"/>
      <c r="NZ114" s="43"/>
      <c r="OA114" s="43"/>
      <c r="OB114" s="43"/>
      <c r="OC114" s="43"/>
      <c r="OD114" s="43"/>
      <c r="OE114" s="43"/>
      <c r="OF114" s="43"/>
      <c r="OG114" s="43"/>
      <c r="OH114" s="43"/>
      <c r="OI114" s="43"/>
      <c r="OJ114" s="43"/>
      <c r="OK114" s="43"/>
      <c r="OL114" s="43"/>
      <c r="OM114" s="43"/>
      <c r="ON114" s="43"/>
      <c r="OO114" s="43"/>
      <c r="OP114" s="43"/>
      <c r="OQ114" s="43"/>
      <c r="OR114" s="43"/>
      <c r="OS114" s="43"/>
      <c r="OT114" s="43"/>
      <c r="OU114" s="43"/>
      <c r="OV114" s="43"/>
      <c r="OW114" s="43"/>
      <c r="OX114" s="43"/>
      <c r="OY114" s="43"/>
      <c r="OZ114" s="43"/>
      <c r="PA114" s="43"/>
      <c r="PB114" s="43"/>
      <c r="PC114" s="43"/>
      <c r="PD114" s="43"/>
      <c r="PE114" s="43"/>
      <c r="PF114" s="43"/>
      <c r="PG114" s="43"/>
      <c r="PH114" s="43"/>
      <c r="PI114" s="43"/>
      <c r="PJ114" s="43"/>
      <c r="PK114" s="43"/>
      <c r="PL114" s="43"/>
      <c r="PM114" s="43"/>
      <c r="PN114" s="43"/>
      <c r="PO114" s="43"/>
      <c r="PP114" s="43"/>
      <c r="PQ114" s="43"/>
      <c r="PR114" s="43"/>
      <c r="PS114" s="43"/>
      <c r="PT114" s="43"/>
      <c r="PU114" s="43"/>
      <c r="PV114" s="43"/>
      <c r="PW114" s="43"/>
      <c r="PX114" s="43"/>
      <c r="PY114" s="43"/>
      <c r="PZ114" s="43"/>
      <c r="QA114" s="43"/>
      <c r="QB114" s="43"/>
      <c r="QC114" s="43"/>
    </row>
    <row r="115" spans="1:445" x14ac:dyDescent="0.3">
      <c r="A115" s="85"/>
      <c r="B115" s="84"/>
      <c r="C115" s="84"/>
      <c r="D115" s="84"/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46" t="str">
        <f t="shared" si="9"/>
        <v/>
      </c>
      <c r="U115" s="46" t="str">
        <f t="shared" si="10"/>
        <v/>
      </c>
      <c r="V115" s="72" t="str">
        <f t="shared" si="11"/>
        <v/>
      </c>
      <c r="W115" s="48"/>
      <c r="X115" s="73" t="str">
        <f t="shared" si="12"/>
        <v/>
      </c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43"/>
      <c r="BN115" s="43"/>
      <c r="BO115" s="43"/>
      <c r="BP115" s="43"/>
      <c r="BQ115" s="43"/>
      <c r="BR115" s="43"/>
      <c r="BS115" s="43"/>
      <c r="BT115" s="43"/>
      <c r="BU115" s="43"/>
      <c r="BV115" s="43"/>
      <c r="BW115" s="43"/>
      <c r="BX115" s="43"/>
      <c r="BY115" s="43"/>
      <c r="BZ115" s="43"/>
      <c r="CA115" s="43"/>
      <c r="CB115" s="43"/>
      <c r="CC115" s="43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43"/>
      <c r="CY115" s="43"/>
      <c r="CZ115" s="43"/>
      <c r="DA115" s="43"/>
      <c r="DB115" s="43"/>
      <c r="DC115" s="43"/>
      <c r="DD115" s="43"/>
      <c r="DE115" s="43"/>
      <c r="DF115" s="43"/>
      <c r="DG115" s="43"/>
      <c r="DH115" s="43"/>
      <c r="DI115" s="43"/>
      <c r="DJ115" s="43"/>
      <c r="DK115" s="43"/>
      <c r="DL115" s="43"/>
      <c r="DM115" s="43"/>
      <c r="DN115" s="43"/>
      <c r="DO115" s="43"/>
      <c r="DP115" s="43"/>
      <c r="DQ115" s="43"/>
      <c r="DR115" s="43"/>
      <c r="DS115" s="43"/>
      <c r="DT115" s="43"/>
      <c r="DU115" s="43"/>
      <c r="DV115" s="43"/>
      <c r="DW115" s="43"/>
      <c r="DX115" s="43"/>
      <c r="DY115" s="43"/>
      <c r="DZ115" s="43"/>
      <c r="EA115" s="43"/>
      <c r="EB115" s="43"/>
      <c r="EC115" s="43"/>
      <c r="ED115" s="43"/>
      <c r="EE115" s="43"/>
      <c r="EF115" s="43"/>
      <c r="EG115" s="43"/>
      <c r="EH115" s="43"/>
      <c r="EI115" s="43"/>
      <c r="EJ115" s="43"/>
      <c r="EK115" s="43"/>
      <c r="EL115" s="43"/>
      <c r="EM115" s="43"/>
      <c r="EN115" s="43"/>
      <c r="EO115" s="43"/>
      <c r="EP115" s="43"/>
      <c r="EQ115" s="43"/>
      <c r="ER115" s="43"/>
      <c r="ES115" s="43"/>
      <c r="ET115" s="43"/>
      <c r="EU115" s="43"/>
      <c r="EV115" s="43"/>
      <c r="EW115" s="43"/>
      <c r="EX115" s="43"/>
      <c r="EY115" s="43"/>
      <c r="EZ115" s="43"/>
      <c r="FA115" s="43"/>
      <c r="FB115" s="43"/>
      <c r="FC115" s="43"/>
      <c r="FD115" s="43"/>
      <c r="FE115" s="43"/>
      <c r="FF115" s="43"/>
      <c r="FG115" s="43"/>
      <c r="FH115" s="43"/>
      <c r="FI115" s="43"/>
      <c r="FJ115" s="43"/>
      <c r="FK115" s="43"/>
      <c r="FL115" s="43"/>
      <c r="FM115" s="43"/>
      <c r="FN115" s="43"/>
      <c r="FO115" s="43"/>
      <c r="FP115" s="43"/>
      <c r="FQ115" s="43"/>
      <c r="FR115" s="43"/>
      <c r="FS115" s="43"/>
      <c r="FT115" s="43"/>
      <c r="FU115" s="43"/>
      <c r="FV115" s="43"/>
      <c r="FW115" s="43"/>
      <c r="FX115" s="43"/>
      <c r="FY115" s="43"/>
      <c r="FZ115" s="43"/>
      <c r="GA115" s="43"/>
      <c r="GB115" s="43"/>
      <c r="GC115" s="43"/>
      <c r="GD115" s="43"/>
      <c r="GE115" s="43"/>
      <c r="GF115" s="43"/>
      <c r="GG115" s="43"/>
      <c r="GH115" s="43"/>
      <c r="GI115" s="43"/>
      <c r="GJ115" s="43"/>
      <c r="GK115" s="43"/>
      <c r="GL115" s="43"/>
      <c r="GM115" s="43"/>
      <c r="GN115" s="43"/>
      <c r="GO115" s="43"/>
      <c r="GP115" s="43"/>
      <c r="GQ115" s="43"/>
      <c r="GR115" s="43"/>
      <c r="GS115" s="43"/>
      <c r="GT115" s="43"/>
      <c r="GU115" s="43"/>
      <c r="GV115" s="43"/>
      <c r="GW115" s="43"/>
      <c r="GX115" s="43"/>
      <c r="GY115" s="43"/>
      <c r="GZ115" s="43"/>
      <c r="HA115" s="43"/>
      <c r="HB115" s="43"/>
      <c r="HC115" s="43"/>
      <c r="HD115" s="43"/>
      <c r="HE115" s="43"/>
      <c r="HF115" s="43"/>
      <c r="HG115" s="43"/>
      <c r="HH115" s="43"/>
      <c r="HI115" s="43"/>
      <c r="HJ115" s="43"/>
      <c r="HK115" s="43"/>
      <c r="HL115" s="43"/>
      <c r="HM115" s="43"/>
      <c r="HN115" s="43"/>
      <c r="HO115" s="43"/>
      <c r="HP115" s="43"/>
      <c r="HQ115" s="43"/>
      <c r="HR115" s="43"/>
      <c r="HS115" s="43"/>
      <c r="HT115" s="43"/>
      <c r="HU115" s="43"/>
      <c r="HV115" s="43"/>
      <c r="HW115" s="43"/>
      <c r="HX115" s="43"/>
      <c r="HY115" s="43"/>
      <c r="HZ115" s="43"/>
      <c r="IA115" s="43"/>
      <c r="IB115" s="43"/>
      <c r="IC115" s="43"/>
      <c r="ID115" s="43"/>
      <c r="IE115" s="43"/>
      <c r="IF115" s="43"/>
      <c r="IG115" s="43"/>
      <c r="IH115" s="43"/>
      <c r="II115" s="43"/>
      <c r="IJ115" s="43"/>
      <c r="IK115" s="43"/>
      <c r="IL115" s="43"/>
      <c r="IM115" s="43"/>
      <c r="IN115" s="43"/>
      <c r="IO115" s="43"/>
      <c r="IP115" s="43"/>
      <c r="IQ115" s="43"/>
      <c r="IR115" s="43"/>
      <c r="IS115" s="43"/>
      <c r="IT115" s="43"/>
      <c r="IU115" s="43"/>
      <c r="IV115" s="43"/>
      <c r="IW115" s="43"/>
      <c r="IX115" s="43"/>
      <c r="IY115" s="43"/>
      <c r="IZ115" s="43"/>
      <c r="JA115" s="43"/>
      <c r="JB115" s="43"/>
      <c r="JC115" s="43"/>
      <c r="JD115" s="43"/>
      <c r="JE115" s="43"/>
      <c r="JF115" s="43"/>
      <c r="JG115" s="43"/>
      <c r="JH115" s="43"/>
      <c r="JI115" s="43"/>
      <c r="JJ115" s="43"/>
      <c r="JK115" s="43"/>
      <c r="JL115" s="43"/>
      <c r="JM115" s="43"/>
      <c r="JN115" s="43"/>
      <c r="JO115" s="43"/>
      <c r="JP115" s="43"/>
      <c r="JQ115" s="43"/>
      <c r="JR115" s="43"/>
      <c r="JS115" s="43"/>
      <c r="JT115" s="43"/>
      <c r="JU115" s="43"/>
      <c r="JV115" s="43"/>
      <c r="JW115" s="43"/>
      <c r="JX115" s="43"/>
      <c r="JY115" s="43"/>
      <c r="JZ115" s="43"/>
      <c r="KA115" s="43"/>
      <c r="KB115" s="43"/>
      <c r="KC115" s="43"/>
      <c r="KD115" s="43"/>
      <c r="KE115" s="43"/>
      <c r="KF115" s="43"/>
      <c r="KG115" s="43"/>
      <c r="KH115" s="43"/>
      <c r="KI115" s="43"/>
      <c r="KJ115" s="43"/>
      <c r="KK115" s="43"/>
      <c r="KL115" s="43"/>
      <c r="KM115" s="43"/>
      <c r="KN115" s="43"/>
      <c r="KO115" s="43"/>
      <c r="KP115" s="43"/>
      <c r="KQ115" s="43"/>
      <c r="KR115" s="43"/>
      <c r="KS115" s="43"/>
      <c r="KT115" s="43"/>
      <c r="KU115" s="43"/>
      <c r="KV115" s="43"/>
      <c r="KW115" s="43"/>
      <c r="KX115" s="43"/>
      <c r="KY115" s="43"/>
      <c r="KZ115" s="43"/>
      <c r="LA115" s="43"/>
      <c r="LB115" s="43"/>
      <c r="LC115" s="43"/>
      <c r="LD115" s="43"/>
      <c r="LE115" s="43"/>
      <c r="LF115" s="43"/>
      <c r="LG115" s="43"/>
      <c r="LH115" s="43"/>
      <c r="LI115" s="43"/>
      <c r="LJ115" s="43"/>
      <c r="LK115" s="43"/>
      <c r="LL115" s="43"/>
      <c r="LM115" s="43"/>
      <c r="LN115" s="43"/>
      <c r="LO115" s="43"/>
      <c r="LP115" s="43"/>
      <c r="LQ115" s="43"/>
      <c r="LR115" s="43"/>
      <c r="LS115" s="43"/>
      <c r="LT115" s="43"/>
      <c r="LU115" s="43"/>
      <c r="LV115" s="43"/>
      <c r="LW115" s="43"/>
      <c r="LX115" s="43"/>
      <c r="LY115" s="43"/>
      <c r="LZ115" s="43"/>
      <c r="MA115" s="43"/>
      <c r="MB115" s="43"/>
      <c r="MC115" s="43"/>
      <c r="MD115" s="43"/>
      <c r="ME115" s="43"/>
      <c r="MF115" s="43"/>
      <c r="MG115" s="43"/>
      <c r="MH115" s="43"/>
      <c r="MI115" s="43"/>
      <c r="MJ115" s="43"/>
      <c r="MK115" s="43"/>
      <c r="ML115" s="43"/>
      <c r="MM115" s="43"/>
      <c r="MN115" s="43"/>
      <c r="MO115" s="43"/>
      <c r="MP115" s="43"/>
      <c r="MQ115" s="43"/>
      <c r="MR115" s="43"/>
      <c r="MS115" s="43"/>
      <c r="MT115" s="43"/>
      <c r="MU115" s="43"/>
      <c r="MV115" s="43"/>
      <c r="MW115" s="43"/>
      <c r="MX115" s="43"/>
      <c r="MY115" s="43"/>
      <c r="MZ115" s="43"/>
      <c r="NA115" s="43"/>
      <c r="NB115" s="43"/>
      <c r="NC115" s="43"/>
      <c r="ND115" s="43"/>
      <c r="NE115" s="43"/>
      <c r="NF115" s="43"/>
      <c r="NG115" s="43"/>
      <c r="NH115" s="43"/>
      <c r="NI115" s="43"/>
      <c r="NJ115" s="43"/>
      <c r="NK115" s="43"/>
      <c r="NL115" s="43"/>
      <c r="NM115" s="43"/>
      <c r="NN115" s="43"/>
      <c r="NO115" s="43"/>
      <c r="NP115" s="43"/>
      <c r="NQ115" s="43"/>
      <c r="NR115" s="43"/>
      <c r="NS115" s="43"/>
      <c r="NT115" s="43"/>
      <c r="NU115" s="43"/>
      <c r="NV115" s="43"/>
      <c r="NW115" s="43"/>
      <c r="NX115" s="43"/>
      <c r="NY115" s="43"/>
      <c r="NZ115" s="43"/>
      <c r="OA115" s="43"/>
      <c r="OB115" s="43"/>
      <c r="OC115" s="43"/>
      <c r="OD115" s="43"/>
      <c r="OE115" s="43"/>
      <c r="OF115" s="43"/>
      <c r="OG115" s="43"/>
      <c r="OH115" s="43"/>
      <c r="OI115" s="43"/>
      <c r="OJ115" s="43"/>
      <c r="OK115" s="43"/>
      <c r="OL115" s="43"/>
      <c r="OM115" s="43"/>
      <c r="ON115" s="43"/>
      <c r="OO115" s="43"/>
      <c r="OP115" s="43"/>
      <c r="OQ115" s="43"/>
      <c r="OR115" s="43"/>
      <c r="OS115" s="43"/>
      <c r="OT115" s="43"/>
      <c r="OU115" s="43"/>
      <c r="OV115" s="43"/>
      <c r="OW115" s="43"/>
      <c r="OX115" s="43"/>
      <c r="OY115" s="43"/>
      <c r="OZ115" s="43"/>
      <c r="PA115" s="43"/>
      <c r="PB115" s="43"/>
      <c r="PC115" s="43"/>
      <c r="PD115" s="43"/>
      <c r="PE115" s="43"/>
      <c r="PF115" s="43"/>
      <c r="PG115" s="43"/>
      <c r="PH115" s="43"/>
      <c r="PI115" s="43"/>
      <c r="PJ115" s="43"/>
      <c r="PK115" s="43"/>
      <c r="PL115" s="43"/>
      <c r="PM115" s="43"/>
      <c r="PN115" s="43"/>
      <c r="PO115" s="43"/>
      <c r="PP115" s="43"/>
      <c r="PQ115" s="43"/>
      <c r="PR115" s="43"/>
      <c r="PS115" s="43"/>
      <c r="PT115" s="43"/>
      <c r="PU115" s="43"/>
      <c r="PV115" s="43"/>
      <c r="PW115" s="43"/>
      <c r="PX115" s="43"/>
      <c r="PY115" s="43"/>
      <c r="PZ115" s="43"/>
      <c r="QA115" s="43"/>
      <c r="QB115" s="43"/>
      <c r="QC115" s="43"/>
    </row>
    <row r="116" spans="1:445" x14ac:dyDescent="0.3">
      <c r="A116" s="96"/>
      <c r="B116" s="84"/>
      <c r="C116" s="97"/>
      <c r="D116" s="97"/>
      <c r="E116" s="97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46" t="str">
        <f t="shared" si="9"/>
        <v/>
      </c>
      <c r="U116" s="46" t="str">
        <f t="shared" si="10"/>
        <v/>
      </c>
      <c r="V116" s="72" t="str">
        <f t="shared" si="11"/>
        <v/>
      </c>
      <c r="W116" s="59"/>
      <c r="X116" s="75" t="str">
        <f t="shared" si="12"/>
        <v/>
      </c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43"/>
      <c r="CY116" s="43"/>
      <c r="CZ116" s="43"/>
      <c r="DA116" s="43"/>
      <c r="DB116" s="43"/>
      <c r="DC116" s="43"/>
      <c r="DD116" s="43"/>
      <c r="DE116" s="43"/>
      <c r="DF116" s="43"/>
      <c r="DG116" s="43"/>
      <c r="DH116" s="43"/>
      <c r="DI116" s="43"/>
      <c r="DJ116" s="43"/>
      <c r="DK116" s="43"/>
      <c r="DL116" s="43"/>
      <c r="DM116" s="43"/>
      <c r="DN116" s="43"/>
      <c r="DO116" s="43"/>
      <c r="DP116" s="43"/>
      <c r="DQ116" s="43"/>
      <c r="DR116" s="43"/>
      <c r="DS116" s="43"/>
      <c r="DT116" s="43"/>
      <c r="DU116" s="43"/>
      <c r="DV116" s="43"/>
      <c r="DW116" s="43"/>
      <c r="DX116" s="43"/>
      <c r="DY116" s="43"/>
      <c r="DZ116" s="43"/>
      <c r="EA116" s="43"/>
      <c r="EB116" s="43"/>
      <c r="EC116" s="43"/>
      <c r="ED116" s="43"/>
      <c r="EE116" s="43"/>
      <c r="EF116" s="43"/>
      <c r="EG116" s="43"/>
      <c r="EH116" s="43"/>
      <c r="EI116" s="43"/>
      <c r="EJ116" s="43"/>
      <c r="EK116" s="43"/>
      <c r="EL116" s="43"/>
      <c r="EM116" s="43"/>
      <c r="EN116" s="43"/>
      <c r="EO116" s="43"/>
      <c r="EP116" s="43"/>
      <c r="EQ116" s="43"/>
      <c r="ER116" s="43"/>
      <c r="ES116" s="43"/>
      <c r="ET116" s="43"/>
      <c r="EU116" s="43"/>
      <c r="EV116" s="43"/>
      <c r="EW116" s="43"/>
      <c r="EX116" s="43"/>
      <c r="EY116" s="43"/>
      <c r="EZ116" s="43"/>
      <c r="FA116" s="43"/>
      <c r="FB116" s="43"/>
      <c r="FC116" s="43"/>
      <c r="FD116" s="43"/>
      <c r="FE116" s="43"/>
      <c r="FF116" s="43"/>
      <c r="FG116" s="43"/>
      <c r="FH116" s="43"/>
      <c r="FI116" s="43"/>
      <c r="FJ116" s="43"/>
      <c r="FK116" s="43"/>
      <c r="FL116" s="43"/>
      <c r="FM116" s="43"/>
      <c r="FN116" s="43"/>
      <c r="FO116" s="43"/>
      <c r="FP116" s="43"/>
      <c r="FQ116" s="43"/>
      <c r="FR116" s="43"/>
      <c r="FS116" s="43"/>
      <c r="FT116" s="43"/>
      <c r="FU116" s="43"/>
      <c r="FV116" s="43"/>
      <c r="FW116" s="43"/>
      <c r="FX116" s="43"/>
      <c r="FY116" s="43"/>
      <c r="FZ116" s="43"/>
      <c r="GA116" s="43"/>
      <c r="GB116" s="43"/>
      <c r="GC116" s="43"/>
      <c r="GD116" s="43"/>
      <c r="GE116" s="43"/>
      <c r="GF116" s="43"/>
      <c r="GG116" s="43"/>
      <c r="GH116" s="43"/>
      <c r="GI116" s="43"/>
      <c r="GJ116" s="43"/>
      <c r="GK116" s="43"/>
      <c r="GL116" s="43"/>
      <c r="GM116" s="43"/>
      <c r="GN116" s="43"/>
      <c r="GO116" s="43"/>
      <c r="GP116" s="43"/>
      <c r="GQ116" s="43"/>
      <c r="GR116" s="43"/>
      <c r="GS116" s="43"/>
      <c r="GT116" s="43"/>
      <c r="GU116" s="43"/>
      <c r="GV116" s="43"/>
      <c r="GW116" s="43"/>
      <c r="GX116" s="43"/>
      <c r="GY116" s="43"/>
      <c r="GZ116" s="43"/>
      <c r="HA116" s="43"/>
      <c r="HB116" s="43"/>
      <c r="HC116" s="43"/>
      <c r="HD116" s="43"/>
      <c r="HE116" s="43"/>
      <c r="HF116" s="43"/>
      <c r="HG116" s="43"/>
      <c r="HH116" s="43"/>
      <c r="HI116" s="43"/>
      <c r="HJ116" s="43"/>
      <c r="HK116" s="43"/>
      <c r="HL116" s="43"/>
      <c r="HM116" s="43"/>
      <c r="HN116" s="43"/>
      <c r="HO116" s="43"/>
      <c r="HP116" s="43"/>
      <c r="HQ116" s="43"/>
      <c r="HR116" s="43"/>
      <c r="HS116" s="43"/>
      <c r="HT116" s="43"/>
      <c r="HU116" s="43"/>
      <c r="HV116" s="43"/>
      <c r="HW116" s="43"/>
      <c r="HX116" s="43"/>
      <c r="HY116" s="43"/>
      <c r="HZ116" s="43"/>
      <c r="IA116" s="43"/>
      <c r="IB116" s="43"/>
      <c r="IC116" s="43"/>
      <c r="ID116" s="43"/>
      <c r="IE116" s="43"/>
      <c r="IF116" s="43"/>
      <c r="IG116" s="43"/>
      <c r="IH116" s="43"/>
      <c r="II116" s="43"/>
      <c r="IJ116" s="43"/>
      <c r="IK116" s="43"/>
      <c r="IL116" s="43"/>
      <c r="IM116" s="43"/>
      <c r="IN116" s="43"/>
      <c r="IO116" s="43"/>
      <c r="IP116" s="43"/>
      <c r="IQ116" s="43"/>
      <c r="IR116" s="43"/>
      <c r="IS116" s="43"/>
      <c r="IT116" s="43"/>
      <c r="IU116" s="43"/>
      <c r="IV116" s="43"/>
      <c r="IW116" s="43"/>
      <c r="IX116" s="43"/>
      <c r="IY116" s="43"/>
      <c r="IZ116" s="43"/>
      <c r="JA116" s="43"/>
      <c r="JB116" s="43"/>
      <c r="JC116" s="43"/>
      <c r="JD116" s="43"/>
      <c r="JE116" s="43"/>
      <c r="JF116" s="43"/>
      <c r="JG116" s="43"/>
      <c r="JH116" s="43"/>
      <c r="JI116" s="43"/>
      <c r="JJ116" s="43"/>
      <c r="JK116" s="43"/>
      <c r="JL116" s="43"/>
      <c r="JM116" s="43"/>
      <c r="JN116" s="43"/>
      <c r="JO116" s="43"/>
      <c r="JP116" s="43"/>
      <c r="JQ116" s="43"/>
      <c r="JR116" s="43"/>
      <c r="JS116" s="43"/>
      <c r="JT116" s="43"/>
      <c r="JU116" s="43"/>
      <c r="JV116" s="43"/>
      <c r="JW116" s="43"/>
      <c r="JX116" s="43"/>
      <c r="JY116" s="43"/>
      <c r="JZ116" s="43"/>
      <c r="KA116" s="43"/>
      <c r="KB116" s="43"/>
      <c r="KC116" s="43"/>
      <c r="KD116" s="43"/>
      <c r="KE116" s="43"/>
      <c r="KF116" s="43"/>
      <c r="KG116" s="43"/>
      <c r="KH116" s="43"/>
      <c r="KI116" s="43"/>
      <c r="KJ116" s="43"/>
      <c r="KK116" s="43"/>
      <c r="KL116" s="43"/>
      <c r="KM116" s="43"/>
      <c r="KN116" s="43"/>
      <c r="KO116" s="43"/>
      <c r="KP116" s="43"/>
      <c r="KQ116" s="43"/>
      <c r="KR116" s="43"/>
      <c r="KS116" s="43"/>
      <c r="KT116" s="43"/>
      <c r="KU116" s="43"/>
      <c r="KV116" s="43"/>
      <c r="KW116" s="43"/>
      <c r="KX116" s="43"/>
      <c r="KY116" s="43"/>
      <c r="KZ116" s="43"/>
      <c r="LA116" s="43"/>
      <c r="LB116" s="43"/>
      <c r="LC116" s="43"/>
      <c r="LD116" s="43"/>
      <c r="LE116" s="43"/>
      <c r="LF116" s="43"/>
      <c r="LG116" s="43"/>
      <c r="LH116" s="43"/>
      <c r="LI116" s="43"/>
      <c r="LJ116" s="43"/>
      <c r="LK116" s="43"/>
      <c r="LL116" s="43"/>
      <c r="LM116" s="43"/>
      <c r="LN116" s="43"/>
      <c r="LO116" s="43"/>
      <c r="LP116" s="43"/>
      <c r="LQ116" s="43"/>
      <c r="LR116" s="43"/>
      <c r="LS116" s="43"/>
      <c r="LT116" s="43"/>
      <c r="LU116" s="43"/>
      <c r="LV116" s="43"/>
      <c r="LW116" s="43"/>
      <c r="LX116" s="43"/>
      <c r="LY116" s="43"/>
      <c r="LZ116" s="43"/>
      <c r="MA116" s="43"/>
      <c r="MB116" s="43"/>
      <c r="MC116" s="43"/>
      <c r="MD116" s="43"/>
      <c r="ME116" s="43"/>
      <c r="MF116" s="43"/>
      <c r="MG116" s="43"/>
      <c r="MH116" s="43"/>
      <c r="MI116" s="43"/>
      <c r="MJ116" s="43"/>
      <c r="MK116" s="43"/>
      <c r="ML116" s="43"/>
      <c r="MM116" s="43"/>
      <c r="MN116" s="43"/>
      <c r="MO116" s="43"/>
      <c r="MP116" s="43"/>
      <c r="MQ116" s="43"/>
      <c r="MR116" s="43"/>
      <c r="MS116" s="43"/>
      <c r="MT116" s="43"/>
      <c r="MU116" s="43"/>
      <c r="MV116" s="43"/>
      <c r="MW116" s="43"/>
      <c r="MX116" s="43"/>
      <c r="MY116" s="43"/>
      <c r="MZ116" s="43"/>
      <c r="NA116" s="43"/>
      <c r="NB116" s="43"/>
      <c r="NC116" s="43"/>
      <c r="ND116" s="43"/>
      <c r="NE116" s="43"/>
      <c r="NF116" s="43"/>
      <c r="NG116" s="43"/>
      <c r="NH116" s="43"/>
      <c r="NI116" s="43"/>
      <c r="NJ116" s="43"/>
      <c r="NK116" s="43"/>
      <c r="NL116" s="43"/>
      <c r="NM116" s="43"/>
      <c r="NN116" s="43"/>
      <c r="NO116" s="43"/>
      <c r="NP116" s="43"/>
      <c r="NQ116" s="43"/>
      <c r="NR116" s="43"/>
      <c r="NS116" s="43"/>
      <c r="NT116" s="43"/>
      <c r="NU116" s="43"/>
      <c r="NV116" s="43"/>
      <c r="NW116" s="43"/>
      <c r="NX116" s="43"/>
      <c r="NY116" s="43"/>
      <c r="NZ116" s="43"/>
      <c r="OA116" s="43"/>
      <c r="OB116" s="43"/>
      <c r="OC116" s="43"/>
      <c r="OD116" s="43"/>
      <c r="OE116" s="43"/>
      <c r="OF116" s="43"/>
      <c r="OG116" s="43"/>
      <c r="OH116" s="43"/>
      <c r="OI116" s="43"/>
      <c r="OJ116" s="43"/>
      <c r="OK116" s="43"/>
      <c r="OL116" s="43"/>
      <c r="OM116" s="43"/>
      <c r="ON116" s="43"/>
      <c r="OO116" s="43"/>
      <c r="OP116" s="43"/>
      <c r="OQ116" s="43"/>
      <c r="OR116" s="43"/>
      <c r="OS116" s="43"/>
      <c r="OT116" s="43"/>
      <c r="OU116" s="43"/>
      <c r="OV116" s="43"/>
      <c r="OW116" s="43"/>
      <c r="OX116" s="43"/>
      <c r="OY116" s="43"/>
      <c r="OZ116" s="43"/>
      <c r="PA116" s="43"/>
      <c r="PB116" s="43"/>
      <c r="PC116" s="43"/>
      <c r="PD116" s="43"/>
      <c r="PE116" s="43"/>
      <c r="PF116" s="43"/>
      <c r="PG116" s="43"/>
      <c r="PH116" s="43"/>
      <c r="PI116" s="43"/>
      <c r="PJ116" s="43"/>
      <c r="PK116" s="43"/>
      <c r="PL116" s="43"/>
      <c r="PM116" s="43"/>
      <c r="PN116" s="43"/>
      <c r="PO116" s="43"/>
      <c r="PP116" s="43"/>
      <c r="PQ116" s="43"/>
      <c r="PR116" s="43"/>
      <c r="PS116" s="43"/>
      <c r="PT116" s="43"/>
      <c r="PU116" s="43"/>
      <c r="PV116" s="43"/>
      <c r="PW116" s="43"/>
      <c r="PX116" s="43"/>
      <c r="PY116" s="43"/>
      <c r="PZ116" s="43"/>
      <c r="QA116" s="43"/>
      <c r="QB116" s="43"/>
      <c r="QC116" s="43"/>
    </row>
    <row r="117" spans="1:445" x14ac:dyDescent="0.3">
      <c r="A117" s="85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46" t="str">
        <f t="shared" si="9"/>
        <v/>
      </c>
      <c r="U117" s="46" t="str">
        <f t="shared" si="10"/>
        <v/>
      </c>
      <c r="V117" s="72" t="str">
        <f t="shared" si="11"/>
        <v/>
      </c>
      <c r="W117" s="48"/>
      <c r="X117" s="73" t="str">
        <f t="shared" si="12"/>
        <v/>
      </c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43"/>
      <c r="BN117" s="43"/>
      <c r="BO117" s="43"/>
      <c r="BP117" s="43"/>
      <c r="BQ117" s="43"/>
      <c r="BR117" s="43"/>
      <c r="BS117" s="43"/>
      <c r="BT117" s="43"/>
      <c r="BU117" s="43"/>
      <c r="BV117" s="43"/>
      <c r="BW117" s="43"/>
      <c r="BX117" s="43"/>
      <c r="BY117" s="43"/>
      <c r="BZ117" s="43"/>
      <c r="CA117" s="43"/>
      <c r="CB117" s="43"/>
      <c r="CC117" s="4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43"/>
      <c r="CY117" s="43"/>
      <c r="CZ117" s="43"/>
      <c r="DA117" s="43"/>
      <c r="DB117" s="43"/>
      <c r="DC117" s="43"/>
      <c r="DD117" s="43"/>
      <c r="DE117" s="43"/>
      <c r="DF117" s="43"/>
      <c r="DG117" s="43"/>
      <c r="DH117" s="43"/>
      <c r="DI117" s="43"/>
      <c r="DJ117" s="43"/>
      <c r="DK117" s="43"/>
      <c r="DL117" s="43"/>
      <c r="DM117" s="43"/>
      <c r="DN117" s="43"/>
      <c r="DO117" s="43"/>
      <c r="DP117" s="43"/>
      <c r="DQ117" s="43"/>
      <c r="DR117" s="43"/>
      <c r="DS117" s="43"/>
      <c r="DT117" s="43"/>
      <c r="DU117" s="43"/>
      <c r="DV117" s="43"/>
      <c r="DW117" s="43"/>
      <c r="DX117" s="43"/>
      <c r="DY117" s="43"/>
      <c r="DZ117" s="43"/>
      <c r="EA117" s="43"/>
      <c r="EB117" s="43"/>
      <c r="EC117" s="43"/>
      <c r="ED117" s="43"/>
      <c r="EE117" s="43"/>
      <c r="EF117" s="43"/>
      <c r="EG117" s="43"/>
      <c r="EH117" s="43"/>
      <c r="EI117" s="43"/>
      <c r="EJ117" s="43"/>
      <c r="EK117" s="43"/>
      <c r="EL117" s="43"/>
      <c r="EM117" s="43"/>
      <c r="EN117" s="43"/>
      <c r="EO117" s="43"/>
      <c r="EP117" s="43"/>
      <c r="EQ117" s="43"/>
      <c r="ER117" s="43"/>
      <c r="ES117" s="43"/>
      <c r="ET117" s="43"/>
      <c r="EU117" s="43"/>
      <c r="EV117" s="43"/>
      <c r="EW117" s="43"/>
      <c r="EX117" s="43"/>
      <c r="EY117" s="43"/>
      <c r="EZ117" s="43"/>
      <c r="FA117" s="43"/>
      <c r="FB117" s="43"/>
      <c r="FC117" s="43"/>
      <c r="FD117" s="43"/>
      <c r="FE117" s="43"/>
      <c r="FF117" s="43"/>
      <c r="FG117" s="43"/>
      <c r="FH117" s="43"/>
      <c r="FI117" s="43"/>
      <c r="FJ117" s="43"/>
      <c r="FK117" s="43"/>
      <c r="FL117" s="43"/>
      <c r="FM117" s="43"/>
      <c r="FN117" s="43"/>
      <c r="FO117" s="43"/>
      <c r="FP117" s="43"/>
      <c r="FQ117" s="43"/>
      <c r="FR117" s="43"/>
      <c r="FS117" s="43"/>
      <c r="FT117" s="43"/>
      <c r="FU117" s="43"/>
      <c r="FV117" s="43"/>
      <c r="FW117" s="43"/>
      <c r="FX117" s="43"/>
      <c r="FY117" s="43"/>
      <c r="FZ117" s="43"/>
      <c r="GA117" s="43"/>
      <c r="GB117" s="43"/>
      <c r="GC117" s="43"/>
      <c r="GD117" s="43"/>
      <c r="GE117" s="43"/>
      <c r="GF117" s="43"/>
      <c r="GG117" s="43"/>
      <c r="GH117" s="43"/>
      <c r="GI117" s="43"/>
      <c r="GJ117" s="43"/>
      <c r="GK117" s="43"/>
      <c r="GL117" s="43"/>
      <c r="GM117" s="43"/>
      <c r="GN117" s="43"/>
      <c r="GO117" s="43"/>
      <c r="GP117" s="43"/>
      <c r="GQ117" s="43"/>
      <c r="GR117" s="43"/>
      <c r="GS117" s="43"/>
      <c r="GT117" s="43"/>
      <c r="GU117" s="43"/>
      <c r="GV117" s="43"/>
      <c r="GW117" s="43"/>
      <c r="GX117" s="43"/>
      <c r="GY117" s="43"/>
      <c r="GZ117" s="43"/>
      <c r="HA117" s="43"/>
      <c r="HB117" s="43"/>
      <c r="HC117" s="43"/>
      <c r="HD117" s="43"/>
      <c r="HE117" s="43"/>
      <c r="HF117" s="43"/>
      <c r="HG117" s="43"/>
      <c r="HH117" s="43"/>
      <c r="HI117" s="43"/>
      <c r="HJ117" s="43"/>
      <c r="HK117" s="43"/>
      <c r="HL117" s="43"/>
      <c r="HM117" s="43"/>
      <c r="HN117" s="43"/>
      <c r="HO117" s="43"/>
      <c r="HP117" s="43"/>
      <c r="HQ117" s="43"/>
      <c r="HR117" s="43"/>
      <c r="HS117" s="43"/>
      <c r="HT117" s="43"/>
      <c r="HU117" s="43"/>
      <c r="HV117" s="43"/>
      <c r="HW117" s="43"/>
      <c r="HX117" s="43"/>
      <c r="HY117" s="43"/>
      <c r="HZ117" s="43"/>
      <c r="IA117" s="43"/>
      <c r="IB117" s="43"/>
      <c r="IC117" s="43"/>
      <c r="ID117" s="43"/>
      <c r="IE117" s="43"/>
      <c r="IF117" s="43"/>
      <c r="IG117" s="43"/>
      <c r="IH117" s="43"/>
      <c r="II117" s="43"/>
      <c r="IJ117" s="43"/>
      <c r="IK117" s="43"/>
      <c r="IL117" s="43"/>
      <c r="IM117" s="43"/>
      <c r="IN117" s="43"/>
      <c r="IO117" s="43"/>
      <c r="IP117" s="43"/>
      <c r="IQ117" s="43"/>
      <c r="IR117" s="43"/>
      <c r="IS117" s="43"/>
      <c r="IT117" s="43"/>
      <c r="IU117" s="43"/>
      <c r="IV117" s="43"/>
      <c r="IW117" s="43"/>
      <c r="IX117" s="43"/>
      <c r="IY117" s="43"/>
      <c r="IZ117" s="43"/>
      <c r="JA117" s="43"/>
      <c r="JB117" s="43"/>
      <c r="JC117" s="43"/>
      <c r="JD117" s="43"/>
      <c r="JE117" s="43"/>
      <c r="JF117" s="43"/>
      <c r="JG117" s="43"/>
      <c r="JH117" s="43"/>
      <c r="JI117" s="43"/>
      <c r="JJ117" s="43"/>
      <c r="JK117" s="43"/>
      <c r="JL117" s="43"/>
      <c r="JM117" s="43"/>
      <c r="JN117" s="43"/>
      <c r="JO117" s="43"/>
      <c r="JP117" s="43"/>
      <c r="JQ117" s="43"/>
      <c r="JR117" s="43"/>
      <c r="JS117" s="43"/>
      <c r="JT117" s="43"/>
      <c r="JU117" s="43"/>
      <c r="JV117" s="43"/>
      <c r="JW117" s="43"/>
      <c r="JX117" s="43"/>
      <c r="JY117" s="43"/>
      <c r="JZ117" s="43"/>
      <c r="KA117" s="43"/>
      <c r="KB117" s="43"/>
      <c r="KC117" s="43"/>
      <c r="KD117" s="43"/>
      <c r="KE117" s="43"/>
      <c r="KF117" s="43"/>
      <c r="KG117" s="43"/>
      <c r="KH117" s="43"/>
      <c r="KI117" s="43"/>
      <c r="KJ117" s="43"/>
      <c r="KK117" s="43"/>
      <c r="KL117" s="43"/>
      <c r="KM117" s="43"/>
      <c r="KN117" s="43"/>
      <c r="KO117" s="43"/>
      <c r="KP117" s="43"/>
      <c r="KQ117" s="43"/>
      <c r="KR117" s="43"/>
      <c r="KS117" s="43"/>
      <c r="KT117" s="43"/>
      <c r="KU117" s="43"/>
      <c r="KV117" s="43"/>
      <c r="KW117" s="43"/>
      <c r="KX117" s="43"/>
      <c r="KY117" s="43"/>
      <c r="KZ117" s="43"/>
      <c r="LA117" s="43"/>
      <c r="LB117" s="43"/>
      <c r="LC117" s="43"/>
      <c r="LD117" s="43"/>
      <c r="LE117" s="43"/>
      <c r="LF117" s="43"/>
      <c r="LG117" s="43"/>
      <c r="LH117" s="43"/>
      <c r="LI117" s="43"/>
      <c r="LJ117" s="43"/>
      <c r="LK117" s="43"/>
      <c r="LL117" s="43"/>
      <c r="LM117" s="43"/>
      <c r="LN117" s="43"/>
      <c r="LO117" s="43"/>
      <c r="LP117" s="43"/>
      <c r="LQ117" s="43"/>
      <c r="LR117" s="43"/>
      <c r="LS117" s="43"/>
      <c r="LT117" s="43"/>
      <c r="LU117" s="43"/>
      <c r="LV117" s="43"/>
      <c r="LW117" s="43"/>
      <c r="LX117" s="43"/>
      <c r="LY117" s="43"/>
      <c r="LZ117" s="43"/>
      <c r="MA117" s="43"/>
      <c r="MB117" s="43"/>
      <c r="MC117" s="43"/>
      <c r="MD117" s="43"/>
      <c r="ME117" s="43"/>
      <c r="MF117" s="43"/>
      <c r="MG117" s="43"/>
      <c r="MH117" s="43"/>
      <c r="MI117" s="43"/>
      <c r="MJ117" s="43"/>
      <c r="MK117" s="43"/>
      <c r="ML117" s="43"/>
      <c r="MM117" s="43"/>
      <c r="MN117" s="43"/>
      <c r="MO117" s="43"/>
      <c r="MP117" s="43"/>
      <c r="MQ117" s="43"/>
      <c r="MR117" s="43"/>
      <c r="MS117" s="43"/>
      <c r="MT117" s="43"/>
      <c r="MU117" s="43"/>
      <c r="MV117" s="43"/>
      <c r="MW117" s="43"/>
      <c r="MX117" s="43"/>
      <c r="MY117" s="43"/>
      <c r="MZ117" s="43"/>
      <c r="NA117" s="43"/>
      <c r="NB117" s="43"/>
      <c r="NC117" s="43"/>
      <c r="ND117" s="43"/>
      <c r="NE117" s="43"/>
      <c r="NF117" s="43"/>
      <c r="NG117" s="43"/>
      <c r="NH117" s="43"/>
      <c r="NI117" s="43"/>
      <c r="NJ117" s="43"/>
      <c r="NK117" s="43"/>
      <c r="NL117" s="43"/>
      <c r="NM117" s="43"/>
      <c r="NN117" s="43"/>
      <c r="NO117" s="43"/>
      <c r="NP117" s="43"/>
      <c r="NQ117" s="43"/>
      <c r="NR117" s="43"/>
      <c r="NS117" s="43"/>
      <c r="NT117" s="43"/>
      <c r="NU117" s="43"/>
      <c r="NV117" s="43"/>
      <c r="NW117" s="43"/>
      <c r="NX117" s="43"/>
      <c r="NY117" s="43"/>
      <c r="NZ117" s="43"/>
      <c r="OA117" s="43"/>
      <c r="OB117" s="43"/>
      <c r="OC117" s="43"/>
      <c r="OD117" s="43"/>
      <c r="OE117" s="43"/>
      <c r="OF117" s="43"/>
      <c r="OG117" s="43"/>
      <c r="OH117" s="43"/>
      <c r="OI117" s="43"/>
      <c r="OJ117" s="43"/>
      <c r="OK117" s="43"/>
      <c r="OL117" s="43"/>
      <c r="OM117" s="43"/>
      <c r="ON117" s="43"/>
      <c r="OO117" s="43"/>
      <c r="OP117" s="43"/>
      <c r="OQ117" s="43"/>
      <c r="OR117" s="43"/>
      <c r="OS117" s="43"/>
      <c r="OT117" s="43"/>
      <c r="OU117" s="43"/>
      <c r="OV117" s="43"/>
      <c r="OW117" s="43"/>
      <c r="OX117" s="43"/>
      <c r="OY117" s="43"/>
      <c r="OZ117" s="43"/>
      <c r="PA117" s="43"/>
      <c r="PB117" s="43"/>
      <c r="PC117" s="43"/>
      <c r="PD117" s="43"/>
      <c r="PE117" s="43"/>
      <c r="PF117" s="43"/>
      <c r="PG117" s="43"/>
      <c r="PH117" s="43"/>
      <c r="PI117" s="43"/>
      <c r="PJ117" s="43"/>
      <c r="PK117" s="43"/>
      <c r="PL117" s="43"/>
      <c r="PM117" s="43"/>
      <c r="PN117" s="43"/>
      <c r="PO117" s="43"/>
      <c r="PP117" s="43"/>
      <c r="PQ117" s="43"/>
      <c r="PR117" s="43"/>
      <c r="PS117" s="43"/>
      <c r="PT117" s="43"/>
      <c r="PU117" s="43"/>
      <c r="PV117" s="43"/>
      <c r="PW117" s="43"/>
      <c r="PX117" s="43"/>
      <c r="PY117" s="43"/>
      <c r="PZ117" s="43"/>
      <c r="QA117" s="43"/>
      <c r="QB117" s="43"/>
      <c r="QC117" s="43"/>
    </row>
    <row r="118" spans="1:445" s="54" customFormat="1" x14ac:dyDescent="0.3">
      <c r="A118" s="85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46" t="str">
        <f t="shared" si="9"/>
        <v/>
      </c>
      <c r="U118" s="46" t="str">
        <f t="shared" si="10"/>
        <v/>
      </c>
      <c r="V118" s="72" t="str">
        <f t="shared" si="11"/>
        <v/>
      </c>
      <c r="W118" s="48"/>
      <c r="X118" s="73" t="str">
        <f t="shared" ref="X118:X149" si="13">IF(W118&lt;&gt;"",F118 - (SUM(G118:S118)),"")</f>
        <v/>
      </c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0"/>
      <c r="AT118" s="60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60"/>
      <c r="BR118" s="60"/>
      <c r="BS118" s="60"/>
      <c r="BT118" s="60"/>
      <c r="BU118" s="60"/>
      <c r="BV118" s="60"/>
      <c r="BW118" s="60"/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60"/>
      <c r="CU118" s="60"/>
      <c r="CV118" s="60"/>
      <c r="CW118" s="60"/>
      <c r="CX118" s="60"/>
      <c r="CY118" s="60"/>
      <c r="CZ118" s="60"/>
      <c r="DA118" s="60"/>
      <c r="DB118" s="60"/>
      <c r="DC118" s="60"/>
      <c r="DD118" s="60"/>
      <c r="DE118" s="60"/>
      <c r="DF118" s="60"/>
      <c r="DG118" s="60"/>
      <c r="DH118" s="60"/>
      <c r="DI118" s="60"/>
      <c r="DJ118" s="60"/>
      <c r="DK118" s="60"/>
      <c r="DL118" s="60"/>
      <c r="DM118" s="60"/>
      <c r="DN118" s="60"/>
      <c r="DO118" s="60"/>
      <c r="DP118" s="60"/>
      <c r="DQ118" s="60"/>
      <c r="DR118" s="60"/>
      <c r="DS118" s="60"/>
      <c r="DT118" s="60"/>
      <c r="DU118" s="60"/>
      <c r="DV118" s="60"/>
      <c r="DW118" s="60"/>
      <c r="DX118" s="60"/>
      <c r="DY118" s="60"/>
      <c r="DZ118" s="60"/>
      <c r="EA118" s="60"/>
      <c r="EB118" s="60"/>
      <c r="EC118" s="60"/>
      <c r="ED118" s="60"/>
      <c r="EE118" s="60"/>
      <c r="EF118" s="60"/>
      <c r="EG118" s="60"/>
      <c r="EH118" s="60"/>
      <c r="EI118" s="60"/>
      <c r="EJ118" s="60"/>
      <c r="EK118" s="60"/>
      <c r="EL118" s="60"/>
      <c r="EM118" s="60"/>
      <c r="EN118" s="60"/>
      <c r="EO118" s="60"/>
      <c r="EP118" s="60"/>
      <c r="EQ118" s="60"/>
      <c r="ER118" s="60"/>
      <c r="ES118" s="60"/>
      <c r="ET118" s="60"/>
      <c r="EU118" s="60"/>
      <c r="EV118" s="60"/>
      <c r="EW118" s="60"/>
      <c r="EX118" s="60"/>
      <c r="EY118" s="60"/>
      <c r="EZ118" s="60"/>
      <c r="FA118" s="60"/>
      <c r="FB118" s="60"/>
      <c r="FC118" s="60"/>
      <c r="FD118" s="60"/>
      <c r="FE118" s="60"/>
      <c r="FF118" s="60"/>
      <c r="FG118" s="60"/>
      <c r="FH118" s="60"/>
      <c r="FI118" s="60"/>
      <c r="FJ118" s="60"/>
      <c r="FK118" s="60"/>
      <c r="FL118" s="60"/>
      <c r="FM118" s="60"/>
      <c r="FN118" s="60"/>
      <c r="FO118" s="60"/>
      <c r="FP118" s="60"/>
      <c r="FQ118" s="60"/>
      <c r="FR118" s="60"/>
      <c r="FS118" s="60"/>
      <c r="FT118" s="60"/>
      <c r="FU118" s="60"/>
      <c r="FV118" s="60"/>
      <c r="FW118" s="60"/>
      <c r="FX118" s="60"/>
      <c r="FY118" s="60"/>
      <c r="FZ118" s="60"/>
      <c r="GA118" s="60"/>
      <c r="GB118" s="60"/>
      <c r="GC118" s="60"/>
      <c r="GD118" s="60"/>
      <c r="GE118" s="60"/>
      <c r="GF118" s="60"/>
      <c r="GG118" s="60"/>
      <c r="GH118" s="60"/>
      <c r="GI118" s="60"/>
      <c r="GJ118" s="60"/>
      <c r="GK118" s="60"/>
      <c r="GL118" s="60"/>
      <c r="GM118" s="60"/>
      <c r="GN118" s="60"/>
      <c r="GO118" s="60"/>
      <c r="GP118" s="60"/>
      <c r="GQ118" s="60"/>
      <c r="GR118" s="60"/>
      <c r="GS118" s="60"/>
      <c r="GT118" s="60"/>
      <c r="GU118" s="60"/>
      <c r="GV118" s="60"/>
      <c r="GW118" s="60"/>
      <c r="GX118" s="60"/>
      <c r="GY118" s="60"/>
      <c r="GZ118" s="60"/>
      <c r="HA118" s="60"/>
      <c r="HB118" s="60"/>
      <c r="HC118" s="60"/>
      <c r="HD118" s="60"/>
      <c r="HE118" s="60"/>
      <c r="HF118" s="60"/>
      <c r="HG118" s="60"/>
      <c r="HH118" s="60"/>
      <c r="HI118" s="60"/>
      <c r="HJ118" s="60"/>
      <c r="HK118" s="60"/>
      <c r="HL118" s="60"/>
      <c r="HM118" s="60"/>
      <c r="HN118" s="60"/>
      <c r="HO118" s="60"/>
      <c r="HP118" s="60"/>
      <c r="HQ118" s="60"/>
      <c r="HR118" s="60"/>
      <c r="HS118" s="60"/>
      <c r="HT118" s="60"/>
      <c r="HU118" s="60"/>
      <c r="HV118" s="60"/>
      <c r="HW118" s="60"/>
      <c r="HX118" s="60"/>
      <c r="HY118" s="60"/>
      <c r="HZ118" s="60"/>
      <c r="IA118" s="60"/>
      <c r="IB118" s="60"/>
      <c r="IC118" s="60"/>
      <c r="ID118" s="60"/>
      <c r="IE118" s="60"/>
      <c r="IF118" s="60"/>
      <c r="IG118" s="60"/>
      <c r="IH118" s="60"/>
      <c r="II118" s="60"/>
      <c r="IJ118" s="60"/>
      <c r="IK118" s="60"/>
      <c r="IL118" s="60"/>
      <c r="IM118" s="60"/>
      <c r="IN118" s="60"/>
      <c r="IO118" s="60"/>
      <c r="IP118" s="60"/>
      <c r="IQ118" s="60"/>
      <c r="IR118" s="60"/>
      <c r="IS118" s="60"/>
      <c r="IT118" s="60"/>
      <c r="IU118" s="60"/>
      <c r="IV118" s="60"/>
      <c r="IW118" s="60"/>
      <c r="IX118" s="60"/>
      <c r="IY118" s="60"/>
      <c r="IZ118" s="60"/>
      <c r="JA118" s="60"/>
      <c r="JB118" s="60"/>
      <c r="JC118" s="60"/>
      <c r="JD118" s="60"/>
      <c r="JE118" s="60"/>
      <c r="JF118" s="60"/>
      <c r="JG118" s="60"/>
      <c r="JH118" s="60"/>
      <c r="JI118" s="60"/>
      <c r="JJ118" s="60"/>
      <c r="JK118" s="60"/>
      <c r="JL118" s="60"/>
      <c r="JM118" s="60"/>
      <c r="JN118" s="60"/>
      <c r="JO118" s="60"/>
      <c r="JP118" s="60"/>
      <c r="JQ118" s="60"/>
      <c r="JR118" s="60"/>
      <c r="JS118" s="60"/>
      <c r="JT118" s="60"/>
      <c r="JU118" s="60"/>
      <c r="JV118" s="60"/>
      <c r="JW118" s="60"/>
      <c r="JX118" s="60"/>
      <c r="JY118" s="60"/>
      <c r="JZ118" s="60"/>
      <c r="KA118" s="60"/>
      <c r="KB118" s="60"/>
      <c r="KC118" s="60"/>
      <c r="KD118" s="60"/>
      <c r="KE118" s="60"/>
      <c r="KF118" s="60"/>
      <c r="KG118" s="60"/>
      <c r="KH118" s="60"/>
      <c r="KI118" s="60"/>
      <c r="KJ118" s="60"/>
      <c r="KK118" s="60"/>
      <c r="KL118" s="60"/>
      <c r="KM118" s="60"/>
      <c r="KN118" s="60"/>
      <c r="KO118" s="60"/>
      <c r="KP118" s="60"/>
      <c r="KQ118" s="60"/>
      <c r="KR118" s="60"/>
      <c r="KS118" s="60"/>
      <c r="KT118" s="60"/>
      <c r="KU118" s="60"/>
      <c r="KV118" s="60"/>
      <c r="KW118" s="60"/>
      <c r="KX118" s="60"/>
      <c r="KY118" s="60"/>
      <c r="KZ118" s="60"/>
      <c r="LA118" s="60"/>
      <c r="LB118" s="60"/>
      <c r="LC118" s="60"/>
      <c r="LD118" s="60"/>
      <c r="LE118" s="60"/>
      <c r="LF118" s="60"/>
      <c r="LG118" s="60"/>
      <c r="LH118" s="60"/>
      <c r="LI118" s="60"/>
      <c r="LJ118" s="60"/>
      <c r="LK118" s="60"/>
      <c r="LL118" s="60"/>
      <c r="LM118" s="60"/>
      <c r="LN118" s="60"/>
      <c r="LO118" s="60"/>
      <c r="LP118" s="60"/>
      <c r="LQ118" s="60"/>
      <c r="LR118" s="60"/>
      <c r="LS118" s="60"/>
      <c r="LT118" s="60"/>
      <c r="LU118" s="60"/>
      <c r="LV118" s="60"/>
      <c r="LW118" s="60"/>
      <c r="LX118" s="60"/>
      <c r="LY118" s="60"/>
      <c r="LZ118" s="60"/>
      <c r="MA118" s="60"/>
      <c r="MB118" s="60"/>
      <c r="MC118" s="60"/>
      <c r="MD118" s="60"/>
      <c r="ME118" s="60"/>
      <c r="MF118" s="60"/>
      <c r="MG118" s="60"/>
      <c r="MH118" s="60"/>
      <c r="MI118" s="60"/>
      <c r="MJ118" s="60"/>
      <c r="MK118" s="60"/>
      <c r="ML118" s="60"/>
      <c r="MM118" s="60"/>
      <c r="MN118" s="60"/>
      <c r="MO118" s="60"/>
      <c r="MP118" s="60"/>
      <c r="MQ118" s="60"/>
      <c r="MR118" s="60"/>
      <c r="MS118" s="60"/>
      <c r="MT118" s="60"/>
      <c r="MU118" s="60"/>
      <c r="MV118" s="60"/>
      <c r="MW118" s="60"/>
      <c r="MX118" s="60"/>
      <c r="MY118" s="60"/>
      <c r="MZ118" s="60"/>
      <c r="NA118" s="60"/>
      <c r="NB118" s="60"/>
      <c r="NC118" s="60"/>
      <c r="ND118" s="60"/>
      <c r="NE118" s="60"/>
      <c r="NF118" s="60"/>
      <c r="NG118" s="60"/>
      <c r="NH118" s="60"/>
      <c r="NI118" s="60"/>
      <c r="NJ118" s="60"/>
      <c r="NK118" s="60"/>
      <c r="NL118" s="60"/>
      <c r="NM118" s="60"/>
      <c r="NN118" s="60"/>
      <c r="NO118" s="60"/>
      <c r="NP118" s="60"/>
      <c r="NQ118" s="60"/>
      <c r="NR118" s="60"/>
      <c r="NS118" s="60"/>
      <c r="NT118" s="60"/>
      <c r="NU118" s="60"/>
      <c r="NV118" s="60"/>
      <c r="NW118" s="60"/>
      <c r="NX118" s="60"/>
      <c r="NY118" s="60"/>
      <c r="NZ118" s="60"/>
      <c r="OA118" s="60"/>
      <c r="OB118" s="60"/>
      <c r="OC118" s="60"/>
      <c r="OD118" s="60"/>
      <c r="OE118" s="60"/>
      <c r="OF118" s="60"/>
      <c r="OG118" s="60"/>
      <c r="OH118" s="60"/>
      <c r="OI118" s="60"/>
      <c r="OJ118" s="60"/>
      <c r="OK118" s="60"/>
      <c r="OL118" s="60"/>
      <c r="OM118" s="60"/>
      <c r="ON118" s="60"/>
      <c r="OO118" s="60"/>
      <c r="OP118" s="60"/>
      <c r="OQ118" s="60"/>
      <c r="OR118" s="60"/>
      <c r="OS118" s="60"/>
      <c r="OT118" s="60"/>
      <c r="OU118" s="60"/>
      <c r="OV118" s="60"/>
      <c r="OW118" s="60"/>
      <c r="OX118" s="60"/>
      <c r="OY118" s="60"/>
      <c r="OZ118" s="60"/>
      <c r="PA118" s="60"/>
      <c r="PB118" s="60"/>
      <c r="PC118" s="60"/>
      <c r="PD118" s="60"/>
      <c r="PE118" s="60"/>
      <c r="PF118" s="60"/>
      <c r="PG118" s="60"/>
      <c r="PH118" s="60"/>
      <c r="PI118" s="60"/>
      <c r="PJ118" s="60"/>
      <c r="PK118" s="60"/>
      <c r="PL118" s="60"/>
      <c r="PM118" s="60"/>
      <c r="PN118" s="60"/>
      <c r="PO118" s="60"/>
      <c r="PP118" s="60"/>
      <c r="PQ118" s="60"/>
      <c r="PR118" s="60"/>
      <c r="PS118" s="60"/>
      <c r="PT118" s="60"/>
      <c r="PU118" s="60"/>
      <c r="PV118" s="60"/>
      <c r="PW118" s="60"/>
      <c r="PX118" s="60"/>
      <c r="PY118" s="60"/>
      <c r="PZ118" s="60"/>
      <c r="QA118" s="60"/>
      <c r="QB118" s="60"/>
      <c r="QC118" s="60"/>
    </row>
    <row r="119" spans="1:445" x14ac:dyDescent="0.3">
      <c r="A119" s="85"/>
      <c r="B119" s="84"/>
      <c r="C119" s="84"/>
      <c r="D119" s="84"/>
      <c r="E119" s="84"/>
      <c r="F119" s="84"/>
      <c r="G119" s="84"/>
      <c r="H119" s="84"/>
      <c r="I119" s="84"/>
      <c r="J119" s="89"/>
      <c r="K119" s="84"/>
      <c r="L119" s="84"/>
      <c r="M119" s="84"/>
      <c r="N119" s="84"/>
      <c r="O119" s="84"/>
      <c r="P119" s="84"/>
      <c r="Q119" s="84"/>
      <c r="R119" s="84"/>
      <c r="S119" s="84"/>
      <c r="T119" s="46" t="str">
        <f t="shared" si="9"/>
        <v/>
      </c>
      <c r="U119" s="46" t="str">
        <f t="shared" si="10"/>
        <v/>
      </c>
      <c r="V119" s="72" t="str">
        <f t="shared" si="11"/>
        <v/>
      </c>
      <c r="W119" s="48"/>
      <c r="X119" s="73" t="str">
        <f t="shared" si="13"/>
        <v/>
      </c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43"/>
      <c r="BN119" s="43"/>
      <c r="BO119" s="43"/>
      <c r="BP119" s="43"/>
      <c r="BQ119" s="43"/>
      <c r="BR119" s="43"/>
      <c r="BS119" s="43"/>
      <c r="BT119" s="43"/>
      <c r="BU119" s="43"/>
      <c r="BV119" s="43"/>
      <c r="BW119" s="43"/>
      <c r="BX119" s="43"/>
      <c r="BY119" s="43"/>
      <c r="BZ119" s="43"/>
      <c r="CA119" s="43"/>
      <c r="CB119" s="43"/>
      <c r="CC119" s="43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  <c r="CU119" s="43"/>
      <c r="CV119" s="43"/>
      <c r="CW119" s="43"/>
      <c r="CX119" s="43"/>
      <c r="CY119" s="43"/>
      <c r="CZ119" s="43"/>
      <c r="DA119" s="43"/>
      <c r="DB119" s="43"/>
      <c r="DC119" s="43"/>
      <c r="DD119" s="43"/>
      <c r="DE119" s="43"/>
      <c r="DF119" s="43"/>
      <c r="DG119" s="43"/>
      <c r="DH119" s="43"/>
      <c r="DI119" s="43"/>
      <c r="DJ119" s="43"/>
      <c r="DK119" s="43"/>
      <c r="DL119" s="43"/>
      <c r="DM119" s="43"/>
      <c r="DN119" s="43"/>
      <c r="DO119" s="43"/>
      <c r="DP119" s="43"/>
      <c r="DQ119" s="43"/>
      <c r="DR119" s="43"/>
      <c r="DS119" s="43"/>
      <c r="DT119" s="43"/>
      <c r="DU119" s="43"/>
      <c r="DV119" s="43"/>
      <c r="DW119" s="43"/>
      <c r="DX119" s="43"/>
      <c r="DY119" s="43"/>
      <c r="DZ119" s="43"/>
      <c r="EA119" s="43"/>
      <c r="EB119" s="43"/>
      <c r="EC119" s="43"/>
      <c r="ED119" s="43"/>
      <c r="EE119" s="43"/>
      <c r="EF119" s="43"/>
      <c r="EG119" s="43"/>
      <c r="EH119" s="43"/>
      <c r="EI119" s="43"/>
      <c r="EJ119" s="43"/>
      <c r="EK119" s="43"/>
      <c r="EL119" s="43"/>
      <c r="EM119" s="43"/>
      <c r="EN119" s="43"/>
      <c r="EO119" s="43"/>
      <c r="EP119" s="43"/>
      <c r="EQ119" s="43"/>
      <c r="ER119" s="43"/>
      <c r="ES119" s="43"/>
      <c r="ET119" s="43"/>
      <c r="EU119" s="43"/>
      <c r="EV119" s="43"/>
      <c r="EW119" s="43"/>
      <c r="EX119" s="43"/>
      <c r="EY119" s="43"/>
      <c r="EZ119" s="43"/>
      <c r="FA119" s="43"/>
      <c r="FB119" s="43"/>
      <c r="FC119" s="43"/>
      <c r="FD119" s="43"/>
      <c r="FE119" s="43"/>
      <c r="FF119" s="43"/>
      <c r="FG119" s="43"/>
      <c r="FH119" s="43"/>
      <c r="FI119" s="43"/>
      <c r="FJ119" s="43"/>
      <c r="FK119" s="43"/>
      <c r="FL119" s="43"/>
      <c r="FM119" s="43"/>
      <c r="FN119" s="43"/>
      <c r="FO119" s="43"/>
      <c r="FP119" s="43"/>
      <c r="FQ119" s="43"/>
      <c r="FR119" s="43"/>
      <c r="FS119" s="43"/>
      <c r="FT119" s="43"/>
      <c r="FU119" s="43"/>
      <c r="FV119" s="43"/>
      <c r="FW119" s="43"/>
      <c r="FX119" s="43"/>
      <c r="FY119" s="43"/>
      <c r="FZ119" s="43"/>
      <c r="GA119" s="43"/>
      <c r="GB119" s="43"/>
      <c r="GC119" s="43"/>
      <c r="GD119" s="43"/>
      <c r="GE119" s="43"/>
      <c r="GF119" s="43"/>
      <c r="GG119" s="43"/>
      <c r="GH119" s="43"/>
      <c r="GI119" s="43"/>
      <c r="GJ119" s="43"/>
      <c r="GK119" s="43"/>
      <c r="GL119" s="43"/>
      <c r="GM119" s="43"/>
      <c r="GN119" s="43"/>
      <c r="GO119" s="43"/>
      <c r="GP119" s="43"/>
      <c r="GQ119" s="43"/>
      <c r="GR119" s="43"/>
      <c r="GS119" s="43"/>
      <c r="GT119" s="43"/>
      <c r="GU119" s="43"/>
      <c r="GV119" s="43"/>
      <c r="GW119" s="43"/>
      <c r="GX119" s="43"/>
      <c r="GY119" s="43"/>
      <c r="GZ119" s="43"/>
      <c r="HA119" s="43"/>
      <c r="HB119" s="43"/>
      <c r="HC119" s="43"/>
      <c r="HD119" s="43"/>
      <c r="HE119" s="43"/>
      <c r="HF119" s="43"/>
      <c r="HG119" s="43"/>
      <c r="HH119" s="43"/>
      <c r="HI119" s="43"/>
      <c r="HJ119" s="43"/>
      <c r="HK119" s="43"/>
      <c r="HL119" s="43"/>
      <c r="HM119" s="43"/>
      <c r="HN119" s="43"/>
      <c r="HO119" s="43"/>
      <c r="HP119" s="43"/>
      <c r="HQ119" s="43"/>
      <c r="HR119" s="43"/>
      <c r="HS119" s="43"/>
      <c r="HT119" s="43"/>
      <c r="HU119" s="43"/>
      <c r="HV119" s="43"/>
      <c r="HW119" s="43"/>
      <c r="HX119" s="43"/>
      <c r="HY119" s="43"/>
      <c r="HZ119" s="43"/>
      <c r="IA119" s="43"/>
      <c r="IB119" s="43"/>
      <c r="IC119" s="43"/>
      <c r="ID119" s="43"/>
      <c r="IE119" s="43"/>
      <c r="IF119" s="43"/>
      <c r="IG119" s="43"/>
      <c r="IH119" s="43"/>
      <c r="II119" s="43"/>
      <c r="IJ119" s="43"/>
      <c r="IK119" s="43"/>
      <c r="IL119" s="43"/>
      <c r="IM119" s="43"/>
      <c r="IN119" s="43"/>
      <c r="IO119" s="43"/>
      <c r="IP119" s="43"/>
      <c r="IQ119" s="43"/>
      <c r="IR119" s="43"/>
      <c r="IS119" s="43"/>
      <c r="IT119" s="43"/>
      <c r="IU119" s="43"/>
      <c r="IV119" s="43"/>
      <c r="IW119" s="43"/>
      <c r="IX119" s="43"/>
      <c r="IY119" s="43"/>
      <c r="IZ119" s="43"/>
      <c r="JA119" s="43"/>
      <c r="JB119" s="43"/>
      <c r="JC119" s="43"/>
      <c r="JD119" s="43"/>
      <c r="JE119" s="43"/>
      <c r="JF119" s="43"/>
      <c r="JG119" s="43"/>
      <c r="JH119" s="43"/>
      <c r="JI119" s="43"/>
      <c r="JJ119" s="43"/>
      <c r="JK119" s="43"/>
      <c r="JL119" s="43"/>
      <c r="JM119" s="43"/>
      <c r="JN119" s="43"/>
      <c r="JO119" s="43"/>
      <c r="JP119" s="43"/>
      <c r="JQ119" s="43"/>
      <c r="JR119" s="43"/>
      <c r="JS119" s="43"/>
      <c r="JT119" s="43"/>
      <c r="JU119" s="43"/>
      <c r="JV119" s="43"/>
      <c r="JW119" s="43"/>
      <c r="JX119" s="43"/>
      <c r="JY119" s="43"/>
      <c r="JZ119" s="43"/>
      <c r="KA119" s="43"/>
      <c r="KB119" s="43"/>
      <c r="KC119" s="43"/>
      <c r="KD119" s="43"/>
      <c r="KE119" s="43"/>
      <c r="KF119" s="43"/>
      <c r="KG119" s="43"/>
      <c r="KH119" s="43"/>
      <c r="KI119" s="43"/>
      <c r="KJ119" s="43"/>
      <c r="KK119" s="43"/>
      <c r="KL119" s="43"/>
      <c r="KM119" s="43"/>
      <c r="KN119" s="43"/>
      <c r="KO119" s="43"/>
      <c r="KP119" s="43"/>
      <c r="KQ119" s="43"/>
      <c r="KR119" s="43"/>
      <c r="KS119" s="43"/>
      <c r="KT119" s="43"/>
      <c r="KU119" s="43"/>
      <c r="KV119" s="43"/>
      <c r="KW119" s="43"/>
      <c r="KX119" s="43"/>
      <c r="KY119" s="43"/>
      <c r="KZ119" s="43"/>
      <c r="LA119" s="43"/>
      <c r="LB119" s="43"/>
      <c r="LC119" s="43"/>
      <c r="LD119" s="43"/>
      <c r="LE119" s="43"/>
      <c r="LF119" s="43"/>
      <c r="LG119" s="43"/>
      <c r="LH119" s="43"/>
      <c r="LI119" s="43"/>
      <c r="LJ119" s="43"/>
      <c r="LK119" s="43"/>
      <c r="LL119" s="43"/>
      <c r="LM119" s="43"/>
      <c r="LN119" s="43"/>
      <c r="LO119" s="43"/>
      <c r="LP119" s="43"/>
      <c r="LQ119" s="43"/>
      <c r="LR119" s="43"/>
      <c r="LS119" s="43"/>
      <c r="LT119" s="43"/>
      <c r="LU119" s="43"/>
      <c r="LV119" s="43"/>
      <c r="LW119" s="43"/>
      <c r="LX119" s="43"/>
      <c r="LY119" s="43"/>
      <c r="LZ119" s="43"/>
      <c r="MA119" s="43"/>
      <c r="MB119" s="43"/>
      <c r="MC119" s="43"/>
      <c r="MD119" s="43"/>
      <c r="ME119" s="43"/>
      <c r="MF119" s="43"/>
      <c r="MG119" s="43"/>
      <c r="MH119" s="43"/>
      <c r="MI119" s="43"/>
      <c r="MJ119" s="43"/>
      <c r="MK119" s="43"/>
      <c r="ML119" s="43"/>
      <c r="MM119" s="43"/>
      <c r="MN119" s="43"/>
      <c r="MO119" s="43"/>
      <c r="MP119" s="43"/>
      <c r="MQ119" s="43"/>
      <c r="MR119" s="43"/>
      <c r="MS119" s="43"/>
      <c r="MT119" s="43"/>
      <c r="MU119" s="43"/>
      <c r="MV119" s="43"/>
      <c r="MW119" s="43"/>
      <c r="MX119" s="43"/>
      <c r="MY119" s="43"/>
      <c r="MZ119" s="43"/>
      <c r="NA119" s="43"/>
      <c r="NB119" s="43"/>
      <c r="NC119" s="43"/>
      <c r="ND119" s="43"/>
      <c r="NE119" s="43"/>
      <c r="NF119" s="43"/>
      <c r="NG119" s="43"/>
      <c r="NH119" s="43"/>
      <c r="NI119" s="43"/>
      <c r="NJ119" s="43"/>
      <c r="NK119" s="43"/>
      <c r="NL119" s="43"/>
      <c r="NM119" s="43"/>
      <c r="NN119" s="43"/>
      <c r="NO119" s="43"/>
      <c r="NP119" s="43"/>
      <c r="NQ119" s="43"/>
      <c r="NR119" s="43"/>
      <c r="NS119" s="43"/>
      <c r="NT119" s="43"/>
      <c r="NU119" s="43"/>
      <c r="NV119" s="43"/>
      <c r="NW119" s="43"/>
      <c r="NX119" s="43"/>
      <c r="NY119" s="43"/>
      <c r="NZ119" s="43"/>
      <c r="OA119" s="43"/>
      <c r="OB119" s="43"/>
      <c r="OC119" s="43"/>
      <c r="OD119" s="43"/>
      <c r="OE119" s="43"/>
      <c r="OF119" s="43"/>
      <c r="OG119" s="43"/>
      <c r="OH119" s="43"/>
      <c r="OI119" s="43"/>
      <c r="OJ119" s="43"/>
      <c r="OK119" s="43"/>
      <c r="OL119" s="43"/>
      <c r="OM119" s="43"/>
      <c r="ON119" s="43"/>
      <c r="OO119" s="43"/>
      <c r="OP119" s="43"/>
      <c r="OQ119" s="43"/>
      <c r="OR119" s="43"/>
      <c r="OS119" s="43"/>
      <c r="OT119" s="43"/>
      <c r="OU119" s="43"/>
      <c r="OV119" s="43"/>
      <c r="OW119" s="43"/>
      <c r="OX119" s="43"/>
      <c r="OY119" s="43"/>
      <c r="OZ119" s="43"/>
      <c r="PA119" s="43"/>
      <c r="PB119" s="43"/>
      <c r="PC119" s="43"/>
      <c r="PD119" s="43"/>
      <c r="PE119" s="43"/>
      <c r="PF119" s="43"/>
      <c r="PG119" s="43"/>
      <c r="PH119" s="43"/>
      <c r="PI119" s="43"/>
      <c r="PJ119" s="43"/>
      <c r="PK119" s="43"/>
      <c r="PL119" s="43"/>
      <c r="PM119" s="43"/>
      <c r="PN119" s="43"/>
      <c r="PO119" s="43"/>
      <c r="PP119" s="43"/>
      <c r="PQ119" s="43"/>
      <c r="PR119" s="43"/>
      <c r="PS119" s="43"/>
      <c r="PT119" s="43"/>
      <c r="PU119" s="43"/>
      <c r="PV119" s="43"/>
      <c r="PW119" s="43"/>
      <c r="PX119" s="43"/>
      <c r="PY119" s="43"/>
      <c r="PZ119" s="43"/>
      <c r="QA119" s="43"/>
      <c r="QB119" s="43"/>
      <c r="QC119" s="43"/>
    </row>
    <row r="120" spans="1:445" s="50" customFormat="1" x14ac:dyDescent="0.3">
      <c r="A120" s="85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46" t="str">
        <f t="shared" si="9"/>
        <v/>
      </c>
      <c r="U120" s="46" t="str">
        <f t="shared" si="10"/>
        <v/>
      </c>
      <c r="V120" s="72" t="str">
        <f t="shared" si="11"/>
        <v/>
      </c>
      <c r="W120" s="48"/>
      <c r="X120" s="73" t="str">
        <f t="shared" si="13"/>
        <v/>
      </c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43"/>
      <c r="BN120" s="43"/>
      <c r="BO120" s="43"/>
      <c r="BP120" s="43"/>
      <c r="BQ120" s="43"/>
      <c r="BR120" s="43"/>
      <c r="BS120" s="43"/>
      <c r="BT120" s="43"/>
      <c r="BU120" s="43"/>
      <c r="BV120" s="43"/>
      <c r="BW120" s="43"/>
      <c r="BX120" s="43"/>
      <c r="BY120" s="43"/>
      <c r="BZ120" s="43"/>
      <c r="CA120" s="43"/>
      <c r="CB120" s="43"/>
      <c r="CC120" s="43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43"/>
      <c r="CY120" s="43"/>
      <c r="CZ120" s="43"/>
      <c r="DA120" s="43"/>
      <c r="DB120" s="43"/>
      <c r="DC120" s="43"/>
      <c r="DD120" s="43"/>
      <c r="DE120" s="43"/>
      <c r="DF120" s="43"/>
      <c r="DG120" s="43"/>
      <c r="DH120" s="43"/>
      <c r="DI120" s="43"/>
      <c r="DJ120" s="43"/>
      <c r="DK120" s="43"/>
      <c r="DL120" s="43"/>
      <c r="DM120" s="43"/>
      <c r="DN120" s="43"/>
      <c r="DO120" s="43"/>
      <c r="DP120" s="43"/>
      <c r="DQ120" s="43"/>
      <c r="DR120" s="43"/>
      <c r="DS120" s="43"/>
      <c r="DT120" s="43"/>
      <c r="DU120" s="43"/>
      <c r="DV120" s="43"/>
      <c r="DW120" s="43"/>
      <c r="DX120" s="43"/>
      <c r="DY120" s="43"/>
      <c r="DZ120" s="43"/>
      <c r="EA120" s="43"/>
      <c r="EB120" s="43"/>
      <c r="EC120" s="43"/>
      <c r="ED120" s="43"/>
      <c r="EE120" s="43"/>
      <c r="EF120" s="43"/>
      <c r="EG120" s="43"/>
      <c r="EH120" s="43"/>
      <c r="EI120" s="43"/>
      <c r="EJ120" s="43"/>
      <c r="EK120" s="43"/>
      <c r="EL120" s="43"/>
      <c r="EM120" s="43"/>
      <c r="EN120" s="43"/>
      <c r="EO120" s="43"/>
      <c r="EP120" s="43"/>
      <c r="EQ120" s="43"/>
      <c r="ER120" s="43"/>
      <c r="ES120" s="43"/>
      <c r="ET120" s="43"/>
      <c r="EU120" s="43"/>
      <c r="EV120" s="43"/>
      <c r="EW120" s="43"/>
      <c r="EX120" s="43"/>
      <c r="EY120" s="43"/>
      <c r="EZ120" s="43"/>
      <c r="FA120" s="43"/>
      <c r="FB120" s="43"/>
      <c r="FC120" s="43"/>
      <c r="FD120" s="43"/>
      <c r="FE120" s="43"/>
      <c r="FF120" s="43"/>
      <c r="FG120" s="43"/>
      <c r="FH120" s="43"/>
      <c r="FI120" s="43"/>
      <c r="FJ120" s="43"/>
      <c r="FK120" s="43"/>
      <c r="FL120" s="43"/>
      <c r="FM120" s="43"/>
      <c r="FN120" s="43"/>
      <c r="FO120" s="43"/>
      <c r="FP120" s="43"/>
      <c r="FQ120" s="43"/>
      <c r="FR120" s="43"/>
      <c r="FS120" s="43"/>
      <c r="FT120" s="43"/>
      <c r="FU120" s="43"/>
      <c r="FV120" s="43"/>
      <c r="FW120" s="43"/>
      <c r="FX120" s="43"/>
      <c r="FY120" s="43"/>
      <c r="FZ120" s="43"/>
      <c r="GA120" s="43"/>
      <c r="GB120" s="43"/>
      <c r="GC120" s="43"/>
      <c r="GD120" s="43"/>
      <c r="GE120" s="43"/>
      <c r="GF120" s="43"/>
      <c r="GG120" s="43"/>
      <c r="GH120" s="43"/>
      <c r="GI120" s="43"/>
      <c r="GJ120" s="43"/>
      <c r="GK120" s="43"/>
      <c r="GL120" s="43"/>
      <c r="GM120" s="43"/>
      <c r="GN120" s="43"/>
      <c r="GO120" s="43"/>
      <c r="GP120" s="43"/>
      <c r="GQ120" s="43"/>
      <c r="GR120" s="43"/>
      <c r="GS120" s="43"/>
      <c r="GT120" s="43"/>
      <c r="GU120" s="43"/>
      <c r="GV120" s="43"/>
      <c r="GW120" s="43"/>
      <c r="GX120" s="43"/>
      <c r="GY120" s="43"/>
      <c r="GZ120" s="43"/>
      <c r="HA120" s="43"/>
      <c r="HB120" s="43"/>
      <c r="HC120" s="43"/>
      <c r="HD120" s="43"/>
      <c r="HE120" s="43"/>
      <c r="HF120" s="43"/>
      <c r="HG120" s="43"/>
      <c r="HH120" s="43"/>
      <c r="HI120" s="43"/>
      <c r="HJ120" s="43"/>
      <c r="HK120" s="43"/>
      <c r="HL120" s="43"/>
      <c r="HM120" s="43"/>
      <c r="HN120" s="43"/>
      <c r="HO120" s="43"/>
      <c r="HP120" s="43"/>
      <c r="HQ120" s="43"/>
      <c r="HR120" s="43"/>
      <c r="HS120" s="43"/>
      <c r="HT120" s="43"/>
      <c r="HU120" s="43"/>
      <c r="HV120" s="43"/>
      <c r="HW120" s="43"/>
      <c r="HX120" s="43"/>
      <c r="HY120" s="43"/>
      <c r="HZ120" s="43"/>
      <c r="IA120" s="43"/>
      <c r="IB120" s="43"/>
      <c r="IC120" s="43"/>
      <c r="ID120" s="43"/>
      <c r="IE120" s="43"/>
      <c r="IF120" s="43"/>
      <c r="IG120" s="43"/>
      <c r="IH120" s="43"/>
      <c r="II120" s="43"/>
      <c r="IJ120" s="43"/>
      <c r="IK120" s="43"/>
      <c r="IL120" s="43"/>
      <c r="IM120" s="43"/>
      <c r="IN120" s="43"/>
      <c r="IO120" s="43"/>
      <c r="IP120" s="43"/>
      <c r="IQ120" s="43"/>
      <c r="IR120" s="43"/>
      <c r="IS120" s="43"/>
      <c r="IT120" s="43"/>
      <c r="IU120" s="43"/>
      <c r="IV120" s="43"/>
      <c r="IW120" s="43"/>
      <c r="IX120" s="43"/>
      <c r="IY120" s="43"/>
      <c r="IZ120" s="43"/>
      <c r="JA120" s="43"/>
      <c r="JB120" s="43"/>
      <c r="JC120" s="43"/>
      <c r="JD120" s="43"/>
      <c r="JE120" s="43"/>
      <c r="JF120" s="43"/>
      <c r="JG120" s="43"/>
      <c r="JH120" s="43"/>
      <c r="JI120" s="43"/>
      <c r="JJ120" s="43"/>
      <c r="JK120" s="43"/>
      <c r="JL120" s="43"/>
      <c r="JM120" s="43"/>
      <c r="JN120" s="43"/>
      <c r="JO120" s="43"/>
      <c r="JP120" s="43"/>
      <c r="JQ120" s="43"/>
      <c r="JR120" s="43"/>
      <c r="JS120" s="43"/>
      <c r="JT120" s="43"/>
      <c r="JU120" s="43"/>
      <c r="JV120" s="43"/>
      <c r="JW120" s="43"/>
      <c r="JX120" s="43"/>
      <c r="JY120" s="43"/>
      <c r="JZ120" s="43"/>
      <c r="KA120" s="43"/>
      <c r="KB120" s="43"/>
      <c r="KC120" s="43"/>
      <c r="KD120" s="43"/>
      <c r="KE120" s="43"/>
      <c r="KF120" s="43"/>
      <c r="KG120" s="43"/>
      <c r="KH120" s="43"/>
      <c r="KI120" s="43"/>
      <c r="KJ120" s="43"/>
      <c r="KK120" s="43"/>
      <c r="KL120" s="43"/>
      <c r="KM120" s="43"/>
      <c r="KN120" s="43"/>
      <c r="KO120" s="43"/>
      <c r="KP120" s="43"/>
      <c r="KQ120" s="43"/>
      <c r="KR120" s="43"/>
      <c r="KS120" s="43"/>
      <c r="KT120" s="43"/>
      <c r="KU120" s="43"/>
      <c r="KV120" s="43"/>
      <c r="KW120" s="43"/>
      <c r="KX120" s="43"/>
      <c r="KY120" s="43"/>
      <c r="KZ120" s="43"/>
      <c r="LA120" s="43"/>
      <c r="LB120" s="43"/>
      <c r="LC120" s="43"/>
      <c r="LD120" s="43"/>
      <c r="LE120" s="43"/>
      <c r="LF120" s="43"/>
      <c r="LG120" s="43"/>
      <c r="LH120" s="43"/>
      <c r="LI120" s="43"/>
      <c r="LJ120" s="43"/>
      <c r="LK120" s="43"/>
      <c r="LL120" s="43"/>
      <c r="LM120" s="43"/>
      <c r="LN120" s="43"/>
      <c r="LO120" s="43"/>
      <c r="LP120" s="43"/>
      <c r="LQ120" s="43"/>
      <c r="LR120" s="43"/>
      <c r="LS120" s="43"/>
      <c r="LT120" s="43"/>
      <c r="LU120" s="43"/>
      <c r="LV120" s="43"/>
      <c r="LW120" s="43"/>
      <c r="LX120" s="43"/>
      <c r="LY120" s="43"/>
      <c r="LZ120" s="43"/>
      <c r="MA120" s="43"/>
      <c r="MB120" s="43"/>
      <c r="MC120" s="43"/>
      <c r="MD120" s="43"/>
      <c r="ME120" s="43"/>
      <c r="MF120" s="43"/>
      <c r="MG120" s="43"/>
      <c r="MH120" s="43"/>
      <c r="MI120" s="43"/>
      <c r="MJ120" s="43"/>
      <c r="MK120" s="43"/>
      <c r="ML120" s="43"/>
      <c r="MM120" s="43"/>
      <c r="MN120" s="43"/>
      <c r="MO120" s="43"/>
      <c r="MP120" s="43"/>
      <c r="MQ120" s="43"/>
      <c r="MR120" s="43"/>
      <c r="MS120" s="43"/>
      <c r="MT120" s="43"/>
      <c r="MU120" s="43"/>
      <c r="MV120" s="43"/>
      <c r="MW120" s="43"/>
      <c r="MX120" s="43"/>
      <c r="MY120" s="43"/>
      <c r="MZ120" s="43"/>
      <c r="NA120" s="43"/>
      <c r="NB120" s="43"/>
      <c r="NC120" s="43"/>
      <c r="ND120" s="43"/>
      <c r="NE120" s="43"/>
      <c r="NF120" s="43"/>
      <c r="NG120" s="43"/>
      <c r="NH120" s="43"/>
      <c r="NI120" s="43"/>
      <c r="NJ120" s="43"/>
      <c r="NK120" s="43"/>
      <c r="NL120" s="43"/>
      <c r="NM120" s="43"/>
      <c r="NN120" s="43"/>
      <c r="NO120" s="43"/>
      <c r="NP120" s="43"/>
      <c r="NQ120" s="43"/>
      <c r="NR120" s="43"/>
      <c r="NS120" s="43"/>
      <c r="NT120" s="43"/>
      <c r="NU120" s="43"/>
      <c r="NV120" s="43"/>
      <c r="NW120" s="43"/>
      <c r="NX120" s="43"/>
      <c r="NY120" s="43"/>
      <c r="NZ120" s="43"/>
      <c r="OA120" s="43"/>
      <c r="OB120" s="43"/>
      <c r="OC120" s="43"/>
      <c r="OD120" s="43"/>
      <c r="OE120" s="43"/>
      <c r="OF120" s="43"/>
      <c r="OG120" s="43"/>
      <c r="OH120" s="43"/>
      <c r="OI120" s="43"/>
      <c r="OJ120" s="43"/>
      <c r="OK120" s="43"/>
      <c r="OL120" s="43"/>
      <c r="OM120" s="43"/>
      <c r="ON120" s="43"/>
      <c r="OO120" s="43"/>
      <c r="OP120" s="43"/>
      <c r="OQ120" s="43"/>
      <c r="OR120" s="43"/>
      <c r="OS120" s="43"/>
      <c r="OT120" s="43"/>
      <c r="OU120" s="43"/>
      <c r="OV120" s="43"/>
      <c r="OW120" s="43"/>
      <c r="OX120" s="43"/>
      <c r="OY120" s="43"/>
      <c r="OZ120" s="43"/>
      <c r="PA120" s="43"/>
      <c r="PB120" s="43"/>
      <c r="PC120" s="43"/>
      <c r="PD120" s="43"/>
      <c r="PE120" s="43"/>
      <c r="PF120" s="43"/>
      <c r="PG120" s="43"/>
      <c r="PH120" s="43"/>
      <c r="PI120" s="43"/>
      <c r="PJ120" s="43"/>
      <c r="PK120" s="43"/>
      <c r="PL120" s="43"/>
      <c r="PM120" s="43"/>
      <c r="PN120" s="43"/>
      <c r="PO120" s="43"/>
      <c r="PP120" s="43"/>
      <c r="PQ120" s="43"/>
      <c r="PR120" s="43"/>
      <c r="PS120" s="43"/>
      <c r="PT120" s="43"/>
      <c r="PU120" s="43"/>
      <c r="PV120" s="43"/>
      <c r="PW120" s="43"/>
      <c r="PX120" s="43"/>
      <c r="PY120" s="43"/>
      <c r="PZ120" s="43"/>
      <c r="QA120" s="43"/>
      <c r="QB120" s="43"/>
      <c r="QC120" s="43"/>
    </row>
    <row r="121" spans="1:445" x14ac:dyDescent="0.3">
      <c r="A121" s="85"/>
      <c r="B121" s="84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46" t="str">
        <f t="shared" si="9"/>
        <v/>
      </c>
      <c r="U121" s="46" t="str">
        <f t="shared" si="10"/>
        <v/>
      </c>
      <c r="V121" s="72" t="str">
        <f t="shared" si="11"/>
        <v/>
      </c>
      <c r="W121" s="48"/>
      <c r="X121" s="73" t="str">
        <f t="shared" si="13"/>
        <v/>
      </c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43"/>
      <c r="BN121" s="43"/>
      <c r="BO121" s="43"/>
      <c r="BP121" s="43"/>
      <c r="BQ121" s="43"/>
      <c r="BR121" s="43"/>
      <c r="BS121" s="43"/>
      <c r="BT121" s="43"/>
      <c r="BU121" s="43"/>
      <c r="BV121" s="43"/>
      <c r="BW121" s="43"/>
      <c r="BX121" s="43"/>
      <c r="BY121" s="43"/>
      <c r="BZ121" s="43"/>
      <c r="CA121" s="43"/>
      <c r="CB121" s="43"/>
      <c r="CC121" s="43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43"/>
      <c r="CY121" s="43"/>
      <c r="CZ121" s="43"/>
      <c r="DA121" s="43"/>
      <c r="DB121" s="43"/>
      <c r="DC121" s="43"/>
      <c r="DD121" s="43"/>
      <c r="DE121" s="43"/>
      <c r="DF121" s="43"/>
      <c r="DG121" s="43"/>
      <c r="DH121" s="43"/>
      <c r="DI121" s="43"/>
      <c r="DJ121" s="43"/>
      <c r="DK121" s="43"/>
      <c r="DL121" s="43"/>
      <c r="DM121" s="43"/>
      <c r="DN121" s="43"/>
      <c r="DO121" s="43"/>
      <c r="DP121" s="43"/>
      <c r="DQ121" s="43"/>
      <c r="DR121" s="43"/>
      <c r="DS121" s="43"/>
      <c r="DT121" s="43"/>
      <c r="DU121" s="43"/>
      <c r="DV121" s="43"/>
      <c r="DW121" s="43"/>
      <c r="DX121" s="43"/>
      <c r="DY121" s="43"/>
      <c r="DZ121" s="43"/>
      <c r="EA121" s="43"/>
      <c r="EB121" s="43"/>
      <c r="EC121" s="43"/>
      <c r="ED121" s="43"/>
      <c r="EE121" s="43"/>
      <c r="EF121" s="43"/>
      <c r="EG121" s="43"/>
      <c r="EH121" s="43"/>
      <c r="EI121" s="43"/>
      <c r="EJ121" s="43"/>
      <c r="EK121" s="43"/>
      <c r="EL121" s="43"/>
      <c r="EM121" s="43"/>
      <c r="EN121" s="43"/>
      <c r="EO121" s="43"/>
      <c r="EP121" s="43"/>
      <c r="EQ121" s="43"/>
      <c r="ER121" s="43"/>
      <c r="ES121" s="43"/>
      <c r="ET121" s="43"/>
      <c r="EU121" s="43"/>
      <c r="EV121" s="43"/>
      <c r="EW121" s="43"/>
      <c r="EX121" s="43"/>
      <c r="EY121" s="43"/>
      <c r="EZ121" s="43"/>
      <c r="FA121" s="43"/>
      <c r="FB121" s="43"/>
      <c r="FC121" s="43"/>
      <c r="FD121" s="43"/>
      <c r="FE121" s="43"/>
      <c r="FF121" s="43"/>
      <c r="FG121" s="43"/>
      <c r="FH121" s="43"/>
      <c r="FI121" s="43"/>
      <c r="FJ121" s="43"/>
      <c r="FK121" s="43"/>
      <c r="FL121" s="43"/>
      <c r="FM121" s="43"/>
      <c r="FN121" s="43"/>
      <c r="FO121" s="43"/>
      <c r="FP121" s="43"/>
      <c r="FQ121" s="43"/>
      <c r="FR121" s="43"/>
      <c r="FS121" s="43"/>
      <c r="FT121" s="43"/>
      <c r="FU121" s="43"/>
      <c r="FV121" s="43"/>
      <c r="FW121" s="43"/>
      <c r="FX121" s="43"/>
      <c r="FY121" s="43"/>
      <c r="FZ121" s="43"/>
      <c r="GA121" s="43"/>
      <c r="GB121" s="43"/>
      <c r="GC121" s="43"/>
      <c r="GD121" s="43"/>
      <c r="GE121" s="43"/>
      <c r="GF121" s="43"/>
      <c r="GG121" s="43"/>
      <c r="GH121" s="43"/>
      <c r="GI121" s="43"/>
      <c r="GJ121" s="43"/>
      <c r="GK121" s="43"/>
      <c r="GL121" s="43"/>
      <c r="GM121" s="43"/>
      <c r="GN121" s="43"/>
      <c r="GO121" s="43"/>
      <c r="GP121" s="43"/>
      <c r="GQ121" s="43"/>
      <c r="GR121" s="43"/>
      <c r="GS121" s="43"/>
      <c r="GT121" s="43"/>
      <c r="GU121" s="43"/>
      <c r="GV121" s="43"/>
      <c r="GW121" s="43"/>
      <c r="GX121" s="43"/>
      <c r="GY121" s="43"/>
      <c r="GZ121" s="43"/>
      <c r="HA121" s="43"/>
      <c r="HB121" s="43"/>
      <c r="HC121" s="43"/>
      <c r="HD121" s="43"/>
      <c r="HE121" s="43"/>
      <c r="HF121" s="43"/>
      <c r="HG121" s="43"/>
      <c r="HH121" s="43"/>
      <c r="HI121" s="43"/>
      <c r="HJ121" s="43"/>
      <c r="HK121" s="43"/>
      <c r="HL121" s="43"/>
      <c r="HM121" s="43"/>
      <c r="HN121" s="43"/>
      <c r="HO121" s="43"/>
      <c r="HP121" s="43"/>
      <c r="HQ121" s="43"/>
      <c r="HR121" s="43"/>
      <c r="HS121" s="43"/>
      <c r="HT121" s="43"/>
      <c r="HU121" s="43"/>
      <c r="HV121" s="43"/>
      <c r="HW121" s="43"/>
      <c r="HX121" s="43"/>
      <c r="HY121" s="43"/>
      <c r="HZ121" s="43"/>
      <c r="IA121" s="43"/>
      <c r="IB121" s="43"/>
      <c r="IC121" s="43"/>
      <c r="ID121" s="43"/>
      <c r="IE121" s="43"/>
      <c r="IF121" s="43"/>
      <c r="IG121" s="43"/>
      <c r="IH121" s="43"/>
      <c r="II121" s="43"/>
      <c r="IJ121" s="43"/>
      <c r="IK121" s="43"/>
      <c r="IL121" s="43"/>
      <c r="IM121" s="43"/>
      <c r="IN121" s="43"/>
      <c r="IO121" s="43"/>
      <c r="IP121" s="43"/>
      <c r="IQ121" s="43"/>
      <c r="IR121" s="43"/>
      <c r="IS121" s="43"/>
      <c r="IT121" s="43"/>
      <c r="IU121" s="43"/>
      <c r="IV121" s="43"/>
      <c r="IW121" s="43"/>
      <c r="IX121" s="43"/>
      <c r="IY121" s="43"/>
      <c r="IZ121" s="43"/>
      <c r="JA121" s="43"/>
      <c r="JB121" s="43"/>
      <c r="JC121" s="43"/>
      <c r="JD121" s="43"/>
      <c r="JE121" s="43"/>
      <c r="JF121" s="43"/>
      <c r="JG121" s="43"/>
      <c r="JH121" s="43"/>
      <c r="JI121" s="43"/>
      <c r="JJ121" s="43"/>
      <c r="JK121" s="43"/>
      <c r="JL121" s="43"/>
      <c r="JM121" s="43"/>
      <c r="JN121" s="43"/>
      <c r="JO121" s="43"/>
      <c r="JP121" s="43"/>
      <c r="JQ121" s="43"/>
      <c r="JR121" s="43"/>
      <c r="JS121" s="43"/>
      <c r="JT121" s="43"/>
      <c r="JU121" s="43"/>
      <c r="JV121" s="43"/>
      <c r="JW121" s="43"/>
      <c r="JX121" s="43"/>
      <c r="JY121" s="43"/>
      <c r="JZ121" s="43"/>
      <c r="KA121" s="43"/>
      <c r="KB121" s="43"/>
      <c r="KC121" s="43"/>
      <c r="KD121" s="43"/>
      <c r="KE121" s="43"/>
      <c r="KF121" s="43"/>
      <c r="KG121" s="43"/>
      <c r="KH121" s="43"/>
      <c r="KI121" s="43"/>
      <c r="KJ121" s="43"/>
      <c r="KK121" s="43"/>
      <c r="KL121" s="43"/>
      <c r="KM121" s="43"/>
      <c r="KN121" s="43"/>
      <c r="KO121" s="43"/>
      <c r="KP121" s="43"/>
      <c r="KQ121" s="43"/>
      <c r="KR121" s="43"/>
      <c r="KS121" s="43"/>
      <c r="KT121" s="43"/>
      <c r="KU121" s="43"/>
      <c r="KV121" s="43"/>
      <c r="KW121" s="43"/>
      <c r="KX121" s="43"/>
      <c r="KY121" s="43"/>
      <c r="KZ121" s="43"/>
      <c r="LA121" s="43"/>
      <c r="LB121" s="43"/>
      <c r="LC121" s="43"/>
      <c r="LD121" s="43"/>
      <c r="LE121" s="43"/>
      <c r="LF121" s="43"/>
      <c r="LG121" s="43"/>
      <c r="LH121" s="43"/>
      <c r="LI121" s="43"/>
      <c r="LJ121" s="43"/>
      <c r="LK121" s="43"/>
      <c r="LL121" s="43"/>
      <c r="LM121" s="43"/>
      <c r="LN121" s="43"/>
      <c r="LO121" s="43"/>
      <c r="LP121" s="43"/>
      <c r="LQ121" s="43"/>
      <c r="LR121" s="43"/>
      <c r="LS121" s="43"/>
      <c r="LT121" s="43"/>
      <c r="LU121" s="43"/>
      <c r="LV121" s="43"/>
      <c r="LW121" s="43"/>
      <c r="LX121" s="43"/>
      <c r="LY121" s="43"/>
      <c r="LZ121" s="43"/>
      <c r="MA121" s="43"/>
      <c r="MB121" s="43"/>
      <c r="MC121" s="43"/>
      <c r="MD121" s="43"/>
      <c r="ME121" s="43"/>
      <c r="MF121" s="43"/>
      <c r="MG121" s="43"/>
      <c r="MH121" s="43"/>
      <c r="MI121" s="43"/>
      <c r="MJ121" s="43"/>
      <c r="MK121" s="43"/>
      <c r="ML121" s="43"/>
      <c r="MM121" s="43"/>
      <c r="MN121" s="43"/>
      <c r="MO121" s="43"/>
      <c r="MP121" s="43"/>
      <c r="MQ121" s="43"/>
      <c r="MR121" s="43"/>
      <c r="MS121" s="43"/>
      <c r="MT121" s="43"/>
      <c r="MU121" s="43"/>
      <c r="MV121" s="43"/>
      <c r="MW121" s="43"/>
      <c r="MX121" s="43"/>
      <c r="MY121" s="43"/>
      <c r="MZ121" s="43"/>
      <c r="NA121" s="43"/>
      <c r="NB121" s="43"/>
      <c r="NC121" s="43"/>
      <c r="ND121" s="43"/>
      <c r="NE121" s="43"/>
      <c r="NF121" s="43"/>
      <c r="NG121" s="43"/>
      <c r="NH121" s="43"/>
      <c r="NI121" s="43"/>
      <c r="NJ121" s="43"/>
      <c r="NK121" s="43"/>
      <c r="NL121" s="43"/>
      <c r="NM121" s="43"/>
      <c r="NN121" s="43"/>
      <c r="NO121" s="43"/>
      <c r="NP121" s="43"/>
      <c r="NQ121" s="43"/>
      <c r="NR121" s="43"/>
      <c r="NS121" s="43"/>
      <c r="NT121" s="43"/>
      <c r="NU121" s="43"/>
      <c r="NV121" s="43"/>
      <c r="NW121" s="43"/>
      <c r="NX121" s="43"/>
      <c r="NY121" s="43"/>
      <c r="NZ121" s="43"/>
      <c r="OA121" s="43"/>
      <c r="OB121" s="43"/>
      <c r="OC121" s="43"/>
      <c r="OD121" s="43"/>
      <c r="OE121" s="43"/>
      <c r="OF121" s="43"/>
      <c r="OG121" s="43"/>
      <c r="OH121" s="43"/>
      <c r="OI121" s="43"/>
      <c r="OJ121" s="43"/>
      <c r="OK121" s="43"/>
      <c r="OL121" s="43"/>
      <c r="OM121" s="43"/>
      <c r="ON121" s="43"/>
      <c r="OO121" s="43"/>
      <c r="OP121" s="43"/>
      <c r="OQ121" s="43"/>
      <c r="OR121" s="43"/>
      <c r="OS121" s="43"/>
      <c r="OT121" s="43"/>
      <c r="OU121" s="43"/>
      <c r="OV121" s="43"/>
      <c r="OW121" s="43"/>
      <c r="OX121" s="43"/>
      <c r="OY121" s="43"/>
      <c r="OZ121" s="43"/>
      <c r="PA121" s="43"/>
      <c r="PB121" s="43"/>
      <c r="PC121" s="43"/>
      <c r="PD121" s="43"/>
      <c r="PE121" s="43"/>
      <c r="PF121" s="43"/>
      <c r="PG121" s="43"/>
      <c r="PH121" s="43"/>
      <c r="PI121" s="43"/>
      <c r="PJ121" s="43"/>
      <c r="PK121" s="43"/>
      <c r="PL121" s="43"/>
      <c r="PM121" s="43"/>
      <c r="PN121" s="43"/>
      <c r="PO121" s="43"/>
      <c r="PP121" s="43"/>
      <c r="PQ121" s="43"/>
      <c r="PR121" s="43"/>
      <c r="PS121" s="43"/>
      <c r="PT121" s="43"/>
      <c r="PU121" s="43"/>
      <c r="PV121" s="43"/>
      <c r="PW121" s="43"/>
      <c r="PX121" s="43"/>
      <c r="PY121" s="43"/>
      <c r="PZ121" s="43"/>
      <c r="QA121" s="43"/>
      <c r="QB121" s="43"/>
      <c r="QC121" s="43"/>
    </row>
    <row r="122" spans="1:445" x14ac:dyDescent="0.3">
      <c r="A122" s="85"/>
      <c r="B122" s="84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46" t="str">
        <f t="shared" si="9"/>
        <v/>
      </c>
      <c r="U122" s="46" t="str">
        <f t="shared" si="10"/>
        <v/>
      </c>
      <c r="V122" s="72" t="str">
        <f t="shared" si="11"/>
        <v/>
      </c>
      <c r="W122" s="48"/>
      <c r="X122" s="73" t="str">
        <f t="shared" si="13"/>
        <v/>
      </c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43"/>
      <c r="BN122" s="43"/>
      <c r="BO122" s="43"/>
      <c r="BP122" s="43"/>
      <c r="BQ122" s="43"/>
      <c r="BR122" s="43"/>
      <c r="BS122" s="43"/>
      <c r="BT122" s="43"/>
      <c r="BU122" s="43"/>
      <c r="BV122" s="43"/>
      <c r="BW122" s="43"/>
      <c r="BX122" s="43"/>
      <c r="BY122" s="43"/>
      <c r="BZ122" s="43"/>
      <c r="CA122" s="43"/>
      <c r="CB122" s="43"/>
      <c r="CC122" s="43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43"/>
      <c r="CY122" s="43"/>
      <c r="CZ122" s="43"/>
      <c r="DA122" s="43"/>
      <c r="DB122" s="43"/>
      <c r="DC122" s="43"/>
      <c r="DD122" s="43"/>
      <c r="DE122" s="43"/>
      <c r="DF122" s="43"/>
      <c r="DG122" s="43"/>
      <c r="DH122" s="43"/>
      <c r="DI122" s="43"/>
      <c r="DJ122" s="43"/>
      <c r="DK122" s="43"/>
      <c r="DL122" s="43"/>
      <c r="DM122" s="43"/>
      <c r="DN122" s="43"/>
      <c r="DO122" s="43"/>
      <c r="DP122" s="43"/>
      <c r="DQ122" s="43"/>
      <c r="DR122" s="43"/>
      <c r="DS122" s="43"/>
      <c r="DT122" s="43"/>
      <c r="DU122" s="43"/>
      <c r="DV122" s="43"/>
      <c r="DW122" s="43"/>
      <c r="DX122" s="43"/>
      <c r="DY122" s="43"/>
      <c r="DZ122" s="43"/>
      <c r="EA122" s="43"/>
      <c r="EB122" s="43"/>
      <c r="EC122" s="43"/>
      <c r="ED122" s="43"/>
      <c r="EE122" s="43"/>
      <c r="EF122" s="43"/>
      <c r="EG122" s="43"/>
      <c r="EH122" s="43"/>
      <c r="EI122" s="43"/>
      <c r="EJ122" s="43"/>
      <c r="EK122" s="43"/>
      <c r="EL122" s="43"/>
      <c r="EM122" s="43"/>
      <c r="EN122" s="43"/>
      <c r="EO122" s="43"/>
      <c r="EP122" s="43"/>
      <c r="EQ122" s="43"/>
      <c r="ER122" s="43"/>
      <c r="ES122" s="43"/>
      <c r="ET122" s="43"/>
      <c r="EU122" s="43"/>
      <c r="EV122" s="43"/>
      <c r="EW122" s="43"/>
      <c r="EX122" s="43"/>
      <c r="EY122" s="43"/>
      <c r="EZ122" s="43"/>
      <c r="FA122" s="43"/>
      <c r="FB122" s="43"/>
      <c r="FC122" s="43"/>
      <c r="FD122" s="43"/>
      <c r="FE122" s="43"/>
      <c r="FF122" s="43"/>
      <c r="FG122" s="43"/>
      <c r="FH122" s="43"/>
      <c r="FI122" s="43"/>
      <c r="FJ122" s="43"/>
      <c r="FK122" s="43"/>
      <c r="FL122" s="43"/>
      <c r="FM122" s="43"/>
      <c r="FN122" s="43"/>
      <c r="FO122" s="43"/>
      <c r="FP122" s="43"/>
      <c r="FQ122" s="43"/>
      <c r="FR122" s="43"/>
      <c r="FS122" s="43"/>
      <c r="FT122" s="43"/>
      <c r="FU122" s="43"/>
      <c r="FV122" s="43"/>
      <c r="FW122" s="43"/>
      <c r="FX122" s="43"/>
      <c r="FY122" s="43"/>
      <c r="FZ122" s="43"/>
      <c r="GA122" s="43"/>
      <c r="GB122" s="43"/>
      <c r="GC122" s="43"/>
      <c r="GD122" s="43"/>
      <c r="GE122" s="43"/>
      <c r="GF122" s="43"/>
      <c r="GG122" s="43"/>
      <c r="GH122" s="43"/>
      <c r="GI122" s="43"/>
      <c r="GJ122" s="43"/>
      <c r="GK122" s="43"/>
      <c r="GL122" s="43"/>
      <c r="GM122" s="43"/>
      <c r="GN122" s="43"/>
      <c r="GO122" s="43"/>
      <c r="GP122" s="43"/>
      <c r="GQ122" s="43"/>
      <c r="GR122" s="43"/>
      <c r="GS122" s="43"/>
      <c r="GT122" s="43"/>
      <c r="GU122" s="43"/>
      <c r="GV122" s="43"/>
      <c r="GW122" s="43"/>
      <c r="GX122" s="43"/>
      <c r="GY122" s="43"/>
      <c r="GZ122" s="43"/>
      <c r="HA122" s="43"/>
      <c r="HB122" s="43"/>
      <c r="HC122" s="43"/>
      <c r="HD122" s="43"/>
      <c r="HE122" s="43"/>
      <c r="HF122" s="43"/>
      <c r="HG122" s="43"/>
      <c r="HH122" s="43"/>
      <c r="HI122" s="43"/>
      <c r="HJ122" s="43"/>
      <c r="HK122" s="43"/>
      <c r="HL122" s="43"/>
      <c r="HM122" s="43"/>
      <c r="HN122" s="43"/>
      <c r="HO122" s="43"/>
      <c r="HP122" s="43"/>
      <c r="HQ122" s="43"/>
      <c r="HR122" s="43"/>
      <c r="HS122" s="43"/>
      <c r="HT122" s="43"/>
      <c r="HU122" s="43"/>
      <c r="HV122" s="43"/>
      <c r="HW122" s="43"/>
      <c r="HX122" s="43"/>
      <c r="HY122" s="43"/>
      <c r="HZ122" s="43"/>
      <c r="IA122" s="43"/>
      <c r="IB122" s="43"/>
      <c r="IC122" s="43"/>
      <c r="ID122" s="43"/>
      <c r="IE122" s="43"/>
      <c r="IF122" s="43"/>
      <c r="IG122" s="43"/>
      <c r="IH122" s="43"/>
      <c r="II122" s="43"/>
      <c r="IJ122" s="43"/>
      <c r="IK122" s="43"/>
      <c r="IL122" s="43"/>
      <c r="IM122" s="43"/>
      <c r="IN122" s="43"/>
      <c r="IO122" s="43"/>
      <c r="IP122" s="43"/>
      <c r="IQ122" s="43"/>
      <c r="IR122" s="43"/>
      <c r="IS122" s="43"/>
      <c r="IT122" s="43"/>
      <c r="IU122" s="43"/>
      <c r="IV122" s="43"/>
      <c r="IW122" s="43"/>
      <c r="IX122" s="43"/>
      <c r="IY122" s="43"/>
      <c r="IZ122" s="43"/>
      <c r="JA122" s="43"/>
      <c r="JB122" s="43"/>
      <c r="JC122" s="43"/>
      <c r="JD122" s="43"/>
      <c r="JE122" s="43"/>
      <c r="JF122" s="43"/>
      <c r="JG122" s="43"/>
      <c r="JH122" s="43"/>
      <c r="JI122" s="43"/>
      <c r="JJ122" s="43"/>
      <c r="JK122" s="43"/>
      <c r="JL122" s="43"/>
      <c r="JM122" s="43"/>
      <c r="JN122" s="43"/>
      <c r="JO122" s="43"/>
      <c r="JP122" s="43"/>
      <c r="JQ122" s="43"/>
      <c r="JR122" s="43"/>
      <c r="JS122" s="43"/>
      <c r="JT122" s="43"/>
      <c r="JU122" s="43"/>
      <c r="JV122" s="43"/>
      <c r="JW122" s="43"/>
      <c r="JX122" s="43"/>
      <c r="JY122" s="43"/>
      <c r="JZ122" s="43"/>
      <c r="KA122" s="43"/>
      <c r="KB122" s="43"/>
      <c r="KC122" s="43"/>
      <c r="KD122" s="43"/>
      <c r="KE122" s="43"/>
      <c r="KF122" s="43"/>
      <c r="KG122" s="43"/>
      <c r="KH122" s="43"/>
      <c r="KI122" s="43"/>
      <c r="KJ122" s="43"/>
      <c r="KK122" s="43"/>
      <c r="KL122" s="43"/>
      <c r="KM122" s="43"/>
      <c r="KN122" s="43"/>
      <c r="KO122" s="43"/>
      <c r="KP122" s="43"/>
      <c r="KQ122" s="43"/>
      <c r="KR122" s="43"/>
      <c r="KS122" s="43"/>
      <c r="KT122" s="43"/>
      <c r="KU122" s="43"/>
      <c r="KV122" s="43"/>
      <c r="KW122" s="43"/>
      <c r="KX122" s="43"/>
      <c r="KY122" s="43"/>
      <c r="KZ122" s="43"/>
      <c r="LA122" s="43"/>
      <c r="LB122" s="43"/>
      <c r="LC122" s="43"/>
      <c r="LD122" s="43"/>
      <c r="LE122" s="43"/>
      <c r="LF122" s="43"/>
      <c r="LG122" s="43"/>
      <c r="LH122" s="43"/>
      <c r="LI122" s="43"/>
      <c r="LJ122" s="43"/>
      <c r="LK122" s="43"/>
      <c r="LL122" s="43"/>
      <c r="LM122" s="43"/>
      <c r="LN122" s="43"/>
      <c r="LO122" s="43"/>
      <c r="LP122" s="43"/>
      <c r="LQ122" s="43"/>
      <c r="LR122" s="43"/>
      <c r="LS122" s="43"/>
      <c r="LT122" s="43"/>
      <c r="LU122" s="43"/>
      <c r="LV122" s="43"/>
      <c r="LW122" s="43"/>
      <c r="LX122" s="43"/>
      <c r="LY122" s="43"/>
      <c r="LZ122" s="43"/>
      <c r="MA122" s="43"/>
      <c r="MB122" s="43"/>
      <c r="MC122" s="43"/>
      <c r="MD122" s="43"/>
      <c r="ME122" s="43"/>
      <c r="MF122" s="43"/>
      <c r="MG122" s="43"/>
      <c r="MH122" s="43"/>
      <c r="MI122" s="43"/>
      <c r="MJ122" s="43"/>
      <c r="MK122" s="43"/>
      <c r="ML122" s="43"/>
      <c r="MM122" s="43"/>
      <c r="MN122" s="43"/>
      <c r="MO122" s="43"/>
      <c r="MP122" s="43"/>
      <c r="MQ122" s="43"/>
      <c r="MR122" s="43"/>
      <c r="MS122" s="43"/>
      <c r="MT122" s="43"/>
      <c r="MU122" s="43"/>
      <c r="MV122" s="43"/>
      <c r="MW122" s="43"/>
      <c r="MX122" s="43"/>
      <c r="MY122" s="43"/>
      <c r="MZ122" s="43"/>
      <c r="NA122" s="43"/>
      <c r="NB122" s="43"/>
      <c r="NC122" s="43"/>
      <c r="ND122" s="43"/>
      <c r="NE122" s="43"/>
      <c r="NF122" s="43"/>
      <c r="NG122" s="43"/>
      <c r="NH122" s="43"/>
      <c r="NI122" s="43"/>
      <c r="NJ122" s="43"/>
      <c r="NK122" s="43"/>
      <c r="NL122" s="43"/>
      <c r="NM122" s="43"/>
      <c r="NN122" s="43"/>
      <c r="NO122" s="43"/>
      <c r="NP122" s="43"/>
      <c r="NQ122" s="43"/>
      <c r="NR122" s="43"/>
      <c r="NS122" s="43"/>
      <c r="NT122" s="43"/>
      <c r="NU122" s="43"/>
      <c r="NV122" s="43"/>
      <c r="NW122" s="43"/>
      <c r="NX122" s="43"/>
      <c r="NY122" s="43"/>
      <c r="NZ122" s="43"/>
      <c r="OA122" s="43"/>
      <c r="OB122" s="43"/>
      <c r="OC122" s="43"/>
      <c r="OD122" s="43"/>
      <c r="OE122" s="43"/>
      <c r="OF122" s="43"/>
      <c r="OG122" s="43"/>
      <c r="OH122" s="43"/>
      <c r="OI122" s="43"/>
      <c r="OJ122" s="43"/>
      <c r="OK122" s="43"/>
      <c r="OL122" s="43"/>
      <c r="OM122" s="43"/>
      <c r="ON122" s="43"/>
      <c r="OO122" s="43"/>
      <c r="OP122" s="43"/>
      <c r="OQ122" s="43"/>
      <c r="OR122" s="43"/>
      <c r="OS122" s="43"/>
      <c r="OT122" s="43"/>
      <c r="OU122" s="43"/>
      <c r="OV122" s="43"/>
      <c r="OW122" s="43"/>
      <c r="OX122" s="43"/>
      <c r="OY122" s="43"/>
      <c r="OZ122" s="43"/>
      <c r="PA122" s="43"/>
      <c r="PB122" s="43"/>
      <c r="PC122" s="43"/>
      <c r="PD122" s="43"/>
      <c r="PE122" s="43"/>
      <c r="PF122" s="43"/>
      <c r="PG122" s="43"/>
      <c r="PH122" s="43"/>
      <c r="PI122" s="43"/>
      <c r="PJ122" s="43"/>
      <c r="PK122" s="43"/>
      <c r="PL122" s="43"/>
      <c r="PM122" s="43"/>
      <c r="PN122" s="43"/>
      <c r="PO122" s="43"/>
      <c r="PP122" s="43"/>
      <c r="PQ122" s="43"/>
      <c r="PR122" s="43"/>
      <c r="PS122" s="43"/>
      <c r="PT122" s="43"/>
      <c r="PU122" s="43"/>
      <c r="PV122" s="43"/>
      <c r="PW122" s="43"/>
      <c r="PX122" s="43"/>
      <c r="PY122" s="43"/>
      <c r="PZ122" s="43"/>
      <c r="QA122" s="43"/>
      <c r="QB122" s="43"/>
      <c r="QC122" s="43"/>
    </row>
    <row r="123" spans="1:445" x14ac:dyDescent="0.3">
      <c r="A123" s="85"/>
      <c r="B123" s="84"/>
      <c r="C123" s="84"/>
      <c r="D123" s="84"/>
      <c r="E123" s="84"/>
      <c r="F123" s="84"/>
      <c r="G123" s="84"/>
      <c r="H123" s="84"/>
      <c r="I123" s="84"/>
      <c r="J123" s="98"/>
      <c r="K123" s="84"/>
      <c r="L123" s="84"/>
      <c r="M123" s="84"/>
      <c r="N123" s="84"/>
      <c r="O123" s="84"/>
      <c r="P123" s="84"/>
      <c r="Q123" s="84"/>
      <c r="R123" s="84"/>
      <c r="S123" s="84"/>
      <c r="T123" s="46" t="str">
        <f t="shared" si="9"/>
        <v/>
      </c>
      <c r="U123" s="46" t="str">
        <f t="shared" si="10"/>
        <v/>
      </c>
      <c r="V123" s="72" t="str">
        <f t="shared" si="11"/>
        <v/>
      </c>
      <c r="W123" s="48"/>
      <c r="X123" s="73" t="str">
        <f t="shared" si="13"/>
        <v/>
      </c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43"/>
      <c r="BN123" s="43"/>
      <c r="BO123" s="43"/>
      <c r="BP123" s="43"/>
      <c r="BQ123" s="43"/>
      <c r="BR123" s="43"/>
      <c r="BS123" s="43"/>
      <c r="BT123" s="43"/>
      <c r="BU123" s="43"/>
      <c r="BV123" s="43"/>
      <c r="BW123" s="43"/>
      <c r="BX123" s="43"/>
      <c r="BY123" s="43"/>
      <c r="BZ123" s="43"/>
      <c r="CA123" s="43"/>
      <c r="CB123" s="43"/>
      <c r="CC123" s="4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43"/>
      <c r="CY123" s="43"/>
      <c r="CZ123" s="43"/>
      <c r="DA123" s="43"/>
      <c r="DB123" s="43"/>
      <c r="DC123" s="43"/>
      <c r="DD123" s="43"/>
      <c r="DE123" s="43"/>
      <c r="DF123" s="43"/>
      <c r="DG123" s="43"/>
      <c r="DH123" s="43"/>
      <c r="DI123" s="43"/>
      <c r="DJ123" s="43"/>
      <c r="DK123" s="43"/>
      <c r="DL123" s="43"/>
      <c r="DM123" s="43"/>
      <c r="DN123" s="43"/>
      <c r="DO123" s="43"/>
      <c r="DP123" s="43"/>
      <c r="DQ123" s="43"/>
      <c r="DR123" s="43"/>
      <c r="DS123" s="43"/>
      <c r="DT123" s="43"/>
      <c r="DU123" s="43"/>
      <c r="DV123" s="43"/>
      <c r="DW123" s="43"/>
      <c r="DX123" s="43"/>
      <c r="DY123" s="43"/>
      <c r="DZ123" s="43"/>
      <c r="EA123" s="43"/>
      <c r="EB123" s="43"/>
      <c r="EC123" s="43"/>
      <c r="ED123" s="43"/>
      <c r="EE123" s="43"/>
      <c r="EF123" s="43"/>
      <c r="EG123" s="43"/>
      <c r="EH123" s="43"/>
      <c r="EI123" s="43"/>
      <c r="EJ123" s="43"/>
      <c r="EK123" s="43"/>
      <c r="EL123" s="43"/>
      <c r="EM123" s="43"/>
      <c r="EN123" s="43"/>
      <c r="EO123" s="43"/>
      <c r="EP123" s="43"/>
      <c r="EQ123" s="43"/>
      <c r="ER123" s="43"/>
      <c r="ES123" s="43"/>
      <c r="ET123" s="43"/>
      <c r="EU123" s="43"/>
      <c r="EV123" s="43"/>
      <c r="EW123" s="43"/>
      <c r="EX123" s="43"/>
      <c r="EY123" s="43"/>
      <c r="EZ123" s="43"/>
      <c r="FA123" s="43"/>
      <c r="FB123" s="43"/>
      <c r="FC123" s="43"/>
      <c r="FD123" s="43"/>
      <c r="FE123" s="43"/>
      <c r="FF123" s="43"/>
      <c r="FG123" s="43"/>
      <c r="FH123" s="43"/>
      <c r="FI123" s="43"/>
      <c r="FJ123" s="43"/>
      <c r="FK123" s="43"/>
      <c r="FL123" s="43"/>
      <c r="FM123" s="43"/>
      <c r="FN123" s="43"/>
      <c r="FO123" s="43"/>
      <c r="FP123" s="43"/>
      <c r="FQ123" s="43"/>
      <c r="FR123" s="43"/>
      <c r="FS123" s="43"/>
      <c r="FT123" s="43"/>
      <c r="FU123" s="43"/>
      <c r="FV123" s="43"/>
      <c r="FW123" s="43"/>
      <c r="FX123" s="43"/>
      <c r="FY123" s="43"/>
      <c r="FZ123" s="43"/>
      <c r="GA123" s="43"/>
      <c r="GB123" s="43"/>
      <c r="GC123" s="43"/>
      <c r="GD123" s="43"/>
      <c r="GE123" s="43"/>
      <c r="GF123" s="43"/>
      <c r="GG123" s="43"/>
      <c r="GH123" s="43"/>
      <c r="GI123" s="43"/>
      <c r="GJ123" s="43"/>
      <c r="GK123" s="43"/>
      <c r="GL123" s="43"/>
      <c r="GM123" s="43"/>
      <c r="GN123" s="43"/>
      <c r="GO123" s="43"/>
      <c r="GP123" s="43"/>
      <c r="GQ123" s="43"/>
      <c r="GR123" s="43"/>
      <c r="GS123" s="43"/>
      <c r="GT123" s="43"/>
      <c r="GU123" s="43"/>
      <c r="GV123" s="43"/>
      <c r="GW123" s="43"/>
      <c r="GX123" s="43"/>
      <c r="GY123" s="43"/>
      <c r="GZ123" s="43"/>
      <c r="HA123" s="43"/>
      <c r="HB123" s="43"/>
      <c r="HC123" s="43"/>
      <c r="HD123" s="43"/>
      <c r="HE123" s="43"/>
      <c r="HF123" s="43"/>
      <c r="HG123" s="43"/>
      <c r="HH123" s="43"/>
      <c r="HI123" s="43"/>
      <c r="HJ123" s="43"/>
      <c r="HK123" s="43"/>
      <c r="HL123" s="43"/>
      <c r="HM123" s="43"/>
      <c r="HN123" s="43"/>
      <c r="HO123" s="43"/>
      <c r="HP123" s="43"/>
      <c r="HQ123" s="43"/>
      <c r="HR123" s="43"/>
      <c r="HS123" s="43"/>
      <c r="HT123" s="43"/>
      <c r="HU123" s="43"/>
      <c r="HV123" s="43"/>
      <c r="HW123" s="43"/>
      <c r="HX123" s="43"/>
      <c r="HY123" s="43"/>
      <c r="HZ123" s="43"/>
      <c r="IA123" s="43"/>
      <c r="IB123" s="43"/>
      <c r="IC123" s="43"/>
      <c r="ID123" s="43"/>
      <c r="IE123" s="43"/>
      <c r="IF123" s="43"/>
      <c r="IG123" s="43"/>
      <c r="IH123" s="43"/>
      <c r="II123" s="43"/>
      <c r="IJ123" s="43"/>
      <c r="IK123" s="43"/>
      <c r="IL123" s="43"/>
      <c r="IM123" s="43"/>
      <c r="IN123" s="43"/>
      <c r="IO123" s="43"/>
      <c r="IP123" s="43"/>
      <c r="IQ123" s="43"/>
      <c r="IR123" s="43"/>
      <c r="IS123" s="43"/>
      <c r="IT123" s="43"/>
      <c r="IU123" s="43"/>
      <c r="IV123" s="43"/>
      <c r="IW123" s="43"/>
      <c r="IX123" s="43"/>
      <c r="IY123" s="43"/>
      <c r="IZ123" s="43"/>
      <c r="JA123" s="43"/>
      <c r="JB123" s="43"/>
      <c r="JC123" s="43"/>
      <c r="JD123" s="43"/>
      <c r="JE123" s="43"/>
      <c r="JF123" s="43"/>
      <c r="JG123" s="43"/>
      <c r="JH123" s="43"/>
      <c r="JI123" s="43"/>
      <c r="JJ123" s="43"/>
      <c r="JK123" s="43"/>
      <c r="JL123" s="43"/>
      <c r="JM123" s="43"/>
      <c r="JN123" s="43"/>
      <c r="JO123" s="43"/>
      <c r="JP123" s="43"/>
      <c r="JQ123" s="43"/>
      <c r="JR123" s="43"/>
      <c r="JS123" s="43"/>
      <c r="JT123" s="43"/>
      <c r="JU123" s="43"/>
      <c r="JV123" s="43"/>
      <c r="JW123" s="43"/>
      <c r="JX123" s="43"/>
      <c r="JY123" s="43"/>
      <c r="JZ123" s="43"/>
      <c r="KA123" s="43"/>
      <c r="KB123" s="43"/>
      <c r="KC123" s="43"/>
      <c r="KD123" s="43"/>
      <c r="KE123" s="43"/>
      <c r="KF123" s="43"/>
      <c r="KG123" s="43"/>
      <c r="KH123" s="43"/>
      <c r="KI123" s="43"/>
      <c r="KJ123" s="43"/>
      <c r="KK123" s="43"/>
      <c r="KL123" s="43"/>
      <c r="KM123" s="43"/>
      <c r="KN123" s="43"/>
      <c r="KO123" s="43"/>
      <c r="KP123" s="43"/>
      <c r="KQ123" s="43"/>
      <c r="KR123" s="43"/>
      <c r="KS123" s="43"/>
      <c r="KT123" s="43"/>
      <c r="KU123" s="43"/>
      <c r="KV123" s="43"/>
      <c r="KW123" s="43"/>
      <c r="KX123" s="43"/>
      <c r="KY123" s="43"/>
      <c r="KZ123" s="43"/>
      <c r="LA123" s="43"/>
      <c r="LB123" s="43"/>
      <c r="LC123" s="43"/>
      <c r="LD123" s="43"/>
      <c r="LE123" s="43"/>
      <c r="LF123" s="43"/>
      <c r="LG123" s="43"/>
      <c r="LH123" s="43"/>
      <c r="LI123" s="43"/>
      <c r="LJ123" s="43"/>
      <c r="LK123" s="43"/>
      <c r="LL123" s="43"/>
      <c r="LM123" s="43"/>
      <c r="LN123" s="43"/>
      <c r="LO123" s="43"/>
      <c r="LP123" s="43"/>
      <c r="LQ123" s="43"/>
      <c r="LR123" s="43"/>
      <c r="LS123" s="43"/>
      <c r="LT123" s="43"/>
      <c r="LU123" s="43"/>
      <c r="LV123" s="43"/>
      <c r="LW123" s="43"/>
      <c r="LX123" s="43"/>
      <c r="LY123" s="43"/>
      <c r="LZ123" s="43"/>
      <c r="MA123" s="43"/>
      <c r="MB123" s="43"/>
      <c r="MC123" s="43"/>
      <c r="MD123" s="43"/>
      <c r="ME123" s="43"/>
      <c r="MF123" s="43"/>
      <c r="MG123" s="43"/>
      <c r="MH123" s="43"/>
      <c r="MI123" s="43"/>
      <c r="MJ123" s="43"/>
      <c r="MK123" s="43"/>
      <c r="ML123" s="43"/>
      <c r="MM123" s="43"/>
      <c r="MN123" s="43"/>
      <c r="MO123" s="43"/>
      <c r="MP123" s="43"/>
      <c r="MQ123" s="43"/>
      <c r="MR123" s="43"/>
      <c r="MS123" s="43"/>
      <c r="MT123" s="43"/>
      <c r="MU123" s="43"/>
      <c r="MV123" s="43"/>
      <c r="MW123" s="43"/>
      <c r="MX123" s="43"/>
      <c r="MY123" s="43"/>
      <c r="MZ123" s="43"/>
      <c r="NA123" s="43"/>
      <c r="NB123" s="43"/>
      <c r="NC123" s="43"/>
      <c r="ND123" s="43"/>
      <c r="NE123" s="43"/>
      <c r="NF123" s="43"/>
      <c r="NG123" s="43"/>
      <c r="NH123" s="43"/>
      <c r="NI123" s="43"/>
      <c r="NJ123" s="43"/>
      <c r="NK123" s="43"/>
      <c r="NL123" s="43"/>
      <c r="NM123" s="43"/>
      <c r="NN123" s="43"/>
      <c r="NO123" s="43"/>
      <c r="NP123" s="43"/>
      <c r="NQ123" s="43"/>
      <c r="NR123" s="43"/>
      <c r="NS123" s="43"/>
      <c r="NT123" s="43"/>
      <c r="NU123" s="43"/>
      <c r="NV123" s="43"/>
      <c r="NW123" s="43"/>
      <c r="NX123" s="43"/>
      <c r="NY123" s="43"/>
      <c r="NZ123" s="43"/>
      <c r="OA123" s="43"/>
      <c r="OB123" s="43"/>
      <c r="OC123" s="43"/>
      <c r="OD123" s="43"/>
      <c r="OE123" s="43"/>
      <c r="OF123" s="43"/>
      <c r="OG123" s="43"/>
      <c r="OH123" s="43"/>
      <c r="OI123" s="43"/>
      <c r="OJ123" s="43"/>
      <c r="OK123" s="43"/>
      <c r="OL123" s="43"/>
      <c r="OM123" s="43"/>
      <c r="ON123" s="43"/>
      <c r="OO123" s="43"/>
      <c r="OP123" s="43"/>
      <c r="OQ123" s="43"/>
      <c r="OR123" s="43"/>
      <c r="OS123" s="43"/>
      <c r="OT123" s="43"/>
      <c r="OU123" s="43"/>
      <c r="OV123" s="43"/>
      <c r="OW123" s="43"/>
      <c r="OX123" s="43"/>
      <c r="OY123" s="43"/>
      <c r="OZ123" s="43"/>
      <c r="PA123" s="43"/>
      <c r="PB123" s="43"/>
      <c r="PC123" s="43"/>
      <c r="PD123" s="43"/>
      <c r="PE123" s="43"/>
      <c r="PF123" s="43"/>
      <c r="PG123" s="43"/>
      <c r="PH123" s="43"/>
      <c r="PI123" s="43"/>
      <c r="PJ123" s="43"/>
      <c r="PK123" s="43"/>
      <c r="PL123" s="43"/>
      <c r="PM123" s="43"/>
      <c r="PN123" s="43"/>
      <c r="PO123" s="43"/>
      <c r="PP123" s="43"/>
      <c r="PQ123" s="43"/>
      <c r="PR123" s="43"/>
      <c r="PS123" s="43"/>
      <c r="PT123" s="43"/>
      <c r="PU123" s="43"/>
      <c r="PV123" s="43"/>
      <c r="PW123" s="43"/>
      <c r="PX123" s="43"/>
      <c r="PY123" s="43"/>
      <c r="PZ123" s="43"/>
      <c r="QA123" s="43"/>
      <c r="QB123" s="43"/>
      <c r="QC123" s="43"/>
    </row>
    <row r="124" spans="1:445" x14ac:dyDescent="0.3">
      <c r="A124" s="85"/>
      <c r="B124" s="84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46" t="str">
        <f t="shared" si="9"/>
        <v/>
      </c>
      <c r="U124" s="46" t="str">
        <f t="shared" si="10"/>
        <v/>
      </c>
      <c r="V124" s="72" t="str">
        <f t="shared" si="11"/>
        <v/>
      </c>
      <c r="W124" s="48"/>
      <c r="X124" s="73" t="str">
        <f t="shared" si="13"/>
        <v/>
      </c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43"/>
      <c r="BN124" s="43"/>
      <c r="BO124" s="43"/>
      <c r="BP124" s="43"/>
      <c r="BQ124" s="43"/>
      <c r="BR124" s="43"/>
      <c r="BS124" s="43"/>
      <c r="BT124" s="43"/>
      <c r="BU124" s="43"/>
      <c r="BV124" s="43"/>
      <c r="BW124" s="43"/>
      <c r="BX124" s="43"/>
      <c r="BY124" s="43"/>
      <c r="BZ124" s="43"/>
      <c r="CA124" s="43"/>
      <c r="CB124" s="43"/>
      <c r="CC124" s="4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43"/>
      <c r="CY124" s="43"/>
      <c r="CZ124" s="43"/>
      <c r="DA124" s="43"/>
      <c r="DB124" s="43"/>
      <c r="DC124" s="43"/>
      <c r="DD124" s="43"/>
      <c r="DE124" s="43"/>
      <c r="DF124" s="43"/>
      <c r="DG124" s="43"/>
      <c r="DH124" s="43"/>
      <c r="DI124" s="43"/>
      <c r="DJ124" s="43"/>
      <c r="DK124" s="43"/>
      <c r="DL124" s="43"/>
      <c r="DM124" s="43"/>
      <c r="DN124" s="43"/>
      <c r="DO124" s="43"/>
      <c r="DP124" s="43"/>
      <c r="DQ124" s="43"/>
      <c r="DR124" s="43"/>
      <c r="DS124" s="43"/>
      <c r="DT124" s="43"/>
      <c r="DU124" s="43"/>
      <c r="DV124" s="43"/>
      <c r="DW124" s="43"/>
      <c r="DX124" s="43"/>
      <c r="DY124" s="43"/>
      <c r="DZ124" s="43"/>
      <c r="EA124" s="43"/>
      <c r="EB124" s="43"/>
      <c r="EC124" s="43"/>
      <c r="ED124" s="43"/>
      <c r="EE124" s="43"/>
      <c r="EF124" s="43"/>
      <c r="EG124" s="43"/>
      <c r="EH124" s="43"/>
      <c r="EI124" s="43"/>
      <c r="EJ124" s="43"/>
      <c r="EK124" s="43"/>
      <c r="EL124" s="43"/>
      <c r="EM124" s="43"/>
      <c r="EN124" s="43"/>
      <c r="EO124" s="43"/>
      <c r="EP124" s="43"/>
      <c r="EQ124" s="43"/>
      <c r="ER124" s="43"/>
      <c r="ES124" s="43"/>
      <c r="ET124" s="43"/>
      <c r="EU124" s="43"/>
      <c r="EV124" s="43"/>
      <c r="EW124" s="43"/>
      <c r="EX124" s="43"/>
      <c r="EY124" s="43"/>
      <c r="EZ124" s="43"/>
      <c r="FA124" s="43"/>
      <c r="FB124" s="43"/>
      <c r="FC124" s="43"/>
      <c r="FD124" s="43"/>
      <c r="FE124" s="43"/>
      <c r="FF124" s="43"/>
      <c r="FG124" s="43"/>
      <c r="FH124" s="43"/>
      <c r="FI124" s="43"/>
      <c r="FJ124" s="43"/>
      <c r="FK124" s="43"/>
      <c r="FL124" s="43"/>
      <c r="FM124" s="43"/>
      <c r="FN124" s="43"/>
      <c r="FO124" s="43"/>
      <c r="FP124" s="43"/>
      <c r="FQ124" s="43"/>
      <c r="FR124" s="43"/>
      <c r="FS124" s="43"/>
      <c r="FT124" s="43"/>
      <c r="FU124" s="43"/>
      <c r="FV124" s="43"/>
      <c r="FW124" s="43"/>
      <c r="FX124" s="43"/>
      <c r="FY124" s="43"/>
      <c r="FZ124" s="43"/>
      <c r="GA124" s="43"/>
      <c r="GB124" s="43"/>
      <c r="GC124" s="43"/>
      <c r="GD124" s="43"/>
      <c r="GE124" s="43"/>
      <c r="GF124" s="43"/>
      <c r="GG124" s="43"/>
      <c r="GH124" s="43"/>
      <c r="GI124" s="43"/>
      <c r="GJ124" s="43"/>
      <c r="GK124" s="43"/>
      <c r="GL124" s="43"/>
      <c r="GM124" s="43"/>
      <c r="GN124" s="43"/>
      <c r="GO124" s="43"/>
      <c r="GP124" s="43"/>
      <c r="GQ124" s="43"/>
      <c r="GR124" s="43"/>
      <c r="GS124" s="43"/>
      <c r="GT124" s="43"/>
      <c r="GU124" s="43"/>
      <c r="GV124" s="43"/>
      <c r="GW124" s="43"/>
      <c r="GX124" s="43"/>
      <c r="GY124" s="43"/>
      <c r="GZ124" s="43"/>
      <c r="HA124" s="43"/>
      <c r="HB124" s="43"/>
      <c r="HC124" s="43"/>
      <c r="HD124" s="43"/>
      <c r="HE124" s="43"/>
      <c r="HF124" s="43"/>
      <c r="HG124" s="43"/>
      <c r="HH124" s="43"/>
      <c r="HI124" s="43"/>
      <c r="HJ124" s="43"/>
      <c r="HK124" s="43"/>
      <c r="HL124" s="43"/>
      <c r="HM124" s="43"/>
      <c r="HN124" s="43"/>
      <c r="HO124" s="43"/>
      <c r="HP124" s="43"/>
      <c r="HQ124" s="43"/>
      <c r="HR124" s="43"/>
      <c r="HS124" s="43"/>
      <c r="HT124" s="43"/>
      <c r="HU124" s="43"/>
      <c r="HV124" s="43"/>
      <c r="HW124" s="43"/>
      <c r="HX124" s="43"/>
      <c r="HY124" s="43"/>
      <c r="HZ124" s="43"/>
      <c r="IA124" s="43"/>
      <c r="IB124" s="43"/>
      <c r="IC124" s="43"/>
      <c r="ID124" s="43"/>
      <c r="IE124" s="43"/>
      <c r="IF124" s="43"/>
      <c r="IG124" s="43"/>
      <c r="IH124" s="43"/>
      <c r="II124" s="43"/>
      <c r="IJ124" s="43"/>
      <c r="IK124" s="43"/>
      <c r="IL124" s="43"/>
      <c r="IM124" s="43"/>
      <c r="IN124" s="43"/>
      <c r="IO124" s="43"/>
      <c r="IP124" s="43"/>
      <c r="IQ124" s="43"/>
      <c r="IR124" s="43"/>
      <c r="IS124" s="43"/>
      <c r="IT124" s="43"/>
      <c r="IU124" s="43"/>
      <c r="IV124" s="43"/>
      <c r="IW124" s="43"/>
      <c r="IX124" s="43"/>
      <c r="IY124" s="43"/>
      <c r="IZ124" s="43"/>
      <c r="JA124" s="43"/>
      <c r="JB124" s="43"/>
      <c r="JC124" s="43"/>
      <c r="JD124" s="43"/>
      <c r="JE124" s="43"/>
      <c r="JF124" s="43"/>
      <c r="JG124" s="43"/>
      <c r="JH124" s="43"/>
      <c r="JI124" s="43"/>
      <c r="JJ124" s="43"/>
      <c r="JK124" s="43"/>
      <c r="JL124" s="43"/>
      <c r="JM124" s="43"/>
      <c r="JN124" s="43"/>
      <c r="JO124" s="43"/>
      <c r="JP124" s="43"/>
      <c r="JQ124" s="43"/>
      <c r="JR124" s="43"/>
      <c r="JS124" s="43"/>
      <c r="JT124" s="43"/>
      <c r="JU124" s="43"/>
      <c r="JV124" s="43"/>
      <c r="JW124" s="43"/>
      <c r="JX124" s="43"/>
      <c r="JY124" s="43"/>
      <c r="JZ124" s="43"/>
      <c r="KA124" s="43"/>
      <c r="KB124" s="43"/>
      <c r="KC124" s="43"/>
      <c r="KD124" s="43"/>
      <c r="KE124" s="43"/>
      <c r="KF124" s="43"/>
      <c r="KG124" s="43"/>
      <c r="KH124" s="43"/>
      <c r="KI124" s="43"/>
      <c r="KJ124" s="43"/>
      <c r="KK124" s="43"/>
      <c r="KL124" s="43"/>
      <c r="KM124" s="43"/>
      <c r="KN124" s="43"/>
      <c r="KO124" s="43"/>
      <c r="KP124" s="43"/>
      <c r="KQ124" s="43"/>
      <c r="KR124" s="43"/>
      <c r="KS124" s="43"/>
      <c r="KT124" s="43"/>
      <c r="KU124" s="43"/>
      <c r="KV124" s="43"/>
      <c r="KW124" s="43"/>
      <c r="KX124" s="43"/>
      <c r="KY124" s="43"/>
      <c r="KZ124" s="43"/>
      <c r="LA124" s="43"/>
      <c r="LB124" s="43"/>
      <c r="LC124" s="43"/>
      <c r="LD124" s="43"/>
      <c r="LE124" s="43"/>
      <c r="LF124" s="43"/>
      <c r="LG124" s="43"/>
      <c r="LH124" s="43"/>
      <c r="LI124" s="43"/>
      <c r="LJ124" s="43"/>
      <c r="LK124" s="43"/>
      <c r="LL124" s="43"/>
      <c r="LM124" s="43"/>
      <c r="LN124" s="43"/>
      <c r="LO124" s="43"/>
      <c r="LP124" s="43"/>
      <c r="LQ124" s="43"/>
      <c r="LR124" s="43"/>
      <c r="LS124" s="43"/>
      <c r="LT124" s="43"/>
      <c r="LU124" s="43"/>
      <c r="LV124" s="43"/>
      <c r="LW124" s="43"/>
      <c r="LX124" s="43"/>
      <c r="LY124" s="43"/>
      <c r="LZ124" s="43"/>
      <c r="MA124" s="43"/>
      <c r="MB124" s="43"/>
      <c r="MC124" s="43"/>
      <c r="MD124" s="43"/>
      <c r="ME124" s="43"/>
      <c r="MF124" s="43"/>
      <c r="MG124" s="43"/>
      <c r="MH124" s="43"/>
      <c r="MI124" s="43"/>
      <c r="MJ124" s="43"/>
      <c r="MK124" s="43"/>
      <c r="ML124" s="43"/>
      <c r="MM124" s="43"/>
      <c r="MN124" s="43"/>
      <c r="MO124" s="43"/>
      <c r="MP124" s="43"/>
      <c r="MQ124" s="43"/>
      <c r="MR124" s="43"/>
      <c r="MS124" s="43"/>
      <c r="MT124" s="43"/>
      <c r="MU124" s="43"/>
      <c r="MV124" s="43"/>
      <c r="MW124" s="43"/>
      <c r="MX124" s="43"/>
      <c r="MY124" s="43"/>
      <c r="MZ124" s="43"/>
      <c r="NA124" s="43"/>
      <c r="NB124" s="43"/>
      <c r="NC124" s="43"/>
      <c r="ND124" s="43"/>
      <c r="NE124" s="43"/>
      <c r="NF124" s="43"/>
      <c r="NG124" s="43"/>
      <c r="NH124" s="43"/>
      <c r="NI124" s="43"/>
      <c r="NJ124" s="43"/>
      <c r="NK124" s="43"/>
      <c r="NL124" s="43"/>
      <c r="NM124" s="43"/>
      <c r="NN124" s="43"/>
      <c r="NO124" s="43"/>
      <c r="NP124" s="43"/>
      <c r="NQ124" s="43"/>
      <c r="NR124" s="43"/>
      <c r="NS124" s="43"/>
      <c r="NT124" s="43"/>
      <c r="NU124" s="43"/>
      <c r="NV124" s="43"/>
      <c r="NW124" s="43"/>
      <c r="NX124" s="43"/>
      <c r="NY124" s="43"/>
      <c r="NZ124" s="43"/>
      <c r="OA124" s="43"/>
      <c r="OB124" s="43"/>
      <c r="OC124" s="43"/>
      <c r="OD124" s="43"/>
      <c r="OE124" s="43"/>
      <c r="OF124" s="43"/>
      <c r="OG124" s="43"/>
      <c r="OH124" s="43"/>
      <c r="OI124" s="43"/>
      <c r="OJ124" s="43"/>
      <c r="OK124" s="43"/>
      <c r="OL124" s="43"/>
      <c r="OM124" s="43"/>
      <c r="ON124" s="43"/>
      <c r="OO124" s="43"/>
      <c r="OP124" s="43"/>
      <c r="OQ124" s="43"/>
      <c r="OR124" s="43"/>
      <c r="OS124" s="43"/>
      <c r="OT124" s="43"/>
      <c r="OU124" s="43"/>
      <c r="OV124" s="43"/>
      <c r="OW124" s="43"/>
      <c r="OX124" s="43"/>
      <c r="OY124" s="43"/>
      <c r="OZ124" s="43"/>
      <c r="PA124" s="43"/>
      <c r="PB124" s="43"/>
      <c r="PC124" s="43"/>
      <c r="PD124" s="43"/>
      <c r="PE124" s="43"/>
      <c r="PF124" s="43"/>
      <c r="PG124" s="43"/>
      <c r="PH124" s="43"/>
      <c r="PI124" s="43"/>
      <c r="PJ124" s="43"/>
      <c r="PK124" s="43"/>
      <c r="PL124" s="43"/>
      <c r="PM124" s="43"/>
      <c r="PN124" s="43"/>
      <c r="PO124" s="43"/>
      <c r="PP124" s="43"/>
      <c r="PQ124" s="43"/>
      <c r="PR124" s="43"/>
      <c r="PS124" s="43"/>
      <c r="PT124" s="43"/>
      <c r="PU124" s="43"/>
      <c r="PV124" s="43"/>
      <c r="PW124" s="43"/>
      <c r="PX124" s="43"/>
      <c r="PY124" s="43"/>
      <c r="PZ124" s="43"/>
      <c r="QA124" s="43"/>
      <c r="QB124" s="43"/>
      <c r="QC124" s="43"/>
    </row>
    <row r="125" spans="1:445" x14ac:dyDescent="0.3">
      <c r="A125" s="85"/>
      <c r="B125" s="84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46" t="str">
        <f t="shared" si="9"/>
        <v/>
      </c>
      <c r="U125" s="46" t="str">
        <f t="shared" si="10"/>
        <v/>
      </c>
      <c r="V125" s="72" t="str">
        <f t="shared" si="11"/>
        <v/>
      </c>
      <c r="W125" s="48"/>
      <c r="X125" s="73" t="str">
        <f t="shared" si="13"/>
        <v/>
      </c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43"/>
      <c r="BN125" s="43"/>
      <c r="BO125" s="43"/>
      <c r="BP125" s="43"/>
      <c r="BQ125" s="43"/>
      <c r="BR125" s="43"/>
      <c r="BS125" s="43"/>
      <c r="BT125" s="43"/>
      <c r="BU125" s="43"/>
      <c r="BV125" s="43"/>
      <c r="BW125" s="43"/>
      <c r="BX125" s="43"/>
      <c r="BY125" s="43"/>
      <c r="BZ125" s="43"/>
      <c r="CA125" s="43"/>
      <c r="CB125" s="43"/>
      <c r="CC125" s="43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43"/>
      <c r="CY125" s="43"/>
      <c r="CZ125" s="43"/>
      <c r="DA125" s="43"/>
      <c r="DB125" s="43"/>
      <c r="DC125" s="43"/>
      <c r="DD125" s="43"/>
      <c r="DE125" s="43"/>
      <c r="DF125" s="43"/>
      <c r="DG125" s="43"/>
      <c r="DH125" s="43"/>
      <c r="DI125" s="43"/>
      <c r="DJ125" s="43"/>
      <c r="DK125" s="43"/>
      <c r="DL125" s="43"/>
      <c r="DM125" s="43"/>
      <c r="DN125" s="43"/>
      <c r="DO125" s="43"/>
      <c r="DP125" s="43"/>
      <c r="DQ125" s="43"/>
      <c r="DR125" s="43"/>
      <c r="DS125" s="43"/>
      <c r="DT125" s="43"/>
      <c r="DU125" s="43"/>
      <c r="DV125" s="43"/>
      <c r="DW125" s="43"/>
      <c r="DX125" s="43"/>
      <c r="DY125" s="43"/>
      <c r="DZ125" s="43"/>
      <c r="EA125" s="43"/>
      <c r="EB125" s="43"/>
      <c r="EC125" s="43"/>
      <c r="ED125" s="43"/>
      <c r="EE125" s="43"/>
      <c r="EF125" s="43"/>
      <c r="EG125" s="43"/>
      <c r="EH125" s="43"/>
      <c r="EI125" s="43"/>
      <c r="EJ125" s="43"/>
      <c r="EK125" s="43"/>
      <c r="EL125" s="43"/>
      <c r="EM125" s="43"/>
      <c r="EN125" s="43"/>
      <c r="EO125" s="43"/>
      <c r="EP125" s="43"/>
      <c r="EQ125" s="43"/>
      <c r="ER125" s="43"/>
      <c r="ES125" s="43"/>
      <c r="ET125" s="43"/>
      <c r="EU125" s="43"/>
      <c r="EV125" s="43"/>
      <c r="EW125" s="43"/>
      <c r="EX125" s="43"/>
      <c r="EY125" s="43"/>
      <c r="EZ125" s="43"/>
      <c r="FA125" s="43"/>
      <c r="FB125" s="43"/>
      <c r="FC125" s="43"/>
      <c r="FD125" s="43"/>
      <c r="FE125" s="43"/>
      <c r="FF125" s="43"/>
      <c r="FG125" s="43"/>
      <c r="FH125" s="43"/>
      <c r="FI125" s="43"/>
      <c r="FJ125" s="43"/>
      <c r="FK125" s="43"/>
      <c r="FL125" s="43"/>
      <c r="FM125" s="43"/>
      <c r="FN125" s="43"/>
      <c r="FO125" s="43"/>
      <c r="FP125" s="43"/>
      <c r="FQ125" s="43"/>
      <c r="FR125" s="43"/>
      <c r="FS125" s="43"/>
      <c r="FT125" s="43"/>
      <c r="FU125" s="43"/>
      <c r="FV125" s="43"/>
      <c r="FW125" s="43"/>
      <c r="FX125" s="43"/>
      <c r="FY125" s="43"/>
      <c r="FZ125" s="43"/>
      <c r="GA125" s="43"/>
      <c r="GB125" s="43"/>
      <c r="GC125" s="43"/>
      <c r="GD125" s="43"/>
      <c r="GE125" s="43"/>
      <c r="GF125" s="43"/>
      <c r="GG125" s="43"/>
      <c r="GH125" s="43"/>
      <c r="GI125" s="43"/>
      <c r="GJ125" s="43"/>
      <c r="GK125" s="43"/>
      <c r="GL125" s="43"/>
      <c r="GM125" s="43"/>
      <c r="GN125" s="43"/>
      <c r="GO125" s="43"/>
      <c r="GP125" s="43"/>
      <c r="GQ125" s="43"/>
      <c r="GR125" s="43"/>
      <c r="GS125" s="43"/>
      <c r="GT125" s="43"/>
      <c r="GU125" s="43"/>
      <c r="GV125" s="43"/>
      <c r="GW125" s="43"/>
      <c r="GX125" s="43"/>
      <c r="GY125" s="43"/>
      <c r="GZ125" s="43"/>
      <c r="HA125" s="43"/>
      <c r="HB125" s="43"/>
      <c r="HC125" s="43"/>
      <c r="HD125" s="43"/>
      <c r="HE125" s="43"/>
      <c r="HF125" s="43"/>
      <c r="HG125" s="43"/>
      <c r="HH125" s="43"/>
      <c r="HI125" s="43"/>
      <c r="HJ125" s="43"/>
      <c r="HK125" s="43"/>
      <c r="HL125" s="43"/>
      <c r="HM125" s="43"/>
      <c r="HN125" s="43"/>
      <c r="HO125" s="43"/>
      <c r="HP125" s="43"/>
      <c r="HQ125" s="43"/>
      <c r="HR125" s="43"/>
      <c r="HS125" s="43"/>
      <c r="HT125" s="43"/>
      <c r="HU125" s="43"/>
      <c r="HV125" s="43"/>
      <c r="HW125" s="43"/>
      <c r="HX125" s="43"/>
      <c r="HY125" s="43"/>
      <c r="HZ125" s="43"/>
      <c r="IA125" s="43"/>
      <c r="IB125" s="43"/>
      <c r="IC125" s="43"/>
      <c r="ID125" s="43"/>
      <c r="IE125" s="43"/>
      <c r="IF125" s="43"/>
      <c r="IG125" s="43"/>
      <c r="IH125" s="43"/>
      <c r="II125" s="43"/>
      <c r="IJ125" s="43"/>
      <c r="IK125" s="43"/>
      <c r="IL125" s="43"/>
      <c r="IM125" s="43"/>
      <c r="IN125" s="43"/>
      <c r="IO125" s="43"/>
      <c r="IP125" s="43"/>
      <c r="IQ125" s="43"/>
      <c r="IR125" s="43"/>
      <c r="IS125" s="43"/>
      <c r="IT125" s="43"/>
      <c r="IU125" s="43"/>
      <c r="IV125" s="43"/>
      <c r="IW125" s="43"/>
      <c r="IX125" s="43"/>
      <c r="IY125" s="43"/>
      <c r="IZ125" s="43"/>
      <c r="JA125" s="43"/>
      <c r="JB125" s="43"/>
      <c r="JC125" s="43"/>
      <c r="JD125" s="43"/>
      <c r="JE125" s="43"/>
      <c r="JF125" s="43"/>
      <c r="JG125" s="43"/>
      <c r="JH125" s="43"/>
      <c r="JI125" s="43"/>
      <c r="JJ125" s="43"/>
      <c r="JK125" s="43"/>
      <c r="JL125" s="43"/>
      <c r="JM125" s="43"/>
      <c r="JN125" s="43"/>
      <c r="JO125" s="43"/>
      <c r="JP125" s="43"/>
      <c r="JQ125" s="43"/>
      <c r="JR125" s="43"/>
      <c r="JS125" s="43"/>
      <c r="JT125" s="43"/>
      <c r="JU125" s="43"/>
      <c r="JV125" s="43"/>
      <c r="JW125" s="43"/>
      <c r="JX125" s="43"/>
      <c r="JY125" s="43"/>
      <c r="JZ125" s="43"/>
      <c r="KA125" s="43"/>
      <c r="KB125" s="43"/>
      <c r="KC125" s="43"/>
      <c r="KD125" s="43"/>
      <c r="KE125" s="43"/>
      <c r="KF125" s="43"/>
      <c r="KG125" s="43"/>
      <c r="KH125" s="43"/>
      <c r="KI125" s="43"/>
      <c r="KJ125" s="43"/>
      <c r="KK125" s="43"/>
      <c r="KL125" s="43"/>
      <c r="KM125" s="43"/>
      <c r="KN125" s="43"/>
      <c r="KO125" s="43"/>
      <c r="KP125" s="43"/>
      <c r="KQ125" s="43"/>
      <c r="KR125" s="43"/>
      <c r="KS125" s="43"/>
      <c r="KT125" s="43"/>
      <c r="KU125" s="43"/>
      <c r="KV125" s="43"/>
      <c r="KW125" s="43"/>
      <c r="KX125" s="43"/>
      <c r="KY125" s="43"/>
      <c r="KZ125" s="43"/>
      <c r="LA125" s="43"/>
      <c r="LB125" s="43"/>
      <c r="LC125" s="43"/>
      <c r="LD125" s="43"/>
      <c r="LE125" s="43"/>
      <c r="LF125" s="43"/>
      <c r="LG125" s="43"/>
      <c r="LH125" s="43"/>
      <c r="LI125" s="43"/>
      <c r="LJ125" s="43"/>
      <c r="LK125" s="43"/>
      <c r="LL125" s="43"/>
      <c r="LM125" s="43"/>
      <c r="LN125" s="43"/>
      <c r="LO125" s="43"/>
      <c r="LP125" s="43"/>
      <c r="LQ125" s="43"/>
      <c r="LR125" s="43"/>
      <c r="LS125" s="43"/>
      <c r="LT125" s="43"/>
      <c r="LU125" s="43"/>
      <c r="LV125" s="43"/>
      <c r="LW125" s="43"/>
      <c r="LX125" s="43"/>
      <c r="LY125" s="43"/>
      <c r="LZ125" s="43"/>
      <c r="MA125" s="43"/>
      <c r="MB125" s="43"/>
      <c r="MC125" s="43"/>
      <c r="MD125" s="43"/>
      <c r="ME125" s="43"/>
      <c r="MF125" s="43"/>
      <c r="MG125" s="43"/>
      <c r="MH125" s="43"/>
      <c r="MI125" s="43"/>
      <c r="MJ125" s="43"/>
      <c r="MK125" s="43"/>
      <c r="ML125" s="43"/>
      <c r="MM125" s="43"/>
      <c r="MN125" s="43"/>
      <c r="MO125" s="43"/>
      <c r="MP125" s="43"/>
      <c r="MQ125" s="43"/>
      <c r="MR125" s="43"/>
      <c r="MS125" s="43"/>
      <c r="MT125" s="43"/>
      <c r="MU125" s="43"/>
      <c r="MV125" s="43"/>
      <c r="MW125" s="43"/>
      <c r="MX125" s="43"/>
      <c r="MY125" s="43"/>
      <c r="MZ125" s="43"/>
      <c r="NA125" s="43"/>
      <c r="NB125" s="43"/>
      <c r="NC125" s="43"/>
      <c r="ND125" s="43"/>
      <c r="NE125" s="43"/>
      <c r="NF125" s="43"/>
      <c r="NG125" s="43"/>
      <c r="NH125" s="43"/>
      <c r="NI125" s="43"/>
      <c r="NJ125" s="43"/>
      <c r="NK125" s="43"/>
      <c r="NL125" s="43"/>
      <c r="NM125" s="43"/>
      <c r="NN125" s="43"/>
      <c r="NO125" s="43"/>
      <c r="NP125" s="43"/>
      <c r="NQ125" s="43"/>
      <c r="NR125" s="43"/>
      <c r="NS125" s="43"/>
      <c r="NT125" s="43"/>
      <c r="NU125" s="43"/>
      <c r="NV125" s="43"/>
      <c r="NW125" s="43"/>
      <c r="NX125" s="43"/>
      <c r="NY125" s="43"/>
      <c r="NZ125" s="43"/>
      <c r="OA125" s="43"/>
      <c r="OB125" s="43"/>
      <c r="OC125" s="43"/>
      <c r="OD125" s="43"/>
      <c r="OE125" s="43"/>
      <c r="OF125" s="43"/>
      <c r="OG125" s="43"/>
      <c r="OH125" s="43"/>
      <c r="OI125" s="43"/>
      <c r="OJ125" s="43"/>
      <c r="OK125" s="43"/>
      <c r="OL125" s="43"/>
      <c r="OM125" s="43"/>
      <c r="ON125" s="43"/>
      <c r="OO125" s="43"/>
      <c r="OP125" s="43"/>
      <c r="OQ125" s="43"/>
      <c r="OR125" s="43"/>
      <c r="OS125" s="43"/>
      <c r="OT125" s="43"/>
      <c r="OU125" s="43"/>
      <c r="OV125" s="43"/>
      <c r="OW125" s="43"/>
      <c r="OX125" s="43"/>
      <c r="OY125" s="43"/>
      <c r="OZ125" s="43"/>
      <c r="PA125" s="43"/>
      <c r="PB125" s="43"/>
      <c r="PC125" s="43"/>
      <c r="PD125" s="43"/>
      <c r="PE125" s="43"/>
      <c r="PF125" s="43"/>
      <c r="PG125" s="43"/>
      <c r="PH125" s="43"/>
      <c r="PI125" s="43"/>
      <c r="PJ125" s="43"/>
      <c r="PK125" s="43"/>
      <c r="PL125" s="43"/>
      <c r="PM125" s="43"/>
      <c r="PN125" s="43"/>
      <c r="PO125" s="43"/>
      <c r="PP125" s="43"/>
      <c r="PQ125" s="43"/>
      <c r="PR125" s="43"/>
      <c r="PS125" s="43"/>
      <c r="PT125" s="43"/>
      <c r="PU125" s="43"/>
      <c r="PV125" s="43"/>
      <c r="PW125" s="43"/>
      <c r="PX125" s="43"/>
      <c r="PY125" s="43"/>
      <c r="PZ125" s="43"/>
      <c r="QA125" s="43"/>
      <c r="QB125" s="43"/>
      <c r="QC125" s="43"/>
    </row>
    <row r="126" spans="1:445" x14ac:dyDescent="0.3">
      <c r="A126" s="85"/>
      <c r="B126" s="84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46" t="str">
        <f t="shared" si="9"/>
        <v/>
      </c>
      <c r="U126" s="46" t="str">
        <f t="shared" si="10"/>
        <v/>
      </c>
      <c r="V126" s="72" t="str">
        <f t="shared" si="11"/>
        <v/>
      </c>
      <c r="W126" s="48"/>
      <c r="X126" s="73" t="str">
        <f t="shared" si="13"/>
        <v/>
      </c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43"/>
      <c r="BN126" s="43"/>
      <c r="BO126" s="43"/>
      <c r="BP126" s="43"/>
      <c r="BQ126" s="43"/>
      <c r="BR126" s="43"/>
      <c r="BS126" s="43"/>
      <c r="BT126" s="43"/>
      <c r="BU126" s="43"/>
      <c r="BV126" s="43"/>
      <c r="BW126" s="43"/>
      <c r="BX126" s="43"/>
      <c r="BY126" s="43"/>
      <c r="BZ126" s="43"/>
      <c r="CA126" s="43"/>
      <c r="CB126" s="43"/>
      <c r="CC126" s="43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43"/>
      <c r="CY126" s="43"/>
      <c r="CZ126" s="43"/>
      <c r="DA126" s="43"/>
      <c r="DB126" s="43"/>
      <c r="DC126" s="43"/>
      <c r="DD126" s="43"/>
      <c r="DE126" s="43"/>
      <c r="DF126" s="43"/>
      <c r="DG126" s="43"/>
      <c r="DH126" s="43"/>
      <c r="DI126" s="43"/>
      <c r="DJ126" s="43"/>
      <c r="DK126" s="43"/>
      <c r="DL126" s="43"/>
      <c r="DM126" s="43"/>
      <c r="DN126" s="43"/>
      <c r="DO126" s="43"/>
      <c r="DP126" s="43"/>
      <c r="DQ126" s="43"/>
      <c r="DR126" s="43"/>
      <c r="DS126" s="43"/>
      <c r="DT126" s="43"/>
      <c r="DU126" s="43"/>
      <c r="DV126" s="43"/>
      <c r="DW126" s="43"/>
      <c r="DX126" s="43"/>
      <c r="DY126" s="43"/>
      <c r="DZ126" s="43"/>
      <c r="EA126" s="43"/>
      <c r="EB126" s="43"/>
      <c r="EC126" s="43"/>
      <c r="ED126" s="43"/>
      <c r="EE126" s="43"/>
      <c r="EF126" s="43"/>
      <c r="EG126" s="43"/>
      <c r="EH126" s="43"/>
      <c r="EI126" s="43"/>
      <c r="EJ126" s="43"/>
      <c r="EK126" s="43"/>
      <c r="EL126" s="43"/>
      <c r="EM126" s="43"/>
      <c r="EN126" s="43"/>
      <c r="EO126" s="43"/>
      <c r="EP126" s="43"/>
      <c r="EQ126" s="43"/>
      <c r="ER126" s="43"/>
      <c r="ES126" s="43"/>
      <c r="ET126" s="43"/>
      <c r="EU126" s="43"/>
      <c r="EV126" s="43"/>
      <c r="EW126" s="43"/>
      <c r="EX126" s="43"/>
      <c r="EY126" s="43"/>
      <c r="EZ126" s="43"/>
      <c r="FA126" s="43"/>
      <c r="FB126" s="43"/>
      <c r="FC126" s="43"/>
      <c r="FD126" s="43"/>
      <c r="FE126" s="43"/>
      <c r="FF126" s="43"/>
      <c r="FG126" s="43"/>
      <c r="FH126" s="43"/>
      <c r="FI126" s="43"/>
      <c r="FJ126" s="43"/>
      <c r="FK126" s="43"/>
      <c r="FL126" s="43"/>
      <c r="FM126" s="43"/>
      <c r="FN126" s="43"/>
      <c r="FO126" s="43"/>
      <c r="FP126" s="43"/>
      <c r="FQ126" s="43"/>
      <c r="FR126" s="43"/>
      <c r="FS126" s="43"/>
      <c r="FT126" s="43"/>
      <c r="FU126" s="43"/>
      <c r="FV126" s="43"/>
      <c r="FW126" s="43"/>
      <c r="FX126" s="43"/>
      <c r="FY126" s="43"/>
      <c r="FZ126" s="43"/>
      <c r="GA126" s="43"/>
      <c r="GB126" s="43"/>
      <c r="GC126" s="43"/>
      <c r="GD126" s="43"/>
      <c r="GE126" s="43"/>
      <c r="GF126" s="43"/>
      <c r="GG126" s="43"/>
      <c r="GH126" s="43"/>
      <c r="GI126" s="43"/>
      <c r="GJ126" s="43"/>
      <c r="GK126" s="43"/>
      <c r="GL126" s="43"/>
      <c r="GM126" s="43"/>
      <c r="GN126" s="43"/>
      <c r="GO126" s="43"/>
      <c r="GP126" s="43"/>
      <c r="GQ126" s="43"/>
      <c r="GR126" s="43"/>
      <c r="GS126" s="43"/>
      <c r="GT126" s="43"/>
      <c r="GU126" s="43"/>
      <c r="GV126" s="43"/>
      <c r="GW126" s="43"/>
      <c r="GX126" s="43"/>
      <c r="GY126" s="43"/>
      <c r="GZ126" s="43"/>
      <c r="HA126" s="43"/>
      <c r="HB126" s="43"/>
      <c r="HC126" s="43"/>
      <c r="HD126" s="43"/>
      <c r="HE126" s="43"/>
      <c r="HF126" s="43"/>
      <c r="HG126" s="43"/>
      <c r="HH126" s="43"/>
      <c r="HI126" s="43"/>
      <c r="HJ126" s="43"/>
      <c r="HK126" s="43"/>
      <c r="HL126" s="43"/>
      <c r="HM126" s="43"/>
      <c r="HN126" s="43"/>
      <c r="HO126" s="43"/>
      <c r="HP126" s="43"/>
      <c r="HQ126" s="43"/>
      <c r="HR126" s="43"/>
      <c r="HS126" s="43"/>
      <c r="HT126" s="43"/>
      <c r="HU126" s="43"/>
      <c r="HV126" s="43"/>
      <c r="HW126" s="43"/>
      <c r="HX126" s="43"/>
      <c r="HY126" s="43"/>
      <c r="HZ126" s="43"/>
      <c r="IA126" s="43"/>
      <c r="IB126" s="43"/>
      <c r="IC126" s="43"/>
      <c r="ID126" s="43"/>
      <c r="IE126" s="43"/>
      <c r="IF126" s="43"/>
      <c r="IG126" s="43"/>
      <c r="IH126" s="43"/>
      <c r="II126" s="43"/>
      <c r="IJ126" s="43"/>
      <c r="IK126" s="43"/>
      <c r="IL126" s="43"/>
      <c r="IM126" s="43"/>
      <c r="IN126" s="43"/>
      <c r="IO126" s="43"/>
      <c r="IP126" s="43"/>
      <c r="IQ126" s="43"/>
      <c r="IR126" s="43"/>
      <c r="IS126" s="43"/>
      <c r="IT126" s="43"/>
      <c r="IU126" s="43"/>
      <c r="IV126" s="43"/>
      <c r="IW126" s="43"/>
      <c r="IX126" s="43"/>
      <c r="IY126" s="43"/>
      <c r="IZ126" s="43"/>
      <c r="JA126" s="43"/>
      <c r="JB126" s="43"/>
      <c r="JC126" s="43"/>
      <c r="JD126" s="43"/>
      <c r="JE126" s="43"/>
      <c r="JF126" s="43"/>
      <c r="JG126" s="43"/>
      <c r="JH126" s="43"/>
      <c r="JI126" s="43"/>
      <c r="JJ126" s="43"/>
      <c r="JK126" s="43"/>
      <c r="JL126" s="43"/>
      <c r="JM126" s="43"/>
      <c r="JN126" s="43"/>
      <c r="JO126" s="43"/>
      <c r="JP126" s="43"/>
      <c r="JQ126" s="43"/>
      <c r="JR126" s="43"/>
      <c r="JS126" s="43"/>
      <c r="JT126" s="43"/>
      <c r="JU126" s="43"/>
      <c r="JV126" s="43"/>
      <c r="JW126" s="43"/>
      <c r="JX126" s="43"/>
      <c r="JY126" s="43"/>
      <c r="JZ126" s="43"/>
      <c r="KA126" s="43"/>
      <c r="KB126" s="43"/>
      <c r="KC126" s="43"/>
      <c r="KD126" s="43"/>
      <c r="KE126" s="43"/>
      <c r="KF126" s="43"/>
      <c r="KG126" s="43"/>
      <c r="KH126" s="43"/>
      <c r="KI126" s="43"/>
      <c r="KJ126" s="43"/>
      <c r="KK126" s="43"/>
      <c r="KL126" s="43"/>
      <c r="KM126" s="43"/>
      <c r="KN126" s="43"/>
      <c r="KO126" s="43"/>
      <c r="KP126" s="43"/>
      <c r="KQ126" s="43"/>
      <c r="KR126" s="43"/>
      <c r="KS126" s="43"/>
      <c r="KT126" s="43"/>
      <c r="KU126" s="43"/>
      <c r="KV126" s="43"/>
      <c r="KW126" s="43"/>
      <c r="KX126" s="43"/>
      <c r="KY126" s="43"/>
      <c r="KZ126" s="43"/>
      <c r="LA126" s="43"/>
      <c r="LB126" s="43"/>
      <c r="LC126" s="43"/>
      <c r="LD126" s="43"/>
      <c r="LE126" s="43"/>
      <c r="LF126" s="43"/>
      <c r="LG126" s="43"/>
      <c r="LH126" s="43"/>
      <c r="LI126" s="43"/>
      <c r="LJ126" s="43"/>
      <c r="LK126" s="43"/>
      <c r="LL126" s="43"/>
      <c r="LM126" s="43"/>
      <c r="LN126" s="43"/>
      <c r="LO126" s="43"/>
      <c r="LP126" s="43"/>
      <c r="LQ126" s="43"/>
      <c r="LR126" s="43"/>
      <c r="LS126" s="43"/>
      <c r="LT126" s="43"/>
      <c r="LU126" s="43"/>
      <c r="LV126" s="43"/>
      <c r="LW126" s="43"/>
      <c r="LX126" s="43"/>
      <c r="LY126" s="43"/>
      <c r="LZ126" s="43"/>
      <c r="MA126" s="43"/>
      <c r="MB126" s="43"/>
      <c r="MC126" s="43"/>
      <c r="MD126" s="43"/>
      <c r="ME126" s="43"/>
      <c r="MF126" s="43"/>
      <c r="MG126" s="43"/>
      <c r="MH126" s="43"/>
      <c r="MI126" s="43"/>
      <c r="MJ126" s="43"/>
      <c r="MK126" s="43"/>
      <c r="ML126" s="43"/>
      <c r="MM126" s="43"/>
      <c r="MN126" s="43"/>
      <c r="MO126" s="43"/>
      <c r="MP126" s="43"/>
      <c r="MQ126" s="43"/>
      <c r="MR126" s="43"/>
      <c r="MS126" s="43"/>
      <c r="MT126" s="43"/>
      <c r="MU126" s="43"/>
      <c r="MV126" s="43"/>
      <c r="MW126" s="43"/>
      <c r="MX126" s="43"/>
      <c r="MY126" s="43"/>
      <c r="MZ126" s="43"/>
      <c r="NA126" s="43"/>
      <c r="NB126" s="43"/>
      <c r="NC126" s="43"/>
      <c r="ND126" s="43"/>
      <c r="NE126" s="43"/>
      <c r="NF126" s="43"/>
      <c r="NG126" s="43"/>
      <c r="NH126" s="43"/>
      <c r="NI126" s="43"/>
      <c r="NJ126" s="43"/>
      <c r="NK126" s="43"/>
      <c r="NL126" s="43"/>
      <c r="NM126" s="43"/>
      <c r="NN126" s="43"/>
      <c r="NO126" s="43"/>
      <c r="NP126" s="43"/>
      <c r="NQ126" s="43"/>
      <c r="NR126" s="43"/>
      <c r="NS126" s="43"/>
      <c r="NT126" s="43"/>
      <c r="NU126" s="43"/>
      <c r="NV126" s="43"/>
      <c r="NW126" s="43"/>
      <c r="NX126" s="43"/>
      <c r="NY126" s="43"/>
      <c r="NZ126" s="43"/>
      <c r="OA126" s="43"/>
      <c r="OB126" s="43"/>
      <c r="OC126" s="43"/>
      <c r="OD126" s="43"/>
      <c r="OE126" s="43"/>
      <c r="OF126" s="43"/>
      <c r="OG126" s="43"/>
      <c r="OH126" s="43"/>
      <c r="OI126" s="43"/>
      <c r="OJ126" s="43"/>
      <c r="OK126" s="43"/>
      <c r="OL126" s="43"/>
      <c r="OM126" s="43"/>
      <c r="ON126" s="43"/>
      <c r="OO126" s="43"/>
      <c r="OP126" s="43"/>
      <c r="OQ126" s="43"/>
      <c r="OR126" s="43"/>
      <c r="OS126" s="43"/>
      <c r="OT126" s="43"/>
      <c r="OU126" s="43"/>
      <c r="OV126" s="43"/>
      <c r="OW126" s="43"/>
      <c r="OX126" s="43"/>
      <c r="OY126" s="43"/>
      <c r="OZ126" s="43"/>
      <c r="PA126" s="43"/>
      <c r="PB126" s="43"/>
      <c r="PC126" s="43"/>
      <c r="PD126" s="43"/>
      <c r="PE126" s="43"/>
      <c r="PF126" s="43"/>
      <c r="PG126" s="43"/>
      <c r="PH126" s="43"/>
      <c r="PI126" s="43"/>
      <c r="PJ126" s="43"/>
      <c r="PK126" s="43"/>
      <c r="PL126" s="43"/>
      <c r="PM126" s="43"/>
      <c r="PN126" s="43"/>
      <c r="PO126" s="43"/>
      <c r="PP126" s="43"/>
      <c r="PQ126" s="43"/>
      <c r="PR126" s="43"/>
      <c r="PS126" s="43"/>
      <c r="PT126" s="43"/>
      <c r="PU126" s="43"/>
      <c r="PV126" s="43"/>
      <c r="PW126" s="43"/>
      <c r="PX126" s="43"/>
      <c r="PY126" s="43"/>
      <c r="PZ126" s="43"/>
      <c r="QA126" s="43"/>
      <c r="QB126" s="43"/>
      <c r="QC126" s="43"/>
    </row>
    <row r="127" spans="1:445" x14ac:dyDescent="0.3">
      <c r="A127" s="85"/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46" t="str">
        <f t="shared" si="9"/>
        <v/>
      </c>
      <c r="U127" s="46" t="str">
        <f t="shared" si="10"/>
        <v/>
      </c>
      <c r="V127" s="72" t="str">
        <f t="shared" si="11"/>
        <v/>
      </c>
      <c r="W127" s="48"/>
      <c r="X127" s="73" t="str">
        <f t="shared" si="13"/>
        <v/>
      </c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43"/>
      <c r="BN127" s="43"/>
      <c r="BO127" s="43"/>
      <c r="BP127" s="43"/>
      <c r="BQ127" s="43"/>
      <c r="BR127" s="43"/>
      <c r="BS127" s="43"/>
      <c r="BT127" s="43"/>
      <c r="BU127" s="43"/>
      <c r="BV127" s="43"/>
      <c r="BW127" s="43"/>
      <c r="BX127" s="43"/>
      <c r="BY127" s="43"/>
      <c r="BZ127" s="43"/>
      <c r="CA127" s="43"/>
      <c r="CB127" s="43"/>
      <c r="CC127" s="43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43"/>
      <c r="CY127" s="43"/>
      <c r="CZ127" s="43"/>
      <c r="DA127" s="43"/>
      <c r="DB127" s="43"/>
      <c r="DC127" s="43"/>
      <c r="DD127" s="43"/>
      <c r="DE127" s="43"/>
      <c r="DF127" s="43"/>
      <c r="DG127" s="43"/>
      <c r="DH127" s="43"/>
      <c r="DI127" s="43"/>
      <c r="DJ127" s="43"/>
      <c r="DK127" s="43"/>
      <c r="DL127" s="43"/>
      <c r="DM127" s="43"/>
      <c r="DN127" s="43"/>
      <c r="DO127" s="43"/>
      <c r="DP127" s="43"/>
      <c r="DQ127" s="43"/>
      <c r="DR127" s="43"/>
      <c r="DS127" s="43"/>
      <c r="DT127" s="43"/>
      <c r="DU127" s="43"/>
      <c r="DV127" s="43"/>
      <c r="DW127" s="43"/>
      <c r="DX127" s="43"/>
      <c r="DY127" s="43"/>
      <c r="DZ127" s="43"/>
      <c r="EA127" s="43"/>
      <c r="EB127" s="43"/>
      <c r="EC127" s="43"/>
      <c r="ED127" s="43"/>
      <c r="EE127" s="43"/>
      <c r="EF127" s="43"/>
      <c r="EG127" s="43"/>
      <c r="EH127" s="43"/>
      <c r="EI127" s="43"/>
      <c r="EJ127" s="43"/>
      <c r="EK127" s="43"/>
      <c r="EL127" s="43"/>
      <c r="EM127" s="43"/>
      <c r="EN127" s="43"/>
      <c r="EO127" s="43"/>
      <c r="EP127" s="43"/>
      <c r="EQ127" s="43"/>
      <c r="ER127" s="43"/>
      <c r="ES127" s="43"/>
      <c r="ET127" s="43"/>
      <c r="EU127" s="43"/>
      <c r="EV127" s="43"/>
      <c r="EW127" s="43"/>
      <c r="EX127" s="43"/>
      <c r="EY127" s="43"/>
      <c r="EZ127" s="43"/>
      <c r="FA127" s="43"/>
      <c r="FB127" s="43"/>
      <c r="FC127" s="43"/>
      <c r="FD127" s="43"/>
      <c r="FE127" s="43"/>
      <c r="FF127" s="43"/>
      <c r="FG127" s="43"/>
      <c r="FH127" s="43"/>
      <c r="FI127" s="43"/>
      <c r="FJ127" s="43"/>
      <c r="FK127" s="43"/>
      <c r="FL127" s="43"/>
      <c r="FM127" s="43"/>
      <c r="FN127" s="43"/>
      <c r="FO127" s="43"/>
      <c r="FP127" s="43"/>
      <c r="FQ127" s="43"/>
      <c r="FR127" s="43"/>
      <c r="FS127" s="43"/>
      <c r="FT127" s="43"/>
      <c r="FU127" s="43"/>
      <c r="FV127" s="43"/>
      <c r="FW127" s="43"/>
      <c r="FX127" s="43"/>
      <c r="FY127" s="43"/>
      <c r="FZ127" s="43"/>
      <c r="GA127" s="43"/>
      <c r="GB127" s="43"/>
      <c r="GC127" s="43"/>
      <c r="GD127" s="43"/>
      <c r="GE127" s="43"/>
      <c r="GF127" s="43"/>
      <c r="GG127" s="43"/>
      <c r="GH127" s="43"/>
      <c r="GI127" s="43"/>
      <c r="GJ127" s="43"/>
      <c r="GK127" s="43"/>
      <c r="GL127" s="43"/>
      <c r="GM127" s="43"/>
      <c r="GN127" s="43"/>
      <c r="GO127" s="43"/>
      <c r="GP127" s="43"/>
      <c r="GQ127" s="43"/>
      <c r="GR127" s="43"/>
      <c r="GS127" s="43"/>
      <c r="GT127" s="43"/>
      <c r="GU127" s="43"/>
      <c r="GV127" s="43"/>
      <c r="GW127" s="43"/>
      <c r="GX127" s="43"/>
      <c r="GY127" s="43"/>
      <c r="GZ127" s="43"/>
      <c r="HA127" s="43"/>
      <c r="HB127" s="43"/>
      <c r="HC127" s="43"/>
      <c r="HD127" s="43"/>
      <c r="HE127" s="43"/>
      <c r="HF127" s="43"/>
      <c r="HG127" s="43"/>
      <c r="HH127" s="43"/>
      <c r="HI127" s="43"/>
      <c r="HJ127" s="43"/>
      <c r="HK127" s="43"/>
      <c r="HL127" s="43"/>
      <c r="HM127" s="43"/>
      <c r="HN127" s="43"/>
      <c r="HO127" s="43"/>
      <c r="HP127" s="43"/>
      <c r="HQ127" s="43"/>
      <c r="HR127" s="43"/>
      <c r="HS127" s="43"/>
      <c r="HT127" s="43"/>
      <c r="HU127" s="43"/>
      <c r="HV127" s="43"/>
      <c r="HW127" s="43"/>
      <c r="HX127" s="43"/>
      <c r="HY127" s="43"/>
      <c r="HZ127" s="43"/>
      <c r="IA127" s="43"/>
      <c r="IB127" s="43"/>
      <c r="IC127" s="43"/>
      <c r="ID127" s="43"/>
      <c r="IE127" s="43"/>
      <c r="IF127" s="43"/>
      <c r="IG127" s="43"/>
      <c r="IH127" s="43"/>
      <c r="II127" s="43"/>
      <c r="IJ127" s="43"/>
      <c r="IK127" s="43"/>
      <c r="IL127" s="43"/>
      <c r="IM127" s="43"/>
      <c r="IN127" s="43"/>
      <c r="IO127" s="43"/>
      <c r="IP127" s="43"/>
      <c r="IQ127" s="43"/>
      <c r="IR127" s="43"/>
      <c r="IS127" s="43"/>
      <c r="IT127" s="43"/>
      <c r="IU127" s="43"/>
      <c r="IV127" s="43"/>
      <c r="IW127" s="43"/>
      <c r="IX127" s="43"/>
      <c r="IY127" s="43"/>
      <c r="IZ127" s="43"/>
      <c r="JA127" s="43"/>
      <c r="JB127" s="43"/>
      <c r="JC127" s="43"/>
      <c r="JD127" s="43"/>
      <c r="JE127" s="43"/>
      <c r="JF127" s="43"/>
      <c r="JG127" s="43"/>
      <c r="JH127" s="43"/>
      <c r="JI127" s="43"/>
      <c r="JJ127" s="43"/>
      <c r="JK127" s="43"/>
      <c r="JL127" s="43"/>
      <c r="JM127" s="43"/>
      <c r="JN127" s="43"/>
      <c r="JO127" s="43"/>
      <c r="JP127" s="43"/>
      <c r="JQ127" s="43"/>
      <c r="JR127" s="43"/>
      <c r="JS127" s="43"/>
      <c r="JT127" s="43"/>
      <c r="JU127" s="43"/>
      <c r="JV127" s="43"/>
      <c r="JW127" s="43"/>
      <c r="JX127" s="43"/>
      <c r="JY127" s="43"/>
      <c r="JZ127" s="43"/>
      <c r="KA127" s="43"/>
      <c r="KB127" s="43"/>
      <c r="KC127" s="43"/>
      <c r="KD127" s="43"/>
      <c r="KE127" s="43"/>
      <c r="KF127" s="43"/>
      <c r="KG127" s="43"/>
      <c r="KH127" s="43"/>
      <c r="KI127" s="43"/>
      <c r="KJ127" s="43"/>
      <c r="KK127" s="43"/>
      <c r="KL127" s="43"/>
      <c r="KM127" s="43"/>
      <c r="KN127" s="43"/>
      <c r="KO127" s="43"/>
      <c r="KP127" s="43"/>
      <c r="KQ127" s="43"/>
      <c r="KR127" s="43"/>
      <c r="KS127" s="43"/>
      <c r="KT127" s="43"/>
      <c r="KU127" s="43"/>
      <c r="KV127" s="43"/>
      <c r="KW127" s="43"/>
      <c r="KX127" s="43"/>
      <c r="KY127" s="43"/>
      <c r="KZ127" s="43"/>
      <c r="LA127" s="43"/>
      <c r="LB127" s="43"/>
      <c r="LC127" s="43"/>
      <c r="LD127" s="43"/>
      <c r="LE127" s="43"/>
      <c r="LF127" s="43"/>
      <c r="LG127" s="43"/>
      <c r="LH127" s="43"/>
      <c r="LI127" s="43"/>
      <c r="LJ127" s="43"/>
      <c r="LK127" s="43"/>
      <c r="LL127" s="43"/>
      <c r="LM127" s="43"/>
      <c r="LN127" s="43"/>
      <c r="LO127" s="43"/>
      <c r="LP127" s="43"/>
      <c r="LQ127" s="43"/>
      <c r="LR127" s="43"/>
      <c r="LS127" s="43"/>
      <c r="LT127" s="43"/>
      <c r="LU127" s="43"/>
      <c r="LV127" s="43"/>
      <c r="LW127" s="43"/>
      <c r="LX127" s="43"/>
      <c r="LY127" s="43"/>
      <c r="LZ127" s="43"/>
      <c r="MA127" s="43"/>
      <c r="MB127" s="43"/>
      <c r="MC127" s="43"/>
      <c r="MD127" s="43"/>
      <c r="ME127" s="43"/>
      <c r="MF127" s="43"/>
      <c r="MG127" s="43"/>
      <c r="MH127" s="43"/>
      <c r="MI127" s="43"/>
      <c r="MJ127" s="43"/>
      <c r="MK127" s="43"/>
      <c r="ML127" s="43"/>
      <c r="MM127" s="43"/>
      <c r="MN127" s="43"/>
      <c r="MO127" s="43"/>
      <c r="MP127" s="43"/>
      <c r="MQ127" s="43"/>
      <c r="MR127" s="43"/>
      <c r="MS127" s="43"/>
      <c r="MT127" s="43"/>
      <c r="MU127" s="43"/>
      <c r="MV127" s="43"/>
      <c r="MW127" s="43"/>
      <c r="MX127" s="43"/>
      <c r="MY127" s="43"/>
      <c r="MZ127" s="43"/>
      <c r="NA127" s="43"/>
      <c r="NB127" s="43"/>
      <c r="NC127" s="43"/>
      <c r="ND127" s="43"/>
      <c r="NE127" s="43"/>
      <c r="NF127" s="43"/>
      <c r="NG127" s="43"/>
      <c r="NH127" s="43"/>
      <c r="NI127" s="43"/>
      <c r="NJ127" s="43"/>
      <c r="NK127" s="43"/>
      <c r="NL127" s="43"/>
      <c r="NM127" s="43"/>
      <c r="NN127" s="43"/>
      <c r="NO127" s="43"/>
      <c r="NP127" s="43"/>
      <c r="NQ127" s="43"/>
      <c r="NR127" s="43"/>
      <c r="NS127" s="43"/>
      <c r="NT127" s="43"/>
      <c r="NU127" s="43"/>
      <c r="NV127" s="43"/>
      <c r="NW127" s="43"/>
      <c r="NX127" s="43"/>
      <c r="NY127" s="43"/>
      <c r="NZ127" s="43"/>
      <c r="OA127" s="43"/>
      <c r="OB127" s="43"/>
      <c r="OC127" s="43"/>
      <c r="OD127" s="43"/>
      <c r="OE127" s="43"/>
      <c r="OF127" s="43"/>
      <c r="OG127" s="43"/>
      <c r="OH127" s="43"/>
      <c r="OI127" s="43"/>
      <c r="OJ127" s="43"/>
      <c r="OK127" s="43"/>
      <c r="OL127" s="43"/>
      <c r="OM127" s="43"/>
      <c r="ON127" s="43"/>
      <c r="OO127" s="43"/>
      <c r="OP127" s="43"/>
      <c r="OQ127" s="43"/>
      <c r="OR127" s="43"/>
      <c r="OS127" s="43"/>
      <c r="OT127" s="43"/>
      <c r="OU127" s="43"/>
      <c r="OV127" s="43"/>
      <c r="OW127" s="43"/>
      <c r="OX127" s="43"/>
      <c r="OY127" s="43"/>
      <c r="OZ127" s="43"/>
      <c r="PA127" s="43"/>
      <c r="PB127" s="43"/>
      <c r="PC127" s="43"/>
      <c r="PD127" s="43"/>
      <c r="PE127" s="43"/>
      <c r="PF127" s="43"/>
      <c r="PG127" s="43"/>
      <c r="PH127" s="43"/>
      <c r="PI127" s="43"/>
      <c r="PJ127" s="43"/>
      <c r="PK127" s="43"/>
      <c r="PL127" s="43"/>
      <c r="PM127" s="43"/>
      <c r="PN127" s="43"/>
      <c r="PO127" s="43"/>
      <c r="PP127" s="43"/>
      <c r="PQ127" s="43"/>
      <c r="PR127" s="43"/>
      <c r="PS127" s="43"/>
      <c r="PT127" s="43"/>
      <c r="PU127" s="43"/>
      <c r="PV127" s="43"/>
      <c r="PW127" s="43"/>
      <c r="PX127" s="43"/>
      <c r="PY127" s="43"/>
      <c r="PZ127" s="43"/>
      <c r="QA127" s="43"/>
      <c r="QB127" s="43"/>
      <c r="QC127" s="43"/>
    </row>
    <row r="128" spans="1:445" x14ac:dyDescent="0.3">
      <c r="A128" s="85"/>
      <c r="B128" s="84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46" t="str">
        <f t="shared" si="9"/>
        <v/>
      </c>
      <c r="U128" s="46" t="str">
        <f t="shared" si="10"/>
        <v/>
      </c>
      <c r="V128" s="72" t="str">
        <f t="shared" si="11"/>
        <v/>
      </c>
      <c r="W128" s="48"/>
      <c r="X128" s="73" t="str">
        <f t="shared" si="13"/>
        <v/>
      </c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43"/>
      <c r="BN128" s="43"/>
      <c r="BO128" s="43"/>
      <c r="BP128" s="43"/>
      <c r="BQ128" s="43"/>
      <c r="BR128" s="43"/>
      <c r="BS128" s="43"/>
      <c r="BT128" s="43"/>
      <c r="BU128" s="43"/>
      <c r="BV128" s="43"/>
      <c r="BW128" s="43"/>
      <c r="BX128" s="43"/>
      <c r="BY128" s="43"/>
      <c r="BZ128" s="43"/>
      <c r="CA128" s="43"/>
      <c r="CB128" s="43"/>
      <c r="CC128" s="43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43"/>
      <c r="CY128" s="43"/>
      <c r="CZ128" s="43"/>
      <c r="DA128" s="43"/>
      <c r="DB128" s="43"/>
      <c r="DC128" s="43"/>
      <c r="DD128" s="43"/>
      <c r="DE128" s="43"/>
      <c r="DF128" s="43"/>
      <c r="DG128" s="43"/>
      <c r="DH128" s="43"/>
      <c r="DI128" s="43"/>
      <c r="DJ128" s="43"/>
      <c r="DK128" s="43"/>
      <c r="DL128" s="43"/>
      <c r="DM128" s="43"/>
      <c r="DN128" s="43"/>
      <c r="DO128" s="43"/>
      <c r="DP128" s="43"/>
      <c r="DQ128" s="43"/>
      <c r="DR128" s="43"/>
      <c r="DS128" s="43"/>
      <c r="DT128" s="43"/>
      <c r="DU128" s="43"/>
      <c r="DV128" s="43"/>
      <c r="DW128" s="43"/>
      <c r="DX128" s="43"/>
      <c r="DY128" s="43"/>
      <c r="DZ128" s="43"/>
      <c r="EA128" s="43"/>
      <c r="EB128" s="43"/>
      <c r="EC128" s="43"/>
      <c r="ED128" s="43"/>
      <c r="EE128" s="43"/>
      <c r="EF128" s="43"/>
      <c r="EG128" s="43"/>
      <c r="EH128" s="43"/>
      <c r="EI128" s="43"/>
      <c r="EJ128" s="43"/>
      <c r="EK128" s="43"/>
      <c r="EL128" s="43"/>
      <c r="EM128" s="43"/>
      <c r="EN128" s="43"/>
      <c r="EO128" s="43"/>
      <c r="EP128" s="43"/>
      <c r="EQ128" s="43"/>
      <c r="ER128" s="43"/>
      <c r="ES128" s="43"/>
      <c r="ET128" s="43"/>
      <c r="EU128" s="43"/>
      <c r="EV128" s="43"/>
      <c r="EW128" s="43"/>
      <c r="EX128" s="43"/>
      <c r="EY128" s="43"/>
      <c r="EZ128" s="43"/>
      <c r="FA128" s="43"/>
      <c r="FB128" s="43"/>
      <c r="FC128" s="43"/>
      <c r="FD128" s="43"/>
      <c r="FE128" s="43"/>
      <c r="FF128" s="43"/>
      <c r="FG128" s="43"/>
      <c r="FH128" s="43"/>
      <c r="FI128" s="43"/>
      <c r="FJ128" s="43"/>
      <c r="FK128" s="43"/>
      <c r="FL128" s="43"/>
      <c r="FM128" s="43"/>
      <c r="FN128" s="43"/>
      <c r="FO128" s="43"/>
      <c r="FP128" s="43"/>
      <c r="FQ128" s="43"/>
      <c r="FR128" s="43"/>
      <c r="FS128" s="43"/>
      <c r="FT128" s="43"/>
      <c r="FU128" s="43"/>
      <c r="FV128" s="43"/>
      <c r="FW128" s="43"/>
      <c r="FX128" s="43"/>
      <c r="FY128" s="43"/>
      <c r="FZ128" s="43"/>
      <c r="GA128" s="43"/>
      <c r="GB128" s="43"/>
      <c r="GC128" s="43"/>
      <c r="GD128" s="43"/>
      <c r="GE128" s="43"/>
      <c r="GF128" s="43"/>
      <c r="GG128" s="43"/>
      <c r="GH128" s="43"/>
      <c r="GI128" s="43"/>
      <c r="GJ128" s="43"/>
      <c r="GK128" s="43"/>
      <c r="GL128" s="43"/>
      <c r="GM128" s="43"/>
      <c r="GN128" s="43"/>
      <c r="GO128" s="43"/>
      <c r="GP128" s="43"/>
      <c r="GQ128" s="43"/>
      <c r="GR128" s="43"/>
      <c r="GS128" s="43"/>
      <c r="GT128" s="43"/>
      <c r="GU128" s="43"/>
      <c r="GV128" s="43"/>
      <c r="GW128" s="43"/>
      <c r="GX128" s="43"/>
      <c r="GY128" s="43"/>
      <c r="GZ128" s="43"/>
      <c r="HA128" s="43"/>
      <c r="HB128" s="43"/>
      <c r="HC128" s="43"/>
      <c r="HD128" s="43"/>
      <c r="HE128" s="43"/>
      <c r="HF128" s="43"/>
      <c r="HG128" s="43"/>
      <c r="HH128" s="43"/>
      <c r="HI128" s="43"/>
      <c r="HJ128" s="43"/>
      <c r="HK128" s="43"/>
      <c r="HL128" s="43"/>
      <c r="HM128" s="43"/>
      <c r="HN128" s="43"/>
      <c r="HO128" s="43"/>
      <c r="HP128" s="43"/>
      <c r="HQ128" s="43"/>
      <c r="HR128" s="43"/>
      <c r="HS128" s="43"/>
      <c r="HT128" s="43"/>
      <c r="HU128" s="43"/>
      <c r="HV128" s="43"/>
      <c r="HW128" s="43"/>
      <c r="HX128" s="43"/>
      <c r="HY128" s="43"/>
      <c r="HZ128" s="43"/>
      <c r="IA128" s="43"/>
      <c r="IB128" s="43"/>
      <c r="IC128" s="43"/>
      <c r="ID128" s="43"/>
      <c r="IE128" s="43"/>
      <c r="IF128" s="43"/>
      <c r="IG128" s="43"/>
      <c r="IH128" s="43"/>
      <c r="II128" s="43"/>
      <c r="IJ128" s="43"/>
      <c r="IK128" s="43"/>
      <c r="IL128" s="43"/>
      <c r="IM128" s="43"/>
      <c r="IN128" s="43"/>
      <c r="IO128" s="43"/>
      <c r="IP128" s="43"/>
      <c r="IQ128" s="43"/>
      <c r="IR128" s="43"/>
      <c r="IS128" s="43"/>
      <c r="IT128" s="43"/>
      <c r="IU128" s="43"/>
      <c r="IV128" s="43"/>
      <c r="IW128" s="43"/>
      <c r="IX128" s="43"/>
      <c r="IY128" s="43"/>
      <c r="IZ128" s="43"/>
      <c r="JA128" s="43"/>
      <c r="JB128" s="43"/>
      <c r="JC128" s="43"/>
      <c r="JD128" s="43"/>
      <c r="JE128" s="43"/>
      <c r="JF128" s="43"/>
      <c r="JG128" s="43"/>
      <c r="JH128" s="43"/>
      <c r="JI128" s="43"/>
      <c r="JJ128" s="43"/>
      <c r="JK128" s="43"/>
      <c r="JL128" s="43"/>
      <c r="JM128" s="43"/>
      <c r="JN128" s="43"/>
      <c r="JO128" s="43"/>
      <c r="JP128" s="43"/>
      <c r="JQ128" s="43"/>
      <c r="JR128" s="43"/>
      <c r="JS128" s="43"/>
      <c r="JT128" s="43"/>
      <c r="JU128" s="43"/>
      <c r="JV128" s="43"/>
      <c r="JW128" s="43"/>
      <c r="JX128" s="43"/>
      <c r="JY128" s="43"/>
      <c r="JZ128" s="43"/>
      <c r="KA128" s="43"/>
      <c r="KB128" s="43"/>
      <c r="KC128" s="43"/>
      <c r="KD128" s="43"/>
      <c r="KE128" s="43"/>
      <c r="KF128" s="43"/>
      <c r="KG128" s="43"/>
      <c r="KH128" s="43"/>
      <c r="KI128" s="43"/>
      <c r="KJ128" s="43"/>
      <c r="KK128" s="43"/>
      <c r="KL128" s="43"/>
      <c r="KM128" s="43"/>
      <c r="KN128" s="43"/>
      <c r="KO128" s="43"/>
      <c r="KP128" s="43"/>
      <c r="KQ128" s="43"/>
      <c r="KR128" s="43"/>
      <c r="KS128" s="43"/>
      <c r="KT128" s="43"/>
      <c r="KU128" s="43"/>
      <c r="KV128" s="43"/>
      <c r="KW128" s="43"/>
      <c r="KX128" s="43"/>
      <c r="KY128" s="43"/>
      <c r="KZ128" s="43"/>
      <c r="LA128" s="43"/>
      <c r="LB128" s="43"/>
      <c r="LC128" s="43"/>
      <c r="LD128" s="43"/>
      <c r="LE128" s="43"/>
      <c r="LF128" s="43"/>
      <c r="LG128" s="43"/>
      <c r="LH128" s="43"/>
      <c r="LI128" s="43"/>
      <c r="LJ128" s="43"/>
      <c r="LK128" s="43"/>
      <c r="LL128" s="43"/>
      <c r="LM128" s="43"/>
      <c r="LN128" s="43"/>
      <c r="LO128" s="43"/>
      <c r="LP128" s="43"/>
      <c r="LQ128" s="43"/>
      <c r="LR128" s="43"/>
      <c r="LS128" s="43"/>
      <c r="LT128" s="43"/>
      <c r="LU128" s="43"/>
      <c r="LV128" s="43"/>
      <c r="LW128" s="43"/>
      <c r="LX128" s="43"/>
      <c r="LY128" s="43"/>
      <c r="LZ128" s="43"/>
      <c r="MA128" s="43"/>
      <c r="MB128" s="43"/>
      <c r="MC128" s="43"/>
      <c r="MD128" s="43"/>
      <c r="ME128" s="43"/>
      <c r="MF128" s="43"/>
      <c r="MG128" s="43"/>
      <c r="MH128" s="43"/>
      <c r="MI128" s="43"/>
      <c r="MJ128" s="43"/>
      <c r="MK128" s="43"/>
      <c r="ML128" s="43"/>
      <c r="MM128" s="43"/>
      <c r="MN128" s="43"/>
      <c r="MO128" s="43"/>
      <c r="MP128" s="43"/>
      <c r="MQ128" s="43"/>
      <c r="MR128" s="43"/>
      <c r="MS128" s="43"/>
      <c r="MT128" s="43"/>
      <c r="MU128" s="43"/>
      <c r="MV128" s="43"/>
      <c r="MW128" s="43"/>
      <c r="MX128" s="43"/>
      <c r="MY128" s="43"/>
      <c r="MZ128" s="43"/>
      <c r="NA128" s="43"/>
      <c r="NB128" s="43"/>
      <c r="NC128" s="43"/>
      <c r="ND128" s="43"/>
      <c r="NE128" s="43"/>
      <c r="NF128" s="43"/>
      <c r="NG128" s="43"/>
      <c r="NH128" s="43"/>
      <c r="NI128" s="43"/>
      <c r="NJ128" s="43"/>
      <c r="NK128" s="43"/>
      <c r="NL128" s="43"/>
      <c r="NM128" s="43"/>
      <c r="NN128" s="43"/>
      <c r="NO128" s="43"/>
      <c r="NP128" s="43"/>
      <c r="NQ128" s="43"/>
      <c r="NR128" s="43"/>
      <c r="NS128" s="43"/>
      <c r="NT128" s="43"/>
      <c r="NU128" s="43"/>
      <c r="NV128" s="43"/>
      <c r="NW128" s="43"/>
      <c r="NX128" s="43"/>
      <c r="NY128" s="43"/>
      <c r="NZ128" s="43"/>
      <c r="OA128" s="43"/>
      <c r="OB128" s="43"/>
      <c r="OC128" s="43"/>
      <c r="OD128" s="43"/>
      <c r="OE128" s="43"/>
      <c r="OF128" s="43"/>
      <c r="OG128" s="43"/>
      <c r="OH128" s="43"/>
      <c r="OI128" s="43"/>
      <c r="OJ128" s="43"/>
      <c r="OK128" s="43"/>
      <c r="OL128" s="43"/>
      <c r="OM128" s="43"/>
      <c r="ON128" s="43"/>
      <c r="OO128" s="43"/>
      <c r="OP128" s="43"/>
      <c r="OQ128" s="43"/>
      <c r="OR128" s="43"/>
      <c r="OS128" s="43"/>
      <c r="OT128" s="43"/>
      <c r="OU128" s="43"/>
      <c r="OV128" s="43"/>
      <c r="OW128" s="43"/>
      <c r="OX128" s="43"/>
      <c r="OY128" s="43"/>
      <c r="OZ128" s="43"/>
      <c r="PA128" s="43"/>
      <c r="PB128" s="43"/>
      <c r="PC128" s="43"/>
      <c r="PD128" s="43"/>
      <c r="PE128" s="43"/>
      <c r="PF128" s="43"/>
      <c r="PG128" s="43"/>
      <c r="PH128" s="43"/>
      <c r="PI128" s="43"/>
      <c r="PJ128" s="43"/>
      <c r="PK128" s="43"/>
      <c r="PL128" s="43"/>
      <c r="PM128" s="43"/>
      <c r="PN128" s="43"/>
      <c r="PO128" s="43"/>
      <c r="PP128" s="43"/>
      <c r="PQ128" s="43"/>
      <c r="PR128" s="43"/>
      <c r="PS128" s="43"/>
      <c r="PT128" s="43"/>
      <c r="PU128" s="43"/>
      <c r="PV128" s="43"/>
      <c r="PW128" s="43"/>
      <c r="PX128" s="43"/>
      <c r="PY128" s="43"/>
      <c r="PZ128" s="43"/>
      <c r="QA128" s="43"/>
      <c r="QB128" s="43"/>
      <c r="QC128" s="43"/>
    </row>
    <row r="129" spans="1:445" x14ac:dyDescent="0.3">
      <c r="A129" s="85"/>
      <c r="B129" s="84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46" t="str">
        <f t="shared" si="9"/>
        <v/>
      </c>
      <c r="U129" s="46" t="str">
        <f t="shared" si="10"/>
        <v/>
      </c>
      <c r="V129" s="72" t="str">
        <f t="shared" si="11"/>
        <v/>
      </c>
      <c r="X129" s="73" t="str">
        <f t="shared" si="13"/>
        <v/>
      </c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43"/>
      <c r="BN129" s="43"/>
      <c r="BO129" s="43"/>
      <c r="BP129" s="43"/>
      <c r="BQ129" s="43"/>
      <c r="BR129" s="43"/>
      <c r="BS129" s="43"/>
      <c r="BT129" s="43"/>
      <c r="BU129" s="43"/>
      <c r="BV129" s="43"/>
      <c r="BW129" s="43"/>
      <c r="BX129" s="43"/>
      <c r="BY129" s="43"/>
      <c r="BZ129" s="43"/>
      <c r="CA129" s="43"/>
      <c r="CB129" s="43"/>
      <c r="CC129" s="43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43"/>
      <c r="CY129" s="43"/>
      <c r="CZ129" s="43"/>
      <c r="DA129" s="43"/>
      <c r="DB129" s="43"/>
      <c r="DC129" s="43"/>
      <c r="DD129" s="43"/>
      <c r="DE129" s="43"/>
      <c r="DF129" s="43"/>
      <c r="DG129" s="43"/>
      <c r="DH129" s="43"/>
      <c r="DI129" s="43"/>
      <c r="DJ129" s="43"/>
      <c r="DK129" s="43"/>
      <c r="DL129" s="43"/>
      <c r="DM129" s="43"/>
      <c r="DN129" s="43"/>
      <c r="DO129" s="43"/>
      <c r="DP129" s="43"/>
      <c r="DQ129" s="43"/>
      <c r="DR129" s="43"/>
      <c r="DS129" s="43"/>
      <c r="DT129" s="43"/>
      <c r="DU129" s="43"/>
      <c r="DV129" s="43"/>
      <c r="DW129" s="43"/>
      <c r="DX129" s="43"/>
      <c r="DY129" s="43"/>
      <c r="DZ129" s="43"/>
      <c r="EA129" s="43"/>
      <c r="EB129" s="43"/>
      <c r="EC129" s="43"/>
      <c r="ED129" s="43"/>
      <c r="EE129" s="43"/>
      <c r="EF129" s="43"/>
      <c r="EG129" s="43"/>
      <c r="EH129" s="43"/>
      <c r="EI129" s="43"/>
      <c r="EJ129" s="43"/>
      <c r="EK129" s="43"/>
      <c r="EL129" s="43"/>
      <c r="EM129" s="43"/>
      <c r="EN129" s="43"/>
      <c r="EO129" s="43"/>
      <c r="EP129" s="43"/>
      <c r="EQ129" s="43"/>
      <c r="ER129" s="43"/>
      <c r="ES129" s="43"/>
      <c r="ET129" s="43"/>
      <c r="EU129" s="43"/>
      <c r="EV129" s="43"/>
      <c r="EW129" s="43"/>
      <c r="EX129" s="43"/>
      <c r="EY129" s="43"/>
      <c r="EZ129" s="43"/>
      <c r="FA129" s="43"/>
      <c r="FB129" s="43"/>
      <c r="FC129" s="43"/>
      <c r="FD129" s="43"/>
      <c r="FE129" s="43"/>
      <c r="FF129" s="43"/>
      <c r="FG129" s="43"/>
      <c r="FH129" s="43"/>
      <c r="FI129" s="43"/>
      <c r="FJ129" s="43"/>
      <c r="FK129" s="43"/>
      <c r="FL129" s="43"/>
      <c r="FM129" s="43"/>
      <c r="FN129" s="43"/>
      <c r="FO129" s="43"/>
      <c r="FP129" s="43"/>
      <c r="FQ129" s="43"/>
      <c r="FR129" s="43"/>
      <c r="FS129" s="43"/>
      <c r="FT129" s="43"/>
      <c r="FU129" s="43"/>
      <c r="FV129" s="43"/>
      <c r="FW129" s="43"/>
      <c r="FX129" s="43"/>
      <c r="FY129" s="43"/>
      <c r="FZ129" s="43"/>
      <c r="GA129" s="43"/>
      <c r="GB129" s="43"/>
      <c r="GC129" s="43"/>
      <c r="GD129" s="43"/>
      <c r="GE129" s="43"/>
      <c r="GF129" s="43"/>
      <c r="GG129" s="43"/>
      <c r="GH129" s="43"/>
      <c r="GI129" s="43"/>
      <c r="GJ129" s="43"/>
      <c r="GK129" s="43"/>
      <c r="GL129" s="43"/>
      <c r="GM129" s="43"/>
      <c r="GN129" s="43"/>
      <c r="GO129" s="43"/>
      <c r="GP129" s="43"/>
      <c r="GQ129" s="43"/>
      <c r="GR129" s="43"/>
      <c r="GS129" s="43"/>
      <c r="GT129" s="43"/>
      <c r="GU129" s="43"/>
      <c r="GV129" s="43"/>
      <c r="GW129" s="43"/>
      <c r="GX129" s="43"/>
      <c r="GY129" s="43"/>
      <c r="GZ129" s="43"/>
      <c r="HA129" s="43"/>
      <c r="HB129" s="43"/>
      <c r="HC129" s="43"/>
      <c r="HD129" s="43"/>
      <c r="HE129" s="43"/>
      <c r="HF129" s="43"/>
      <c r="HG129" s="43"/>
      <c r="HH129" s="43"/>
      <c r="HI129" s="43"/>
      <c r="HJ129" s="43"/>
      <c r="HK129" s="43"/>
      <c r="HL129" s="43"/>
      <c r="HM129" s="43"/>
      <c r="HN129" s="43"/>
      <c r="HO129" s="43"/>
      <c r="HP129" s="43"/>
      <c r="HQ129" s="43"/>
      <c r="HR129" s="43"/>
      <c r="HS129" s="43"/>
      <c r="HT129" s="43"/>
      <c r="HU129" s="43"/>
      <c r="HV129" s="43"/>
      <c r="HW129" s="43"/>
      <c r="HX129" s="43"/>
      <c r="HY129" s="43"/>
      <c r="HZ129" s="43"/>
      <c r="IA129" s="43"/>
      <c r="IB129" s="43"/>
      <c r="IC129" s="43"/>
      <c r="ID129" s="43"/>
      <c r="IE129" s="43"/>
      <c r="IF129" s="43"/>
      <c r="IG129" s="43"/>
      <c r="IH129" s="43"/>
      <c r="II129" s="43"/>
      <c r="IJ129" s="43"/>
      <c r="IK129" s="43"/>
      <c r="IL129" s="43"/>
      <c r="IM129" s="43"/>
      <c r="IN129" s="43"/>
      <c r="IO129" s="43"/>
      <c r="IP129" s="43"/>
      <c r="IQ129" s="43"/>
      <c r="IR129" s="43"/>
      <c r="IS129" s="43"/>
      <c r="IT129" s="43"/>
      <c r="IU129" s="43"/>
      <c r="IV129" s="43"/>
      <c r="IW129" s="43"/>
      <c r="IX129" s="43"/>
      <c r="IY129" s="43"/>
      <c r="IZ129" s="43"/>
      <c r="JA129" s="43"/>
      <c r="JB129" s="43"/>
      <c r="JC129" s="43"/>
      <c r="JD129" s="43"/>
      <c r="JE129" s="43"/>
      <c r="JF129" s="43"/>
      <c r="JG129" s="43"/>
      <c r="JH129" s="43"/>
      <c r="JI129" s="43"/>
      <c r="JJ129" s="43"/>
      <c r="JK129" s="43"/>
      <c r="JL129" s="43"/>
      <c r="JM129" s="43"/>
      <c r="JN129" s="43"/>
      <c r="JO129" s="43"/>
      <c r="JP129" s="43"/>
      <c r="JQ129" s="43"/>
      <c r="JR129" s="43"/>
      <c r="JS129" s="43"/>
      <c r="JT129" s="43"/>
      <c r="JU129" s="43"/>
      <c r="JV129" s="43"/>
      <c r="JW129" s="43"/>
      <c r="JX129" s="43"/>
      <c r="JY129" s="43"/>
      <c r="JZ129" s="43"/>
      <c r="KA129" s="43"/>
      <c r="KB129" s="43"/>
      <c r="KC129" s="43"/>
      <c r="KD129" s="43"/>
      <c r="KE129" s="43"/>
      <c r="KF129" s="43"/>
      <c r="KG129" s="43"/>
      <c r="KH129" s="43"/>
      <c r="KI129" s="43"/>
      <c r="KJ129" s="43"/>
      <c r="KK129" s="43"/>
      <c r="KL129" s="43"/>
      <c r="KM129" s="43"/>
      <c r="KN129" s="43"/>
      <c r="KO129" s="43"/>
      <c r="KP129" s="43"/>
      <c r="KQ129" s="43"/>
      <c r="KR129" s="43"/>
      <c r="KS129" s="43"/>
      <c r="KT129" s="43"/>
      <c r="KU129" s="43"/>
      <c r="KV129" s="43"/>
      <c r="KW129" s="43"/>
      <c r="KX129" s="43"/>
      <c r="KY129" s="43"/>
      <c r="KZ129" s="43"/>
      <c r="LA129" s="43"/>
      <c r="LB129" s="43"/>
      <c r="LC129" s="43"/>
      <c r="LD129" s="43"/>
      <c r="LE129" s="43"/>
      <c r="LF129" s="43"/>
      <c r="LG129" s="43"/>
      <c r="LH129" s="43"/>
      <c r="LI129" s="43"/>
      <c r="LJ129" s="43"/>
      <c r="LK129" s="43"/>
      <c r="LL129" s="43"/>
      <c r="LM129" s="43"/>
      <c r="LN129" s="43"/>
      <c r="LO129" s="43"/>
      <c r="LP129" s="43"/>
      <c r="LQ129" s="43"/>
      <c r="LR129" s="43"/>
      <c r="LS129" s="43"/>
      <c r="LT129" s="43"/>
      <c r="LU129" s="43"/>
      <c r="LV129" s="43"/>
      <c r="LW129" s="43"/>
      <c r="LX129" s="43"/>
      <c r="LY129" s="43"/>
      <c r="LZ129" s="43"/>
      <c r="MA129" s="43"/>
      <c r="MB129" s="43"/>
      <c r="MC129" s="43"/>
      <c r="MD129" s="43"/>
      <c r="ME129" s="43"/>
      <c r="MF129" s="43"/>
      <c r="MG129" s="43"/>
      <c r="MH129" s="43"/>
      <c r="MI129" s="43"/>
      <c r="MJ129" s="43"/>
      <c r="MK129" s="43"/>
      <c r="ML129" s="43"/>
      <c r="MM129" s="43"/>
      <c r="MN129" s="43"/>
      <c r="MO129" s="43"/>
      <c r="MP129" s="43"/>
      <c r="MQ129" s="43"/>
      <c r="MR129" s="43"/>
      <c r="MS129" s="43"/>
      <c r="MT129" s="43"/>
      <c r="MU129" s="43"/>
      <c r="MV129" s="43"/>
      <c r="MW129" s="43"/>
      <c r="MX129" s="43"/>
      <c r="MY129" s="43"/>
      <c r="MZ129" s="43"/>
      <c r="NA129" s="43"/>
      <c r="NB129" s="43"/>
      <c r="NC129" s="43"/>
      <c r="ND129" s="43"/>
      <c r="NE129" s="43"/>
      <c r="NF129" s="43"/>
      <c r="NG129" s="43"/>
      <c r="NH129" s="43"/>
      <c r="NI129" s="43"/>
      <c r="NJ129" s="43"/>
      <c r="NK129" s="43"/>
      <c r="NL129" s="43"/>
      <c r="NM129" s="43"/>
      <c r="NN129" s="43"/>
      <c r="NO129" s="43"/>
      <c r="NP129" s="43"/>
      <c r="NQ129" s="43"/>
      <c r="NR129" s="43"/>
      <c r="NS129" s="43"/>
      <c r="NT129" s="43"/>
      <c r="NU129" s="43"/>
      <c r="NV129" s="43"/>
      <c r="NW129" s="43"/>
      <c r="NX129" s="43"/>
      <c r="NY129" s="43"/>
      <c r="NZ129" s="43"/>
      <c r="OA129" s="43"/>
      <c r="OB129" s="43"/>
      <c r="OC129" s="43"/>
      <c r="OD129" s="43"/>
      <c r="OE129" s="43"/>
      <c r="OF129" s="43"/>
      <c r="OG129" s="43"/>
      <c r="OH129" s="43"/>
      <c r="OI129" s="43"/>
      <c r="OJ129" s="43"/>
      <c r="OK129" s="43"/>
      <c r="OL129" s="43"/>
      <c r="OM129" s="43"/>
      <c r="ON129" s="43"/>
      <c r="OO129" s="43"/>
      <c r="OP129" s="43"/>
      <c r="OQ129" s="43"/>
      <c r="OR129" s="43"/>
      <c r="OS129" s="43"/>
      <c r="OT129" s="43"/>
      <c r="OU129" s="43"/>
      <c r="OV129" s="43"/>
      <c r="OW129" s="43"/>
      <c r="OX129" s="43"/>
      <c r="OY129" s="43"/>
      <c r="OZ129" s="43"/>
      <c r="PA129" s="43"/>
      <c r="PB129" s="43"/>
      <c r="PC129" s="43"/>
      <c r="PD129" s="43"/>
      <c r="PE129" s="43"/>
      <c r="PF129" s="43"/>
      <c r="PG129" s="43"/>
      <c r="PH129" s="43"/>
      <c r="PI129" s="43"/>
      <c r="PJ129" s="43"/>
      <c r="PK129" s="43"/>
      <c r="PL129" s="43"/>
      <c r="PM129" s="43"/>
      <c r="PN129" s="43"/>
      <c r="PO129" s="43"/>
      <c r="PP129" s="43"/>
      <c r="PQ129" s="43"/>
      <c r="PR129" s="43"/>
      <c r="PS129" s="43"/>
      <c r="PT129" s="43"/>
      <c r="PU129" s="43"/>
      <c r="PV129" s="43"/>
      <c r="PW129" s="43"/>
      <c r="PX129" s="43"/>
      <c r="PY129" s="43"/>
      <c r="PZ129" s="43"/>
      <c r="QA129" s="43"/>
      <c r="QB129" s="43"/>
      <c r="QC129" s="43"/>
    </row>
    <row r="130" spans="1:445" x14ac:dyDescent="0.3">
      <c r="A130" s="85"/>
      <c r="B130" s="84"/>
      <c r="C130" s="84"/>
      <c r="D130" s="84"/>
      <c r="E130" s="84"/>
      <c r="F130" s="84"/>
      <c r="G130" s="84"/>
      <c r="H130" s="84"/>
      <c r="I130" s="84"/>
      <c r="J130" s="84"/>
      <c r="K130" s="84"/>
      <c r="L130" s="99"/>
      <c r="M130" s="99"/>
      <c r="N130" s="99"/>
      <c r="O130" s="84"/>
      <c r="P130" s="84"/>
      <c r="Q130" s="84"/>
      <c r="R130" s="84"/>
      <c r="S130" s="84"/>
      <c r="T130" s="46" t="str">
        <f t="shared" si="9"/>
        <v/>
      </c>
      <c r="U130" s="46" t="str">
        <f t="shared" si="10"/>
        <v/>
      </c>
      <c r="V130" s="72" t="str">
        <f t="shared" si="11"/>
        <v/>
      </c>
      <c r="X130" s="73" t="str">
        <f t="shared" si="13"/>
        <v/>
      </c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43"/>
      <c r="BN130" s="43"/>
      <c r="BO130" s="43"/>
      <c r="BP130" s="43"/>
      <c r="BQ130" s="43"/>
      <c r="BR130" s="43"/>
      <c r="BS130" s="43"/>
      <c r="BT130" s="43"/>
      <c r="BU130" s="43"/>
      <c r="BV130" s="43"/>
      <c r="BW130" s="43"/>
      <c r="BX130" s="43"/>
      <c r="BY130" s="43"/>
      <c r="BZ130" s="43"/>
      <c r="CA130" s="43"/>
      <c r="CB130" s="43"/>
      <c r="CC130" s="4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43"/>
      <c r="CY130" s="43"/>
      <c r="CZ130" s="43"/>
      <c r="DA130" s="43"/>
      <c r="DB130" s="43"/>
      <c r="DC130" s="43"/>
      <c r="DD130" s="43"/>
      <c r="DE130" s="43"/>
      <c r="DF130" s="43"/>
      <c r="DG130" s="43"/>
      <c r="DH130" s="43"/>
      <c r="DI130" s="43"/>
      <c r="DJ130" s="43"/>
      <c r="DK130" s="43"/>
      <c r="DL130" s="43"/>
      <c r="DM130" s="43"/>
      <c r="DN130" s="43"/>
      <c r="DO130" s="43"/>
      <c r="DP130" s="43"/>
      <c r="DQ130" s="43"/>
      <c r="DR130" s="43"/>
      <c r="DS130" s="43"/>
      <c r="DT130" s="43"/>
      <c r="DU130" s="43"/>
      <c r="DV130" s="43"/>
      <c r="DW130" s="43"/>
      <c r="DX130" s="43"/>
      <c r="DY130" s="43"/>
      <c r="DZ130" s="43"/>
      <c r="EA130" s="43"/>
      <c r="EB130" s="43"/>
      <c r="EC130" s="43"/>
      <c r="ED130" s="43"/>
      <c r="EE130" s="43"/>
      <c r="EF130" s="43"/>
      <c r="EG130" s="43"/>
      <c r="EH130" s="43"/>
      <c r="EI130" s="43"/>
      <c r="EJ130" s="43"/>
      <c r="EK130" s="43"/>
      <c r="EL130" s="43"/>
      <c r="EM130" s="43"/>
      <c r="EN130" s="43"/>
      <c r="EO130" s="43"/>
      <c r="EP130" s="43"/>
      <c r="EQ130" s="43"/>
      <c r="ER130" s="43"/>
      <c r="ES130" s="43"/>
      <c r="ET130" s="43"/>
      <c r="EU130" s="43"/>
      <c r="EV130" s="43"/>
      <c r="EW130" s="43"/>
      <c r="EX130" s="43"/>
      <c r="EY130" s="43"/>
      <c r="EZ130" s="43"/>
      <c r="FA130" s="43"/>
      <c r="FB130" s="43"/>
      <c r="FC130" s="43"/>
      <c r="FD130" s="43"/>
      <c r="FE130" s="43"/>
      <c r="FF130" s="43"/>
      <c r="FG130" s="43"/>
      <c r="FH130" s="43"/>
      <c r="FI130" s="43"/>
      <c r="FJ130" s="43"/>
      <c r="FK130" s="43"/>
      <c r="FL130" s="43"/>
      <c r="FM130" s="43"/>
      <c r="FN130" s="43"/>
      <c r="FO130" s="43"/>
      <c r="FP130" s="43"/>
      <c r="FQ130" s="43"/>
      <c r="FR130" s="43"/>
      <c r="FS130" s="43"/>
      <c r="FT130" s="43"/>
      <c r="FU130" s="43"/>
      <c r="FV130" s="43"/>
      <c r="FW130" s="43"/>
      <c r="FX130" s="43"/>
      <c r="FY130" s="43"/>
      <c r="FZ130" s="43"/>
      <c r="GA130" s="43"/>
      <c r="GB130" s="43"/>
      <c r="GC130" s="43"/>
      <c r="GD130" s="43"/>
      <c r="GE130" s="43"/>
      <c r="GF130" s="43"/>
      <c r="GG130" s="43"/>
      <c r="GH130" s="43"/>
      <c r="GI130" s="43"/>
      <c r="GJ130" s="43"/>
      <c r="GK130" s="43"/>
      <c r="GL130" s="43"/>
      <c r="GM130" s="43"/>
      <c r="GN130" s="43"/>
      <c r="GO130" s="43"/>
      <c r="GP130" s="43"/>
      <c r="GQ130" s="43"/>
      <c r="GR130" s="43"/>
      <c r="GS130" s="43"/>
      <c r="GT130" s="43"/>
      <c r="GU130" s="43"/>
      <c r="GV130" s="43"/>
      <c r="GW130" s="43"/>
      <c r="GX130" s="43"/>
      <c r="GY130" s="43"/>
      <c r="GZ130" s="43"/>
      <c r="HA130" s="43"/>
      <c r="HB130" s="43"/>
      <c r="HC130" s="43"/>
      <c r="HD130" s="43"/>
      <c r="HE130" s="43"/>
      <c r="HF130" s="43"/>
      <c r="HG130" s="43"/>
      <c r="HH130" s="43"/>
      <c r="HI130" s="43"/>
      <c r="HJ130" s="43"/>
      <c r="HK130" s="43"/>
      <c r="HL130" s="43"/>
      <c r="HM130" s="43"/>
      <c r="HN130" s="43"/>
      <c r="HO130" s="43"/>
      <c r="HP130" s="43"/>
      <c r="HQ130" s="43"/>
      <c r="HR130" s="43"/>
      <c r="HS130" s="43"/>
      <c r="HT130" s="43"/>
      <c r="HU130" s="43"/>
      <c r="HV130" s="43"/>
      <c r="HW130" s="43"/>
      <c r="HX130" s="43"/>
      <c r="HY130" s="43"/>
      <c r="HZ130" s="43"/>
      <c r="IA130" s="43"/>
      <c r="IB130" s="43"/>
      <c r="IC130" s="43"/>
      <c r="ID130" s="43"/>
      <c r="IE130" s="43"/>
      <c r="IF130" s="43"/>
      <c r="IG130" s="43"/>
      <c r="IH130" s="43"/>
      <c r="II130" s="43"/>
      <c r="IJ130" s="43"/>
      <c r="IK130" s="43"/>
      <c r="IL130" s="43"/>
      <c r="IM130" s="43"/>
      <c r="IN130" s="43"/>
      <c r="IO130" s="43"/>
      <c r="IP130" s="43"/>
      <c r="IQ130" s="43"/>
      <c r="IR130" s="43"/>
      <c r="IS130" s="43"/>
      <c r="IT130" s="43"/>
      <c r="IU130" s="43"/>
      <c r="IV130" s="43"/>
      <c r="IW130" s="43"/>
      <c r="IX130" s="43"/>
      <c r="IY130" s="43"/>
      <c r="IZ130" s="43"/>
      <c r="JA130" s="43"/>
      <c r="JB130" s="43"/>
      <c r="JC130" s="43"/>
      <c r="JD130" s="43"/>
      <c r="JE130" s="43"/>
      <c r="JF130" s="43"/>
      <c r="JG130" s="43"/>
      <c r="JH130" s="43"/>
      <c r="JI130" s="43"/>
      <c r="JJ130" s="43"/>
      <c r="JK130" s="43"/>
      <c r="JL130" s="43"/>
      <c r="JM130" s="43"/>
      <c r="JN130" s="43"/>
      <c r="JO130" s="43"/>
      <c r="JP130" s="43"/>
      <c r="JQ130" s="43"/>
      <c r="JR130" s="43"/>
      <c r="JS130" s="43"/>
      <c r="JT130" s="43"/>
      <c r="JU130" s="43"/>
      <c r="JV130" s="43"/>
      <c r="JW130" s="43"/>
      <c r="JX130" s="43"/>
      <c r="JY130" s="43"/>
      <c r="JZ130" s="43"/>
      <c r="KA130" s="43"/>
      <c r="KB130" s="43"/>
      <c r="KC130" s="43"/>
      <c r="KD130" s="43"/>
      <c r="KE130" s="43"/>
      <c r="KF130" s="43"/>
      <c r="KG130" s="43"/>
      <c r="KH130" s="43"/>
      <c r="KI130" s="43"/>
      <c r="KJ130" s="43"/>
      <c r="KK130" s="43"/>
      <c r="KL130" s="43"/>
      <c r="KM130" s="43"/>
      <c r="KN130" s="43"/>
      <c r="KO130" s="43"/>
      <c r="KP130" s="43"/>
      <c r="KQ130" s="43"/>
      <c r="KR130" s="43"/>
      <c r="KS130" s="43"/>
      <c r="KT130" s="43"/>
      <c r="KU130" s="43"/>
      <c r="KV130" s="43"/>
      <c r="KW130" s="43"/>
      <c r="KX130" s="43"/>
      <c r="KY130" s="43"/>
      <c r="KZ130" s="43"/>
      <c r="LA130" s="43"/>
      <c r="LB130" s="43"/>
      <c r="LC130" s="43"/>
      <c r="LD130" s="43"/>
      <c r="LE130" s="43"/>
      <c r="LF130" s="43"/>
      <c r="LG130" s="43"/>
      <c r="LH130" s="43"/>
      <c r="LI130" s="43"/>
      <c r="LJ130" s="43"/>
      <c r="LK130" s="43"/>
      <c r="LL130" s="43"/>
      <c r="LM130" s="43"/>
      <c r="LN130" s="43"/>
      <c r="LO130" s="43"/>
      <c r="LP130" s="43"/>
      <c r="LQ130" s="43"/>
      <c r="LR130" s="43"/>
      <c r="LS130" s="43"/>
      <c r="LT130" s="43"/>
      <c r="LU130" s="43"/>
      <c r="LV130" s="43"/>
      <c r="LW130" s="43"/>
      <c r="LX130" s="43"/>
      <c r="LY130" s="43"/>
      <c r="LZ130" s="43"/>
      <c r="MA130" s="43"/>
      <c r="MB130" s="43"/>
      <c r="MC130" s="43"/>
      <c r="MD130" s="43"/>
      <c r="ME130" s="43"/>
      <c r="MF130" s="43"/>
      <c r="MG130" s="43"/>
      <c r="MH130" s="43"/>
      <c r="MI130" s="43"/>
      <c r="MJ130" s="43"/>
      <c r="MK130" s="43"/>
      <c r="ML130" s="43"/>
      <c r="MM130" s="43"/>
      <c r="MN130" s="43"/>
      <c r="MO130" s="43"/>
      <c r="MP130" s="43"/>
      <c r="MQ130" s="43"/>
      <c r="MR130" s="43"/>
      <c r="MS130" s="43"/>
      <c r="MT130" s="43"/>
      <c r="MU130" s="43"/>
      <c r="MV130" s="43"/>
      <c r="MW130" s="43"/>
      <c r="MX130" s="43"/>
      <c r="MY130" s="43"/>
      <c r="MZ130" s="43"/>
      <c r="NA130" s="43"/>
      <c r="NB130" s="43"/>
      <c r="NC130" s="43"/>
      <c r="ND130" s="43"/>
      <c r="NE130" s="43"/>
      <c r="NF130" s="43"/>
      <c r="NG130" s="43"/>
      <c r="NH130" s="43"/>
      <c r="NI130" s="43"/>
      <c r="NJ130" s="43"/>
      <c r="NK130" s="43"/>
      <c r="NL130" s="43"/>
      <c r="NM130" s="43"/>
      <c r="NN130" s="43"/>
      <c r="NO130" s="43"/>
      <c r="NP130" s="43"/>
      <c r="NQ130" s="43"/>
      <c r="NR130" s="43"/>
      <c r="NS130" s="43"/>
      <c r="NT130" s="43"/>
      <c r="NU130" s="43"/>
      <c r="NV130" s="43"/>
      <c r="NW130" s="43"/>
      <c r="NX130" s="43"/>
      <c r="NY130" s="43"/>
      <c r="NZ130" s="43"/>
      <c r="OA130" s="43"/>
      <c r="OB130" s="43"/>
      <c r="OC130" s="43"/>
      <c r="OD130" s="43"/>
      <c r="OE130" s="43"/>
      <c r="OF130" s="43"/>
      <c r="OG130" s="43"/>
      <c r="OH130" s="43"/>
      <c r="OI130" s="43"/>
      <c r="OJ130" s="43"/>
      <c r="OK130" s="43"/>
      <c r="OL130" s="43"/>
      <c r="OM130" s="43"/>
      <c r="ON130" s="43"/>
      <c r="OO130" s="43"/>
      <c r="OP130" s="43"/>
      <c r="OQ130" s="43"/>
      <c r="OR130" s="43"/>
      <c r="OS130" s="43"/>
      <c r="OT130" s="43"/>
      <c r="OU130" s="43"/>
      <c r="OV130" s="43"/>
      <c r="OW130" s="43"/>
      <c r="OX130" s="43"/>
      <c r="OY130" s="43"/>
      <c r="OZ130" s="43"/>
      <c r="PA130" s="43"/>
      <c r="PB130" s="43"/>
      <c r="PC130" s="43"/>
      <c r="PD130" s="43"/>
      <c r="PE130" s="43"/>
      <c r="PF130" s="43"/>
      <c r="PG130" s="43"/>
      <c r="PH130" s="43"/>
      <c r="PI130" s="43"/>
      <c r="PJ130" s="43"/>
      <c r="PK130" s="43"/>
      <c r="PL130" s="43"/>
      <c r="PM130" s="43"/>
      <c r="PN130" s="43"/>
      <c r="PO130" s="43"/>
      <c r="PP130" s="43"/>
      <c r="PQ130" s="43"/>
      <c r="PR130" s="43"/>
      <c r="PS130" s="43"/>
      <c r="PT130" s="43"/>
      <c r="PU130" s="43"/>
      <c r="PV130" s="43"/>
      <c r="PW130" s="43"/>
      <c r="PX130" s="43"/>
      <c r="PY130" s="43"/>
      <c r="PZ130" s="43"/>
      <c r="QA130" s="43"/>
      <c r="QB130" s="43"/>
      <c r="QC130" s="43"/>
    </row>
    <row r="131" spans="1:445" s="50" customFormat="1" x14ac:dyDescent="0.3">
      <c r="A131" s="85"/>
      <c r="B131" s="84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46" t="str">
        <f t="shared" si="9"/>
        <v/>
      </c>
      <c r="U131" s="46" t="str">
        <f t="shared" si="10"/>
        <v/>
      </c>
      <c r="V131" s="72" t="str">
        <f t="shared" si="11"/>
        <v/>
      </c>
      <c r="W131" s="48"/>
      <c r="X131" s="73" t="str">
        <f t="shared" si="13"/>
        <v/>
      </c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43"/>
      <c r="BN131" s="43"/>
      <c r="BO131" s="43"/>
      <c r="BP131" s="43"/>
      <c r="BQ131" s="43"/>
      <c r="BR131" s="43"/>
      <c r="BS131" s="43"/>
      <c r="BT131" s="43"/>
      <c r="BU131" s="43"/>
      <c r="BV131" s="43"/>
      <c r="BW131" s="43"/>
      <c r="BX131" s="43"/>
      <c r="BY131" s="43"/>
      <c r="BZ131" s="43"/>
      <c r="CA131" s="43"/>
      <c r="CB131" s="43"/>
      <c r="CC131" s="43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43"/>
      <c r="CY131" s="43"/>
      <c r="CZ131" s="43"/>
      <c r="DA131" s="43"/>
      <c r="DB131" s="43"/>
      <c r="DC131" s="43"/>
      <c r="DD131" s="43"/>
      <c r="DE131" s="43"/>
      <c r="DF131" s="43"/>
      <c r="DG131" s="43"/>
      <c r="DH131" s="43"/>
      <c r="DI131" s="43"/>
      <c r="DJ131" s="43"/>
      <c r="DK131" s="43"/>
      <c r="DL131" s="43"/>
      <c r="DM131" s="43"/>
      <c r="DN131" s="43"/>
      <c r="DO131" s="43"/>
      <c r="DP131" s="43"/>
      <c r="DQ131" s="43"/>
      <c r="DR131" s="43"/>
      <c r="DS131" s="43"/>
      <c r="DT131" s="43"/>
      <c r="DU131" s="43"/>
      <c r="DV131" s="43"/>
      <c r="DW131" s="43"/>
      <c r="DX131" s="43"/>
      <c r="DY131" s="43"/>
      <c r="DZ131" s="43"/>
      <c r="EA131" s="43"/>
      <c r="EB131" s="43"/>
      <c r="EC131" s="43"/>
      <c r="ED131" s="43"/>
      <c r="EE131" s="43"/>
      <c r="EF131" s="43"/>
      <c r="EG131" s="43"/>
      <c r="EH131" s="43"/>
      <c r="EI131" s="43"/>
      <c r="EJ131" s="43"/>
      <c r="EK131" s="43"/>
      <c r="EL131" s="43"/>
      <c r="EM131" s="43"/>
      <c r="EN131" s="43"/>
      <c r="EO131" s="43"/>
      <c r="EP131" s="43"/>
      <c r="EQ131" s="43"/>
      <c r="ER131" s="43"/>
      <c r="ES131" s="43"/>
      <c r="ET131" s="43"/>
      <c r="EU131" s="43"/>
      <c r="EV131" s="43"/>
      <c r="EW131" s="43"/>
      <c r="EX131" s="43"/>
      <c r="EY131" s="43"/>
      <c r="EZ131" s="43"/>
      <c r="FA131" s="43"/>
      <c r="FB131" s="43"/>
      <c r="FC131" s="43"/>
      <c r="FD131" s="43"/>
      <c r="FE131" s="43"/>
      <c r="FF131" s="43"/>
      <c r="FG131" s="43"/>
      <c r="FH131" s="43"/>
      <c r="FI131" s="43"/>
      <c r="FJ131" s="43"/>
      <c r="FK131" s="43"/>
      <c r="FL131" s="43"/>
      <c r="FM131" s="43"/>
      <c r="FN131" s="43"/>
      <c r="FO131" s="43"/>
      <c r="FP131" s="43"/>
      <c r="FQ131" s="43"/>
      <c r="FR131" s="43"/>
      <c r="FS131" s="43"/>
      <c r="FT131" s="43"/>
      <c r="FU131" s="43"/>
      <c r="FV131" s="43"/>
      <c r="FW131" s="43"/>
      <c r="FX131" s="43"/>
      <c r="FY131" s="43"/>
      <c r="FZ131" s="43"/>
      <c r="GA131" s="43"/>
      <c r="GB131" s="43"/>
      <c r="GC131" s="43"/>
      <c r="GD131" s="43"/>
      <c r="GE131" s="43"/>
      <c r="GF131" s="43"/>
      <c r="GG131" s="43"/>
      <c r="GH131" s="43"/>
      <c r="GI131" s="43"/>
      <c r="GJ131" s="43"/>
      <c r="GK131" s="43"/>
      <c r="GL131" s="43"/>
      <c r="GM131" s="43"/>
      <c r="GN131" s="43"/>
      <c r="GO131" s="43"/>
      <c r="GP131" s="43"/>
      <c r="GQ131" s="43"/>
      <c r="GR131" s="43"/>
      <c r="GS131" s="43"/>
      <c r="GT131" s="43"/>
      <c r="GU131" s="43"/>
      <c r="GV131" s="43"/>
      <c r="GW131" s="43"/>
      <c r="GX131" s="43"/>
      <c r="GY131" s="43"/>
      <c r="GZ131" s="43"/>
      <c r="HA131" s="43"/>
      <c r="HB131" s="43"/>
      <c r="HC131" s="43"/>
      <c r="HD131" s="43"/>
      <c r="HE131" s="43"/>
      <c r="HF131" s="43"/>
      <c r="HG131" s="43"/>
      <c r="HH131" s="43"/>
      <c r="HI131" s="43"/>
      <c r="HJ131" s="43"/>
      <c r="HK131" s="43"/>
      <c r="HL131" s="43"/>
      <c r="HM131" s="43"/>
      <c r="HN131" s="43"/>
      <c r="HO131" s="43"/>
      <c r="HP131" s="43"/>
      <c r="HQ131" s="43"/>
      <c r="HR131" s="43"/>
      <c r="HS131" s="43"/>
      <c r="HT131" s="43"/>
      <c r="HU131" s="43"/>
      <c r="HV131" s="43"/>
      <c r="HW131" s="43"/>
      <c r="HX131" s="43"/>
      <c r="HY131" s="43"/>
      <c r="HZ131" s="43"/>
      <c r="IA131" s="43"/>
      <c r="IB131" s="43"/>
      <c r="IC131" s="43"/>
      <c r="ID131" s="43"/>
      <c r="IE131" s="43"/>
      <c r="IF131" s="43"/>
      <c r="IG131" s="43"/>
      <c r="IH131" s="43"/>
      <c r="II131" s="43"/>
      <c r="IJ131" s="43"/>
      <c r="IK131" s="43"/>
      <c r="IL131" s="43"/>
      <c r="IM131" s="43"/>
      <c r="IN131" s="43"/>
      <c r="IO131" s="43"/>
      <c r="IP131" s="43"/>
      <c r="IQ131" s="43"/>
      <c r="IR131" s="43"/>
      <c r="IS131" s="43"/>
      <c r="IT131" s="43"/>
      <c r="IU131" s="43"/>
      <c r="IV131" s="43"/>
      <c r="IW131" s="43"/>
      <c r="IX131" s="43"/>
      <c r="IY131" s="43"/>
      <c r="IZ131" s="43"/>
      <c r="JA131" s="43"/>
      <c r="JB131" s="43"/>
      <c r="JC131" s="43"/>
      <c r="JD131" s="43"/>
      <c r="JE131" s="43"/>
      <c r="JF131" s="43"/>
      <c r="JG131" s="43"/>
      <c r="JH131" s="43"/>
      <c r="JI131" s="43"/>
      <c r="JJ131" s="43"/>
      <c r="JK131" s="43"/>
      <c r="JL131" s="43"/>
      <c r="JM131" s="43"/>
      <c r="JN131" s="43"/>
      <c r="JO131" s="43"/>
      <c r="JP131" s="43"/>
      <c r="JQ131" s="43"/>
      <c r="JR131" s="43"/>
      <c r="JS131" s="43"/>
      <c r="JT131" s="43"/>
      <c r="JU131" s="43"/>
      <c r="JV131" s="43"/>
      <c r="JW131" s="43"/>
      <c r="JX131" s="43"/>
      <c r="JY131" s="43"/>
      <c r="JZ131" s="43"/>
      <c r="KA131" s="43"/>
      <c r="KB131" s="43"/>
      <c r="KC131" s="43"/>
      <c r="KD131" s="43"/>
      <c r="KE131" s="43"/>
      <c r="KF131" s="43"/>
      <c r="KG131" s="43"/>
      <c r="KH131" s="43"/>
      <c r="KI131" s="43"/>
      <c r="KJ131" s="43"/>
      <c r="KK131" s="43"/>
      <c r="KL131" s="43"/>
      <c r="KM131" s="43"/>
      <c r="KN131" s="43"/>
      <c r="KO131" s="43"/>
      <c r="KP131" s="43"/>
      <c r="KQ131" s="43"/>
      <c r="KR131" s="43"/>
      <c r="KS131" s="43"/>
      <c r="KT131" s="43"/>
      <c r="KU131" s="43"/>
      <c r="KV131" s="43"/>
      <c r="KW131" s="43"/>
      <c r="KX131" s="43"/>
      <c r="KY131" s="43"/>
      <c r="KZ131" s="43"/>
      <c r="LA131" s="43"/>
      <c r="LB131" s="43"/>
      <c r="LC131" s="43"/>
      <c r="LD131" s="43"/>
      <c r="LE131" s="43"/>
      <c r="LF131" s="43"/>
      <c r="LG131" s="43"/>
      <c r="LH131" s="43"/>
      <c r="LI131" s="43"/>
      <c r="LJ131" s="43"/>
      <c r="LK131" s="43"/>
      <c r="LL131" s="43"/>
      <c r="LM131" s="43"/>
      <c r="LN131" s="43"/>
      <c r="LO131" s="43"/>
      <c r="LP131" s="43"/>
      <c r="LQ131" s="43"/>
      <c r="LR131" s="43"/>
      <c r="LS131" s="43"/>
      <c r="LT131" s="43"/>
      <c r="LU131" s="43"/>
      <c r="LV131" s="43"/>
      <c r="LW131" s="43"/>
      <c r="LX131" s="43"/>
      <c r="LY131" s="43"/>
      <c r="LZ131" s="43"/>
      <c r="MA131" s="43"/>
      <c r="MB131" s="43"/>
      <c r="MC131" s="43"/>
      <c r="MD131" s="43"/>
      <c r="ME131" s="43"/>
      <c r="MF131" s="43"/>
      <c r="MG131" s="43"/>
      <c r="MH131" s="43"/>
      <c r="MI131" s="43"/>
      <c r="MJ131" s="43"/>
      <c r="MK131" s="43"/>
      <c r="ML131" s="43"/>
      <c r="MM131" s="43"/>
      <c r="MN131" s="43"/>
      <c r="MO131" s="43"/>
      <c r="MP131" s="43"/>
      <c r="MQ131" s="43"/>
      <c r="MR131" s="43"/>
      <c r="MS131" s="43"/>
      <c r="MT131" s="43"/>
      <c r="MU131" s="43"/>
      <c r="MV131" s="43"/>
      <c r="MW131" s="43"/>
      <c r="MX131" s="43"/>
      <c r="MY131" s="43"/>
      <c r="MZ131" s="43"/>
      <c r="NA131" s="43"/>
      <c r="NB131" s="43"/>
      <c r="NC131" s="43"/>
      <c r="ND131" s="43"/>
      <c r="NE131" s="43"/>
      <c r="NF131" s="43"/>
      <c r="NG131" s="43"/>
      <c r="NH131" s="43"/>
      <c r="NI131" s="43"/>
      <c r="NJ131" s="43"/>
      <c r="NK131" s="43"/>
      <c r="NL131" s="43"/>
      <c r="NM131" s="43"/>
      <c r="NN131" s="43"/>
      <c r="NO131" s="43"/>
      <c r="NP131" s="43"/>
      <c r="NQ131" s="43"/>
      <c r="NR131" s="43"/>
      <c r="NS131" s="43"/>
      <c r="NT131" s="43"/>
      <c r="NU131" s="43"/>
      <c r="NV131" s="43"/>
      <c r="NW131" s="43"/>
      <c r="NX131" s="43"/>
      <c r="NY131" s="43"/>
      <c r="NZ131" s="43"/>
      <c r="OA131" s="43"/>
      <c r="OB131" s="43"/>
      <c r="OC131" s="43"/>
      <c r="OD131" s="43"/>
      <c r="OE131" s="43"/>
      <c r="OF131" s="43"/>
      <c r="OG131" s="43"/>
      <c r="OH131" s="43"/>
      <c r="OI131" s="43"/>
      <c r="OJ131" s="43"/>
      <c r="OK131" s="43"/>
      <c r="OL131" s="43"/>
      <c r="OM131" s="43"/>
      <c r="ON131" s="43"/>
      <c r="OO131" s="43"/>
      <c r="OP131" s="43"/>
      <c r="OQ131" s="43"/>
      <c r="OR131" s="43"/>
      <c r="OS131" s="43"/>
      <c r="OT131" s="43"/>
      <c r="OU131" s="43"/>
      <c r="OV131" s="43"/>
      <c r="OW131" s="43"/>
      <c r="OX131" s="43"/>
      <c r="OY131" s="43"/>
      <c r="OZ131" s="43"/>
      <c r="PA131" s="43"/>
      <c r="PB131" s="43"/>
      <c r="PC131" s="43"/>
      <c r="PD131" s="43"/>
      <c r="PE131" s="43"/>
      <c r="PF131" s="43"/>
      <c r="PG131" s="43"/>
      <c r="PH131" s="43"/>
      <c r="PI131" s="43"/>
      <c r="PJ131" s="43"/>
      <c r="PK131" s="43"/>
      <c r="PL131" s="43"/>
      <c r="PM131" s="43"/>
      <c r="PN131" s="43"/>
      <c r="PO131" s="43"/>
      <c r="PP131" s="43"/>
      <c r="PQ131" s="43"/>
      <c r="PR131" s="43"/>
      <c r="PS131" s="43"/>
      <c r="PT131" s="43"/>
      <c r="PU131" s="43"/>
      <c r="PV131" s="43"/>
      <c r="PW131" s="43"/>
      <c r="PX131" s="43"/>
      <c r="PY131" s="43"/>
      <c r="PZ131" s="43"/>
      <c r="QA131" s="43"/>
      <c r="QB131" s="43"/>
      <c r="QC131" s="43"/>
    </row>
    <row r="132" spans="1:445" s="50" customFormat="1" x14ac:dyDescent="0.3">
      <c r="A132" s="85"/>
      <c r="B132" s="84"/>
      <c r="C132" s="84"/>
      <c r="D132" s="84"/>
      <c r="E132" s="84"/>
      <c r="F132" s="84"/>
      <c r="G132" s="84"/>
      <c r="H132" s="84"/>
      <c r="I132" s="84"/>
      <c r="J132" s="84"/>
      <c r="K132" s="84"/>
      <c r="L132" s="86"/>
      <c r="M132" s="86"/>
      <c r="N132" s="86"/>
      <c r="O132" s="84"/>
      <c r="P132" s="84"/>
      <c r="Q132" s="84"/>
      <c r="R132" s="84"/>
      <c r="S132" s="84"/>
      <c r="T132" s="46" t="str">
        <f t="shared" si="9"/>
        <v/>
      </c>
      <c r="U132" s="46" t="str">
        <f t="shared" si="10"/>
        <v/>
      </c>
      <c r="V132" s="72" t="str">
        <f t="shared" si="11"/>
        <v/>
      </c>
      <c r="W132" s="49"/>
      <c r="X132" s="73" t="str">
        <f t="shared" si="13"/>
        <v/>
      </c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43"/>
      <c r="BN132" s="43"/>
      <c r="BO132" s="43"/>
      <c r="BP132" s="43"/>
      <c r="BQ132" s="43"/>
      <c r="BR132" s="43"/>
      <c r="BS132" s="43"/>
      <c r="BT132" s="43"/>
      <c r="BU132" s="43"/>
      <c r="BV132" s="43"/>
      <c r="BW132" s="43"/>
      <c r="BX132" s="43"/>
      <c r="BY132" s="43"/>
      <c r="BZ132" s="43"/>
      <c r="CA132" s="43"/>
      <c r="CB132" s="43"/>
      <c r="CC132" s="43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43"/>
      <c r="CY132" s="43"/>
      <c r="CZ132" s="43"/>
      <c r="DA132" s="43"/>
      <c r="DB132" s="43"/>
      <c r="DC132" s="43"/>
      <c r="DD132" s="43"/>
      <c r="DE132" s="43"/>
      <c r="DF132" s="43"/>
      <c r="DG132" s="43"/>
      <c r="DH132" s="43"/>
      <c r="DI132" s="43"/>
      <c r="DJ132" s="43"/>
      <c r="DK132" s="43"/>
      <c r="DL132" s="43"/>
      <c r="DM132" s="43"/>
      <c r="DN132" s="43"/>
      <c r="DO132" s="43"/>
      <c r="DP132" s="43"/>
      <c r="DQ132" s="43"/>
      <c r="DR132" s="43"/>
      <c r="DS132" s="43"/>
      <c r="DT132" s="43"/>
      <c r="DU132" s="43"/>
      <c r="DV132" s="43"/>
      <c r="DW132" s="43"/>
      <c r="DX132" s="43"/>
      <c r="DY132" s="43"/>
      <c r="DZ132" s="43"/>
      <c r="EA132" s="43"/>
      <c r="EB132" s="43"/>
      <c r="EC132" s="43"/>
      <c r="ED132" s="43"/>
      <c r="EE132" s="43"/>
      <c r="EF132" s="43"/>
      <c r="EG132" s="43"/>
      <c r="EH132" s="43"/>
      <c r="EI132" s="43"/>
      <c r="EJ132" s="43"/>
      <c r="EK132" s="43"/>
      <c r="EL132" s="43"/>
      <c r="EM132" s="43"/>
      <c r="EN132" s="43"/>
      <c r="EO132" s="43"/>
      <c r="EP132" s="43"/>
      <c r="EQ132" s="43"/>
      <c r="ER132" s="43"/>
      <c r="ES132" s="43"/>
      <c r="ET132" s="43"/>
      <c r="EU132" s="43"/>
      <c r="EV132" s="43"/>
      <c r="EW132" s="43"/>
      <c r="EX132" s="43"/>
      <c r="EY132" s="43"/>
      <c r="EZ132" s="43"/>
      <c r="FA132" s="43"/>
      <c r="FB132" s="43"/>
      <c r="FC132" s="43"/>
      <c r="FD132" s="43"/>
      <c r="FE132" s="43"/>
      <c r="FF132" s="43"/>
      <c r="FG132" s="43"/>
      <c r="FH132" s="43"/>
      <c r="FI132" s="43"/>
      <c r="FJ132" s="43"/>
      <c r="FK132" s="43"/>
      <c r="FL132" s="43"/>
      <c r="FM132" s="43"/>
      <c r="FN132" s="43"/>
      <c r="FO132" s="43"/>
      <c r="FP132" s="43"/>
      <c r="FQ132" s="43"/>
      <c r="FR132" s="43"/>
      <c r="FS132" s="43"/>
      <c r="FT132" s="43"/>
      <c r="FU132" s="43"/>
      <c r="FV132" s="43"/>
      <c r="FW132" s="43"/>
      <c r="FX132" s="43"/>
      <c r="FY132" s="43"/>
      <c r="FZ132" s="43"/>
      <c r="GA132" s="43"/>
      <c r="GB132" s="43"/>
      <c r="GC132" s="43"/>
      <c r="GD132" s="43"/>
      <c r="GE132" s="43"/>
      <c r="GF132" s="43"/>
      <c r="GG132" s="43"/>
      <c r="GH132" s="43"/>
      <c r="GI132" s="43"/>
      <c r="GJ132" s="43"/>
      <c r="GK132" s="43"/>
      <c r="GL132" s="43"/>
      <c r="GM132" s="43"/>
      <c r="GN132" s="43"/>
      <c r="GO132" s="43"/>
      <c r="GP132" s="43"/>
      <c r="GQ132" s="43"/>
      <c r="GR132" s="43"/>
      <c r="GS132" s="43"/>
      <c r="GT132" s="43"/>
      <c r="GU132" s="43"/>
      <c r="GV132" s="43"/>
      <c r="GW132" s="43"/>
      <c r="GX132" s="43"/>
      <c r="GY132" s="43"/>
      <c r="GZ132" s="43"/>
      <c r="HA132" s="43"/>
      <c r="HB132" s="43"/>
      <c r="HC132" s="43"/>
      <c r="HD132" s="43"/>
      <c r="HE132" s="43"/>
      <c r="HF132" s="43"/>
      <c r="HG132" s="43"/>
      <c r="HH132" s="43"/>
      <c r="HI132" s="43"/>
      <c r="HJ132" s="43"/>
      <c r="HK132" s="43"/>
      <c r="HL132" s="43"/>
      <c r="HM132" s="43"/>
      <c r="HN132" s="43"/>
      <c r="HO132" s="43"/>
      <c r="HP132" s="43"/>
      <c r="HQ132" s="43"/>
      <c r="HR132" s="43"/>
      <c r="HS132" s="43"/>
      <c r="HT132" s="43"/>
      <c r="HU132" s="43"/>
      <c r="HV132" s="43"/>
      <c r="HW132" s="43"/>
      <c r="HX132" s="43"/>
      <c r="HY132" s="43"/>
      <c r="HZ132" s="43"/>
      <c r="IA132" s="43"/>
      <c r="IB132" s="43"/>
      <c r="IC132" s="43"/>
      <c r="ID132" s="43"/>
      <c r="IE132" s="43"/>
      <c r="IF132" s="43"/>
      <c r="IG132" s="43"/>
      <c r="IH132" s="43"/>
      <c r="II132" s="43"/>
      <c r="IJ132" s="43"/>
      <c r="IK132" s="43"/>
      <c r="IL132" s="43"/>
      <c r="IM132" s="43"/>
      <c r="IN132" s="43"/>
      <c r="IO132" s="43"/>
      <c r="IP132" s="43"/>
      <c r="IQ132" s="43"/>
      <c r="IR132" s="43"/>
      <c r="IS132" s="43"/>
      <c r="IT132" s="43"/>
      <c r="IU132" s="43"/>
      <c r="IV132" s="43"/>
      <c r="IW132" s="43"/>
      <c r="IX132" s="43"/>
      <c r="IY132" s="43"/>
      <c r="IZ132" s="43"/>
      <c r="JA132" s="43"/>
      <c r="JB132" s="43"/>
      <c r="JC132" s="43"/>
      <c r="JD132" s="43"/>
      <c r="JE132" s="43"/>
      <c r="JF132" s="43"/>
      <c r="JG132" s="43"/>
      <c r="JH132" s="43"/>
      <c r="JI132" s="43"/>
      <c r="JJ132" s="43"/>
      <c r="JK132" s="43"/>
      <c r="JL132" s="43"/>
      <c r="JM132" s="43"/>
      <c r="JN132" s="43"/>
      <c r="JO132" s="43"/>
      <c r="JP132" s="43"/>
      <c r="JQ132" s="43"/>
      <c r="JR132" s="43"/>
      <c r="JS132" s="43"/>
      <c r="JT132" s="43"/>
      <c r="JU132" s="43"/>
      <c r="JV132" s="43"/>
      <c r="JW132" s="43"/>
      <c r="JX132" s="43"/>
      <c r="JY132" s="43"/>
      <c r="JZ132" s="43"/>
      <c r="KA132" s="43"/>
      <c r="KB132" s="43"/>
      <c r="KC132" s="43"/>
      <c r="KD132" s="43"/>
      <c r="KE132" s="43"/>
      <c r="KF132" s="43"/>
      <c r="KG132" s="43"/>
      <c r="KH132" s="43"/>
      <c r="KI132" s="43"/>
      <c r="KJ132" s="43"/>
      <c r="KK132" s="43"/>
      <c r="KL132" s="43"/>
      <c r="KM132" s="43"/>
      <c r="KN132" s="43"/>
      <c r="KO132" s="43"/>
      <c r="KP132" s="43"/>
      <c r="KQ132" s="43"/>
      <c r="KR132" s="43"/>
      <c r="KS132" s="43"/>
      <c r="KT132" s="43"/>
      <c r="KU132" s="43"/>
      <c r="KV132" s="43"/>
      <c r="KW132" s="43"/>
      <c r="KX132" s="43"/>
      <c r="KY132" s="43"/>
      <c r="KZ132" s="43"/>
      <c r="LA132" s="43"/>
      <c r="LB132" s="43"/>
      <c r="LC132" s="43"/>
      <c r="LD132" s="43"/>
      <c r="LE132" s="43"/>
      <c r="LF132" s="43"/>
      <c r="LG132" s="43"/>
      <c r="LH132" s="43"/>
      <c r="LI132" s="43"/>
      <c r="LJ132" s="43"/>
      <c r="LK132" s="43"/>
      <c r="LL132" s="43"/>
      <c r="LM132" s="43"/>
      <c r="LN132" s="43"/>
      <c r="LO132" s="43"/>
      <c r="LP132" s="43"/>
      <c r="LQ132" s="43"/>
      <c r="LR132" s="43"/>
      <c r="LS132" s="43"/>
      <c r="LT132" s="43"/>
      <c r="LU132" s="43"/>
      <c r="LV132" s="43"/>
      <c r="LW132" s="43"/>
      <c r="LX132" s="43"/>
      <c r="LY132" s="43"/>
      <c r="LZ132" s="43"/>
      <c r="MA132" s="43"/>
      <c r="MB132" s="43"/>
      <c r="MC132" s="43"/>
      <c r="MD132" s="43"/>
      <c r="ME132" s="43"/>
      <c r="MF132" s="43"/>
      <c r="MG132" s="43"/>
      <c r="MH132" s="43"/>
      <c r="MI132" s="43"/>
      <c r="MJ132" s="43"/>
      <c r="MK132" s="43"/>
      <c r="ML132" s="43"/>
      <c r="MM132" s="43"/>
      <c r="MN132" s="43"/>
      <c r="MO132" s="43"/>
      <c r="MP132" s="43"/>
      <c r="MQ132" s="43"/>
      <c r="MR132" s="43"/>
      <c r="MS132" s="43"/>
      <c r="MT132" s="43"/>
      <c r="MU132" s="43"/>
      <c r="MV132" s="43"/>
      <c r="MW132" s="43"/>
      <c r="MX132" s="43"/>
      <c r="MY132" s="43"/>
      <c r="MZ132" s="43"/>
      <c r="NA132" s="43"/>
      <c r="NB132" s="43"/>
      <c r="NC132" s="43"/>
      <c r="ND132" s="43"/>
      <c r="NE132" s="43"/>
      <c r="NF132" s="43"/>
      <c r="NG132" s="43"/>
      <c r="NH132" s="43"/>
      <c r="NI132" s="43"/>
      <c r="NJ132" s="43"/>
      <c r="NK132" s="43"/>
      <c r="NL132" s="43"/>
      <c r="NM132" s="43"/>
      <c r="NN132" s="43"/>
      <c r="NO132" s="43"/>
      <c r="NP132" s="43"/>
      <c r="NQ132" s="43"/>
      <c r="NR132" s="43"/>
      <c r="NS132" s="43"/>
      <c r="NT132" s="43"/>
      <c r="NU132" s="43"/>
      <c r="NV132" s="43"/>
      <c r="NW132" s="43"/>
      <c r="NX132" s="43"/>
      <c r="NY132" s="43"/>
      <c r="NZ132" s="43"/>
      <c r="OA132" s="43"/>
      <c r="OB132" s="43"/>
      <c r="OC132" s="43"/>
      <c r="OD132" s="43"/>
      <c r="OE132" s="43"/>
      <c r="OF132" s="43"/>
      <c r="OG132" s="43"/>
      <c r="OH132" s="43"/>
      <c r="OI132" s="43"/>
      <c r="OJ132" s="43"/>
      <c r="OK132" s="43"/>
      <c r="OL132" s="43"/>
      <c r="OM132" s="43"/>
      <c r="ON132" s="43"/>
      <c r="OO132" s="43"/>
      <c r="OP132" s="43"/>
      <c r="OQ132" s="43"/>
      <c r="OR132" s="43"/>
      <c r="OS132" s="43"/>
      <c r="OT132" s="43"/>
      <c r="OU132" s="43"/>
      <c r="OV132" s="43"/>
      <c r="OW132" s="43"/>
      <c r="OX132" s="43"/>
      <c r="OY132" s="43"/>
      <c r="OZ132" s="43"/>
      <c r="PA132" s="43"/>
      <c r="PB132" s="43"/>
      <c r="PC132" s="43"/>
      <c r="PD132" s="43"/>
      <c r="PE132" s="43"/>
      <c r="PF132" s="43"/>
      <c r="PG132" s="43"/>
      <c r="PH132" s="43"/>
      <c r="PI132" s="43"/>
      <c r="PJ132" s="43"/>
      <c r="PK132" s="43"/>
      <c r="PL132" s="43"/>
      <c r="PM132" s="43"/>
      <c r="PN132" s="43"/>
      <c r="PO132" s="43"/>
      <c r="PP132" s="43"/>
      <c r="PQ132" s="43"/>
      <c r="PR132" s="43"/>
      <c r="PS132" s="43"/>
      <c r="PT132" s="43"/>
      <c r="PU132" s="43"/>
      <c r="PV132" s="43"/>
      <c r="PW132" s="43"/>
      <c r="PX132" s="43"/>
      <c r="PY132" s="43"/>
      <c r="PZ132" s="43"/>
      <c r="QA132" s="43"/>
      <c r="QB132" s="43"/>
      <c r="QC132" s="43"/>
    </row>
    <row r="133" spans="1:445" x14ac:dyDescent="0.3">
      <c r="A133" s="85"/>
      <c r="B133" s="84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46" t="str">
        <f t="shared" si="9"/>
        <v/>
      </c>
      <c r="U133" s="46" t="str">
        <f t="shared" si="10"/>
        <v/>
      </c>
      <c r="V133" s="72" t="str">
        <f t="shared" si="11"/>
        <v/>
      </c>
      <c r="W133" s="48"/>
      <c r="X133" s="73" t="str">
        <f t="shared" si="13"/>
        <v/>
      </c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43"/>
      <c r="BN133" s="43"/>
      <c r="BO133" s="43"/>
      <c r="BP133" s="43"/>
      <c r="BQ133" s="43"/>
      <c r="BR133" s="43"/>
      <c r="BS133" s="43"/>
      <c r="BT133" s="43"/>
      <c r="BU133" s="43"/>
      <c r="BV133" s="43"/>
      <c r="BW133" s="43"/>
      <c r="BX133" s="43"/>
      <c r="BY133" s="43"/>
      <c r="BZ133" s="43"/>
      <c r="CA133" s="43"/>
      <c r="CB133" s="43"/>
      <c r="CC133" s="43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43"/>
      <c r="CY133" s="43"/>
      <c r="CZ133" s="43"/>
      <c r="DA133" s="43"/>
      <c r="DB133" s="43"/>
      <c r="DC133" s="43"/>
      <c r="DD133" s="43"/>
      <c r="DE133" s="43"/>
      <c r="DF133" s="43"/>
      <c r="DG133" s="43"/>
      <c r="DH133" s="43"/>
      <c r="DI133" s="43"/>
      <c r="DJ133" s="43"/>
      <c r="DK133" s="43"/>
      <c r="DL133" s="43"/>
      <c r="DM133" s="43"/>
      <c r="DN133" s="43"/>
      <c r="DO133" s="43"/>
      <c r="DP133" s="43"/>
      <c r="DQ133" s="43"/>
      <c r="DR133" s="43"/>
      <c r="DS133" s="43"/>
      <c r="DT133" s="43"/>
      <c r="DU133" s="43"/>
      <c r="DV133" s="43"/>
      <c r="DW133" s="43"/>
      <c r="DX133" s="43"/>
      <c r="DY133" s="43"/>
      <c r="DZ133" s="43"/>
      <c r="EA133" s="43"/>
      <c r="EB133" s="43"/>
      <c r="EC133" s="43"/>
      <c r="ED133" s="43"/>
      <c r="EE133" s="43"/>
      <c r="EF133" s="43"/>
      <c r="EG133" s="43"/>
      <c r="EH133" s="43"/>
      <c r="EI133" s="43"/>
      <c r="EJ133" s="43"/>
      <c r="EK133" s="43"/>
      <c r="EL133" s="43"/>
      <c r="EM133" s="43"/>
      <c r="EN133" s="43"/>
      <c r="EO133" s="43"/>
      <c r="EP133" s="43"/>
      <c r="EQ133" s="43"/>
      <c r="ER133" s="43"/>
      <c r="ES133" s="43"/>
      <c r="ET133" s="43"/>
      <c r="EU133" s="43"/>
      <c r="EV133" s="43"/>
      <c r="EW133" s="43"/>
      <c r="EX133" s="43"/>
      <c r="EY133" s="43"/>
      <c r="EZ133" s="43"/>
      <c r="FA133" s="43"/>
      <c r="FB133" s="43"/>
      <c r="FC133" s="43"/>
      <c r="FD133" s="43"/>
      <c r="FE133" s="43"/>
      <c r="FF133" s="43"/>
      <c r="FG133" s="43"/>
      <c r="FH133" s="43"/>
      <c r="FI133" s="43"/>
      <c r="FJ133" s="43"/>
      <c r="FK133" s="43"/>
      <c r="FL133" s="43"/>
      <c r="FM133" s="43"/>
      <c r="FN133" s="43"/>
      <c r="FO133" s="43"/>
      <c r="FP133" s="43"/>
      <c r="FQ133" s="43"/>
      <c r="FR133" s="43"/>
      <c r="FS133" s="43"/>
      <c r="FT133" s="43"/>
      <c r="FU133" s="43"/>
      <c r="FV133" s="43"/>
      <c r="FW133" s="43"/>
      <c r="FX133" s="43"/>
      <c r="FY133" s="43"/>
      <c r="FZ133" s="43"/>
      <c r="GA133" s="43"/>
      <c r="GB133" s="43"/>
      <c r="GC133" s="43"/>
      <c r="GD133" s="43"/>
      <c r="GE133" s="43"/>
      <c r="GF133" s="43"/>
      <c r="GG133" s="43"/>
      <c r="GH133" s="43"/>
      <c r="GI133" s="43"/>
      <c r="GJ133" s="43"/>
      <c r="GK133" s="43"/>
      <c r="GL133" s="43"/>
      <c r="GM133" s="43"/>
      <c r="GN133" s="43"/>
      <c r="GO133" s="43"/>
      <c r="GP133" s="43"/>
      <c r="GQ133" s="43"/>
      <c r="GR133" s="43"/>
      <c r="GS133" s="43"/>
      <c r="GT133" s="43"/>
      <c r="GU133" s="43"/>
      <c r="GV133" s="43"/>
      <c r="GW133" s="43"/>
      <c r="GX133" s="43"/>
      <c r="GY133" s="43"/>
      <c r="GZ133" s="43"/>
      <c r="HA133" s="43"/>
      <c r="HB133" s="43"/>
      <c r="HC133" s="43"/>
      <c r="HD133" s="43"/>
      <c r="HE133" s="43"/>
      <c r="HF133" s="43"/>
      <c r="HG133" s="43"/>
      <c r="HH133" s="43"/>
      <c r="HI133" s="43"/>
      <c r="HJ133" s="43"/>
      <c r="HK133" s="43"/>
      <c r="HL133" s="43"/>
      <c r="HM133" s="43"/>
      <c r="HN133" s="43"/>
      <c r="HO133" s="43"/>
      <c r="HP133" s="43"/>
      <c r="HQ133" s="43"/>
      <c r="HR133" s="43"/>
      <c r="HS133" s="43"/>
      <c r="HT133" s="43"/>
      <c r="HU133" s="43"/>
      <c r="HV133" s="43"/>
      <c r="HW133" s="43"/>
      <c r="HX133" s="43"/>
      <c r="HY133" s="43"/>
      <c r="HZ133" s="43"/>
      <c r="IA133" s="43"/>
      <c r="IB133" s="43"/>
      <c r="IC133" s="43"/>
      <c r="ID133" s="43"/>
      <c r="IE133" s="43"/>
      <c r="IF133" s="43"/>
      <c r="IG133" s="43"/>
      <c r="IH133" s="43"/>
      <c r="II133" s="43"/>
      <c r="IJ133" s="43"/>
      <c r="IK133" s="43"/>
      <c r="IL133" s="43"/>
      <c r="IM133" s="43"/>
      <c r="IN133" s="43"/>
      <c r="IO133" s="43"/>
      <c r="IP133" s="43"/>
      <c r="IQ133" s="43"/>
      <c r="IR133" s="43"/>
      <c r="IS133" s="43"/>
      <c r="IT133" s="43"/>
      <c r="IU133" s="43"/>
      <c r="IV133" s="43"/>
      <c r="IW133" s="43"/>
      <c r="IX133" s="43"/>
      <c r="IY133" s="43"/>
      <c r="IZ133" s="43"/>
      <c r="JA133" s="43"/>
      <c r="JB133" s="43"/>
      <c r="JC133" s="43"/>
      <c r="JD133" s="43"/>
      <c r="JE133" s="43"/>
      <c r="JF133" s="43"/>
      <c r="JG133" s="43"/>
      <c r="JH133" s="43"/>
      <c r="JI133" s="43"/>
      <c r="JJ133" s="43"/>
      <c r="JK133" s="43"/>
      <c r="JL133" s="43"/>
      <c r="JM133" s="43"/>
      <c r="JN133" s="43"/>
      <c r="JO133" s="43"/>
      <c r="JP133" s="43"/>
      <c r="JQ133" s="43"/>
      <c r="JR133" s="43"/>
      <c r="JS133" s="43"/>
      <c r="JT133" s="43"/>
      <c r="JU133" s="43"/>
      <c r="JV133" s="43"/>
      <c r="JW133" s="43"/>
      <c r="JX133" s="43"/>
      <c r="JY133" s="43"/>
      <c r="JZ133" s="43"/>
      <c r="KA133" s="43"/>
      <c r="KB133" s="43"/>
      <c r="KC133" s="43"/>
      <c r="KD133" s="43"/>
      <c r="KE133" s="43"/>
      <c r="KF133" s="43"/>
      <c r="KG133" s="43"/>
      <c r="KH133" s="43"/>
      <c r="KI133" s="43"/>
      <c r="KJ133" s="43"/>
      <c r="KK133" s="43"/>
      <c r="KL133" s="43"/>
      <c r="KM133" s="43"/>
      <c r="KN133" s="43"/>
      <c r="KO133" s="43"/>
      <c r="KP133" s="43"/>
      <c r="KQ133" s="43"/>
      <c r="KR133" s="43"/>
      <c r="KS133" s="43"/>
      <c r="KT133" s="43"/>
      <c r="KU133" s="43"/>
      <c r="KV133" s="43"/>
      <c r="KW133" s="43"/>
      <c r="KX133" s="43"/>
      <c r="KY133" s="43"/>
      <c r="KZ133" s="43"/>
      <c r="LA133" s="43"/>
      <c r="LB133" s="43"/>
      <c r="LC133" s="43"/>
      <c r="LD133" s="43"/>
      <c r="LE133" s="43"/>
      <c r="LF133" s="43"/>
      <c r="LG133" s="43"/>
      <c r="LH133" s="43"/>
      <c r="LI133" s="43"/>
      <c r="LJ133" s="43"/>
      <c r="LK133" s="43"/>
      <c r="LL133" s="43"/>
      <c r="LM133" s="43"/>
      <c r="LN133" s="43"/>
      <c r="LO133" s="43"/>
      <c r="LP133" s="43"/>
      <c r="LQ133" s="43"/>
      <c r="LR133" s="43"/>
      <c r="LS133" s="43"/>
      <c r="LT133" s="43"/>
      <c r="LU133" s="43"/>
      <c r="LV133" s="43"/>
      <c r="LW133" s="43"/>
      <c r="LX133" s="43"/>
      <c r="LY133" s="43"/>
      <c r="LZ133" s="43"/>
      <c r="MA133" s="43"/>
      <c r="MB133" s="43"/>
      <c r="MC133" s="43"/>
      <c r="MD133" s="43"/>
      <c r="ME133" s="43"/>
      <c r="MF133" s="43"/>
      <c r="MG133" s="43"/>
      <c r="MH133" s="43"/>
      <c r="MI133" s="43"/>
      <c r="MJ133" s="43"/>
      <c r="MK133" s="43"/>
      <c r="ML133" s="43"/>
      <c r="MM133" s="43"/>
      <c r="MN133" s="43"/>
      <c r="MO133" s="43"/>
      <c r="MP133" s="43"/>
      <c r="MQ133" s="43"/>
      <c r="MR133" s="43"/>
      <c r="MS133" s="43"/>
      <c r="MT133" s="43"/>
      <c r="MU133" s="43"/>
      <c r="MV133" s="43"/>
      <c r="MW133" s="43"/>
      <c r="MX133" s="43"/>
      <c r="MY133" s="43"/>
      <c r="MZ133" s="43"/>
      <c r="NA133" s="43"/>
      <c r="NB133" s="43"/>
      <c r="NC133" s="43"/>
      <c r="ND133" s="43"/>
      <c r="NE133" s="43"/>
      <c r="NF133" s="43"/>
      <c r="NG133" s="43"/>
      <c r="NH133" s="43"/>
      <c r="NI133" s="43"/>
      <c r="NJ133" s="43"/>
      <c r="NK133" s="43"/>
      <c r="NL133" s="43"/>
      <c r="NM133" s="43"/>
      <c r="NN133" s="43"/>
      <c r="NO133" s="43"/>
      <c r="NP133" s="43"/>
      <c r="NQ133" s="43"/>
      <c r="NR133" s="43"/>
      <c r="NS133" s="43"/>
      <c r="NT133" s="43"/>
      <c r="NU133" s="43"/>
      <c r="NV133" s="43"/>
      <c r="NW133" s="43"/>
      <c r="NX133" s="43"/>
      <c r="NY133" s="43"/>
      <c r="NZ133" s="43"/>
      <c r="OA133" s="43"/>
      <c r="OB133" s="43"/>
      <c r="OC133" s="43"/>
      <c r="OD133" s="43"/>
      <c r="OE133" s="43"/>
      <c r="OF133" s="43"/>
      <c r="OG133" s="43"/>
      <c r="OH133" s="43"/>
      <c r="OI133" s="43"/>
      <c r="OJ133" s="43"/>
      <c r="OK133" s="43"/>
      <c r="OL133" s="43"/>
      <c r="OM133" s="43"/>
      <c r="ON133" s="43"/>
      <c r="OO133" s="43"/>
      <c r="OP133" s="43"/>
      <c r="OQ133" s="43"/>
      <c r="OR133" s="43"/>
      <c r="OS133" s="43"/>
      <c r="OT133" s="43"/>
      <c r="OU133" s="43"/>
      <c r="OV133" s="43"/>
      <c r="OW133" s="43"/>
      <c r="OX133" s="43"/>
      <c r="OY133" s="43"/>
      <c r="OZ133" s="43"/>
      <c r="PA133" s="43"/>
      <c r="PB133" s="43"/>
      <c r="PC133" s="43"/>
      <c r="PD133" s="43"/>
      <c r="PE133" s="43"/>
      <c r="PF133" s="43"/>
      <c r="PG133" s="43"/>
      <c r="PH133" s="43"/>
      <c r="PI133" s="43"/>
      <c r="PJ133" s="43"/>
      <c r="PK133" s="43"/>
      <c r="PL133" s="43"/>
      <c r="PM133" s="43"/>
      <c r="PN133" s="43"/>
      <c r="PO133" s="43"/>
      <c r="PP133" s="43"/>
      <c r="PQ133" s="43"/>
      <c r="PR133" s="43"/>
      <c r="PS133" s="43"/>
      <c r="PT133" s="43"/>
      <c r="PU133" s="43"/>
      <c r="PV133" s="43"/>
      <c r="PW133" s="43"/>
      <c r="PX133" s="43"/>
      <c r="PY133" s="43"/>
      <c r="PZ133" s="43"/>
      <c r="QA133" s="43"/>
      <c r="QB133" s="43"/>
      <c r="QC133" s="43"/>
    </row>
    <row r="134" spans="1:445" x14ac:dyDescent="0.3">
      <c r="A134" s="85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46" t="str">
        <f t="shared" si="9"/>
        <v/>
      </c>
      <c r="U134" s="46" t="str">
        <f t="shared" si="10"/>
        <v/>
      </c>
      <c r="V134" s="72" t="str">
        <f t="shared" si="11"/>
        <v/>
      </c>
      <c r="W134" s="48"/>
      <c r="X134" s="73" t="str">
        <f t="shared" si="13"/>
        <v/>
      </c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43"/>
      <c r="BN134" s="43"/>
      <c r="BO134" s="43"/>
      <c r="BP134" s="43"/>
      <c r="BQ134" s="43"/>
      <c r="BR134" s="43"/>
      <c r="BS134" s="43"/>
      <c r="BT134" s="43"/>
      <c r="BU134" s="43"/>
      <c r="BV134" s="43"/>
      <c r="BW134" s="43"/>
      <c r="BX134" s="43"/>
      <c r="BY134" s="43"/>
      <c r="BZ134" s="43"/>
      <c r="CA134" s="43"/>
      <c r="CB134" s="43"/>
      <c r="CC134" s="43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43"/>
      <c r="CY134" s="43"/>
      <c r="CZ134" s="43"/>
      <c r="DA134" s="43"/>
      <c r="DB134" s="43"/>
      <c r="DC134" s="43"/>
      <c r="DD134" s="43"/>
      <c r="DE134" s="43"/>
      <c r="DF134" s="43"/>
      <c r="DG134" s="43"/>
      <c r="DH134" s="43"/>
      <c r="DI134" s="43"/>
      <c r="DJ134" s="43"/>
      <c r="DK134" s="43"/>
      <c r="DL134" s="43"/>
      <c r="DM134" s="43"/>
      <c r="DN134" s="43"/>
      <c r="DO134" s="43"/>
      <c r="DP134" s="43"/>
      <c r="DQ134" s="43"/>
      <c r="DR134" s="43"/>
      <c r="DS134" s="43"/>
      <c r="DT134" s="43"/>
      <c r="DU134" s="43"/>
      <c r="DV134" s="43"/>
      <c r="DW134" s="43"/>
      <c r="DX134" s="43"/>
      <c r="DY134" s="43"/>
      <c r="DZ134" s="43"/>
      <c r="EA134" s="43"/>
      <c r="EB134" s="43"/>
      <c r="EC134" s="43"/>
      <c r="ED134" s="43"/>
      <c r="EE134" s="43"/>
      <c r="EF134" s="43"/>
      <c r="EG134" s="43"/>
      <c r="EH134" s="43"/>
      <c r="EI134" s="43"/>
      <c r="EJ134" s="43"/>
      <c r="EK134" s="43"/>
      <c r="EL134" s="43"/>
      <c r="EM134" s="43"/>
      <c r="EN134" s="43"/>
      <c r="EO134" s="43"/>
      <c r="EP134" s="43"/>
      <c r="EQ134" s="43"/>
      <c r="ER134" s="43"/>
      <c r="ES134" s="43"/>
      <c r="ET134" s="43"/>
      <c r="EU134" s="43"/>
      <c r="EV134" s="43"/>
      <c r="EW134" s="43"/>
      <c r="EX134" s="43"/>
      <c r="EY134" s="43"/>
      <c r="EZ134" s="43"/>
      <c r="FA134" s="43"/>
      <c r="FB134" s="43"/>
      <c r="FC134" s="43"/>
      <c r="FD134" s="43"/>
      <c r="FE134" s="43"/>
      <c r="FF134" s="43"/>
      <c r="FG134" s="43"/>
      <c r="FH134" s="43"/>
      <c r="FI134" s="43"/>
      <c r="FJ134" s="43"/>
      <c r="FK134" s="43"/>
      <c r="FL134" s="43"/>
      <c r="FM134" s="43"/>
      <c r="FN134" s="43"/>
      <c r="FO134" s="43"/>
      <c r="FP134" s="43"/>
      <c r="FQ134" s="43"/>
      <c r="FR134" s="43"/>
      <c r="FS134" s="43"/>
      <c r="FT134" s="43"/>
      <c r="FU134" s="43"/>
      <c r="FV134" s="43"/>
      <c r="FW134" s="43"/>
      <c r="FX134" s="43"/>
      <c r="FY134" s="43"/>
      <c r="FZ134" s="43"/>
      <c r="GA134" s="43"/>
      <c r="GB134" s="43"/>
      <c r="GC134" s="43"/>
      <c r="GD134" s="43"/>
      <c r="GE134" s="43"/>
      <c r="GF134" s="43"/>
      <c r="GG134" s="43"/>
      <c r="GH134" s="43"/>
      <c r="GI134" s="43"/>
      <c r="GJ134" s="43"/>
      <c r="GK134" s="43"/>
      <c r="GL134" s="43"/>
      <c r="GM134" s="43"/>
      <c r="GN134" s="43"/>
      <c r="GO134" s="43"/>
      <c r="GP134" s="43"/>
      <c r="GQ134" s="43"/>
      <c r="GR134" s="43"/>
      <c r="GS134" s="43"/>
      <c r="GT134" s="43"/>
      <c r="GU134" s="43"/>
      <c r="GV134" s="43"/>
      <c r="GW134" s="43"/>
      <c r="GX134" s="43"/>
      <c r="GY134" s="43"/>
      <c r="GZ134" s="43"/>
      <c r="HA134" s="43"/>
      <c r="HB134" s="43"/>
      <c r="HC134" s="43"/>
      <c r="HD134" s="43"/>
      <c r="HE134" s="43"/>
      <c r="HF134" s="43"/>
      <c r="HG134" s="43"/>
      <c r="HH134" s="43"/>
      <c r="HI134" s="43"/>
      <c r="HJ134" s="43"/>
      <c r="HK134" s="43"/>
      <c r="HL134" s="43"/>
      <c r="HM134" s="43"/>
      <c r="HN134" s="43"/>
      <c r="HO134" s="43"/>
      <c r="HP134" s="43"/>
      <c r="HQ134" s="43"/>
      <c r="HR134" s="43"/>
      <c r="HS134" s="43"/>
      <c r="HT134" s="43"/>
      <c r="HU134" s="43"/>
      <c r="HV134" s="43"/>
      <c r="HW134" s="43"/>
      <c r="HX134" s="43"/>
      <c r="HY134" s="43"/>
      <c r="HZ134" s="43"/>
      <c r="IA134" s="43"/>
      <c r="IB134" s="43"/>
      <c r="IC134" s="43"/>
      <c r="ID134" s="43"/>
      <c r="IE134" s="43"/>
      <c r="IF134" s="43"/>
      <c r="IG134" s="43"/>
      <c r="IH134" s="43"/>
      <c r="II134" s="43"/>
      <c r="IJ134" s="43"/>
      <c r="IK134" s="43"/>
      <c r="IL134" s="43"/>
      <c r="IM134" s="43"/>
      <c r="IN134" s="43"/>
      <c r="IO134" s="43"/>
      <c r="IP134" s="43"/>
      <c r="IQ134" s="43"/>
      <c r="IR134" s="43"/>
      <c r="IS134" s="43"/>
      <c r="IT134" s="43"/>
      <c r="IU134" s="43"/>
      <c r="IV134" s="43"/>
      <c r="IW134" s="43"/>
      <c r="IX134" s="43"/>
      <c r="IY134" s="43"/>
      <c r="IZ134" s="43"/>
      <c r="JA134" s="43"/>
      <c r="JB134" s="43"/>
      <c r="JC134" s="43"/>
      <c r="JD134" s="43"/>
      <c r="JE134" s="43"/>
      <c r="JF134" s="43"/>
      <c r="JG134" s="43"/>
      <c r="JH134" s="43"/>
      <c r="JI134" s="43"/>
      <c r="JJ134" s="43"/>
      <c r="JK134" s="43"/>
      <c r="JL134" s="43"/>
      <c r="JM134" s="43"/>
      <c r="JN134" s="43"/>
      <c r="JO134" s="43"/>
      <c r="JP134" s="43"/>
      <c r="JQ134" s="43"/>
      <c r="JR134" s="43"/>
      <c r="JS134" s="43"/>
      <c r="JT134" s="43"/>
      <c r="JU134" s="43"/>
      <c r="JV134" s="43"/>
      <c r="JW134" s="43"/>
      <c r="JX134" s="43"/>
      <c r="JY134" s="43"/>
      <c r="JZ134" s="43"/>
      <c r="KA134" s="43"/>
      <c r="KB134" s="43"/>
      <c r="KC134" s="43"/>
      <c r="KD134" s="43"/>
      <c r="KE134" s="43"/>
      <c r="KF134" s="43"/>
      <c r="KG134" s="43"/>
      <c r="KH134" s="43"/>
      <c r="KI134" s="43"/>
      <c r="KJ134" s="43"/>
      <c r="KK134" s="43"/>
      <c r="KL134" s="43"/>
      <c r="KM134" s="43"/>
      <c r="KN134" s="43"/>
      <c r="KO134" s="43"/>
      <c r="KP134" s="43"/>
      <c r="KQ134" s="43"/>
      <c r="KR134" s="43"/>
      <c r="KS134" s="43"/>
      <c r="KT134" s="43"/>
      <c r="KU134" s="43"/>
      <c r="KV134" s="43"/>
      <c r="KW134" s="43"/>
      <c r="KX134" s="43"/>
      <c r="KY134" s="43"/>
      <c r="KZ134" s="43"/>
      <c r="LA134" s="43"/>
      <c r="LB134" s="43"/>
      <c r="LC134" s="43"/>
      <c r="LD134" s="43"/>
      <c r="LE134" s="43"/>
      <c r="LF134" s="43"/>
      <c r="LG134" s="43"/>
      <c r="LH134" s="43"/>
      <c r="LI134" s="43"/>
      <c r="LJ134" s="43"/>
      <c r="LK134" s="43"/>
      <c r="LL134" s="43"/>
      <c r="LM134" s="43"/>
      <c r="LN134" s="43"/>
      <c r="LO134" s="43"/>
      <c r="LP134" s="43"/>
      <c r="LQ134" s="43"/>
      <c r="LR134" s="43"/>
      <c r="LS134" s="43"/>
      <c r="LT134" s="43"/>
      <c r="LU134" s="43"/>
      <c r="LV134" s="43"/>
      <c r="LW134" s="43"/>
      <c r="LX134" s="43"/>
      <c r="LY134" s="43"/>
      <c r="LZ134" s="43"/>
      <c r="MA134" s="43"/>
      <c r="MB134" s="43"/>
      <c r="MC134" s="43"/>
      <c r="MD134" s="43"/>
      <c r="ME134" s="43"/>
      <c r="MF134" s="43"/>
      <c r="MG134" s="43"/>
      <c r="MH134" s="43"/>
      <c r="MI134" s="43"/>
      <c r="MJ134" s="43"/>
      <c r="MK134" s="43"/>
      <c r="ML134" s="43"/>
      <c r="MM134" s="43"/>
      <c r="MN134" s="43"/>
      <c r="MO134" s="43"/>
      <c r="MP134" s="43"/>
      <c r="MQ134" s="43"/>
      <c r="MR134" s="43"/>
      <c r="MS134" s="43"/>
      <c r="MT134" s="43"/>
      <c r="MU134" s="43"/>
      <c r="MV134" s="43"/>
      <c r="MW134" s="43"/>
      <c r="MX134" s="43"/>
      <c r="MY134" s="43"/>
      <c r="MZ134" s="43"/>
      <c r="NA134" s="43"/>
      <c r="NB134" s="43"/>
      <c r="NC134" s="43"/>
      <c r="ND134" s="43"/>
      <c r="NE134" s="43"/>
      <c r="NF134" s="43"/>
      <c r="NG134" s="43"/>
      <c r="NH134" s="43"/>
      <c r="NI134" s="43"/>
      <c r="NJ134" s="43"/>
      <c r="NK134" s="43"/>
      <c r="NL134" s="43"/>
      <c r="NM134" s="43"/>
      <c r="NN134" s="43"/>
      <c r="NO134" s="43"/>
      <c r="NP134" s="43"/>
      <c r="NQ134" s="43"/>
      <c r="NR134" s="43"/>
      <c r="NS134" s="43"/>
      <c r="NT134" s="43"/>
      <c r="NU134" s="43"/>
      <c r="NV134" s="43"/>
      <c r="NW134" s="43"/>
      <c r="NX134" s="43"/>
      <c r="NY134" s="43"/>
      <c r="NZ134" s="43"/>
      <c r="OA134" s="43"/>
      <c r="OB134" s="43"/>
      <c r="OC134" s="43"/>
      <c r="OD134" s="43"/>
      <c r="OE134" s="43"/>
      <c r="OF134" s="43"/>
      <c r="OG134" s="43"/>
      <c r="OH134" s="43"/>
      <c r="OI134" s="43"/>
      <c r="OJ134" s="43"/>
      <c r="OK134" s="43"/>
      <c r="OL134" s="43"/>
      <c r="OM134" s="43"/>
      <c r="ON134" s="43"/>
      <c r="OO134" s="43"/>
      <c r="OP134" s="43"/>
      <c r="OQ134" s="43"/>
      <c r="OR134" s="43"/>
      <c r="OS134" s="43"/>
      <c r="OT134" s="43"/>
      <c r="OU134" s="43"/>
      <c r="OV134" s="43"/>
      <c r="OW134" s="43"/>
      <c r="OX134" s="43"/>
      <c r="OY134" s="43"/>
      <c r="OZ134" s="43"/>
      <c r="PA134" s="43"/>
      <c r="PB134" s="43"/>
      <c r="PC134" s="43"/>
      <c r="PD134" s="43"/>
      <c r="PE134" s="43"/>
      <c r="PF134" s="43"/>
      <c r="PG134" s="43"/>
      <c r="PH134" s="43"/>
      <c r="PI134" s="43"/>
      <c r="PJ134" s="43"/>
      <c r="PK134" s="43"/>
      <c r="PL134" s="43"/>
      <c r="PM134" s="43"/>
      <c r="PN134" s="43"/>
      <c r="PO134" s="43"/>
      <c r="PP134" s="43"/>
      <c r="PQ134" s="43"/>
      <c r="PR134" s="43"/>
      <c r="PS134" s="43"/>
      <c r="PT134" s="43"/>
      <c r="PU134" s="43"/>
      <c r="PV134" s="43"/>
      <c r="PW134" s="43"/>
      <c r="PX134" s="43"/>
      <c r="PY134" s="43"/>
      <c r="PZ134" s="43"/>
      <c r="QA134" s="43"/>
      <c r="QB134" s="43"/>
      <c r="QC134" s="43"/>
    </row>
    <row r="135" spans="1:445" x14ac:dyDescent="0.3">
      <c r="A135" s="85"/>
      <c r="B135" s="84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46" t="str">
        <f t="shared" si="9"/>
        <v/>
      </c>
      <c r="U135" s="46" t="str">
        <f t="shared" si="10"/>
        <v/>
      </c>
      <c r="V135" s="72" t="str">
        <f t="shared" si="11"/>
        <v/>
      </c>
      <c r="W135" s="48"/>
      <c r="X135" s="73" t="str">
        <f t="shared" si="13"/>
        <v/>
      </c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43"/>
      <c r="BN135" s="43"/>
      <c r="BO135" s="43"/>
      <c r="BP135" s="43"/>
      <c r="BQ135" s="43"/>
      <c r="BR135" s="43"/>
      <c r="BS135" s="43"/>
      <c r="BT135" s="43"/>
      <c r="BU135" s="43"/>
      <c r="BV135" s="43"/>
      <c r="BW135" s="43"/>
      <c r="BX135" s="43"/>
      <c r="BY135" s="43"/>
      <c r="BZ135" s="43"/>
      <c r="CA135" s="43"/>
      <c r="CB135" s="43"/>
      <c r="CC135" s="43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43"/>
      <c r="CY135" s="43"/>
      <c r="CZ135" s="43"/>
      <c r="DA135" s="43"/>
      <c r="DB135" s="43"/>
      <c r="DC135" s="43"/>
      <c r="DD135" s="43"/>
      <c r="DE135" s="43"/>
      <c r="DF135" s="43"/>
      <c r="DG135" s="43"/>
      <c r="DH135" s="43"/>
      <c r="DI135" s="43"/>
      <c r="DJ135" s="43"/>
      <c r="DK135" s="43"/>
      <c r="DL135" s="43"/>
      <c r="DM135" s="43"/>
      <c r="DN135" s="43"/>
      <c r="DO135" s="43"/>
      <c r="DP135" s="43"/>
      <c r="DQ135" s="43"/>
      <c r="DR135" s="43"/>
      <c r="DS135" s="43"/>
      <c r="DT135" s="43"/>
      <c r="DU135" s="43"/>
      <c r="DV135" s="43"/>
      <c r="DW135" s="43"/>
      <c r="DX135" s="43"/>
      <c r="DY135" s="43"/>
      <c r="DZ135" s="43"/>
      <c r="EA135" s="43"/>
      <c r="EB135" s="43"/>
      <c r="EC135" s="43"/>
      <c r="ED135" s="43"/>
      <c r="EE135" s="43"/>
      <c r="EF135" s="43"/>
      <c r="EG135" s="43"/>
      <c r="EH135" s="43"/>
      <c r="EI135" s="43"/>
      <c r="EJ135" s="43"/>
      <c r="EK135" s="43"/>
      <c r="EL135" s="43"/>
      <c r="EM135" s="43"/>
      <c r="EN135" s="43"/>
      <c r="EO135" s="43"/>
      <c r="EP135" s="43"/>
      <c r="EQ135" s="43"/>
      <c r="ER135" s="43"/>
      <c r="ES135" s="43"/>
      <c r="ET135" s="43"/>
      <c r="EU135" s="43"/>
      <c r="EV135" s="43"/>
      <c r="EW135" s="43"/>
      <c r="EX135" s="43"/>
      <c r="EY135" s="43"/>
      <c r="EZ135" s="43"/>
      <c r="FA135" s="43"/>
      <c r="FB135" s="43"/>
      <c r="FC135" s="43"/>
      <c r="FD135" s="43"/>
      <c r="FE135" s="43"/>
      <c r="FF135" s="43"/>
      <c r="FG135" s="43"/>
      <c r="FH135" s="43"/>
      <c r="FI135" s="43"/>
      <c r="FJ135" s="43"/>
      <c r="FK135" s="43"/>
      <c r="FL135" s="43"/>
      <c r="FM135" s="43"/>
      <c r="FN135" s="43"/>
      <c r="FO135" s="43"/>
      <c r="FP135" s="43"/>
      <c r="FQ135" s="43"/>
      <c r="FR135" s="43"/>
      <c r="FS135" s="43"/>
      <c r="FT135" s="43"/>
      <c r="FU135" s="43"/>
      <c r="FV135" s="43"/>
      <c r="FW135" s="43"/>
      <c r="FX135" s="43"/>
      <c r="FY135" s="43"/>
      <c r="FZ135" s="43"/>
      <c r="GA135" s="43"/>
      <c r="GB135" s="43"/>
      <c r="GC135" s="43"/>
      <c r="GD135" s="43"/>
      <c r="GE135" s="43"/>
      <c r="GF135" s="43"/>
      <c r="GG135" s="43"/>
      <c r="GH135" s="43"/>
      <c r="GI135" s="43"/>
      <c r="GJ135" s="43"/>
      <c r="GK135" s="43"/>
      <c r="GL135" s="43"/>
      <c r="GM135" s="43"/>
      <c r="GN135" s="43"/>
      <c r="GO135" s="43"/>
      <c r="GP135" s="43"/>
      <c r="GQ135" s="43"/>
      <c r="GR135" s="43"/>
      <c r="GS135" s="43"/>
      <c r="GT135" s="43"/>
      <c r="GU135" s="43"/>
      <c r="GV135" s="43"/>
      <c r="GW135" s="43"/>
      <c r="GX135" s="43"/>
      <c r="GY135" s="43"/>
      <c r="GZ135" s="43"/>
      <c r="HA135" s="43"/>
      <c r="HB135" s="43"/>
      <c r="HC135" s="43"/>
      <c r="HD135" s="43"/>
      <c r="HE135" s="43"/>
      <c r="HF135" s="43"/>
      <c r="HG135" s="43"/>
      <c r="HH135" s="43"/>
      <c r="HI135" s="43"/>
      <c r="HJ135" s="43"/>
      <c r="HK135" s="43"/>
      <c r="HL135" s="43"/>
      <c r="HM135" s="43"/>
      <c r="HN135" s="43"/>
      <c r="HO135" s="43"/>
      <c r="HP135" s="43"/>
      <c r="HQ135" s="43"/>
      <c r="HR135" s="43"/>
      <c r="HS135" s="43"/>
      <c r="HT135" s="43"/>
      <c r="HU135" s="43"/>
      <c r="HV135" s="43"/>
      <c r="HW135" s="43"/>
      <c r="HX135" s="43"/>
      <c r="HY135" s="43"/>
      <c r="HZ135" s="43"/>
      <c r="IA135" s="43"/>
      <c r="IB135" s="43"/>
      <c r="IC135" s="43"/>
      <c r="ID135" s="43"/>
      <c r="IE135" s="43"/>
      <c r="IF135" s="43"/>
      <c r="IG135" s="43"/>
      <c r="IH135" s="43"/>
      <c r="II135" s="43"/>
      <c r="IJ135" s="43"/>
      <c r="IK135" s="43"/>
      <c r="IL135" s="43"/>
      <c r="IM135" s="43"/>
      <c r="IN135" s="43"/>
      <c r="IO135" s="43"/>
      <c r="IP135" s="43"/>
      <c r="IQ135" s="43"/>
      <c r="IR135" s="43"/>
      <c r="IS135" s="43"/>
      <c r="IT135" s="43"/>
      <c r="IU135" s="43"/>
      <c r="IV135" s="43"/>
      <c r="IW135" s="43"/>
      <c r="IX135" s="43"/>
      <c r="IY135" s="43"/>
      <c r="IZ135" s="43"/>
      <c r="JA135" s="43"/>
      <c r="JB135" s="43"/>
      <c r="JC135" s="43"/>
      <c r="JD135" s="43"/>
      <c r="JE135" s="43"/>
      <c r="JF135" s="43"/>
      <c r="JG135" s="43"/>
      <c r="JH135" s="43"/>
      <c r="JI135" s="43"/>
      <c r="JJ135" s="43"/>
      <c r="JK135" s="43"/>
      <c r="JL135" s="43"/>
      <c r="JM135" s="43"/>
      <c r="JN135" s="43"/>
      <c r="JO135" s="43"/>
      <c r="JP135" s="43"/>
      <c r="JQ135" s="43"/>
      <c r="JR135" s="43"/>
      <c r="JS135" s="43"/>
      <c r="JT135" s="43"/>
      <c r="JU135" s="43"/>
      <c r="JV135" s="43"/>
      <c r="JW135" s="43"/>
      <c r="JX135" s="43"/>
      <c r="JY135" s="43"/>
      <c r="JZ135" s="43"/>
      <c r="KA135" s="43"/>
      <c r="KB135" s="43"/>
      <c r="KC135" s="43"/>
      <c r="KD135" s="43"/>
      <c r="KE135" s="43"/>
      <c r="KF135" s="43"/>
      <c r="KG135" s="43"/>
      <c r="KH135" s="43"/>
      <c r="KI135" s="43"/>
      <c r="KJ135" s="43"/>
      <c r="KK135" s="43"/>
      <c r="KL135" s="43"/>
      <c r="KM135" s="43"/>
      <c r="KN135" s="43"/>
      <c r="KO135" s="43"/>
      <c r="KP135" s="43"/>
      <c r="KQ135" s="43"/>
      <c r="KR135" s="43"/>
      <c r="KS135" s="43"/>
      <c r="KT135" s="43"/>
      <c r="KU135" s="43"/>
      <c r="KV135" s="43"/>
      <c r="KW135" s="43"/>
      <c r="KX135" s="43"/>
      <c r="KY135" s="43"/>
      <c r="KZ135" s="43"/>
      <c r="LA135" s="43"/>
      <c r="LB135" s="43"/>
      <c r="LC135" s="43"/>
      <c r="LD135" s="43"/>
      <c r="LE135" s="43"/>
      <c r="LF135" s="43"/>
      <c r="LG135" s="43"/>
      <c r="LH135" s="43"/>
      <c r="LI135" s="43"/>
      <c r="LJ135" s="43"/>
      <c r="LK135" s="43"/>
      <c r="LL135" s="43"/>
      <c r="LM135" s="43"/>
      <c r="LN135" s="43"/>
      <c r="LO135" s="43"/>
      <c r="LP135" s="43"/>
      <c r="LQ135" s="43"/>
      <c r="LR135" s="43"/>
      <c r="LS135" s="43"/>
      <c r="LT135" s="43"/>
      <c r="LU135" s="43"/>
      <c r="LV135" s="43"/>
      <c r="LW135" s="43"/>
      <c r="LX135" s="43"/>
      <c r="LY135" s="43"/>
      <c r="LZ135" s="43"/>
      <c r="MA135" s="43"/>
      <c r="MB135" s="43"/>
      <c r="MC135" s="43"/>
      <c r="MD135" s="43"/>
      <c r="ME135" s="43"/>
      <c r="MF135" s="43"/>
      <c r="MG135" s="43"/>
      <c r="MH135" s="43"/>
      <c r="MI135" s="43"/>
      <c r="MJ135" s="43"/>
      <c r="MK135" s="43"/>
      <c r="ML135" s="43"/>
      <c r="MM135" s="43"/>
      <c r="MN135" s="43"/>
      <c r="MO135" s="43"/>
      <c r="MP135" s="43"/>
      <c r="MQ135" s="43"/>
      <c r="MR135" s="43"/>
      <c r="MS135" s="43"/>
      <c r="MT135" s="43"/>
      <c r="MU135" s="43"/>
      <c r="MV135" s="43"/>
      <c r="MW135" s="43"/>
      <c r="MX135" s="43"/>
      <c r="MY135" s="43"/>
      <c r="MZ135" s="43"/>
      <c r="NA135" s="43"/>
      <c r="NB135" s="43"/>
      <c r="NC135" s="43"/>
      <c r="ND135" s="43"/>
      <c r="NE135" s="43"/>
      <c r="NF135" s="43"/>
      <c r="NG135" s="43"/>
      <c r="NH135" s="43"/>
      <c r="NI135" s="43"/>
      <c r="NJ135" s="43"/>
      <c r="NK135" s="43"/>
      <c r="NL135" s="43"/>
      <c r="NM135" s="43"/>
      <c r="NN135" s="43"/>
      <c r="NO135" s="43"/>
      <c r="NP135" s="43"/>
      <c r="NQ135" s="43"/>
      <c r="NR135" s="43"/>
      <c r="NS135" s="43"/>
      <c r="NT135" s="43"/>
      <c r="NU135" s="43"/>
      <c r="NV135" s="43"/>
      <c r="NW135" s="43"/>
      <c r="NX135" s="43"/>
      <c r="NY135" s="43"/>
      <c r="NZ135" s="43"/>
      <c r="OA135" s="43"/>
      <c r="OB135" s="43"/>
      <c r="OC135" s="43"/>
      <c r="OD135" s="43"/>
      <c r="OE135" s="43"/>
      <c r="OF135" s="43"/>
      <c r="OG135" s="43"/>
      <c r="OH135" s="43"/>
      <c r="OI135" s="43"/>
      <c r="OJ135" s="43"/>
      <c r="OK135" s="43"/>
      <c r="OL135" s="43"/>
      <c r="OM135" s="43"/>
      <c r="ON135" s="43"/>
      <c r="OO135" s="43"/>
      <c r="OP135" s="43"/>
      <c r="OQ135" s="43"/>
      <c r="OR135" s="43"/>
      <c r="OS135" s="43"/>
      <c r="OT135" s="43"/>
      <c r="OU135" s="43"/>
      <c r="OV135" s="43"/>
      <c r="OW135" s="43"/>
      <c r="OX135" s="43"/>
      <c r="OY135" s="43"/>
      <c r="OZ135" s="43"/>
      <c r="PA135" s="43"/>
      <c r="PB135" s="43"/>
      <c r="PC135" s="43"/>
      <c r="PD135" s="43"/>
      <c r="PE135" s="43"/>
      <c r="PF135" s="43"/>
      <c r="PG135" s="43"/>
      <c r="PH135" s="43"/>
      <c r="PI135" s="43"/>
      <c r="PJ135" s="43"/>
      <c r="PK135" s="43"/>
      <c r="PL135" s="43"/>
      <c r="PM135" s="43"/>
      <c r="PN135" s="43"/>
      <c r="PO135" s="43"/>
      <c r="PP135" s="43"/>
      <c r="PQ135" s="43"/>
      <c r="PR135" s="43"/>
      <c r="PS135" s="43"/>
      <c r="PT135" s="43"/>
      <c r="PU135" s="43"/>
      <c r="PV135" s="43"/>
      <c r="PW135" s="43"/>
      <c r="PX135" s="43"/>
      <c r="PY135" s="43"/>
      <c r="PZ135" s="43"/>
      <c r="QA135" s="43"/>
      <c r="QB135" s="43"/>
      <c r="QC135" s="43"/>
    </row>
    <row r="136" spans="1:445" x14ac:dyDescent="0.3">
      <c r="A136" s="85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46" t="str">
        <f t="shared" si="9"/>
        <v/>
      </c>
      <c r="U136" s="46" t="str">
        <f t="shared" si="10"/>
        <v/>
      </c>
      <c r="V136" s="72" t="str">
        <f t="shared" si="11"/>
        <v/>
      </c>
      <c r="W136" s="48"/>
      <c r="X136" s="73" t="str">
        <f t="shared" si="13"/>
        <v/>
      </c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43"/>
      <c r="BN136" s="43"/>
      <c r="BO136" s="43"/>
      <c r="BP136" s="43"/>
      <c r="BQ136" s="43"/>
      <c r="BR136" s="43"/>
      <c r="BS136" s="43"/>
      <c r="BT136" s="43"/>
      <c r="BU136" s="43"/>
      <c r="BV136" s="43"/>
      <c r="BW136" s="43"/>
      <c r="BX136" s="43"/>
      <c r="BY136" s="43"/>
      <c r="BZ136" s="43"/>
      <c r="CA136" s="43"/>
      <c r="CB136" s="43"/>
      <c r="CC136" s="43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43"/>
      <c r="CY136" s="43"/>
      <c r="CZ136" s="43"/>
      <c r="DA136" s="43"/>
      <c r="DB136" s="43"/>
      <c r="DC136" s="43"/>
      <c r="DD136" s="43"/>
      <c r="DE136" s="43"/>
      <c r="DF136" s="43"/>
      <c r="DG136" s="43"/>
      <c r="DH136" s="43"/>
      <c r="DI136" s="43"/>
      <c r="DJ136" s="43"/>
      <c r="DK136" s="43"/>
      <c r="DL136" s="43"/>
      <c r="DM136" s="43"/>
      <c r="DN136" s="43"/>
      <c r="DO136" s="43"/>
      <c r="DP136" s="43"/>
      <c r="DQ136" s="43"/>
      <c r="DR136" s="43"/>
      <c r="DS136" s="43"/>
      <c r="DT136" s="43"/>
      <c r="DU136" s="43"/>
      <c r="DV136" s="43"/>
      <c r="DW136" s="43"/>
      <c r="DX136" s="43"/>
      <c r="DY136" s="43"/>
      <c r="DZ136" s="43"/>
      <c r="EA136" s="43"/>
      <c r="EB136" s="43"/>
      <c r="EC136" s="43"/>
      <c r="ED136" s="43"/>
      <c r="EE136" s="43"/>
      <c r="EF136" s="43"/>
      <c r="EG136" s="43"/>
      <c r="EH136" s="43"/>
      <c r="EI136" s="43"/>
      <c r="EJ136" s="43"/>
      <c r="EK136" s="43"/>
      <c r="EL136" s="43"/>
      <c r="EM136" s="43"/>
      <c r="EN136" s="43"/>
      <c r="EO136" s="43"/>
      <c r="EP136" s="43"/>
      <c r="EQ136" s="43"/>
      <c r="ER136" s="43"/>
      <c r="ES136" s="43"/>
      <c r="ET136" s="43"/>
      <c r="EU136" s="43"/>
      <c r="EV136" s="43"/>
      <c r="EW136" s="43"/>
      <c r="EX136" s="43"/>
      <c r="EY136" s="43"/>
      <c r="EZ136" s="43"/>
      <c r="FA136" s="43"/>
      <c r="FB136" s="43"/>
      <c r="FC136" s="43"/>
      <c r="FD136" s="43"/>
      <c r="FE136" s="43"/>
      <c r="FF136" s="43"/>
      <c r="FG136" s="43"/>
      <c r="FH136" s="43"/>
      <c r="FI136" s="43"/>
      <c r="FJ136" s="43"/>
      <c r="FK136" s="43"/>
      <c r="FL136" s="43"/>
      <c r="FM136" s="43"/>
      <c r="FN136" s="43"/>
      <c r="FO136" s="43"/>
      <c r="FP136" s="43"/>
      <c r="FQ136" s="43"/>
      <c r="FR136" s="43"/>
      <c r="FS136" s="43"/>
      <c r="FT136" s="43"/>
      <c r="FU136" s="43"/>
      <c r="FV136" s="43"/>
      <c r="FW136" s="43"/>
      <c r="FX136" s="43"/>
      <c r="FY136" s="43"/>
      <c r="FZ136" s="43"/>
      <c r="GA136" s="43"/>
      <c r="GB136" s="43"/>
      <c r="GC136" s="43"/>
      <c r="GD136" s="43"/>
      <c r="GE136" s="43"/>
      <c r="GF136" s="43"/>
      <c r="GG136" s="43"/>
      <c r="GH136" s="43"/>
      <c r="GI136" s="43"/>
      <c r="GJ136" s="43"/>
      <c r="GK136" s="43"/>
      <c r="GL136" s="43"/>
      <c r="GM136" s="43"/>
      <c r="GN136" s="43"/>
      <c r="GO136" s="43"/>
      <c r="GP136" s="43"/>
      <c r="GQ136" s="43"/>
      <c r="GR136" s="43"/>
      <c r="GS136" s="43"/>
      <c r="GT136" s="43"/>
      <c r="GU136" s="43"/>
      <c r="GV136" s="43"/>
      <c r="GW136" s="43"/>
      <c r="GX136" s="43"/>
      <c r="GY136" s="43"/>
      <c r="GZ136" s="43"/>
      <c r="HA136" s="43"/>
      <c r="HB136" s="43"/>
      <c r="HC136" s="43"/>
      <c r="HD136" s="43"/>
      <c r="HE136" s="43"/>
      <c r="HF136" s="43"/>
      <c r="HG136" s="43"/>
      <c r="HH136" s="43"/>
      <c r="HI136" s="43"/>
      <c r="HJ136" s="43"/>
      <c r="HK136" s="43"/>
      <c r="HL136" s="43"/>
      <c r="HM136" s="43"/>
      <c r="HN136" s="43"/>
      <c r="HO136" s="43"/>
      <c r="HP136" s="43"/>
      <c r="HQ136" s="43"/>
      <c r="HR136" s="43"/>
      <c r="HS136" s="43"/>
      <c r="HT136" s="43"/>
      <c r="HU136" s="43"/>
      <c r="HV136" s="43"/>
      <c r="HW136" s="43"/>
      <c r="HX136" s="43"/>
      <c r="HY136" s="43"/>
      <c r="HZ136" s="43"/>
      <c r="IA136" s="43"/>
      <c r="IB136" s="43"/>
      <c r="IC136" s="43"/>
      <c r="ID136" s="43"/>
      <c r="IE136" s="43"/>
      <c r="IF136" s="43"/>
      <c r="IG136" s="43"/>
      <c r="IH136" s="43"/>
      <c r="II136" s="43"/>
      <c r="IJ136" s="43"/>
      <c r="IK136" s="43"/>
      <c r="IL136" s="43"/>
      <c r="IM136" s="43"/>
      <c r="IN136" s="43"/>
      <c r="IO136" s="43"/>
      <c r="IP136" s="43"/>
      <c r="IQ136" s="43"/>
      <c r="IR136" s="43"/>
      <c r="IS136" s="43"/>
      <c r="IT136" s="43"/>
      <c r="IU136" s="43"/>
      <c r="IV136" s="43"/>
      <c r="IW136" s="43"/>
      <c r="IX136" s="43"/>
      <c r="IY136" s="43"/>
      <c r="IZ136" s="43"/>
      <c r="JA136" s="43"/>
      <c r="JB136" s="43"/>
      <c r="JC136" s="43"/>
      <c r="JD136" s="43"/>
      <c r="JE136" s="43"/>
      <c r="JF136" s="43"/>
      <c r="JG136" s="43"/>
      <c r="JH136" s="43"/>
      <c r="JI136" s="43"/>
      <c r="JJ136" s="43"/>
      <c r="JK136" s="43"/>
      <c r="JL136" s="43"/>
      <c r="JM136" s="43"/>
      <c r="JN136" s="43"/>
      <c r="JO136" s="43"/>
      <c r="JP136" s="43"/>
      <c r="JQ136" s="43"/>
      <c r="JR136" s="43"/>
      <c r="JS136" s="43"/>
      <c r="JT136" s="43"/>
      <c r="JU136" s="43"/>
      <c r="JV136" s="43"/>
      <c r="JW136" s="43"/>
      <c r="JX136" s="43"/>
      <c r="JY136" s="43"/>
      <c r="JZ136" s="43"/>
      <c r="KA136" s="43"/>
      <c r="KB136" s="43"/>
      <c r="KC136" s="43"/>
      <c r="KD136" s="43"/>
      <c r="KE136" s="43"/>
      <c r="KF136" s="43"/>
      <c r="KG136" s="43"/>
      <c r="KH136" s="43"/>
      <c r="KI136" s="43"/>
      <c r="KJ136" s="43"/>
      <c r="KK136" s="43"/>
      <c r="KL136" s="43"/>
      <c r="KM136" s="43"/>
      <c r="KN136" s="43"/>
      <c r="KO136" s="43"/>
      <c r="KP136" s="43"/>
      <c r="KQ136" s="43"/>
      <c r="KR136" s="43"/>
      <c r="KS136" s="43"/>
      <c r="KT136" s="43"/>
      <c r="KU136" s="43"/>
      <c r="KV136" s="43"/>
      <c r="KW136" s="43"/>
      <c r="KX136" s="43"/>
      <c r="KY136" s="43"/>
      <c r="KZ136" s="43"/>
      <c r="LA136" s="43"/>
      <c r="LB136" s="43"/>
      <c r="LC136" s="43"/>
      <c r="LD136" s="43"/>
      <c r="LE136" s="43"/>
      <c r="LF136" s="43"/>
      <c r="LG136" s="43"/>
      <c r="LH136" s="43"/>
      <c r="LI136" s="43"/>
      <c r="LJ136" s="43"/>
      <c r="LK136" s="43"/>
      <c r="LL136" s="43"/>
      <c r="LM136" s="43"/>
      <c r="LN136" s="43"/>
      <c r="LO136" s="43"/>
      <c r="LP136" s="43"/>
      <c r="LQ136" s="43"/>
      <c r="LR136" s="43"/>
      <c r="LS136" s="43"/>
      <c r="LT136" s="43"/>
      <c r="LU136" s="43"/>
      <c r="LV136" s="43"/>
      <c r="LW136" s="43"/>
      <c r="LX136" s="43"/>
      <c r="LY136" s="43"/>
      <c r="LZ136" s="43"/>
      <c r="MA136" s="43"/>
      <c r="MB136" s="43"/>
      <c r="MC136" s="43"/>
      <c r="MD136" s="43"/>
      <c r="ME136" s="43"/>
      <c r="MF136" s="43"/>
      <c r="MG136" s="43"/>
      <c r="MH136" s="43"/>
      <c r="MI136" s="43"/>
      <c r="MJ136" s="43"/>
      <c r="MK136" s="43"/>
      <c r="ML136" s="43"/>
      <c r="MM136" s="43"/>
      <c r="MN136" s="43"/>
      <c r="MO136" s="43"/>
      <c r="MP136" s="43"/>
      <c r="MQ136" s="43"/>
      <c r="MR136" s="43"/>
      <c r="MS136" s="43"/>
      <c r="MT136" s="43"/>
      <c r="MU136" s="43"/>
      <c r="MV136" s="43"/>
      <c r="MW136" s="43"/>
      <c r="MX136" s="43"/>
      <c r="MY136" s="43"/>
      <c r="MZ136" s="43"/>
      <c r="NA136" s="43"/>
      <c r="NB136" s="43"/>
      <c r="NC136" s="43"/>
      <c r="ND136" s="43"/>
      <c r="NE136" s="43"/>
      <c r="NF136" s="43"/>
      <c r="NG136" s="43"/>
      <c r="NH136" s="43"/>
      <c r="NI136" s="43"/>
      <c r="NJ136" s="43"/>
      <c r="NK136" s="43"/>
      <c r="NL136" s="43"/>
      <c r="NM136" s="43"/>
      <c r="NN136" s="43"/>
      <c r="NO136" s="43"/>
      <c r="NP136" s="43"/>
      <c r="NQ136" s="43"/>
      <c r="NR136" s="43"/>
      <c r="NS136" s="43"/>
      <c r="NT136" s="43"/>
      <c r="NU136" s="43"/>
      <c r="NV136" s="43"/>
      <c r="NW136" s="43"/>
      <c r="NX136" s="43"/>
      <c r="NY136" s="43"/>
      <c r="NZ136" s="43"/>
      <c r="OA136" s="43"/>
      <c r="OB136" s="43"/>
      <c r="OC136" s="43"/>
      <c r="OD136" s="43"/>
      <c r="OE136" s="43"/>
      <c r="OF136" s="43"/>
      <c r="OG136" s="43"/>
      <c r="OH136" s="43"/>
      <c r="OI136" s="43"/>
      <c r="OJ136" s="43"/>
      <c r="OK136" s="43"/>
      <c r="OL136" s="43"/>
      <c r="OM136" s="43"/>
      <c r="ON136" s="43"/>
      <c r="OO136" s="43"/>
      <c r="OP136" s="43"/>
      <c r="OQ136" s="43"/>
      <c r="OR136" s="43"/>
      <c r="OS136" s="43"/>
      <c r="OT136" s="43"/>
      <c r="OU136" s="43"/>
      <c r="OV136" s="43"/>
      <c r="OW136" s="43"/>
      <c r="OX136" s="43"/>
      <c r="OY136" s="43"/>
      <c r="OZ136" s="43"/>
      <c r="PA136" s="43"/>
      <c r="PB136" s="43"/>
      <c r="PC136" s="43"/>
      <c r="PD136" s="43"/>
      <c r="PE136" s="43"/>
      <c r="PF136" s="43"/>
      <c r="PG136" s="43"/>
      <c r="PH136" s="43"/>
      <c r="PI136" s="43"/>
      <c r="PJ136" s="43"/>
      <c r="PK136" s="43"/>
      <c r="PL136" s="43"/>
      <c r="PM136" s="43"/>
      <c r="PN136" s="43"/>
      <c r="PO136" s="43"/>
      <c r="PP136" s="43"/>
      <c r="PQ136" s="43"/>
      <c r="PR136" s="43"/>
      <c r="PS136" s="43"/>
      <c r="PT136" s="43"/>
      <c r="PU136" s="43"/>
      <c r="PV136" s="43"/>
      <c r="PW136" s="43"/>
      <c r="PX136" s="43"/>
      <c r="PY136" s="43"/>
      <c r="PZ136" s="43"/>
      <c r="QA136" s="43"/>
      <c r="QB136" s="43"/>
      <c r="QC136" s="43"/>
    </row>
    <row r="137" spans="1:445" x14ac:dyDescent="0.3">
      <c r="A137" s="85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46" t="str">
        <f t="shared" si="9"/>
        <v/>
      </c>
      <c r="U137" s="46" t="str">
        <f t="shared" si="10"/>
        <v/>
      </c>
      <c r="V137" s="72" t="str">
        <f t="shared" si="11"/>
        <v/>
      </c>
      <c r="W137" s="48"/>
      <c r="X137" s="73" t="str">
        <f t="shared" si="13"/>
        <v/>
      </c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43"/>
      <c r="BN137" s="43"/>
      <c r="BO137" s="43"/>
      <c r="BP137" s="43"/>
      <c r="BQ137" s="43"/>
      <c r="BR137" s="43"/>
      <c r="BS137" s="43"/>
      <c r="BT137" s="43"/>
      <c r="BU137" s="43"/>
      <c r="BV137" s="43"/>
      <c r="BW137" s="43"/>
      <c r="BX137" s="43"/>
      <c r="BY137" s="43"/>
      <c r="BZ137" s="43"/>
      <c r="CA137" s="43"/>
      <c r="CB137" s="43"/>
      <c r="CC137" s="43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43"/>
      <c r="CY137" s="43"/>
      <c r="CZ137" s="43"/>
      <c r="DA137" s="43"/>
      <c r="DB137" s="43"/>
      <c r="DC137" s="43"/>
      <c r="DD137" s="43"/>
      <c r="DE137" s="43"/>
      <c r="DF137" s="43"/>
      <c r="DG137" s="43"/>
      <c r="DH137" s="43"/>
      <c r="DI137" s="43"/>
      <c r="DJ137" s="43"/>
      <c r="DK137" s="43"/>
      <c r="DL137" s="43"/>
      <c r="DM137" s="43"/>
      <c r="DN137" s="43"/>
      <c r="DO137" s="43"/>
      <c r="DP137" s="43"/>
      <c r="DQ137" s="43"/>
      <c r="DR137" s="43"/>
      <c r="DS137" s="43"/>
      <c r="DT137" s="43"/>
      <c r="DU137" s="43"/>
      <c r="DV137" s="43"/>
      <c r="DW137" s="43"/>
      <c r="DX137" s="43"/>
      <c r="DY137" s="43"/>
      <c r="DZ137" s="43"/>
      <c r="EA137" s="43"/>
      <c r="EB137" s="43"/>
      <c r="EC137" s="43"/>
      <c r="ED137" s="43"/>
      <c r="EE137" s="43"/>
      <c r="EF137" s="43"/>
      <c r="EG137" s="43"/>
      <c r="EH137" s="43"/>
      <c r="EI137" s="43"/>
      <c r="EJ137" s="43"/>
      <c r="EK137" s="43"/>
      <c r="EL137" s="43"/>
      <c r="EM137" s="43"/>
      <c r="EN137" s="43"/>
      <c r="EO137" s="43"/>
      <c r="EP137" s="43"/>
      <c r="EQ137" s="43"/>
      <c r="ER137" s="43"/>
      <c r="ES137" s="43"/>
      <c r="ET137" s="43"/>
      <c r="EU137" s="43"/>
      <c r="EV137" s="43"/>
      <c r="EW137" s="43"/>
      <c r="EX137" s="43"/>
      <c r="EY137" s="43"/>
      <c r="EZ137" s="43"/>
      <c r="FA137" s="43"/>
      <c r="FB137" s="43"/>
      <c r="FC137" s="43"/>
      <c r="FD137" s="43"/>
      <c r="FE137" s="43"/>
      <c r="FF137" s="43"/>
      <c r="FG137" s="43"/>
      <c r="FH137" s="43"/>
      <c r="FI137" s="43"/>
      <c r="FJ137" s="43"/>
      <c r="FK137" s="43"/>
      <c r="FL137" s="43"/>
      <c r="FM137" s="43"/>
      <c r="FN137" s="43"/>
      <c r="FO137" s="43"/>
      <c r="FP137" s="43"/>
      <c r="FQ137" s="43"/>
      <c r="FR137" s="43"/>
      <c r="FS137" s="43"/>
      <c r="FT137" s="43"/>
      <c r="FU137" s="43"/>
      <c r="FV137" s="43"/>
      <c r="FW137" s="43"/>
      <c r="FX137" s="43"/>
      <c r="FY137" s="43"/>
      <c r="FZ137" s="43"/>
      <c r="GA137" s="43"/>
      <c r="GB137" s="43"/>
      <c r="GC137" s="43"/>
      <c r="GD137" s="43"/>
      <c r="GE137" s="43"/>
      <c r="GF137" s="43"/>
      <c r="GG137" s="43"/>
      <c r="GH137" s="43"/>
      <c r="GI137" s="43"/>
      <c r="GJ137" s="43"/>
      <c r="GK137" s="43"/>
      <c r="GL137" s="43"/>
      <c r="GM137" s="43"/>
      <c r="GN137" s="43"/>
      <c r="GO137" s="43"/>
      <c r="GP137" s="43"/>
      <c r="GQ137" s="43"/>
      <c r="GR137" s="43"/>
      <c r="GS137" s="43"/>
      <c r="GT137" s="43"/>
      <c r="GU137" s="43"/>
      <c r="GV137" s="43"/>
      <c r="GW137" s="43"/>
      <c r="GX137" s="43"/>
      <c r="GY137" s="43"/>
      <c r="GZ137" s="43"/>
      <c r="HA137" s="43"/>
      <c r="HB137" s="43"/>
      <c r="HC137" s="43"/>
      <c r="HD137" s="43"/>
      <c r="HE137" s="43"/>
      <c r="HF137" s="43"/>
      <c r="HG137" s="43"/>
      <c r="HH137" s="43"/>
      <c r="HI137" s="43"/>
      <c r="HJ137" s="43"/>
      <c r="HK137" s="43"/>
      <c r="HL137" s="43"/>
      <c r="HM137" s="43"/>
      <c r="HN137" s="43"/>
      <c r="HO137" s="43"/>
      <c r="HP137" s="43"/>
      <c r="HQ137" s="43"/>
      <c r="HR137" s="43"/>
      <c r="HS137" s="43"/>
      <c r="HT137" s="43"/>
      <c r="HU137" s="43"/>
      <c r="HV137" s="43"/>
      <c r="HW137" s="43"/>
      <c r="HX137" s="43"/>
      <c r="HY137" s="43"/>
      <c r="HZ137" s="43"/>
      <c r="IA137" s="43"/>
      <c r="IB137" s="43"/>
      <c r="IC137" s="43"/>
      <c r="ID137" s="43"/>
      <c r="IE137" s="43"/>
      <c r="IF137" s="43"/>
      <c r="IG137" s="43"/>
      <c r="IH137" s="43"/>
      <c r="II137" s="43"/>
      <c r="IJ137" s="43"/>
      <c r="IK137" s="43"/>
      <c r="IL137" s="43"/>
      <c r="IM137" s="43"/>
      <c r="IN137" s="43"/>
      <c r="IO137" s="43"/>
      <c r="IP137" s="43"/>
      <c r="IQ137" s="43"/>
      <c r="IR137" s="43"/>
      <c r="IS137" s="43"/>
      <c r="IT137" s="43"/>
      <c r="IU137" s="43"/>
      <c r="IV137" s="43"/>
      <c r="IW137" s="43"/>
      <c r="IX137" s="43"/>
      <c r="IY137" s="43"/>
      <c r="IZ137" s="43"/>
      <c r="JA137" s="43"/>
      <c r="JB137" s="43"/>
      <c r="JC137" s="43"/>
      <c r="JD137" s="43"/>
      <c r="JE137" s="43"/>
      <c r="JF137" s="43"/>
      <c r="JG137" s="43"/>
      <c r="JH137" s="43"/>
      <c r="JI137" s="43"/>
      <c r="JJ137" s="43"/>
      <c r="JK137" s="43"/>
      <c r="JL137" s="43"/>
      <c r="JM137" s="43"/>
      <c r="JN137" s="43"/>
      <c r="JO137" s="43"/>
      <c r="JP137" s="43"/>
      <c r="JQ137" s="43"/>
      <c r="JR137" s="43"/>
      <c r="JS137" s="43"/>
      <c r="JT137" s="43"/>
      <c r="JU137" s="43"/>
      <c r="JV137" s="43"/>
      <c r="JW137" s="43"/>
      <c r="JX137" s="43"/>
      <c r="JY137" s="43"/>
      <c r="JZ137" s="43"/>
      <c r="KA137" s="43"/>
      <c r="KB137" s="43"/>
      <c r="KC137" s="43"/>
      <c r="KD137" s="43"/>
      <c r="KE137" s="43"/>
      <c r="KF137" s="43"/>
      <c r="KG137" s="43"/>
      <c r="KH137" s="43"/>
      <c r="KI137" s="43"/>
      <c r="KJ137" s="43"/>
      <c r="KK137" s="43"/>
      <c r="KL137" s="43"/>
      <c r="KM137" s="43"/>
      <c r="KN137" s="43"/>
      <c r="KO137" s="43"/>
      <c r="KP137" s="43"/>
      <c r="KQ137" s="43"/>
      <c r="KR137" s="43"/>
      <c r="KS137" s="43"/>
      <c r="KT137" s="43"/>
      <c r="KU137" s="43"/>
      <c r="KV137" s="43"/>
      <c r="KW137" s="43"/>
      <c r="KX137" s="43"/>
      <c r="KY137" s="43"/>
      <c r="KZ137" s="43"/>
      <c r="LA137" s="43"/>
      <c r="LB137" s="43"/>
      <c r="LC137" s="43"/>
      <c r="LD137" s="43"/>
      <c r="LE137" s="43"/>
      <c r="LF137" s="43"/>
      <c r="LG137" s="43"/>
      <c r="LH137" s="43"/>
      <c r="LI137" s="43"/>
      <c r="LJ137" s="43"/>
      <c r="LK137" s="43"/>
      <c r="LL137" s="43"/>
      <c r="LM137" s="43"/>
      <c r="LN137" s="43"/>
      <c r="LO137" s="43"/>
      <c r="LP137" s="43"/>
      <c r="LQ137" s="43"/>
      <c r="LR137" s="43"/>
      <c r="LS137" s="43"/>
      <c r="LT137" s="43"/>
      <c r="LU137" s="43"/>
      <c r="LV137" s="43"/>
      <c r="LW137" s="43"/>
      <c r="LX137" s="43"/>
      <c r="LY137" s="43"/>
      <c r="LZ137" s="43"/>
      <c r="MA137" s="43"/>
      <c r="MB137" s="43"/>
      <c r="MC137" s="43"/>
      <c r="MD137" s="43"/>
      <c r="ME137" s="43"/>
      <c r="MF137" s="43"/>
      <c r="MG137" s="43"/>
      <c r="MH137" s="43"/>
      <c r="MI137" s="43"/>
      <c r="MJ137" s="43"/>
      <c r="MK137" s="43"/>
      <c r="ML137" s="43"/>
      <c r="MM137" s="43"/>
      <c r="MN137" s="43"/>
      <c r="MO137" s="43"/>
      <c r="MP137" s="43"/>
      <c r="MQ137" s="43"/>
      <c r="MR137" s="43"/>
      <c r="MS137" s="43"/>
      <c r="MT137" s="43"/>
      <c r="MU137" s="43"/>
      <c r="MV137" s="43"/>
      <c r="MW137" s="43"/>
      <c r="MX137" s="43"/>
      <c r="MY137" s="43"/>
      <c r="MZ137" s="43"/>
      <c r="NA137" s="43"/>
      <c r="NB137" s="43"/>
      <c r="NC137" s="43"/>
      <c r="ND137" s="43"/>
      <c r="NE137" s="43"/>
      <c r="NF137" s="43"/>
      <c r="NG137" s="43"/>
      <c r="NH137" s="43"/>
      <c r="NI137" s="43"/>
      <c r="NJ137" s="43"/>
      <c r="NK137" s="43"/>
      <c r="NL137" s="43"/>
      <c r="NM137" s="43"/>
      <c r="NN137" s="43"/>
      <c r="NO137" s="43"/>
      <c r="NP137" s="43"/>
      <c r="NQ137" s="43"/>
      <c r="NR137" s="43"/>
      <c r="NS137" s="43"/>
      <c r="NT137" s="43"/>
      <c r="NU137" s="43"/>
      <c r="NV137" s="43"/>
      <c r="NW137" s="43"/>
      <c r="NX137" s="43"/>
      <c r="NY137" s="43"/>
      <c r="NZ137" s="43"/>
      <c r="OA137" s="43"/>
      <c r="OB137" s="43"/>
      <c r="OC137" s="43"/>
      <c r="OD137" s="43"/>
      <c r="OE137" s="43"/>
      <c r="OF137" s="43"/>
      <c r="OG137" s="43"/>
      <c r="OH137" s="43"/>
      <c r="OI137" s="43"/>
      <c r="OJ137" s="43"/>
      <c r="OK137" s="43"/>
      <c r="OL137" s="43"/>
      <c r="OM137" s="43"/>
      <c r="ON137" s="43"/>
      <c r="OO137" s="43"/>
      <c r="OP137" s="43"/>
      <c r="OQ137" s="43"/>
      <c r="OR137" s="43"/>
      <c r="OS137" s="43"/>
      <c r="OT137" s="43"/>
      <c r="OU137" s="43"/>
      <c r="OV137" s="43"/>
      <c r="OW137" s="43"/>
      <c r="OX137" s="43"/>
      <c r="OY137" s="43"/>
      <c r="OZ137" s="43"/>
      <c r="PA137" s="43"/>
      <c r="PB137" s="43"/>
      <c r="PC137" s="43"/>
      <c r="PD137" s="43"/>
      <c r="PE137" s="43"/>
      <c r="PF137" s="43"/>
      <c r="PG137" s="43"/>
      <c r="PH137" s="43"/>
      <c r="PI137" s="43"/>
      <c r="PJ137" s="43"/>
      <c r="PK137" s="43"/>
      <c r="PL137" s="43"/>
      <c r="PM137" s="43"/>
      <c r="PN137" s="43"/>
      <c r="PO137" s="43"/>
      <c r="PP137" s="43"/>
      <c r="PQ137" s="43"/>
      <c r="PR137" s="43"/>
      <c r="PS137" s="43"/>
      <c r="PT137" s="43"/>
      <c r="PU137" s="43"/>
      <c r="PV137" s="43"/>
      <c r="PW137" s="43"/>
      <c r="PX137" s="43"/>
      <c r="PY137" s="43"/>
      <c r="PZ137" s="43"/>
      <c r="QA137" s="43"/>
      <c r="QB137" s="43"/>
      <c r="QC137" s="43"/>
    </row>
    <row r="138" spans="1:445" x14ac:dyDescent="0.3">
      <c r="A138" s="85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46" t="str">
        <f t="shared" si="9"/>
        <v/>
      </c>
      <c r="U138" s="46" t="str">
        <f t="shared" si="10"/>
        <v/>
      </c>
      <c r="V138" s="72" t="str">
        <f t="shared" si="11"/>
        <v/>
      </c>
      <c r="X138" s="73" t="str">
        <f t="shared" si="13"/>
        <v/>
      </c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43"/>
      <c r="BN138" s="43"/>
      <c r="BO138" s="43"/>
      <c r="BP138" s="43"/>
      <c r="BQ138" s="43"/>
      <c r="BR138" s="43"/>
      <c r="BS138" s="43"/>
      <c r="BT138" s="43"/>
      <c r="BU138" s="43"/>
      <c r="BV138" s="43"/>
      <c r="BW138" s="43"/>
      <c r="BX138" s="43"/>
      <c r="BY138" s="43"/>
      <c r="BZ138" s="43"/>
      <c r="CA138" s="43"/>
      <c r="CB138" s="43"/>
      <c r="CC138" s="43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43"/>
      <c r="CY138" s="43"/>
      <c r="CZ138" s="43"/>
      <c r="DA138" s="43"/>
      <c r="DB138" s="43"/>
      <c r="DC138" s="43"/>
      <c r="DD138" s="43"/>
      <c r="DE138" s="43"/>
      <c r="DF138" s="43"/>
      <c r="DG138" s="43"/>
      <c r="DH138" s="43"/>
      <c r="DI138" s="43"/>
      <c r="DJ138" s="43"/>
      <c r="DK138" s="43"/>
      <c r="DL138" s="43"/>
      <c r="DM138" s="43"/>
      <c r="DN138" s="43"/>
      <c r="DO138" s="43"/>
      <c r="DP138" s="43"/>
      <c r="DQ138" s="43"/>
      <c r="DR138" s="43"/>
      <c r="DS138" s="43"/>
      <c r="DT138" s="43"/>
      <c r="DU138" s="43"/>
      <c r="DV138" s="43"/>
      <c r="DW138" s="43"/>
      <c r="DX138" s="43"/>
      <c r="DY138" s="43"/>
      <c r="DZ138" s="43"/>
      <c r="EA138" s="43"/>
      <c r="EB138" s="43"/>
      <c r="EC138" s="43"/>
      <c r="ED138" s="43"/>
      <c r="EE138" s="43"/>
      <c r="EF138" s="43"/>
      <c r="EG138" s="43"/>
      <c r="EH138" s="43"/>
      <c r="EI138" s="43"/>
      <c r="EJ138" s="43"/>
      <c r="EK138" s="43"/>
      <c r="EL138" s="43"/>
      <c r="EM138" s="43"/>
      <c r="EN138" s="43"/>
      <c r="EO138" s="43"/>
      <c r="EP138" s="43"/>
      <c r="EQ138" s="43"/>
      <c r="ER138" s="43"/>
      <c r="ES138" s="43"/>
      <c r="ET138" s="43"/>
      <c r="EU138" s="43"/>
      <c r="EV138" s="43"/>
      <c r="EW138" s="43"/>
      <c r="EX138" s="43"/>
      <c r="EY138" s="43"/>
      <c r="EZ138" s="43"/>
      <c r="FA138" s="43"/>
      <c r="FB138" s="43"/>
      <c r="FC138" s="43"/>
      <c r="FD138" s="43"/>
      <c r="FE138" s="43"/>
      <c r="FF138" s="43"/>
      <c r="FG138" s="43"/>
      <c r="FH138" s="43"/>
      <c r="FI138" s="43"/>
      <c r="FJ138" s="43"/>
      <c r="FK138" s="43"/>
      <c r="FL138" s="43"/>
      <c r="FM138" s="43"/>
      <c r="FN138" s="43"/>
      <c r="FO138" s="43"/>
      <c r="FP138" s="43"/>
      <c r="FQ138" s="43"/>
      <c r="FR138" s="43"/>
      <c r="FS138" s="43"/>
      <c r="FT138" s="43"/>
      <c r="FU138" s="43"/>
      <c r="FV138" s="43"/>
      <c r="FW138" s="43"/>
      <c r="FX138" s="43"/>
      <c r="FY138" s="43"/>
      <c r="FZ138" s="43"/>
      <c r="GA138" s="43"/>
      <c r="GB138" s="43"/>
      <c r="GC138" s="43"/>
      <c r="GD138" s="43"/>
      <c r="GE138" s="43"/>
      <c r="GF138" s="43"/>
      <c r="GG138" s="43"/>
      <c r="GH138" s="43"/>
      <c r="GI138" s="43"/>
      <c r="GJ138" s="43"/>
      <c r="GK138" s="43"/>
      <c r="GL138" s="43"/>
      <c r="GM138" s="43"/>
      <c r="GN138" s="43"/>
      <c r="GO138" s="43"/>
      <c r="GP138" s="43"/>
      <c r="GQ138" s="43"/>
      <c r="GR138" s="43"/>
      <c r="GS138" s="43"/>
      <c r="GT138" s="43"/>
      <c r="GU138" s="43"/>
      <c r="GV138" s="43"/>
      <c r="GW138" s="43"/>
      <c r="GX138" s="43"/>
      <c r="GY138" s="43"/>
      <c r="GZ138" s="43"/>
      <c r="HA138" s="43"/>
      <c r="HB138" s="43"/>
      <c r="HC138" s="43"/>
      <c r="HD138" s="43"/>
      <c r="HE138" s="43"/>
      <c r="HF138" s="43"/>
      <c r="HG138" s="43"/>
      <c r="HH138" s="43"/>
      <c r="HI138" s="43"/>
      <c r="HJ138" s="43"/>
      <c r="HK138" s="43"/>
      <c r="HL138" s="43"/>
      <c r="HM138" s="43"/>
      <c r="HN138" s="43"/>
      <c r="HO138" s="43"/>
      <c r="HP138" s="43"/>
      <c r="HQ138" s="43"/>
      <c r="HR138" s="43"/>
      <c r="HS138" s="43"/>
      <c r="HT138" s="43"/>
      <c r="HU138" s="43"/>
      <c r="HV138" s="43"/>
      <c r="HW138" s="43"/>
      <c r="HX138" s="43"/>
      <c r="HY138" s="43"/>
      <c r="HZ138" s="43"/>
      <c r="IA138" s="43"/>
      <c r="IB138" s="43"/>
      <c r="IC138" s="43"/>
      <c r="ID138" s="43"/>
      <c r="IE138" s="43"/>
      <c r="IF138" s="43"/>
      <c r="IG138" s="43"/>
      <c r="IH138" s="43"/>
      <c r="II138" s="43"/>
      <c r="IJ138" s="43"/>
      <c r="IK138" s="43"/>
      <c r="IL138" s="43"/>
      <c r="IM138" s="43"/>
      <c r="IN138" s="43"/>
      <c r="IO138" s="43"/>
      <c r="IP138" s="43"/>
      <c r="IQ138" s="43"/>
      <c r="IR138" s="43"/>
      <c r="IS138" s="43"/>
      <c r="IT138" s="43"/>
      <c r="IU138" s="43"/>
      <c r="IV138" s="43"/>
      <c r="IW138" s="43"/>
      <c r="IX138" s="43"/>
      <c r="IY138" s="43"/>
      <c r="IZ138" s="43"/>
      <c r="JA138" s="43"/>
      <c r="JB138" s="43"/>
      <c r="JC138" s="43"/>
      <c r="JD138" s="43"/>
      <c r="JE138" s="43"/>
      <c r="JF138" s="43"/>
      <c r="JG138" s="43"/>
      <c r="JH138" s="43"/>
      <c r="JI138" s="43"/>
      <c r="JJ138" s="43"/>
      <c r="JK138" s="43"/>
      <c r="JL138" s="43"/>
      <c r="JM138" s="43"/>
      <c r="JN138" s="43"/>
      <c r="JO138" s="43"/>
      <c r="JP138" s="43"/>
      <c r="JQ138" s="43"/>
      <c r="JR138" s="43"/>
      <c r="JS138" s="43"/>
      <c r="JT138" s="43"/>
      <c r="JU138" s="43"/>
      <c r="JV138" s="43"/>
      <c r="JW138" s="43"/>
      <c r="JX138" s="43"/>
      <c r="JY138" s="43"/>
      <c r="JZ138" s="43"/>
      <c r="KA138" s="43"/>
      <c r="KB138" s="43"/>
      <c r="KC138" s="43"/>
      <c r="KD138" s="43"/>
      <c r="KE138" s="43"/>
      <c r="KF138" s="43"/>
      <c r="KG138" s="43"/>
      <c r="KH138" s="43"/>
      <c r="KI138" s="43"/>
      <c r="KJ138" s="43"/>
      <c r="KK138" s="43"/>
      <c r="KL138" s="43"/>
      <c r="KM138" s="43"/>
      <c r="KN138" s="43"/>
      <c r="KO138" s="43"/>
      <c r="KP138" s="43"/>
      <c r="KQ138" s="43"/>
      <c r="KR138" s="43"/>
      <c r="KS138" s="43"/>
      <c r="KT138" s="43"/>
      <c r="KU138" s="43"/>
      <c r="KV138" s="43"/>
      <c r="KW138" s="43"/>
      <c r="KX138" s="43"/>
      <c r="KY138" s="43"/>
      <c r="KZ138" s="43"/>
      <c r="LA138" s="43"/>
      <c r="LB138" s="43"/>
      <c r="LC138" s="43"/>
      <c r="LD138" s="43"/>
      <c r="LE138" s="43"/>
      <c r="LF138" s="43"/>
      <c r="LG138" s="43"/>
      <c r="LH138" s="43"/>
      <c r="LI138" s="43"/>
      <c r="LJ138" s="43"/>
      <c r="LK138" s="43"/>
      <c r="LL138" s="43"/>
      <c r="LM138" s="43"/>
      <c r="LN138" s="43"/>
      <c r="LO138" s="43"/>
      <c r="LP138" s="43"/>
      <c r="LQ138" s="43"/>
      <c r="LR138" s="43"/>
      <c r="LS138" s="43"/>
      <c r="LT138" s="43"/>
      <c r="LU138" s="43"/>
      <c r="LV138" s="43"/>
      <c r="LW138" s="43"/>
      <c r="LX138" s="43"/>
      <c r="LY138" s="43"/>
      <c r="LZ138" s="43"/>
      <c r="MA138" s="43"/>
      <c r="MB138" s="43"/>
      <c r="MC138" s="43"/>
      <c r="MD138" s="43"/>
      <c r="ME138" s="43"/>
      <c r="MF138" s="43"/>
      <c r="MG138" s="43"/>
      <c r="MH138" s="43"/>
      <c r="MI138" s="43"/>
      <c r="MJ138" s="43"/>
      <c r="MK138" s="43"/>
      <c r="ML138" s="43"/>
      <c r="MM138" s="43"/>
      <c r="MN138" s="43"/>
      <c r="MO138" s="43"/>
      <c r="MP138" s="43"/>
      <c r="MQ138" s="43"/>
      <c r="MR138" s="43"/>
      <c r="MS138" s="43"/>
      <c r="MT138" s="43"/>
      <c r="MU138" s="43"/>
      <c r="MV138" s="43"/>
      <c r="MW138" s="43"/>
      <c r="MX138" s="43"/>
      <c r="MY138" s="43"/>
      <c r="MZ138" s="43"/>
      <c r="NA138" s="43"/>
      <c r="NB138" s="43"/>
      <c r="NC138" s="43"/>
      <c r="ND138" s="43"/>
      <c r="NE138" s="43"/>
      <c r="NF138" s="43"/>
      <c r="NG138" s="43"/>
      <c r="NH138" s="43"/>
      <c r="NI138" s="43"/>
      <c r="NJ138" s="43"/>
      <c r="NK138" s="43"/>
      <c r="NL138" s="43"/>
      <c r="NM138" s="43"/>
      <c r="NN138" s="43"/>
      <c r="NO138" s="43"/>
      <c r="NP138" s="43"/>
      <c r="NQ138" s="43"/>
      <c r="NR138" s="43"/>
      <c r="NS138" s="43"/>
      <c r="NT138" s="43"/>
      <c r="NU138" s="43"/>
      <c r="NV138" s="43"/>
      <c r="NW138" s="43"/>
      <c r="NX138" s="43"/>
      <c r="NY138" s="43"/>
      <c r="NZ138" s="43"/>
      <c r="OA138" s="43"/>
      <c r="OB138" s="43"/>
      <c r="OC138" s="43"/>
      <c r="OD138" s="43"/>
      <c r="OE138" s="43"/>
      <c r="OF138" s="43"/>
      <c r="OG138" s="43"/>
      <c r="OH138" s="43"/>
      <c r="OI138" s="43"/>
      <c r="OJ138" s="43"/>
      <c r="OK138" s="43"/>
      <c r="OL138" s="43"/>
      <c r="OM138" s="43"/>
      <c r="ON138" s="43"/>
      <c r="OO138" s="43"/>
      <c r="OP138" s="43"/>
      <c r="OQ138" s="43"/>
      <c r="OR138" s="43"/>
      <c r="OS138" s="43"/>
      <c r="OT138" s="43"/>
      <c r="OU138" s="43"/>
      <c r="OV138" s="43"/>
      <c r="OW138" s="43"/>
      <c r="OX138" s="43"/>
      <c r="OY138" s="43"/>
      <c r="OZ138" s="43"/>
      <c r="PA138" s="43"/>
      <c r="PB138" s="43"/>
      <c r="PC138" s="43"/>
      <c r="PD138" s="43"/>
      <c r="PE138" s="43"/>
      <c r="PF138" s="43"/>
      <c r="PG138" s="43"/>
      <c r="PH138" s="43"/>
      <c r="PI138" s="43"/>
      <c r="PJ138" s="43"/>
      <c r="PK138" s="43"/>
      <c r="PL138" s="43"/>
      <c r="PM138" s="43"/>
      <c r="PN138" s="43"/>
      <c r="PO138" s="43"/>
      <c r="PP138" s="43"/>
      <c r="PQ138" s="43"/>
      <c r="PR138" s="43"/>
      <c r="PS138" s="43"/>
      <c r="PT138" s="43"/>
      <c r="PU138" s="43"/>
      <c r="PV138" s="43"/>
      <c r="PW138" s="43"/>
      <c r="PX138" s="43"/>
      <c r="PY138" s="43"/>
      <c r="PZ138" s="43"/>
      <c r="QA138" s="43"/>
      <c r="QB138" s="43"/>
      <c r="QC138" s="43"/>
    </row>
    <row r="139" spans="1:445" x14ac:dyDescent="0.3">
      <c r="A139" s="85"/>
      <c r="B139" s="84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46" t="str">
        <f t="shared" ref="T139:T202" si="14">IF(AND(ISBLANK(E139),ISBLANK(F139),ISBLANK(G139),ISBLANK(H139),ISBLANK(I139),ISBLANK(J139),ISBLANK(K139), ISBLANK(L139), ISBLANK(M139), ISBLANK(N139), ISBLANK(O139), ISBLANK(P139), ISBLANK(Q139), ISBLANK(R139), ISBLANK(S139)),"",SUM(G139:S139))</f>
        <v/>
      </c>
      <c r="U139" s="46" t="str">
        <f t="shared" ref="U139:U202" si="15">IF(W139&lt;&gt;0,0,IF(AND(ISBLANK(F139),ISBLANK(G139),ISBLANK(H139),ISBLANK(I139),ISBLANK(J139),ISBLANK(K139), ISBLANK(L139), ISBLANK(M139), ISBLANK(N139), ISBLANK(O139), ISBLANK(P139), ISBLANK(Q139), ISBLANK(R139), ISBLANK(S139)),"", F139-T139))</f>
        <v/>
      </c>
      <c r="V139" s="72" t="str">
        <f t="shared" si="11"/>
        <v/>
      </c>
      <c r="X139" s="73" t="str">
        <f t="shared" si="13"/>
        <v/>
      </c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43"/>
      <c r="BN139" s="43"/>
      <c r="BO139" s="43"/>
      <c r="BP139" s="43"/>
      <c r="BQ139" s="43"/>
      <c r="BR139" s="43"/>
      <c r="BS139" s="43"/>
      <c r="BT139" s="43"/>
      <c r="BU139" s="43"/>
      <c r="BV139" s="43"/>
      <c r="BW139" s="43"/>
      <c r="BX139" s="43"/>
      <c r="BY139" s="43"/>
      <c r="BZ139" s="43"/>
      <c r="CA139" s="43"/>
      <c r="CB139" s="43"/>
      <c r="CC139" s="43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43"/>
      <c r="CY139" s="43"/>
      <c r="CZ139" s="43"/>
      <c r="DA139" s="43"/>
      <c r="DB139" s="43"/>
      <c r="DC139" s="43"/>
      <c r="DD139" s="43"/>
      <c r="DE139" s="43"/>
      <c r="DF139" s="43"/>
      <c r="DG139" s="43"/>
      <c r="DH139" s="43"/>
      <c r="DI139" s="43"/>
      <c r="DJ139" s="43"/>
      <c r="DK139" s="43"/>
      <c r="DL139" s="43"/>
      <c r="DM139" s="43"/>
      <c r="DN139" s="43"/>
      <c r="DO139" s="43"/>
      <c r="DP139" s="43"/>
      <c r="DQ139" s="43"/>
      <c r="DR139" s="43"/>
      <c r="DS139" s="43"/>
      <c r="DT139" s="43"/>
      <c r="DU139" s="43"/>
      <c r="DV139" s="43"/>
      <c r="DW139" s="43"/>
      <c r="DX139" s="43"/>
      <c r="DY139" s="43"/>
      <c r="DZ139" s="43"/>
      <c r="EA139" s="43"/>
      <c r="EB139" s="43"/>
      <c r="EC139" s="43"/>
      <c r="ED139" s="43"/>
      <c r="EE139" s="43"/>
      <c r="EF139" s="43"/>
      <c r="EG139" s="43"/>
      <c r="EH139" s="43"/>
      <c r="EI139" s="43"/>
      <c r="EJ139" s="43"/>
      <c r="EK139" s="43"/>
      <c r="EL139" s="43"/>
      <c r="EM139" s="43"/>
      <c r="EN139" s="43"/>
      <c r="EO139" s="43"/>
      <c r="EP139" s="43"/>
      <c r="EQ139" s="43"/>
      <c r="ER139" s="43"/>
      <c r="ES139" s="43"/>
      <c r="ET139" s="43"/>
      <c r="EU139" s="43"/>
      <c r="EV139" s="43"/>
      <c r="EW139" s="43"/>
      <c r="EX139" s="43"/>
      <c r="EY139" s="43"/>
      <c r="EZ139" s="43"/>
      <c r="FA139" s="43"/>
      <c r="FB139" s="43"/>
      <c r="FC139" s="43"/>
      <c r="FD139" s="43"/>
      <c r="FE139" s="43"/>
      <c r="FF139" s="43"/>
      <c r="FG139" s="43"/>
      <c r="FH139" s="43"/>
      <c r="FI139" s="43"/>
      <c r="FJ139" s="43"/>
      <c r="FK139" s="43"/>
      <c r="FL139" s="43"/>
      <c r="FM139" s="43"/>
      <c r="FN139" s="43"/>
      <c r="FO139" s="43"/>
      <c r="FP139" s="43"/>
      <c r="FQ139" s="43"/>
      <c r="FR139" s="43"/>
      <c r="FS139" s="43"/>
      <c r="FT139" s="43"/>
      <c r="FU139" s="43"/>
      <c r="FV139" s="43"/>
      <c r="FW139" s="43"/>
      <c r="FX139" s="43"/>
      <c r="FY139" s="43"/>
      <c r="FZ139" s="43"/>
      <c r="GA139" s="43"/>
      <c r="GB139" s="43"/>
      <c r="GC139" s="43"/>
      <c r="GD139" s="43"/>
      <c r="GE139" s="43"/>
      <c r="GF139" s="43"/>
      <c r="GG139" s="43"/>
      <c r="GH139" s="43"/>
      <c r="GI139" s="43"/>
      <c r="GJ139" s="43"/>
      <c r="GK139" s="43"/>
      <c r="GL139" s="43"/>
      <c r="GM139" s="43"/>
      <c r="GN139" s="43"/>
      <c r="GO139" s="43"/>
      <c r="GP139" s="43"/>
      <c r="GQ139" s="43"/>
      <c r="GR139" s="43"/>
      <c r="GS139" s="43"/>
      <c r="GT139" s="43"/>
      <c r="GU139" s="43"/>
      <c r="GV139" s="43"/>
      <c r="GW139" s="43"/>
      <c r="GX139" s="43"/>
      <c r="GY139" s="43"/>
      <c r="GZ139" s="43"/>
      <c r="HA139" s="43"/>
      <c r="HB139" s="43"/>
      <c r="HC139" s="43"/>
      <c r="HD139" s="43"/>
      <c r="HE139" s="43"/>
      <c r="HF139" s="43"/>
      <c r="HG139" s="43"/>
      <c r="HH139" s="43"/>
      <c r="HI139" s="43"/>
      <c r="HJ139" s="43"/>
      <c r="HK139" s="43"/>
      <c r="HL139" s="43"/>
      <c r="HM139" s="43"/>
      <c r="HN139" s="43"/>
      <c r="HO139" s="43"/>
      <c r="HP139" s="43"/>
      <c r="HQ139" s="43"/>
      <c r="HR139" s="43"/>
      <c r="HS139" s="43"/>
      <c r="HT139" s="43"/>
      <c r="HU139" s="43"/>
      <c r="HV139" s="43"/>
      <c r="HW139" s="43"/>
      <c r="HX139" s="43"/>
      <c r="HY139" s="43"/>
      <c r="HZ139" s="43"/>
      <c r="IA139" s="43"/>
      <c r="IB139" s="43"/>
      <c r="IC139" s="43"/>
      <c r="ID139" s="43"/>
      <c r="IE139" s="43"/>
      <c r="IF139" s="43"/>
      <c r="IG139" s="43"/>
      <c r="IH139" s="43"/>
      <c r="II139" s="43"/>
      <c r="IJ139" s="43"/>
      <c r="IK139" s="43"/>
      <c r="IL139" s="43"/>
      <c r="IM139" s="43"/>
      <c r="IN139" s="43"/>
      <c r="IO139" s="43"/>
      <c r="IP139" s="43"/>
      <c r="IQ139" s="43"/>
      <c r="IR139" s="43"/>
      <c r="IS139" s="43"/>
      <c r="IT139" s="43"/>
      <c r="IU139" s="43"/>
      <c r="IV139" s="43"/>
      <c r="IW139" s="43"/>
      <c r="IX139" s="43"/>
      <c r="IY139" s="43"/>
      <c r="IZ139" s="43"/>
      <c r="JA139" s="43"/>
      <c r="JB139" s="43"/>
      <c r="JC139" s="43"/>
      <c r="JD139" s="43"/>
      <c r="JE139" s="43"/>
      <c r="JF139" s="43"/>
      <c r="JG139" s="43"/>
      <c r="JH139" s="43"/>
      <c r="JI139" s="43"/>
      <c r="JJ139" s="43"/>
      <c r="JK139" s="43"/>
      <c r="JL139" s="43"/>
      <c r="JM139" s="43"/>
      <c r="JN139" s="43"/>
      <c r="JO139" s="43"/>
      <c r="JP139" s="43"/>
      <c r="JQ139" s="43"/>
      <c r="JR139" s="43"/>
      <c r="JS139" s="43"/>
      <c r="JT139" s="43"/>
      <c r="JU139" s="43"/>
      <c r="JV139" s="43"/>
      <c r="JW139" s="43"/>
      <c r="JX139" s="43"/>
      <c r="JY139" s="43"/>
      <c r="JZ139" s="43"/>
      <c r="KA139" s="43"/>
      <c r="KB139" s="43"/>
      <c r="KC139" s="43"/>
      <c r="KD139" s="43"/>
      <c r="KE139" s="43"/>
      <c r="KF139" s="43"/>
      <c r="KG139" s="43"/>
      <c r="KH139" s="43"/>
      <c r="KI139" s="43"/>
      <c r="KJ139" s="43"/>
      <c r="KK139" s="43"/>
      <c r="KL139" s="43"/>
      <c r="KM139" s="43"/>
      <c r="KN139" s="43"/>
      <c r="KO139" s="43"/>
      <c r="KP139" s="43"/>
      <c r="KQ139" s="43"/>
      <c r="KR139" s="43"/>
      <c r="KS139" s="43"/>
      <c r="KT139" s="43"/>
      <c r="KU139" s="43"/>
      <c r="KV139" s="43"/>
      <c r="KW139" s="43"/>
      <c r="KX139" s="43"/>
      <c r="KY139" s="43"/>
      <c r="KZ139" s="43"/>
      <c r="LA139" s="43"/>
      <c r="LB139" s="43"/>
      <c r="LC139" s="43"/>
      <c r="LD139" s="43"/>
      <c r="LE139" s="43"/>
      <c r="LF139" s="43"/>
      <c r="LG139" s="43"/>
      <c r="LH139" s="43"/>
      <c r="LI139" s="43"/>
      <c r="LJ139" s="43"/>
      <c r="LK139" s="43"/>
      <c r="LL139" s="43"/>
      <c r="LM139" s="43"/>
      <c r="LN139" s="43"/>
      <c r="LO139" s="43"/>
      <c r="LP139" s="43"/>
      <c r="LQ139" s="43"/>
      <c r="LR139" s="43"/>
      <c r="LS139" s="43"/>
      <c r="LT139" s="43"/>
      <c r="LU139" s="43"/>
      <c r="LV139" s="43"/>
      <c r="LW139" s="43"/>
      <c r="LX139" s="43"/>
      <c r="LY139" s="43"/>
      <c r="LZ139" s="43"/>
      <c r="MA139" s="43"/>
      <c r="MB139" s="43"/>
      <c r="MC139" s="43"/>
      <c r="MD139" s="43"/>
      <c r="ME139" s="43"/>
      <c r="MF139" s="43"/>
      <c r="MG139" s="43"/>
      <c r="MH139" s="43"/>
      <c r="MI139" s="43"/>
      <c r="MJ139" s="43"/>
      <c r="MK139" s="43"/>
      <c r="ML139" s="43"/>
      <c r="MM139" s="43"/>
      <c r="MN139" s="43"/>
      <c r="MO139" s="43"/>
      <c r="MP139" s="43"/>
      <c r="MQ139" s="43"/>
      <c r="MR139" s="43"/>
      <c r="MS139" s="43"/>
      <c r="MT139" s="43"/>
      <c r="MU139" s="43"/>
      <c r="MV139" s="43"/>
      <c r="MW139" s="43"/>
      <c r="MX139" s="43"/>
      <c r="MY139" s="43"/>
      <c r="MZ139" s="43"/>
      <c r="NA139" s="43"/>
      <c r="NB139" s="43"/>
      <c r="NC139" s="43"/>
      <c r="ND139" s="43"/>
      <c r="NE139" s="43"/>
      <c r="NF139" s="43"/>
      <c r="NG139" s="43"/>
      <c r="NH139" s="43"/>
      <c r="NI139" s="43"/>
      <c r="NJ139" s="43"/>
      <c r="NK139" s="43"/>
      <c r="NL139" s="43"/>
      <c r="NM139" s="43"/>
      <c r="NN139" s="43"/>
      <c r="NO139" s="43"/>
      <c r="NP139" s="43"/>
      <c r="NQ139" s="43"/>
      <c r="NR139" s="43"/>
      <c r="NS139" s="43"/>
      <c r="NT139" s="43"/>
      <c r="NU139" s="43"/>
      <c r="NV139" s="43"/>
      <c r="NW139" s="43"/>
      <c r="NX139" s="43"/>
      <c r="NY139" s="43"/>
      <c r="NZ139" s="43"/>
      <c r="OA139" s="43"/>
      <c r="OB139" s="43"/>
      <c r="OC139" s="43"/>
      <c r="OD139" s="43"/>
      <c r="OE139" s="43"/>
      <c r="OF139" s="43"/>
      <c r="OG139" s="43"/>
      <c r="OH139" s="43"/>
      <c r="OI139" s="43"/>
      <c r="OJ139" s="43"/>
      <c r="OK139" s="43"/>
      <c r="OL139" s="43"/>
      <c r="OM139" s="43"/>
      <c r="ON139" s="43"/>
      <c r="OO139" s="43"/>
      <c r="OP139" s="43"/>
      <c r="OQ139" s="43"/>
      <c r="OR139" s="43"/>
      <c r="OS139" s="43"/>
      <c r="OT139" s="43"/>
      <c r="OU139" s="43"/>
      <c r="OV139" s="43"/>
      <c r="OW139" s="43"/>
      <c r="OX139" s="43"/>
      <c r="OY139" s="43"/>
      <c r="OZ139" s="43"/>
      <c r="PA139" s="43"/>
      <c r="PB139" s="43"/>
      <c r="PC139" s="43"/>
      <c r="PD139" s="43"/>
      <c r="PE139" s="43"/>
      <c r="PF139" s="43"/>
      <c r="PG139" s="43"/>
      <c r="PH139" s="43"/>
      <c r="PI139" s="43"/>
      <c r="PJ139" s="43"/>
      <c r="PK139" s="43"/>
      <c r="PL139" s="43"/>
      <c r="PM139" s="43"/>
      <c r="PN139" s="43"/>
      <c r="PO139" s="43"/>
      <c r="PP139" s="43"/>
      <c r="PQ139" s="43"/>
      <c r="PR139" s="43"/>
      <c r="PS139" s="43"/>
      <c r="PT139" s="43"/>
      <c r="PU139" s="43"/>
      <c r="PV139" s="43"/>
      <c r="PW139" s="43"/>
      <c r="PX139" s="43"/>
      <c r="PY139" s="43"/>
      <c r="PZ139" s="43"/>
      <c r="QA139" s="43"/>
      <c r="QB139" s="43"/>
      <c r="QC139" s="43"/>
    </row>
    <row r="140" spans="1:445" x14ac:dyDescent="0.3">
      <c r="A140" s="85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46" t="str">
        <f t="shared" si="14"/>
        <v/>
      </c>
      <c r="U140" s="46" t="str">
        <f t="shared" si="15"/>
        <v/>
      </c>
      <c r="V140" s="72" t="str">
        <f t="shared" si="11"/>
        <v/>
      </c>
      <c r="W140" s="48"/>
      <c r="X140" s="73" t="str">
        <f t="shared" si="13"/>
        <v/>
      </c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43"/>
      <c r="BN140" s="43"/>
      <c r="BO140" s="43"/>
      <c r="BP140" s="43"/>
      <c r="BQ140" s="43"/>
      <c r="BR140" s="43"/>
      <c r="BS140" s="43"/>
      <c r="BT140" s="43"/>
      <c r="BU140" s="43"/>
      <c r="BV140" s="43"/>
      <c r="BW140" s="43"/>
      <c r="BX140" s="43"/>
      <c r="BY140" s="43"/>
      <c r="BZ140" s="43"/>
      <c r="CA140" s="43"/>
      <c r="CB140" s="43"/>
      <c r="CC140" s="43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43"/>
      <c r="CY140" s="43"/>
      <c r="CZ140" s="43"/>
      <c r="DA140" s="43"/>
      <c r="DB140" s="43"/>
      <c r="DC140" s="43"/>
      <c r="DD140" s="43"/>
      <c r="DE140" s="43"/>
      <c r="DF140" s="43"/>
      <c r="DG140" s="43"/>
      <c r="DH140" s="43"/>
      <c r="DI140" s="43"/>
      <c r="DJ140" s="43"/>
      <c r="DK140" s="43"/>
      <c r="DL140" s="43"/>
      <c r="DM140" s="43"/>
      <c r="DN140" s="43"/>
      <c r="DO140" s="43"/>
      <c r="DP140" s="43"/>
      <c r="DQ140" s="43"/>
      <c r="DR140" s="43"/>
      <c r="DS140" s="43"/>
      <c r="DT140" s="43"/>
      <c r="DU140" s="43"/>
      <c r="DV140" s="43"/>
      <c r="DW140" s="43"/>
      <c r="DX140" s="43"/>
      <c r="DY140" s="43"/>
      <c r="DZ140" s="43"/>
      <c r="EA140" s="43"/>
      <c r="EB140" s="43"/>
      <c r="EC140" s="43"/>
      <c r="ED140" s="43"/>
      <c r="EE140" s="43"/>
      <c r="EF140" s="43"/>
      <c r="EG140" s="43"/>
      <c r="EH140" s="43"/>
      <c r="EI140" s="43"/>
      <c r="EJ140" s="43"/>
      <c r="EK140" s="43"/>
      <c r="EL140" s="43"/>
      <c r="EM140" s="43"/>
      <c r="EN140" s="43"/>
      <c r="EO140" s="43"/>
      <c r="EP140" s="43"/>
      <c r="EQ140" s="43"/>
      <c r="ER140" s="43"/>
      <c r="ES140" s="43"/>
      <c r="ET140" s="43"/>
      <c r="EU140" s="43"/>
      <c r="EV140" s="43"/>
      <c r="EW140" s="43"/>
      <c r="EX140" s="43"/>
      <c r="EY140" s="43"/>
      <c r="EZ140" s="43"/>
      <c r="FA140" s="43"/>
      <c r="FB140" s="43"/>
      <c r="FC140" s="43"/>
      <c r="FD140" s="43"/>
      <c r="FE140" s="43"/>
      <c r="FF140" s="43"/>
      <c r="FG140" s="43"/>
      <c r="FH140" s="43"/>
      <c r="FI140" s="43"/>
      <c r="FJ140" s="43"/>
      <c r="FK140" s="43"/>
      <c r="FL140" s="43"/>
      <c r="FM140" s="43"/>
      <c r="FN140" s="43"/>
      <c r="FO140" s="43"/>
      <c r="FP140" s="43"/>
      <c r="FQ140" s="43"/>
      <c r="FR140" s="43"/>
      <c r="FS140" s="43"/>
      <c r="FT140" s="43"/>
      <c r="FU140" s="43"/>
      <c r="FV140" s="43"/>
      <c r="FW140" s="43"/>
      <c r="FX140" s="43"/>
      <c r="FY140" s="43"/>
      <c r="FZ140" s="43"/>
      <c r="GA140" s="43"/>
      <c r="GB140" s="43"/>
      <c r="GC140" s="43"/>
      <c r="GD140" s="43"/>
      <c r="GE140" s="43"/>
      <c r="GF140" s="43"/>
      <c r="GG140" s="43"/>
      <c r="GH140" s="43"/>
      <c r="GI140" s="43"/>
      <c r="GJ140" s="43"/>
      <c r="GK140" s="43"/>
      <c r="GL140" s="43"/>
      <c r="GM140" s="43"/>
      <c r="GN140" s="43"/>
      <c r="GO140" s="43"/>
      <c r="GP140" s="43"/>
      <c r="GQ140" s="43"/>
      <c r="GR140" s="43"/>
      <c r="GS140" s="43"/>
      <c r="GT140" s="43"/>
      <c r="GU140" s="43"/>
      <c r="GV140" s="43"/>
      <c r="GW140" s="43"/>
      <c r="GX140" s="43"/>
      <c r="GY140" s="43"/>
      <c r="GZ140" s="43"/>
      <c r="HA140" s="43"/>
      <c r="HB140" s="43"/>
      <c r="HC140" s="43"/>
      <c r="HD140" s="43"/>
      <c r="HE140" s="43"/>
      <c r="HF140" s="43"/>
      <c r="HG140" s="43"/>
      <c r="HH140" s="43"/>
      <c r="HI140" s="43"/>
      <c r="HJ140" s="43"/>
      <c r="HK140" s="43"/>
      <c r="HL140" s="43"/>
      <c r="HM140" s="43"/>
      <c r="HN140" s="43"/>
      <c r="HO140" s="43"/>
      <c r="HP140" s="43"/>
      <c r="HQ140" s="43"/>
      <c r="HR140" s="43"/>
      <c r="HS140" s="43"/>
      <c r="HT140" s="43"/>
      <c r="HU140" s="43"/>
      <c r="HV140" s="43"/>
      <c r="HW140" s="43"/>
      <c r="HX140" s="43"/>
      <c r="HY140" s="43"/>
      <c r="HZ140" s="43"/>
      <c r="IA140" s="43"/>
      <c r="IB140" s="43"/>
      <c r="IC140" s="43"/>
      <c r="ID140" s="43"/>
      <c r="IE140" s="43"/>
      <c r="IF140" s="43"/>
      <c r="IG140" s="43"/>
      <c r="IH140" s="43"/>
      <c r="II140" s="43"/>
      <c r="IJ140" s="43"/>
      <c r="IK140" s="43"/>
      <c r="IL140" s="43"/>
      <c r="IM140" s="43"/>
      <c r="IN140" s="43"/>
      <c r="IO140" s="43"/>
      <c r="IP140" s="43"/>
      <c r="IQ140" s="43"/>
      <c r="IR140" s="43"/>
      <c r="IS140" s="43"/>
      <c r="IT140" s="43"/>
      <c r="IU140" s="43"/>
      <c r="IV140" s="43"/>
      <c r="IW140" s="43"/>
      <c r="IX140" s="43"/>
      <c r="IY140" s="43"/>
      <c r="IZ140" s="43"/>
      <c r="JA140" s="43"/>
      <c r="JB140" s="43"/>
      <c r="JC140" s="43"/>
      <c r="JD140" s="43"/>
      <c r="JE140" s="43"/>
      <c r="JF140" s="43"/>
      <c r="JG140" s="43"/>
      <c r="JH140" s="43"/>
      <c r="JI140" s="43"/>
      <c r="JJ140" s="43"/>
      <c r="JK140" s="43"/>
      <c r="JL140" s="43"/>
      <c r="JM140" s="43"/>
      <c r="JN140" s="43"/>
      <c r="JO140" s="43"/>
      <c r="JP140" s="43"/>
      <c r="JQ140" s="43"/>
      <c r="JR140" s="43"/>
      <c r="JS140" s="43"/>
      <c r="JT140" s="43"/>
      <c r="JU140" s="43"/>
      <c r="JV140" s="43"/>
      <c r="JW140" s="43"/>
      <c r="JX140" s="43"/>
      <c r="JY140" s="43"/>
      <c r="JZ140" s="43"/>
      <c r="KA140" s="43"/>
      <c r="KB140" s="43"/>
      <c r="KC140" s="43"/>
      <c r="KD140" s="43"/>
      <c r="KE140" s="43"/>
      <c r="KF140" s="43"/>
      <c r="KG140" s="43"/>
      <c r="KH140" s="43"/>
      <c r="KI140" s="43"/>
      <c r="KJ140" s="43"/>
      <c r="KK140" s="43"/>
      <c r="KL140" s="43"/>
      <c r="KM140" s="43"/>
      <c r="KN140" s="43"/>
      <c r="KO140" s="43"/>
      <c r="KP140" s="43"/>
      <c r="KQ140" s="43"/>
      <c r="KR140" s="43"/>
      <c r="KS140" s="43"/>
      <c r="KT140" s="43"/>
      <c r="KU140" s="43"/>
      <c r="KV140" s="43"/>
      <c r="KW140" s="43"/>
      <c r="KX140" s="43"/>
      <c r="KY140" s="43"/>
      <c r="KZ140" s="43"/>
      <c r="LA140" s="43"/>
      <c r="LB140" s="43"/>
      <c r="LC140" s="43"/>
      <c r="LD140" s="43"/>
      <c r="LE140" s="43"/>
      <c r="LF140" s="43"/>
      <c r="LG140" s="43"/>
      <c r="LH140" s="43"/>
      <c r="LI140" s="43"/>
      <c r="LJ140" s="43"/>
      <c r="LK140" s="43"/>
      <c r="LL140" s="43"/>
      <c r="LM140" s="43"/>
      <c r="LN140" s="43"/>
      <c r="LO140" s="43"/>
      <c r="LP140" s="43"/>
      <c r="LQ140" s="43"/>
      <c r="LR140" s="43"/>
      <c r="LS140" s="43"/>
      <c r="LT140" s="43"/>
      <c r="LU140" s="43"/>
      <c r="LV140" s="43"/>
      <c r="LW140" s="43"/>
      <c r="LX140" s="43"/>
      <c r="LY140" s="43"/>
      <c r="LZ140" s="43"/>
      <c r="MA140" s="43"/>
      <c r="MB140" s="43"/>
      <c r="MC140" s="43"/>
      <c r="MD140" s="43"/>
      <c r="ME140" s="43"/>
      <c r="MF140" s="43"/>
      <c r="MG140" s="43"/>
      <c r="MH140" s="43"/>
      <c r="MI140" s="43"/>
      <c r="MJ140" s="43"/>
      <c r="MK140" s="43"/>
      <c r="ML140" s="43"/>
      <c r="MM140" s="43"/>
      <c r="MN140" s="43"/>
      <c r="MO140" s="43"/>
      <c r="MP140" s="43"/>
      <c r="MQ140" s="43"/>
      <c r="MR140" s="43"/>
      <c r="MS140" s="43"/>
      <c r="MT140" s="43"/>
      <c r="MU140" s="43"/>
      <c r="MV140" s="43"/>
      <c r="MW140" s="43"/>
      <c r="MX140" s="43"/>
      <c r="MY140" s="43"/>
      <c r="MZ140" s="43"/>
      <c r="NA140" s="43"/>
      <c r="NB140" s="43"/>
      <c r="NC140" s="43"/>
      <c r="ND140" s="43"/>
      <c r="NE140" s="43"/>
      <c r="NF140" s="43"/>
      <c r="NG140" s="43"/>
      <c r="NH140" s="43"/>
      <c r="NI140" s="43"/>
      <c r="NJ140" s="43"/>
      <c r="NK140" s="43"/>
      <c r="NL140" s="43"/>
      <c r="NM140" s="43"/>
      <c r="NN140" s="43"/>
      <c r="NO140" s="43"/>
      <c r="NP140" s="43"/>
      <c r="NQ140" s="43"/>
      <c r="NR140" s="43"/>
      <c r="NS140" s="43"/>
      <c r="NT140" s="43"/>
      <c r="NU140" s="43"/>
      <c r="NV140" s="43"/>
      <c r="NW140" s="43"/>
      <c r="NX140" s="43"/>
      <c r="NY140" s="43"/>
      <c r="NZ140" s="43"/>
      <c r="OA140" s="43"/>
      <c r="OB140" s="43"/>
      <c r="OC140" s="43"/>
      <c r="OD140" s="43"/>
      <c r="OE140" s="43"/>
      <c r="OF140" s="43"/>
      <c r="OG140" s="43"/>
      <c r="OH140" s="43"/>
      <c r="OI140" s="43"/>
      <c r="OJ140" s="43"/>
      <c r="OK140" s="43"/>
      <c r="OL140" s="43"/>
      <c r="OM140" s="43"/>
      <c r="ON140" s="43"/>
      <c r="OO140" s="43"/>
      <c r="OP140" s="43"/>
      <c r="OQ140" s="43"/>
      <c r="OR140" s="43"/>
      <c r="OS140" s="43"/>
      <c r="OT140" s="43"/>
      <c r="OU140" s="43"/>
      <c r="OV140" s="43"/>
      <c r="OW140" s="43"/>
      <c r="OX140" s="43"/>
      <c r="OY140" s="43"/>
      <c r="OZ140" s="43"/>
      <c r="PA140" s="43"/>
      <c r="PB140" s="43"/>
      <c r="PC140" s="43"/>
      <c r="PD140" s="43"/>
      <c r="PE140" s="43"/>
      <c r="PF140" s="43"/>
      <c r="PG140" s="43"/>
      <c r="PH140" s="43"/>
      <c r="PI140" s="43"/>
      <c r="PJ140" s="43"/>
      <c r="PK140" s="43"/>
      <c r="PL140" s="43"/>
      <c r="PM140" s="43"/>
      <c r="PN140" s="43"/>
      <c r="PO140" s="43"/>
      <c r="PP140" s="43"/>
      <c r="PQ140" s="43"/>
      <c r="PR140" s="43"/>
      <c r="PS140" s="43"/>
      <c r="PT140" s="43"/>
      <c r="PU140" s="43"/>
      <c r="PV140" s="43"/>
      <c r="PW140" s="43"/>
      <c r="PX140" s="43"/>
      <c r="PY140" s="43"/>
      <c r="PZ140" s="43"/>
      <c r="QA140" s="43"/>
      <c r="QB140" s="43"/>
      <c r="QC140" s="43"/>
    </row>
    <row r="141" spans="1:445" x14ac:dyDescent="0.3">
      <c r="A141" s="85"/>
      <c r="B141" s="84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46" t="str">
        <f t="shared" si="14"/>
        <v/>
      </c>
      <c r="U141" s="46" t="str">
        <f t="shared" si="15"/>
        <v/>
      </c>
      <c r="V141" s="72" t="str">
        <f t="shared" si="11"/>
        <v/>
      </c>
      <c r="W141" s="48"/>
      <c r="X141" s="73" t="str">
        <f t="shared" si="13"/>
        <v/>
      </c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43"/>
      <c r="BN141" s="43"/>
      <c r="BO141" s="43"/>
      <c r="BP141" s="43"/>
      <c r="BQ141" s="43"/>
      <c r="BR141" s="43"/>
      <c r="BS141" s="43"/>
      <c r="BT141" s="43"/>
      <c r="BU141" s="43"/>
      <c r="BV141" s="43"/>
      <c r="BW141" s="43"/>
      <c r="BX141" s="43"/>
      <c r="BY141" s="43"/>
      <c r="BZ141" s="43"/>
      <c r="CA141" s="43"/>
      <c r="CB141" s="43"/>
      <c r="CC141" s="43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43"/>
      <c r="CY141" s="43"/>
      <c r="CZ141" s="43"/>
      <c r="DA141" s="43"/>
      <c r="DB141" s="43"/>
      <c r="DC141" s="43"/>
      <c r="DD141" s="43"/>
      <c r="DE141" s="43"/>
      <c r="DF141" s="43"/>
      <c r="DG141" s="43"/>
      <c r="DH141" s="43"/>
      <c r="DI141" s="43"/>
      <c r="DJ141" s="43"/>
      <c r="DK141" s="43"/>
      <c r="DL141" s="43"/>
      <c r="DM141" s="43"/>
      <c r="DN141" s="43"/>
      <c r="DO141" s="43"/>
      <c r="DP141" s="43"/>
      <c r="DQ141" s="43"/>
      <c r="DR141" s="43"/>
      <c r="DS141" s="43"/>
      <c r="DT141" s="43"/>
      <c r="DU141" s="43"/>
      <c r="DV141" s="43"/>
      <c r="DW141" s="43"/>
      <c r="DX141" s="43"/>
      <c r="DY141" s="43"/>
      <c r="DZ141" s="43"/>
      <c r="EA141" s="43"/>
      <c r="EB141" s="43"/>
      <c r="EC141" s="43"/>
      <c r="ED141" s="43"/>
      <c r="EE141" s="43"/>
      <c r="EF141" s="43"/>
      <c r="EG141" s="43"/>
      <c r="EH141" s="43"/>
      <c r="EI141" s="43"/>
      <c r="EJ141" s="43"/>
      <c r="EK141" s="43"/>
      <c r="EL141" s="43"/>
      <c r="EM141" s="43"/>
      <c r="EN141" s="43"/>
      <c r="EO141" s="43"/>
      <c r="EP141" s="43"/>
      <c r="EQ141" s="43"/>
      <c r="ER141" s="43"/>
      <c r="ES141" s="43"/>
      <c r="ET141" s="43"/>
      <c r="EU141" s="43"/>
      <c r="EV141" s="43"/>
      <c r="EW141" s="43"/>
      <c r="EX141" s="43"/>
      <c r="EY141" s="43"/>
      <c r="EZ141" s="43"/>
      <c r="FA141" s="43"/>
      <c r="FB141" s="43"/>
      <c r="FC141" s="43"/>
      <c r="FD141" s="43"/>
      <c r="FE141" s="43"/>
      <c r="FF141" s="43"/>
      <c r="FG141" s="43"/>
      <c r="FH141" s="43"/>
      <c r="FI141" s="43"/>
      <c r="FJ141" s="43"/>
      <c r="FK141" s="43"/>
      <c r="FL141" s="43"/>
      <c r="FM141" s="43"/>
      <c r="FN141" s="43"/>
      <c r="FO141" s="43"/>
      <c r="FP141" s="43"/>
      <c r="FQ141" s="43"/>
      <c r="FR141" s="43"/>
      <c r="FS141" s="43"/>
      <c r="FT141" s="43"/>
      <c r="FU141" s="43"/>
      <c r="FV141" s="43"/>
      <c r="FW141" s="43"/>
      <c r="FX141" s="43"/>
      <c r="FY141" s="43"/>
      <c r="FZ141" s="43"/>
      <c r="GA141" s="43"/>
      <c r="GB141" s="43"/>
      <c r="GC141" s="43"/>
      <c r="GD141" s="43"/>
      <c r="GE141" s="43"/>
      <c r="GF141" s="43"/>
      <c r="GG141" s="43"/>
      <c r="GH141" s="43"/>
      <c r="GI141" s="43"/>
      <c r="GJ141" s="43"/>
      <c r="GK141" s="43"/>
      <c r="GL141" s="43"/>
      <c r="GM141" s="43"/>
      <c r="GN141" s="43"/>
      <c r="GO141" s="43"/>
      <c r="GP141" s="43"/>
      <c r="GQ141" s="43"/>
      <c r="GR141" s="43"/>
      <c r="GS141" s="43"/>
      <c r="GT141" s="43"/>
      <c r="GU141" s="43"/>
      <c r="GV141" s="43"/>
      <c r="GW141" s="43"/>
      <c r="GX141" s="43"/>
      <c r="GY141" s="43"/>
      <c r="GZ141" s="43"/>
      <c r="HA141" s="43"/>
      <c r="HB141" s="43"/>
      <c r="HC141" s="43"/>
      <c r="HD141" s="43"/>
      <c r="HE141" s="43"/>
      <c r="HF141" s="43"/>
      <c r="HG141" s="43"/>
      <c r="HH141" s="43"/>
      <c r="HI141" s="43"/>
      <c r="HJ141" s="43"/>
      <c r="HK141" s="43"/>
      <c r="HL141" s="43"/>
      <c r="HM141" s="43"/>
      <c r="HN141" s="43"/>
      <c r="HO141" s="43"/>
      <c r="HP141" s="43"/>
      <c r="HQ141" s="43"/>
      <c r="HR141" s="43"/>
      <c r="HS141" s="43"/>
      <c r="HT141" s="43"/>
      <c r="HU141" s="43"/>
      <c r="HV141" s="43"/>
      <c r="HW141" s="43"/>
      <c r="HX141" s="43"/>
      <c r="HY141" s="43"/>
      <c r="HZ141" s="43"/>
      <c r="IA141" s="43"/>
      <c r="IB141" s="43"/>
      <c r="IC141" s="43"/>
      <c r="ID141" s="43"/>
      <c r="IE141" s="43"/>
      <c r="IF141" s="43"/>
      <c r="IG141" s="43"/>
      <c r="IH141" s="43"/>
      <c r="II141" s="43"/>
      <c r="IJ141" s="43"/>
      <c r="IK141" s="43"/>
      <c r="IL141" s="43"/>
      <c r="IM141" s="43"/>
      <c r="IN141" s="43"/>
      <c r="IO141" s="43"/>
      <c r="IP141" s="43"/>
      <c r="IQ141" s="43"/>
      <c r="IR141" s="43"/>
      <c r="IS141" s="43"/>
      <c r="IT141" s="43"/>
      <c r="IU141" s="43"/>
      <c r="IV141" s="43"/>
      <c r="IW141" s="43"/>
      <c r="IX141" s="43"/>
      <c r="IY141" s="43"/>
      <c r="IZ141" s="43"/>
      <c r="JA141" s="43"/>
      <c r="JB141" s="43"/>
      <c r="JC141" s="43"/>
      <c r="JD141" s="43"/>
      <c r="JE141" s="43"/>
      <c r="JF141" s="43"/>
      <c r="JG141" s="43"/>
      <c r="JH141" s="43"/>
      <c r="JI141" s="43"/>
      <c r="JJ141" s="43"/>
      <c r="JK141" s="43"/>
      <c r="JL141" s="43"/>
      <c r="JM141" s="43"/>
      <c r="JN141" s="43"/>
      <c r="JO141" s="43"/>
      <c r="JP141" s="43"/>
      <c r="JQ141" s="43"/>
      <c r="JR141" s="43"/>
      <c r="JS141" s="43"/>
      <c r="JT141" s="43"/>
      <c r="JU141" s="43"/>
      <c r="JV141" s="43"/>
      <c r="JW141" s="43"/>
      <c r="JX141" s="43"/>
      <c r="JY141" s="43"/>
      <c r="JZ141" s="43"/>
      <c r="KA141" s="43"/>
      <c r="KB141" s="43"/>
      <c r="KC141" s="43"/>
      <c r="KD141" s="43"/>
      <c r="KE141" s="43"/>
      <c r="KF141" s="43"/>
      <c r="KG141" s="43"/>
      <c r="KH141" s="43"/>
      <c r="KI141" s="43"/>
      <c r="KJ141" s="43"/>
      <c r="KK141" s="43"/>
      <c r="KL141" s="43"/>
      <c r="KM141" s="43"/>
      <c r="KN141" s="43"/>
      <c r="KO141" s="43"/>
      <c r="KP141" s="43"/>
      <c r="KQ141" s="43"/>
      <c r="KR141" s="43"/>
      <c r="KS141" s="43"/>
      <c r="KT141" s="43"/>
      <c r="KU141" s="43"/>
      <c r="KV141" s="43"/>
      <c r="KW141" s="43"/>
      <c r="KX141" s="43"/>
      <c r="KY141" s="43"/>
      <c r="KZ141" s="43"/>
      <c r="LA141" s="43"/>
      <c r="LB141" s="43"/>
      <c r="LC141" s="43"/>
      <c r="LD141" s="43"/>
      <c r="LE141" s="43"/>
      <c r="LF141" s="43"/>
      <c r="LG141" s="43"/>
      <c r="LH141" s="43"/>
      <c r="LI141" s="43"/>
      <c r="LJ141" s="43"/>
      <c r="LK141" s="43"/>
      <c r="LL141" s="43"/>
      <c r="LM141" s="43"/>
      <c r="LN141" s="43"/>
      <c r="LO141" s="43"/>
      <c r="LP141" s="43"/>
      <c r="LQ141" s="43"/>
      <c r="LR141" s="43"/>
      <c r="LS141" s="43"/>
      <c r="LT141" s="43"/>
      <c r="LU141" s="43"/>
      <c r="LV141" s="43"/>
      <c r="LW141" s="43"/>
      <c r="LX141" s="43"/>
      <c r="LY141" s="43"/>
      <c r="LZ141" s="43"/>
      <c r="MA141" s="43"/>
      <c r="MB141" s="43"/>
      <c r="MC141" s="43"/>
      <c r="MD141" s="43"/>
      <c r="ME141" s="43"/>
      <c r="MF141" s="43"/>
      <c r="MG141" s="43"/>
      <c r="MH141" s="43"/>
      <c r="MI141" s="43"/>
      <c r="MJ141" s="43"/>
      <c r="MK141" s="43"/>
      <c r="ML141" s="43"/>
      <c r="MM141" s="43"/>
      <c r="MN141" s="43"/>
      <c r="MO141" s="43"/>
      <c r="MP141" s="43"/>
      <c r="MQ141" s="43"/>
      <c r="MR141" s="43"/>
      <c r="MS141" s="43"/>
      <c r="MT141" s="43"/>
      <c r="MU141" s="43"/>
      <c r="MV141" s="43"/>
      <c r="MW141" s="43"/>
      <c r="MX141" s="43"/>
      <c r="MY141" s="43"/>
      <c r="MZ141" s="43"/>
      <c r="NA141" s="43"/>
      <c r="NB141" s="43"/>
      <c r="NC141" s="43"/>
      <c r="ND141" s="43"/>
      <c r="NE141" s="43"/>
      <c r="NF141" s="43"/>
      <c r="NG141" s="43"/>
      <c r="NH141" s="43"/>
      <c r="NI141" s="43"/>
      <c r="NJ141" s="43"/>
      <c r="NK141" s="43"/>
      <c r="NL141" s="43"/>
      <c r="NM141" s="43"/>
      <c r="NN141" s="43"/>
      <c r="NO141" s="43"/>
      <c r="NP141" s="43"/>
      <c r="NQ141" s="43"/>
      <c r="NR141" s="43"/>
      <c r="NS141" s="43"/>
      <c r="NT141" s="43"/>
      <c r="NU141" s="43"/>
      <c r="NV141" s="43"/>
      <c r="NW141" s="43"/>
      <c r="NX141" s="43"/>
      <c r="NY141" s="43"/>
      <c r="NZ141" s="43"/>
      <c r="OA141" s="43"/>
      <c r="OB141" s="43"/>
      <c r="OC141" s="43"/>
      <c r="OD141" s="43"/>
      <c r="OE141" s="43"/>
      <c r="OF141" s="43"/>
      <c r="OG141" s="43"/>
      <c r="OH141" s="43"/>
      <c r="OI141" s="43"/>
      <c r="OJ141" s="43"/>
      <c r="OK141" s="43"/>
      <c r="OL141" s="43"/>
      <c r="OM141" s="43"/>
      <c r="ON141" s="43"/>
      <c r="OO141" s="43"/>
      <c r="OP141" s="43"/>
      <c r="OQ141" s="43"/>
      <c r="OR141" s="43"/>
      <c r="OS141" s="43"/>
      <c r="OT141" s="43"/>
      <c r="OU141" s="43"/>
      <c r="OV141" s="43"/>
      <c r="OW141" s="43"/>
      <c r="OX141" s="43"/>
      <c r="OY141" s="43"/>
      <c r="OZ141" s="43"/>
      <c r="PA141" s="43"/>
      <c r="PB141" s="43"/>
      <c r="PC141" s="43"/>
      <c r="PD141" s="43"/>
      <c r="PE141" s="43"/>
      <c r="PF141" s="43"/>
      <c r="PG141" s="43"/>
      <c r="PH141" s="43"/>
      <c r="PI141" s="43"/>
      <c r="PJ141" s="43"/>
      <c r="PK141" s="43"/>
      <c r="PL141" s="43"/>
      <c r="PM141" s="43"/>
      <c r="PN141" s="43"/>
      <c r="PO141" s="43"/>
      <c r="PP141" s="43"/>
      <c r="PQ141" s="43"/>
      <c r="PR141" s="43"/>
      <c r="PS141" s="43"/>
      <c r="PT141" s="43"/>
      <c r="PU141" s="43"/>
      <c r="PV141" s="43"/>
      <c r="PW141" s="43"/>
      <c r="PX141" s="43"/>
      <c r="PY141" s="43"/>
      <c r="PZ141" s="43"/>
      <c r="QA141" s="43"/>
      <c r="QB141" s="43"/>
      <c r="QC141" s="43"/>
    </row>
    <row r="142" spans="1:445" x14ac:dyDescent="0.3">
      <c r="A142" s="85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46" t="str">
        <f t="shared" si="14"/>
        <v/>
      </c>
      <c r="U142" s="46" t="str">
        <f t="shared" si="15"/>
        <v/>
      </c>
      <c r="V142" s="72" t="str">
        <f t="shared" si="11"/>
        <v/>
      </c>
      <c r="W142" s="48"/>
      <c r="X142" s="73" t="str">
        <f t="shared" si="13"/>
        <v/>
      </c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43"/>
      <c r="BN142" s="43"/>
      <c r="BO142" s="43"/>
      <c r="BP142" s="43"/>
      <c r="BQ142" s="43"/>
      <c r="BR142" s="43"/>
      <c r="BS142" s="43"/>
      <c r="BT142" s="43"/>
      <c r="BU142" s="43"/>
      <c r="BV142" s="43"/>
      <c r="BW142" s="43"/>
      <c r="BX142" s="43"/>
      <c r="BY142" s="43"/>
      <c r="BZ142" s="43"/>
      <c r="CA142" s="43"/>
      <c r="CB142" s="43"/>
      <c r="CC142" s="43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43"/>
      <c r="CY142" s="43"/>
      <c r="CZ142" s="43"/>
      <c r="DA142" s="43"/>
      <c r="DB142" s="43"/>
      <c r="DC142" s="43"/>
      <c r="DD142" s="43"/>
      <c r="DE142" s="43"/>
      <c r="DF142" s="43"/>
      <c r="DG142" s="43"/>
      <c r="DH142" s="43"/>
      <c r="DI142" s="43"/>
      <c r="DJ142" s="43"/>
      <c r="DK142" s="43"/>
      <c r="DL142" s="43"/>
      <c r="DM142" s="43"/>
      <c r="DN142" s="43"/>
      <c r="DO142" s="43"/>
      <c r="DP142" s="43"/>
      <c r="DQ142" s="43"/>
      <c r="DR142" s="43"/>
      <c r="DS142" s="43"/>
      <c r="DT142" s="43"/>
      <c r="DU142" s="43"/>
      <c r="DV142" s="43"/>
      <c r="DW142" s="43"/>
      <c r="DX142" s="43"/>
      <c r="DY142" s="43"/>
      <c r="DZ142" s="43"/>
      <c r="EA142" s="43"/>
      <c r="EB142" s="43"/>
      <c r="EC142" s="43"/>
      <c r="ED142" s="43"/>
      <c r="EE142" s="43"/>
      <c r="EF142" s="43"/>
      <c r="EG142" s="43"/>
      <c r="EH142" s="43"/>
      <c r="EI142" s="43"/>
      <c r="EJ142" s="43"/>
      <c r="EK142" s="43"/>
      <c r="EL142" s="43"/>
      <c r="EM142" s="43"/>
      <c r="EN142" s="43"/>
      <c r="EO142" s="43"/>
      <c r="EP142" s="43"/>
      <c r="EQ142" s="43"/>
      <c r="ER142" s="43"/>
      <c r="ES142" s="43"/>
      <c r="ET142" s="43"/>
      <c r="EU142" s="43"/>
      <c r="EV142" s="43"/>
      <c r="EW142" s="43"/>
      <c r="EX142" s="43"/>
      <c r="EY142" s="43"/>
      <c r="EZ142" s="43"/>
      <c r="FA142" s="43"/>
      <c r="FB142" s="43"/>
      <c r="FC142" s="43"/>
      <c r="FD142" s="43"/>
      <c r="FE142" s="43"/>
      <c r="FF142" s="43"/>
      <c r="FG142" s="43"/>
      <c r="FH142" s="43"/>
      <c r="FI142" s="43"/>
      <c r="FJ142" s="43"/>
      <c r="FK142" s="43"/>
      <c r="FL142" s="43"/>
      <c r="FM142" s="43"/>
      <c r="FN142" s="43"/>
      <c r="FO142" s="43"/>
      <c r="FP142" s="43"/>
      <c r="FQ142" s="43"/>
      <c r="FR142" s="43"/>
      <c r="FS142" s="43"/>
      <c r="FT142" s="43"/>
      <c r="FU142" s="43"/>
      <c r="FV142" s="43"/>
      <c r="FW142" s="43"/>
      <c r="FX142" s="43"/>
      <c r="FY142" s="43"/>
      <c r="FZ142" s="43"/>
      <c r="GA142" s="43"/>
      <c r="GB142" s="43"/>
      <c r="GC142" s="43"/>
      <c r="GD142" s="43"/>
      <c r="GE142" s="43"/>
      <c r="GF142" s="43"/>
      <c r="GG142" s="43"/>
      <c r="GH142" s="43"/>
      <c r="GI142" s="43"/>
      <c r="GJ142" s="43"/>
      <c r="GK142" s="43"/>
      <c r="GL142" s="43"/>
      <c r="GM142" s="43"/>
      <c r="GN142" s="43"/>
      <c r="GO142" s="43"/>
      <c r="GP142" s="43"/>
      <c r="GQ142" s="43"/>
      <c r="GR142" s="43"/>
      <c r="GS142" s="43"/>
      <c r="GT142" s="43"/>
      <c r="GU142" s="43"/>
      <c r="GV142" s="43"/>
      <c r="GW142" s="43"/>
      <c r="GX142" s="43"/>
      <c r="GY142" s="43"/>
      <c r="GZ142" s="43"/>
      <c r="HA142" s="43"/>
      <c r="HB142" s="43"/>
      <c r="HC142" s="43"/>
      <c r="HD142" s="43"/>
      <c r="HE142" s="43"/>
      <c r="HF142" s="43"/>
      <c r="HG142" s="43"/>
      <c r="HH142" s="43"/>
      <c r="HI142" s="43"/>
      <c r="HJ142" s="43"/>
      <c r="HK142" s="43"/>
      <c r="HL142" s="43"/>
      <c r="HM142" s="43"/>
      <c r="HN142" s="43"/>
      <c r="HO142" s="43"/>
      <c r="HP142" s="43"/>
      <c r="HQ142" s="43"/>
      <c r="HR142" s="43"/>
      <c r="HS142" s="43"/>
      <c r="HT142" s="43"/>
      <c r="HU142" s="43"/>
      <c r="HV142" s="43"/>
      <c r="HW142" s="43"/>
      <c r="HX142" s="43"/>
      <c r="HY142" s="43"/>
      <c r="HZ142" s="43"/>
      <c r="IA142" s="43"/>
      <c r="IB142" s="43"/>
      <c r="IC142" s="43"/>
      <c r="ID142" s="43"/>
      <c r="IE142" s="43"/>
      <c r="IF142" s="43"/>
      <c r="IG142" s="43"/>
      <c r="IH142" s="43"/>
      <c r="II142" s="43"/>
      <c r="IJ142" s="43"/>
      <c r="IK142" s="43"/>
      <c r="IL142" s="43"/>
      <c r="IM142" s="43"/>
      <c r="IN142" s="43"/>
      <c r="IO142" s="43"/>
      <c r="IP142" s="43"/>
      <c r="IQ142" s="43"/>
      <c r="IR142" s="43"/>
      <c r="IS142" s="43"/>
      <c r="IT142" s="43"/>
      <c r="IU142" s="43"/>
      <c r="IV142" s="43"/>
      <c r="IW142" s="43"/>
      <c r="IX142" s="43"/>
      <c r="IY142" s="43"/>
      <c r="IZ142" s="43"/>
      <c r="JA142" s="43"/>
      <c r="JB142" s="43"/>
      <c r="JC142" s="43"/>
      <c r="JD142" s="43"/>
      <c r="JE142" s="43"/>
      <c r="JF142" s="43"/>
      <c r="JG142" s="43"/>
      <c r="JH142" s="43"/>
      <c r="JI142" s="43"/>
      <c r="JJ142" s="43"/>
      <c r="JK142" s="43"/>
      <c r="JL142" s="43"/>
      <c r="JM142" s="43"/>
      <c r="JN142" s="43"/>
      <c r="JO142" s="43"/>
      <c r="JP142" s="43"/>
      <c r="JQ142" s="43"/>
      <c r="JR142" s="43"/>
      <c r="JS142" s="43"/>
      <c r="JT142" s="43"/>
      <c r="JU142" s="43"/>
      <c r="JV142" s="43"/>
      <c r="JW142" s="43"/>
      <c r="JX142" s="43"/>
      <c r="JY142" s="43"/>
      <c r="JZ142" s="43"/>
      <c r="KA142" s="43"/>
      <c r="KB142" s="43"/>
      <c r="KC142" s="43"/>
      <c r="KD142" s="43"/>
      <c r="KE142" s="43"/>
      <c r="KF142" s="43"/>
      <c r="KG142" s="43"/>
      <c r="KH142" s="43"/>
      <c r="KI142" s="43"/>
      <c r="KJ142" s="43"/>
      <c r="KK142" s="43"/>
      <c r="KL142" s="43"/>
      <c r="KM142" s="43"/>
      <c r="KN142" s="43"/>
      <c r="KO142" s="43"/>
      <c r="KP142" s="43"/>
      <c r="KQ142" s="43"/>
      <c r="KR142" s="43"/>
      <c r="KS142" s="43"/>
      <c r="KT142" s="43"/>
      <c r="KU142" s="43"/>
      <c r="KV142" s="43"/>
      <c r="KW142" s="43"/>
      <c r="KX142" s="43"/>
      <c r="KY142" s="43"/>
      <c r="KZ142" s="43"/>
      <c r="LA142" s="43"/>
      <c r="LB142" s="43"/>
      <c r="LC142" s="43"/>
      <c r="LD142" s="43"/>
      <c r="LE142" s="43"/>
      <c r="LF142" s="43"/>
      <c r="LG142" s="43"/>
      <c r="LH142" s="43"/>
      <c r="LI142" s="43"/>
      <c r="LJ142" s="43"/>
      <c r="LK142" s="43"/>
      <c r="LL142" s="43"/>
      <c r="LM142" s="43"/>
      <c r="LN142" s="43"/>
      <c r="LO142" s="43"/>
      <c r="LP142" s="43"/>
      <c r="LQ142" s="43"/>
      <c r="LR142" s="43"/>
      <c r="LS142" s="43"/>
      <c r="LT142" s="43"/>
      <c r="LU142" s="43"/>
      <c r="LV142" s="43"/>
      <c r="LW142" s="43"/>
      <c r="LX142" s="43"/>
      <c r="LY142" s="43"/>
      <c r="LZ142" s="43"/>
      <c r="MA142" s="43"/>
      <c r="MB142" s="43"/>
      <c r="MC142" s="43"/>
      <c r="MD142" s="43"/>
      <c r="ME142" s="43"/>
      <c r="MF142" s="43"/>
      <c r="MG142" s="43"/>
      <c r="MH142" s="43"/>
      <c r="MI142" s="43"/>
      <c r="MJ142" s="43"/>
      <c r="MK142" s="43"/>
      <c r="ML142" s="43"/>
      <c r="MM142" s="43"/>
      <c r="MN142" s="43"/>
      <c r="MO142" s="43"/>
      <c r="MP142" s="43"/>
      <c r="MQ142" s="43"/>
      <c r="MR142" s="43"/>
      <c r="MS142" s="43"/>
      <c r="MT142" s="43"/>
      <c r="MU142" s="43"/>
      <c r="MV142" s="43"/>
      <c r="MW142" s="43"/>
      <c r="MX142" s="43"/>
      <c r="MY142" s="43"/>
      <c r="MZ142" s="43"/>
      <c r="NA142" s="43"/>
      <c r="NB142" s="43"/>
      <c r="NC142" s="43"/>
      <c r="ND142" s="43"/>
      <c r="NE142" s="43"/>
      <c r="NF142" s="43"/>
      <c r="NG142" s="43"/>
      <c r="NH142" s="43"/>
      <c r="NI142" s="43"/>
      <c r="NJ142" s="43"/>
      <c r="NK142" s="43"/>
      <c r="NL142" s="43"/>
      <c r="NM142" s="43"/>
      <c r="NN142" s="43"/>
      <c r="NO142" s="43"/>
      <c r="NP142" s="43"/>
      <c r="NQ142" s="43"/>
      <c r="NR142" s="43"/>
      <c r="NS142" s="43"/>
      <c r="NT142" s="43"/>
      <c r="NU142" s="43"/>
      <c r="NV142" s="43"/>
      <c r="NW142" s="43"/>
      <c r="NX142" s="43"/>
      <c r="NY142" s="43"/>
      <c r="NZ142" s="43"/>
      <c r="OA142" s="43"/>
      <c r="OB142" s="43"/>
      <c r="OC142" s="43"/>
      <c r="OD142" s="43"/>
      <c r="OE142" s="43"/>
      <c r="OF142" s="43"/>
      <c r="OG142" s="43"/>
      <c r="OH142" s="43"/>
      <c r="OI142" s="43"/>
      <c r="OJ142" s="43"/>
      <c r="OK142" s="43"/>
      <c r="OL142" s="43"/>
      <c r="OM142" s="43"/>
      <c r="ON142" s="43"/>
      <c r="OO142" s="43"/>
      <c r="OP142" s="43"/>
      <c r="OQ142" s="43"/>
      <c r="OR142" s="43"/>
      <c r="OS142" s="43"/>
      <c r="OT142" s="43"/>
      <c r="OU142" s="43"/>
      <c r="OV142" s="43"/>
      <c r="OW142" s="43"/>
      <c r="OX142" s="43"/>
      <c r="OY142" s="43"/>
      <c r="OZ142" s="43"/>
      <c r="PA142" s="43"/>
      <c r="PB142" s="43"/>
      <c r="PC142" s="43"/>
      <c r="PD142" s="43"/>
      <c r="PE142" s="43"/>
      <c r="PF142" s="43"/>
      <c r="PG142" s="43"/>
      <c r="PH142" s="43"/>
      <c r="PI142" s="43"/>
      <c r="PJ142" s="43"/>
      <c r="PK142" s="43"/>
      <c r="PL142" s="43"/>
      <c r="PM142" s="43"/>
      <c r="PN142" s="43"/>
      <c r="PO142" s="43"/>
      <c r="PP142" s="43"/>
      <c r="PQ142" s="43"/>
      <c r="PR142" s="43"/>
      <c r="PS142" s="43"/>
      <c r="PT142" s="43"/>
      <c r="PU142" s="43"/>
      <c r="PV142" s="43"/>
      <c r="PW142" s="43"/>
      <c r="PX142" s="43"/>
      <c r="PY142" s="43"/>
      <c r="PZ142" s="43"/>
      <c r="QA142" s="43"/>
      <c r="QB142" s="43"/>
      <c r="QC142" s="43"/>
    </row>
    <row r="143" spans="1:445" x14ac:dyDescent="0.3">
      <c r="A143" s="85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46" t="str">
        <f t="shared" si="14"/>
        <v/>
      </c>
      <c r="U143" s="46" t="str">
        <f t="shared" si="15"/>
        <v/>
      </c>
      <c r="V143" s="72" t="str">
        <f t="shared" si="11"/>
        <v/>
      </c>
      <c r="X143" s="73" t="str">
        <f t="shared" si="13"/>
        <v/>
      </c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43"/>
      <c r="BN143" s="43"/>
      <c r="BO143" s="43"/>
      <c r="BP143" s="43"/>
      <c r="BQ143" s="43"/>
      <c r="BR143" s="43"/>
      <c r="BS143" s="43"/>
      <c r="BT143" s="43"/>
      <c r="BU143" s="43"/>
      <c r="BV143" s="43"/>
      <c r="BW143" s="43"/>
      <c r="BX143" s="43"/>
      <c r="BY143" s="43"/>
      <c r="BZ143" s="43"/>
      <c r="CA143" s="43"/>
      <c r="CB143" s="43"/>
      <c r="CC143" s="43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43"/>
      <c r="CY143" s="43"/>
      <c r="CZ143" s="43"/>
      <c r="DA143" s="43"/>
      <c r="DB143" s="43"/>
      <c r="DC143" s="43"/>
      <c r="DD143" s="43"/>
      <c r="DE143" s="43"/>
      <c r="DF143" s="43"/>
      <c r="DG143" s="43"/>
      <c r="DH143" s="43"/>
      <c r="DI143" s="43"/>
      <c r="DJ143" s="43"/>
      <c r="DK143" s="43"/>
      <c r="DL143" s="43"/>
      <c r="DM143" s="43"/>
      <c r="DN143" s="43"/>
      <c r="DO143" s="43"/>
      <c r="DP143" s="43"/>
      <c r="DQ143" s="43"/>
      <c r="DR143" s="43"/>
      <c r="DS143" s="43"/>
      <c r="DT143" s="43"/>
      <c r="DU143" s="43"/>
      <c r="DV143" s="43"/>
      <c r="DW143" s="43"/>
      <c r="DX143" s="43"/>
      <c r="DY143" s="43"/>
      <c r="DZ143" s="43"/>
      <c r="EA143" s="43"/>
      <c r="EB143" s="43"/>
      <c r="EC143" s="43"/>
      <c r="ED143" s="43"/>
      <c r="EE143" s="43"/>
      <c r="EF143" s="43"/>
      <c r="EG143" s="43"/>
      <c r="EH143" s="43"/>
      <c r="EI143" s="43"/>
      <c r="EJ143" s="43"/>
      <c r="EK143" s="43"/>
      <c r="EL143" s="43"/>
      <c r="EM143" s="43"/>
      <c r="EN143" s="43"/>
      <c r="EO143" s="43"/>
      <c r="EP143" s="43"/>
      <c r="EQ143" s="43"/>
      <c r="ER143" s="43"/>
      <c r="ES143" s="43"/>
      <c r="ET143" s="43"/>
      <c r="EU143" s="43"/>
      <c r="EV143" s="43"/>
      <c r="EW143" s="43"/>
      <c r="EX143" s="43"/>
      <c r="EY143" s="43"/>
      <c r="EZ143" s="43"/>
      <c r="FA143" s="43"/>
      <c r="FB143" s="43"/>
      <c r="FC143" s="43"/>
      <c r="FD143" s="43"/>
      <c r="FE143" s="43"/>
      <c r="FF143" s="43"/>
      <c r="FG143" s="43"/>
      <c r="FH143" s="43"/>
      <c r="FI143" s="43"/>
      <c r="FJ143" s="43"/>
      <c r="FK143" s="43"/>
      <c r="FL143" s="43"/>
      <c r="FM143" s="43"/>
      <c r="FN143" s="43"/>
      <c r="FO143" s="43"/>
      <c r="FP143" s="43"/>
      <c r="FQ143" s="43"/>
      <c r="FR143" s="43"/>
      <c r="FS143" s="43"/>
      <c r="FT143" s="43"/>
      <c r="FU143" s="43"/>
      <c r="FV143" s="43"/>
      <c r="FW143" s="43"/>
      <c r="FX143" s="43"/>
      <c r="FY143" s="43"/>
      <c r="FZ143" s="43"/>
      <c r="GA143" s="43"/>
      <c r="GB143" s="43"/>
      <c r="GC143" s="43"/>
      <c r="GD143" s="43"/>
      <c r="GE143" s="43"/>
      <c r="GF143" s="43"/>
      <c r="GG143" s="43"/>
      <c r="GH143" s="43"/>
      <c r="GI143" s="43"/>
      <c r="GJ143" s="43"/>
      <c r="GK143" s="43"/>
      <c r="GL143" s="43"/>
      <c r="GM143" s="43"/>
      <c r="GN143" s="43"/>
      <c r="GO143" s="43"/>
      <c r="GP143" s="43"/>
      <c r="GQ143" s="43"/>
      <c r="GR143" s="43"/>
      <c r="GS143" s="43"/>
      <c r="GT143" s="43"/>
      <c r="GU143" s="43"/>
      <c r="GV143" s="43"/>
      <c r="GW143" s="43"/>
      <c r="GX143" s="43"/>
      <c r="GY143" s="43"/>
      <c r="GZ143" s="43"/>
      <c r="HA143" s="43"/>
      <c r="HB143" s="43"/>
      <c r="HC143" s="43"/>
      <c r="HD143" s="43"/>
      <c r="HE143" s="43"/>
      <c r="HF143" s="43"/>
      <c r="HG143" s="43"/>
      <c r="HH143" s="43"/>
      <c r="HI143" s="43"/>
      <c r="HJ143" s="43"/>
      <c r="HK143" s="43"/>
      <c r="HL143" s="43"/>
      <c r="HM143" s="43"/>
      <c r="HN143" s="43"/>
      <c r="HO143" s="43"/>
      <c r="HP143" s="43"/>
      <c r="HQ143" s="43"/>
      <c r="HR143" s="43"/>
      <c r="HS143" s="43"/>
      <c r="HT143" s="43"/>
      <c r="HU143" s="43"/>
      <c r="HV143" s="43"/>
      <c r="HW143" s="43"/>
      <c r="HX143" s="43"/>
      <c r="HY143" s="43"/>
      <c r="HZ143" s="43"/>
      <c r="IA143" s="43"/>
      <c r="IB143" s="43"/>
      <c r="IC143" s="43"/>
      <c r="ID143" s="43"/>
      <c r="IE143" s="43"/>
      <c r="IF143" s="43"/>
      <c r="IG143" s="43"/>
      <c r="IH143" s="43"/>
      <c r="II143" s="43"/>
      <c r="IJ143" s="43"/>
      <c r="IK143" s="43"/>
      <c r="IL143" s="43"/>
      <c r="IM143" s="43"/>
      <c r="IN143" s="43"/>
      <c r="IO143" s="43"/>
      <c r="IP143" s="43"/>
      <c r="IQ143" s="43"/>
      <c r="IR143" s="43"/>
      <c r="IS143" s="43"/>
      <c r="IT143" s="43"/>
      <c r="IU143" s="43"/>
      <c r="IV143" s="43"/>
      <c r="IW143" s="43"/>
      <c r="IX143" s="43"/>
      <c r="IY143" s="43"/>
      <c r="IZ143" s="43"/>
      <c r="JA143" s="43"/>
      <c r="JB143" s="43"/>
      <c r="JC143" s="43"/>
      <c r="JD143" s="43"/>
      <c r="JE143" s="43"/>
      <c r="JF143" s="43"/>
      <c r="JG143" s="43"/>
      <c r="JH143" s="43"/>
      <c r="JI143" s="43"/>
      <c r="JJ143" s="43"/>
      <c r="JK143" s="43"/>
      <c r="JL143" s="43"/>
      <c r="JM143" s="43"/>
      <c r="JN143" s="43"/>
      <c r="JO143" s="43"/>
      <c r="JP143" s="43"/>
      <c r="JQ143" s="43"/>
      <c r="JR143" s="43"/>
      <c r="JS143" s="43"/>
      <c r="JT143" s="43"/>
      <c r="JU143" s="43"/>
      <c r="JV143" s="43"/>
      <c r="JW143" s="43"/>
      <c r="JX143" s="43"/>
      <c r="JY143" s="43"/>
      <c r="JZ143" s="43"/>
      <c r="KA143" s="43"/>
      <c r="KB143" s="43"/>
      <c r="KC143" s="43"/>
      <c r="KD143" s="43"/>
      <c r="KE143" s="43"/>
      <c r="KF143" s="43"/>
      <c r="KG143" s="43"/>
      <c r="KH143" s="43"/>
      <c r="KI143" s="43"/>
      <c r="KJ143" s="43"/>
      <c r="KK143" s="43"/>
      <c r="KL143" s="43"/>
      <c r="KM143" s="43"/>
      <c r="KN143" s="43"/>
      <c r="KO143" s="43"/>
      <c r="KP143" s="43"/>
      <c r="KQ143" s="43"/>
      <c r="KR143" s="43"/>
      <c r="KS143" s="43"/>
      <c r="KT143" s="43"/>
      <c r="KU143" s="43"/>
      <c r="KV143" s="43"/>
      <c r="KW143" s="43"/>
      <c r="KX143" s="43"/>
      <c r="KY143" s="43"/>
      <c r="KZ143" s="43"/>
      <c r="LA143" s="43"/>
      <c r="LB143" s="43"/>
      <c r="LC143" s="43"/>
      <c r="LD143" s="43"/>
      <c r="LE143" s="43"/>
      <c r="LF143" s="43"/>
      <c r="LG143" s="43"/>
      <c r="LH143" s="43"/>
      <c r="LI143" s="43"/>
      <c r="LJ143" s="43"/>
      <c r="LK143" s="43"/>
      <c r="LL143" s="43"/>
      <c r="LM143" s="43"/>
      <c r="LN143" s="43"/>
      <c r="LO143" s="43"/>
      <c r="LP143" s="43"/>
      <c r="LQ143" s="43"/>
      <c r="LR143" s="43"/>
      <c r="LS143" s="43"/>
      <c r="LT143" s="43"/>
      <c r="LU143" s="43"/>
      <c r="LV143" s="43"/>
      <c r="LW143" s="43"/>
      <c r="LX143" s="43"/>
      <c r="LY143" s="43"/>
      <c r="LZ143" s="43"/>
      <c r="MA143" s="43"/>
      <c r="MB143" s="43"/>
      <c r="MC143" s="43"/>
      <c r="MD143" s="43"/>
      <c r="ME143" s="43"/>
      <c r="MF143" s="43"/>
      <c r="MG143" s="43"/>
      <c r="MH143" s="43"/>
      <c r="MI143" s="43"/>
      <c r="MJ143" s="43"/>
      <c r="MK143" s="43"/>
      <c r="ML143" s="43"/>
      <c r="MM143" s="43"/>
      <c r="MN143" s="43"/>
      <c r="MO143" s="43"/>
      <c r="MP143" s="43"/>
      <c r="MQ143" s="43"/>
      <c r="MR143" s="43"/>
      <c r="MS143" s="43"/>
      <c r="MT143" s="43"/>
      <c r="MU143" s="43"/>
      <c r="MV143" s="43"/>
      <c r="MW143" s="43"/>
      <c r="MX143" s="43"/>
      <c r="MY143" s="43"/>
      <c r="MZ143" s="43"/>
      <c r="NA143" s="43"/>
      <c r="NB143" s="43"/>
      <c r="NC143" s="43"/>
      <c r="ND143" s="43"/>
      <c r="NE143" s="43"/>
      <c r="NF143" s="43"/>
      <c r="NG143" s="43"/>
      <c r="NH143" s="43"/>
      <c r="NI143" s="43"/>
      <c r="NJ143" s="43"/>
      <c r="NK143" s="43"/>
      <c r="NL143" s="43"/>
      <c r="NM143" s="43"/>
      <c r="NN143" s="43"/>
      <c r="NO143" s="43"/>
      <c r="NP143" s="43"/>
      <c r="NQ143" s="43"/>
      <c r="NR143" s="43"/>
      <c r="NS143" s="43"/>
      <c r="NT143" s="43"/>
      <c r="NU143" s="43"/>
      <c r="NV143" s="43"/>
      <c r="NW143" s="43"/>
      <c r="NX143" s="43"/>
      <c r="NY143" s="43"/>
      <c r="NZ143" s="43"/>
      <c r="OA143" s="43"/>
      <c r="OB143" s="43"/>
      <c r="OC143" s="43"/>
      <c r="OD143" s="43"/>
      <c r="OE143" s="43"/>
      <c r="OF143" s="43"/>
      <c r="OG143" s="43"/>
      <c r="OH143" s="43"/>
      <c r="OI143" s="43"/>
      <c r="OJ143" s="43"/>
      <c r="OK143" s="43"/>
      <c r="OL143" s="43"/>
      <c r="OM143" s="43"/>
      <c r="ON143" s="43"/>
      <c r="OO143" s="43"/>
      <c r="OP143" s="43"/>
      <c r="OQ143" s="43"/>
      <c r="OR143" s="43"/>
      <c r="OS143" s="43"/>
      <c r="OT143" s="43"/>
      <c r="OU143" s="43"/>
      <c r="OV143" s="43"/>
      <c r="OW143" s="43"/>
      <c r="OX143" s="43"/>
      <c r="OY143" s="43"/>
      <c r="OZ143" s="43"/>
      <c r="PA143" s="43"/>
      <c r="PB143" s="43"/>
      <c r="PC143" s="43"/>
      <c r="PD143" s="43"/>
      <c r="PE143" s="43"/>
      <c r="PF143" s="43"/>
      <c r="PG143" s="43"/>
      <c r="PH143" s="43"/>
      <c r="PI143" s="43"/>
      <c r="PJ143" s="43"/>
      <c r="PK143" s="43"/>
      <c r="PL143" s="43"/>
      <c r="PM143" s="43"/>
      <c r="PN143" s="43"/>
      <c r="PO143" s="43"/>
      <c r="PP143" s="43"/>
      <c r="PQ143" s="43"/>
      <c r="PR143" s="43"/>
      <c r="PS143" s="43"/>
      <c r="PT143" s="43"/>
      <c r="PU143" s="43"/>
      <c r="PV143" s="43"/>
      <c r="PW143" s="43"/>
      <c r="PX143" s="43"/>
      <c r="PY143" s="43"/>
      <c r="PZ143" s="43"/>
      <c r="QA143" s="43"/>
      <c r="QB143" s="43"/>
      <c r="QC143" s="43"/>
    </row>
    <row r="144" spans="1:445" s="43" customFormat="1" ht="17.25" customHeight="1" x14ac:dyDescent="0.25">
      <c r="A144" s="85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46" t="str">
        <f t="shared" si="14"/>
        <v/>
      </c>
      <c r="U144" s="46" t="str">
        <f t="shared" si="15"/>
        <v/>
      </c>
      <c r="V144" s="72" t="str">
        <f t="shared" si="11"/>
        <v/>
      </c>
      <c r="W144" s="48"/>
      <c r="X144" s="73" t="str">
        <f t="shared" si="13"/>
        <v/>
      </c>
    </row>
    <row r="145" spans="1:24" x14ac:dyDescent="0.3">
      <c r="A145" s="85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46" t="str">
        <f t="shared" si="14"/>
        <v/>
      </c>
      <c r="U145" s="46" t="str">
        <f t="shared" si="15"/>
        <v/>
      </c>
      <c r="V145" s="72" t="str">
        <f t="shared" si="11"/>
        <v/>
      </c>
      <c r="W145" s="48"/>
      <c r="X145" s="73" t="str">
        <f t="shared" si="13"/>
        <v/>
      </c>
    </row>
    <row r="146" spans="1:24" x14ac:dyDescent="0.3">
      <c r="A146" s="85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46" t="str">
        <f t="shared" si="14"/>
        <v/>
      </c>
      <c r="U146" s="46" t="str">
        <f t="shared" si="15"/>
        <v/>
      </c>
      <c r="V146" s="72" t="str">
        <f t="shared" si="11"/>
        <v/>
      </c>
      <c r="X146" s="73" t="str">
        <f t="shared" si="13"/>
        <v/>
      </c>
    </row>
    <row r="147" spans="1:24" x14ac:dyDescent="0.3">
      <c r="A147" s="85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46" t="str">
        <f t="shared" si="14"/>
        <v/>
      </c>
      <c r="U147" s="46" t="str">
        <f t="shared" si="15"/>
        <v/>
      </c>
      <c r="V147" s="72" t="str">
        <f t="shared" si="11"/>
        <v/>
      </c>
      <c r="W147" s="48"/>
      <c r="X147" s="73" t="str">
        <f t="shared" si="13"/>
        <v/>
      </c>
    </row>
    <row r="148" spans="1:24" x14ac:dyDescent="0.3">
      <c r="A148" s="85"/>
      <c r="B148" s="84"/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46" t="str">
        <f t="shared" si="14"/>
        <v/>
      </c>
      <c r="U148" s="46" t="str">
        <f t="shared" si="15"/>
        <v/>
      </c>
      <c r="V148" s="72" t="str">
        <f t="shared" si="11"/>
        <v/>
      </c>
      <c r="W148" s="48"/>
      <c r="X148" s="73" t="str">
        <f t="shared" si="13"/>
        <v/>
      </c>
    </row>
    <row r="149" spans="1:24" x14ac:dyDescent="0.3">
      <c r="A149" s="85"/>
      <c r="B149" s="84"/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46" t="str">
        <f t="shared" si="14"/>
        <v/>
      </c>
      <c r="U149" s="46" t="str">
        <f t="shared" si="15"/>
        <v/>
      </c>
      <c r="V149" s="72" t="str">
        <f t="shared" si="11"/>
        <v/>
      </c>
      <c r="W149" s="48"/>
      <c r="X149" s="73" t="str">
        <f t="shared" si="13"/>
        <v/>
      </c>
    </row>
    <row r="150" spans="1:24" x14ac:dyDescent="0.3">
      <c r="A150" s="85"/>
      <c r="B150" s="84"/>
      <c r="C150" s="84"/>
      <c r="D150" s="84"/>
      <c r="E150" s="84"/>
      <c r="F150" s="84"/>
      <c r="G150" s="84"/>
      <c r="H150" s="84"/>
      <c r="I150" s="84"/>
      <c r="J150" s="89"/>
      <c r="K150" s="89"/>
      <c r="L150" s="84"/>
      <c r="M150" s="84"/>
      <c r="N150" s="84"/>
      <c r="O150" s="84"/>
      <c r="P150" s="84"/>
      <c r="Q150" s="84"/>
      <c r="R150" s="84"/>
      <c r="S150" s="84"/>
      <c r="T150" s="46" t="str">
        <f t="shared" si="14"/>
        <v/>
      </c>
      <c r="U150" s="46" t="str">
        <f t="shared" si="15"/>
        <v/>
      </c>
      <c r="V150" s="72" t="str">
        <f t="shared" ref="V150:V213" si="16">IF(AND(ISBLANK(E150),ISBLANK(F150), ISBLANK(G150), ISBLANK(H150), ISBLANK(I150), ISBLANK(J150), ISBLANK(K150), ISBLANK(L150), ISBLANK(M150),ISBLANK(N150), ISBLANK(O150), ISBLANK(P150), ISBLANK(Q150), ISBLANK(R150), ISBLANK(S150)), "",IFERROR(((F150+E150)-U150)/F150,""))</f>
        <v/>
      </c>
      <c r="X150" s="73" t="str">
        <f t="shared" ref="X150:X152" si="17">IF(W150&lt;&gt;"",F150 - (SUM(G150:S150)),"")</f>
        <v/>
      </c>
    </row>
    <row r="151" spans="1:24" x14ac:dyDescent="0.3">
      <c r="A151" s="85"/>
      <c r="B151" s="84"/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46" t="str">
        <f t="shared" si="14"/>
        <v/>
      </c>
      <c r="U151" s="46" t="str">
        <f t="shared" si="15"/>
        <v/>
      </c>
      <c r="V151" s="72" t="str">
        <f t="shared" si="16"/>
        <v/>
      </c>
      <c r="W151" s="48"/>
      <c r="X151" s="73" t="str">
        <f t="shared" si="17"/>
        <v/>
      </c>
    </row>
    <row r="152" spans="1:24" x14ac:dyDescent="0.3">
      <c r="A152" s="85"/>
      <c r="B152" s="84"/>
      <c r="C152" s="84"/>
      <c r="D152" s="84"/>
      <c r="E152" s="84"/>
      <c r="F152" s="84"/>
      <c r="G152" s="84"/>
      <c r="H152" s="84"/>
      <c r="I152" s="84"/>
      <c r="J152" s="86"/>
      <c r="K152" s="86"/>
      <c r="L152" s="84"/>
      <c r="M152" s="84"/>
      <c r="N152" s="84"/>
      <c r="O152" s="84"/>
      <c r="P152" s="84"/>
      <c r="Q152" s="84"/>
      <c r="R152" s="84"/>
      <c r="S152" s="84"/>
      <c r="T152" s="46" t="str">
        <f t="shared" si="14"/>
        <v/>
      </c>
      <c r="U152" s="46" t="str">
        <f t="shared" si="15"/>
        <v/>
      </c>
      <c r="V152" s="72" t="str">
        <f t="shared" si="16"/>
        <v/>
      </c>
      <c r="X152" s="73" t="str">
        <f t="shared" si="17"/>
        <v/>
      </c>
    </row>
    <row r="153" spans="1:24" x14ac:dyDescent="0.3">
      <c r="A153" s="85"/>
      <c r="B153" s="84"/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46" t="str">
        <f t="shared" si="14"/>
        <v/>
      </c>
      <c r="U153" s="46" t="str">
        <f t="shared" si="15"/>
        <v/>
      </c>
      <c r="V153" s="72" t="str">
        <f t="shared" si="16"/>
        <v/>
      </c>
      <c r="X153" s="73"/>
    </row>
    <row r="154" spans="1:24" x14ac:dyDescent="0.3">
      <c r="A154" s="85"/>
      <c r="B154" s="84"/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46" t="str">
        <f t="shared" si="14"/>
        <v/>
      </c>
      <c r="U154" s="46" t="str">
        <f t="shared" si="15"/>
        <v/>
      </c>
      <c r="V154" s="72" t="str">
        <f t="shared" si="16"/>
        <v/>
      </c>
      <c r="X154" s="73" t="str">
        <f t="shared" ref="X154:X185" si="18">IF(W154&lt;&gt;"",F154 - (SUM(G154:S154)),"")</f>
        <v/>
      </c>
    </row>
    <row r="155" spans="1:24" x14ac:dyDescent="0.3">
      <c r="A155" s="85"/>
      <c r="B155" s="84"/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46" t="str">
        <f t="shared" si="14"/>
        <v/>
      </c>
      <c r="U155" s="46" t="str">
        <f t="shared" si="15"/>
        <v/>
      </c>
      <c r="V155" s="72" t="str">
        <f t="shared" si="16"/>
        <v/>
      </c>
      <c r="W155" s="48"/>
      <c r="X155" s="73" t="str">
        <f t="shared" si="18"/>
        <v/>
      </c>
    </row>
    <row r="156" spans="1:24" x14ac:dyDescent="0.3">
      <c r="A156" s="85"/>
      <c r="B156" s="84"/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46" t="str">
        <f t="shared" si="14"/>
        <v/>
      </c>
      <c r="U156" s="46" t="str">
        <f t="shared" si="15"/>
        <v/>
      </c>
      <c r="V156" s="72" t="str">
        <f t="shared" si="16"/>
        <v/>
      </c>
      <c r="W156" s="48"/>
      <c r="X156" s="73" t="str">
        <f t="shared" si="18"/>
        <v/>
      </c>
    </row>
    <row r="157" spans="1:24" x14ac:dyDescent="0.3">
      <c r="A157" s="85"/>
      <c r="B157" s="84"/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46" t="str">
        <f t="shared" si="14"/>
        <v/>
      </c>
      <c r="U157" s="46" t="str">
        <f t="shared" si="15"/>
        <v/>
      </c>
      <c r="V157" s="72" t="str">
        <f t="shared" si="16"/>
        <v/>
      </c>
      <c r="W157" s="48"/>
      <c r="X157" s="73" t="str">
        <f t="shared" si="18"/>
        <v/>
      </c>
    </row>
    <row r="158" spans="1:24" x14ac:dyDescent="0.3">
      <c r="A158" s="85"/>
      <c r="B158" s="84"/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46" t="str">
        <f t="shared" si="14"/>
        <v/>
      </c>
      <c r="U158" s="46" t="str">
        <f t="shared" si="15"/>
        <v/>
      </c>
      <c r="V158" s="72" t="str">
        <f t="shared" si="16"/>
        <v/>
      </c>
      <c r="W158" s="48"/>
      <c r="X158" s="73" t="str">
        <f t="shared" si="18"/>
        <v/>
      </c>
    </row>
    <row r="159" spans="1:24" x14ac:dyDescent="0.3">
      <c r="A159" s="85"/>
      <c r="B159" s="84"/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46" t="str">
        <f t="shared" si="14"/>
        <v/>
      </c>
      <c r="U159" s="46" t="str">
        <f t="shared" si="15"/>
        <v/>
      </c>
      <c r="V159" s="72" t="str">
        <f t="shared" si="16"/>
        <v/>
      </c>
      <c r="W159" s="48"/>
      <c r="X159" s="73" t="str">
        <f t="shared" si="18"/>
        <v/>
      </c>
    </row>
    <row r="160" spans="1:24" x14ac:dyDescent="0.3">
      <c r="A160" s="85"/>
      <c r="B160" s="84"/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46" t="str">
        <f t="shared" si="14"/>
        <v/>
      </c>
      <c r="U160" s="46" t="str">
        <f t="shared" si="15"/>
        <v/>
      </c>
      <c r="V160" s="72" t="str">
        <f t="shared" si="16"/>
        <v/>
      </c>
      <c r="W160" s="48"/>
      <c r="X160" s="73" t="str">
        <f t="shared" si="18"/>
        <v/>
      </c>
    </row>
    <row r="161" spans="1:24" x14ac:dyDescent="0.3">
      <c r="A161" s="85"/>
      <c r="B161" s="84"/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46" t="str">
        <f t="shared" si="14"/>
        <v/>
      </c>
      <c r="U161" s="46" t="str">
        <f t="shared" si="15"/>
        <v/>
      </c>
      <c r="V161" s="72" t="str">
        <f t="shared" si="16"/>
        <v/>
      </c>
      <c r="W161" s="48"/>
      <c r="X161" s="73" t="str">
        <f t="shared" si="18"/>
        <v/>
      </c>
    </row>
    <row r="162" spans="1:24" x14ac:dyDescent="0.3">
      <c r="A162" s="85"/>
      <c r="B162" s="84"/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46" t="str">
        <f t="shared" si="14"/>
        <v/>
      </c>
      <c r="U162" s="46" t="str">
        <f t="shared" si="15"/>
        <v/>
      </c>
      <c r="V162" s="72" t="str">
        <f t="shared" si="16"/>
        <v/>
      </c>
      <c r="W162" s="48"/>
      <c r="X162" s="73" t="str">
        <f t="shared" si="18"/>
        <v/>
      </c>
    </row>
    <row r="163" spans="1:24" x14ac:dyDescent="0.3">
      <c r="A163" s="85"/>
      <c r="B163" s="84"/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46" t="str">
        <f t="shared" si="14"/>
        <v/>
      </c>
      <c r="U163" s="46" t="str">
        <f t="shared" si="15"/>
        <v/>
      </c>
      <c r="V163" s="72" t="str">
        <f t="shared" si="16"/>
        <v/>
      </c>
      <c r="W163" s="48"/>
      <c r="X163" s="73" t="str">
        <f t="shared" si="18"/>
        <v/>
      </c>
    </row>
    <row r="164" spans="1:24" x14ac:dyDescent="0.3">
      <c r="A164" s="85"/>
      <c r="B164" s="84"/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46" t="str">
        <f t="shared" si="14"/>
        <v/>
      </c>
      <c r="U164" s="46" t="str">
        <f t="shared" si="15"/>
        <v/>
      </c>
      <c r="V164" s="72" t="str">
        <f t="shared" si="16"/>
        <v/>
      </c>
      <c r="X164" s="73" t="str">
        <f t="shared" si="18"/>
        <v/>
      </c>
    </row>
    <row r="165" spans="1:24" x14ac:dyDescent="0.3">
      <c r="A165" s="85"/>
      <c r="B165" s="84"/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46" t="str">
        <f t="shared" si="14"/>
        <v/>
      </c>
      <c r="U165" s="46" t="str">
        <f t="shared" si="15"/>
        <v/>
      </c>
      <c r="V165" s="72" t="str">
        <f t="shared" si="16"/>
        <v/>
      </c>
      <c r="W165" s="48"/>
      <c r="X165" s="73" t="str">
        <f t="shared" si="18"/>
        <v/>
      </c>
    </row>
    <row r="166" spans="1:24" x14ac:dyDescent="0.3">
      <c r="A166" s="85"/>
      <c r="B166" s="84"/>
      <c r="C166" s="84"/>
      <c r="D166" s="84"/>
      <c r="E166" s="84"/>
      <c r="F166" s="84"/>
      <c r="G166" s="84"/>
      <c r="H166" s="86"/>
      <c r="I166" s="84"/>
      <c r="J166" s="86"/>
      <c r="K166" s="84"/>
      <c r="L166" s="84"/>
      <c r="M166" s="84"/>
      <c r="N166" s="84"/>
      <c r="O166" s="84"/>
      <c r="P166" s="84"/>
      <c r="Q166" s="84"/>
      <c r="R166" s="84"/>
      <c r="S166" s="84"/>
      <c r="T166" s="46" t="str">
        <f t="shared" si="14"/>
        <v/>
      </c>
      <c r="U166" s="46" t="str">
        <f t="shared" si="15"/>
        <v/>
      </c>
      <c r="V166" s="72" t="str">
        <f t="shared" si="16"/>
        <v/>
      </c>
      <c r="W166" s="48"/>
      <c r="X166" s="73" t="str">
        <f t="shared" si="18"/>
        <v/>
      </c>
    </row>
    <row r="167" spans="1:24" x14ac:dyDescent="0.3">
      <c r="A167" s="85"/>
      <c r="B167" s="84"/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46" t="str">
        <f t="shared" si="14"/>
        <v/>
      </c>
      <c r="U167" s="46" t="str">
        <f t="shared" si="15"/>
        <v/>
      </c>
      <c r="V167" s="72" t="str">
        <f t="shared" si="16"/>
        <v/>
      </c>
      <c r="W167" s="48"/>
      <c r="X167" s="73" t="str">
        <f t="shared" si="18"/>
        <v/>
      </c>
    </row>
    <row r="168" spans="1:24" x14ac:dyDescent="0.3">
      <c r="A168" s="85"/>
      <c r="B168" s="84"/>
      <c r="C168" s="84"/>
      <c r="D168" s="84"/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46" t="str">
        <f t="shared" si="14"/>
        <v/>
      </c>
      <c r="U168" s="46" t="str">
        <f t="shared" si="15"/>
        <v/>
      </c>
      <c r="V168" s="72" t="str">
        <f t="shared" si="16"/>
        <v/>
      </c>
      <c r="X168" s="73" t="str">
        <f t="shared" si="18"/>
        <v/>
      </c>
    </row>
    <row r="169" spans="1:24" x14ac:dyDescent="0.3">
      <c r="A169" s="85"/>
      <c r="B169" s="84"/>
      <c r="C169" s="84"/>
      <c r="D169" s="84"/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46" t="str">
        <f t="shared" si="14"/>
        <v/>
      </c>
      <c r="U169" s="46" t="str">
        <f t="shared" si="15"/>
        <v/>
      </c>
      <c r="V169" s="72" t="str">
        <f t="shared" si="16"/>
        <v/>
      </c>
      <c r="W169" s="48"/>
      <c r="X169" s="73" t="str">
        <f t="shared" si="18"/>
        <v/>
      </c>
    </row>
    <row r="170" spans="1:24" x14ac:dyDescent="0.3">
      <c r="A170" s="85"/>
      <c r="B170" s="84"/>
      <c r="C170" s="84"/>
      <c r="D170" s="84"/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46" t="str">
        <f t="shared" si="14"/>
        <v/>
      </c>
      <c r="U170" s="46" t="str">
        <f t="shared" si="15"/>
        <v/>
      </c>
      <c r="V170" s="72" t="str">
        <f t="shared" si="16"/>
        <v/>
      </c>
      <c r="W170" s="48"/>
      <c r="X170" s="73" t="str">
        <f t="shared" si="18"/>
        <v/>
      </c>
    </row>
    <row r="171" spans="1:24" x14ac:dyDescent="0.3">
      <c r="A171" s="85"/>
      <c r="B171" s="84"/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46" t="str">
        <f t="shared" si="14"/>
        <v/>
      </c>
      <c r="U171" s="46" t="str">
        <f t="shared" si="15"/>
        <v/>
      </c>
      <c r="V171" s="72" t="str">
        <f t="shared" si="16"/>
        <v/>
      </c>
      <c r="W171" s="48"/>
      <c r="X171" s="73" t="str">
        <f t="shared" si="18"/>
        <v/>
      </c>
    </row>
    <row r="172" spans="1:24" x14ac:dyDescent="0.3">
      <c r="A172" s="85"/>
      <c r="B172" s="84"/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46" t="str">
        <f t="shared" si="14"/>
        <v/>
      </c>
      <c r="U172" s="46" t="str">
        <f t="shared" si="15"/>
        <v/>
      </c>
      <c r="V172" s="72" t="str">
        <f t="shared" si="16"/>
        <v/>
      </c>
      <c r="W172" s="48"/>
      <c r="X172" s="73" t="str">
        <f t="shared" si="18"/>
        <v/>
      </c>
    </row>
    <row r="173" spans="1:24" x14ac:dyDescent="0.3">
      <c r="A173" s="85"/>
      <c r="B173" s="84"/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46" t="str">
        <f t="shared" si="14"/>
        <v/>
      </c>
      <c r="U173" s="46" t="str">
        <f t="shared" si="15"/>
        <v/>
      </c>
      <c r="V173" s="72" t="str">
        <f t="shared" si="16"/>
        <v/>
      </c>
      <c r="W173" s="48"/>
      <c r="X173" s="73" t="str">
        <f t="shared" si="18"/>
        <v/>
      </c>
    </row>
    <row r="174" spans="1:24" x14ac:dyDescent="0.3">
      <c r="A174" s="85"/>
      <c r="B174" s="84"/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46" t="str">
        <f t="shared" si="14"/>
        <v/>
      </c>
      <c r="U174" s="46" t="str">
        <f t="shared" si="15"/>
        <v/>
      </c>
      <c r="V174" s="72" t="str">
        <f t="shared" si="16"/>
        <v/>
      </c>
      <c r="X174" s="73" t="str">
        <f t="shared" si="18"/>
        <v/>
      </c>
    </row>
    <row r="175" spans="1:24" x14ac:dyDescent="0.3">
      <c r="A175" s="85"/>
      <c r="B175" s="84"/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46" t="str">
        <f t="shared" si="14"/>
        <v/>
      </c>
      <c r="U175" s="46" t="str">
        <f t="shared" si="15"/>
        <v/>
      </c>
      <c r="V175" s="72" t="str">
        <f t="shared" si="16"/>
        <v/>
      </c>
      <c r="W175" s="48"/>
      <c r="X175" s="73" t="str">
        <f t="shared" si="18"/>
        <v/>
      </c>
    </row>
    <row r="176" spans="1:24" x14ac:dyDescent="0.3">
      <c r="A176" s="85"/>
      <c r="B176" s="84"/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  <c r="S176" s="84"/>
      <c r="T176" s="46" t="str">
        <f t="shared" si="14"/>
        <v/>
      </c>
      <c r="U176" s="46" t="str">
        <f t="shared" si="15"/>
        <v/>
      </c>
      <c r="V176" s="72" t="str">
        <f t="shared" si="16"/>
        <v/>
      </c>
      <c r="W176" s="48"/>
      <c r="X176" s="73" t="str">
        <f t="shared" si="18"/>
        <v/>
      </c>
    </row>
    <row r="177" spans="1:24" x14ac:dyDescent="0.3">
      <c r="A177" s="85"/>
      <c r="B177" s="84"/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46" t="str">
        <f t="shared" si="14"/>
        <v/>
      </c>
      <c r="U177" s="46" t="str">
        <f t="shared" si="15"/>
        <v/>
      </c>
      <c r="V177" s="72" t="str">
        <f t="shared" si="16"/>
        <v/>
      </c>
      <c r="X177" s="73" t="str">
        <f t="shared" si="18"/>
        <v/>
      </c>
    </row>
    <row r="178" spans="1:24" x14ac:dyDescent="0.3">
      <c r="A178" s="85"/>
      <c r="B178" s="84"/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46" t="str">
        <f t="shared" si="14"/>
        <v/>
      </c>
      <c r="U178" s="46" t="str">
        <f t="shared" si="15"/>
        <v/>
      </c>
      <c r="V178" s="72" t="str">
        <f t="shared" si="16"/>
        <v/>
      </c>
      <c r="W178" s="48"/>
      <c r="X178" s="73" t="str">
        <f t="shared" si="18"/>
        <v/>
      </c>
    </row>
    <row r="179" spans="1:24" x14ac:dyDescent="0.3">
      <c r="A179" s="85"/>
      <c r="B179" s="84"/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46" t="str">
        <f t="shared" si="14"/>
        <v/>
      </c>
      <c r="U179" s="46" t="str">
        <f t="shared" si="15"/>
        <v/>
      </c>
      <c r="V179" s="72" t="str">
        <f t="shared" si="16"/>
        <v/>
      </c>
      <c r="W179" s="48"/>
      <c r="X179" s="73" t="str">
        <f t="shared" si="18"/>
        <v/>
      </c>
    </row>
    <row r="180" spans="1:24" x14ac:dyDescent="0.3">
      <c r="A180" s="85"/>
      <c r="B180" s="84"/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46" t="str">
        <f t="shared" si="14"/>
        <v/>
      </c>
      <c r="U180" s="46" t="str">
        <f t="shared" si="15"/>
        <v/>
      </c>
      <c r="V180" s="72" t="str">
        <f t="shared" si="16"/>
        <v/>
      </c>
      <c r="W180" s="48"/>
      <c r="X180" s="73" t="str">
        <f t="shared" si="18"/>
        <v/>
      </c>
    </row>
    <row r="181" spans="1:24" x14ac:dyDescent="0.3">
      <c r="A181" s="85"/>
      <c r="B181" s="84"/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46" t="str">
        <f t="shared" si="14"/>
        <v/>
      </c>
      <c r="U181" s="46" t="str">
        <f t="shared" si="15"/>
        <v/>
      </c>
      <c r="V181" s="72" t="str">
        <f t="shared" si="16"/>
        <v/>
      </c>
      <c r="X181" s="73" t="str">
        <f t="shared" si="18"/>
        <v/>
      </c>
    </row>
    <row r="182" spans="1:24" x14ac:dyDescent="0.3">
      <c r="A182" s="85"/>
      <c r="B182" s="84"/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46" t="str">
        <f t="shared" si="14"/>
        <v/>
      </c>
      <c r="U182" s="46" t="str">
        <f t="shared" si="15"/>
        <v/>
      </c>
      <c r="V182" s="72" t="str">
        <f t="shared" si="16"/>
        <v/>
      </c>
      <c r="W182" s="48"/>
      <c r="X182" s="73" t="str">
        <f t="shared" si="18"/>
        <v/>
      </c>
    </row>
    <row r="183" spans="1:24" s="49" customFormat="1" x14ac:dyDescent="0.3">
      <c r="A183" s="85"/>
      <c r="B183" s="84"/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46" t="str">
        <f t="shared" si="14"/>
        <v/>
      </c>
      <c r="U183" s="46" t="str">
        <f t="shared" si="15"/>
        <v/>
      </c>
      <c r="V183" s="72" t="str">
        <f t="shared" si="16"/>
        <v/>
      </c>
      <c r="X183" s="73" t="str">
        <f t="shared" si="18"/>
        <v/>
      </c>
    </row>
    <row r="184" spans="1:24" s="49" customFormat="1" x14ac:dyDescent="0.3">
      <c r="A184" s="85"/>
      <c r="B184" s="84"/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46" t="str">
        <f t="shared" si="14"/>
        <v/>
      </c>
      <c r="U184" s="46" t="str">
        <f t="shared" si="15"/>
        <v/>
      </c>
      <c r="V184" s="72" t="str">
        <f t="shared" si="16"/>
        <v/>
      </c>
      <c r="W184" s="48"/>
      <c r="X184" s="73" t="str">
        <f t="shared" si="18"/>
        <v/>
      </c>
    </row>
    <row r="185" spans="1:24" s="49" customFormat="1" x14ac:dyDescent="0.3">
      <c r="A185" s="85"/>
      <c r="B185" s="84"/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46" t="str">
        <f t="shared" si="14"/>
        <v/>
      </c>
      <c r="U185" s="46" t="str">
        <f t="shared" si="15"/>
        <v/>
      </c>
      <c r="V185" s="72" t="str">
        <f t="shared" si="16"/>
        <v/>
      </c>
      <c r="W185" s="48"/>
      <c r="X185" s="73" t="str">
        <f t="shared" si="18"/>
        <v/>
      </c>
    </row>
    <row r="186" spans="1:24" s="49" customFormat="1" x14ac:dyDescent="0.3">
      <c r="A186" s="85"/>
      <c r="B186" s="84"/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46" t="str">
        <f t="shared" si="14"/>
        <v/>
      </c>
      <c r="U186" s="46" t="str">
        <f t="shared" si="15"/>
        <v/>
      </c>
      <c r="V186" s="72" t="str">
        <f t="shared" si="16"/>
        <v/>
      </c>
      <c r="W186" s="48"/>
      <c r="X186" s="73" t="str">
        <f t="shared" ref="X186:X217" si="19">IF(W186&lt;&gt;"",F186 - (SUM(G186:S186)),"")</f>
        <v/>
      </c>
    </row>
    <row r="187" spans="1:24" s="49" customFormat="1" x14ac:dyDescent="0.3">
      <c r="A187" s="85"/>
      <c r="B187" s="84"/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46" t="str">
        <f t="shared" si="14"/>
        <v/>
      </c>
      <c r="U187" s="46" t="str">
        <f t="shared" si="15"/>
        <v/>
      </c>
      <c r="V187" s="72" t="str">
        <f t="shared" si="16"/>
        <v/>
      </c>
      <c r="W187" s="48"/>
      <c r="X187" s="73" t="str">
        <f t="shared" si="19"/>
        <v/>
      </c>
    </row>
    <row r="188" spans="1:24" s="49" customFormat="1" x14ac:dyDescent="0.3">
      <c r="A188" s="85"/>
      <c r="B188" s="84"/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46" t="str">
        <f t="shared" si="14"/>
        <v/>
      </c>
      <c r="U188" s="46" t="str">
        <f t="shared" si="15"/>
        <v/>
      </c>
      <c r="V188" s="72" t="str">
        <f t="shared" si="16"/>
        <v/>
      </c>
      <c r="W188" s="48"/>
      <c r="X188" s="73" t="str">
        <f t="shared" si="19"/>
        <v/>
      </c>
    </row>
    <row r="189" spans="1:24" s="49" customFormat="1" x14ac:dyDescent="0.3">
      <c r="A189" s="85"/>
      <c r="B189" s="84"/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46" t="str">
        <f t="shared" si="14"/>
        <v/>
      </c>
      <c r="U189" s="46" t="str">
        <f t="shared" si="15"/>
        <v/>
      </c>
      <c r="V189" s="72" t="str">
        <f t="shared" si="16"/>
        <v/>
      </c>
      <c r="X189" s="73" t="str">
        <f t="shared" si="19"/>
        <v/>
      </c>
    </row>
    <row r="190" spans="1:24" s="49" customFormat="1" x14ac:dyDescent="0.3">
      <c r="A190" s="85"/>
      <c r="B190" s="84"/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46" t="str">
        <f t="shared" si="14"/>
        <v/>
      </c>
      <c r="U190" s="46" t="str">
        <f t="shared" si="15"/>
        <v/>
      </c>
      <c r="V190" s="72" t="str">
        <f t="shared" si="16"/>
        <v/>
      </c>
      <c r="X190" s="73" t="str">
        <f t="shared" si="19"/>
        <v/>
      </c>
    </row>
    <row r="191" spans="1:24" x14ac:dyDescent="0.3">
      <c r="A191" s="85"/>
      <c r="B191" s="84"/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46" t="str">
        <f t="shared" si="14"/>
        <v/>
      </c>
      <c r="U191" s="46" t="str">
        <f t="shared" si="15"/>
        <v/>
      </c>
      <c r="V191" s="72" t="str">
        <f t="shared" si="16"/>
        <v/>
      </c>
      <c r="W191" s="48"/>
      <c r="X191" s="73" t="str">
        <f t="shared" si="19"/>
        <v/>
      </c>
    </row>
    <row r="192" spans="1:24" x14ac:dyDescent="0.3">
      <c r="A192" s="85"/>
      <c r="B192" s="84"/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46" t="str">
        <f t="shared" si="14"/>
        <v/>
      </c>
      <c r="U192" s="46" t="str">
        <f t="shared" si="15"/>
        <v/>
      </c>
      <c r="V192" s="72" t="str">
        <f t="shared" si="16"/>
        <v/>
      </c>
      <c r="X192" s="73" t="str">
        <f t="shared" si="19"/>
        <v/>
      </c>
    </row>
    <row r="193" spans="1:24" x14ac:dyDescent="0.3">
      <c r="A193" s="85"/>
      <c r="B193" s="84"/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46" t="str">
        <f t="shared" si="14"/>
        <v/>
      </c>
      <c r="U193" s="46" t="str">
        <f t="shared" si="15"/>
        <v/>
      </c>
      <c r="V193" s="72" t="str">
        <f t="shared" si="16"/>
        <v/>
      </c>
      <c r="X193" s="73" t="str">
        <f t="shared" si="19"/>
        <v/>
      </c>
    </row>
    <row r="194" spans="1:24" x14ac:dyDescent="0.3">
      <c r="A194" s="85"/>
      <c r="B194" s="84"/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46" t="str">
        <f t="shared" si="14"/>
        <v/>
      </c>
      <c r="U194" s="46" t="str">
        <f t="shared" si="15"/>
        <v/>
      </c>
      <c r="V194" s="72" t="str">
        <f t="shared" si="16"/>
        <v/>
      </c>
      <c r="X194" s="73" t="str">
        <f t="shared" si="19"/>
        <v/>
      </c>
    </row>
    <row r="195" spans="1:24" x14ac:dyDescent="0.3">
      <c r="A195" s="85"/>
      <c r="B195" s="84"/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46" t="str">
        <f t="shared" si="14"/>
        <v/>
      </c>
      <c r="U195" s="46" t="str">
        <f t="shared" si="15"/>
        <v/>
      </c>
      <c r="V195" s="72" t="str">
        <f t="shared" si="16"/>
        <v/>
      </c>
      <c r="X195" s="73" t="str">
        <f t="shared" si="19"/>
        <v/>
      </c>
    </row>
    <row r="196" spans="1:24" x14ac:dyDescent="0.3">
      <c r="A196" s="85"/>
      <c r="B196" s="84"/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46" t="str">
        <f t="shared" si="14"/>
        <v/>
      </c>
      <c r="U196" s="46" t="str">
        <f t="shared" si="15"/>
        <v/>
      </c>
      <c r="V196" s="72" t="str">
        <f t="shared" si="16"/>
        <v/>
      </c>
      <c r="X196" s="73" t="str">
        <f t="shared" si="19"/>
        <v/>
      </c>
    </row>
    <row r="197" spans="1:24" x14ac:dyDescent="0.3">
      <c r="A197" s="85"/>
      <c r="B197" s="84"/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46" t="str">
        <f t="shared" si="14"/>
        <v/>
      </c>
      <c r="U197" s="46" t="str">
        <f t="shared" si="15"/>
        <v/>
      </c>
      <c r="V197" s="72" t="str">
        <f t="shared" si="16"/>
        <v/>
      </c>
      <c r="X197" s="73" t="str">
        <f t="shared" si="19"/>
        <v/>
      </c>
    </row>
    <row r="198" spans="1:24" x14ac:dyDescent="0.3">
      <c r="A198" s="85"/>
      <c r="B198" s="84"/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46" t="str">
        <f t="shared" si="14"/>
        <v/>
      </c>
      <c r="U198" s="46" t="str">
        <f t="shared" si="15"/>
        <v/>
      </c>
      <c r="V198" s="72" t="str">
        <f t="shared" si="16"/>
        <v/>
      </c>
      <c r="X198" s="73" t="str">
        <f t="shared" si="19"/>
        <v/>
      </c>
    </row>
    <row r="199" spans="1:24" x14ac:dyDescent="0.3">
      <c r="A199" s="85"/>
      <c r="B199" s="84"/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46" t="str">
        <f t="shared" si="14"/>
        <v/>
      </c>
      <c r="U199" s="46" t="str">
        <f t="shared" si="15"/>
        <v/>
      </c>
      <c r="V199" s="72" t="str">
        <f t="shared" si="16"/>
        <v/>
      </c>
      <c r="X199" s="73" t="str">
        <f t="shared" si="19"/>
        <v/>
      </c>
    </row>
    <row r="200" spans="1:24" x14ac:dyDescent="0.3">
      <c r="A200" s="85"/>
      <c r="B200" s="84"/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46" t="str">
        <f t="shared" si="14"/>
        <v/>
      </c>
      <c r="U200" s="46" t="str">
        <f t="shared" si="15"/>
        <v/>
      </c>
      <c r="V200" s="72" t="str">
        <f t="shared" si="16"/>
        <v/>
      </c>
      <c r="X200" s="73" t="str">
        <f t="shared" si="19"/>
        <v/>
      </c>
    </row>
    <row r="201" spans="1:24" x14ac:dyDescent="0.3">
      <c r="A201" s="85"/>
      <c r="B201" s="86"/>
      <c r="C201" s="88"/>
      <c r="D201" s="88"/>
      <c r="E201" s="88"/>
      <c r="F201" s="88"/>
      <c r="G201" s="88"/>
      <c r="H201" s="94"/>
      <c r="I201" s="88"/>
      <c r="J201" s="88"/>
      <c r="K201" s="88"/>
      <c r="L201" s="88"/>
      <c r="M201" s="88"/>
      <c r="N201" s="88"/>
      <c r="O201" s="88"/>
      <c r="P201" s="88"/>
      <c r="Q201" s="88"/>
      <c r="R201" s="88"/>
      <c r="S201" s="88"/>
      <c r="T201" s="46" t="str">
        <f t="shared" si="14"/>
        <v/>
      </c>
      <c r="U201" s="46" t="str">
        <f t="shared" si="15"/>
        <v/>
      </c>
      <c r="V201" s="72" t="str">
        <f t="shared" si="16"/>
        <v/>
      </c>
      <c r="X201" s="73" t="str">
        <f t="shared" si="19"/>
        <v/>
      </c>
    </row>
    <row r="202" spans="1:24" x14ac:dyDescent="0.3">
      <c r="A202" s="85"/>
      <c r="B202" s="86"/>
      <c r="C202" s="88"/>
      <c r="D202" s="88"/>
      <c r="E202" s="88"/>
      <c r="F202" s="88"/>
      <c r="G202" s="88"/>
      <c r="H202" s="94"/>
      <c r="I202" s="88"/>
      <c r="J202" s="88"/>
      <c r="K202" s="88"/>
      <c r="L202" s="88"/>
      <c r="M202" s="88"/>
      <c r="N202" s="88"/>
      <c r="O202" s="88"/>
      <c r="P202" s="88"/>
      <c r="Q202" s="88"/>
      <c r="R202" s="88"/>
      <c r="S202" s="88"/>
      <c r="T202" s="46" t="str">
        <f t="shared" si="14"/>
        <v/>
      </c>
      <c r="U202" s="46" t="str">
        <f t="shared" si="15"/>
        <v/>
      </c>
      <c r="V202" s="72" t="str">
        <f t="shared" si="16"/>
        <v/>
      </c>
      <c r="X202" s="73" t="str">
        <f t="shared" si="19"/>
        <v/>
      </c>
    </row>
    <row r="203" spans="1:24" x14ac:dyDescent="0.3">
      <c r="A203" s="85"/>
      <c r="B203" s="86"/>
      <c r="C203" s="88"/>
      <c r="D203" s="88"/>
      <c r="E203" s="88"/>
      <c r="F203" s="88"/>
      <c r="G203" s="88"/>
      <c r="H203" s="94"/>
      <c r="I203" s="88"/>
      <c r="J203" s="88"/>
      <c r="K203" s="88"/>
      <c r="L203" s="88"/>
      <c r="M203" s="88"/>
      <c r="N203" s="88"/>
      <c r="O203" s="88"/>
      <c r="P203" s="88"/>
      <c r="Q203" s="88"/>
      <c r="R203" s="88"/>
      <c r="S203" s="88"/>
      <c r="T203" s="46" t="str">
        <f t="shared" ref="T203:T266" si="20">IF(AND(ISBLANK(E203),ISBLANK(F203),ISBLANK(G203),ISBLANK(H203),ISBLANK(I203),ISBLANK(J203),ISBLANK(K203), ISBLANK(L203), ISBLANK(M203), ISBLANK(N203), ISBLANK(O203), ISBLANK(P203), ISBLANK(Q203), ISBLANK(R203), ISBLANK(S203)),"",SUM(G203:S203))</f>
        <v/>
      </c>
      <c r="U203" s="46" t="str">
        <f t="shared" ref="U203:U266" si="21">IF(W203&lt;&gt;0,0,IF(AND(ISBLANK(F203),ISBLANK(G203),ISBLANK(H203),ISBLANK(I203),ISBLANK(J203),ISBLANK(K203), ISBLANK(L203), ISBLANK(M203), ISBLANK(N203), ISBLANK(O203), ISBLANK(P203), ISBLANK(Q203), ISBLANK(R203), ISBLANK(S203)),"", F203-T203))</f>
        <v/>
      </c>
      <c r="V203" s="72" t="str">
        <f t="shared" si="16"/>
        <v/>
      </c>
      <c r="X203" s="73" t="str">
        <f t="shared" si="19"/>
        <v/>
      </c>
    </row>
    <row r="204" spans="1:24" x14ac:dyDescent="0.3">
      <c r="A204" s="85"/>
      <c r="B204" s="86"/>
      <c r="C204" s="88"/>
      <c r="D204" s="88"/>
      <c r="E204" s="88"/>
      <c r="F204" s="88"/>
      <c r="G204" s="88"/>
      <c r="H204" s="94"/>
      <c r="I204" s="88"/>
      <c r="J204" s="88"/>
      <c r="K204" s="88"/>
      <c r="L204" s="88"/>
      <c r="M204" s="88"/>
      <c r="N204" s="88"/>
      <c r="O204" s="88"/>
      <c r="P204" s="88"/>
      <c r="Q204" s="88"/>
      <c r="R204" s="88"/>
      <c r="S204" s="88"/>
      <c r="T204" s="46" t="str">
        <f t="shared" si="20"/>
        <v/>
      </c>
      <c r="U204" s="46" t="str">
        <f t="shared" si="21"/>
        <v/>
      </c>
      <c r="V204" s="72" t="str">
        <f t="shared" si="16"/>
        <v/>
      </c>
      <c r="X204" s="73" t="str">
        <f t="shared" si="19"/>
        <v/>
      </c>
    </row>
    <row r="205" spans="1:24" x14ac:dyDescent="0.3">
      <c r="A205" s="85"/>
      <c r="B205" s="86"/>
      <c r="C205" s="88"/>
      <c r="D205" s="88"/>
      <c r="E205" s="88"/>
      <c r="F205" s="88"/>
      <c r="G205" s="88"/>
      <c r="H205" s="94"/>
      <c r="I205" s="88"/>
      <c r="J205" s="88"/>
      <c r="K205" s="88"/>
      <c r="L205" s="88"/>
      <c r="M205" s="88"/>
      <c r="N205" s="88"/>
      <c r="O205" s="88"/>
      <c r="P205" s="88"/>
      <c r="Q205" s="88"/>
      <c r="R205" s="88"/>
      <c r="S205" s="88"/>
      <c r="T205" s="46" t="str">
        <f t="shared" si="20"/>
        <v/>
      </c>
      <c r="U205" s="46" t="str">
        <f t="shared" si="21"/>
        <v/>
      </c>
      <c r="V205" s="72" t="str">
        <f t="shared" si="16"/>
        <v/>
      </c>
      <c r="X205" s="73" t="str">
        <f t="shared" si="19"/>
        <v/>
      </c>
    </row>
    <row r="206" spans="1:24" x14ac:dyDescent="0.3">
      <c r="A206" s="85"/>
      <c r="B206" s="86"/>
      <c r="C206" s="88"/>
      <c r="D206" s="88"/>
      <c r="E206" s="88"/>
      <c r="F206" s="88"/>
      <c r="G206" s="88"/>
      <c r="H206" s="94"/>
      <c r="I206" s="88"/>
      <c r="J206" s="88"/>
      <c r="K206" s="88"/>
      <c r="L206" s="88"/>
      <c r="M206" s="88"/>
      <c r="N206" s="88"/>
      <c r="O206" s="88"/>
      <c r="P206" s="88"/>
      <c r="Q206" s="88"/>
      <c r="R206" s="88"/>
      <c r="S206" s="88"/>
      <c r="T206" s="46" t="str">
        <f t="shared" si="20"/>
        <v/>
      </c>
      <c r="U206" s="46" t="str">
        <f t="shared" si="21"/>
        <v/>
      </c>
      <c r="V206" s="72" t="str">
        <f t="shared" si="16"/>
        <v/>
      </c>
      <c r="X206" s="73" t="str">
        <f t="shared" si="19"/>
        <v/>
      </c>
    </row>
    <row r="207" spans="1:24" x14ac:dyDescent="0.3">
      <c r="A207" s="85"/>
      <c r="B207" s="86"/>
      <c r="C207" s="88"/>
      <c r="D207" s="88"/>
      <c r="E207" s="88"/>
      <c r="F207" s="88"/>
      <c r="G207" s="88"/>
      <c r="H207" s="94"/>
      <c r="I207" s="88"/>
      <c r="J207" s="88"/>
      <c r="K207" s="88"/>
      <c r="L207" s="88"/>
      <c r="M207" s="88"/>
      <c r="N207" s="88"/>
      <c r="O207" s="88"/>
      <c r="P207" s="88"/>
      <c r="Q207" s="88"/>
      <c r="R207" s="88"/>
      <c r="S207" s="88"/>
      <c r="T207" s="46" t="str">
        <f t="shared" si="20"/>
        <v/>
      </c>
      <c r="U207" s="46" t="str">
        <f t="shared" si="21"/>
        <v/>
      </c>
      <c r="V207" s="72" t="str">
        <f t="shared" si="16"/>
        <v/>
      </c>
      <c r="X207" s="73" t="str">
        <f t="shared" si="19"/>
        <v/>
      </c>
    </row>
    <row r="208" spans="1:24" x14ac:dyDescent="0.3">
      <c r="A208" s="85"/>
      <c r="B208" s="86"/>
      <c r="C208" s="88"/>
      <c r="D208" s="88"/>
      <c r="E208" s="88"/>
      <c r="F208" s="88"/>
      <c r="G208" s="88"/>
      <c r="H208" s="94"/>
      <c r="I208" s="88"/>
      <c r="J208" s="88"/>
      <c r="K208" s="88"/>
      <c r="L208" s="88"/>
      <c r="M208" s="88"/>
      <c r="N208" s="88"/>
      <c r="O208" s="88"/>
      <c r="P208" s="88"/>
      <c r="Q208" s="88"/>
      <c r="R208" s="88"/>
      <c r="S208" s="88"/>
      <c r="T208" s="46" t="str">
        <f t="shared" si="20"/>
        <v/>
      </c>
      <c r="U208" s="46" t="str">
        <f t="shared" si="21"/>
        <v/>
      </c>
      <c r="V208" s="72" t="str">
        <f t="shared" si="16"/>
        <v/>
      </c>
      <c r="X208" s="73" t="str">
        <f t="shared" si="19"/>
        <v/>
      </c>
    </row>
    <row r="209" spans="1:24" x14ac:dyDescent="0.3">
      <c r="A209" s="85"/>
      <c r="B209" s="86"/>
      <c r="C209" s="88"/>
      <c r="D209" s="88"/>
      <c r="E209" s="88"/>
      <c r="F209" s="88"/>
      <c r="G209" s="88"/>
      <c r="H209" s="94"/>
      <c r="I209" s="88"/>
      <c r="J209" s="88"/>
      <c r="K209" s="88"/>
      <c r="L209" s="88"/>
      <c r="M209" s="88"/>
      <c r="N209" s="88"/>
      <c r="O209" s="88"/>
      <c r="P209" s="88"/>
      <c r="Q209" s="88"/>
      <c r="R209" s="88"/>
      <c r="S209" s="88"/>
      <c r="T209" s="46" t="str">
        <f t="shared" si="20"/>
        <v/>
      </c>
      <c r="U209" s="46" t="str">
        <f t="shared" si="21"/>
        <v/>
      </c>
      <c r="V209" s="72" t="str">
        <f t="shared" si="16"/>
        <v/>
      </c>
      <c r="X209" s="73" t="str">
        <f t="shared" si="19"/>
        <v/>
      </c>
    </row>
    <row r="210" spans="1:24" x14ac:dyDescent="0.3">
      <c r="A210" s="85"/>
      <c r="B210" s="86"/>
      <c r="C210" s="88"/>
      <c r="D210" s="88"/>
      <c r="E210" s="88"/>
      <c r="F210" s="88"/>
      <c r="G210" s="88"/>
      <c r="H210" s="94"/>
      <c r="I210" s="88"/>
      <c r="J210" s="88"/>
      <c r="K210" s="88"/>
      <c r="L210" s="88"/>
      <c r="M210" s="88"/>
      <c r="N210" s="88"/>
      <c r="O210" s="88"/>
      <c r="P210" s="88"/>
      <c r="Q210" s="88"/>
      <c r="R210" s="88"/>
      <c r="S210" s="88"/>
      <c r="T210" s="46" t="str">
        <f t="shared" si="20"/>
        <v/>
      </c>
      <c r="U210" s="46" t="str">
        <f t="shared" si="21"/>
        <v/>
      </c>
      <c r="V210" s="72" t="str">
        <f t="shared" si="16"/>
        <v/>
      </c>
      <c r="X210" s="73" t="str">
        <f t="shared" si="19"/>
        <v/>
      </c>
    </row>
    <row r="211" spans="1:24" x14ac:dyDescent="0.3">
      <c r="A211" s="85"/>
      <c r="B211" s="86"/>
      <c r="C211" s="88"/>
      <c r="D211" s="88"/>
      <c r="E211" s="88"/>
      <c r="F211" s="88"/>
      <c r="G211" s="88"/>
      <c r="H211" s="94"/>
      <c r="I211" s="88"/>
      <c r="J211" s="88"/>
      <c r="K211" s="88"/>
      <c r="L211" s="88"/>
      <c r="M211" s="88"/>
      <c r="N211" s="88"/>
      <c r="O211" s="88"/>
      <c r="P211" s="88"/>
      <c r="Q211" s="88"/>
      <c r="R211" s="88"/>
      <c r="S211" s="88"/>
      <c r="T211" s="46" t="str">
        <f t="shared" si="20"/>
        <v/>
      </c>
      <c r="U211" s="46" t="str">
        <f t="shared" si="21"/>
        <v/>
      </c>
      <c r="V211" s="72" t="str">
        <f t="shared" si="16"/>
        <v/>
      </c>
      <c r="X211" s="73" t="str">
        <f t="shared" si="19"/>
        <v/>
      </c>
    </row>
    <row r="212" spans="1:24" x14ac:dyDescent="0.3">
      <c r="A212" s="85"/>
      <c r="B212" s="86"/>
      <c r="C212" s="88"/>
      <c r="D212" s="88"/>
      <c r="E212" s="88"/>
      <c r="F212" s="88"/>
      <c r="G212" s="88"/>
      <c r="H212" s="94"/>
      <c r="I212" s="88"/>
      <c r="J212" s="88"/>
      <c r="K212" s="88"/>
      <c r="L212" s="88"/>
      <c r="M212" s="88"/>
      <c r="N212" s="88"/>
      <c r="O212" s="88"/>
      <c r="P212" s="88"/>
      <c r="Q212" s="88"/>
      <c r="R212" s="88"/>
      <c r="S212" s="88"/>
      <c r="T212" s="46" t="str">
        <f t="shared" si="20"/>
        <v/>
      </c>
      <c r="U212" s="46" t="str">
        <f t="shared" si="21"/>
        <v/>
      </c>
      <c r="V212" s="72" t="str">
        <f t="shared" si="16"/>
        <v/>
      </c>
      <c r="X212" s="73" t="str">
        <f t="shared" si="19"/>
        <v/>
      </c>
    </row>
    <row r="213" spans="1:24" x14ac:dyDescent="0.3">
      <c r="A213" s="85"/>
      <c r="B213" s="86"/>
      <c r="C213" s="88"/>
      <c r="D213" s="88"/>
      <c r="E213" s="88"/>
      <c r="F213" s="88"/>
      <c r="G213" s="88"/>
      <c r="H213" s="94"/>
      <c r="I213" s="88"/>
      <c r="J213" s="88"/>
      <c r="K213" s="88"/>
      <c r="L213" s="88"/>
      <c r="M213" s="88"/>
      <c r="N213" s="88"/>
      <c r="O213" s="88"/>
      <c r="P213" s="88"/>
      <c r="Q213" s="88"/>
      <c r="R213" s="88"/>
      <c r="S213" s="88"/>
      <c r="T213" s="46" t="str">
        <f t="shared" si="20"/>
        <v/>
      </c>
      <c r="U213" s="46" t="str">
        <f t="shared" si="21"/>
        <v/>
      </c>
      <c r="V213" s="72" t="str">
        <f t="shared" si="16"/>
        <v/>
      </c>
      <c r="X213" s="73" t="str">
        <f t="shared" si="19"/>
        <v/>
      </c>
    </row>
    <row r="214" spans="1:24" x14ac:dyDescent="0.3">
      <c r="A214" s="85"/>
      <c r="B214" s="86"/>
      <c r="C214" s="88"/>
      <c r="D214" s="88"/>
      <c r="E214" s="88"/>
      <c r="F214" s="88"/>
      <c r="G214" s="88"/>
      <c r="H214" s="94"/>
      <c r="I214" s="88"/>
      <c r="J214" s="88"/>
      <c r="K214" s="88"/>
      <c r="L214" s="88"/>
      <c r="M214" s="88"/>
      <c r="N214" s="88"/>
      <c r="O214" s="88"/>
      <c r="P214" s="88"/>
      <c r="Q214" s="88"/>
      <c r="R214" s="88"/>
      <c r="S214" s="88"/>
      <c r="T214" s="46" t="str">
        <f t="shared" si="20"/>
        <v/>
      </c>
      <c r="U214" s="46" t="str">
        <f t="shared" si="21"/>
        <v/>
      </c>
      <c r="V214" s="72" t="str">
        <f t="shared" ref="V214:V277" si="22">IF(AND(ISBLANK(E214),ISBLANK(F214), ISBLANK(G214), ISBLANK(H214), ISBLANK(I214), ISBLANK(J214), ISBLANK(K214), ISBLANK(L214), ISBLANK(M214),ISBLANK(N214), ISBLANK(O214), ISBLANK(P214), ISBLANK(Q214), ISBLANK(R214), ISBLANK(S214)), "",IFERROR(((F214+E214)-U214)/F214,""))</f>
        <v/>
      </c>
      <c r="X214" s="73" t="str">
        <f t="shared" si="19"/>
        <v/>
      </c>
    </row>
    <row r="215" spans="1:24" x14ac:dyDescent="0.3">
      <c r="A215" s="85"/>
      <c r="B215" s="86"/>
      <c r="C215" s="88"/>
      <c r="D215" s="88"/>
      <c r="E215" s="88"/>
      <c r="F215" s="88"/>
      <c r="G215" s="88"/>
      <c r="H215" s="94"/>
      <c r="I215" s="88"/>
      <c r="J215" s="88"/>
      <c r="K215" s="88"/>
      <c r="L215" s="88"/>
      <c r="M215" s="88"/>
      <c r="N215" s="88"/>
      <c r="O215" s="88"/>
      <c r="P215" s="88"/>
      <c r="Q215" s="88"/>
      <c r="R215" s="88"/>
      <c r="S215" s="88"/>
      <c r="T215" s="46" t="str">
        <f t="shared" si="20"/>
        <v/>
      </c>
      <c r="U215" s="46" t="str">
        <f t="shared" si="21"/>
        <v/>
      </c>
      <c r="V215" s="72" t="str">
        <f t="shared" si="22"/>
        <v/>
      </c>
      <c r="X215" s="73" t="str">
        <f t="shared" si="19"/>
        <v/>
      </c>
    </row>
    <row r="216" spans="1:24" x14ac:dyDescent="0.3">
      <c r="A216" s="85"/>
      <c r="B216" s="86"/>
      <c r="C216" s="88"/>
      <c r="D216" s="88"/>
      <c r="E216" s="88"/>
      <c r="F216" s="88"/>
      <c r="G216" s="88"/>
      <c r="H216" s="94"/>
      <c r="I216" s="88"/>
      <c r="J216" s="88"/>
      <c r="K216" s="88"/>
      <c r="L216" s="88"/>
      <c r="M216" s="88"/>
      <c r="N216" s="88"/>
      <c r="O216" s="88"/>
      <c r="P216" s="88"/>
      <c r="Q216" s="88"/>
      <c r="R216" s="88"/>
      <c r="S216" s="88"/>
      <c r="T216" s="46" t="str">
        <f t="shared" si="20"/>
        <v/>
      </c>
      <c r="U216" s="46" t="str">
        <f t="shared" si="21"/>
        <v/>
      </c>
      <c r="V216" s="72" t="str">
        <f t="shared" si="22"/>
        <v/>
      </c>
      <c r="X216" s="73" t="str">
        <f t="shared" si="19"/>
        <v/>
      </c>
    </row>
    <row r="217" spans="1:24" x14ac:dyDescent="0.3">
      <c r="A217" s="85"/>
      <c r="B217" s="86"/>
      <c r="C217" s="88"/>
      <c r="D217" s="88"/>
      <c r="E217" s="88"/>
      <c r="F217" s="88"/>
      <c r="G217" s="88"/>
      <c r="H217" s="94"/>
      <c r="I217" s="88"/>
      <c r="J217" s="88"/>
      <c r="K217" s="88"/>
      <c r="L217" s="88"/>
      <c r="M217" s="88"/>
      <c r="N217" s="88"/>
      <c r="O217" s="88"/>
      <c r="P217" s="88"/>
      <c r="Q217" s="88"/>
      <c r="R217" s="88"/>
      <c r="S217" s="88"/>
      <c r="T217" s="46" t="str">
        <f t="shared" si="20"/>
        <v/>
      </c>
      <c r="U217" s="46" t="str">
        <f t="shared" si="21"/>
        <v/>
      </c>
      <c r="V217" s="72" t="str">
        <f t="shared" si="22"/>
        <v/>
      </c>
      <c r="X217" s="73" t="str">
        <f t="shared" si="19"/>
        <v/>
      </c>
    </row>
    <row r="218" spans="1:24" x14ac:dyDescent="0.3">
      <c r="A218" s="85"/>
      <c r="B218" s="86"/>
      <c r="C218" s="88"/>
      <c r="D218" s="88"/>
      <c r="E218" s="88"/>
      <c r="F218" s="88"/>
      <c r="G218" s="88"/>
      <c r="H218" s="94"/>
      <c r="I218" s="88"/>
      <c r="J218" s="88"/>
      <c r="K218" s="88"/>
      <c r="L218" s="88"/>
      <c r="M218" s="88"/>
      <c r="N218" s="88"/>
      <c r="O218" s="88"/>
      <c r="P218" s="88"/>
      <c r="Q218" s="88"/>
      <c r="R218" s="88"/>
      <c r="S218" s="88"/>
      <c r="T218" s="46" t="str">
        <f t="shared" si="20"/>
        <v/>
      </c>
      <c r="U218" s="46" t="str">
        <f t="shared" si="21"/>
        <v/>
      </c>
      <c r="V218" s="72" t="str">
        <f t="shared" si="22"/>
        <v/>
      </c>
      <c r="X218" s="73" t="str">
        <f t="shared" ref="X218:X249" si="23">IF(W218&lt;&gt;"",F218 - (SUM(G218:S218)),"")</f>
        <v/>
      </c>
    </row>
    <row r="219" spans="1:24" x14ac:dyDescent="0.3">
      <c r="A219" s="85"/>
      <c r="B219" s="86"/>
      <c r="C219" s="88"/>
      <c r="D219" s="88"/>
      <c r="E219" s="88"/>
      <c r="F219" s="88"/>
      <c r="G219" s="88"/>
      <c r="H219" s="94"/>
      <c r="I219" s="88"/>
      <c r="J219" s="88"/>
      <c r="K219" s="88"/>
      <c r="L219" s="88"/>
      <c r="M219" s="88"/>
      <c r="N219" s="88"/>
      <c r="O219" s="88"/>
      <c r="P219" s="88"/>
      <c r="Q219" s="88"/>
      <c r="R219" s="88"/>
      <c r="S219" s="88"/>
      <c r="T219" s="46" t="str">
        <f t="shared" si="20"/>
        <v/>
      </c>
      <c r="U219" s="46" t="str">
        <f t="shared" si="21"/>
        <v/>
      </c>
      <c r="V219" s="72" t="str">
        <f t="shared" si="22"/>
        <v/>
      </c>
      <c r="X219" s="73" t="str">
        <f t="shared" si="23"/>
        <v/>
      </c>
    </row>
    <row r="220" spans="1:24" x14ac:dyDescent="0.3">
      <c r="A220" s="85"/>
      <c r="B220" s="86"/>
      <c r="C220" s="88"/>
      <c r="D220" s="88"/>
      <c r="E220" s="88"/>
      <c r="F220" s="88"/>
      <c r="G220" s="88"/>
      <c r="H220" s="94"/>
      <c r="I220" s="88"/>
      <c r="J220" s="88"/>
      <c r="K220" s="88"/>
      <c r="L220" s="88"/>
      <c r="M220" s="88"/>
      <c r="N220" s="88"/>
      <c r="O220" s="88"/>
      <c r="P220" s="88"/>
      <c r="Q220" s="88"/>
      <c r="R220" s="88"/>
      <c r="S220" s="88"/>
      <c r="T220" s="46" t="str">
        <f t="shared" si="20"/>
        <v/>
      </c>
      <c r="U220" s="46" t="str">
        <f t="shared" si="21"/>
        <v/>
      </c>
      <c r="V220" s="72" t="str">
        <f t="shared" si="22"/>
        <v/>
      </c>
      <c r="X220" s="73" t="str">
        <f t="shared" si="23"/>
        <v/>
      </c>
    </row>
    <row r="221" spans="1:24" x14ac:dyDescent="0.3">
      <c r="A221" s="85"/>
      <c r="B221" s="86"/>
      <c r="C221" s="88"/>
      <c r="D221" s="88"/>
      <c r="E221" s="88"/>
      <c r="F221" s="88"/>
      <c r="G221" s="88"/>
      <c r="H221" s="94"/>
      <c r="I221" s="88"/>
      <c r="J221" s="88"/>
      <c r="K221" s="88"/>
      <c r="L221" s="88"/>
      <c r="M221" s="88"/>
      <c r="N221" s="88"/>
      <c r="O221" s="88"/>
      <c r="P221" s="88"/>
      <c r="Q221" s="88"/>
      <c r="R221" s="88"/>
      <c r="S221" s="88"/>
      <c r="T221" s="46" t="str">
        <f t="shared" si="20"/>
        <v/>
      </c>
      <c r="U221" s="46" t="str">
        <f t="shared" si="21"/>
        <v/>
      </c>
      <c r="V221" s="72" t="str">
        <f t="shared" si="22"/>
        <v/>
      </c>
      <c r="X221" s="73" t="str">
        <f t="shared" si="23"/>
        <v/>
      </c>
    </row>
    <row r="222" spans="1:24" x14ac:dyDescent="0.3">
      <c r="A222" s="85"/>
      <c r="B222" s="86"/>
      <c r="C222" s="88"/>
      <c r="D222" s="88"/>
      <c r="E222" s="88"/>
      <c r="F222" s="88"/>
      <c r="G222" s="88"/>
      <c r="H222" s="94"/>
      <c r="I222" s="88"/>
      <c r="J222" s="88"/>
      <c r="K222" s="88"/>
      <c r="L222" s="88"/>
      <c r="M222" s="88"/>
      <c r="N222" s="88"/>
      <c r="O222" s="88"/>
      <c r="P222" s="88"/>
      <c r="Q222" s="88"/>
      <c r="R222" s="88"/>
      <c r="S222" s="88"/>
      <c r="T222" s="46" t="str">
        <f t="shared" si="20"/>
        <v/>
      </c>
      <c r="U222" s="46" t="str">
        <f t="shared" si="21"/>
        <v/>
      </c>
      <c r="V222" s="72" t="str">
        <f t="shared" si="22"/>
        <v/>
      </c>
      <c r="X222" s="73" t="str">
        <f t="shared" si="23"/>
        <v/>
      </c>
    </row>
    <row r="223" spans="1:24" x14ac:dyDescent="0.3">
      <c r="A223" s="85"/>
      <c r="B223" s="86"/>
      <c r="C223" s="88"/>
      <c r="D223" s="88"/>
      <c r="E223" s="88"/>
      <c r="F223" s="88"/>
      <c r="G223" s="88"/>
      <c r="H223" s="94"/>
      <c r="I223" s="88"/>
      <c r="J223" s="88"/>
      <c r="K223" s="88"/>
      <c r="L223" s="88"/>
      <c r="M223" s="88"/>
      <c r="N223" s="88"/>
      <c r="O223" s="88"/>
      <c r="P223" s="88"/>
      <c r="Q223" s="88"/>
      <c r="R223" s="88"/>
      <c r="S223" s="88"/>
      <c r="T223" s="46" t="str">
        <f t="shared" si="20"/>
        <v/>
      </c>
      <c r="U223" s="46" t="str">
        <f t="shared" si="21"/>
        <v/>
      </c>
      <c r="V223" s="72" t="str">
        <f t="shared" si="22"/>
        <v/>
      </c>
      <c r="X223" s="73" t="str">
        <f t="shared" si="23"/>
        <v/>
      </c>
    </row>
    <row r="224" spans="1:24" x14ac:dyDescent="0.3">
      <c r="A224" s="85"/>
      <c r="B224" s="86"/>
      <c r="C224" s="88"/>
      <c r="D224" s="88"/>
      <c r="E224" s="88"/>
      <c r="F224" s="88"/>
      <c r="G224" s="88"/>
      <c r="H224" s="94"/>
      <c r="I224" s="88"/>
      <c r="J224" s="88"/>
      <c r="K224" s="88"/>
      <c r="L224" s="88"/>
      <c r="M224" s="88"/>
      <c r="N224" s="88"/>
      <c r="O224" s="88"/>
      <c r="P224" s="88"/>
      <c r="Q224" s="88"/>
      <c r="R224" s="88"/>
      <c r="S224" s="88"/>
      <c r="T224" s="46" t="str">
        <f t="shared" si="20"/>
        <v/>
      </c>
      <c r="U224" s="46" t="str">
        <f t="shared" si="21"/>
        <v/>
      </c>
      <c r="V224" s="72" t="str">
        <f t="shared" si="22"/>
        <v/>
      </c>
      <c r="X224" s="73" t="str">
        <f t="shared" si="23"/>
        <v/>
      </c>
    </row>
    <row r="225" spans="1:24" x14ac:dyDescent="0.3">
      <c r="A225" s="85"/>
      <c r="B225" s="86"/>
      <c r="C225" s="88"/>
      <c r="D225" s="88"/>
      <c r="E225" s="88"/>
      <c r="F225" s="88"/>
      <c r="G225" s="88"/>
      <c r="H225" s="94"/>
      <c r="I225" s="88"/>
      <c r="J225" s="88"/>
      <c r="K225" s="88"/>
      <c r="L225" s="88"/>
      <c r="M225" s="88"/>
      <c r="N225" s="88"/>
      <c r="O225" s="88"/>
      <c r="P225" s="88"/>
      <c r="Q225" s="88"/>
      <c r="R225" s="88"/>
      <c r="S225" s="88"/>
      <c r="T225" s="46" t="str">
        <f t="shared" si="20"/>
        <v/>
      </c>
      <c r="U225" s="46" t="str">
        <f t="shared" si="21"/>
        <v/>
      </c>
      <c r="V225" s="72" t="str">
        <f t="shared" si="22"/>
        <v/>
      </c>
      <c r="X225" s="73" t="str">
        <f t="shared" si="23"/>
        <v/>
      </c>
    </row>
    <row r="226" spans="1:24" x14ac:dyDescent="0.3">
      <c r="A226" s="85"/>
      <c r="B226" s="86"/>
      <c r="C226" s="88"/>
      <c r="D226" s="88"/>
      <c r="E226" s="88"/>
      <c r="F226" s="88"/>
      <c r="G226" s="88"/>
      <c r="H226" s="94"/>
      <c r="I226" s="88"/>
      <c r="J226" s="88"/>
      <c r="K226" s="88"/>
      <c r="L226" s="88"/>
      <c r="M226" s="88"/>
      <c r="N226" s="88"/>
      <c r="O226" s="88"/>
      <c r="P226" s="88"/>
      <c r="Q226" s="88"/>
      <c r="R226" s="88"/>
      <c r="S226" s="88"/>
      <c r="T226" s="46" t="str">
        <f t="shared" si="20"/>
        <v/>
      </c>
      <c r="U226" s="46" t="str">
        <f t="shared" si="21"/>
        <v/>
      </c>
      <c r="V226" s="72" t="str">
        <f t="shared" si="22"/>
        <v/>
      </c>
      <c r="X226" s="73" t="str">
        <f t="shared" si="23"/>
        <v/>
      </c>
    </row>
    <row r="227" spans="1:24" x14ac:dyDescent="0.3">
      <c r="A227" s="85"/>
      <c r="B227" s="86"/>
      <c r="C227" s="88"/>
      <c r="D227" s="88"/>
      <c r="E227" s="88"/>
      <c r="F227" s="88"/>
      <c r="G227" s="88"/>
      <c r="H227" s="94"/>
      <c r="I227" s="88"/>
      <c r="J227" s="88"/>
      <c r="K227" s="88"/>
      <c r="L227" s="88"/>
      <c r="M227" s="88"/>
      <c r="N227" s="88"/>
      <c r="O227" s="88"/>
      <c r="P227" s="88"/>
      <c r="Q227" s="88"/>
      <c r="R227" s="88"/>
      <c r="S227" s="88"/>
      <c r="T227" s="46" t="str">
        <f t="shared" si="20"/>
        <v/>
      </c>
      <c r="U227" s="46" t="str">
        <f t="shared" si="21"/>
        <v/>
      </c>
      <c r="V227" s="72" t="str">
        <f t="shared" si="22"/>
        <v/>
      </c>
      <c r="X227" s="73" t="str">
        <f t="shared" si="23"/>
        <v/>
      </c>
    </row>
    <row r="228" spans="1:24" x14ac:dyDescent="0.3">
      <c r="A228" s="85"/>
      <c r="B228" s="86"/>
      <c r="C228" s="88"/>
      <c r="D228" s="88"/>
      <c r="E228" s="88"/>
      <c r="F228" s="88"/>
      <c r="G228" s="88"/>
      <c r="H228" s="94"/>
      <c r="I228" s="88"/>
      <c r="J228" s="88"/>
      <c r="K228" s="88"/>
      <c r="L228" s="88"/>
      <c r="M228" s="88"/>
      <c r="N228" s="88"/>
      <c r="O228" s="88"/>
      <c r="P228" s="88"/>
      <c r="Q228" s="88"/>
      <c r="R228" s="88"/>
      <c r="S228" s="88"/>
      <c r="T228" s="46" t="str">
        <f t="shared" si="20"/>
        <v/>
      </c>
      <c r="U228" s="46" t="str">
        <f t="shared" si="21"/>
        <v/>
      </c>
      <c r="V228" s="72" t="str">
        <f t="shared" si="22"/>
        <v/>
      </c>
      <c r="X228" s="73" t="str">
        <f t="shared" si="23"/>
        <v/>
      </c>
    </row>
    <row r="229" spans="1:24" x14ac:dyDescent="0.3">
      <c r="A229" s="85"/>
      <c r="B229" s="86"/>
      <c r="C229" s="88"/>
      <c r="D229" s="88"/>
      <c r="E229" s="88"/>
      <c r="F229" s="88"/>
      <c r="G229" s="88"/>
      <c r="H229" s="94"/>
      <c r="I229" s="88"/>
      <c r="J229" s="88"/>
      <c r="K229" s="88"/>
      <c r="L229" s="88"/>
      <c r="M229" s="88"/>
      <c r="N229" s="88"/>
      <c r="O229" s="88"/>
      <c r="P229" s="88"/>
      <c r="Q229" s="88"/>
      <c r="R229" s="88"/>
      <c r="S229" s="88"/>
      <c r="T229" s="46" t="str">
        <f t="shared" si="20"/>
        <v/>
      </c>
      <c r="U229" s="46" t="str">
        <f t="shared" si="21"/>
        <v/>
      </c>
      <c r="V229" s="72" t="str">
        <f t="shared" si="22"/>
        <v/>
      </c>
      <c r="X229" s="73" t="str">
        <f t="shared" si="23"/>
        <v/>
      </c>
    </row>
    <row r="230" spans="1:24" x14ac:dyDescent="0.3">
      <c r="A230" s="85"/>
      <c r="B230" s="86"/>
      <c r="C230" s="88"/>
      <c r="D230" s="88"/>
      <c r="E230" s="88"/>
      <c r="F230" s="88"/>
      <c r="G230" s="88"/>
      <c r="H230" s="94"/>
      <c r="I230" s="88"/>
      <c r="J230" s="88"/>
      <c r="K230" s="88"/>
      <c r="L230" s="88"/>
      <c r="M230" s="88"/>
      <c r="N230" s="88"/>
      <c r="O230" s="88"/>
      <c r="P230" s="88"/>
      <c r="Q230" s="88"/>
      <c r="R230" s="88"/>
      <c r="S230" s="88"/>
      <c r="T230" s="46" t="str">
        <f t="shared" si="20"/>
        <v/>
      </c>
      <c r="U230" s="46" t="str">
        <f t="shared" si="21"/>
        <v/>
      </c>
      <c r="V230" s="72" t="str">
        <f t="shared" si="22"/>
        <v/>
      </c>
      <c r="X230" s="73" t="str">
        <f t="shared" si="23"/>
        <v/>
      </c>
    </row>
    <row r="231" spans="1:24" x14ac:dyDescent="0.3">
      <c r="A231" s="85"/>
      <c r="B231" s="86"/>
      <c r="C231" s="88"/>
      <c r="D231" s="88"/>
      <c r="E231" s="88"/>
      <c r="F231" s="88"/>
      <c r="G231" s="88"/>
      <c r="H231" s="94"/>
      <c r="I231" s="88"/>
      <c r="J231" s="88"/>
      <c r="K231" s="88"/>
      <c r="L231" s="88"/>
      <c r="M231" s="88"/>
      <c r="N231" s="88"/>
      <c r="O231" s="88"/>
      <c r="P231" s="88"/>
      <c r="Q231" s="88"/>
      <c r="R231" s="88"/>
      <c r="S231" s="88"/>
      <c r="T231" s="46" t="str">
        <f t="shared" si="20"/>
        <v/>
      </c>
      <c r="U231" s="46" t="str">
        <f t="shared" si="21"/>
        <v/>
      </c>
      <c r="V231" s="72" t="str">
        <f t="shared" si="22"/>
        <v/>
      </c>
      <c r="X231" s="73" t="str">
        <f t="shared" si="23"/>
        <v/>
      </c>
    </row>
    <row r="232" spans="1:24" x14ac:dyDescent="0.3">
      <c r="A232" s="85"/>
      <c r="B232" s="86"/>
      <c r="C232" s="88"/>
      <c r="D232" s="88"/>
      <c r="E232" s="88"/>
      <c r="F232" s="88"/>
      <c r="G232" s="88"/>
      <c r="H232" s="94"/>
      <c r="I232" s="88"/>
      <c r="J232" s="88"/>
      <c r="K232" s="88"/>
      <c r="L232" s="88"/>
      <c r="M232" s="88"/>
      <c r="N232" s="88"/>
      <c r="O232" s="88"/>
      <c r="P232" s="88"/>
      <c r="Q232" s="88"/>
      <c r="R232" s="88"/>
      <c r="S232" s="88"/>
      <c r="T232" s="46" t="str">
        <f t="shared" si="20"/>
        <v/>
      </c>
      <c r="U232" s="46" t="str">
        <f t="shared" si="21"/>
        <v/>
      </c>
      <c r="V232" s="72" t="str">
        <f t="shared" si="22"/>
        <v/>
      </c>
      <c r="X232" s="73" t="str">
        <f t="shared" si="23"/>
        <v/>
      </c>
    </row>
    <row r="233" spans="1:24" x14ac:dyDescent="0.3">
      <c r="A233" s="85"/>
      <c r="B233" s="86"/>
      <c r="C233" s="88"/>
      <c r="D233" s="88"/>
      <c r="E233" s="88"/>
      <c r="F233" s="88"/>
      <c r="G233" s="88"/>
      <c r="H233" s="94"/>
      <c r="I233" s="88"/>
      <c r="J233" s="88"/>
      <c r="K233" s="88"/>
      <c r="L233" s="88"/>
      <c r="M233" s="88"/>
      <c r="N233" s="88"/>
      <c r="O233" s="88"/>
      <c r="P233" s="88"/>
      <c r="Q233" s="88"/>
      <c r="R233" s="88"/>
      <c r="S233" s="88"/>
      <c r="T233" s="46" t="str">
        <f t="shared" si="20"/>
        <v/>
      </c>
      <c r="U233" s="46" t="str">
        <f t="shared" si="21"/>
        <v/>
      </c>
      <c r="V233" s="72" t="str">
        <f t="shared" si="22"/>
        <v/>
      </c>
      <c r="X233" s="73" t="str">
        <f t="shared" si="23"/>
        <v/>
      </c>
    </row>
    <row r="234" spans="1:24" x14ac:dyDescent="0.3">
      <c r="A234" s="85"/>
      <c r="B234" s="86"/>
      <c r="C234" s="88"/>
      <c r="D234" s="88"/>
      <c r="E234" s="88"/>
      <c r="F234" s="88"/>
      <c r="G234" s="88"/>
      <c r="H234" s="94"/>
      <c r="I234" s="88"/>
      <c r="J234" s="88"/>
      <c r="K234" s="88"/>
      <c r="L234" s="88"/>
      <c r="M234" s="88"/>
      <c r="N234" s="88"/>
      <c r="O234" s="88"/>
      <c r="P234" s="88"/>
      <c r="Q234" s="88"/>
      <c r="R234" s="88"/>
      <c r="S234" s="88"/>
      <c r="T234" s="46" t="str">
        <f t="shared" si="20"/>
        <v/>
      </c>
      <c r="U234" s="46" t="str">
        <f t="shared" si="21"/>
        <v/>
      </c>
      <c r="V234" s="72" t="str">
        <f t="shared" si="22"/>
        <v/>
      </c>
      <c r="X234" s="73" t="str">
        <f t="shared" si="23"/>
        <v/>
      </c>
    </row>
    <row r="235" spans="1:24" x14ac:dyDescent="0.3">
      <c r="A235" s="85"/>
      <c r="B235" s="86"/>
      <c r="C235" s="88"/>
      <c r="D235" s="88"/>
      <c r="E235" s="88"/>
      <c r="F235" s="88"/>
      <c r="G235" s="88"/>
      <c r="H235" s="94"/>
      <c r="I235" s="88"/>
      <c r="J235" s="88"/>
      <c r="K235" s="88"/>
      <c r="L235" s="88"/>
      <c r="M235" s="88"/>
      <c r="N235" s="88"/>
      <c r="O235" s="88"/>
      <c r="P235" s="88"/>
      <c r="Q235" s="88"/>
      <c r="R235" s="88"/>
      <c r="S235" s="88"/>
      <c r="T235" s="46" t="str">
        <f t="shared" si="20"/>
        <v/>
      </c>
      <c r="U235" s="46" t="str">
        <f t="shared" si="21"/>
        <v/>
      </c>
      <c r="V235" s="72" t="str">
        <f t="shared" si="22"/>
        <v/>
      </c>
      <c r="X235" s="73" t="str">
        <f t="shared" si="23"/>
        <v/>
      </c>
    </row>
    <row r="236" spans="1:24" x14ac:dyDescent="0.3">
      <c r="A236" s="85"/>
      <c r="B236" s="86"/>
      <c r="C236" s="88"/>
      <c r="D236" s="88"/>
      <c r="E236" s="88"/>
      <c r="F236" s="88"/>
      <c r="G236" s="88"/>
      <c r="H236" s="94"/>
      <c r="I236" s="88"/>
      <c r="J236" s="88"/>
      <c r="K236" s="88"/>
      <c r="L236" s="88"/>
      <c r="M236" s="88"/>
      <c r="N236" s="88"/>
      <c r="O236" s="88"/>
      <c r="P236" s="88"/>
      <c r="Q236" s="88"/>
      <c r="R236" s="88"/>
      <c r="S236" s="88"/>
      <c r="T236" s="46" t="str">
        <f t="shared" si="20"/>
        <v/>
      </c>
      <c r="U236" s="46" t="str">
        <f t="shared" si="21"/>
        <v/>
      </c>
      <c r="V236" s="72" t="str">
        <f t="shared" si="22"/>
        <v/>
      </c>
      <c r="X236" s="73" t="str">
        <f t="shared" si="23"/>
        <v/>
      </c>
    </row>
    <row r="237" spans="1:24" x14ac:dyDescent="0.3">
      <c r="A237" s="85"/>
      <c r="B237" s="86"/>
      <c r="C237" s="88"/>
      <c r="D237" s="88"/>
      <c r="E237" s="88"/>
      <c r="F237" s="88"/>
      <c r="G237" s="88"/>
      <c r="H237" s="94"/>
      <c r="I237" s="88"/>
      <c r="J237" s="88"/>
      <c r="K237" s="88"/>
      <c r="L237" s="88"/>
      <c r="M237" s="88"/>
      <c r="N237" s="88"/>
      <c r="O237" s="88"/>
      <c r="P237" s="88"/>
      <c r="Q237" s="88"/>
      <c r="R237" s="88"/>
      <c r="S237" s="88"/>
      <c r="T237" s="46" t="str">
        <f t="shared" si="20"/>
        <v/>
      </c>
      <c r="U237" s="46" t="str">
        <f t="shared" si="21"/>
        <v/>
      </c>
      <c r="V237" s="72" t="str">
        <f t="shared" si="22"/>
        <v/>
      </c>
      <c r="X237" s="73" t="str">
        <f t="shared" si="23"/>
        <v/>
      </c>
    </row>
    <row r="238" spans="1:24" x14ac:dyDescent="0.3">
      <c r="A238" s="85"/>
      <c r="B238" s="86"/>
      <c r="C238" s="88"/>
      <c r="D238" s="88"/>
      <c r="E238" s="88"/>
      <c r="F238" s="88"/>
      <c r="G238" s="88"/>
      <c r="H238" s="94"/>
      <c r="I238" s="88"/>
      <c r="J238" s="88"/>
      <c r="K238" s="88"/>
      <c r="L238" s="88"/>
      <c r="M238" s="88"/>
      <c r="N238" s="88"/>
      <c r="O238" s="88"/>
      <c r="P238" s="88"/>
      <c r="Q238" s="88"/>
      <c r="R238" s="88"/>
      <c r="S238" s="88"/>
      <c r="T238" s="46" t="str">
        <f t="shared" si="20"/>
        <v/>
      </c>
      <c r="U238" s="46" t="str">
        <f t="shared" si="21"/>
        <v/>
      </c>
      <c r="V238" s="72" t="str">
        <f t="shared" si="22"/>
        <v/>
      </c>
      <c r="X238" s="73" t="str">
        <f t="shared" si="23"/>
        <v/>
      </c>
    </row>
    <row r="239" spans="1:24" x14ac:dyDescent="0.3">
      <c r="A239" s="85"/>
      <c r="B239" s="86"/>
      <c r="C239" s="88"/>
      <c r="D239" s="88"/>
      <c r="E239" s="88"/>
      <c r="F239" s="88"/>
      <c r="G239" s="88"/>
      <c r="H239" s="94"/>
      <c r="I239" s="88"/>
      <c r="J239" s="88"/>
      <c r="K239" s="88"/>
      <c r="L239" s="88"/>
      <c r="M239" s="88"/>
      <c r="N239" s="88"/>
      <c r="O239" s="88"/>
      <c r="P239" s="88"/>
      <c r="Q239" s="88"/>
      <c r="R239" s="88"/>
      <c r="S239" s="88"/>
      <c r="T239" s="46" t="str">
        <f t="shared" si="20"/>
        <v/>
      </c>
      <c r="U239" s="46" t="str">
        <f t="shared" si="21"/>
        <v/>
      </c>
      <c r="V239" s="72" t="str">
        <f t="shared" si="22"/>
        <v/>
      </c>
      <c r="X239" s="73" t="str">
        <f t="shared" si="23"/>
        <v/>
      </c>
    </row>
    <row r="240" spans="1:24" x14ac:dyDescent="0.3">
      <c r="A240" s="85"/>
      <c r="B240" s="86"/>
      <c r="C240" s="88"/>
      <c r="D240" s="88"/>
      <c r="E240" s="88"/>
      <c r="F240" s="88"/>
      <c r="G240" s="88"/>
      <c r="H240" s="94"/>
      <c r="I240" s="88"/>
      <c r="J240" s="88"/>
      <c r="K240" s="88"/>
      <c r="L240" s="88"/>
      <c r="M240" s="88"/>
      <c r="N240" s="88"/>
      <c r="O240" s="88"/>
      <c r="P240" s="88"/>
      <c r="Q240" s="88"/>
      <c r="R240" s="88"/>
      <c r="S240" s="88"/>
      <c r="T240" s="46" t="str">
        <f t="shared" si="20"/>
        <v/>
      </c>
      <c r="U240" s="46" t="str">
        <f t="shared" si="21"/>
        <v/>
      </c>
      <c r="V240" s="72" t="str">
        <f t="shared" si="22"/>
        <v/>
      </c>
      <c r="X240" s="73" t="str">
        <f t="shared" si="23"/>
        <v/>
      </c>
    </row>
    <row r="241" spans="1:24" x14ac:dyDescent="0.3">
      <c r="A241" s="85"/>
      <c r="B241" s="86"/>
      <c r="C241" s="88"/>
      <c r="D241" s="88"/>
      <c r="E241" s="88"/>
      <c r="F241" s="88"/>
      <c r="G241" s="88"/>
      <c r="H241" s="94"/>
      <c r="I241" s="88"/>
      <c r="J241" s="88"/>
      <c r="K241" s="88"/>
      <c r="L241" s="88"/>
      <c r="M241" s="88"/>
      <c r="N241" s="88"/>
      <c r="O241" s="88"/>
      <c r="P241" s="88"/>
      <c r="Q241" s="88"/>
      <c r="R241" s="88"/>
      <c r="S241" s="88"/>
      <c r="T241" s="46" t="str">
        <f t="shared" si="20"/>
        <v/>
      </c>
      <c r="U241" s="46" t="str">
        <f t="shared" si="21"/>
        <v/>
      </c>
      <c r="V241" s="72" t="str">
        <f t="shared" si="22"/>
        <v/>
      </c>
      <c r="X241" s="73" t="str">
        <f t="shared" si="23"/>
        <v/>
      </c>
    </row>
    <row r="242" spans="1:24" x14ac:dyDescent="0.3">
      <c r="A242" s="85"/>
      <c r="B242" s="86"/>
      <c r="C242" s="88"/>
      <c r="D242" s="88"/>
      <c r="E242" s="88"/>
      <c r="F242" s="88"/>
      <c r="G242" s="88"/>
      <c r="H242" s="94"/>
      <c r="I242" s="88"/>
      <c r="J242" s="88"/>
      <c r="K242" s="88"/>
      <c r="L242" s="88"/>
      <c r="M242" s="88"/>
      <c r="N242" s="88"/>
      <c r="O242" s="88"/>
      <c r="P242" s="88"/>
      <c r="Q242" s="88"/>
      <c r="R242" s="88"/>
      <c r="S242" s="88"/>
      <c r="T242" s="46" t="str">
        <f t="shared" si="20"/>
        <v/>
      </c>
      <c r="U242" s="46" t="str">
        <f t="shared" si="21"/>
        <v/>
      </c>
      <c r="V242" s="72" t="str">
        <f t="shared" si="22"/>
        <v/>
      </c>
      <c r="X242" s="73" t="str">
        <f t="shared" si="23"/>
        <v/>
      </c>
    </row>
    <row r="243" spans="1:24" x14ac:dyDescent="0.3">
      <c r="A243" s="85"/>
      <c r="B243" s="86"/>
      <c r="C243" s="88"/>
      <c r="D243" s="88"/>
      <c r="E243" s="88"/>
      <c r="F243" s="88"/>
      <c r="G243" s="88"/>
      <c r="H243" s="94"/>
      <c r="I243" s="88"/>
      <c r="J243" s="88"/>
      <c r="K243" s="88"/>
      <c r="L243" s="88"/>
      <c r="M243" s="88"/>
      <c r="N243" s="88"/>
      <c r="O243" s="88"/>
      <c r="P243" s="88"/>
      <c r="Q243" s="88"/>
      <c r="R243" s="88"/>
      <c r="S243" s="88"/>
      <c r="T243" s="46" t="str">
        <f t="shared" si="20"/>
        <v/>
      </c>
      <c r="U243" s="46" t="str">
        <f t="shared" si="21"/>
        <v/>
      </c>
      <c r="V243" s="72" t="str">
        <f t="shared" si="22"/>
        <v/>
      </c>
      <c r="X243" s="73" t="str">
        <f t="shared" si="23"/>
        <v/>
      </c>
    </row>
    <row r="244" spans="1:24" x14ac:dyDescent="0.3">
      <c r="A244" s="85"/>
      <c r="B244" s="86"/>
      <c r="C244" s="88"/>
      <c r="D244" s="88"/>
      <c r="E244" s="88"/>
      <c r="F244" s="88"/>
      <c r="G244" s="88"/>
      <c r="H244" s="94"/>
      <c r="I244" s="88"/>
      <c r="J244" s="88"/>
      <c r="K244" s="88"/>
      <c r="L244" s="88"/>
      <c r="M244" s="88"/>
      <c r="N244" s="88"/>
      <c r="O244" s="88"/>
      <c r="P244" s="88"/>
      <c r="Q244" s="88"/>
      <c r="R244" s="88"/>
      <c r="S244" s="88"/>
      <c r="T244" s="46" t="str">
        <f t="shared" si="20"/>
        <v/>
      </c>
      <c r="U244" s="46" t="str">
        <f t="shared" si="21"/>
        <v/>
      </c>
      <c r="V244" s="72" t="str">
        <f t="shared" si="22"/>
        <v/>
      </c>
      <c r="X244" s="73" t="str">
        <f t="shared" si="23"/>
        <v/>
      </c>
    </row>
    <row r="245" spans="1:24" x14ac:dyDescent="0.3">
      <c r="A245" s="85"/>
      <c r="B245" s="86"/>
      <c r="C245" s="88"/>
      <c r="D245" s="88"/>
      <c r="E245" s="88"/>
      <c r="F245" s="88"/>
      <c r="G245" s="88"/>
      <c r="H245" s="94"/>
      <c r="I245" s="88"/>
      <c r="J245" s="88"/>
      <c r="K245" s="88"/>
      <c r="L245" s="88"/>
      <c r="M245" s="88"/>
      <c r="N245" s="88"/>
      <c r="O245" s="88"/>
      <c r="P245" s="88"/>
      <c r="Q245" s="88"/>
      <c r="R245" s="88"/>
      <c r="S245" s="88"/>
      <c r="T245" s="46" t="str">
        <f t="shared" si="20"/>
        <v/>
      </c>
      <c r="U245" s="46" t="str">
        <f t="shared" si="21"/>
        <v/>
      </c>
      <c r="V245" s="72" t="str">
        <f t="shared" si="22"/>
        <v/>
      </c>
      <c r="X245" s="73" t="str">
        <f t="shared" si="23"/>
        <v/>
      </c>
    </row>
    <row r="246" spans="1:24" x14ac:dyDescent="0.3">
      <c r="A246" s="85"/>
      <c r="B246" s="86"/>
      <c r="C246" s="88"/>
      <c r="D246" s="88"/>
      <c r="E246" s="88"/>
      <c r="F246" s="88"/>
      <c r="G246" s="88"/>
      <c r="H246" s="94"/>
      <c r="I246" s="88"/>
      <c r="J246" s="88"/>
      <c r="K246" s="88"/>
      <c r="L246" s="88"/>
      <c r="M246" s="88"/>
      <c r="N246" s="88"/>
      <c r="O246" s="88"/>
      <c r="P246" s="88"/>
      <c r="Q246" s="88"/>
      <c r="R246" s="88"/>
      <c r="S246" s="88"/>
      <c r="T246" s="46" t="str">
        <f t="shared" si="20"/>
        <v/>
      </c>
      <c r="U246" s="46" t="str">
        <f t="shared" si="21"/>
        <v/>
      </c>
      <c r="V246" s="72" t="str">
        <f t="shared" si="22"/>
        <v/>
      </c>
      <c r="X246" s="73" t="str">
        <f t="shared" si="23"/>
        <v/>
      </c>
    </row>
    <row r="247" spans="1:24" x14ac:dyDescent="0.3">
      <c r="A247" s="85"/>
      <c r="B247" s="86"/>
      <c r="C247" s="88"/>
      <c r="D247" s="88"/>
      <c r="E247" s="88"/>
      <c r="F247" s="88"/>
      <c r="G247" s="88"/>
      <c r="H247" s="94"/>
      <c r="I247" s="88"/>
      <c r="J247" s="88"/>
      <c r="K247" s="88"/>
      <c r="L247" s="88"/>
      <c r="M247" s="88"/>
      <c r="N247" s="88"/>
      <c r="O247" s="88"/>
      <c r="P247" s="88"/>
      <c r="Q247" s="88"/>
      <c r="R247" s="88"/>
      <c r="S247" s="88"/>
      <c r="T247" s="46" t="str">
        <f t="shared" si="20"/>
        <v/>
      </c>
      <c r="U247" s="46" t="str">
        <f t="shared" si="21"/>
        <v/>
      </c>
      <c r="V247" s="72" t="str">
        <f t="shared" si="22"/>
        <v/>
      </c>
      <c r="X247" s="73" t="str">
        <f t="shared" si="23"/>
        <v/>
      </c>
    </row>
    <row r="248" spans="1:24" x14ac:dyDescent="0.3">
      <c r="A248" s="85"/>
      <c r="B248" s="86"/>
      <c r="C248" s="88"/>
      <c r="D248" s="88"/>
      <c r="E248" s="88"/>
      <c r="F248" s="88"/>
      <c r="G248" s="88"/>
      <c r="H248" s="94"/>
      <c r="I248" s="88"/>
      <c r="J248" s="88"/>
      <c r="K248" s="88"/>
      <c r="L248" s="88"/>
      <c r="M248" s="88"/>
      <c r="N248" s="88"/>
      <c r="O248" s="88"/>
      <c r="P248" s="88"/>
      <c r="Q248" s="88"/>
      <c r="R248" s="88"/>
      <c r="S248" s="88"/>
      <c r="T248" s="46" t="str">
        <f t="shared" si="20"/>
        <v/>
      </c>
      <c r="U248" s="46" t="str">
        <f t="shared" si="21"/>
        <v/>
      </c>
      <c r="V248" s="72" t="str">
        <f t="shared" si="22"/>
        <v/>
      </c>
      <c r="X248" s="73" t="str">
        <f t="shared" si="23"/>
        <v/>
      </c>
    </row>
    <row r="249" spans="1:24" x14ac:dyDescent="0.3">
      <c r="A249" s="85"/>
      <c r="B249" s="86"/>
      <c r="C249" s="88"/>
      <c r="D249" s="88"/>
      <c r="E249" s="88"/>
      <c r="F249" s="88"/>
      <c r="G249" s="88"/>
      <c r="H249" s="94"/>
      <c r="I249" s="88"/>
      <c r="J249" s="88"/>
      <c r="K249" s="88"/>
      <c r="L249" s="88"/>
      <c r="M249" s="88"/>
      <c r="N249" s="88"/>
      <c r="O249" s="88"/>
      <c r="P249" s="88"/>
      <c r="Q249" s="88"/>
      <c r="R249" s="88"/>
      <c r="S249" s="88"/>
      <c r="T249" s="46" t="str">
        <f t="shared" si="20"/>
        <v/>
      </c>
      <c r="U249" s="46" t="str">
        <f t="shared" si="21"/>
        <v/>
      </c>
      <c r="V249" s="72" t="str">
        <f t="shared" si="22"/>
        <v/>
      </c>
      <c r="X249" s="73" t="str">
        <f t="shared" si="23"/>
        <v/>
      </c>
    </row>
    <row r="250" spans="1:24" x14ac:dyDescent="0.3">
      <c r="A250" s="85"/>
      <c r="B250" s="86"/>
      <c r="C250" s="88"/>
      <c r="D250" s="88"/>
      <c r="E250" s="88"/>
      <c r="F250" s="88"/>
      <c r="G250" s="88"/>
      <c r="H250" s="94"/>
      <c r="I250" s="88"/>
      <c r="J250" s="88"/>
      <c r="K250" s="88"/>
      <c r="L250" s="88"/>
      <c r="M250" s="88"/>
      <c r="N250" s="88"/>
      <c r="O250" s="88"/>
      <c r="P250" s="88"/>
      <c r="Q250" s="88"/>
      <c r="R250" s="88"/>
      <c r="S250" s="88"/>
      <c r="T250" s="46" t="str">
        <f t="shared" si="20"/>
        <v/>
      </c>
      <c r="U250" s="46" t="str">
        <f t="shared" si="21"/>
        <v/>
      </c>
      <c r="V250" s="72" t="str">
        <f t="shared" si="22"/>
        <v/>
      </c>
      <c r="X250" s="73" t="str">
        <f t="shared" ref="X250:X281" si="24">IF(W250&lt;&gt;"",F250 - (SUM(G250:S250)),"")</f>
        <v/>
      </c>
    </row>
    <row r="251" spans="1:24" x14ac:dyDescent="0.3">
      <c r="A251" s="85"/>
      <c r="B251" s="86"/>
      <c r="C251" s="88"/>
      <c r="D251" s="88"/>
      <c r="E251" s="88"/>
      <c r="F251" s="88"/>
      <c r="G251" s="88"/>
      <c r="H251" s="94"/>
      <c r="I251" s="88"/>
      <c r="J251" s="88"/>
      <c r="K251" s="88"/>
      <c r="L251" s="88"/>
      <c r="M251" s="88"/>
      <c r="N251" s="88"/>
      <c r="O251" s="88"/>
      <c r="P251" s="88"/>
      <c r="Q251" s="88"/>
      <c r="R251" s="88"/>
      <c r="S251" s="88"/>
      <c r="T251" s="46" t="str">
        <f t="shared" si="20"/>
        <v/>
      </c>
      <c r="U251" s="46" t="str">
        <f t="shared" si="21"/>
        <v/>
      </c>
      <c r="V251" s="72" t="str">
        <f t="shared" si="22"/>
        <v/>
      </c>
      <c r="X251" s="73" t="str">
        <f t="shared" si="24"/>
        <v/>
      </c>
    </row>
    <row r="252" spans="1:24" x14ac:dyDescent="0.3">
      <c r="A252" s="85"/>
      <c r="B252" s="86"/>
      <c r="C252" s="88"/>
      <c r="D252" s="88"/>
      <c r="E252" s="88"/>
      <c r="F252" s="88"/>
      <c r="G252" s="88"/>
      <c r="H252" s="94"/>
      <c r="I252" s="88"/>
      <c r="J252" s="88"/>
      <c r="K252" s="88"/>
      <c r="L252" s="88"/>
      <c r="M252" s="88"/>
      <c r="N252" s="88"/>
      <c r="O252" s="88"/>
      <c r="P252" s="88"/>
      <c r="Q252" s="88"/>
      <c r="R252" s="88"/>
      <c r="S252" s="88"/>
      <c r="T252" s="46" t="str">
        <f t="shared" si="20"/>
        <v/>
      </c>
      <c r="U252" s="46" t="str">
        <f t="shared" si="21"/>
        <v/>
      </c>
      <c r="V252" s="72" t="str">
        <f t="shared" si="22"/>
        <v/>
      </c>
      <c r="X252" s="73" t="str">
        <f t="shared" si="24"/>
        <v/>
      </c>
    </row>
    <row r="253" spans="1:24" x14ac:dyDescent="0.3">
      <c r="A253" s="85"/>
      <c r="B253" s="86"/>
      <c r="C253" s="88"/>
      <c r="D253" s="88"/>
      <c r="E253" s="88"/>
      <c r="F253" s="88"/>
      <c r="G253" s="88"/>
      <c r="H253" s="94"/>
      <c r="I253" s="88"/>
      <c r="J253" s="88"/>
      <c r="K253" s="88"/>
      <c r="L253" s="88"/>
      <c r="M253" s="88"/>
      <c r="N253" s="88"/>
      <c r="O253" s="88"/>
      <c r="P253" s="88"/>
      <c r="Q253" s="88"/>
      <c r="R253" s="88"/>
      <c r="S253" s="88"/>
      <c r="T253" s="46" t="str">
        <f t="shared" si="20"/>
        <v/>
      </c>
      <c r="U253" s="46" t="str">
        <f t="shared" si="21"/>
        <v/>
      </c>
      <c r="V253" s="72" t="str">
        <f t="shared" si="22"/>
        <v/>
      </c>
      <c r="X253" s="73" t="str">
        <f t="shared" si="24"/>
        <v/>
      </c>
    </row>
    <row r="254" spans="1:24" x14ac:dyDescent="0.3">
      <c r="A254" s="85"/>
      <c r="B254" s="86"/>
      <c r="C254" s="88"/>
      <c r="D254" s="88"/>
      <c r="E254" s="88"/>
      <c r="F254" s="88"/>
      <c r="G254" s="88"/>
      <c r="H254" s="94"/>
      <c r="I254" s="88"/>
      <c r="J254" s="88"/>
      <c r="K254" s="88"/>
      <c r="L254" s="88"/>
      <c r="M254" s="88"/>
      <c r="N254" s="88"/>
      <c r="O254" s="88"/>
      <c r="P254" s="88"/>
      <c r="Q254" s="88"/>
      <c r="R254" s="88"/>
      <c r="S254" s="88"/>
      <c r="T254" s="46" t="str">
        <f t="shared" si="20"/>
        <v/>
      </c>
      <c r="U254" s="46" t="str">
        <f t="shared" si="21"/>
        <v/>
      </c>
      <c r="V254" s="72" t="str">
        <f t="shared" si="22"/>
        <v/>
      </c>
      <c r="X254" s="73" t="str">
        <f t="shared" si="24"/>
        <v/>
      </c>
    </row>
    <row r="255" spans="1:24" x14ac:dyDescent="0.3">
      <c r="A255" s="85"/>
      <c r="B255" s="86"/>
      <c r="C255" s="88"/>
      <c r="D255" s="88"/>
      <c r="E255" s="88"/>
      <c r="F255" s="88"/>
      <c r="G255" s="88"/>
      <c r="H255" s="94"/>
      <c r="I255" s="88"/>
      <c r="J255" s="88"/>
      <c r="K255" s="88"/>
      <c r="L255" s="88"/>
      <c r="M255" s="88"/>
      <c r="N255" s="88"/>
      <c r="O255" s="88"/>
      <c r="P255" s="88"/>
      <c r="Q255" s="88"/>
      <c r="R255" s="88"/>
      <c r="S255" s="88"/>
      <c r="T255" s="46" t="str">
        <f t="shared" si="20"/>
        <v/>
      </c>
      <c r="U255" s="46" t="str">
        <f t="shared" si="21"/>
        <v/>
      </c>
      <c r="V255" s="72" t="str">
        <f t="shared" si="22"/>
        <v/>
      </c>
      <c r="X255" s="73" t="str">
        <f t="shared" si="24"/>
        <v/>
      </c>
    </row>
    <row r="256" spans="1:24" x14ac:dyDescent="0.3">
      <c r="A256" s="85"/>
      <c r="B256" s="86"/>
      <c r="C256" s="88"/>
      <c r="D256" s="88"/>
      <c r="E256" s="88"/>
      <c r="F256" s="88"/>
      <c r="G256" s="88"/>
      <c r="H256" s="94"/>
      <c r="I256" s="88"/>
      <c r="J256" s="88"/>
      <c r="K256" s="88"/>
      <c r="L256" s="88"/>
      <c r="M256" s="88"/>
      <c r="N256" s="88"/>
      <c r="O256" s="88"/>
      <c r="P256" s="88"/>
      <c r="Q256" s="88"/>
      <c r="R256" s="88"/>
      <c r="S256" s="88"/>
      <c r="T256" s="46" t="str">
        <f t="shared" si="20"/>
        <v/>
      </c>
      <c r="U256" s="46" t="str">
        <f t="shared" si="21"/>
        <v/>
      </c>
      <c r="V256" s="72" t="str">
        <f t="shared" si="22"/>
        <v/>
      </c>
      <c r="X256" s="73" t="str">
        <f t="shared" si="24"/>
        <v/>
      </c>
    </row>
    <row r="257" spans="1:24" x14ac:dyDescent="0.3">
      <c r="A257" s="85"/>
      <c r="B257" s="86"/>
      <c r="C257" s="88"/>
      <c r="D257" s="88"/>
      <c r="E257" s="88"/>
      <c r="F257" s="88"/>
      <c r="G257" s="88"/>
      <c r="H257" s="94"/>
      <c r="I257" s="88"/>
      <c r="J257" s="88"/>
      <c r="K257" s="88"/>
      <c r="L257" s="88"/>
      <c r="M257" s="88"/>
      <c r="N257" s="88"/>
      <c r="O257" s="88"/>
      <c r="P257" s="88"/>
      <c r="Q257" s="88"/>
      <c r="R257" s="88"/>
      <c r="S257" s="88"/>
      <c r="T257" s="46" t="str">
        <f t="shared" si="20"/>
        <v/>
      </c>
      <c r="U257" s="46" t="str">
        <f t="shared" si="21"/>
        <v/>
      </c>
      <c r="V257" s="72" t="str">
        <f t="shared" si="22"/>
        <v/>
      </c>
      <c r="X257" s="73" t="str">
        <f t="shared" si="24"/>
        <v/>
      </c>
    </row>
    <row r="258" spans="1:24" x14ac:dyDescent="0.3">
      <c r="A258" s="85"/>
      <c r="B258" s="86"/>
      <c r="C258" s="88"/>
      <c r="D258" s="88"/>
      <c r="E258" s="88"/>
      <c r="F258" s="88"/>
      <c r="G258" s="88"/>
      <c r="H258" s="94"/>
      <c r="I258" s="88"/>
      <c r="J258" s="88"/>
      <c r="K258" s="88"/>
      <c r="L258" s="88"/>
      <c r="M258" s="88"/>
      <c r="N258" s="88"/>
      <c r="O258" s="88"/>
      <c r="P258" s="88"/>
      <c r="Q258" s="88"/>
      <c r="R258" s="88"/>
      <c r="S258" s="88"/>
      <c r="T258" s="46" t="str">
        <f t="shared" si="20"/>
        <v/>
      </c>
      <c r="U258" s="46" t="str">
        <f t="shared" si="21"/>
        <v/>
      </c>
      <c r="V258" s="72" t="str">
        <f t="shared" si="22"/>
        <v/>
      </c>
      <c r="X258" s="73" t="str">
        <f t="shared" si="24"/>
        <v/>
      </c>
    </row>
    <row r="259" spans="1:24" x14ac:dyDescent="0.3">
      <c r="A259" s="85"/>
      <c r="B259" s="86"/>
      <c r="C259" s="88"/>
      <c r="D259" s="88"/>
      <c r="E259" s="88"/>
      <c r="F259" s="88"/>
      <c r="G259" s="88"/>
      <c r="H259" s="94"/>
      <c r="I259" s="88"/>
      <c r="J259" s="88"/>
      <c r="K259" s="88"/>
      <c r="L259" s="88"/>
      <c r="M259" s="88"/>
      <c r="N259" s="88"/>
      <c r="O259" s="88"/>
      <c r="P259" s="88"/>
      <c r="Q259" s="88"/>
      <c r="R259" s="88"/>
      <c r="S259" s="88"/>
      <c r="T259" s="46" t="str">
        <f t="shared" si="20"/>
        <v/>
      </c>
      <c r="U259" s="46" t="str">
        <f t="shared" si="21"/>
        <v/>
      </c>
      <c r="V259" s="72" t="str">
        <f t="shared" si="22"/>
        <v/>
      </c>
      <c r="X259" s="73" t="str">
        <f t="shared" si="24"/>
        <v/>
      </c>
    </row>
    <row r="260" spans="1:24" x14ac:dyDescent="0.3">
      <c r="A260" s="85"/>
      <c r="B260" s="86"/>
      <c r="C260" s="88"/>
      <c r="D260" s="88"/>
      <c r="E260" s="88"/>
      <c r="F260" s="88"/>
      <c r="G260" s="88"/>
      <c r="H260" s="94"/>
      <c r="I260" s="88"/>
      <c r="J260" s="88"/>
      <c r="K260" s="88"/>
      <c r="L260" s="88"/>
      <c r="M260" s="88"/>
      <c r="N260" s="88"/>
      <c r="O260" s="88"/>
      <c r="P260" s="88"/>
      <c r="Q260" s="88"/>
      <c r="R260" s="88"/>
      <c r="S260" s="88"/>
      <c r="T260" s="46" t="str">
        <f t="shared" si="20"/>
        <v/>
      </c>
      <c r="U260" s="46" t="str">
        <f t="shared" si="21"/>
        <v/>
      </c>
      <c r="V260" s="72" t="str">
        <f t="shared" si="22"/>
        <v/>
      </c>
      <c r="X260" s="73" t="str">
        <f t="shared" si="24"/>
        <v/>
      </c>
    </row>
    <row r="261" spans="1:24" x14ac:dyDescent="0.3">
      <c r="A261" s="85"/>
      <c r="B261" s="86"/>
      <c r="C261" s="88"/>
      <c r="D261" s="88"/>
      <c r="E261" s="88"/>
      <c r="F261" s="88"/>
      <c r="G261" s="88"/>
      <c r="H261" s="94"/>
      <c r="I261" s="88"/>
      <c r="J261" s="88"/>
      <c r="K261" s="88"/>
      <c r="L261" s="88"/>
      <c r="M261" s="88"/>
      <c r="N261" s="88"/>
      <c r="O261" s="88"/>
      <c r="P261" s="88"/>
      <c r="Q261" s="88"/>
      <c r="R261" s="88"/>
      <c r="S261" s="88"/>
      <c r="T261" s="46" t="str">
        <f t="shared" si="20"/>
        <v/>
      </c>
      <c r="U261" s="46" t="str">
        <f t="shared" si="21"/>
        <v/>
      </c>
      <c r="V261" s="72" t="str">
        <f t="shared" si="22"/>
        <v/>
      </c>
      <c r="X261" s="73" t="str">
        <f t="shared" si="24"/>
        <v/>
      </c>
    </row>
    <row r="262" spans="1:24" x14ac:dyDescent="0.3">
      <c r="A262" s="85"/>
      <c r="B262" s="86"/>
      <c r="C262" s="88"/>
      <c r="D262" s="88"/>
      <c r="E262" s="88"/>
      <c r="F262" s="88"/>
      <c r="G262" s="88"/>
      <c r="H262" s="94"/>
      <c r="I262" s="88"/>
      <c r="J262" s="88"/>
      <c r="K262" s="88"/>
      <c r="L262" s="88"/>
      <c r="M262" s="88"/>
      <c r="N262" s="88"/>
      <c r="O262" s="88"/>
      <c r="P262" s="88"/>
      <c r="Q262" s="88"/>
      <c r="R262" s="88"/>
      <c r="S262" s="88"/>
      <c r="T262" s="46" t="str">
        <f t="shared" si="20"/>
        <v/>
      </c>
      <c r="U262" s="46" t="str">
        <f t="shared" si="21"/>
        <v/>
      </c>
      <c r="V262" s="72" t="str">
        <f t="shared" si="22"/>
        <v/>
      </c>
      <c r="X262" s="73" t="str">
        <f t="shared" si="24"/>
        <v/>
      </c>
    </row>
    <row r="263" spans="1:24" x14ac:dyDescent="0.3">
      <c r="A263" s="85"/>
      <c r="B263" s="86"/>
      <c r="C263" s="88"/>
      <c r="D263" s="88"/>
      <c r="E263" s="88"/>
      <c r="F263" s="88"/>
      <c r="G263" s="88"/>
      <c r="H263" s="94"/>
      <c r="I263" s="88"/>
      <c r="J263" s="88"/>
      <c r="K263" s="88"/>
      <c r="L263" s="88"/>
      <c r="M263" s="88"/>
      <c r="N263" s="88"/>
      <c r="O263" s="88"/>
      <c r="P263" s="88"/>
      <c r="Q263" s="88"/>
      <c r="R263" s="88"/>
      <c r="S263" s="88"/>
      <c r="T263" s="46" t="str">
        <f t="shared" si="20"/>
        <v/>
      </c>
      <c r="U263" s="46" t="str">
        <f t="shared" si="21"/>
        <v/>
      </c>
      <c r="V263" s="72" t="str">
        <f t="shared" si="22"/>
        <v/>
      </c>
      <c r="X263" s="73" t="str">
        <f t="shared" si="24"/>
        <v/>
      </c>
    </row>
    <row r="264" spans="1:24" x14ac:dyDescent="0.3">
      <c r="A264" s="85"/>
      <c r="B264" s="86"/>
      <c r="C264" s="88"/>
      <c r="D264" s="88"/>
      <c r="E264" s="88"/>
      <c r="F264" s="88"/>
      <c r="G264" s="88"/>
      <c r="H264" s="94"/>
      <c r="I264" s="88"/>
      <c r="J264" s="88"/>
      <c r="K264" s="88"/>
      <c r="L264" s="88"/>
      <c r="M264" s="88"/>
      <c r="N264" s="88"/>
      <c r="O264" s="88"/>
      <c r="P264" s="88"/>
      <c r="Q264" s="88"/>
      <c r="R264" s="88"/>
      <c r="S264" s="88"/>
      <c r="T264" s="46" t="str">
        <f t="shared" si="20"/>
        <v/>
      </c>
      <c r="U264" s="46" t="str">
        <f t="shared" si="21"/>
        <v/>
      </c>
      <c r="V264" s="72" t="str">
        <f t="shared" si="22"/>
        <v/>
      </c>
      <c r="X264" s="73" t="str">
        <f t="shared" si="24"/>
        <v/>
      </c>
    </row>
    <row r="265" spans="1:24" x14ac:dyDescent="0.3">
      <c r="A265" s="85"/>
      <c r="B265" s="86"/>
      <c r="C265" s="88"/>
      <c r="D265" s="88"/>
      <c r="E265" s="88"/>
      <c r="F265" s="88"/>
      <c r="G265" s="88"/>
      <c r="H265" s="94"/>
      <c r="I265" s="88"/>
      <c r="J265" s="88"/>
      <c r="K265" s="88"/>
      <c r="L265" s="88"/>
      <c r="M265" s="88"/>
      <c r="N265" s="88"/>
      <c r="O265" s="88"/>
      <c r="P265" s="88"/>
      <c r="Q265" s="88"/>
      <c r="R265" s="88"/>
      <c r="S265" s="88"/>
      <c r="T265" s="46" t="str">
        <f t="shared" si="20"/>
        <v/>
      </c>
      <c r="U265" s="46" t="str">
        <f t="shared" si="21"/>
        <v/>
      </c>
      <c r="V265" s="72" t="str">
        <f t="shared" si="22"/>
        <v/>
      </c>
      <c r="X265" s="73" t="str">
        <f t="shared" si="24"/>
        <v/>
      </c>
    </row>
    <row r="266" spans="1:24" x14ac:dyDescent="0.3">
      <c r="A266" s="85"/>
      <c r="B266" s="86"/>
      <c r="C266" s="88"/>
      <c r="D266" s="88"/>
      <c r="E266" s="88"/>
      <c r="F266" s="88"/>
      <c r="G266" s="88"/>
      <c r="H266" s="94"/>
      <c r="I266" s="88"/>
      <c r="J266" s="88"/>
      <c r="K266" s="88"/>
      <c r="L266" s="88"/>
      <c r="M266" s="88"/>
      <c r="N266" s="88"/>
      <c r="O266" s="88"/>
      <c r="P266" s="88"/>
      <c r="Q266" s="88"/>
      <c r="R266" s="88"/>
      <c r="S266" s="88"/>
      <c r="T266" s="46" t="str">
        <f t="shared" si="20"/>
        <v/>
      </c>
      <c r="U266" s="46" t="str">
        <f t="shared" si="21"/>
        <v/>
      </c>
      <c r="V266" s="72" t="str">
        <f t="shared" si="22"/>
        <v/>
      </c>
      <c r="X266" s="73" t="str">
        <f t="shared" si="24"/>
        <v/>
      </c>
    </row>
    <row r="267" spans="1:24" x14ac:dyDescent="0.3">
      <c r="A267" s="85"/>
      <c r="B267" s="86"/>
      <c r="C267" s="88"/>
      <c r="D267" s="88"/>
      <c r="E267" s="88"/>
      <c r="F267" s="88"/>
      <c r="G267" s="88"/>
      <c r="H267" s="94"/>
      <c r="I267" s="88"/>
      <c r="J267" s="88"/>
      <c r="K267" s="88"/>
      <c r="L267" s="88"/>
      <c r="M267" s="88"/>
      <c r="N267" s="88"/>
      <c r="O267" s="88"/>
      <c r="P267" s="88"/>
      <c r="Q267" s="88"/>
      <c r="R267" s="88"/>
      <c r="S267" s="88"/>
      <c r="T267" s="46" t="str">
        <f t="shared" ref="T267:T300" si="25">IF(AND(ISBLANK(E267),ISBLANK(F267),ISBLANK(G267),ISBLANK(H267),ISBLANK(I267),ISBLANK(J267),ISBLANK(K267), ISBLANK(L267), ISBLANK(M267), ISBLANK(N267), ISBLANK(O267), ISBLANK(P267), ISBLANK(Q267), ISBLANK(R267), ISBLANK(S267)),"",SUM(G267:S267))</f>
        <v/>
      </c>
      <c r="U267" s="46" t="str">
        <f t="shared" ref="U267:U300" si="26">IF(W267&lt;&gt;0,0,IF(AND(ISBLANK(F267),ISBLANK(G267),ISBLANK(H267),ISBLANK(I267),ISBLANK(J267),ISBLANK(K267), ISBLANK(L267), ISBLANK(M267), ISBLANK(N267), ISBLANK(O267), ISBLANK(P267), ISBLANK(Q267), ISBLANK(R267), ISBLANK(S267)),"", F267-T267))</f>
        <v/>
      </c>
      <c r="V267" s="72" t="str">
        <f t="shared" si="22"/>
        <v/>
      </c>
      <c r="X267" s="73" t="str">
        <f t="shared" si="24"/>
        <v/>
      </c>
    </row>
    <row r="268" spans="1:24" x14ac:dyDescent="0.3">
      <c r="A268" s="85"/>
      <c r="B268" s="86"/>
      <c r="C268" s="88"/>
      <c r="D268" s="88"/>
      <c r="E268" s="88"/>
      <c r="F268" s="88"/>
      <c r="G268" s="88"/>
      <c r="H268" s="94"/>
      <c r="I268" s="88"/>
      <c r="J268" s="88"/>
      <c r="K268" s="88"/>
      <c r="L268" s="88"/>
      <c r="M268" s="88"/>
      <c r="N268" s="88"/>
      <c r="O268" s="88"/>
      <c r="P268" s="88"/>
      <c r="Q268" s="88"/>
      <c r="R268" s="88"/>
      <c r="S268" s="88"/>
      <c r="T268" s="46" t="str">
        <f t="shared" si="25"/>
        <v/>
      </c>
      <c r="U268" s="46" t="str">
        <f t="shared" si="26"/>
        <v/>
      </c>
      <c r="V268" s="72" t="str">
        <f t="shared" si="22"/>
        <v/>
      </c>
      <c r="X268" s="73" t="str">
        <f t="shared" si="24"/>
        <v/>
      </c>
    </row>
    <row r="269" spans="1:24" x14ac:dyDescent="0.3">
      <c r="A269" s="85"/>
      <c r="B269" s="86"/>
      <c r="C269" s="88"/>
      <c r="D269" s="88"/>
      <c r="E269" s="88"/>
      <c r="F269" s="88"/>
      <c r="G269" s="88"/>
      <c r="H269" s="94"/>
      <c r="I269" s="88"/>
      <c r="J269" s="88"/>
      <c r="K269" s="88"/>
      <c r="L269" s="88"/>
      <c r="M269" s="88"/>
      <c r="N269" s="88"/>
      <c r="O269" s="88"/>
      <c r="P269" s="88"/>
      <c r="Q269" s="88"/>
      <c r="R269" s="88"/>
      <c r="S269" s="88"/>
      <c r="T269" s="46" t="str">
        <f t="shared" si="25"/>
        <v/>
      </c>
      <c r="U269" s="46" t="str">
        <f t="shared" si="26"/>
        <v/>
      </c>
      <c r="V269" s="72" t="str">
        <f t="shared" si="22"/>
        <v/>
      </c>
      <c r="X269" s="73" t="str">
        <f t="shared" si="24"/>
        <v/>
      </c>
    </row>
    <row r="270" spans="1:24" x14ac:dyDescent="0.3">
      <c r="A270" s="85"/>
      <c r="B270" s="86"/>
      <c r="C270" s="88"/>
      <c r="D270" s="88"/>
      <c r="E270" s="88"/>
      <c r="F270" s="88"/>
      <c r="G270" s="88"/>
      <c r="H270" s="94"/>
      <c r="I270" s="88"/>
      <c r="J270" s="88"/>
      <c r="K270" s="88"/>
      <c r="L270" s="88"/>
      <c r="M270" s="88"/>
      <c r="N270" s="88"/>
      <c r="O270" s="88"/>
      <c r="P270" s="88"/>
      <c r="Q270" s="88"/>
      <c r="R270" s="88"/>
      <c r="S270" s="88"/>
      <c r="T270" s="46" t="str">
        <f t="shared" si="25"/>
        <v/>
      </c>
      <c r="U270" s="46" t="str">
        <f t="shared" si="26"/>
        <v/>
      </c>
      <c r="V270" s="72" t="str">
        <f t="shared" si="22"/>
        <v/>
      </c>
      <c r="X270" s="73" t="str">
        <f t="shared" si="24"/>
        <v/>
      </c>
    </row>
    <row r="271" spans="1:24" x14ac:dyDescent="0.3">
      <c r="A271" s="85"/>
      <c r="B271" s="86"/>
      <c r="C271" s="88"/>
      <c r="D271" s="88"/>
      <c r="E271" s="88"/>
      <c r="F271" s="88"/>
      <c r="G271" s="88"/>
      <c r="H271" s="94"/>
      <c r="I271" s="88"/>
      <c r="J271" s="88"/>
      <c r="K271" s="88"/>
      <c r="L271" s="88"/>
      <c r="M271" s="88"/>
      <c r="N271" s="88"/>
      <c r="O271" s="88"/>
      <c r="P271" s="88"/>
      <c r="Q271" s="88"/>
      <c r="R271" s="88"/>
      <c r="S271" s="88"/>
      <c r="T271" s="46" t="str">
        <f t="shared" si="25"/>
        <v/>
      </c>
      <c r="U271" s="46" t="str">
        <f t="shared" si="26"/>
        <v/>
      </c>
      <c r="V271" s="72" t="str">
        <f t="shared" si="22"/>
        <v/>
      </c>
      <c r="X271" s="73" t="str">
        <f t="shared" si="24"/>
        <v/>
      </c>
    </row>
    <row r="272" spans="1:24" x14ac:dyDescent="0.3">
      <c r="A272" s="85"/>
      <c r="B272" s="86"/>
      <c r="C272" s="88"/>
      <c r="D272" s="88"/>
      <c r="E272" s="88"/>
      <c r="F272" s="88"/>
      <c r="G272" s="88"/>
      <c r="H272" s="94"/>
      <c r="I272" s="88"/>
      <c r="J272" s="88"/>
      <c r="K272" s="88"/>
      <c r="L272" s="88"/>
      <c r="M272" s="88"/>
      <c r="N272" s="88"/>
      <c r="O272" s="88"/>
      <c r="P272" s="88"/>
      <c r="Q272" s="88"/>
      <c r="R272" s="88"/>
      <c r="S272" s="88"/>
      <c r="T272" s="46" t="str">
        <f t="shared" si="25"/>
        <v/>
      </c>
      <c r="U272" s="46" t="str">
        <f t="shared" si="26"/>
        <v/>
      </c>
      <c r="V272" s="72" t="str">
        <f t="shared" si="22"/>
        <v/>
      </c>
      <c r="X272" s="73" t="str">
        <f t="shared" si="24"/>
        <v/>
      </c>
    </row>
    <row r="273" spans="1:24" x14ac:dyDescent="0.3">
      <c r="A273" s="85"/>
      <c r="B273" s="86"/>
      <c r="C273" s="88"/>
      <c r="D273" s="88"/>
      <c r="E273" s="88"/>
      <c r="F273" s="88"/>
      <c r="G273" s="88"/>
      <c r="H273" s="94"/>
      <c r="I273" s="88"/>
      <c r="J273" s="88"/>
      <c r="K273" s="88"/>
      <c r="L273" s="88"/>
      <c r="M273" s="88"/>
      <c r="N273" s="88"/>
      <c r="O273" s="88"/>
      <c r="P273" s="88"/>
      <c r="Q273" s="88"/>
      <c r="R273" s="88"/>
      <c r="S273" s="88"/>
      <c r="T273" s="46" t="str">
        <f t="shared" si="25"/>
        <v/>
      </c>
      <c r="U273" s="46" t="str">
        <f t="shared" si="26"/>
        <v/>
      </c>
      <c r="V273" s="72" t="str">
        <f t="shared" si="22"/>
        <v/>
      </c>
      <c r="X273" s="73" t="str">
        <f t="shared" si="24"/>
        <v/>
      </c>
    </row>
    <row r="274" spans="1:24" x14ac:dyDescent="0.3">
      <c r="A274" s="85"/>
      <c r="B274" s="86"/>
      <c r="C274" s="88"/>
      <c r="D274" s="88"/>
      <c r="E274" s="88"/>
      <c r="F274" s="88"/>
      <c r="G274" s="88"/>
      <c r="H274" s="94"/>
      <c r="I274" s="88"/>
      <c r="J274" s="88"/>
      <c r="K274" s="88"/>
      <c r="L274" s="88"/>
      <c r="M274" s="88"/>
      <c r="N274" s="88"/>
      <c r="O274" s="88"/>
      <c r="P274" s="88"/>
      <c r="Q274" s="88"/>
      <c r="R274" s="88"/>
      <c r="S274" s="88"/>
      <c r="T274" s="46" t="str">
        <f t="shared" si="25"/>
        <v/>
      </c>
      <c r="U274" s="46" t="str">
        <f t="shared" si="26"/>
        <v/>
      </c>
      <c r="V274" s="72" t="str">
        <f t="shared" si="22"/>
        <v/>
      </c>
      <c r="X274" s="73" t="str">
        <f t="shared" si="24"/>
        <v/>
      </c>
    </row>
    <row r="275" spans="1:24" x14ac:dyDescent="0.3">
      <c r="A275" s="85"/>
      <c r="B275" s="86"/>
      <c r="C275" s="88"/>
      <c r="D275" s="88"/>
      <c r="E275" s="88"/>
      <c r="F275" s="88"/>
      <c r="G275" s="88"/>
      <c r="H275" s="94"/>
      <c r="I275" s="88"/>
      <c r="J275" s="88"/>
      <c r="K275" s="88"/>
      <c r="L275" s="88"/>
      <c r="M275" s="88"/>
      <c r="N275" s="88"/>
      <c r="O275" s="88"/>
      <c r="P275" s="88"/>
      <c r="Q275" s="88"/>
      <c r="R275" s="88"/>
      <c r="S275" s="88"/>
      <c r="T275" s="46" t="str">
        <f t="shared" si="25"/>
        <v/>
      </c>
      <c r="U275" s="46" t="str">
        <f t="shared" si="26"/>
        <v/>
      </c>
      <c r="V275" s="72" t="str">
        <f t="shared" si="22"/>
        <v/>
      </c>
      <c r="X275" s="73" t="str">
        <f t="shared" si="24"/>
        <v/>
      </c>
    </row>
    <row r="276" spans="1:24" x14ac:dyDescent="0.3">
      <c r="A276" s="85"/>
      <c r="B276" s="86"/>
      <c r="C276" s="88"/>
      <c r="D276" s="88"/>
      <c r="E276" s="88"/>
      <c r="F276" s="88"/>
      <c r="G276" s="88"/>
      <c r="H276" s="94"/>
      <c r="I276" s="88"/>
      <c r="J276" s="88"/>
      <c r="K276" s="88"/>
      <c r="L276" s="88"/>
      <c r="M276" s="88"/>
      <c r="N276" s="88"/>
      <c r="O276" s="88"/>
      <c r="P276" s="88"/>
      <c r="Q276" s="88"/>
      <c r="R276" s="88"/>
      <c r="S276" s="88"/>
      <c r="T276" s="46" t="str">
        <f t="shared" si="25"/>
        <v/>
      </c>
      <c r="U276" s="46" t="str">
        <f t="shared" si="26"/>
        <v/>
      </c>
      <c r="V276" s="72" t="str">
        <f t="shared" si="22"/>
        <v/>
      </c>
      <c r="X276" s="73" t="str">
        <f t="shared" si="24"/>
        <v/>
      </c>
    </row>
    <row r="277" spans="1:24" x14ac:dyDescent="0.3">
      <c r="A277" s="85"/>
      <c r="B277" s="86"/>
      <c r="C277" s="88"/>
      <c r="D277" s="88"/>
      <c r="E277" s="88"/>
      <c r="F277" s="88"/>
      <c r="G277" s="88"/>
      <c r="H277" s="94"/>
      <c r="I277" s="88"/>
      <c r="J277" s="88"/>
      <c r="K277" s="88"/>
      <c r="L277" s="88"/>
      <c r="M277" s="88"/>
      <c r="N277" s="88"/>
      <c r="O277" s="88"/>
      <c r="P277" s="88"/>
      <c r="Q277" s="88"/>
      <c r="R277" s="88"/>
      <c r="S277" s="88"/>
      <c r="T277" s="46" t="str">
        <f t="shared" si="25"/>
        <v/>
      </c>
      <c r="U277" s="46" t="str">
        <f t="shared" si="26"/>
        <v/>
      </c>
      <c r="V277" s="72" t="str">
        <f t="shared" si="22"/>
        <v/>
      </c>
      <c r="X277" s="73" t="str">
        <f t="shared" si="24"/>
        <v/>
      </c>
    </row>
    <row r="278" spans="1:24" x14ac:dyDescent="0.3">
      <c r="A278" s="85"/>
      <c r="B278" s="86"/>
      <c r="C278" s="88"/>
      <c r="D278" s="88"/>
      <c r="E278" s="88"/>
      <c r="F278" s="88"/>
      <c r="G278" s="88"/>
      <c r="H278" s="94"/>
      <c r="I278" s="88"/>
      <c r="J278" s="88"/>
      <c r="K278" s="88"/>
      <c r="L278" s="88"/>
      <c r="M278" s="88"/>
      <c r="N278" s="88"/>
      <c r="O278" s="88"/>
      <c r="P278" s="88"/>
      <c r="Q278" s="88"/>
      <c r="R278" s="88"/>
      <c r="S278" s="88"/>
      <c r="T278" s="46" t="str">
        <f t="shared" si="25"/>
        <v/>
      </c>
      <c r="U278" s="46" t="str">
        <f t="shared" si="26"/>
        <v/>
      </c>
      <c r="V278" s="72" t="str">
        <f t="shared" ref="V278:V300" si="27">IF(AND(ISBLANK(E278),ISBLANK(F278), ISBLANK(G278), ISBLANK(H278), ISBLANK(I278), ISBLANK(J278), ISBLANK(K278), ISBLANK(L278), ISBLANK(M278),ISBLANK(N278), ISBLANK(O278), ISBLANK(P278), ISBLANK(Q278), ISBLANK(R278), ISBLANK(S278)), "",IFERROR(((F278+E278)-U278)/F278,""))</f>
        <v/>
      </c>
      <c r="X278" s="73" t="str">
        <f t="shared" si="24"/>
        <v/>
      </c>
    </row>
    <row r="279" spans="1:24" x14ac:dyDescent="0.3">
      <c r="A279" s="85"/>
      <c r="B279" s="86"/>
      <c r="C279" s="88"/>
      <c r="D279" s="88"/>
      <c r="E279" s="88"/>
      <c r="F279" s="88"/>
      <c r="G279" s="88"/>
      <c r="H279" s="94"/>
      <c r="I279" s="88"/>
      <c r="J279" s="88"/>
      <c r="K279" s="88"/>
      <c r="L279" s="88"/>
      <c r="M279" s="88"/>
      <c r="N279" s="88"/>
      <c r="O279" s="88"/>
      <c r="P279" s="88"/>
      <c r="Q279" s="88"/>
      <c r="R279" s="88"/>
      <c r="S279" s="88"/>
      <c r="T279" s="46" t="str">
        <f t="shared" si="25"/>
        <v/>
      </c>
      <c r="U279" s="46" t="str">
        <f t="shared" si="26"/>
        <v/>
      </c>
      <c r="V279" s="72" t="str">
        <f t="shared" si="27"/>
        <v/>
      </c>
      <c r="X279" s="73" t="str">
        <f t="shared" si="24"/>
        <v/>
      </c>
    </row>
    <row r="280" spans="1:24" x14ac:dyDescent="0.3">
      <c r="A280" s="85"/>
      <c r="B280" s="86"/>
      <c r="C280" s="88"/>
      <c r="D280" s="88"/>
      <c r="E280" s="88"/>
      <c r="F280" s="88"/>
      <c r="G280" s="88"/>
      <c r="H280" s="94"/>
      <c r="I280" s="88"/>
      <c r="J280" s="88"/>
      <c r="K280" s="88"/>
      <c r="L280" s="88"/>
      <c r="M280" s="88"/>
      <c r="N280" s="88"/>
      <c r="O280" s="88"/>
      <c r="P280" s="88"/>
      <c r="Q280" s="88"/>
      <c r="R280" s="88"/>
      <c r="S280" s="88"/>
      <c r="T280" s="46" t="str">
        <f t="shared" si="25"/>
        <v/>
      </c>
      <c r="U280" s="46" t="str">
        <f t="shared" si="26"/>
        <v/>
      </c>
      <c r="V280" s="72" t="str">
        <f t="shared" si="27"/>
        <v/>
      </c>
      <c r="X280" s="73" t="str">
        <f t="shared" si="24"/>
        <v/>
      </c>
    </row>
    <row r="281" spans="1:24" x14ac:dyDescent="0.3">
      <c r="A281" s="85"/>
      <c r="B281" s="86"/>
      <c r="C281" s="88"/>
      <c r="D281" s="88"/>
      <c r="E281" s="88"/>
      <c r="F281" s="88"/>
      <c r="G281" s="88"/>
      <c r="H281" s="94"/>
      <c r="I281" s="88"/>
      <c r="J281" s="88"/>
      <c r="K281" s="88"/>
      <c r="L281" s="88"/>
      <c r="M281" s="88"/>
      <c r="N281" s="88"/>
      <c r="O281" s="88"/>
      <c r="P281" s="88"/>
      <c r="Q281" s="88"/>
      <c r="R281" s="88"/>
      <c r="S281" s="88"/>
      <c r="T281" s="46" t="str">
        <f t="shared" si="25"/>
        <v/>
      </c>
      <c r="U281" s="46" t="str">
        <f t="shared" si="26"/>
        <v/>
      </c>
      <c r="V281" s="72" t="str">
        <f t="shared" si="27"/>
        <v/>
      </c>
      <c r="X281" s="73" t="str">
        <f t="shared" si="24"/>
        <v/>
      </c>
    </row>
    <row r="282" spans="1:24" x14ac:dyDescent="0.3">
      <c r="A282" s="85"/>
      <c r="B282" s="86"/>
      <c r="C282" s="88"/>
      <c r="D282" s="88"/>
      <c r="E282" s="88"/>
      <c r="F282" s="88"/>
      <c r="G282" s="88"/>
      <c r="H282" s="94"/>
      <c r="I282" s="88"/>
      <c r="J282" s="88"/>
      <c r="K282" s="88"/>
      <c r="L282" s="88"/>
      <c r="M282" s="88"/>
      <c r="N282" s="88"/>
      <c r="O282" s="88"/>
      <c r="P282" s="88"/>
      <c r="Q282" s="88"/>
      <c r="R282" s="88"/>
      <c r="S282" s="88"/>
      <c r="T282" s="46" t="str">
        <f t="shared" si="25"/>
        <v/>
      </c>
      <c r="U282" s="46" t="str">
        <f t="shared" si="26"/>
        <v/>
      </c>
      <c r="V282" s="72" t="str">
        <f t="shared" si="27"/>
        <v/>
      </c>
      <c r="X282" s="73" t="str">
        <f t="shared" ref="X282:X299" si="28">IF(W282&lt;&gt;"",F282 - (SUM(G282:S282)),"")</f>
        <v/>
      </c>
    </row>
    <row r="283" spans="1:24" x14ac:dyDescent="0.3">
      <c r="A283" s="85"/>
      <c r="B283" s="86"/>
      <c r="C283" s="88"/>
      <c r="D283" s="88"/>
      <c r="E283" s="88"/>
      <c r="F283" s="88"/>
      <c r="G283" s="88"/>
      <c r="H283" s="94"/>
      <c r="I283" s="88"/>
      <c r="J283" s="88"/>
      <c r="K283" s="88"/>
      <c r="L283" s="88"/>
      <c r="M283" s="88"/>
      <c r="N283" s="88"/>
      <c r="O283" s="88"/>
      <c r="P283" s="88"/>
      <c r="Q283" s="88"/>
      <c r="R283" s="88"/>
      <c r="S283" s="88"/>
      <c r="T283" s="46" t="str">
        <f t="shared" si="25"/>
        <v/>
      </c>
      <c r="U283" s="46" t="str">
        <f t="shared" si="26"/>
        <v/>
      </c>
      <c r="V283" s="72" t="str">
        <f t="shared" si="27"/>
        <v/>
      </c>
      <c r="X283" s="73" t="str">
        <f t="shared" si="28"/>
        <v/>
      </c>
    </row>
    <row r="284" spans="1:24" x14ac:dyDescent="0.3">
      <c r="A284" s="85"/>
      <c r="B284" s="86"/>
      <c r="C284" s="88"/>
      <c r="D284" s="88"/>
      <c r="E284" s="88"/>
      <c r="F284" s="88"/>
      <c r="G284" s="88"/>
      <c r="H284" s="94"/>
      <c r="I284" s="88"/>
      <c r="J284" s="88"/>
      <c r="K284" s="88"/>
      <c r="L284" s="88"/>
      <c r="M284" s="88"/>
      <c r="N284" s="88"/>
      <c r="O284" s="88"/>
      <c r="P284" s="88"/>
      <c r="Q284" s="88"/>
      <c r="R284" s="88"/>
      <c r="S284" s="88"/>
      <c r="T284" s="46" t="str">
        <f t="shared" si="25"/>
        <v/>
      </c>
      <c r="U284" s="46" t="str">
        <f t="shared" si="26"/>
        <v/>
      </c>
      <c r="V284" s="72" t="str">
        <f t="shared" si="27"/>
        <v/>
      </c>
      <c r="X284" s="73" t="str">
        <f t="shared" si="28"/>
        <v/>
      </c>
    </row>
    <row r="285" spans="1:24" x14ac:dyDescent="0.3">
      <c r="A285" s="85"/>
      <c r="B285" s="86"/>
      <c r="C285" s="88"/>
      <c r="D285" s="88"/>
      <c r="E285" s="88"/>
      <c r="F285" s="88"/>
      <c r="G285" s="88"/>
      <c r="H285" s="94"/>
      <c r="I285" s="88"/>
      <c r="J285" s="88"/>
      <c r="K285" s="88"/>
      <c r="L285" s="88"/>
      <c r="M285" s="88"/>
      <c r="N285" s="88"/>
      <c r="O285" s="88"/>
      <c r="P285" s="88"/>
      <c r="Q285" s="88"/>
      <c r="R285" s="88"/>
      <c r="S285" s="88"/>
      <c r="T285" s="46" t="str">
        <f t="shared" si="25"/>
        <v/>
      </c>
      <c r="U285" s="46" t="str">
        <f t="shared" si="26"/>
        <v/>
      </c>
      <c r="V285" s="72" t="str">
        <f t="shared" si="27"/>
        <v/>
      </c>
      <c r="X285" s="73" t="str">
        <f t="shared" si="28"/>
        <v/>
      </c>
    </row>
    <row r="286" spans="1:24" x14ac:dyDescent="0.3">
      <c r="A286" s="85"/>
      <c r="B286" s="86"/>
      <c r="C286" s="88"/>
      <c r="D286" s="88"/>
      <c r="E286" s="88"/>
      <c r="F286" s="88"/>
      <c r="G286" s="88"/>
      <c r="H286" s="94"/>
      <c r="I286" s="88"/>
      <c r="J286" s="88"/>
      <c r="K286" s="88"/>
      <c r="L286" s="88"/>
      <c r="M286" s="88"/>
      <c r="N286" s="88"/>
      <c r="O286" s="88"/>
      <c r="P286" s="88"/>
      <c r="Q286" s="88"/>
      <c r="R286" s="88"/>
      <c r="S286" s="88"/>
      <c r="T286" s="46" t="str">
        <f t="shared" si="25"/>
        <v/>
      </c>
      <c r="U286" s="46" t="str">
        <f t="shared" si="26"/>
        <v/>
      </c>
      <c r="V286" s="72" t="str">
        <f t="shared" si="27"/>
        <v/>
      </c>
      <c r="X286" s="73" t="str">
        <f t="shared" si="28"/>
        <v/>
      </c>
    </row>
    <row r="287" spans="1:24" x14ac:dyDescent="0.3">
      <c r="A287" s="85"/>
      <c r="B287" s="86"/>
      <c r="C287" s="88"/>
      <c r="D287" s="88"/>
      <c r="E287" s="88"/>
      <c r="F287" s="88"/>
      <c r="G287" s="88"/>
      <c r="H287" s="94"/>
      <c r="I287" s="88"/>
      <c r="J287" s="88"/>
      <c r="K287" s="88"/>
      <c r="L287" s="88"/>
      <c r="M287" s="88"/>
      <c r="N287" s="88"/>
      <c r="O287" s="88"/>
      <c r="P287" s="88"/>
      <c r="Q287" s="88"/>
      <c r="R287" s="88"/>
      <c r="S287" s="88"/>
      <c r="T287" s="46" t="str">
        <f t="shared" si="25"/>
        <v/>
      </c>
      <c r="U287" s="46" t="str">
        <f t="shared" si="26"/>
        <v/>
      </c>
      <c r="V287" s="72" t="str">
        <f t="shared" si="27"/>
        <v/>
      </c>
      <c r="X287" s="73" t="str">
        <f t="shared" si="28"/>
        <v/>
      </c>
    </row>
    <row r="288" spans="1:24" x14ac:dyDescent="0.3">
      <c r="A288" s="85"/>
      <c r="B288" s="86"/>
      <c r="C288" s="88"/>
      <c r="D288" s="88"/>
      <c r="E288" s="88"/>
      <c r="F288" s="88"/>
      <c r="G288" s="88"/>
      <c r="H288" s="94"/>
      <c r="I288" s="88"/>
      <c r="J288" s="88"/>
      <c r="K288" s="88"/>
      <c r="L288" s="88"/>
      <c r="M288" s="88"/>
      <c r="N288" s="88"/>
      <c r="O288" s="88"/>
      <c r="P288" s="88"/>
      <c r="Q288" s="88"/>
      <c r="R288" s="88"/>
      <c r="S288" s="88"/>
      <c r="T288" s="46" t="str">
        <f t="shared" si="25"/>
        <v/>
      </c>
      <c r="U288" s="46" t="str">
        <f t="shared" si="26"/>
        <v/>
      </c>
      <c r="V288" s="72" t="str">
        <f t="shared" si="27"/>
        <v/>
      </c>
      <c r="X288" s="73" t="str">
        <f t="shared" si="28"/>
        <v/>
      </c>
    </row>
    <row r="289" spans="1:24" x14ac:dyDescent="0.3">
      <c r="A289" s="85"/>
      <c r="B289" s="86"/>
      <c r="C289" s="88"/>
      <c r="D289" s="88"/>
      <c r="E289" s="88"/>
      <c r="F289" s="88"/>
      <c r="G289" s="88"/>
      <c r="H289" s="94"/>
      <c r="I289" s="88"/>
      <c r="J289" s="88"/>
      <c r="K289" s="88"/>
      <c r="L289" s="88"/>
      <c r="M289" s="88"/>
      <c r="N289" s="88"/>
      <c r="O289" s="88"/>
      <c r="P289" s="88"/>
      <c r="Q289" s="88"/>
      <c r="R289" s="88"/>
      <c r="S289" s="88"/>
      <c r="T289" s="46" t="str">
        <f t="shared" si="25"/>
        <v/>
      </c>
      <c r="U289" s="46" t="str">
        <f t="shared" si="26"/>
        <v/>
      </c>
      <c r="V289" s="72" t="str">
        <f t="shared" si="27"/>
        <v/>
      </c>
      <c r="X289" s="73" t="str">
        <f t="shared" si="28"/>
        <v/>
      </c>
    </row>
    <row r="290" spans="1:24" x14ac:dyDescent="0.3">
      <c r="A290" s="85"/>
      <c r="B290" s="86"/>
      <c r="C290" s="88"/>
      <c r="D290" s="88"/>
      <c r="E290" s="88"/>
      <c r="F290" s="88"/>
      <c r="G290" s="88"/>
      <c r="H290" s="94"/>
      <c r="I290" s="88"/>
      <c r="J290" s="88"/>
      <c r="K290" s="88"/>
      <c r="L290" s="88"/>
      <c r="M290" s="88"/>
      <c r="N290" s="88"/>
      <c r="O290" s="88"/>
      <c r="P290" s="88"/>
      <c r="Q290" s="88"/>
      <c r="R290" s="88"/>
      <c r="S290" s="88"/>
      <c r="T290" s="46" t="str">
        <f t="shared" si="25"/>
        <v/>
      </c>
      <c r="U290" s="46" t="str">
        <f t="shared" si="26"/>
        <v/>
      </c>
      <c r="V290" s="72" t="str">
        <f t="shared" si="27"/>
        <v/>
      </c>
      <c r="X290" s="73" t="str">
        <f t="shared" si="28"/>
        <v/>
      </c>
    </row>
    <row r="291" spans="1:24" x14ac:dyDescent="0.3">
      <c r="A291" s="85"/>
      <c r="B291" s="86"/>
      <c r="C291" s="88"/>
      <c r="D291" s="88"/>
      <c r="E291" s="88"/>
      <c r="F291" s="88"/>
      <c r="G291" s="88"/>
      <c r="H291" s="94"/>
      <c r="I291" s="88"/>
      <c r="J291" s="88"/>
      <c r="K291" s="88"/>
      <c r="L291" s="88"/>
      <c r="M291" s="88"/>
      <c r="N291" s="88"/>
      <c r="O291" s="88"/>
      <c r="P291" s="88"/>
      <c r="Q291" s="88"/>
      <c r="R291" s="88"/>
      <c r="S291" s="88"/>
      <c r="T291" s="46" t="str">
        <f t="shared" si="25"/>
        <v/>
      </c>
      <c r="U291" s="46" t="str">
        <f t="shared" si="26"/>
        <v/>
      </c>
      <c r="V291" s="72" t="str">
        <f t="shared" si="27"/>
        <v/>
      </c>
      <c r="X291" s="73" t="str">
        <f t="shared" si="28"/>
        <v/>
      </c>
    </row>
    <row r="292" spans="1:24" x14ac:dyDescent="0.3">
      <c r="A292" s="85"/>
      <c r="B292" s="86"/>
      <c r="C292" s="88"/>
      <c r="D292" s="88"/>
      <c r="E292" s="88"/>
      <c r="F292" s="88"/>
      <c r="G292" s="88"/>
      <c r="H292" s="94"/>
      <c r="I292" s="88"/>
      <c r="J292" s="88"/>
      <c r="K292" s="88"/>
      <c r="L292" s="88"/>
      <c r="M292" s="88"/>
      <c r="N292" s="88"/>
      <c r="O292" s="88"/>
      <c r="P292" s="88"/>
      <c r="Q292" s="88"/>
      <c r="R292" s="88"/>
      <c r="S292" s="88"/>
      <c r="T292" s="46" t="str">
        <f t="shared" si="25"/>
        <v/>
      </c>
      <c r="U292" s="46" t="str">
        <f t="shared" si="26"/>
        <v/>
      </c>
      <c r="V292" s="72" t="str">
        <f t="shared" si="27"/>
        <v/>
      </c>
      <c r="X292" s="73" t="str">
        <f t="shared" si="28"/>
        <v/>
      </c>
    </row>
    <row r="293" spans="1:24" x14ac:dyDescent="0.3">
      <c r="A293" s="85"/>
      <c r="B293" s="86"/>
      <c r="C293" s="88"/>
      <c r="D293" s="88"/>
      <c r="E293" s="88"/>
      <c r="F293" s="88"/>
      <c r="G293" s="88"/>
      <c r="H293" s="94"/>
      <c r="I293" s="88"/>
      <c r="J293" s="88"/>
      <c r="K293" s="88"/>
      <c r="L293" s="88"/>
      <c r="M293" s="88"/>
      <c r="N293" s="88"/>
      <c r="O293" s="88"/>
      <c r="P293" s="88"/>
      <c r="Q293" s="88"/>
      <c r="R293" s="88"/>
      <c r="S293" s="88"/>
      <c r="T293" s="46" t="str">
        <f t="shared" si="25"/>
        <v/>
      </c>
      <c r="U293" s="46" t="str">
        <f t="shared" si="26"/>
        <v/>
      </c>
      <c r="V293" s="72" t="str">
        <f t="shared" si="27"/>
        <v/>
      </c>
      <c r="X293" s="73" t="str">
        <f t="shared" si="28"/>
        <v/>
      </c>
    </row>
    <row r="294" spans="1:24" x14ac:dyDescent="0.3">
      <c r="A294" s="85"/>
      <c r="B294" s="86"/>
      <c r="C294" s="88"/>
      <c r="D294" s="88"/>
      <c r="E294" s="88"/>
      <c r="F294" s="88"/>
      <c r="G294" s="88"/>
      <c r="H294" s="94"/>
      <c r="I294" s="88"/>
      <c r="J294" s="88"/>
      <c r="K294" s="88"/>
      <c r="L294" s="88"/>
      <c r="M294" s="88"/>
      <c r="N294" s="88"/>
      <c r="O294" s="88"/>
      <c r="P294" s="88"/>
      <c r="Q294" s="88"/>
      <c r="R294" s="88"/>
      <c r="S294" s="88"/>
      <c r="T294" s="46" t="str">
        <f t="shared" si="25"/>
        <v/>
      </c>
      <c r="U294" s="46" t="str">
        <f t="shared" si="26"/>
        <v/>
      </c>
      <c r="V294" s="72" t="str">
        <f t="shared" si="27"/>
        <v/>
      </c>
      <c r="X294" s="73" t="str">
        <f t="shared" si="28"/>
        <v/>
      </c>
    </row>
    <row r="295" spans="1:24" x14ac:dyDescent="0.3">
      <c r="A295" s="85"/>
      <c r="B295" s="86"/>
      <c r="C295" s="88"/>
      <c r="D295" s="88"/>
      <c r="E295" s="88"/>
      <c r="F295" s="88"/>
      <c r="G295" s="88"/>
      <c r="H295" s="94"/>
      <c r="I295" s="88"/>
      <c r="J295" s="88"/>
      <c r="K295" s="88"/>
      <c r="L295" s="88"/>
      <c r="M295" s="88"/>
      <c r="N295" s="88"/>
      <c r="O295" s="88"/>
      <c r="P295" s="88"/>
      <c r="Q295" s="88"/>
      <c r="R295" s="88"/>
      <c r="S295" s="88"/>
      <c r="T295" s="46" t="str">
        <f t="shared" si="25"/>
        <v/>
      </c>
      <c r="U295" s="46" t="str">
        <f t="shared" si="26"/>
        <v/>
      </c>
      <c r="V295" s="72" t="str">
        <f t="shared" si="27"/>
        <v/>
      </c>
      <c r="X295" s="73" t="str">
        <f t="shared" si="28"/>
        <v/>
      </c>
    </row>
    <row r="296" spans="1:24" x14ac:dyDescent="0.3">
      <c r="A296" s="85"/>
      <c r="B296" s="86"/>
      <c r="C296" s="88"/>
      <c r="D296" s="88"/>
      <c r="E296" s="88"/>
      <c r="F296" s="88"/>
      <c r="G296" s="88"/>
      <c r="H296" s="94"/>
      <c r="I296" s="88"/>
      <c r="J296" s="88"/>
      <c r="K296" s="88"/>
      <c r="L296" s="88"/>
      <c r="M296" s="88"/>
      <c r="N296" s="88"/>
      <c r="O296" s="88"/>
      <c r="P296" s="88"/>
      <c r="Q296" s="88"/>
      <c r="R296" s="88"/>
      <c r="S296" s="88"/>
      <c r="T296" s="46" t="str">
        <f t="shared" si="25"/>
        <v/>
      </c>
      <c r="U296" s="46" t="str">
        <f t="shared" si="26"/>
        <v/>
      </c>
      <c r="V296" s="72" t="str">
        <f t="shared" si="27"/>
        <v/>
      </c>
      <c r="X296" s="73" t="str">
        <f t="shared" si="28"/>
        <v/>
      </c>
    </row>
    <row r="297" spans="1:24" x14ac:dyDescent="0.3">
      <c r="A297" s="85"/>
      <c r="B297" s="86"/>
      <c r="C297" s="88"/>
      <c r="D297" s="88"/>
      <c r="E297" s="88"/>
      <c r="F297" s="88"/>
      <c r="G297" s="88"/>
      <c r="H297" s="94"/>
      <c r="I297" s="88"/>
      <c r="J297" s="88"/>
      <c r="K297" s="88"/>
      <c r="L297" s="88"/>
      <c r="M297" s="88"/>
      <c r="N297" s="88"/>
      <c r="O297" s="88"/>
      <c r="P297" s="88"/>
      <c r="Q297" s="88"/>
      <c r="R297" s="88"/>
      <c r="S297" s="88"/>
      <c r="T297" s="46" t="str">
        <f t="shared" si="25"/>
        <v/>
      </c>
      <c r="U297" s="46" t="str">
        <f t="shared" si="26"/>
        <v/>
      </c>
      <c r="V297" s="72" t="str">
        <f t="shared" si="27"/>
        <v/>
      </c>
      <c r="X297" s="73" t="str">
        <f t="shared" si="28"/>
        <v/>
      </c>
    </row>
    <row r="298" spans="1:24" x14ac:dyDescent="0.3">
      <c r="A298" s="85"/>
      <c r="B298" s="86"/>
      <c r="C298" s="88"/>
      <c r="D298" s="88"/>
      <c r="E298" s="88"/>
      <c r="F298" s="88"/>
      <c r="G298" s="88"/>
      <c r="H298" s="94"/>
      <c r="I298" s="88"/>
      <c r="J298" s="88"/>
      <c r="K298" s="88"/>
      <c r="L298" s="88"/>
      <c r="M298" s="88"/>
      <c r="N298" s="88"/>
      <c r="O298" s="88"/>
      <c r="P298" s="88"/>
      <c r="Q298" s="88"/>
      <c r="R298" s="88"/>
      <c r="S298" s="88"/>
      <c r="T298" s="46" t="str">
        <f t="shared" si="25"/>
        <v/>
      </c>
      <c r="U298" s="46" t="str">
        <f t="shared" si="26"/>
        <v/>
      </c>
      <c r="V298" s="72" t="str">
        <f t="shared" si="27"/>
        <v/>
      </c>
      <c r="X298" s="73" t="str">
        <f t="shared" si="28"/>
        <v/>
      </c>
    </row>
    <row r="299" spans="1:24" x14ac:dyDescent="0.3">
      <c r="A299" s="85"/>
      <c r="B299" s="86"/>
      <c r="C299" s="88"/>
      <c r="D299" s="88"/>
      <c r="E299" s="88"/>
      <c r="F299" s="88"/>
      <c r="G299" s="88"/>
      <c r="H299" s="94"/>
      <c r="I299" s="88"/>
      <c r="J299" s="88"/>
      <c r="K299" s="88"/>
      <c r="L299" s="88"/>
      <c r="M299" s="88"/>
      <c r="N299" s="88"/>
      <c r="O299" s="88"/>
      <c r="P299" s="88"/>
      <c r="Q299" s="88"/>
      <c r="R299" s="88"/>
      <c r="S299" s="88"/>
      <c r="T299" s="46" t="str">
        <f t="shared" si="25"/>
        <v/>
      </c>
      <c r="U299" s="46" t="str">
        <f t="shared" si="26"/>
        <v/>
      </c>
      <c r="V299" s="72" t="str">
        <f t="shared" si="27"/>
        <v/>
      </c>
      <c r="X299" s="73" t="str">
        <f t="shared" si="28"/>
        <v/>
      </c>
    </row>
    <row r="300" spans="1:24" x14ac:dyDescent="0.3">
      <c r="A300" s="85"/>
      <c r="B300" s="86"/>
      <c r="C300" s="88"/>
      <c r="D300" s="88"/>
      <c r="E300" s="88"/>
      <c r="F300" s="88"/>
      <c r="G300" s="88"/>
      <c r="H300" s="94"/>
      <c r="I300" s="88"/>
      <c r="J300" s="88"/>
      <c r="K300" s="88"/>
      <c r="L300" s="88"/>
      <c r="M300" s="88"/>
      <c r="N300" s="88"/>
      <c r="O300" s="88"/>
      <c r="P300" s="88"/>
      <c r="Q300" s="88"/>
      <c r="R300" s="88"/>
      <c r="S300" s="88"/>
      <c r="T300" s="46" t="str">
        <f t="shared" si="25"/>
        <v/>
      </c>
      <c r="U300" s="46" t="str">
        <f t="shared" si="26"/>
        <v/>
      </c>
      <c r="V300" s="72" t="str">
        <f t="shared" si="27"/>
        <v/>
      </c>
    </row>
  </sheetData>
  <sheetProtection sheet="1" formatColumns="0" formatRows="0" insertHyperlinks="0" sort="0" autoFilter="0" pivotTables="0"/>
  <protectedRanges>
    <protectedRange sqref="H24 A1:F24 I1:X24 H8:H10 G1:H7 H14:H19 G11:H13 G20:H23 A25:X1048576" name="AllowSortRange"/>
  </protectedRanges>
  <autoFilter ref="A3:X300" xr:uid="{00000000-0009-0000-0000-000001000000}">
    <sortState xmlns:xlrd2="http://schemas.microsoft.com/office/spreadsheetml/2017/richdata2" ref="A4:X300">
      <sortCondition ref="A3:A300"/>
    </sortState>
  </autoFilter>
  <mergeCells count="1">
    <mergeCell ref="A1:X1"/>
  </mergeCells>
  <conditionalFormatting sqref="A4:U1048576">
    <cfRule type="expression" dxfId="24" priority="1" stopIfTrue="1">
      <formula>$W4&lt;&gt;""</formula>
    </cfRule>
    <cfRule type="expression" dxfId="23" priority="3" stopIfTrue="1">
      <formula>AND($B4="", $A4&lt;&gt;"")</formula>
    </cfRule>
    <cfRule type="expression" dxfId="22" priority="4" stopIfTrue="1">
      <formula>$U4&lt;0</formula>
    </cfRule>
    <cfRule type="expression" dxfId="21" priority="5" stopIfTrue="1">
      <formula>AND($U4=0, $U4&lt;&gt;"")</formula>
    </cfRule>
    <cfRule type="expression" dxfId="20" priority="6">
      <formula>AND(   LEN($A4)&gt;0,   N($F4)&lt;&gt;0,   COUNTBLANK(OFFSET($A$4,ROW()-4, MATCH("ΣΕΠΤ",$3:$3,0)-1, 1, CHOOSE(MONTH(TODAY()),4,5,6,7,8,9,10,11,12,1,2,3))) +   COUNTIF(OFFSET($A$4,ROW()-4, MATCH("ΣΕΠΤ",$3:$3,0)-1, 1, CHOOSE(MONTH(TODAY()),4,5,6,7,8,9,10,11,12,1,2,3)), 0) &gt; 0 )</formula>
    </cfRule>
    <cfRule type="expression" dxfId="19" priority="7">
      <formula>AND($U4&gt;0, $U4&lt;&gt;"")</formula>
    </cfRule>
  </conditionalFormatting>
  <conditionalFormatting sqref="V2:V1048576">
    <cfRule type="dataBar" priority="2">
      <dataBar>
        <cfvo type="num" val="0"/>
        <cfvo type="num" val="1"/>
        <color rgb="FFF79646"/>
      </dataBar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XFC301"/>
  <sheetViews>
    <sheetView zoomScale="90" zoomScaleNormal="90" workbookViewId="0">
      <pane ySplit="3" topLeftCell="A7" activePane="bottomLeft" state="frozen"/>
      <selection activeCell="D1" sqref="D1"/>
      <selection pane="bottomLeft" activeCell="A40" sqref="A40"/>
    </sheetView>
  </sheetViews>
  <sheetFormatPr defaultColWidth="13" defaultRowHeight="17.25" x14ac:dyDescent="0.3"/>
  <cols>
    <col min="1" max="1" width="35.140625" style="47" customWidth="1"/>
    <col min="2" max="2" width="9.7109375" style="48" customWidth="1"/>
    <col min="3" max="3" width="12.42578125" style="49" customWidth="1"/>
    <col min="4" max="4" width="12" style="49" customWidth="1"/>
    <col min="5" max="5" width="14.7109375" style="49" customWidth="1"/>
    <col min="6" max="7" width="15.42578125" style="49" customWidth="1"/>
    <col min="8" max="8" width="9.28515625" style="53" customWidth="1"/>
    <col min="9" max="9" width="9.5703125" style="49" customWidth="1"/>
    <col min="10" max="10" width="10.5703125" style="49" customWidth="1"/>
    <col min="11" max="11" width="11" style="49" customWidth="1"/>
    <col min="12" max="12" width="10.140625" style="49" customWidth="1"/>
    <col min="13" max="13" width="10.28515625" style="49" customWidth="1"/>
    <col min="14" max="14" width="10.7109375" style="49" customWidth="1"/>
    <col min="15" max="15" width="10.5703125" style="49" customWidth="1"/>
    <col min="16" max="16" width="9.5703125" style="49" customWidth="1"/>
    <col min="17" max="17" width="10.7109375" style="49" customWidth="1"/>
    <col min="18" max="18" width="9.5703125" style="49" customWidth="1"/>
    <col min="19" max="19" width="10.140625" style="49" customWidth="1"/>
    <col min="20" max="20" width="11.42578125" style="64" bestFit="1" customWidth="1"/>
    <col min="21" max="21" width="9.42578125" style="62" bestFit="1" customWidth="1"/>
    <col min="22" max="22" width="26.7109375" style="63" customWidth="1"/>
    <col min="23" max="23" width="13" style="49"/>
    <col min="24" max="24" width="17.42578125" style="77" bestFit="1" customWidth="1"/>
    <col min="25" max="16384" width="13" style="34"/>
  </cols>
  <sheetData>
    <row r="1" spans="1:445" ht="18.75" x14ac:dyDescent="0.3">
      <c r="A1" s="100" t="s">
        <v>103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2"/>
    </row>
    <row r="2" spans="1:445" s="35" customFormat="1" ht="18.75" x14ac:dyDescent="0.3">
      <c r="A2" s="35" t="s">
        <v>0</v>
      </c>
      <c r="B2" s="36"/>
      <c r="C2" s="36"/>
      <c r="D2" s="36"/>
      <c r="E2" s="36">
        <f t="shared" ref="E2" si="0">SUM(E4:E1048576)</f>
        <v>590</v>
      </c>
      <c r="F2" s="36">
        <f t="shared" ref="F2:T2" si="1">SUM(F4:F1048576)</f>
        <v>27082</v>
      </c>
      <c r="G2" s="36">
        <f t="shared" si="1"/>
        <v>600</v>
      </c>
      <c r="H2" s="36">
        <f t="shared" si="1"/>
        <v>2520</v>
      </c>
      <c r="I2" s="36">
        <f t="shared" si="1"/>
        <v>3285</v>
      </c>
      <c r="J2" s="36">
        <f t="shared" si="1"/>
        <v>2542</v>
      </c>
      <c r="K2" s="36">
        <f t="shared" si="1"/>
        <v>2337</v>
      </c>
      <c r="L2" s="36">
        <f t="shared" si="1"/>
        <v>2520</v>
      </c>
      <c r="M2" s="36">
        <f t="shared" si="1"/>
        <v>2700</v>
      </c>
      <c r="N2" s="36">
        <f t="shared" si="1"/>
        <v>2995</v>
      </c>
      <c r="O2" s="36">
        <f t="shared" si="1"/>
        <v>2565</v>
      </c>
      <c r="P2" s="36">
        <f t="shared" si="1"/>
        <v>2335</v>
      </c>
      <c r="Q2" s="36">
        <f t="shared" si="1"/>
        <v>728</v>
      </c>
      <c r="R2" s="36">
        <f t="shared" si="1"/>
        <v>0</v>
      </c>
      <c r="S2" s="36">
        <f t="shared" si="1"/>
        <v>0</v>
      </c>
      <c r="T2" s="36">
        <f t="shared" si="1"/>
        <v>25127</v>
      </c>
      <c r="U2" s="36">
        <f>SUMIF(U4:U1048576,"&gt;=0")</f>
        <v>75</v>
      </c>
      <c r="V2" s="37">
        <f>IF(AND(ISBLANK(E2),ISBLANK(F2), ISBLANK(G2), ISBLANK(H2), ISBLANK(I2), ISBLANK(J2), ISBLANK(K2), ISBLANK(L2), ISBLANK(M2),ISBLANK(N2), ISBLANK(O2), ISBLANK(P2), ISBLANK(Q2), ISBLANK(R2), ISBLANK(S2)), "",IFERROR(((F2+E2)-U2)/(F2+E2),""))</f>
        <v>0.99728967909800526</v>
      </c>
      <c r="W2" s="36">
        <f>COUNTA(W4:W1048576)</f>
        <v>2</v>
      </c>
      <c r="X2" s="36">
        <f>SUM(X4:X300)</f>
        <v>1880</v>
      </c>
    </row>
    <row r="3" spans="1:445" ht="19.5" thickBot="1" x14ac:dyDescent="0.35">
      <c r="A3" s="38" t="s">
        <v>1</v>
      </c>
      <c r="B3" s="65" t="s">
        <v>71</v>
      </c>
      <c r="C3" s="39" t="s">
        <v>64</v>
      </c>
      <c r="D3" s="39" t="s">
        <v>74</v>
      </c>
      <c r="E3" s="39" t="s">
        <v>46</v>
      </c>
      <c r="F3" s="39" t="s">
        <v>2</v>
      </c>
      <c r="G3" s="39" t="s">
        <v>3</v>
      </c>
      <c r="H3" s="39" t="s">
        <v>4</v>
      </c>
      <c r="I3" s="39" t="s">
        <v>5</v>
      </c>
      <c r="J3" s="39" t="s">
        <v>6</v>
      </c>
      <c r="K3" s="39" t="s">
        <v>7</v>
      </c>
      <c r="L3" s="39" t="s">
        <v>8</v>
      </c>
      <c r="M3" s="39" t="s">
        <v>9</v>
      </c>
      <c r="N3" s="39" t="s">
        <v>10</v>
      </c>
      <c r="O3" s="39" t="s">
        <v>11</v>
      </c>
      <c r="P3" s="39" t="s">
        <v>12</v>
      </c>
      <c r="Q3" s="39" t="s">
        <v>13</v>
      </c>
      <c r="R3" s="39" t="s">
        <v>14</v>
      </c>
      <c r="S3" s="39" t="s">
        <v>15</v>
      </c>
      <c r="T3" s="40" t="s">
        <v>16</v>
      </c>
      <c r="U3" s="40" t="s">
        <v>17</v>
      </c>
      <c r="V3" s="41" t="s">
        <v>18</v>
      </c>
      <c r="W3" s="42" t="s">
        <v>19</v>
      </c>
      <c r="X3" s="42" t="s">
        <v>20</v>
      </c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  <c r="EA3" s="43"/>
      <c r="EB3" s="43"/>
      <c r="EC3" s="43"/>
      <c r="ED3" s="43"/>
      <c r="EE3" s="43"/>
      <c r="EF3" s="43"/>
      <c r="EG3" s="43"/>
      <c r="EH3" s="43"/>
      <c r="EI3" s="43"/>
      <c r="EJ3" s="43"/>
      <c r="EK3" s="43"/>
      <c r="EL3" s="43"/>
      <c r="EM3" s="43"/>
      <c r="EN3" s="43"/>
      <c r="EO3" s="43"/>
      <c r="EP3" s="43"/>
      <c r="EQ3" s="43"/>
      <c r="ER3" s="43"/>
      <c r="ES3" s="43"/>
      <c r="ET3" s="43"/>
      <c r="EU3" s="43"/>
      <c r="EV3" s="43"/>
      <c r="EW3" s="43"/>
      <c r="EX3" s="43"/>
      <c r="EY3" s="43"/>
      <c r="EZ3" s="43"/>
      <c r="FA3" s="43"/>
      <c r="FB3" s="43"/>
      <c r="FC3" s="43"/>
      <c r="FD3" s="43"/>
      <c r="FE3" s="43"/>
      <c r="FF3" s="43"/>
      <c r="FG3" s="43"/>
      <c r="FH3" s="43"/>
      <c r="FI3" s="43"/>
      <c r="FJ3" s="43"/>
      <c r="FK3" s="43"/>
      <c r="FL3" s="43"/>
      <c r="FM3" s="43"/>
      <c r="FN3" s="43"/>
      <c r="FO3" s="43"/>
      <c r="FP3" s="43"/>
      <c r="FQ3" s="43"/>
      <c r="FR3" s="43"/>
      <c r="FS3" s="43"/>
      <c r="FT3" s="43"/>
      <c r="FU3" s="43"/>
      <c r="FV3" s="43"/>
      <c r="FW3" s="43"/>
      <c r="FX3" s="43"/>
      <c r="FY3" s="43"/>
      <c r="FZ3" s="43"/>
      <c r="GA3" s="43"/>
      <c r="GB3" s="43"/>
      <c r="GC3" s="43"/>
      <c r="GD3" s="43"/>
      <c r="GE3" s="43"/>
      <c r="GF3" s="43"/>
      <c r="GG3" s="43"/>
      <c r="GH3" s="43"/>
      <c r="GI3" s="43"/>
      <c r="GJ3" s="43"/>
      <c r="GK3" s="43"/>
      <c r="GL3" s="43"/>
      <c r="GM3" s="43"/>
      <c r="GN3" s="43"/>
      <c r="GO3" s="43"/>
      <c r="GP3" s="43"/>
      <c r="GQ3" s="43"/>
      <c r="GR3" s="43"/>
      <c r="GS3" s="43"/>
      <c r="GT3" s="43"/>
      <c r="GU3" s="43"/>
      <c r="GV3" s="43"/>
      <c r="GW3" s="43"/>
      <c r="GX3" s="43"/>
      <c r="GY3" s="43"/>
      <c r="GZ3" s="43"/>
      <c r="HA3" s="43"/>
      <c r="HB3" s="43"/>
      <c r="HC3" s="43"/>
      <c r="HD3" s="43"/>
      <c r="HE3" s="43"/>
      <c r="HF3" s="43"/>
      <c r="HG3" s="43"/>
      <c r="HH3" s="43"/>
      <c r="HI3" s="43"/>
      <c r="HJ3" s="43"/>
      <c r="HK3" s="43"/>
      <c r="HL3" s="43"/>
      <c r="HM3" s="43"/>
      <c r="HN3" s="43"/>
      <c r="HO3" s="43"/>
      <c r="HP3" s="43"/>
      <c r="HQ3" s="43"/>
      <c r="HR3" s="43"/>
      <c r="HS3" s="43"/>
      <c r="HT3" s="43"/>
      <c r="HU3" s="43"/>
      <c r="HV3" s="43"/>
      <c r="HW3" s="43"/>
      <c r="HX3" s="43"/>
      <c r="HY3" s="43"/>
      <c r="HZ3" s="43"/>
      <c r="IA3" s="43"/>
      <c r="IB3" s="43"/>
      <c r="IC3" s="43"/>
      <c r="ID3" s="43"/>
      <c r="IE3" s="43"/>
      <c r="IF3" s="43"/>
      <c r="IG3" s="43"/>
      <c r="IH3" s="43"/>
      <c r="II3" s="43"/>
      <c r="IJ3" s="43"/>
      <c r="IK3" s="43"/>
      <c r="IL3" s="43"/>
      <c r="IM3" s="43"/>
      <c r="IN3" s="43"/>
      <c r="IO3" s="43"/>
      <c r="IP3" s="43"/>
      <c r="IQ3" s="43"/>
      <c r="IR3" s="43"/>
      <c r="IS3" s="43"/>
      <c r="IT3" s="43"/>
      <c r="IU3" s="43"/>
      <c r="IV3" s="43"/>
      <c r="IW3" s="43"/>
      <c r="IX3" s="43"/>
      <c r="IY3" s="43"/>
      <c r="IZ3" s="43"/>
      <c r="JA3" s="43"/>
      <c r="JB3" s="43"/>
      <c r="JC3" s="43"/>
      <c r="JD3" s="43"/>
      <c r="JE3" s="43"/>
      <c r="JF3" s="43"/>
      <c r="JG3" s="43"/>
      <c r="JH3" s="43"/>
      <c r="JI3" s="43"/>
      <c r="JJ3" s="43"/>
      <c r="JK3" s="43"/>
      <c r="JL3" s="43"/>
      <c r="JM3" s="43"/>
      <c r="JN3" s="43"/>
      <c r="JO3" s="43"/>
      <c r="JP3" s="43"/>
      <c r="JQ3" s="43"/>
      <c r="JR3" s="43"/>
      <c r="JS3" s="43"/>
      <c r="JT3" s="43"/>
      <c r="JU3" s="43"/>
      <c r="JV3" s="43"/>
      <c r="JW3" s="43"/>
      <c r="JX3" s="43"/>
      <c r="JY3" s="43"/>
      <c r="JZ3" s="43"/>
      <c r="KA3" s="43"/>
      <c r="KB3" s="43"/>
      <c r="KC3" s="43"/>
      <c r="KD3" s="43"/>
      <c r="KE3" s="43"/>
      <c r="KF3" s="43"/>
      <c r="KG3" s="43"/>
      <c r="KH3" s="43"/>
      <c r="KI3" s="43"/>
      <c r="KJ3" s="43"/>
      <c r="KK3" s="43"/>
      <c r="KL3" s="43"/>
      <c r="KM3" s="43"/>
      <c r="KN3" s="43"/>
      <c r="KO3" s="43"/>
      <c r="KP3" s="43"/>
      <c r="KQ3" s="43"/>
      <c r="KR3" s="43"/>
      <c r="KS3" s="43"/>
      <c r="KT3" s="43"/>
      <c r="KU3" s="43"/>
      <c r="KV3" s="43"/>
      <c r="KW3" s="43"/>
      <c r="KX3" s="43"/>
      <c r="KY3" s="43"/>
      <c r="KZ3" s="43"/>
      <c r="LA3" s="43"/>
      <c r="LB3" s="43"/>
      <c r="LC3" s="43"/>
      <c r="LD3" s="43"/>
      <c r="LE3" s="43"/>
      <c r="LF3" s="43"/>
      <c r="LG3" s="43"/>
      <c r="LH3" s="43"/>
      <c r="LI3" s="43"/>
      <c r="LJ3" s="43"/>
      <c r="LK3" s="43"/>
      <c r="LL3" s="43"/>
      <c r="LM3" s="43"/>
      <c r="LN3" s="43"/>
      <c r="LO3" s="43"/>
      <c r="LP3" s="43"/>
      <c r="LQ3" s="43"/>
      <c r="LR3" s="43"/>
      <c r="LS3" s="43"/>
      <c r="LT3" s="43"/>
      <c r="LU3" s="43"/>
      <c r="LV3" s="43"/>
      <c r="LW3" s="43"/>
      <c r="LX3" s="43"/>
      <c r="LY3" s="43"/>
      <c r="LZ3" s="43"/>
      <c r="MA3" s="43"/>
      <c r="MB3" s="43"/>
      <c r="MC3" s="43"/>
      <c r="MD3" s="43"/>
      <c r="ME3" s="43"/>
      <c r="MF3" s="43"/>
      <c r="MG3" s="43"/>
      <c r="MH3" s="43"/>
      <c r="MI3" s="43"/>
      <c r="MJ3" s="43"/>
      <c r="MK3" s="43"/>
      <c r="ML3" s="43"/>
      <c r="MM3" s="43"/>
      <c r="MN3" s="43"/>
      <c r="MO3" s="43"/>
      <c r="MP3" s="43"/>
      <c r="MQ3" s="43"/>
      <c r="MR3" s="43"/>
      <c r="MS3" s="43"/>
      <c r="MT3" s="43"/>
      <c r="MU3" s="43"/>
      <c r="MV3" s="43"/>
      <c r="MW3" s="43"/>
      <c r="MX3" s="43"/>
      <c r="MY3" s="43"/>
      <c r="MZ3" s="43"/>
      <c r="NA3" s="43"/>
      <c r="NB3" s="43"/>
      <c r="NC3" s="43"/>
      <c r="ND3" s="43"/>
      <c r="NE3" s="43"/>
      <c r="NF3" s="43"/>
      <c r="NG3" s="43"/>
      <c r="NH3" s="43"/>
      <c r="NI3" s="43"/>
      <c r="NJ3" s="43"/>
      <c r="NK3" s="43"/>
      <c r="NL3" s="43"/>
      <c r="NM3" s="43"/>
      <c r="NN3" s="43"/>
      <c r="NO3" s="43"/>
      <c r="NP3" s="43"/>
      <c r="NQ3" s="43"/>
      <c r="NR3" s="43"/>
      <c r="NS3" s="43"/>
      <c r="NT3" s="43"/>
      <c r="NU3" s="43"/>
      <c r="NV3" s="43"/>
      <c r="NW3" s="43"/>
      <c r="NX3" s="43"/>
      <c r="NY3" s="43"/>
      <c r="NZ3" s="43"/>
      <c r="OA3" s="43"/>
      <c r="OB3" s="43"/>
      <c r="OC3" s="43"/>
      <c r="OD3" s="43"/>
      <c r="OE3" s="43"/>
      <c r="OF3" s="43"/>
      <c r="OG3" s="43"/>
      <c r="OH3" s="43"/>
      <c r="OI3" s="43"/>
      <c r="OJ3" s="43"/>
      <c r="OK3" s="43"/>
      <c r="OL3" s="43"/>
      <c r="OM3" s="43"/>
      <c r="ON3" s="43"/>
      <c r="OO3" s="43"/>
      <c r="OP3" s="43"/>
      <c r="OQ3" s="43"/>
      <c r="OR3" s="43"/>
      <c r="OS3" s="43"/>
      <c r="OT3" s="43"/>
      <c r="OU3" s="43"/>
      <c r="OV3" s="43"/>
      <c r="OW3" s="43"/>
      <c r="OX3" s="43"/>
      <c r="OY3" s="43"/>
      <c r="OZ3" s="43"/>
      <c r="PA3" s="43"/>
      <c r="PB3" s="43"/>
      <c r="PC3" s="43"/>
      <c r="PD3" s="43"/>
      <c r="PE3" s="43"/>
      <c r="PF3" s="43"/>
      <c r="PG3" s="43"/>
      <c r="PH3" s="43"/>
      <c r="PI3" s="43"/>
      <c r="PJ3" s="43"/>
      <c r="PK3" s="43"/>
      <c r="PL3" s="43"/>
      <c r="PM3" s="43"/>
      <c r="PN3" s="43"/>
      <c r="PO3" s="43"/>
      <c r="PP3" s="43"/>
      <c r="PQ3" s="43"/>
      <c r="PR3" s="43"/>
      <c r="PS3" s="43"/>
      <c r="PT3" s="43"/>
      <c r="PU3" s="43"/>
      <c r="PV3" s="43"/>
      <c r="PW3" s="43"/>
      <c r="PX3" s="43"/>
      <c r="PY3" s="43"/>
      <c r="PZ3" s="43"/>
      <c r="QA3" s="43"/>
      <c r="QB3" s="43"/>
      <c r="QC3" s="43"/>
    </row>
    <row r="4" spans="1:445" s="47" customFormat="1" ht="16.5" customHeight="1" x14ac:dyDescent="0.3">
      <c r="A4" s="44" t="s">
        <v>99</v>
      </c>
      <c r="B4" s="45" t="s">
        <v>73</v>
      </c>
      <c r="C4" s="45" t="s">
        <v>113</v>
      </c>
      <c r="D4" s="45" t="s">
        <v>75</v>
      </c>
      <c r="E4" s="45">
        <v>40</v>
      </c>
      <c r="F4" s="45">
        <v>1800</v>
      </c>
      <c r="G4" s="45"/>
      <c r="H4" s="45">
        <v>200</v>
      </c>
      <c r="I4" s="45">
        <v>200</v>
      </c>
      <c r="J4" s="45">
        <v>200</v>
      </c>
      <c r="K4" s="45">
        <v>200</v>
      </c>
      <c r="L4" s="45">
        <v>200</v>
      </c>
      <c r="M4" s="45">
        <v>200</v>
      </c>
      <c r="N4" s="45">
        <v>200</v>
      </c>
      <c r="O4" s="45">
        <v>200</v>
      </c>
      <c r="P4" s="45">
        <v>200</v>
      </c>
      <c r="Q4" s="45"/>
      <c r="R4" s="45"/>
      <c r="S4" s="45"/>
      <c r="T4" s="46">
        <f t="shared" ref="T4:T67" si="2">IF(AND(ISBLANK(E4),ISBLANK(F4),ISBLANK(G4),ISBLANK(H4),ISBLANK(I4),ISBLANK(J4),ISBLANK(K4), ISBLANK(L4), ISBLANK(M4), ISBLANK(N4), ISBLANK(O4), ISBLANK(P4), ISBLANK(Q4), ISBLANK(R4), ISBLANK(S4)),"",SUM(G4:S4))</f>
        <v>1800</v>
      </c>
      <c r="U4" s="46">
        <f t="shared" ref="U4:U67" si="3">IF(W4&lt;&gt;0,0,IF(AND(ISBLANK(F4),ISBLANK(G4),ISBLANK(H4),ISBLANK(I4),ISBLANK(J4),ISBLANK(K4), ISBLANK(L4), ISBLANK(M4), ISBLANK(N4), ISBLANK(O4), ISBLANK(P4), ISBLANK(Q4), ISBLANK(R4), ISBLANK(S4)),"", F4-T4))</f>
        <v>0</v>
      </c>
      <c r="V4" s="72">
        <f t="shared" ref="V4:V67" si="4">IF(AND(ISBLANK(E4),ISBLANK(F4), ISBLANK(G4), ISBLANK(H4), ISBLANK(I4), ISBLANK(J4), ISBLANK(K4), ISBLANK(L4), ISBLANK(M4),ISBLANK(N4), ISBLANK(O4), ISBLANK(P4), ISBLANK(Q4), ISBLANK(R4), ISBLANK(S4)), "",IFERROR(((F4+E4)-U4)/F4,""))</f>
        <v>1.0222222222222221</v>
      </c>
      <c r="W4" s="51"/>
      <c r="X4" s="73" t="str">
        <f t="shared" ref="X4:X35" si="5">IF(W4&lt;&gt;"",F4 - (SUM(G4:S4)),"")</f>
        <v/>
      </c>
    </row>
    <row r="5" spans="1:445" s="47" customFormat="1" ht="15.75" x14ac:dyDescent="0.25">
      <c r="A5" s="47" t="s">
        <v>118</v>
      </c>
      <c r="B5" s="45" t="s">
        <v>73</v>
      </c>
      <c r="C5" s="45" t="s">
        <v>106</v>
      </c>
      <c r="D5" s="45" t="s">
        <v>77</v>
      </c>
      <c r="E5" s="45">
        <v>25</v>
      </c>
      <c r="F5" s="45">
        <v>1020</v>
      </c>
      <c r="G5" s="45"/>
      <c r="H5" s="45">
        <v>60</v>
      </c>
      <c r="I5" s="45">
        <v>120</v>
      </c>
      <c r="J5" s="45">
        <v>120</v>
      </c>
      <c r="K5" s="45">
        <v>120</v>
      </c>
      <c r="L5" s="45">
        <v>120</v>
      </c>
      <c r="M5" s="45">
        <v>120</v>
      </c>
      <c r="N5" s="45">
        <v>120</v>
      </c>
      <c r="O5" s="45">
        <v>120</v>
      </c>
      <c r="P5" s="45">
        <v>120</v>
      </c>
      <c r="Q5" s="45"/>
      <c r="R5" s="45"/>
      <c r="S5" s="45"/>
      <c r="T5" s="46">
        <f t="shared" si="2"/>
        <v>1020</v>
      </c>
      <c r="U5" s="46">
        <f t="shared" si="3"/>
        <v>0</v>
      </c>
      <c r="V5" s="72">
        <f t="shared" si="4"/>
        <v>1.0245098039215685</v>
      </c>
      <c r="W5" s="48"/>
      <c r="X5" s="73" t="str">
        <f t="shared" si="5"/>
        <v/>
      </c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  <c r="EA5" s="43"/>
      <c r="EB5" s="43"/>
      <c r="EC5" s="43"/>
      <c r="ED5" s="43"/>
      <c r="EE5" s="43"/>
      <c r="EF5" s="43"/>
      <c r="EG5" s="43"/>
      <c r="EH5" s="43"/>
      <c r="EI5" s="43"/>
      <c r="EJ5" s="43"/>
      <c r="EK5" s="43"/>
      <c r="EL5" s="43"/>
      <c r="EM5" s="43"/>
      <c r="EN5" s="43"/>
      <c r="EO5" s="43"/>
      <c r="EP5" s="43"/>
      <c r="EQ5" s="43"/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43"/>
      <c r="FI5" s="43"/>
      <c r="FJ5" s="43"/>
      <c r="FK5" s="43"/>
      <c r="FL5" s="43"/>
      <c r="FM5" s="43"/>
      <c r="FN5" s="43"/>
      <c r="FO5" s="43"/>
      <c r="FP5" s="43"/>
      <c r="FQ5" s="43"/>
      <c r="FR5" s="43"/>
      <c r="FS5" s="43"/>
      <c r="FT5" s="43"/>
      <c r="FU5" s="43"/>
      <c r="FV5" s="43"/>
      <c r="FW5" s="43"/>
      <c r="FX5" s="43"/>
      <c r="FY5" s="43"/>
      <c r="FZ5" s="43"/>
      <c r="GA5" s="43"/>
      <c r="GB5" s="43"/>
      <c r="GC5" s="43"/>
      <c r="GD5" s="43"/>
      <c r="GE5" s="43"/>
      <c r="GF5" s="43"/>
      <c r="GG5" s="43"/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43"/>
      <c r="GY5" s="43"/>
      <c r="GZ5" s="43"/>
      <c r="HA5" s="43"/>
      <c r="HB5" s="43"/>
      <c r="HC5" s="43"/>
      <c r="HD5" s="43"/>
      <c r="HE5" s="43"/>
      <c r="HF5" s="43"/>
      <c r="HG5" s="43"/>
      <c r="HH5" s="43"/>
      <c r="HI5" s="43"/>
      <c r="HJ5" s="43"/>
      <c r="HK5" s="43"/>
      <c r="HL5" s="43"/>
      <c r="HM5" s="43"/>
      <c r="HN5" s="43"/>
      <c r="HO5" s="43"/>
      <c r="HP5" s="43"/>
      <c r="HQ5" s="43"/>
      <c r="HR5" s="43"/>
      <c r="HS5" s="43"/>
      <c r="HT5" s="43"/>
      <c r="HU5" s="43"/>
      <c r="HV5" s="43"/>
      <c r="HW5" s="43"/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43"/>
      <c r="IO5" s="43"/>
      <c r="IP5" s="43"/>
      <c r="IQ5" s="43"/>
      <c r="IR5" s="43"/>
      <c r="IS5" s="43"/>
      <c r="IT5" s="43"/>
      <c r="IU5" s="43"/>
      <c r="IV5" s="43"/>
      <c r="IW5" s="43"/>
      <c r="IX5" s="43"/>
      <c r="IY5" s="43"/>
      <c r="IZ5" s="43"/>
      <c r="JA5" s="43"/>
      <c r="JB5" s="43"/>
      <c r="JC5" s="43"/>
      <c r="JD5" s="43"/>
      <c r="JE5" s="43"/>
      <c r="JF5" s="43"/>
      <c r="JG5" s="43"/>
      <c r="JH5" s="43"/>
      <c r="JI5" s="43"/>
      <c r="JJ5" s="43"/>
      <c r="JK5" s="43"/>
      <c r="JL5" s="43"/>
      <c r="JM5" s="43"/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43"/>
      <c r="KE5" s="43"/>
      <c r="KF5" s="43"/>
      <c r="KG5" s="43"/>
      <c r="KH5" s="43"/>
      <c r="KI5" s="43"/>
      <c r="KJ5" s="43"/>
      <c r="KK5" s="43"/>
      <c r="KL5" s="43"/>
      <c r="KM5" s="43"/>
      <c r="KN5" s="43"/>
      <c r="KO5" s="43"/>
      <c r="KP5" s="43"/>
      <c r="KQ5" s="43"/>
      <c r="KR5" s="43"/>
      <c r="KS5" s="43"/>
      <c r="KT5" s="43"/>
      <c r="KU5" s="43"/>
      <c r="KV5" s="43"/>
      <c r="KW5" s="43"/>
      <c r="KX5" s="43"/>
      <c r="KY5" s="43"/>
      <c r="KZ5" s="43"/>
      <c r="LA5" s="43"/>
      <c r="LB5" s="43"/>
      <c r="LC5" s="43"/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43"/>
      <c r="LU5" s="43"/>
      <c r="LV5" s="43"/>
      <c r="LW5" s="43"/>
      <c r="LX5" s="43"/>
      <c r="LY5" s="43"/>
      <c r="LZ5" s="43"/>
      <c r="MA5" s="43"/>
      <c r="MB5" s="43"/>
      <c r="MC5" s="43"/>
      <c r="MD5" s="43"/>
      <c r="ME5" s="43"/>
      <c r="MF5" s="43"/>
      <c r="MG5" s="43"/>
      <c r="MH5" s="43"/>
      <c r="MI5" s="43"/>
      <c r="MJ5" s="43"/>
      <c r="MK5" s="43"/>
      <c r="ML5" s="43"/>
      <c r="MM5" s="43"/>
      <c r="MN5" s="43"/>
      <c r="MO5" s="43"/>
      <c r="MP5" s="43"/>
      <c r="MQ5" s="43"/>
      <c r="MR5" s="43"/>
      <c r="MS5" s="43"/>
      <c r="MT5" s="43"/>
      <c r="MU5" s="43"/>
      <c r="MV5" s="43"/>
      <c r="MW5" s="43"/>
      <c r="MX5" s="43"/>
      <c r="MY5" s="43"/>
      <c r="MZ5" s="43"/>
      <c r="NA5" s="43"/>
      <c r="NB5" s="43"/>
      <c r="NC5" s="43"/>
      <c r="ND5" s="43"/>
      <c r="NE5" s="43"/>
      <c r="NF5" s="43"/>
      <c r="NG5" s="43"/>
      <c r="NH5" s="43"/>
      <c r="NI5" s="43"/>
      <c r="NJ5" s="43"/>
      <c r="NK5" s="43"/>
      <c r="NL5" s="43"/>
      <c r="NM5" s="43"/>
      <c r="NN5" s="43"/>
      <c r="NO5" s="43"/>
      <c r="NP5" s="43"/>
      <c r="NQ5" s="43"/>
      <c r="NR5" s="43"/>
      <c r="NS5" s="43"/>
      <c r="NT5" s="43"/>
      <c r="NU5" s="43"/>
      <c r="NV5" s="43"/>
      <c r="NW5" s="43"/>
      <c r="NX5" s="43"/>
      <c r="NY5" s="43"/>
      <c r="NZ5" s="43"/>
      <c r="OA5" s="43"/>
      <c r="OB5" s="43"/>
      <c r="OC5" s="43"/>
      <c r="OD5" s="43"/>
      <c r="OE5" s="43"/>
      <c r="OF5" s="43"/>
      <c r="OG5" s="43"/>
      <c r="OH5" s="43"/>
      <c r="OI5" s="43"/>
      <c r="OJ5" s="43"/>
      <c r="OK5" s="43"/>
      <c r="OL5" s="43"/>
      <c r="OM5" s="43"/>
      <c r="ON5" s="43"/>
      <c r="OO5" s="43"/>
      <c r="OP5" s="43"/>
      <c r="OQ5" s="43"/>
      <c r="OR5" s="43"/>
      <c r="OS5" s="43"/>
      <c r="OT5" s="43"/>
      <c r="OU5" s="43"/>
      <c r="OV5" s="43"/>
      <c r="OW5" s="43"/>
      <c r="OX5" s="43"/>
      <c r="OY5" s="43"/>
      <c r="OZ5" s="43"/>
      <c r="PA5" s="43"/>
      <c r="PB5" s="43"/>
      <c r="PC5" s="43"/>
      <c r="PD5" s="43"/>
      <c r="PE5" s="43"/>
      <c r="PF5" s="43"/>
      <c r="PG5" s="43"/>
      <c r="PH5" s="43"/>
      <c r="PI5" s="43"/>
      <c r="PJ5" s="43"/>
      <c r="PK5" s="43"/>
      <c r="PL5" s="43"/>
      <c r="PM5" s="43"/>
      <c r="PN5" s="43"/>
      <c r="PO5" s="43"/>
      <c r="PP5" s="43"/>
      <c r="PQ5" s="43"/>
      <c r="PR5" s="43"/>
      <c r="PS5" s="43"/>
      <c r="PT5" s="43"/>
      <c r="PU5" s="43"/>
      <c r="PV5" s="43"/>
      <c r="PW5" s="43"/>
      <c r="PX5" s="43"/>
      <c r="PY5" s="43"/>
      <c r="PZ5" s="43"/>
      <c r="QA5" s="43"/>
      <c r="QB5" s="43"/>
      <c r="QC5" s="43"/>
    </row>
    <row r="6" spans="1:445" x14ac:dyDescent="0.3">
      <c r="A6" s="47" t="s">
        <v>117</v>
      </c>
      <c r="B6" s="45" t="s">
        <v>73</v>
      </c>
      <c r="C6" s="45" t="s">
        <v>119</v>
      </c>
      <c r="D6" s="45" t="s">
        <v>77</v>
      </c>
      <c r="E6" s="45">
        <v>25</v>
      </c>
      <c r="F6" s="45">
        <v>1020</v>
      </c>
      <c r="G6" s="45"/>
      <c r="H6" s="45">
        <v>60</v>
      </c>
      <c r="I6" s="45">
        <v>120</v>
      </c>
      <c r="J6" s="45">
        <v>120</v>
      </c>
      <c r="K6" s="45">
        <v>120</v>
      </c>
      <c r="L6" s="45">
        <v>120</v>
      </c>
      <c r="M6" s="45">
        <v>120</v>
      </c>
      <c r="N6" s="45">
        <v>120</v>
      </c>
      <c r="O6" s="45">
        <v>120</v>
      </c>
      <c r="P6" s="45">
        <v>120</v>
      </c>
      <c r="Q6" s="45"/>
      <c r="R6" s="45"/>
      <c r="S6" s="45"/>
      <c r="T6" s="46">
        <f t="shared" si="2"/>
        <v>1020</v>
      </c>
      <c r="U6" s="46">
        <f t="shared" si="3"/>
        <v>0</v>
      </c>
      <c r="V6" s="72">
        <f t="shared" si="4"/>
        <v>1.0245098039215685</v>
      </c>
      <c r="W6" s="48"/>
      <c r="X6" s="73" t="str">
        <f t="shared" si="5"/>
        <v/>
      </c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  <c r="CU6" s="43"/>
      <c r="CV6" s="43"/>
      <c r="CW6" s="43"/>
      <c r="CX6" s="43"/>
      <c r="CY6" s="43"/>
      <c r="CZ6" s="43"/>
      <c r="DA6" s="43"/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  <c r="EJ6" s="43"/>
      <c r="EK6" s="43"/>
      <c r="EL6" s="43"/>
      <c r="EM6" s="43"/>
      <c r="EN6" s="43"/>
      <c r="EO6" s="43"/>
      <c r="EP6" s="43"/>
      <c r="EQ6" s="43"/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43"/>
      <c r="FI6" s="43"/>
      <c r="FJ6" s="43"/>
      <c r="FK6" s="43"/>
      <c r="FL6" s="43"/>
      <c r="FM6" s="43"/>
      <c r="FN6" s="43"/>
      <c r="FO6" s="43"/>
      <c r="FP6" s="43"/>
      <c r="FQ6" s="43"/>
      <c r="FR6" s="43"/>
      <c r="FS6" s="43"/>
      <c r="FT6" s="43"/>
      <c r="FU6" s="43"/>
      <c r="FV6" s="43"/>
      <c r="FW6" s="43"/>
      <c r="FX6" s="43"/>
      <c r="FY6" s="43"/>
      <c r="FZ6" s="43"/>
      <c r="GA6" s="43"/>
      <c r="GB6" s="43"/>
      <c r="GC6" s="43"/>
      <c r="GD6" s="43"/>
      <c r="GE6" s="43"/>
      <c r="GF6" s="43"/>
      <c r="GG6" s="43"/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43"/>
      <c r="GY6" s="43"/>
      <c r="GZ6" s="43"/>
      <c r="HA6" s="43"/>
      <c r="HB6" s="43"/>
      <c r="HC6" s="43"/>
      <c r="HD6" s="43"/>
      <c r="HE6" s="43"/>
      <c r="HF6" s="43"/>
      <c r="HG6" s="43"/>
      <c r="HH6" s="43"/>
      <c r="HI6" s="43"/>
      <c r="HJ6" s="43"/>
      <c r="HK6" s="43"/>
      <c r="HL6" s="43"/>
      <c r="HM6" s="43"/>
      <c r="HN6" s="43"/>
      <c r="HO6" s="43"/>
      <c r="HP6" s="43"/>
      <c r="HQ6" s="43"/>
      <c r="HR6" s="43"/>
      <c r="HS6" s="43"/>
      <c r="HT6" s="43"/>
      <c r="HU6" s="43"/>
      <c r="HV6" s="43"/>
      <c r="HW6" s="43"/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43"/>
      <c r="IO6" s="43"/>
      <c r="IP6" s="43"/>
      <c r="IQ6" s="43"/>
      <c r="IR6" s="43"/>
      <c r="IS6" s="43"/>
      <c r="IT6" s="43"/>
      <c r="IU6" s="43"/>
      <c r="IV6" s="43"/>
      <c r="IW6" s="43"/>
      <c r="IX6" s="43"/>
      <c r="IY6" s="43"/>
      <c r="IZ6" s="43"/>
      <c r="JA6" s="43"/>
      <c r="JB6" s="43"/>
      <c r="JC6" s="43"/>
      <c r="JD6" s="43"/>
      <c r="JE6" s="43"/>
      <c r="JF6" s="43"/>
      <c r="JG6" s="43"/>
      <c r="JH6" s="43"/>
      <c r="JI6" s="43"/>
      <c r="JJ6" s="43"/>
      <c r="JK6" s="43"/>
      <c r="JL6" s="43"/>
      <c r="JM6" s="43"/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43"/>
      <c r="KE6" s="43"/>
      <c r="KF6" s="43"/>
      <c r="KG6" s="43"/>
      <c r="KH6" s="43"/>
      <c r="KI6" s="43"/>
      <c r="KJ6" s="43"/>
      <c r="KK6" s="43"/>
      <c r="KL6" s="43"/>
      <c r="KM6" s="43"/>
      <c r="KN6" s="43"/>
      <c r="KO6" s="43"/>
      <c r="KP6" s="43"/>
      <c r="KQ6" s="43"/>
      <c r="KR6" s="43"/>
      <c r="KS6" s="43"/>
      <c r="KT6" s="43"/>
      <c r="KU6" s="43"/>
      <c r="KV6" s="43"/>
      <c r="KW6" s="43"/>
      <c r="KX6" s="43"/>
      <c r="KY6" s="43"/>
      <c r="KZ6" s="43"/>
      <c r="LA6" s="43"/>
      <c r="LB6" s="43"/>
      <c r="LC6" s="43"/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43"/>
      <c r="LU6" s="43"/>
      <c r="LV6" s="43"/>
      <c r="LW6" s="43"/>
      <c r="LX6" s="43"/>
      <c r="LY6" s="43"/>
      <c r="LZ6" s="43"/>
      <c r="MA6" s="43"/>
      <c r="MB6" s="43"/>
      <c r="MC6" s="43"/>
      <c r="MD6" s="43"/>
      <c r="ME6" s="43"/>
      <c r="MF6" s="43"/>
      <c r="MG6" s="43"/>
      <c r="MH6" s="43"/>
      <c r="MI6" s="43"/>
      <c r="MJ6" s="43"/>
      <c r="MK6" s="43"/>
      <c r="ML6" s="43"/>
      <c r="MM6" s="43"/>
      <c r="MN6" s="43"/>
      <c r="MO6" s="43"/>
      <c r="MP6" s="43"/>
      <c r="MQ6" s="43"/>
      <c r="MR6" s="43"/>
      <c r="MS6" s="43"/>
      <c r="MT6" s="43"/>
      <c r="MU6" s="43"/>
      <c r="MV6" s="43"/>
      <c r="MW6" s="43"/>
      <c r="MX6" s="43"/>
      <c r="MY6" s="43"/>
      <c r="MZ6" s="43"/>
      <c r="NA6" s="43"/>
      <c r="NB6" s="43"/>
      <c r="NC6" s="43"/>
      <c r="ND6" s="43"/>
      <c r="NE6" s="43"/>
      <c r="NF6" s="43"/>
      <c r="NG6" s="43"/>
      <c r="NH6" s="43"/>
      <c r="NI6" s="43"/>
      <c r="NJ6" s="43"/>
      <c r="NK6" s="43"/>
      <c r="NL6" s="43"/>
      <c r="NM6" s="43"/>
      <c r="NN6" s="43"/>
      <c r="NO6" s="43"/>
      <c r="NP6" s="43"/>
      <c r="NQ6" s="43"/>
      <c r="NR6" s="43"/>
      <c r="NS6" s="43"/>
      <c r="NT6" s="43"/>
      <c r="NU6" s="43"/>
      <c r="NV6" s="43"/>
      <c r="NW6" s="43"/>
      <c r="NX6" s="43"/>
      <c r="NY6" s="43"/>
      <c r="NZ6" s="43"/>
      <c r="OA6" s="43"/>
      <c r="OB6" s="43"/>
      <c r="OC6" s="43"/>
      <c r="OD6" s="43"/>
      <c r="OE6" s="43"/>
      <c r="OF6" s="43"/>
      <c r="OG6" s="43"/>
      <c r="OH6" s="43"/>
      <c r="OI6" s="43"/>
      <c r="OJ6" s="43"/>
      <c r="OK6" s="43"/>
      <c r="OL6" s="43"/>
      <c r="OM6" s="43"/>
      <c r="ON6" s="43"/>
      <c r="OO6" s="43"/>
      <c r="OP6" s="43"/>
      <c r="OQ6" s="43"/>
      <c r="OR6" s="43"/>
      <c r="OS6" s="43"/>
      <c r="OT6" s="43"/>
      <c r="OU6" s="43"/>
      <c r="OV6" s="43"/>
      <c r="OW6" s="43"/>
      <c r="OX6" s="43"/>
      <c r="OY6" s="43"/>
      <c r="OZ6" s="43"/>
      <c r="PA6" s="43"/>
      <c r="PB6" s="43"/>
      <c r="PC6" s="43"/>
      <c r="PD6" s="43"/>
      <c r="PE6" s="43"/>
      <c r="PF6" s="43"/>
      <c r="PG6" s="43"/>
      <c r="PH6" s="43"/>
      <c r="PI6" s="43"/>
      <c r="PJ6" s="43"/>
      <c r="PK6" s="43"/>
      <c r="PL6" s="43"/>
      <c r="PM6" s="43"/>
      <c r="PN6" s="43"/>
      <c r="PO6" s="43"/>
      <c r="PP6" s="43"/>
      <c r="PQ6" s="43"/>
      <c r="PR6" s="43"/>
      <c r="PS6" s="43"/>
      <c r="PT6" s="43"/>
      <c r="PU6" s="43"/>
      <c r="PV6" s="43"/>
      <c r="PW6" s="43"/>
      <c r="PX6" s="43"/>
      <c r="PY6" s="43"/>
      <c r="PZ6" s="43"/>
      <c r="QA6" s="43"/>
      <c r="QB6" s="43"/>
      <c r="QC6" s="43"/>
    </row>
    <row r="7" spans="1:445" x14ac:dyDescent="0.3">
      <c r="A7" s="47" t="s">
        <v>91</v>
      </c>
      <c r="B7" s="45" t="s">
        <v>73</v>
      </c>
      <c r="C7" s="45" t="s">
        <v>110</v>
      </c>
      <c r="D7" s="45" t="s">
        <v>75</v>
      </c>
      <c r="E7" s="45">
        <v>60</v>
      </c>
      <c r="F7" s="45">
        <v>1620</v>
      </c>
      <c r="G7" s="45"/>
      <c r="H7" s="45">
        <v>90</v>
      </c>
      <c r="I7" s="45">
        <v>180</v>
      </c>
      <c r="J7" s="45">
        <v>180</v>
      </c>
      <c r="K7" s="45">
        <v>180</v>
      </c>
      <c r="L7" s="45">
        <v>180</v>
      </c>
      <c r="M7" s="45">
        <v>180</v>
      </c>
      <c r="N7" s="45">
        <v>180</v>
      </c>
      <c r="O7" s="45">
        <v>180</v>
      </c>
      <c r="P7" s="45">
        <v>180</v>
      </c>
      <c r="Q7" s="45">
        <v>90</v>
      </c>
      <c r="R7" s="45"/>
      <c r="S7" s="45"/>
      <c r="T7" s="46">
        <f t="shared" si="2"/>
        <v>1620</v>
      </c>
      <c r="U7" s="46">
        <f t="shared" si="3"/>
        <v>0</v>
      </c>
      <c r="V7" s="72">
        <f t="shared" si="4"/>
        <v>1.037037037037037</v>
      </c>
      <c r="X7" s="73" t="str">
        <f t="shared" si="5"/>
        <v/>
      </c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/>
      <c r="CS7" s="43"/>
      <c r="CT7" s="43"/>
      <c r="CU7" s="43"/>
      <c r="CV7" s="43"/>
      <c r="CW7" s="43"/>
      <c r="CX7" s="43"/>
      <c r="CY7" s="43"/>
      <c r="CZ7" s="43"/>
      <c r="DA7" s="43"/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43"/>
      <c r="DS7" s="43"/>
      <c r="DT7" s="43"/>
      <c r="DU7" s="43"/>
      <c r="DV7" s="43"/>
      <c r="DW7" s="43"/>
      <c r="DX7" s="43"/>
      <c r="DY7" s="43"/>
      <c r="DZ7" s="43"/>
      <c r="EA7" s="43"/>
      <c r="EB7" s="43"/>
      <c r="EC7" s="43"/>
      <c r="ED7" s="43"/>
      <c r="EE7" s="43"/>
      <c r="EF7" s="43"/>
      <c r="EG7" s="43"/>
      <c r="EH7" s="43"/>
      <c r="EI7" s="43"/>
      <c r="EJ7" s="43"/>
      <c r="EK7" s="43"/>
      <c r="EL7" s="43"/>
      <c r="EM7" s="43"/>
      <c r="EN7" s="43"/>
      <c r="EO7" s="43"/>
      <c r="EP7" s="43"/>
      <c r="EQ7" s="43"/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43"/>
      <c r="FI7" s="43"/>
      <c r="FJ7" s="43"/>
      <c r="FK7" s="43"/>
      <c r="FL7" s="43"/>
      <c r="FM7" s="43"/>
      <c r="FN7" s="43"/>
      <c r="FO7" s="43"/>
      <c r="FP7" s="43"/>
      <c r="FQ7" s="43"/>
      <c r="FR7" s="43"/>
      <c r="FS7" s="43"/>
      <c r="FT7" s="43"/>
      <c r="FU7" s="43"/>
      <c r="FV7" s="43"/>
      <c r="FW7" s="43"/>
      <c r="FX7" s="43"/>
      <c r="FY7" s="43"/>
      <c r="FZ7" s="43"/>
      <c r="GA7" s="43"/>
      <c r="GB7" s="43"/>
      <c r="GC7" s="43"/>
      <c r="GD7" s="43"/>
      <c r="GE7" s="43"/>
      <c r="GF7" s="43"/>
      <c r="GG7" s="43"/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43"/>
      <c r="GY7" s="43"/>
      <c r="GZ7" s="43"/>
      <c r="HA7" s="43"/>
      <c r="HB7" s="43"/>
      <c r="HC7" s="43"/>
      <c r="HD7" s="43"/>
      <c r="HE7" s="43"/>
      <c r="HF7" s="43"/>
      <c r="HG7" s="43"/>
      <c r="HH7" s="43"/>
      <c r="HI7" s="43"/>
      <c r="HJ7" s="43"/>
      <c r="HK7" s="43"/>
      <c r="HL7" s="43"/>
      <c r="HM7" s="43"/>
      <c r="HN7" s="43"/>
      <c r="HO7" s="43"/>
      <c r="HP7" s="43"/>
      <c r="HQ7" s="43"/>
      <c r="HR7" s="43"/>
      <c r="HS7" s="43"/>
      <c r="HT7" s="43"/>
      <c r="HU7" s="43"/>
      <c r="HV7" s="43"/>
      <c r="HW7" s="43"/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43"/>
      <c r="IO7" s="43"/>
      <c r="IP7" s="43"/>
      <c r="IQ7" s="43"/>
      <c r="IR7" s="43"/>
      <c r="IS7" s="43"/>
      <c r="IT7" s="43"/>
      <c r="IU7" s="43"/>
      <c r="IV7" s="43"/>
      <c r="IW7" s="43"/>
      <c r="IX7" s="43"/>
      <c r="IY7" s="43"/>
      <c r="IZ7" s="43"/>
      <c r="JA7" s="43"/>
      <c r="JB7" s="43"/>
      <c r="JC7" s="43"/>
      <c r="JD7" s="43"/>
      <c r="JE7" s="43"/>
      <c r="JF7" s="43"/>
      <c r="JG7" s="43"/>
      <c r="JH7" s="43"/>
      <c r="JI7" s="43"/>
      <c r="JJ7" s="43"/>
      <c r="JK7" s="43"/>
      <c r="JL7" s="43"/>
      <c r="JM7" s="43"/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43"/>
      <c r="KE7" s="43"/>
      <c r="KF7" s="43"/>
      <c r="KG7" s="43"/>
      <c r="KH7" s="43"/>
      <c r="KI7" s="43"/>
      <c r="KJ7" s="43"/>
      <c r="KK7" s="43"/>
      <c r="KL7" s="43"/>
      <c r="KM7" s="43"/>
      <c r="KN7" s="43"/>
      <c r="KO7" s="43"/>
      <c r="KP7" s="43"/>
      <c r="KQ7" s="43"/>
      <c r="KR7" s="43"/>
      <c r="KS7" s="43"/>
      <c r="KT7" s="43"/>
      <c r="KU7" s="43"/>
      <c r="KV7" s="43"/>
      <c r="KW7" s="43"/>
      <c r="KX7" s="43"/>
      <c r="KY7" s="43"/>
      <c r="KZ7" s="43"/>
      <c r="LA7" s="43"/>
      <c r="LB7" s="43"/>
      <c r="LC7" s="43"/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43"/>
      <c r="LU7" s="43"/>
      <c r="LV7" s="43"/>
      <c r="LW7" s="43"/>
      <c r="LX7" s="43"/>
      <c r="LY7" s="43"/>
      <c r="LZ7" s="43"/>
      <c r="MA7" s="43"/>
      <c r="MB7" s="43"/>
      <c r="MC7" s="43"/>
      <c r="MD7" s="43"/>
      <c r="ME7" s="43"/>
      <c r="MF7" s="43"/>
      <c r="MG7" s="43"/>
      <c r="MH7" s="43"/>
      <c r="MI7" s="43"/>
      <c r="MJ7" s="43"/>
      <c r="MK7" s="43"/>
      <c r="ML7" s="43"/>
      <c r="MM7" s="43"/>
      <c r="MN7" s="43"/>
      <c r="MO7" s="43"/>
      <c r="MP7" s="43"/>
      <c r="MQ7" s="43"/>
      <c r="MR7" s="43"/>
      <c r="MS7" s="43"/>
      <c r="MT7" s="43"/>
      <c r="MU7" s="43"/>
      <c r="MV7" s="43"/>
      <c r="MW7" s="43"/>
      <c r="MX7" s="43"/>
      <c r="MY7" s="43"/>
      <c r="MZ7" s="43"/>
      <c r="NA7" s="43"/>
      <c r="NB7" s="43"/>
      <c r="NC7" s="43"/>
      <c r="ND7" s="43"/>
      <c r="NE7" s="43"/>
      <c r="NF7" s="43"/>
      <c r="NG7" s="43"/>
      <c r="NH7" s="43"/>
      <c r="NI7" s="43"/>
      <c r="NJ7" s="43"/>
      <c r="NK7" s="43"/>
      <c r="NL7" s="43"/>
      <c r="NM7" s="43"/>
      <c r="NN7" s="43"/>
      <c r="NO7" s="43"/>
      <c r="NP7" s="43"/>
      <c r="NQ7" s="43"/>
      <c r="NR7" s="43"/>
      <c r="NS7" s="43"/>
      <c r="NT7" s="43"/>
      <c r="NU7" s="43"/>
      <c r="NV7" s="43"/>
      <c r="NW7" s="43"/>
      <c r="NX7" s="43"/>
      <c r="NY7" s="43"/>
      <c r="NZ7" s="43"/>
      <c r="OA7" s="43"/>
      <c r="OB7" s="43"/>
      <c r="OC7" s="43"/>
      <c r="OD7" s="43"/>
      <c r="OE7" s="43"/>
      <c r="OF7" s="43"/>
      <c r="OG7" s="43"/>
      <c r="OH7" s="43"/>
      <c r="OI7" s="43"/>
      <c r="OJ7" s="43"/>
      <c r="OK7" s="43"/>
      <c r="OL7" s="43"/>
      <c r="OM7" s="43"/>
      <c r="ON7" s="43"/>
      <c r="OO7" s="43"/>
      <c r="OP7" s="43"/>
      <c r="OQ7" s="43"/>
      <c r="OR7" s="43"/>
      <c r="OS7" s="43"/>
      <c r="OT7" s="43"/>
      <c r="OU7" s="43"/>
      <c r="OV7" s="43"/>
      <c r="OW7" s="43"/>
      <c r="OX7" s="43"/>
      <c r="OY7" s="43"/>
      <c r="OZ7" s="43"/>
      <c r="PA7" s="43"/>
      <c r="PB7" s="43"/>
      <c r="PC7" s="43"/>
      <c r="PD7" s="43"/>
      <c r="PE7" s="43"/>
      <c r="PF7" s="43"/>
      <c r="PG7" s="43"/>
      <c r="PH7" s="43"/>
      <c r="PI7" s="43"/>
      <c r="PJ7" s="43"/>
      <c r="PK7" s="43"/>
      <c r="PL7" s="43"/>
      <c r="PM7" s="43"/>
      <c r="PN7" s="43"/>
      <c r="PO7" s="43"/>
      <c r="PP7" s="43"/>
      <c r="PQ7" s="43"/>
      <c r="PR7" s="43"/>
      <c r="PS7" s="43"/>
      <c r="PT7" s="43"/>
      <c r="PU7" s="43"/>
      <c r="PV7" s="43"/>
      <c r="PW7" s="43"/>
      <c r="PX7" s="43"/>
      <c r="PY7" s="43"/>
      <c r="PZ7" s="43"/>
      <c r="QA7" s="43"/>
      <c r="QB7" s="43"/>
      <c r="QC7" s="43"/>
    </row>
    <row r="8" spans="1:445" x14ac:dyDescent="0.3">
      <c r="A8" s="47" t="s">
        <v>28</v>
      </c>
      <c r="B8" s="45" t="s">
        <v>73</v>
      </c>
      <c r="C8" s="45" t="s">
        <v>109</v>
      </c>
      <c r="D8" s="45" t="s">
        <v>75</v>
      </c>
      <c r="E8" s="45">
        <v>60</v>
      </c>
      <c r="F8" s="45">
        <v>1620</v>
      </c>
      <c r="G8" s="45"/>
      <c r="H8" s="45">
        <v>90</v>
      </c>
      <c r="I8" s="45">
        <v>180</v>
      </c>
      <c r="J8" s="45">
        <v>180</v>
      </c>
      <c r="K8" s="45">
        <v>180</v>
      </c>
      <c r="L8" s="45">
        <v>180</v>
      </c>
      <c r="M8" s="45">
        <v>180</v>
      </c>
      <c r="N8" s="45">
        <v>180</v>
      </c>
      <c r="O8" s="45">
        <v>180</v>
      </c>
      <c r="P8" s="45">
        <v>180</v>
      </c>
      <c r="Q8" s="45">
        <v>90</v>
      </c>
      <c r="R8" s="45"/>
      <c r="S8" s="45"/>
      <c r="T8" s="46">
        <f t="shared" si="2"/>
        <v>1620</v>
      </c>
      <c r="U8" s="46">
        <f t="shared" si="3"/>
        <v>0</v>
      </c>
      <c r="V8" s="72">
        <f t="shared" si="4"/>
        <v>1.037037037037037</v>
      </c>
      <c r="X8" s="73" t="str">
        <f t="shared" si="5"/>
        <v/>
      </c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  <c r="CU8" s="43"/>
      <c r="CV8" s="43"/>
      <c r="CW8" s="43"/>
      <c r="CX8" s="43"/>
      <c r="CY8" s="43"/>
      <c r="CZ8" s="43"/>
      <c r="DA8" s="43"/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43"/>
      <c r="DS8" s="43"/>
      <c r="DT8" s="43"/>
      <c r="DU8" s="43"/>
      <c r="DV8" s="43"/>
      <c r="DW8" s="43"/>
      <c r="DX8" s="43"/>
      <c r="DY8" s="43"/>
      <c r="DZ8" s="43"/>
      <c r="EA8" s="43"/>
      <c r="EB8" s="43"/>
      <c r="EC8" s="43"/>
      <c r="ED8" s="43"/>
      <c r="EE8" s="43"/>
      <c r="EF8" s="43"/>
      <c r="EG8" s="43"/>
      <c r="EH8" s="43"/>
      <c r="EI8" s="43"/>
      <c r="EJ8" s="43"/>
      <c r="EK8" s="43"/>
      <c r="EL8" s="43"/>
      <c r="EM8" s="43"/>
      <c r="EN8" s="43"/>
      <c r="EO8" s="43"/>
      <c r="EP8" s="43"/>
      <c r="EQ8" s="43"/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43"/>
      <c r="FI8" s="43"/>
      <c r="FJ8" s="43"/>
      <c r="FK8" s="43"/>
      <c r="FL8" s="43"/>
      <c r="FM8" s="43"/>
      <c r="FN8" s="43"/>
      <c r="FO8" s="43"/>
      <c r="FP8" s="43"/>
      <c r="FQ8" s="43"/>
      <c r="FR8" s="43"/>
      <c r="FS8" s="43"/>
      <c r="FT8" s="43"/>
      <c r="FU8" s="43"/>
      <c r="FV8" s="43"/>
      <c r="FW8" s="43"/>
      <c r="FX8" s="43"/>
      <c r="FY8" s="43"/>
      <c r="FZ8" s="43"/>
      <c r="GA8" s="43"/>
      <c r="GB8" s="43"/>
      <c r="GC8" s="43"/>
      <c r="GD8" s="43"/>
      <c r="GE8" s="43"/>
      <c r="GF8" s="43"/>
      <c r="GG8" s="43"/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43"/>
      <c r="GY8" s="43"/>
      <c r="GZ8" s="43"/>
      <c r="HA8" s="43"/>
      <c r="HB8" s="43"/>
      <c r="HC8" s="43"/>
      <c r="HD8" s="43"/>
      <c r="HE8" s="43"/>
      <c r="HF8" s="43"/>
      <c r="HG8" s="43"/>
      <c r="HH8" s="43"/>
      <c r="HI8" s="43"/>
      <c r="HJ8" s="43"/>
      <c r="HK8" s="43"/>
      <c r="HL8" s="43"/>
      <c r="HM8" s="43"/>
      <c r="HN8" s="43"/>
      <c r="HO8" s="43"/>
      <c r="HP8" s="43"/>
      <c r="HQ8" s="43"/>
      <c r="HR8" s="43"/>
      <c r="HS8" s="43"/>
      <c r="HT8" s="43"/>
      <c r="HU8" s="43"/>
      <c r="HV8" s="43"/>
      <c r="HW8" s="43"/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43"/>
      <c r="IO8" s="43"/>
      <c r="IP8" s="43"/>
      <c r="IQ8" s="43"/>
      <c r="IR8" s="43"/>
      <c r="IS8" s="43"/>
      <c r="IT8" s="43"/>
      <c r="IU8" s="43"/>
      <c r="IV8" s="43"/>
      <c r="IW8" s="43"/>
      <c r="IX8" s="43"/>
      <c r="IY8" s="43"/>
      <c r="IZ8" s="43"/>
      <c r="JA8" s="43"/>
      <c r="JB8" s="43"/>
      <c r="JC8" s="43"/>
      <c r="JD8" s="43"/>
      <c r="JE8" s="43"/>
      <c r="JF8" s="43"/>
      <c r="JG8" s="43"/>
      <c r="JH8" s="43"/>
      <c r="JI8" s="43"/>
      <c r="JJ8" s="43"/>
      <c r="JK8" s="43"/>
      <c r="JL8" s="43"/>
      <c r="JM8" s="43"/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43"/>
      <c r="KE8" s="43"/>
      <c r="KF8" s="43"/>
      <c r="KG8" s="43"/>
      <c r="KH8" s="43"/>
      <c r="KI8" s="43"/>
      <c r="KJ8" s="43"/>
      <c r="KK8" s="43"/>
      <c r="KL8" s="43"/>
      <c r="KM8" s="43"/>
      <c r="KN8" s="43"/>
      <c r="KO8" s="43"/>
      <c r="KP8" s="43"/>
      <c r="KQ8" s="43"/>
      <c r="KR8" s="43"/>
      <c r="KS8" s="43"/>
      <c r="KT8" s="43"/>
      <c r="KU8" s="43"/>
      <c r="KV8" s="43"/>
      <c r="KW8" s="43"/>
      <c r="KX8" s="43"/>
      <c r="KY8" s="43"/>
      <c r="KZ8" s="43"/>
      <c r="LA8" s="43"/>
      <c r="LB8" s="43"/>
      <c r="LC8" s="43"/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43"/>
      <c r="LU8" s="43"/>
      <c r="LV8" s="43"/>
      <c r="LW8" s="43"/>
      <c r="LX8" s="43"/>
      <c r="LY8" s="43"/>
      <c r="LZ8" s="43"/>
      <c r="MA8" s="43"/>
      <c r="MB8" s="43"/>
      <c r="MC8" s="43"/>
      <c r="MD8" s="43"/>
      <c r="ME8" s="43"/>
      <c r="MF8" s="43"/>
      <c r="MG8" s="43"/>
      <c r="MH8" s="43"/>
      <c r="MI8" s="43"/>
      <c r="MJ8" s="43"/>
      <c r="MK8" s="43"/>
      <c r="ML8" s="43"/>
      <c r="MM8" s="43"/>
      <c r="MN8" s="43"/>
      <c r="MO8" s="43"/>
      <c r="MP8" s="43"/>
      <c r="MQ8" s="43"/>
      <c r="MR8" s="43"/>
      <c r="MS8" s="43"/>
      <c r="MT8" s="43"/>
      <c r="MU8" s="43"/>
      <c r="MV8" s="43"/>
      <c r="MW8" s="43"/>
      <c r="MX8" s="43"/>
      <c r="MY8" s="43"/>
      <c r="MZ8" s="43"/>
      <c r="NA8" s="43"/>
      <c r="NB8" s="43"/>
      <c r="NC8" s="43"/>
      <c r="ND8" s="43"/>
      <c r="NE8" s="43"/>
      <c r="NF8" s="43"/>
      <c r="NG8" s="43"/>
      <c r="NH8" s="43"/>
      <c r="NI8" s="43"/>
      <c r="NJ8" s="43"/>
      <c r="NK8" s="43"/>
      <c r="NL8" s="43"/>
      <c r="NM8" s="43"/>
      <c r="NN8" s="43"/>
      <c r="NO8" s="43"/>
      <c r="NP8" s="43"/>
      <c r="NQ8" s="43"/>
      <c r="NR8" s="43"/>
      <c r="NS8" s="43"/>
      <c r="NT8" s="43"/>
      <c r="NU8" s="43"/>
      <c r="NV8" s="43"/>
      <c r="NW8" s="43"/>
      <c r="NX8" s="43"/>
      <c r="NY8" s="43"/>
      <c r="NZ8" s="43"/>
      <c r="OA8" s="43"/>
      <c r="OB8" s="43"/>
      <c r="OC8" s="43"/>
      <c r="OD8" s="43"/>
      <c r="OE8" s="43"/>
      <c r="OF8" s="43"/>
      <c r="OG8" s="43"/>
      <c r="OH8" s="43"/>
      <c r="OI8" s="43"/>
      <c r="OJ8" s="43"/>
      <c r="OK8" s="43"/>
      <c r="OL8" s="43"/>
      <c r="OM8" s="43"/>
      <c r="ON8" s="43"/>
      <c r="OO8" s="43"/>
      <c r="OP8" s="43"/>
      <c r="OQ8" s="43"/>
      <c r="OR8" s="43"/>
      <c r="OS8" s="43"/>
      <c r="OT8" s="43"/>
      <c r="OU8" s="43"/>
      <c r="OV8" s="43"/>
      <c r="OW8" s="43"/>
      <c r="OX8" s="43"/>
      <c r="OY8" s="43"/>
      <c r="OZ8" s="43"/>
      <c r="PA8" s="43"/>
      <c r="PB8" s="43"/>
      <c r="PC8" s="43"/>
      <c r="PD8" s="43"/>
      <c r="PE8" s="43"/>
      <c r="PF8" s="43"/>
      <c r="PG8" s="43"/>
      <c r="PH8" s="43"/>
      <c r="PI8" s="43"/>
      <c r="PJ8" s="43"/>
      <c r="PK8" s="43"/>
      <c r="PL8" s="43"/>
      <c r="PM8" s="43"/>
      <c r="PN8" s="43"/>
      <c r="PO8" s="43"/>
      <c r="PP8" s="43"/>
      <c r="PQ8" s="43"/>
      <c r="PR8" s="43"/>
      <c r="PS8" s="43"/>
      <c r="PT8" s="43"/>
      <c r="PU8" s="43"/>
      <c r="PV8" s="43"/>
      <c r="PW8" s="43"/>
      <c r="PX8" s="43"/>
      <c r="PY8" s="43"/>
      <c r="PZ8" s="43"/>
      <c r="QA8" s="43"/>
      <c r="QB8" s="43"/>
      <c r="QC8" s="43"/>
    </row>
    <row r="9" spans="1:445" x14ac:dyDescent="0.3">
      <c r="A9" s="47" t="s">
        <v>114</v>
      </c>
      <c r="B9" s="45" t="s">
        <v>73</v>
      </c>
      <c r="C9" s="45" t="s">
        <v>111</v>
      </c>
      <c r="D9" s="45"/>
      <c r="E9" s="45"/>
      <c r="F9" s="45">
        <v>1350</v>
      </c>
      <c r="G9" s="45"/>
      <c r="H9" s="45">
        <v>75</v>
      </c>
      <c r="I9" s="45">
        <v>150</v>
      </c>
      <c r="J9" s="45">
        <v>150</v>
      </c>
      <c r="K9" s="45">
        <v>150</v>
      </c>
      <c r="L9" s="45">
        <v>150</v>
      </c>
      <c r="M9" s="45">
        <v>150</v>
      </c>
      <c r="N9" s="45">
        <v>150</v>
      </c>
      <c r="O9" s="45">
        <v>150</v>
      </c>
      <c r="P9" s="45">
        <v>150</v>
      </c>
      <c r="Q9" s="45">
        <v>75</v>
      </c>
      <c r="R9" s="45"/>
      <c r="S9" s="45"/>
      <c r="T9" s="46">
        <f t="shared" si="2"/>
        <v>1350</v>
      </c>
      <c r="U9" s="46">
        <f t="shared" si="3"/>
        <v>0</v>
      </c>
      <c r="V9" s="72">
        <f t="shared" si="4"/>
        <v>1</v>
      </c>
      <c r="X9" s="73" t="str">
        <f t="shared" si="5"/>
        <v/>
      </c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  <c r="CW9" s="43"/>
      <c r="CX9" s="43"/>
      <c r="CY9" s="43"/>
      <c r="CZ9" s="43"/>
      <c r="DA9" s="43"/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43"/>
      <c r="DS9" s="43"/>
      <c r="DT9" s="43"/>
      <c r="DU9" s="43"/>
      <c r="DV9" s="43"/>
      <c r="DW9" s="43"/>
      <c r="DX9" s="43"/>
      <c r="DY9" s="43"/>
      <c r="DZ9" s="43"/>
      <c r="EA9" s="43"/>
      <c r="EB9" s="43"/>
      <c r="EC9" s="43"/>
      <c r="ED9" s="43"/>
      <c r="EE9" s="43"/>
      <c r="EF9" s="43"/>
      <c r="EG9" s="43"/>
      <c r="EH9" s="43"/>
      <c r="EI9" s="43"/>
      <c r="EJ9" s="43"/>
      <c r="EK9" s="43"/>
      <c r="EL9" s="43"/>
      <c r="EM9" s="43"/>
      <c r="EN9" s="43"/>
      <c r="EO9" s="43"/>
      <c r="EP9" s="43"/>
      <c r="EQ9" s="43"/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43"/>
      <c r="FI9" s="43"/>
      <c r="FJ9" s="43"/>
      <c r="FK9" s="43"/>
      <c r="FL9" s="43"/>
      <c r="FM9" s="43"/>
      <c r="FN9" s="43"/>
      <c r="FO9" s="43"/>
      <c r="FP9" s="43"/>
      <c r="FQ9" s="43"/>
      <c r="FR9" s="43"/>
      <c r="FS9" s="43"/>
      <c r="FT9" s="43"/>
      <c r="FU9" s="43"/>
      <c r="FV9" s="43"/>
      <c r="FW9" s="43"/>
      <c r="FX9" s="43"/>
      <c r="FY9" s="43"/>
      <c r="FZ9" s="43"/>
      <c r="GA9" s="43"/>
      <c r="GB9" s="43"/>
      <c r="GC9" s="43"/>
      <c r="GD9" s="43"/>
      <c r="GE9" s="43"/>
      <c r="GF9" s="43"/>
      <c r="GG9" s="43"/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43"/>
      <c r="GY9" s="43"/>
      <c r="GZ9" s="43"/>
      <c r="HA9" s="43"/>
      <c r="HB9" s="43"/>
      <c r="HC9" s="43"/>
      <c r="HD9" s="43"/>
      <c r="HE9" s="43"/>
      <c r="HF9" s="43"/>
      <c r="HG9" s="43"/>
      <c r="HH9" s="43"/>
      <c r="HI9" s="43"/>
      <c r="HJ9" s="43"/>
      <c r="HK9" s="43"/>
      <c r="HL9" s="43"/>
      <c r="HM9" s="43"/>
      <c r="HN9" s="43"/>
      <c r="HO9" s="43"/>
      <c r="HP9" s="43"/>
      <c r="HQ9" s="43"/>
      <c r="HR9" s="43"/>
      <c r="HS9" s="43"/>
      <c r="HT9" s="43"/>
      <c r="HU9" s="43"/>
      <c r="HV9" s="43"/>
      <c r="HW9" s="43"/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43"/>
      <c r="IO9" s="43"/>
      <c r="IP9" s="43"/>
      <c r="IQ9" s="43"/>
      <c r="IR9" s="43"/>
      <c r="IS9" s="43"/>
      <c r="IT9" s="43"/>
      <c r="IU9" s="43"/>
      <c r="IV9" s="43"/>
      <c r="IW9" s="43"/>
      <c r="IX9" s="43"/>
      <c r="IY9" s="43"/>
      <c r="IZ9" s="43"/>
      <c r="JA9" s="43"/>
      <c r="JB9" s="43"/>
      <c r="JC9" s="43"/>
      <c r="JD9" s="43"/>
      <c r="JE9" s="43"/>
      <c r="JF9" s="43"/>
      <c r="JG9" s="43"/>
      <c r="JH9" s="43"/>
      <c r="JI9" s="43"/>
      <c r="JJ9" s="43"/>
      <c r="JK9" s="43"/>
      <c r="JL9" s="43"/>
      <c r="JM9" s="43"/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43"/>
      <c r="KE9" s="43"/>
      <c r="KF9" s="43"/>
      <c r="KG9" s="43"/>
      <c r="KH9" s="43"/>
      <c r="KI9" s="43"/>
      <c r="KJ9" s="43"/>
      <c r="KK9" s="43"/>
      <c r="KL9" s="43"/>
      <c r="KM9" s="43"/>
      <c r="KN9" s="43"/>
      <c r="KO9" s="43"/>
      <c r="KP9" s="43"/>
      <c r="KQ9" s="43"/>
      <c r="KR9" s="43"/>
      <c r="KS9" s="43"/>
      <c r="KT9" s="43"/>
      <c r="KU9" s="43"/>
      <c r="KV9" s="43"/>
      <c r="KW9" s="43"/>
      <c r="KX9" s="43"/>
      <c r="KY9" s="43"/>
      <c r="KZ9" s="43"/>
      <c r="LA9" s="43"/>
      <c r="LB9" s="43"/>
      <c r="LC9" s="43"/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43"/>
      <c r="LU9" s="43"/>
      <c r="LV9" s="43"/>
      <c r="LW9" s="43"/>
      <c r="LX9" s="43"/>
      <c r="LY9" s="43"/>
      <c r="LZ9" s="43"/>
      <c r="MA9" s="43"/>
      <c r="MB9" s="43"/>
      <c r="MC9" s="43"/>
      <c r="MD9" s="43"/>
      <c r="ME9" s="43"/>
      <c r="MF9" s="43"/>
      <c r="MG9" s="43"/>
      <c r="MH9" s="43"/>
      <c r="MI9" s="43"/>
      <c r="MJ9" s="43"/>
      <c r="MK9" s="43"/>
      <c r="ML9" s="43"/>
      <c r="MM9" s="43"/>
      <c r="MN9" s="43"/>
      <c r="MO9" s="43"/>
      <c r="MP9" s="43"/>
      <c r="MQ9" s="43"/>
      <c r="MR9" s="43"/>
      <c r="MS9" s="43"/>
      <c r="MT9" s="43"/>
      <c r="MU9" s="43"/>
      <c r="MV9" s="43"/>
      <c r="MW9" s="43"/>
      <c r="MX9" s="43"/>
      <c r="MY9" s="43"/>
      <c r="MZ9" s="43"/>
      <c r="NA9" s="43"/>
      <c r="NB9" s="43"/>
      <c r="NC9" s="43"/>
      <c r="ND9" s="43"/>
      <c r="NE9" s="43"/>
      <c r="NF9" s="43"/>
      <c r="NG9" s="43"/>
      <c r="NH9" s="43"/>
      <c r="NI9" s="43"/>
      <c r="NJ9" s="43"/>
      <c r="NK9" s="43"/>
      <c r="NL9" s="43"/>
      <c r="NM9" s="43"/>
      <c r="NN9" s="43"/>
      <c r="NO9" s="43"/>
      <c r="NP9" s="43"/>
      <c r="NQ9" s="43"/>
      <c r="NR9" s="43"/>
      <c r="NS9" s="43"/>
      <c r="NT9" s="43"/>
      <c r="NU9" s="43"/>
      <c r="NV9" s="43"/>
      <c r="NW9" s="43"/>
      <c r="NX9" s="43"/>
      <c r="NY9" s="43"/>
      <c r="NZ9" s="43"/>
      <c r="OA9" s="43"/>
      <c r="OB9" s="43"/>
      <c r="OC9" s="43"/>
      <c r="OD9" s="43"/>
      <c r="OE9" s="43"/>
      <c r="OF9" s="43"/>
      <c r="OG9" s="43"/>
      <c r="OH9" s="43"/>
      <c r="OI9" s="43"/>
      <c r="OJ9" s="43"/>
      <c r="OK9" s="43"/>
      <c r="OL9" s="43"/>
      <c r="OM9" s="43"/>
      <c r="ON9" s="43"/>
      <c r="OO9" s="43"/>
      <c r="OP9" s="43"/>
      <c r="OQ9" s="43"/>
      <c r="OR9" s="43"/>
      <c r="OS9" s="43"/>
      <c r="OT9" s="43"/>
      <c r="OU9" s="43"/>
      <c r="OV9" s="43"/>
      <c r="OW9" s="43"/>
      <c r="OX9" s="43"/>
      <c r="OY9" s="43"/>
      <c r="OZ9" s="43"/>
      <c r="PA9" s="43"/>
      <c r="PB9" s="43"/>
      <c r="PC9" s="43"/>
      <c r="PD9" s="43"/>
      <c r="PE9" s="43"/>
      <c r="PF9" s="43"/>
      <c r="PG9" s="43"/>
      <c r="PH9" s="43"/>
      <c r="PI9" s="43"/>
      <c r="PJ9" s="43"/>
      <c r="PK9" s="43"/>
      <c r="PL9" s="43"/>
      <c r="PM9" s="43"/>
      <c r="PN9" s="43"/>
      <c r="PO9" s="43"/>
      <c r="PP9" s="43"/>
      <c r="PQ9" s="43"/>
      <c r="PR9" s="43"/>
      <c r="PS9" s="43"/>
      <c r="PT9" s="43"/>
      <c r="PU9" s="43"/>
      <c r="PV9" s="43"/>
      <c r="PW9" s="43"/>
      <c r="PX9" s="43"/>
      <c r="PY9" s="43"/>
      <c r="PZ9" s="43"/>
      <c r="QA9" s="43"/>
      <c r="QB9" s="43"/>
      <c r="QC9" s="43"/>
    </row>
    <row r="10" spans="1:445" x14ac:dyDescent="0.3">
      <c r="A10" s="47" t="s">
        <v>79</v>
      </c>
      <c r="B10" s="45" t="s">
        <v>73</v>
      </c>
      <c r="C10" s="45" t="s">
        <v>104</v>
      </c>
      <c r="D10" s="45" t="s">
        <v>105</v>
      </c>
      <c r="E10" s="45">
        <v>40</v>
      </c>
      <c r="F10" s="45">
        <v>1080</v>
      </c>
      <c r="G10" s="45"/>
      <c r="H10" s="45">
        <v>120</v>
      </c>
      <c r="I10" s="45">
        <v>120</v>
      </c>
      <c r="J10" s="45">
        <v>120</v>
      </c>
      <c r="K10" s="45">
        <v>120</v>
      </c>
      <c r="L10" s="45">
        <v>120</v>
      </c>
      <c r="M10" s="45">
        <v>120</v>
      </c>
      <c r="N10" s="45">
        <v>120</v>
      </c>
      <c r="O10" s="45">
        <v>120</v>
      </c>
      <c r="P10" s="45">
        <v>120</v>
      </c>
      <c r="Q10" s="45"/>
      <c r="R10" s="45"/>
      <c r="S10" s="45"/>
      <c r="T10" s="46">
        <f t="shared" si="2"/>
        <v>1080</v>
      </c>
      <c r="U10" s="46">
        <f t="shared" si="3"/>
        <v>0</v>
      </c>
      <c r="V10" s="72">
        <f t="shared" si="4"/>
        <v>1.037037037037037</v>
      </c>
      <c r="W10" s="48"/>
      <c r="X10" s="73" t="str">
        <f t="shared" si="5"/>
        <v/>
      </c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  <c r="CU10" s="43"/>
      <c r="CV10" s="43"/>
      <c r="CW10" s="43"/>
      <c r="CX10" s="43"/>
      <c r="CY10" s="43"/>
      <c r="CZ10" s="43"/>
      <c r="DA10" s="43"/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43"/>
      <c r="DS10" s="43"/>
      <c r="DT10" s="43"/>
      <c r="DU10" s="43"/>
      <c r="DV10" s="43"/>
      <c r="DW10" s="43"/>
      <c r="DX10" s="43"/>
      <c r="DY10" s="43"/>
      <c r="DZ10" s="43"/>
      <c r="EA10" s="43"/>
      <c r="EB10" s="43"/>
      <c r="EC10" s="43"/>
      <c r="ED10" s="43"/>
      <c r="EE10" s="43"/>
      <c r="EF10" s="43"/>
      <c r="EG10" s="43"/>
      <c r="EH10" s="43"/>
      <c r="EI10" s="43"/>
      <c r="EJ10" s="43"/>
      <c r="EK10" s="43"/>
      <c r="EL10" s="43"/>
      <c r="EM10" s="43"/>
      <c r="EN10" s="43"/>
      <c r="EO10" s="43"/>
      <c r="EP10" s="43"/>
      <c r="EQ10" s="43"/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43"/>
      <c r="FI10" s="43"/>
      <c r="FJ10" s="43"/>
      <c r="FK10" s="43"/>
      <c r="FL10" s="43"/>
      <c r="FM10" s="43"/>
      <c r="FN10" s="43"/>
      <c r="FO10" s="43"/>
      <c r="FP10" s="43"/>
      <c r="FQ10" s="43"/>
      <c r="FR10" s="43"/>
      <c r="FS10" s="43"/>
      <c r="FT10" s="43"/>
      <c r="FU10" s="43"/>
      <c r="FV10" s="43"/>
      <c r="FW10" s="43"/>
      <c r="FX10" s="43"/>
      <c r="FY10" s="43"/>
      <c r="FZ10" s="43"/>
      <c r="GA10" s="43"/>
      <c r="GB10" s="43"/>
      <c r="GC10" s="43"/>
      <c r="GD10" s="43"/>
      <c r="GE10" s="43"/>
      <c r="GF10" s="43"/>
      <c r="GG10" s="43"/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43"/>
      <c r="GY10" s="43"/>
      <c r="GZ10" s="43"/>
      <c r="HA10" s="43"/>
      <c r="HB10" s="43"/>
      <c r="HC10" s="43"/>
      <c r="HD10" s="43"/>
      <c r="HE10" s="43"/>
      <c r="HF10" s="43"/>
      <c r="HG10" s="43"/>
      <c r="HH10" s="43"/>
      <c r="HI10" s="43"/>
      <c r="HJ10" s="43"/>
      <c r="HK10" s="43"/>
      <c r="HL10" s="43"/>
      <c r="HM10" s="43"/>
      <c r="HN10" s="43"/>
      <c r="HO10" s="43"/>
      <c r="HP10" s="43"/>
      <c r="HQ10" s="43"/>
      <c r="HR10" s="43"/>
      <c r="HS10" s="43"/>
      <c r="HT10" s="43"/>
      <c r="HU10" s="43"/>
      <c r="HV10" s="43"/>
      <c r="HW10" s="43"/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43"/>
      <c r="IO10" s="43"/>
      <c r="IP10" s="43"/>
      <c r="IQ10" s="43"/>
      <c r="IR10" s="43"/>
      <c r="IS10" s="43"/>
      <c r="IT10" s="43"/>
      <c r="IU10" s="43"/>
      <c r="IV10" s="43"/>
      <c r="IW10" s="43"/>
      <c r="IX10" s="43"/>
      <c r="IY10" s="43"/>
      <c r="IZ10" s="43"/>
      <c r="JA10" s="43"/>
      <c r="JB10" s="43"/>
      <c r="JC10" s="43"/>
      <c r="JD10" s="43"/>
      <c r="JE10" s="43"/>
      <c r="JF10" s="43"/>
      <c r="JG10" s="43"/>
      <c r="JH10" s="43"/>
      <c r="JI10" s="43"/>
      <c r="JJ10" s="43"/>
      <c r="JK10" s="43"/>
      <c r="JL10" s="43"/>
      <c r="JM10" s="43"/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43"/>
      <c r="KE10" s="43"/>
      <c r="KF10" s="43"/>
      <c r="KG10" s="43"/>
      <c r="KH10" s="43"/>
      <c r="KI10" s="43"/>
      <c r="KJ10" s="43"/>
      <c r="KK10" s="43"/>
      <c r="KL10" s="43"/>
      <c r="KM10" s="43"/>
      <c r="KN10" s="43"/>
      <c r="KO10" s="43"/>
      <c r="KP10" s="43"/>
      <c r="KQ10" s="43"/>
      <c r="KR10" s="43"/>
      <c r="KS10" s="43"/>
      <c r="KT10" s="43"/>
      <c r="KU10" s="43"/>
      <c r="KV10" s="43"/>
      <c r="KW10" s="43"/>
      <c r="KX10" s="43"/>
      <c r="KY10" s="43"/>
      <c r="KZ10" s="43"/>
      <c r="LA10" s="43"/>
      <c r="LB10" s="43"/>
      <c r="LC10" s="43"/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43"/>
      <c r="LU10" s="43"/>
      <c r="LV10" s="43"/>
      <c r="LW10" s="43"/>
      <c r="LX10" s="43"/>
      <c r="LY10" s="43"/>
      <c r="LZ10" s="43"/>
      <c r="MA10" s="43"/>
      <c r="MB10" s="43"/>
      <c r="MC10" s="43"/>
      <c r="MD10" s="43"/>
      <c r="ME10" s="43"/>
      <c r="MF10" s="43"/>
      <c r="MG10" s="43"/>
      <c r="MH10" s="43"/>
      <c r="MI10" s="43"/>
      <c r="MJ10" s="43"/>
      <c r="MK10" s="43"/>
      <c r="ML10" s="43"/>
      <c r="MM10" s="43"/>
      <c r="MN10" s="43"/>
      <c r="MO10" s="43"/>
      <c r="MP10" s="43"/>
      <c r="MQ10" s="43"/>
      <c r="MR10" s="43"/>
      <c r="MS10" s="43"/>
      <c r="MT10" s="43"/>
      <c r="MU10" s="43"/>
      <c r="MV10" s="43"/>
      <c r="MW10" s="43"/>
      <c r="MX10" s="43"/>
      <c r="MY10" s="43"/>
      <c r="MZ10" s="43"/>
      <c r="NA10" s="43"/>
      <c r="NB10" s="43"/>
      <c r="NC10" s="43"/>
      <c r="ND10" s="43"/>
      <c r="NE10" s="43"/>
      <c r="NF10" s="43"/>
      <c r="NG10" s="43"/>
      <c r="NH10" s="43"/>
      <c r="NI10" s="43"/>
      <c r="NJ10" s="43"/>
      <c r="NK10" s="43"/>
      <c r="NL10" s="43"/>
      <c r="NM10" s="43"/>
      <c r="NN10" s="43"/>
      <c r="NO10" s="43"/>
      <c r="NP10" s="43"/>
      <c r="NQ10" s="43"/>
      <c r="NR10" s="43"/>
      <c r="NS10" s="43"/>
      <c r="NT10" s="43"/>
      <c r="NU10" s="43"/>
      <c r="NV10" s="43"/>
      <c r="NW10" s="43"/>
      <c r="NX10" s="43"/>
      <c r="NY10" s="43"/>
      <c r="NZ10" s="43"/>
      <c r="OA10" s="43"/>
      <c r="OB10" s="43"/>
      <c r="OC10" s="43"/>
      <c r="OD10" s="43"/>
      <c r="OE10" s="43"/>
      <c r="OF10" s="43"/>
      <c r="OG10" s="43"/>
      <c r="OH10" s="43"/>
      <c r="OI10" s="43"/>
      <c r="OJ10" s="43"/>
      <c r="OK10" s="43"/>
      <c r="OL10" s="43"/>
      <c r="OM10" s="43"/>
      <c r="ON10" s="43"/>
      <c r="OO10" s="43"/>
      <c r="OP10" s="43"/>
      <c r="OQ10" s="43"/>
      <c r="OR10" s="43"/>
      <c r="OS10" s="43"/>
      <c r="OT10" s="43"/>
      <c r="OU10" s="43"/>
      <c r="OV10" s="43"/>
      <c r="OW10" s="43"/>
      <c r="OX10" s="43"/>
      <c r="OY10" s="43"/>
      <c r="OZ10" s="43"/>
      <c r="PA10" s="43"/>
      <c r="PB10" s="43"/>
      <c r="PC10" s="43"/>
      <c r="PD10" s="43"/>
      <c r="PE10" s="43"/>
      <c r="PF10" s="43"/>
      <c r="PG10" s="43"/>
      <c r="PH10" s="43"/>
      <c r="PI10" s="43"/>
      <c r="PJ10" s="43"/>
      <c r="PK10" s="43"/>
      <c r="PL10" s="43"/>
      <c r="PM10" s="43"/>
      <c r="PN10" s="43"/>
      <c r="PO10" s="43"/>
      <c r="PP10" s="43"/>
      <c r="PQ10" s="43"/>
      <c r="PR10" s="43"/>
      <c r="PS10" s="43"/>
      <c r="PT10" s="43"/>
      <c r="PU10" s="43"/>
      <c r="PV10" s="43"/>
      <c r="PW10" s="43"/>
      <c r="PX10" s="43"/>
      <c r="PY10" s="43"/>
      <c r="PZ10" s="43"/>
      <c r="QA10" s="43"/>
      <c r="QB10" s="43"/>
      <c r="QC10" s="43"/>
    </row>
    <row r="11" spans="1:445" x14ac:dyDescent="0.3">
      <c r="A11" s="47" t="s">
        <v>115</v>
      </c>
      <c r="B11" s="45" t="s">
        <v>73</v>
      </c>
      <c r="C11" s="45" t="s">
        <v>116</v>
      </c>
      <c r="D11" s="45"/>
      <c r="E11" s="45"/>
      <c r="F11" s="45">
        <v>1080</v>
      </c>
      <c r="G11" s="45"/>
      <c r="H11" s="45">
        <v>60</v>
      </c>
      <c r="I11" s="45">
        <v>120</v>
      </c>
      <c r="J11" s="45">
        <v>120</v>
      </c>
      <c r="K11" s="45">
        <v>120</v>
      </c>
      <c r="L11" s="45">
        <v>120</v>
      </c>
      <c r="M11" s="45">
        <v>120</v>
      </c>
      <c r="N11" s="45">
        <v>120</v>
      </c>
      <c r="O11" s="45">
        <v>120</v>
      </c>
      <c r="P11" s="45">
        <v>120</v>
      </c>
      <c r="Q11" s="45">
        <v>60</v>
      </c>
      <c r="R11" s="45"/>
      <c r="S11" s="45"/>
      <c r="T11" s="46">
        <f t="shared" si="2"/>
        <v>1080</v>
      </c>
      <c r="U11" s="46">
        <f t="shared" si="3"/>
        <v>0</v>
      </c>
      <c r="V11" s="72">
        <f t="shared" si="4"/>
        <v>1</v>
      </c>
      <c r="X11" s="73" t="str">
        <f t="shared" si="5"/>
        <v/>
      </c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  <c r="CW11" s="43"/>
      <c r="CX11" s="43"/>
      <c r="CY11" s="43"/>
      <c r="CZ11" s="43"/>
      <c r="DA11" s="43"/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43"/>
      <c r="DS11" s="43"/>
      <c r="DT11" s="43"/>
      <c r="DU11" s="43"/>
      <c r="DV11" s="43"/>
      <c r="DW11" s="43"/>
      <c r="DX11" s="43"/>
      <c r="DY11" s="43"/>
      <c r="DZ11" s="43"/>
      <c r="EA11" s="43"/>
      <c r="EB11" s="43"/>
      <c r="EC11" s="43"/>
      <c r="ED11" s="43"/>
      <c r="EE11" s="43"/>
      <c r="EF11" s="43"/>
      <c r="EG11" s="43"/>
      <c r="EH11" s="43"/>
      <c r="EI11" s="43"/>
      <c r="EJ11" s="43"/>
      <c r="EK11" s="43"/>
      <c r="EL11" s="43"/>
      <c r="EM11" s="43"/>
      <c r="EN11" s="43"/>
      <c r="EO11" s="43"/>
      <c r="EP11" s="43"/>
      <c r="EQ11" s="43"/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43"/>
      <c r="FI11" s="43"/>
      <c r="FJ11" s="43"/>
      <c r="FK11" s="43"/>
      <c r="FL11" s="43"/>
      <c r="FM11" s="43"/>
      <c r="FN11" s="43"/>
      <c r="FO11" s="43"/>
      <c r="FP11" s="43"/>
      <c r="FQ11" s="43"/>
      <c r="FR11" s="43"/>
      <c r="FS11" s="43"/>
      <c r="FT11" s="43"/>
      <c r="FU11" s="43"/>
      <c r="FV11" s="43"/>
      <c r="FW11" s="43"/>
      <c r="FX11" s="43"/>
      <c r="FY11" s="43"/>
      <c r="FZ11" s="43"/>
      <c r="GA11" s="43"/>
      <c r="GB11" s="43"/>
      <c r="GC11" s="43"/>
      <c r="GD11" s="43"/>
      <c r="GE11" s="43"/>
      <c r="GF11" s="43"/>
      <c r="GG11" s="43"/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43"/>
      <c r="GY11" s="43"/>
      <c r="GZ11" s="43"/>
      <c r="HA11" s="43"/>
      <c r="HB11" s="43"/>
      <c r="HC11" s="43"/>
      <c r="HD11" s="43"/>
      <c r="HE11" s="43"/>
      <c r="HF11" s="43"/>
      <c r="HG11" s="43"/>
      <c r="HH11" s="43"/>
      <c r="HI11" s="43"/>
      <c r="HJ11" s="43"/>
      <c r="HK11" s="43"/>
      <c r="HL11" s="43"/>
      <c r="HM11" s="43"/>
      <c r="HN11" s="43"/>
      <c r="HO11" s="43"/>
      <c r="HP11" s="43"/>
      <c r="HQ11" s="43"/>
      <c r="HR11" s="43"/>
      <c r="HS11" s="43"/>
      <c r="HT11" s="43"/>
      <c r="HU11" s="43"/>
      <c r="HV11" s="43"/>
      <c r="HW11" s="43"/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43"/>
      <c r="IO11" s="43"/>
      <c r="IP11" s="43"/>
      <c r="IQ11" s="43"/>
      <c r="IR11" s="43"/>
      <c r="IS11" s="43"/>
      <c r="IT11" s="43"/>
      <c r="IU11" s="43"/>
      <c r="IV11" s="43"/>
      <c r="IW11" s="43"/>
      <c r="IX11" s="43"/>
      <c r="IY11" s="43"/>
      <c r="IZ11" s="43"/>
      <c r="JA11" s="43"/>
      <c r="JB11" s="43"/>
      <c r="JC11" s="43"/>
      <c r="JD11" s="43"/>
      <c r="JE11" s="43"/>
      <c r="JF11" s="43"/>
      <c r="JG11" s="43"/>
      <c r="JH11" s="43"/>
      <c r="JI11" s="43"/>
      <c r="JJ11" s="43"/>
      <c r="JK11" s="43"/>
      <c r="JL11" s="43"/>
      <c r="JM11" s="43"/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43"/>
      <c r="KE11" s="43"/>
      <c r="KF11" s="43"/>
      <c r="KG11" s="43"/>
      <c r="KH11" s="43"/>
      <c r="KI11" s="43"/>
      <c r="KJ11" s="43"/>
      <c r="KK11" s="43"/>
      <c r="KL11" s="43"/>
      <c r="KM11" s="43"/>
      <c r="KN11" s="43"/>
      <c r="KO11" s="43"/>
      <c r="KP11" s="43"/>
      <c r="KQ11" s="43"/>
      <c r="KR11" s="43"/>
      <c r="KS11" s="43"/>
      <c r="KT11" s="43"/>
      <c r="KU11" s="43"/>
      <c r="KV11" s="43"/>
      <c r="KW11" s="43"/>
      <c r="KX11" s="43"/>
      <c r="KY11" s="43"/>
      <c r="KZ11" s="43"/>
      <c r="LA11" s="43"/>
      <c r="LB11" s="43"/>
      <c r="LC11" s="43"/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43"/>
      <c r="LU11" s="43"/>
      <c r="LV11" s="43"/>
      <c r="LW11" s="43"/>
      <c r="LX11" s="43"/>
      <c r="LY11" s="43"/>
      <c r="LZ11" s="43"/>
      <c r="MA11" s="43"/>
      <c r="MB11" s="43"/>
      <c r="MC11" s="43"/>
      <c r="MD11" s="43"/>
      <c r="ME11" s="43"/>
      <c r="MF11" s="43"/>
      <c r="MG11" s="43"/>
      <c r="MH11" s="43"/>
      <c r="MI11" s="43"/>
      <c r="MJ11" s="43"/>
      <c r="MK11" s="43"/>
      <c r="ML11" s="43"/>
      <c r="MM11" s="43"/>
      <c r="MN11" s="43"/>
      <c r="MO11" s="43"/>
      <c r="MP11" s="43"/>
      <c r="MQ11" s="43"/>
      <c r="MR11" s="43"/>
      <c r="MS11" s="43"/>
      <c r="MT11" s="43"/>
      <c r="MU11" s="43"/>
      <c r="MV11" s="43"/>
      <c r="MW11" s="43"/>
      <c r="MX11" s="43"/>
      <c r="MY11" s="43"/>
      <c r="MZ11" s="43"/>
      <c r="NA11" s="43"/>
      <c r="NB11" s="43"/>
      <c r="NC11" s="43"/>
      <c r="ND11" s="43"/>
      <c r="NE11" s="43"/>
      <c r="NF11" s="43"/>
      <c r="NG11" s="43"/>
      <c r="NH11" s="43"/>
      <c r="NI11" s="43"/>
      <c r="NJ11" s="43"/>
      <c r="NK11" s="43"/>
      <c r="NL11" s="43"/>
      <c r="NM11" s="43"/>
      <c r="NN11" s="43"/>
      <c r="NO11" s="43"/>
      <c r="NP11" s="43"/>
      <c r="NQ11" s="43"/>
      <c r="NR11" s="43"/>
      <c r="NS11" s="43"/>
      <c r="NT11" s="43"/>
      <c r="NU11" s="43"/>
      <c r="NV11" s="43"/>
      <c r="NW11" s="43"/>
      <c r="NX11" s="43"/>
      <c r="NY11" s="43"/>
      <c r="NZ11" s="43"/>
      <c r="OA11" s="43"/>
      <c r="OB11" s="43"/>
      <c r="OC11" s="43"/>
      <c r="OD11" s="43"/>
      <c r="OE11" s="43"/>
      <c r="OF11" s="43"/>
      <c r="OG11" s="43"/>
      <c r="OH11" s="43"/>
      <c r="OI11" s="43"/>
      <c r="OJ11" s="43"/>
      <c r="OK11" s="43"/>
      <c r="OL11" s="43"/>
      <c r="OM11" s="43"/>
      <c r="ON11" s="43"/>
      <c r="OO11" s="43"/>
      <c r="OP11" s="43"/>
      <c r="OQ11" s="43"/>
      <c r="OR11" s="43"/>
      <c r="OS11" s="43"/>
      <c r="OT11" s="43"/>
      <c r="OU11" s="43"/>
      <c r="OV11" s="43"/>
      <c r="OW11" s="43"/>
      <c r="OX11" s="43"/>
      <c r="OY11" s="43"/>
      <c r="OZ11" s="43"/>
      <c r="PA11" s="43"/>
      <c r="PB11" s="43"/>
      <c r="PC11" s="43"/>
      <c r="PD11" s="43"/>
      <c r="PE11" s="43"/>
      <c r="PF11" s="43"/>
      <c r="PG11" s="43"/>
      <c r="PH11" s="43"/>
      <c r="PI11" s="43"/>
      <c r="PJ11" s="43"/>
      <c r="PK11" s="43"/>
      <c r="PL11" s="43"/>
      <c r="PM11" s="43"/>
      <c r="PN11" s="43"/>
      <c r="PO11" s="43"/>
      <c r="PP11" s="43"/>
      <c r="PQ11" s="43"/>
      <c r="PR11" s="43"/>
      <c r="PS11" s="43"/>
      <c r="PT11" s="43"/>
      <c r="PU11" s="43"/>
      <c r="PV11" s="43"/>
      <c r="PW11" s="43"/>
      <c r="PX11" s="43"/>
      <c r="PY11" s="43"/>
      <c r="PZ11" s="43"/>
      <c r="QA11" s="43"/>
      <c r="QB11" s="43"/>
      <c r="QC11" s="43"/>
    </row>
    <row r="12" spans="1:445" ht="16.5" customHeight="1" x14ac:dyDescent="0.3">
      <c r="A12" s="47" t="s">
        <v>127</v>
      </c>
      <c r="B12" s="45" t="s">
        <v>73</v>
      </c>
      <c r="C12" s="45" t="s">
        <v>106</v>
      </c>
      <c r="D12" s="45" t="s">
        <v>77</v>
      </c>
      <c r="E12" s="45"/>
      <c r="F12" s="45">
        <v>650</v>
      </c>
      <c r="G12" s="45"/>
      <c r="H12" s="45"/>
      <c r="I12" s="45"/>
      <c r="J12" s="45"/>
      <c r="K12" s="45"/>
      <c r="L12" s="45">
        <v>65</v>
      </c>
      <c r="M12" s="45">
        <v>130</v>
      </c>
      <c r="N12" s="45">
        <v>130</v>
      </c>
      <c r="O12" s="45">
        <v>130</v>
      </c>
      <c r="P12" s="45">
        <v>130</v>
      </c>
      <c r="Q12" s="45">
        <v>65</v>
      </c>
      <c r="R12" s="45"/>
      <c r="S12" s="45"/>
      <c r="T12" s="46">
        <f t="shared" si="2"/>
        <v>650</v>
      </c>
      <c r="U12" s="46">
        <f t="shared" si="3"/>
        <v>0</v>
      </c>
      <c r="V12" s="72">
        <f t="shared" si="4"/>
        <v>1</v>
      </c>
      <c r="X12" s="73" t="str">
        <f t="shared" si="5"/>
        <v/>
      </c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3"/>
      <c r="EM12" s="43"/>
      <c r="EN12" s="43"/>
      <c r="EO12" s="43"/>
      <c r="EP12" s="43"/>
      <c r="EQ12" s="43"/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43"/>
      <c r="FI12" s="43"/>
      <c r="FJ12" s="43"/>
      <c r="FK12" s="43"/>
      <c r="FL12" s="43"/>
      <c r="FM12" s="43"/>
      <c r="FN12" s="43"/>
      <c r="FO12" s="43"/>
      <c r="FP12" s="43"/>
      <c r="FQ12" s="43"/>
      <c r="FR12" s="43"/>
      <c r="FS12" s="43"/>
      <c r="FT12" s="43"/>
      <c r="FU12" s="43"/>
      <c r="FV12" s="43"/>
      <c r="FW12" s="43"/>
      <c r="FX12" s="43"/>
      <c r="FY12" s="43"/>
      <c r="FZ12" s="43"/>
      <c r="GA12" s="43"/>
      <c r="GB12" s="43"/>
      <c r="GC12" s="43"/>
      <c r="GD12" s="43"/>
      <c r="GE12" s="43"/>
      <c r="GF12" s="43"/>
      <c r="GG12" s="43"/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43"/>
      <c r="GY12" s="43"/>
      <c r="GZ12" s="43"/>
      <c r="HA12" s="43"/>
      <c r="HB12" s="43"/>
      <c r="HC12" s="43"/>
      <c r="HD12" s="43"/>
      <c r="HE12" s="43"/>
      <c r="HF12" s="43"/>
      <c r="HG12" s="43"/>
      <c r="HH12" s="43"/>
      <c r="HI12" s="43"/>
      <c r="HJ12" s="43"/>
      <c r="HK12" s="43"/>
      <c r="HL12" s="43"/>
      <c r="HM12" s="43"/>
      <c r="HN12" s="43"/>
      <c r="HO12" s="43"/>
      <c r="HP12" s="43"/>
      <c r="HQ12" s="43"/>
      <c r="HR12" s="43"/>
      <c r="HS12" s="43"/>
      <c r="HT12" s="43"/>
      <c r="HU12" s="43"/>
      <c r="HV12" s="43"/>
      <c r="HW12" s="43"/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43"/>
      <c r="IO12" s="43"/>
      <c r="IP12" s="43"/>
      <c r="IQ12" s="43"/>
      <c r="IR12" s="43"/>
      <c r="IS12" s="43"/>
      <c r="IT12" s="43"/>
      <c r="IU12" s="43"/>
      <c r="IV12" s="43"/>
      <c r="IW12" s="43"/>
      <c r="IX12" s="43"/>
      <c r="IY12" s="43"/>
      <c r="IZ12" s="43"/>
      <c r="JA12" s="43"/>
      <c r="JB12" s="43"/>
      <c r="JC12" s="43"/>
      <c r="JD12" s="43"/>
      <c r="JE12" s="43"/>
      <c r="JF12" s="43"/>
      <c r="JG12" s="43"/>
      <c r="JH12" s="43"/>
      <c r="JI12" s="43"/>
      <c r="JJ12" s="43"/>
      <c r="JK12" s="43"/>
      <c r="JL12" s="43"/>
      <c r="JM12" s="43"/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43"/>
      <c r="KE12" s="43"/>
      <c r="KF12" s="43"/>
      <c r="KG12" s="43"/>
      <c r="KH12" s="43"/>
      <c r="KI12" s="43"/>
      <c r="KJ12" s="43"/>
      <c r="KK12" s="43"/>
      <c r="KL12" s="43"/>
      <c r="KM12" s="43"/>
      <c r="KN12" s="43"/>
      <c r="KO12" s="43"/>
      <c r="KP12" s="43"/>
      <c r="KQ12" s="43"/>
      <c r="KR12" s="43"/>
      <c r="KS12" s="43"/>
      <c r="KT12" s="43"/>
      <c r="KU12" s="43"/>
      <c r="KV12" s="43"/>
      <c r="KW12" s="43"/>
      <c r="KX12" s="43"/>
      <c r="KY12" s="43"/>
      <c r="KZ12" s="43"/>
      <c r="LA12" s="43"/>
      <c r="LB12" s="43"/>
      <c r="LC12" s="43"/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43"/>
      <c r="LU12" s="43"/>
      <c r="LV12" s="43"/>
      <c r="LW12" s="43"/>
      <c r="LX12" s="43"/>
      <c r="LY12" s="43"/>
      <c r="LZ12" s="43"/>
      <c r="MA12" s="43"/>
      <c r="MB12" s="43"/>
      <c r="MC12" s="43"/>
      <c r="MD12" s="43"/>
      <c r="ME12" s="43"/>
      <c r="MF12" s="43"/>
      <c r="MG12" s="43"/>
      <c r="MH12" s="43"/>
      <c r="MI12" s="43"/>
      <c r="MJ12" s="43"/>
      <c r="MK12" s="43"/>
      <c r="ML12" s="43"/>
      <c r="MM12" s="43"/>
      <c r="MN12" s="43"/>
      <c r="MO12" s="43"/>
      <c r="MP12" s="43"/>
      <c r="MQ12" s="43"/>
      <c r="MR12" s="43"/>
      <c r="MS12" s="43"/>
      <c r="MT12" s="43"/>
      <c r="MU12" s="43"/>
      <c r="MV12" s="43"/>
      <c r="MW12" s="43"/>
      <c r="MX12" s="43"/>
      <c r="MY12" s="43"/>
      <c r="MZ12" s="43"/>
      <c r="NA12" s="43"/>
      <c r="NB12" s="43"/>
      <c r="NC12" s="43"/>
      <c r="ND12" s="43"/>
      <c r="NE12" s="43"/>
      <c r="NF12" s="43"/>
      <c r="NG12" s="43"/>
      <c r="NH12" s="43"/>
      <c r="NI12" s="43"/>
      <c r="NJ12" s="43"/>
      <c r="NK12" s="43"/>
      <c r="NL12" s="43"/>
      <c r="NM12" s="43"/>
      <c r="NN12" s="43"/>
      <c r="NO12" s="43"/>
      <c r="NP12" s="43"/>
      <c r="NQ12" s="43"/>
      <c r="NR12" s="43"/>
      <c r="NS12" s="43"/>
      <c r="NT12" s="43"/>
      <c r="NU12" s="43"/>
      <c r="NV12" s="43"/>
      <c r="NW12" s="43"/>
      <c r="NX12" s="43"/>
      <c r="NY12" s="43"/>
      <c r="NZ12" s="43"/>
      <c r="OA12" s="43"/>
      <c r="OB12" s="43"/>
      <c r="OC12" s="43"/>
      <c r="OD12" s="43"/>
      <c r="OE12" s="43"/>
      <c r="OF12" s="43"/>
      <c r="OG12" s="43"/>
      <c r="OH12" s="43"/>
      <c r="OI12" s="43"/>
      <c r="OJ12" s="43"/>
      <c r="OK12" s="43"/>
      <c r="OL12" s="43"/>
      <c r="OM12" s="43"/>
      <c r="ON12" s="43"/>
      <c r="OO12" s="43"/>
      <c r="OP12" s="43"/>
      <c r="OQ12" s="43"/>
      <c r="OR12" s="43"/>
      <c r="OS12" s="43"/>
      <c r="OT12" s="43"/>
      <c r="OU12" s="43"/>
      <c r="OV12" s="43"/>
      <c r="OW12" s="43"/>
      <c r="OX12" s="43"/>
      <c r="OY12" s="43"/>
      <c r="OZ12" s="43"/>
      <c r="PA12" s="43"/>
      <c r="PB12" s="43"/>
      <c r="PC12" s="43"/>
      <c r="PD12" s="43"/>
      <c r="PE12" s="43"/>
      <c r="PF12" s="43"/>
      <c r="PG12" s="43"/>
      <c r="PH12" s="43"/>
      <c r="PI12" s="43"/>
      <c r="PJ12" s="43"/>
      <c r="PK12" s="43"/>
      <c r="PL12" s="43"/>
      <c r="PM12" s="43"/>
      <c r="PN12" s="43"/>
      <c r="PO12" s="43"/>
      <c r="PP12" s="43"/>
      <c r="PQ12" s="43"/>
      <c r="PR12" s="43"/>
      <c r="PS12" s="43"/>
      <c r="PT12" s="43"/>
      <c r="PU12" s="43"/>
      <c r="PV12" s="43"/>
      <c r="PW12" s="43"/>
      <c r="PX12" s="43"/>
      <c r="PY12" s="43"/>
      <c r="PZ12" s="43"/>
      <c r="QA12" s="43"/>
      <c r="QB12" s="43"/>
      <c r="QC12" s="43"/>
    </row>
    <row r="13" spans="1:445" x14ac:dyDescent="0.3">
      <c r="A13" s="47" t="s">
        <v>128</v>
      </c>
      <c r="B13" s="45" t="s">
        <v>73</v>
      </c>
      <c r="C13" s="45" t="s">
        <v>116</v>
      </c>
      <c r="D13" s="45" t="s">
        <v>77</v>
      </c>
      <c r="E13" s="45"/>
      <c r="F13" s="45">
        <v>517</v>
      </c>
      <c r="G13" s="45"/>
      <c r="H13" s="45"/>
      <c r="I13" s="45"/>
      <c r="J13" s="45"/>
      <c r="K13" s="45"/>
      <c r="L13" s="45"/>
      <c r="M13" s="45">
        <v>115</v>
      </c>
      <c r="N13" s="45">
        <v>115</v>
      </c>
      <c r="O13" s="45">
        <v>115</v>
      </c>
      <c r="P13" s="45">
        <v>115</v>
      </c>
      <c r="Q13" s="45">
        <v>57</v>
      </c>
      <c r="R13" s="45"/>
      <c r="S13" s="45"/>
      <c r="T13" s="46">
        <f t="shared" si="2"/>
        <v>517</v>
      </c>
      <c r="U13" s="46">
        <f t="shared" si="3"/>
        <v>0</v>
      </c>
      <c r="V13" s="72">
        <f t="shared" si="4"/>
        <v>1</v>
      </c>
      <c r="W13" s="48"/>
      <c r="X13" s="73" t="str">
        <f t="shared" si="5"/>
        <v/>
      </c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43"/>
      <c r="CY13" s="43"/>
      <c r="CZ13" s="43"/>
      <c r="DA13" s="43"/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43"/>
      <c r="DS13" s="43"/>
      <c r="DT13" s="43"/>
      <c r="DU13" s="43"/>
      <c r="DV13" s="43"/>
      <c r="DW13" s="43"/>
      <c r="DX13" s="43"/>
      <c r="DY13" s="43"/>
      <c r="DZ13" s="43"/>
      <c r="EA13" s="43"/>
      <c r="EB13" s="43"/>
      <c r="EC13" s="43"/>
      <c r="ED13" s="43"/>
      <c r="EE13" s="43"/>
      <c r="EF13" s="43"/>
      <c r="EG13" s="43"/>
      <c r="EH13" s="43"/>
      <c r="EI13" s="43"/>
      <c r="EJ13" s="43"/>
      <c r="EK13" s="43"/>
      <c r="EL13" s="43"/>
      <c r="EM13" s="43"/>
      <c r="EN13" s="43"/>
      <c r="EO13" s="43"/>
      <c r="EP13" s="43"/>
      <c r="EQ13" s="43"/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43"/>
      <c r="FI13" s="43"/>
      <c r="FJ13" s="43"/>
      <c r="FK13" s="43"/>
      <c r="FL13" s="43"/>
      <c r="FM13" s="43"/>
      <c r="FN13" s="43"/>
      <c r="FO13" s="43"/>
      <c r="FP13" s="43"/>
      <c r="FQ13" s="43"/>
      <c r="FR13" s="43"/>
      <c r="FS13" s="43"/>
      <c r="FT13" s="43"/>
      <c r="FU13" s="43"/>
      <c r="FV13" s="43"/>
      <c r="FW13" s="43"/>
      <c r="FX13" s="43"/>
      <c r="FY13" s="43"/>
      <c r="FZ13" s="43"/>
      <c r="GA13" s="43"/>
      <c r="GB13" s="43"/>
      <c r="GC13" s="43"/>
      <c r="GD13" s="43"/>
      <c r="GE13" s="43"/>
      <c r="GF13" s="43"/>
      <c r="GG13" s="43"/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43"/>
      <c r="GY13" s="43"/>
      <c r="GZ13" s="43"/>
      <c r="HA13" s="43"/>
      <c r="HB13" s="43"/>
      <c r="HC13" s="43"/>
      <c r="HD13" s="43"/>
      <c r="HE13" s="43"/>
      <c r="HF13" s="43"/>
      <c r="HG13" s="43"/>
      <c r="HH13" s="43"/>
      <c r="HI13" s="43"/>
      <c r="HJ13" s="43"/>
      <c r="HK13" s="43"/>
      <c r="HL13" s="43"/>
      <c r="HM13" s="43"/>
      <c r="HN13" s="43"/>
      <c r="HO13" s="43"/>
      <c r="HP13" s="43"/>
      <c r="HQ13" s="43"/>
      <c r="HR13" s="43"/>
      <c r="HS13" s="43"/>
      <c r="HT13" s="43"/>
      <c r="HU13" s="43"/>
      <c r="HV13" s="43"/>
      <c r="HW13" s="43"/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43"/>
      <c r="IO13" s="43"/>
      <c r="IP13" s="43"/>
      <c r="IQ13" s="43"/>
      <c r="IR13" s="43"/>
      <c r="IS13" s="43"/>
      <c r="IT13" s="43"/>
      <c r="IU13" s="43"/>
      <c r="IV13" s="43"/>
      <c r="IW13" s="43"/>
      <c r="IX13" s="43"/>
      <c r="IY13" s="43"/>
      <c r="IZ13" s="43"/>
      <c r="JA13" s="43"/>
      <c r="JB13" s="43"/>
      <c r="JC13" s="43"/>
      <c r="JD13" s="43"/>
      <c r="JE13" s="43"/>
      <c r="JF13" s="43"/>
      <c r="JG13" s="43"/>
      <c r="JH13" s="43"/>
      <c r="JI13" s="43"/>
      <c r="JJ13" s="43"/>
      <c r="JK13" s="43"/>
      <c r="JL13" s="43"/>
      <c r="JM13" s="43"/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43"/>
      <c r="KE13" s="43"/>
      <c r="KF13" s="43"/>
      <c r="KG13" s="43"/>
      <c r="KH13" s="43"/>
      <c r="KI13" s="43"/>
      <c r="KJ13" s="43"/>
      <c r="KK13" s="43"/>
      <c r="KL13" s="43"/>
      <c r="KM13" s="43"/>
      <c r="KN13" s="43"/>
      <c r="KO13" s="43"/>
      <c r="KP13" s="43"/>
      <c r="KQ13" s="43"/>
      <c r="KR13" s="43"/>
      <c r="KS13" s="43"/>
      <c r="KT13" s="43"/>
      <c r="KU13" s="43"/>
      <c r="KV13" s="43"/>
      <c r="KW13" s="43"/>
      <c r="KX13" s="43"/>
      <c r="KY13" s="43"/>
      <c r="KZ13" s="43"/>
      <c r="LA13" s="43"/>
      <c r="LB13" s="43"/>
      <c r="LC13" s="43"/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43"/>
      <c r="LU13" s="43"/>
      <c r="LV13" s="43"/>
      <c r="LW13" s="43"/>
      <c r="LX13" s="43"/>
      <c r="LY13" s="43"/>
      <c r="LZ13" s="43"/>
      <c r="MA13" s="43"/>
      <c r="MB13" s="43"/>
      <c r="MC13" s="43"/>
      <c r="MD13" s="43"/>
      <c r="ME13" s="43"/>
      <c r="MF13" s="43"/>
      <c r="MG13" s="43"/>
      <c r="MH13" s="43"/>
      <c r="MI13" s="43"/>
      <c r="MJ13" s="43"/>
      <c r="MK13" s="43"/>
      <c r="ML13" s="43"/>
      <c r="MM13" s="43"/>
      <c r="MN13" s="43"/>
      <c r="MO13" s="43"/>
      <c r="MP13" s="43"/>
      <c r="MQ13" s="43"/>
      <c r="MR13" s="43"/>
      <c r="MS13" s="43"/>
      <c r="MT13" s="43"/>
      <c r="MU13" s="43"/>
      <c r="MV13" s="43"/>
      <c r="MW13" s="43"/>
      <c r="MX13" s="43"/>
      <c r="MY13" s="43"/>
      <c r="MZ13" s="43"/>
      <c r="NA13" s="43"/>
      <c r="NB13" s="43"/>
      <c r="NC13" s="43"/>
      <c r="ND13" s="43"/>
      <c r="NE13" s="43"/>
      <c r="NF13" s="43"/>
      <c r="NG13" s="43"/>
      <c r="NH13" s="43"/>
      <c r="NI13" s="43"/>
      <c r="NJ13" s="43"/>
      <c r="NK13" s="43"/>
      <c r="NL13" s="43"/>
      <c r="NM13" s="43"/>
      <c r="NN13" s="43"/>
      <c r="NO13" s="43"/>
      <c r="NP13" s="43"/>
      <c r="NQ13" s="43"/>
      <c r="NR13" s="43"/>
      <c r="NS13" s="43"/>
      <c r="NT13" s="43"/>
      <c r="NU13" s="43"/>
      <c r="NV13" s="43"/>
      <c r="NW13" s="43"/>
      <c r="NX13" s="43"/>
      <c r="NY13" s="43"/>
      <c r="NZ13" s="43"/>
      <c r="OA13" s="43"/>
      <c r="OB13" s="43"/>
      <c r="OC13" s="43"/>
      <c r="OD13" s="43"/>
      <c r="OE13" s="43"/>
      <c r="OF13" s="43"/>
      <c r="OG13" s="43"/>
      <c r="OH13" s="43"/>
      <c r="OI13" s="43"/>
      <c r="OJ13" s="43"/>
      <c r="OK13" s="43"/>
      <c r="OL13" s="43"/>
      <c r="OM13" s="43"/>
      <c r="ON13" s="43"/>
      <c r="OO13" s="43"/>
      <c r="OP13" s="43"/>
      <c r="OQ13" s="43"/>
      <c r="OR13" s="43"/>
      <c r="OS13" s="43"/>
      <c r="OT13" s="43"/>
      <c r="OU13" s="43"/>
      <c r="OV13" s="43"/>
      <c r="OW13" s="43"/>
      <c r="OX13" s="43"/>
      <c r="OY13" s="43"/>
      <c r="OZ13" s="43"/>
      <c r="PA13" s="43"/>
      <c r="PB13" s="43"/>
      <c r="PC13" s="43"/>
      <c r="PD13" s="43"/>
      <c r="PE13" s="43"/>
      <c r="PF13" s="43"/>
      <c r="PG13" s="43"/>
      <c r="PH13" s="43"/>
      <c r="PI13" s="43"/>
      <c r="PJ13" s="43"/>
      <c r="PK13" s="43"/>
      <c r="PL13" s="43"/>
      <c r="PM13" s="43"/>
      <c r="PN13" s="43"/>
      <c r="PO13" s="43"/>
      <c r="PP13" s="43"/>
      <c r="PQ13" s="43"/>
      <c r="PR13" s="43"/>
      <c r="PS13" s="43"/>
      <c r="PT13" s="43"/>
      <c r="PU13" s="43"/>
      <c r="PV13" s="43"/>
      <c r="PW13" s="43"/>
      <c r="PX13" s="43"/>
      <c r="PY13" s="43"/>
      <c r="PZ13" s="43"/>
      <c r="QA13" s="43"/>
      <c r="QB13" s="43"/>
      <c r="QC13" s="43"/>
    </row>
    <row r="14" spans="1:445" x14ac:dyDescent="0.3">
      <c r="A14" s="47" t="s">
        <v>120</v>
      </c>
      <c r="B14" s="45" t="s">
        <v>73</v>
      </c>
      <c r="C14" s="45" t="s">
        <v>113</v>
      </c>
      <c r="D14" s="45" t="s">
        <v>75</v>
      </c>
      <c r="E14" s="45"/>
      <c r="F14" s="45">
        <v>1800</v>
      </c>
      <c r="G14" s="45"/>
      <c r="H14" s="45">
        <v>115</v>
      </c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6">
        <f t="shared" si="2"/>
        <v>115</v>
      </c>
      <c r="U14" s="46">
        <f t="shared" si="3"/>
        <v>0</v>
      </c>
      <c r="V14" s="72">
        <f t="shared" si="4"/>
        <v>1</v>
      </c>
      <c r="W14" s="48" t="s">
        <v>73</v>
      </c>
      <c r="X14" s="73">
        <f t="shared" si="5"/>
        <v>1685</v>
      </c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/>
      <c r="CS14" s="43"/>
      <c r="CT14" s="43"/>
      <c r="CU14" s="43"/>
      <c r="CV14" s="43"/>
      <c r="CW14" s="43"/>
      <c r="CX14" s="43"/>
      <c r="CY14" s="43"/>
      <c r="CZ14" s="43"/>
      <c r="DA14" s="43"/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43"/>
      <c r="DS14" s="43"/>
      <c r="DT14" s="43"/>
      <c r="DU14" s="43"/>
      <c r="DV14" s="43"/>
      <c r="DW14" s="43"/>
      <c r="DX14" s="43"/>
      <c r="DY14" s="43"/>
      <c r="DZ14" s="43"/>
      <c r="EA14" s="43"/>
      <c r="EB14" s="43"/>
      <c r="EC14" s="43"/>
      <c r="ED14" s="43"/>
      <c r="EE14" s="43"/>
      <c r="EF14" s="43"/>
      <c r="EG14" s="43"/>
      <c r="EH14" s="43"/>
      <c r="EI14" s="43"/>
      <c r="EJ14" s="43"/>
      <c r="EK14" s="43"/>
      <c r="EL14" s="43"/>
      <c r="EM14" s="43"/>
      <c r="EN14" s="43"/>
      <c r="EO14" s="43"/>
      <c r="EP14" s="43"/>
      <c r="EQ14" s="43"/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43"/>
      <c r="FI14" s="43"/>
      <c r="FJ14" s="43"/>
      <c r="FK14" s="43"/>
      <c r="FL14" s="43"/>
      <c r="FM14" s="43"/>
      <c r="FN14" s="43"/>
      <c r="FO14" s="43"/>
      <c r="FP14" s="43"/>
      <c r="FQ14" s="43"/>
      <c r="FR14" s="43"/>
      <c r="FS14" s="43"/>
      <c r="FT14" s="43"/>
      <c r="FU14" s="43"/>
      <c r="FV14" s="43"/>
      <c r="FW14" s="43"/>
      <c r="FX14" s="43"/>
      <c r="FY14" s="43"/>
      <c r="FZ14" s="43"/>
      <c r="GA14" s="43"/>
      <c r="GB14" s="43"/>
      <c r="GC14" s="43"/>
      <c r="GD14" s="43"/>
      <c r="GE14" s="43"/>
      <c r="GF14" s="43"/>
      <c r="GG14" s="43"/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43"/>
      <c r="GY14" s="43"/>
      <c r="GZ14" s="43"/>
      <c r="HA14" s="43"/>
      <c r="HB14" s="43"/>
      <c r="HC14" s="43"/>
      <c r="HD14" s="43"/>
      <c r="HE14" s="43"/>
      <c r="HF14" s="43"/>
      <c r="HG14" s="43"/>
      <c r="HH14" s="43"/>
      <c r="HI14" s="43"/>
      <c r="HJ14" s="43"/>
      <c r="HK14" s="43"/>
      <c r="HL14" s="43"/>
      <c r="HM14" s="43"/>
      <c r="HN14" s="43"/>
      <c r="HO14" s="43"/>
      <c r="HP14" s="43"/>
      <c r="HQ14" s="43"/>
      <c r="HR14" s="43"/>
      <c r="HS14" s="43"/>
      <c r="HT14" s="43"/>
      <c r="HU14" s="43"/>
      <c r="HV14" s="43"/>
      <c r="HW14" s="43"/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43"/>
      <c r="IO14" s="43"/>
      <c r="IP14" s="43"/>
      <c r="IQ14" s="43"/>
      <c r="IR14" s="43"/>
      <c r="IS14" s="43"/>
      <c r="IT14" s="43"/>
      <c r="IU14" s="43"/>
      <c r="IV14" s="43"/>
      <c r="IW14" s="43"/>
      <c r="IX14" s="43"/>
      <c r="IY14" s="43"/>
      <c r="IZ14" s="43"/>
      <c r="JA14" s="43"/>
      <c r="JB14" s="43"/>
      <c r="JC14" s="43"/>
      <c r="JD14" s="43"/>
      <c r="JE14" s="43"/>
      <c r="JF14" s="43"/>
      <c r="JG14" s="43"/>
      <c r="JH14" s="43"/>
      <c r="JI14" s="43"/>
      <c r="JJ14" s="43"/>
      <c r="JK14" s="43"/>
      <c r="JL14" s="43"/>
      <c r="JM14" s="43"/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43"/>
      <c r="KE14" s="43"/>
      <c r="KF14" s="43"/>
      <c r="KG14" s="43"/>
      <c r="KH14" s="43"/>
      <c r="KI14" s="43"/>
      <c r="KJ14" s="43"/>
      <c r="KK14" s="43"/>
      <c r="KL14" s="43"/>
      <c r="KM14" s="43"/>
      <c r="KN14" s="43"/>
      <c r="KO14" s="43"/>
      <c r="KP14" s="43"/>
      <c r="KQ14" s="43"/>
      <c r="KR14" s="43"/>
      <c r="KS14" s="43"/>
      <c r="KT14" s="43"/>
      <c r="KU14" s="43"/>
      <c r="KV14" s="43"/>
      <c r="KW14" s="43"/>
      <c r="KX14" s="43"/>
      <c r="KY14" s="43"/>
      <c r="KZ14" s="43"/>
      <c r="LA14" s="43"/>
      <c r="LB14" s="43"/>
      <c r="LC14" s="43"/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43"/>
      <c r="LU14" s="43"/>
      <c r="LV14" s="43"/>
      <c r="LW14" s="43"/>
      <c r="LX14" s="43"/>
      <c r="LY14" s="43"/>
      <c r="LZ14" s="43"/>
      <c r="MA14" s="43"/>
      <c r="MB14" s="43"/>
      <c r="MC14" s="43"/>
      <c r="MD14" s="43"/>
      <c r="ME14" s="43"/>
      <c r="MF14" s="43"/>
      <c r="MG14" s="43"/>
      <c r="MH14" s="43"/>
      <c r="MI14" s="43"/>
      <c r="MJ14" s="43"/>
      <c r="MK14" s="43"/>
      <c r="ML14" s="43"/>
      <c r="MM14" s="43"/>
      <c r="MN14" s="43"/>
      <c r="MO14" s="43"/>
      <c r="MP14" s="43"/>
      <c r="MQ14" s="43"/>
      <c r="MR14" s="43"/>
      <c r="MS14" s="43"/>
      <c r="MT14" s="43"/>
      <c r="MU14" s="43"/>
      <c r="MV14" s="43"/>
      <c r="MW14" s="43"/>
      <c r="MX14" s="43"/>
      <c r="MY14" s="43"/>
      <c r="MZ14" s="43"/>
      <c r="NA14" s="43"/>
      <c r="NB14" s="43"/>
      <c r="NC14" s="43"/>
      <c r="ND14" s="43"/>
      <c r="NE14" s="43"/>
      <c r="NF14" s="43"/>
      <c r="NG14" s="43"/>
      <c r="NH14" s="43"/>
      <c r="NI14" s="43"/>
      <c r="NJ14" s="43"/>
      <c r="NK14" s="43"/>
      <c r="NL14" s="43"/>
      <c r="NM14" s="43"/>
      <c r="NN14" s="43"/>
      <c r="NO14" s="43"/>
      <c r="NP14" s="43"/>
      <c r="NQ14" s="43"/>
      <c r="NR14" s="43"/>
      <c r="NS14" s="43"/>
      <c r="NT14" s="43"/>
      <c r="NU14" s="43"/>
      <c r="NV14" s="43"/>
      <c r="NW14" s="43"/>
      <c r="NX14" s="43"/>
      <c r="NY14" s="43"/>
      <c r="NZ14" s="43"/>
      <c r="OA14" s="43"/>
      <c r="OB14" s="43"/>
      <c r="OC14" s="43"/>
      <c r="OD14" s="43"/>
      <c r="OE14" s="43"/>
      <c r="OF14" s="43"/>
      <c r="OG14" s="43"/>
      <c r="OH14" s="43"/>
      <c r="OI14" s="43"/>
      <c r="OJ14" s="43"/>
      <c r="OK14" s="43"/>
      <c r="OL14" s="43"/>
      <c r="OM14" s="43"/>
      <c r="ON14" s="43"/>
      <c r="OO14" s="43"/>
      <c r="OP14" s="43"/>
      <c r="OQ14" s="43"/>
      <c r="OR14" s="43"/>
      <c r="OS14" s="43"/>
      <c r="OT14" s="43"/>
      <c r="OU14" s="43"/>
      <c r="OV14" s="43"/>
      <c r="OW14" s="43"/>
      <c r="OX14" s="43"/>
      <c r="OY14" s="43"/>
      <c r="OZ14" s="43"/>
      <c r="PA14" s="43"/>
      <c r="PB14" s="43"/>
      <c r="PC14" s="43"/>
      <c r="PD14" s="43"/>
      <c r="PE14" s="43"/>
      <c r="PF14" s="43"/>
      <c r="PG14" s="43"/>
      <c r="PH14" s="43"/>
      <c r="PI14" s="43"/>
      <c r="PJ14" s="43"/>
      <c r="PK14" s="43"/>
      <c r="PL14" s="43"/>
      <c r="PM14" s="43"/>
      <c r="PN14" s="43"/>
      <c r="PO14" s="43"/>
      <c r="PP14" s="43"/>
      <c r="PQ14" s="43"/>
      <c r="PR14" s="43"/>
      <c r="PS14" s="43"/>
      <c r="PT14" s="43"/>
      <c r="PU14" s="43"/>
      <c r="PV14" s="43"/>
      <c r="PW14" s="43"/>
      <c r="PX14" s="43"/>
      <c r="PY14" s="43"/>
      <c r="PZ14" s="43"/>
      <c r="QA14" s="43"/>
      <c r="QB14" s="43"/>
      <c r="QC14" s="43"/>
    </row>
    <row r="15" spans="1:445" x14ac:dyDescent="0.3">
      <c r="A15" s="47" t="s">
        <v>121</v>
      </c>
      <c r="B15" s="45" t="s">
        <v>73</v>
      </c>
      <c r="C15" s="45" t="s">
        <v>106</v>
      </c>
      <c r="D15" s="45" t="s">
        <v>77</v>
      </c>
      <c r="E15" s="45">
        <v>40</v>
      </c>
      <c r="F15" s="45">
        <v>1170</v>
      </c>
      <c r="G15" s="45"/>
      <c r="H15" s="45">
        <v>65</v>
      </c>
      <c r="I15" s="45">
        <v>130</v>
      </c>
      <c r="J15" s="45">
        <v>130</v>
      </c>
      <c r="K15" s="45">
        <v>130</v>
      </c>
      <c r="L15" s="45">
        <v>130</v>
      </c>
      <c r="M15" s="45">
        <v>130</v>
      </c>
      <c r="N15" s="45">
        <v>130</v>
      </c>
      <c r="O15" s="45">
        <v>130</v>
      </c>
      <c r="P15" s="45"/>
      <c r="Q15" s="45"/>
      <c r="R15" s="45"/>
      <c r="S15" s="45"/>
      <c r="T15" s="46">
        <f t="shared" si="2"/>
        <v>975</v>
      </c>
      <c r="U15" s="46">
        <f t="shared" si="3"/>
        <v>0</v>
      </c>
      <c r="V15" s="72">
        <f t="shared" si="4"/>
        <v>1.0341880341880343</v>
      </c>
      <c r="W15" s="49" t="s">
        <v>73</v>
      </c>
      <c r="X15" s="73">
        <f t="shared" si="5"/>
        <v>195</v>
      </c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  <c r="CU15" s="43"/>
      <c r="CV15" s="43"/>
      <c r="CW15" s="43"/>
      <c r="CX15" s="43"/>
      <c r="CY15" s="43"/>
      <c r="CZ15" s="43"/>
      <c r="DA15" s="43"/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43"/>
      <c r="DS15" s="43"/>
      <c r="DT15" s="43"/>
      <c r="DU15" s="43"/>
      <c r="DV15" s="43"/>
      <c r="DW15" s="43"/>
      <c r="DX15" s="43"/>
      <c r="DY15" s="43"/>
      <c r="DZ15" s="43"/>
      <c r="EA15" s="43"/>
      <c r="EB15" s="43"/>
      <c r="EC15" s="43"/>
      <c r="ED15" s="43"/>
      <c r="EE15" s="43"/>
      <c r="EF15" s="43"/>
      <c r="EG15" s="43"/>
      <c r="EH15" s="43"/>
      <c r="EI15" s="43"/>
      <c r="EJ15" s="43"/>
      <c r="EK15" s="43"/>
      <c r="EL15" s="43"/>
      <c r="EM15" s="43"/>
      <c r="EN15" s="43"/>
      <c r="EO15" s="43"/>
      <c r="EP15" s="43"/>
      <c r="EQ15" s="43"/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43"/>
      <c r="FI15" s="43"/>
      <c r="FJ15" s="43"/>
      <c r="FK15" s="43"/>
      <c r="FL15" s="43"/>
      <c r="FM15" s="43"/>
      <c r="FN15" s="43"/>
      <c r="FO15" s="43"/>
      <c r="FP15" s="43"/>
      <c r="FQ15" s="43"/>
      <c r="FR15" s="43"/>
      <c r="FS15" s="43"/>
      <c r="FT15" s="43"/>
      <c r="FU15" s="43"/>
      <c r="FV15" s="43"/>
      <c r="FW15" s="43"/>
      <c r="FX15" s="43"/>
      <c r="FY15" s="43"/>
      <c r="FZ15" s="43"/>
      <c r="GA15" s="43"/>
      <c r="GB15" s="43"/>
      <c r="GC15" s="43"/>
      <c r="GD15" s="43"/>
      <c r="GE15" s="43"/>
      <c r="GF15" s="43"/>
      <c r="GG15" s="43"/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43"/>
      <c r="GY15" s="43"/>
      <c r="GZ15" s="43"/>
      <c r="HA15" s="43"/>
      <c r="HB15" s="43"/>
      <c r="HC15" s="43"/>
      <c r="HD15" s="43"/>
      <c r="HE15" s="43"/>
      <c r="HF15" s="43"/>
      <c r="HG15" s="43"/>
      <c r="HH15" s="43"/>
      <c r="HI15" s="43"/>
      <c r="HJ15" s="43"/>
      <c r="HK15" s="43"/>
      <c r="HL15" s="43"/>
      <c r="HM15" s="43"/>
      <c r="HN15" s="43"/>
      <c r="HO15" s="43"/>
      <c r="HP15" s="43"/>
      <c r="HQ15" s="43"/>
      <c r="HR15" s="43"/>
      <c r="HS15" s="43"/>
      <c r="HT15" s="43"/>
      <c r="HU15" s="43"/>
      <c r="HV15" s="43"/>
      <c r="HW15" s="43"/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43"/>
      <c r="IO15" s="43"/>
      <c r="IP15" s="43"/>
      <c r="IQ15" s="43"/>
      <c r="IR15" s="43"/>
      <c r="IS15" s="43"/>
      <c r="IT15" s="43"/>
      <c r="IU15" s="43"/>
      <c r="IV15" s="43"/>
      <c r="IW15" s="43"/>
      <c r="IX15" s="43"/>
      <c r="IY15" s="43"/>
      <c r="IZ15" s="43"/>
      <c r="JA15" s="43"/>
      <c r="JB15" s="43"/>
      <c r="JC15" s="43"/>
      <c r="JD15" s="43"/>
      <c r="JE15" s="43"/>
      <c r="JF15" s="43"/>
      <c r="JG15" s="43"/>
      <c r="JH15" s="43"/>
      <c r="JI15" s="43"/>
      <c r="JJ15" s="43"/>
      <c r="JK15" s="43"/>
      <c r="JL15" s="43"/>
      <c r="JM15" s="43"/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43"/>
      <c r="KE15" s="43"/>
      <c r="KF15" s="43"/>
      <c r="KG15" s="43"/>
      <c r="KH15" s="43"/>
      <c r="KI15" s="43"/>
      <c r="KJ15" s="43"/>
      <c r="KK15" s="43"/>
      <c r="KL15" s="43"/>
      <c r="KM15" s="43"/>
      <c r="KN15" s="43"/>
      <c r="KO15" s="43"/>
      <c r="KP15" s="43"/>
      <c r="KQ15" s="43"/>
      <c r="KR15" s="43"/>
      <c r="KS15" s="43"/>
      <c r="KT15" s="43"/>
      <c r="KU15" s="43"/>
      <c r="KV15" s="43"/>
      <c r="KW15" s="43"/>
      <c r="KX15" s="43"/>
      <c r="KY15" s="43"/>
      <c r="KZ15" s="43"/>
      <c r="LA15" s="43"/>
      <c r="LB15" s="43"/>
      <c r="LC15" s="43"/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43"/>
      <c r="LU15" s="43"/>
      <c r="LV15" s="43"/>
      <c r="LW15" s="43"/>
      <c r="LX15" s="43"/>
      <c r="LY15" s="43"/>
      <c r="LZ15" s="43"/>
      <c r="MA15" s="43"/>
      <c r="MB15" s="43"/>
      <c r="MC15" s="43"/>
      <c r="MD15" s="43"/>
      <c r="ME15" s="43"/>
      <c r="MF15" s="43"/>
      <c r="MG15" s="43"/>
      <c r="MH15" s="43"/>
      <c r="MI15" s="43"/>
      <c r="MJ15" s="43"/>
      <c r="MK15" s="43"/>
      <c r="ML15" s="43"/>
      <c r="MM15" s="43"/>
      <c r="MN15" s="43"/>
      <c r="MO15" s="43"/>
      <c r="MP15" s="43"/>
      <c r="MQ15" s="43"/>
      <c r="MR15" s="43"/>
      <c r="MS15" s="43"/>
      <c r="MT15" s="43"/>
      <c r="MU15" s="43"/>
      <c r="MV15" s="43"/>
      <c r="MW15" s="43"/>
      <c r="MX15" s="43"/>
      <c r="MY15" s="43"/>
      <c r="MZ15" s="43"/>
      <c r="NA15" s="43"/>
      <c r="NB15" s="43"/>
      <c r="NC15" s="43"/>
      <c r="ND15" s="43"/>
      <c r="NE15" s="43"/>
      <c r="NF15" s="43"/>
      <c r="NG15" s="43"/>
      <c r="NH15" s="43"/>
      <c r="NI15" s="43"/>
      <c r="NJ15" s="43"/>
      <c r="NK15" s="43"/>
      <c r="NL15" s="43"/>
      <c r="NM15" s="43"/>
      <c r="NN15" s="43"/>
      <c r="NO15" s="43"/>
      <c r="NP15" s="43"/>
      <c r="NQ15" s="43"/>
      <c r="NR15" s="43"/>
      <c r="NS15" s="43"/>
      <c r="NT15" s="43"/>
      <c r="NU15" s="43"/>
      <c r="NV15" s="43"/>
      <c r="NW15" s="43"/>
      <c r="NX15" s="43"/>
      <c r="NY15" s="43"/>
      <c r="NZ15" s="43"/>
      <c r="OA15" s="43"/>
      <c r="OB15" s="43"/>
      <c r="OC15" s="43"/>
      <c r="OD15" s="43"/>
      <c r="OE15" s="43"/>
      <c r="OF15" s="43"/>
      <c r="OG15" s="43"/>
      <c r="OH15" s="43"/>
      <c r="OI15" s="43"/>
      <c r="OJ15" s="43"/>
      <c r="OK15" s="43"/>
      <c r="OL15" s="43"/>
      <c r="OM15" s="43"/>
      <c r="ON15" s="43"/>
      <c r="OO15" s="43"/>
      <c r="OP15" s="43"/>
      <c r="OQ15" s="43"/>
      <c r="OR15" s="43"/>
      <c r="OS15" s="43"/>
      <c r="OT15" s="43"/>
      <c r="OU15" s="43"/>
      <c r="OV15" s="43"/>
      <c r="OW15" s="43"/>
      <c r="OX15" s="43"/>
      <c r="OY15" s="43"/>
      <c r="OZ15" s="43"/>
      <c r="PA15" s="43"/>
      <c r="PB15" s="43"/>
      <c r="PC15" s="43"/>
      <c r="PD15" s="43"/>
      <c r="PE15" s="43"/>
      <c r="PF15" s="43"/>
      <c r="PG15" s="43"/>
      <c r="PH15" s="43"/>
      <c r="PI15" s="43"/>
      <c r="PJ15" s="43"/>
      <c r="PK15" s="43"/>
      <c r="PL15" s="43"/>
      <c r="PM15" s="43"/>
      <c r="PN15" s="43"/>
      <c r="PO15" s="43"/>
      <c r="PP15" s="43"/>
      <c r="PQ15" s="43"/>
      <c r="PR15" s="43"/>
      <c r="PS15" s="43"/>
      <c r="PT15" s="43"/>
      <c r="PU15" s="43"/>
      <c r="PV15" s="43"/>
      <c r="PW15" s="43"/>
      <c r="PX15" s="43"/>
      <c r="PY15" s="43"/>
      <c r="PZ15" s="43"/>
      <c r="QA15" s="43"/>
      <c r="QB15" s="43"/>
      <c r="QC15" s="43"/>
    </row>
    <row r="16" spans="1:445" x14ac:dyDescent="0.3">
      <c r="A16" s="47" t="s">
        <v>123</v>
      </c>
      <c r="B16" s="45" t="s">
        <v>124</v>
      </c>
      <c r="C16" s="45" t="s">
        <v>106</v>
      </c>
      <c r="D16" s="45" t="s">
        <v>77</v>
      </c>
      <c r="E16" s="45"/>
      <c r="F16" s="45">
        <v>1105</v>
      </c>
      <c r="G16" s="45"/>
      <c r="H16" s="45">
        <v>0</v>
      </c>
      <c r="I16" s="45">
        <v>135</v>
      </c>
      <c r="J16" s="45">
        <v>135</v>
      </c>
      <c r="K16" s="45">
        <v>135</v>
      </c>
      <c r="L16" s="45">
        <v>135</v>
      </c>
      <c r="M16" s="45">
        <v>135</v>
      </c>
      <c r="N16" s="45">
        <v>430</v>
      </c>
      <c r="O16" s="45"/>
      <c r="P16" s="45"/>
      <c r="Q16" s="45"/>
      <c r="R16" s="45"/>
      <c r="S16" s="45"/>
      <c r="T16" s="46">
        <f t="shared" si="2"/>
        <v>1105</v>
      </c>
      <c r="U16" s="46">
        <f t="shared" si="3"/>
        <v>0</v>
      </c>
      <c r="V16" s="72">
        <f t="shared" si="4"/>
        <v>1</v>
      </c>
      <c r="W16" s="48"/>
      <c r="X16" s="73" t="str">
        <f t="shared" si="5"/>
        <v/>
      </c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  <c r="CW16" s="43"/>
      <c r="CX16" s="43"/>
      <c r="CY16" s="43"/>
      <c r="CZ16" s="43"/>
      <c r="DA16" s="43"/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43"/>
      <c r="DS16" s="43"/>
      <c r="DT16" s="43"/>
      <c r="DU16" s="43"/>
      <c r="DV16" s="43"/>
      <c r="DW16" s="43"/>
      <c r="DX16" s="43"/>
      <c r="DY16" s="43"/>
      <c r="DZ16" s="43"/>
      <c r="EA16" s="43"/>
      <c r="EB16" s="43"/>
      <c r="EC16" s="43"/>
      <c r="ED16" s="43"/>
      <c r="EE16" s="43"/>
      <c r="EF16" s="43"/>
      <c r="EG16" s="43"/>
      <c r="EH16" s="43"/>
      <c r="EI16" s="43"/>
      <c r="EJ16" s="43"/>
      <c r="EK16" s="43"/>
      <c r="EL16" s="43"/>
      <c r="EM16" s="43"/>
      <c r="EN16" s="43"/>
      <c r="EO16" s="43"/>
      <c r="EP16" s="43"/>
      <c r="EQ16" s="43"/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43"/>
      <c r="FI16" s="43"/>
      <c r="FJ16" s="43"/>
      <c r="FK16" s="43"/>
      <c r="FL16" s="43"/>
      <c r="FM16" s="43"/>
      <c r="FN16" s="43"/>
      <c r="FO16" s="43"/>
      <c r="FP16" s="43"/>
      <c r="FQ16" s="43"/>
      <c r="FR16" s="43"/>
      <c r="FS16" s="43"/>
      <c r="FT16" s="43"/>
      <c r="FU16" s="43"/>
      <c r="FV16" s="43"/>
      <c r="FW16" s="43"/>
      <c r="FX16" s="43"/>
      <c r="FY16" s="43"/>
      <c r="FZ16" s="43"/>
      <c r="GA16" s="43"/>
      <c r="GB16" s="43"/>
      <c r="GC16" s="43"/>
      <c r="GD16" s="43"/>
      <c r="GE16" s="43"/>
      <c r="GF16" s="43"/>
      <c r="GG16" s="43"/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43"/>
      <c r="GY16" s="43"/>
      <c r="GZ16" s="43"/>
      <c r="HA16" s="43"/>
      <c r="HB16" s="43"/>
      <c r="HC16" s="43"/>
      <c r="HD16" s="43"/>
      <c r="HE16" s="43"/>
      <c r="HF16" s="43"/>
      <c r="HG16" s="43"/>
      <c r="HH16" s="43"/>
      <c r="HI16" s="43"/>
      <c r="HJ16" s="43"/>
      <c r="HK16" s="43"/>
      <c r="HL16" s="43"/>
      <c r="HM16" s="43"/>
      <c r="HN16" s="43"/>
      <c r="HO16" s="43"/>
      <c r="HP16" s="43"/>
      <c r="HQ16" s="43"/>
      <c r="HR16" s="43"/>
      <c r="HS16" s="43"/>
      <c r="HT16" s="43"/>
      <c r="HU16" s="43"/>
      <c r="HV16" s="43"/>
      <c r="HW16" s="43"/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43"/>
      <c r="IO16" s="43"/>
      <c r="IP16" s="43"/>
      <c r="IQ16" s="43"/>
      <c r="IR16" s="43"/>
      <c r="IS16" s="43"/>
      <c r="IT16" s="43"/>
      <c r="IU16" s="43"/>
      <c r="IV16" s="43"/>
      <c r="IW16" s="43"/>
      <c r="IX16" s="43"/>
      <c r="IY16" s="43"/>
      <c r="IZ16" s="43"/>
      <c r="JA16" s="43"/>
      <c r="JB16" s="43"/>
      <c r="JC16" s="43"/>
      <c r="JD16" s="43"/>
      <c r="JE16" s="43"/>
      <c r="JF16" s="43"/>
      <c r="JG16" s="43"/>
      <c r="JH16" s="43"/>
      <c r="JI16" s="43"/>
      <c r="JJ16" s="43"/>
      <c r="JK16" s="43"/>
      <c r="JL16" s="43"/>
      <c r="JM16" s="43"/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43"/>
      <c r="KE16" s="43"/>
      <c r="KF16" s="43"/>
      <c r="KG16" s="43"/>
      <c r="KH16" s="43"/>
      <c r="KI16" s="43"/>
      <c r="KJ16" s="43"/>
      <c r="KK16" s="43"/>
      <c r="KL16" s="43"/>
      <c r="KM16" s="43"/>
      <c r="KN16" s="43"/>
      <c r="KO16" s="43"/>
      <c r="KP16" s="43"/>
      <c r="KQ16" s="43"/>
      <c r="KR16" s="43"/>
      <c r="KS16" s="43"/>
      <c r="KT16" s="43"/>
      <c r="KU16" s="43"/>
      <c r="KV16" s="43"/>
      <c r="KW16" s="43"/>
      <c r="KX16" s="43"/>
      <c r="KY16" s="43"/>
      <c r="KZ16" s="43"/>
      <c r="LA16" s="43"/>
      <c r="LB16" s="43"/>
      <c r="LC16" s="43"/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43"/>
      <c r="LU16" s="43"/>
      <c r="LV16" s="43"/>
      <c r="LW16" s="43"/>
      <c r="LX16" s="43"/>
      <c r="LY16" s="43"/>
      <c r="LZ16" s="43"/>
      <c r="MA16" s="43"/>
      <c r="MB16" s="43"/>
      <c r="MC16" s="43"/>
      <c r="MD16" s="43"/>
      <c r="ME16" s="43"/>
      <c r="MF16" s="43"/>
      <c r="MG16" s="43"/>
      <c r="MH16" s="43"/>
      <c r="MI16" s="43"/>
      <c r="MJ16" s="43"/>
      <c r="MK16" s="43"/>
      <c r="ML16" s="43"/>
      <c r="MM16" s="43"/>
      <c r="MN16" s="43"/>
      <c r="MO16" s="43"/>
      <c r="MP16" s="43"/>
      <c r="MQ16" s="43"/>
      <c r="MR16" s="43"/>
      <c r="MS16" s="43"/>
      <c r="MT16" s="43"/>
      <c r="MU16" s="43"/>
      <c r="MV16" s="43"/>
      <c r="MW16" s="43"/>
      <c r="MX16" s="43"/>
      <c r="MY16" s="43"/>
      <c r="MZ16" s="43"/>
      <c r="NA16" s="43"/>
      <c r="NB16" s="43"/>
      <c r="NC16" s="43"/>
      <c r="ND16" s="43"/>
      <c r="NE16" s="43"/>
      <c r="NF16" s="43"/>
      <c r="NG16" s="43"/>
      <c r="NH16" s="43"/>
      <c r="NI16" s="43"/>
      <c r="NJ16" s="43"/>
      <c r="NK16" s="43"/>
      <c r="NL16" s="43"/>
      <c r="NM16" s="43"/>
      <c r="NN16" s="43"/>
      <c r="NO16" s="43"/>
      <c r="NP16" s="43"/>
      <c r="NQ16" s="43"/>
      <c r="NR16" s="43"/>
      <c r="NS16" s="43"/>
      <c r="NT16" s="43"/>
      <c r="NU16" s="43"/>
      <c r="NV16" s="43"/>
      <c r="NW16" s="43"/>
      <c r="NX16" s="43"/>
      <c r="NY16" s="43"/>
      <c r="NZ16" s="43"/>
      <c r="OA16" s="43"/>
      <c r="OB16" s="43"/>
      <c r="OC16" s="43"/>
      <c r="OD16" s="43"/>
      <c r="OE16" s="43"/>
      <c r="OF16" s="43"/>
      <c r="OG16" s="43"/>
      <c r="OH16" s="43"/>
      <c r="OI16" s="43"/>
      <c r="OJ16" s="43"/>
      <c r="OK16" s="43"/>
      <c r="OL16" s="43"/>
      <c r="OM16" s="43"/>
      <c r="ON16" s="43"/>
      <c r="OO16" s="43"/>
      <c r="OP16" s="43"/>
      <c r="OQ16" s="43"/>
      <c r="OR16" s="43"/>
      <c r="OS16" s="43"/>
      <c r="OT16" s="43"/>
      <c r="OU16" s="43"/>
      <c r="OV16" s="43"/>
      <c r="OW16" s="43"/>
      <c r="OX16" s="43"/>
      <c r="OY16" s="43"/>
      <c r="OZ16" s="43"/>
      <c r="PA16" s="43"/>
      <c r="PB16" s="43"/>
      <c r="PC16" s="43"/>
      <c r="PD16" s="43"/>
      <c r="PE16" s="43"/>
      <c r="PF16" s="43"/>
      <c r="PG16" s="43"/>
      <c r="PH16" s="43"/>
      <c r="PI16" s="43"/>
      <c r="PJ16" s="43"/>
      <c r="PK16" s="43"/>
      <c r="PL16" s="43"/>
      <c r="PM16" s="43"/>
      <c r="PN16" s="43"/>
      <c r="PO16" s="43"/>
      <c r="PP16" s="43"/>
      <c r="PQ16" s="43"/>
      <c r="PR16" s="43"/>
      <c r="PS16" s="43"/>
      <c r="PT16" s="43"/>
      <c r="PU16" s="43"/>
      <c r="PV16" s="43"/>
      <c r="PW16" s="43"/>
      <c r="PX16" s="43"/>
      <c r="PY16" s="43"/>
      <c r="PZ16" s="43"/>
      <c r="QA16" s="43"/>
      <c r="QB16" s="43"/>
      <c r="QC16" s="43"/>
    </row>
    <row r="17" spans="1:445" x14ac:dyDescent="0.3">
      <c r="A17" s="47" t="s">
        <v>125</v>
      </c>
      <c r="B17" s="45" t="s">
        <v>73</v>
      </c>
      <c r="C17" s="45" t="s">
        <v>126</v>
      </c>
      <c r="D17" s="45" t="s">
        <v>78</v>
      </c>
      <c r="E17" s="45">
        <v>60</v>
      </c>
      <c r="F17" s="45">
        <v>600</v>
      </c>
      <c r="G17" s="45"/>
      <c r="H17" s="45" t="s">
        <v>124</v>
      </c>
      <c r="I17" s="45" t="s">
        <v>124</v>
      </c>
      <c r="J17" s="45" t="s">
        <v>124</v>
      </c>
      <c r="K17" s="45" t="s">
        <v>124</v>
      </c>
      <c r="L17" s="45">
        <v>120</v>
      </c>
      <c r="M17" s="45">
        <v>120</v>
      </c>
      <c r="N17" s="45">
        <v>120</v>
      </c>
      <c r="O17" s="45">
        <v>120</v>
      </c>
      <c r="P17" s="45">
        <v>120</v>
      </c>
      <c r="Q17" s="45"/>
      <c r="R17" s="45"/>
      <c r="S17" s="45"/>
      <c r="T17" s="46">
        <f t="shared" si="2"/>
        <v>600</v>
      </c>
      <c r="U17" s="46">
        <f t="shared" si="3"/>
        <v>0</v>
      </c>
      <c r="V17" s="72">
        <f t="shared" si="4"/>
        <v>1.1000000000000001</v>
      </c>
      <c r="W17" s="48"/>
      <c r="X17" s="73" t="str">
        <f t="shared" si="5"/>
        <v/>
      </c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3"/>
      <c r="EM17" s="43"/>
      <c r="EN17" s="43"/>
      <c r="EO17" s="43"/>
      <c r="EP17" s="43"/>
      <c r="EQ17" s="43"/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43"/>
      <c r="FI17" s="43"/>
      <c r="FJ17" s="43"/>
      <c r="FK17" s="43"/>
      <c r="FL17" s="43"/>
      <c r="FM17" s="43"/>
      <c r="FN17" s="43"/>
      <c r="FO17" s="43"/>
      <c r="FP17" s="43"/>
      <c r="FQ17" s="43"/>
      <c r="FR17" s="43"/>
      <c r="FS17" s="43"/>
      <c r="FT17" s="43"/>
      <c r="FU17" s="43"/>
      <c r="FV17" s="43"/>
      <c r="FW17" s="43"/>
      <c r="FX17" s="43"/>
      <c r="FY17" s="43"/>
      <c r="FZ17" s="43"/>
      <c r="GA17" s="43"/>
      <c r="GB17" s="43"/>
      <c r="GC17" s="43"/>
      <c r="GD17" s="43"/>
      <c r="GE17" s="43"/>
      <c r="GF17" s="43"/>
      <c r="GG17" s="43"/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43"/>
      <c r="GY17" s="43"/>
      <c r="GZ17" s="43"/>
      <c r="HA17" s="43"/>
      <c r="HB17" s="43"/>
      <c r="HC17" s="43"/>
      <c r="HD17" s="43"/>
      <c r="HE17" s="43"/>
      <c r="HF17" s="43"/>
      <c r="HG17" s="43"/>
      <c r="HH17" s="43"/>
      <c r="HI17" s="43"/>
      <c r="HJ17" s="43"/>
      <c r="HK17" s="43"/>
      <c r="HL17" s="43"/>
      <c r="HM17" s="43"/>
      <c r="HN17" s="43"/>
      <c r="HO17" s="43"/>
      <c r="HP17" s="43"/>
      <c r="HQ17" s="43"/>
      <c r="HR17" s="43"/>
      <c r="HS17" s="43"/>
      <c r="HT17" s="43"/>
      <c r="HU17" s="43"/>
      <c r="HV17" s="43"/>
      <c r="HW17" s="43"/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43"/>
      <c r="IO17" s="43"/>
      <c r="IP17" s="43"/>
      <c r="IQ17" s="43"/>
      <c r="IR17" s="43"/>
      <c r="IS17" s="43"/>
      <c r="IT17" s="43"/>
      <c r="IU17" s="43"/>
      <c r="IV17" s="43"/>
      <c r="IW17" s="43"/>
      <c r="IX17" s="43"/>
      <c r="IY17" s="43"/>
      <c r="IZ17" s="43"/>
      <c r="JA17" s="43"/>
      <c r="JB17" s="43"/>
      <c r="JC17" s="43"/>
      <c r="JD17" s="43"/>
      <c r="JE17" s="43"/>
      <c r="JF17" s="43"/>
      <c r="JG17" s="43"/>
      <c r="JH17" s="43"/>
      <c r="JI17" s="43"/>
      <c r="JJ17" s="43"/>
      <c r="JK17" s="43"/>
      <c r="JL17" s="43"/>
      <c r="JM17" s="43"/>
      <c r="JN17" s="43"/>
      <c r="JO17" s="43"/>
      <c r="JP17" s="43"/>
      <c r="JQ17" s="43"/>
      <c r="JR17" s="43"/>
      <c r="JS17" s="43"/>
      <c r="JT17" s="43"/>
      <c r="JU17" s="43"/>
      <c r="JV17" s="43"/>
      <c r="JW17" s="43"/>
      <c r="JX17" s="43"/>
      <c r="JY17" s="43"/>
      <c r="JZ17" s="43"/>
      <c r="KA17" s="43"/>
      <c r="KB17" s="43"/>
      <c r="KC17" s="43"/>
      <c r="KD17" s="43"/>
      <c r="KE17" s="43"/>
      <c r="KF17" s="43"/>
      <c r="KG17" s="43"/>
      <c r="KH17" s="43"/>
      <c r="KI17" s="43"/>
      <c r="KJ17" s="43"/>
      <c r="KK17" s="43"/>
      <c r="KL17" s="43"/>
      <c r="KM17" s="43"/>
      <c r="KN17" s="43"/>
      <c r="KO17" s="43"/>
      <c r="KP17" s="43"/>
      <c r="KQ17" s="43"/>
      <c r="KR17" s="43"/>
      <c r="KS17" s="43"/>
      <c r="KT17" s="43"/>
      <c r="KU17" s="43"/>
      <c r="KV17" s="43"/>
      <c r="KW17" s="43"/>
      <c r="KX17" s="43"/>
      <c r="KY17" s="43"/>
      <c r="KZ17" s="43"/>
      <c r="LA17" s="43"/>
      <c r="LB17" s="43"/>
      <c r="LC17" s="43"/>
      <c r="LD17" s="43"/>
      <c r="LE17" s="43"/>
      <c r="LF17" s="43"/>
      <c r="LG17" s="43"/>
      <c r="LH17" s="43"/>
      <c r="LI17" s="43"/>
      <c r="LJ17" s="43"/>
      <c r="LK17" s="43"/>
      <c r="LL17" s="43"/>
      <c r="LM17" s="43"/>
      <c r="LN17" s="43"/>
      <c r="LO17" s="43"/>
      <c r="LP17" s="43"/>
      <c r="LQ17" s="43"/>
      <c r="LR17" s="43"/>
      <c r="LS17" s="43"/>
      <c r="LT17" s="43"/>
      <c r="LU17" s="43"/>
      <c r="LV17" s="43"/>
      <c r="LW17" s="43"/>
      <c r="LX17" s="43"/>
      <c r="LY17" s="43"/>
      <c r="LZ17" s="43"/>
      <c r="MA17" s="43"/>
      <c r="MB17" s="43"/>
      <c r="MC17" s="43"/>
      <c r="MD17" s="43"/>
      <c r="ME17" s="43"/>
      <c r="MF17" s="43"/>
      <c r="MG17" s="43"/>
      <c r="MH17" s="43"/>
      <c r="MI17" s="43"/>
      <c r="MJ17" s="43"/>
      <c r="MK17" s="43"/>
      <c r="ML17" s="43"/>
      <c r="MM17" s="43"/>
      <c r="MN17" s="43"/>
      <c r="MO17" s="43"/>
      <c r="MP17" s="43"/>
      <c r="MQ17" s="43"/>
      <c r="MR17" s="43"/>
      <c r="MS17" s="43"/>
      <c r="MT17" s="43"/>
      <c r="MU17" s="43"/>
      <c r="MV17" s="43"/>
      <c r="MW17" s="43"/>
      <c r="MX17" s="43"/>
      <c r="MY17" s="43"/>
      <c r="MZ17" s="43"/>
      <c r="NA17" s="43"/>
      <c r="NB17" s="43"/>
      <c r="NC17" s="43"/>
      <c r="ND17" s="43"/>
      <c r="NE17" s="43"/>
      <c r="NF17" s="43"/>
      <c r="NG17" s="43"/>
      <c r="NH17" s="43"/>
      <c r="NI17" s="43"/>
      <c r="NJ17" s="43"/>
      <c r="NK17" s="43"/>
      <c r="NL17" s="43"/>
      <c r="NM17" s="43"/>
      <c r="NN17" s="43"/>
      <c r="NO17" s="43"/>
      <c r="NP17" s="43"/>
      <c r="NQ17" s="43"/>
      <c r="NR17" s="43"/>
      <c r="NS17" s="43"/>
      <c r="NT17" s="43"/>
      <c r="NU17" s="43"/>
      <c r="NV17" s="43"/>
      <c r="NW17" s="43"/>
      <c r="NX17" s="43"/>
      <c r="NY17" s="43"/>
      <c r="NZ17" s="43"/>
      <c r="OA17" s="43"/>
      <c r="OB17" s="43"/>
      <c r="OC17" s="43"/>
      <c r="OD17" s="43"/>
      <c r="OE17" s="43"/>
      <c r="OF17" s="43"/>
      <c r="OG17" s="43"/>
      <c r="OH17" s="43"/>
      <c r="OI17" s="43"/>
      <c r="OJ17" s="43"/>
      <c r="OK17" s="43"/>
      <c r="OL17" s="43"/>
      <c r="OM17" s="43"/>
      <c r="ON17" s="43"/>
      <c r="OO17" s="43"/>
      <c r="OP17" s="43"/>
      <c r="OQ17" s="43"/>
      <c r="OR17" s="43"/>
      <c r="OS17" s="43"/>
      <c r="OT17" s="43"/>
      <c r="OU17" s="43"/>
      <c r="OV17" s="43"/>
      <c r="OW17" s="43"/>
      <c r="OX17" s="43"/>
      <c r="OY17" s="43"/>
      <c r="OZ17" s="43"/>
      <c r="PA17" s="43"/>
      <c r="PB17" s="43"/>
      <c r="PC17" s="43"/>
      <c r="PD17" s="43"/>
      <c r="PE17" s="43"/>
      <c r="PF17" s="43"/>
      <c r="PG17" s="43"/>
      <c r="PH17" s="43"/>
      <c r="PI17" s="43"/>
      <c r="PJ17" s="43"/>
      <c r="PK17" s="43"/>
      <c r="PL17" s="43"/>
      <c r="PM17" s="43"/>
      <c r="PN17" s="43"/>
      <c r="PO17" s="43"/>
      <c r="PP17" s="43"/>
      <c r="PQ17" s="43"/>
      <c r="PR17" s="43"/>
      <c r="PS17" s="43"/>
      <c r="PT17" s="43"/>
      <c r="PU17" s="43"/>
      <c r="PV17" s="43"/>
      <c r="PW17" s="43"/>
      <c r="PX17" s="43"/>
      <c r="PY17" s="43"/>
      <c r="PZ17" s="43"/>
      <c r="QA17" s="43"/>
      <c r="QB17" s="43"/>
      <c r="QC17" s="43"/>
    </row>
    <row r="18" spans="1:445" x14ac:dyDescent="0.3">
      <c r="A18" s="47" t="s">
        <v>89</v>
      </c>
      <c r="B18" s="45" t="s">
        <v>73</v>
      </c>
      <c r="C18" s="45" t="s">
        <v>109</v>
      </c>
      <c r="D18" s="45" t="s">
        <v>75</v>
      </c>
      <c r="E18" s="45">
        <v>50</v>
      </c>
      <c r="F18" s="45">
        <v>1800</v>
      </c>
      <c r="G18" s="45"/>
      <c r="H18" s="45">
        <v>595</v>
      </c>
      <c r="I18" s="45">
        <v>1000</v>
      </c>
      <c r="J18" s="45">
        <v>205</v>
      </c>
      <c r="K18" s="45"/>
      <c r="L18" s="45"/>
      <c r="M18" s="45"/>
      <c r="N18" s="45"/>
      <c r="O18" s="45"/>
      <c r="P18" s="45"/>
      <c r="Q18" s="45"/>
      <c r="R18" s="45"/>
      <c r="S18" s="45"/>
      <c r="T18" s="46">
        <f t="shared" si="2"/>
        <v>1800</v>
      </c>
      <c r="U18" s="46">
        <f t="shared" si="3"/>
        <v>0</v>
      </c>
      <c r="V18" s="72">
        <f t="shared" si="4"/>
        <v>1.0277777777777777</v>
      </c>
      <c r="W18" s="48"/>
      <c r="X18" s="73" t="str">
        <f t="shared" si="5"/>
        <v/>
      </c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  <c r="CW18" s="43"/>
      <c r="CX18" s="43"/>
      <c r="CY18" s="43"/>
      <c r="CZ18" s="43"/>
      <c r="DA18" s="43"/>
      <c r="DB18" s="43"/>
      <c r="DC18" s="43"/>
      <c r="DD18" s="43"/>
      <c r="DE18" s="43"/>
      <c r="DF18" s="43"/>
      <c r="DG18" s="43"/>
      <c r="DH18" s="43"/>
      <c r="DI18" s="43"/>
      <c r="DJ18" s="43"/>
      <c r="DK18" s="43"/>
      <c r="DL18" s="43"/>
      <c r="DM18" s="43"/>
      <c r="DN18" s="43"/>
      <c r="DO18" s="43"/>
      <c r="DP18" s="43"/>
      <c r="DQ18" s="43"/>
      <c r="DR18" s="43"/>
      <c r="DS18" s="43"/>
      <c r="DT18" s="43"/>
      <c r="DU18" s="43"/>
      <c r="DV18" s="43"/>
      <c r="DW18" s="43"/>
      <c r="DX18" s="43"/>
      <c r="DY18" s="43"/>
      <c r="DZ18" s="43"/>
      <c r="EA18" s="43"/>
      <c r="EB18" s="43"/>
      <c r="EC18" s="43"/>
      <c r="ED18" s="43"/>
      <c r="EE18" s="43"/>
      <c r="EF18" s="43"/>
      <c r="EG18" s="43"/>
      <c r="EH18" s="43"/>
      <c r="EI18" s="43"/>
      <c r="EJ18" s="43"/>
      <c r="EK18" s="43"/>
      <c r="EL18" s="43"/>
      <c r="EM18" s="43"/>
      <c r="EN18" s="43"/>
      <c r="EO18" s="43"/>
      <c r="EP18" s="43"/>
      <c r="EQ18" s="43"/>
      <c r="ER18" s="43"/>
      <c r="ES18" s="43"/>
      <c r="ET18" s="43"/>
      <c r="EU18" s="43"/>
      <c r="EV18" s="43"/>
      <c r="EW18" s="43"/>
      <c r="EX18" s="43"/>
      <c r="EY18" s="43"/>
      <c r="EZ18" s="43"/>
      <c r="FA18" s="43"/>
      <c r="FB18" s="43"/>
      <c r="FC18" s="43"/>
      <c r="FD18" s="43"/>
      <c r="FE18" s="43"/>
      <c r="FF18" s="43"/>
      <c r="FG18" s="43"/>
      <c r="FH18" s="43"/>
      <c r="FI18" s="43"/>
      <c r="FJ18" s="43"/>
      <c r="FK18" s="43"/>
      <c r="FL18" s="43"/>
      <c r="FM18" s="43"/>
      <c r="FN18" s="43"/>
      <c r="FO18" s="43"/>
      <c r="FP18" s="43"/>
      <c r="FQ18" s="43"/>
      <c r="FR18" s="43"/>
      <c r="FS18" s="43"/>
      <c r="FT18" s="43"/>
      <c r="FU18" s="43"/>
      <c r="FV18" s="43"/>
      <c r="FW18" s="43"/>
      <c r="FX18" s="43"/>
      <c r="FY18" s="43"/>
      <c r="FZ18" s="43"/>
      <c r="GA18" s="43"/>
      <c r="GB18" s="43"/>
      <c r="GC18" s="43"/>
      <c r="GD18" s="43"/>
      <c r="GE18" s="43"/>
      <c r="GF18" s="43"/>
      <c r="GG18" s="43"/>
      <c r="GH18" s="43"/>
      <c r="GI18" s="43"/>
      <c r="GJ18" s="43"/>
      <c r="GK18" s="43"/>
      <c r="GL18" s="43"/>
      <c r="GM18" s="43"/>
      <c r="GN18" s="43"/>
      <c r="GO18" s="43"/>
      <c r="GP18" s="43"/>
      <c r="GQ18" s="43"/>
      <c r="GR18" s="43"/>
      <c r="GS18" s="43"/>
      <c r="GT18" s="43"/>
      <c r="GU18" s="43"/>
      <c r="GV18" s="43"/>
      <c r="GW18" s="43"/>
      <c r="GX18" s="43"/>
      <c r="GY18" s="43"/>
      <c r="GZ18" s="43"/>
      <c r="HA18" s="43"/>
      <c r="HB18" s="43"/>
      <c r="HC18" s="43"/>
      <c r="HD18" s="43"/>
      <c r="HE18" s="43"/>
      <c r="HF18" s="43"/>
      <c r="HG18" s="43"/>
      <c r="HH18" s="43"/>
      <c r="HI18" s="43"/>
      <c r="HJ18" s="43"/>
      <c r="HK18" s="43"/>
      <c r="HL18" s="43"/>
      <c r="HM18" s="43"/>
      <c r="HN18" s="43"/>
      <c r="HO18" s="43"/>
      <c r="HP18" s="43"/>
      <c r="HQ18" s="43"/>
      <c r="HR18" s="43"/>
      <c r="HS18" s="43"/>
      <c r="HT18" s="43"/>
      <c r="HU18" s="43"/>
      <c r="HV18" s="43"/>
      <c r="HW18" s="43"/>
      <c r="HX18" s="43"/>
      <c r="HY18" s="43"/>
      <c r="HZ18" s="43"/>
      <c r="IA18" s="43"/>
      <c r="IB18" s="43"/>
      <c r="IC18" s="43"/>
      <c r="ID18" s="43"/>
      <c r="IE18" s="43"/>
      <c r="IF18" s="43"/>
      <c r="IG18" s="43"/>
      <c r="IH18" s="43"/>
      <c r="II18" s="43"/>
      <c r="IJ18" s="43"/>
      <c r="IK18" s="43"/>
      <c r="IL18" s="43"/>
      <c r="IM18" s="43"/>
      <c r="IN18" s="43"/>
      <c r="IO18" s="43"/>
      <c r="IP18" s="43"/>
      <c r="IQ18" s="43"/>
      <c r="IR18" s="43"/>
      <c r="IS18" s="43"/>
      <c r="IT18" s="43"/>
      <c r="IU18" s="43"/>
      <c r="IV18" s="43"/>
      <c r="IW18" s="43"/>
      <c r="IX18" s="43"/>
      <c r="IY18" s="43"/>
      <c r="IZ18" s="43"/>
      <c r="JA18" s="43"/>
      <c r="JB18" s="43"/>
      <c r="JC18" s="43"/>
      <c r="JD18" s="43"/>
      <c r="JE18" s="43"/>
      <c r="JF18" s="43"/>
      <c r="JG18" s="43"/>
      <c r="JH18" s="43"/>
      <c r="JI18" s="43"/>
      <c r="JJ18" s="43"/>
      <c r="JK18" s="43"/>
      <c r="JL18" s="43"/>
      <c r="JM18" s="43"/>
      <c r="JN18" s="43"/>
      <c r="JO18" s="43"/>
      <c r="JP18" s="43"/>
      <c r="JQ18" s="43"/>
      <c r="JR18" s="43"/>
      <c r="JS18" s="43"/>
      <c r="JT18" s="43"/>
      <c r="JU18" s="43"/>
      <c r="JV18" s="43"/>
      <c r="JW18" s="43"/>
      <c r="JX18" s="43"/>
      <c r="JY18" s="43"/>
      <c r="JZ18" s="43"/>
      <c r="KA18" s="43"/>
      <c r="KB18" s="43"/>
      <c r="KC18" s="43"/>
      <c r="KD18" s="43"/>
      <c r="KE18" s="43"/>
      <c r="KF18" s="43"/>
      <c r="KG18" s="43"/>
      <c r="KH18" s="43"/>
      <c r="KI18" s="43"/>
      <c r="KJ18" s="43"/>
      <c r="KK18" s="43"/>
      <c r="KL18" s="43"/>
      <c r="KM18" s="43"/>
      <c r="KN18" s="43"/>
      <c r="KO18" s="43"/>
      <c r="KP18" s="43"/>
      <c r="KQ18" s="43"/>
      <c r="KR18" s="43"/>
      <c r="KS18" s="43"/>
      <c r="KT18" s="43"/>
      <c r="KU18" s="43"/>
      <c r="KV18" s="43"/>
      <c r="KW18" s="43"/>
      <c r="KX18" s="43"/>
      <c r="KY18" s="43"/>
      <c r="KZ18" s="43"/>
      <c r="LA18" s="43"/>
      <c r="LB18" s="43"/>
      <c r="LC18" s="43"/>
      <c r="LD18" s="43"/>
      <c r="LE18" s="43"/>
      <c r="LF18" s="43"/>
      <c r="LG18" s="43"/>
      <c r="LH18" s="43"/>
      <c r="LI18" s="43"/>
      <c r="LJ18" s="43"/>
      <c r="LK18" s="43"/>
      <c r="LL18" s="43"/>
      <c r="LM18" s="43"/>
      <c r="LN18" s="43"/>
      <c r="LO18" s="43"/>
      <c r="LP18" s="43"/>
      <c r="LQ18" s="43"/>
      <c r="LR18" s="43"/>
      <c r="LS18" s="43"/>
      <c r="LT18" s="43"/>
      <c r="LU18" s="43"/>
      <c r="LV18" s="43"/>
      <c r="LW18" s="43"/>
      <c r="LX18" s="43"/>
      <c r="LY18" s="43"/>
      <c r="LZ18" s="43"/>
      <c r="MA18" s="43"/>
      <c r="MB18" s="43"/>
      <c r="MC18" s="43"/>
      <c r="MD18" s="43"/>
      <c r="ME18" s="43"/>
      <c r="MF18" s="43"/>
      <c r="MG18" s="43"/>
      <c r="MH18" s="43"/>
      <c r="MI18" s="43"/>
      <c r="MJ18" s="43"/>
      <c r="MK18" s="43"/>
      <c r="ML18" s="43"/>
      <c r="MM18" s="43"/>
      <c r="MN18" s="43"/>
      <c r="MO18" s="43"/>
      <c r="MP18" s="43"/>
      <c r="MQ18" s="43"/>
      <c r="MR18" s="43"/>
      <c r="MS18" s="43"/>
      <c r="MT18" s="43"/>
      <c r="MU18" s="43"/>
      <c r="MV18" s="43"/>
      <c r="MW18" s="43"/>
      <c r="MX18" s="43"/>
      <c r="MY18" s="43"/>
      <c r="MZ18" s="43"/>
      <c r="NA18" s="43"/>
      <c r="NB18" s="43"/>
      <c r="NC18" s="43"/>
      <c r="ND18" s="43"/>
      <c r="NE18" s="43"/>
      <c r="NF18" s="43"/>
      <c r="NG18" s="43"/>
      <c r="NH18" s="43"/>
      <c r="NI18" s="43"/>
      <c r="NJ18" s="43"/>
      <c r="NK18" s="43"/>
      <c r="NL18" s="43"/>
      <c r="NM18" s="43"/>
      <c r="NN18" s="43"/>
      <c r="NO18" s="43"/>
      <c r="NP18" s="43"/>
      <c r="NQ18" s="43"/>
      <c r="NR18" s="43"/>
      <c r="NS18" s="43"/>
      <c r="NT18" s="43"/>
      <c r="NU18" s="43"/>
      <c r="NV18" s="43"/>
      <c r="NW18" s="43"/>
      <c r="NX18" s="43"/>
      <c r="NY18" s="43"/>
      <c r="NZ18" s="43"/>
      <c r="OA18" s="43"/>
      <c r="OB18" s="43"/>
      <c r="OC18" s="43"/>
      <c r="OD18" s="43"/>
      <c r="OE18" s="43"/>
      <c r="OF18" s="43"/>
      <c r="OG18" s="43"/>
      <c r="OH18" s="43"/>
      <c r="OI18" s="43"/>
      <c r="OJ18" s="43"/>
      <c r="OK18" s="43"/>
      <c r="OL18" s="43"/>
      <c r="OM18" s="43"/>
      <c r="ON18" s="43"/>
      <c r="OO18" s="43"/>
      <c r="OP18" s="43"/>
      <c r="OQ18" s="43"/>
      <c r="OR18" s="43"/>
      <c r="OS18" s="43"/>
      <c r="OT18" s="43"/>
      <c r="OU18" s="43"/>
      <c r="OV18" s="43"/>
      <c r="OW18" s="43"/>
      <c r="OX18" s="43"/>
      <c r="OY18" s="43"/>
      <c r="OZ18" s="43"/>
      <c r="PA18" s="43"/>
      <c r="PB18" s="43"/>
      <c r="PC18" s="43"/>
      <c r="PD18" s="43"/>
      <c r="PE18" s="43"/>
      <c r="PF18" s="43"/>
      <c r="PG18" s="43"/>
      <c r="PH18" s="43"/>
      <c r="PI18" s="43"/>
      <c r="PJ18" s="43"/>
      <c r="PK18" s="43"/>
      <c r="PL18" s="43"/>
      <c r="PM18" s="43"/>
      <c r="PN18" s="43"/>
      <c r="PO18" s="43"/>
      <c r="PP18" s="43"/>
      <c r="PQ18" s="43"/>
      <c r="PR18" s="43"/>
      <c r="PS18" s="43"/>
      <c r="PT18" s="43"/>
      <c r="PU18" s="43"/>
      <c r="PV18" s="43"/>
      <c r="PW18" s="43"/>
      <c r="PX18" s="43"/>
      <c r="PY18" s="43"/>
      <c r="PZ18" s="43"/>
      <c r="QA18" s="43"/>
      <c r="QB18" s="43"/>
      <c r="QC18" s="43"/>
    </row>
    <row r="19" spans="1:445" x14ac:dyDescent="0.3">
      <c r="A19" s="47" t="s">
        <v>85</v>
      </c>
      <c r="B19" s="45" t="s">
        <v>73</v>
      </c>
      <c r="C19" s="45" t="s">
        <v>111</v>
      </c>
      <c r="D19" s="45" t="s">
        <v>77</v>
      </c>
      <c r="E19" s="45"/>
      <c r="F19" s="45">
        <v>1260</v>
      </c>
      <c r="G19" s="45"/>
      <c r="H19" s="45">
        <v>70</v>
      </c>
      <c r="I19" s="45">
        <v>140</v>
      </c>
      <c r="J19" s="45">
        <v>142</v>
      </c>
      <c r="K19" s="45">
        <v>142</v>
      </c>
      <c r="L19" s="45">
        <v>140</v>
      </c>
      <c r="M19" s="45">
        <v>140</v>
      </c>
      <c r="N19" s="45">
        <v>140</v>
      </c>
      <c r="O19" s="45">
        <v>140</v>
      </c>
      <c r="P19" s="45">
        <v>140</v>
      </c>
      <c r="Q19" s="45">
        <v>66</v>
      </c>
      <c r="R19" s="45"/>
      <c r="S19" s="45"/>
      <c r="T19" s="46">
        <f t="shared" si="2"/>
        <v>1260</v>
      </c>
      <c r="U19" s="46">
        <f t="shared" si="3"/>
        <v>0</v>
      </c>
      <c r="V19" s="72">
        <f t="shared" si="4"/>
        <v>1</v>
      </c>
      <c r="W19" s="48"/>
      <c r="X19" s="73" t="str">
        <f t="shared" si="5"/>
        <v/>
      </c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  <c r="IW19" s="43"/>
      <c r="IX19" s="43"/>
      <c r="IY19" s="43"/>
      <c r="IZ19" s="43"/>
      <c r="JA19" s="43"/>
      <c r="JB19" s="43"/>
      <c r="JC19" s="43"/>
      <c r="JD19" s="43"/>
      <c r="JE19" s="43"/>
      <c r="JF19" s="43"/>
      <c r="JG19" s="43"/>
      <c r="JH19" s="43"/>
      <c r="JI19" s="43"/>
      <c r="JJ19" s="43"/>
      <c r="JK19" s="43"/>
      <c r="JL19" s="43"/>
      <c r="JM19" s="43"/>
      <c r="JN19" s="43"/>
      <c r="JO19" s="43"/>
      <c r="JP19" s="43"/>
      <c r="JQ19" s="43"/>
      <c r="JR19" s="43"/>
      <c r="JS19" s="43"/>
      <c r="JT19" s="43"/>
      <c r="JU19" s="43"/>
      <c r="JV19" s="43"/>
      <c r="JW19" s="43"/>
      <c r="JX19" s="43"/>
      <c r="JY19" s="43"/>
      <c r="JZ19" s="43"/>
      <c r="KA19" s="43"/>
      <c r="KB19" s="43"/>
      <c r="KC19" s="43"/>
      <c r="KD19" s="43"/>
      <c r="KE19" s="43"/>
      <c r="KF19" s="43"/>
      <c r="KG19" s="43"/>
      <c r="KH19" s="43"/>
      <c r="KI19" s="43"/>
      <c r="KJ19" s="43"/>
      <c r="KK19" s="43"/>
      <c r="KL19" s="43"/>
      <c r="KM19" s="43"/>
      <c r="KN19" s="43"/>
      <c r="KO19" s="43"/>
      <c r="KP19" s="43"/>
      <c r="KQ19" s="43"/>
      <c r="KR19" s="43"/>
      <c r="KS19" s="43"/>
      <c r="KT19" s="43"/>
      <c r="KU19" s="43"/>
      <c r="KV19" s="43"/>
      <c r="KW19" s="43"/>
      <c r="KX19" s="43"/>
      <c r="KY19" s="43"/>
      <c r="KZ19" s="43"/>
      <c r="LA19" s="43"/>
      <c r="LB19" s="43"/>
      <c r="LC19" s="43"/>
      <c r="LD19" s="43"/>
      <c r="LE19" s="43"/>
      <c r="LF19" s="43"/>
      <c r="LG19" s="43"/>
      <c r="LH19" s="43"/>
      <c r="LI19" s="43"/>
      <c r="LJ19" s="43"/>
      <c r="LK19" s="43"/>
      <c r="LL19" s="43"/>
      <c r="LM19" s="43"/>
      <c r="LN19" s="43"/>
      <c r="LO19" s="43"/>
      <c r="LP19" s="43"/>
      <c r="LQ19" s="43"/>
      <c r="LR19" s="43"/>
      <c r="LS19" s="43"/>
      <c r="LT19" s="43"/>
      <c r="LU19" s="43"/>
      <c r="LV19" s="43"/>
      <c r="LW19" s="43"/>
      <c r="LX19" s="43"/>
      <c r="LY19" s="43"/>
      <c r="LZ19" s="43"/>
      <c r="MA19" s="43"/>
      <c r="MB19" s="43"/>
      <c r="MC19" s="43"/>
      <c r="MD19" s="43"/>
      <c r="ME19" s="43"/>
      <c r="MF19" s="43"/>
      <c r="MG19" s="43"/>
      <c r="MH19" s="43"/>
      <c r="MI19" s="43"/>
      <c r="MJ19" s="43"/>
      <c r="MK19" s="43"/>
      <c r="ML19" s="43"/>
      <c r="MM19" s="43"/>
      <c r="MN19" s="43"/>
      <c r="MO19" s="43"/>
      <c r="MP19" s="43"/>
      <c r="MQ19" s="43"/>
      <c r="MR19" s="43"/>
      <c r="MS19" s="43"/>
      <c r="MT19" s="43"/>
      <c r="MU19" s="43"/>
      <c r="MV19" s="43"/>
      <c r="MW19" s="43"/>
      <c r="MX19" s="43"/>
      <c r="MY19" s="43"/>
      <c r="MZ19" s="43"/>
      <c r="NA19" s="43"/>
      <c r="NB19" s="43"/>
      <c r="NC19" s="43"/>
      <c r="ND19" s="43"/>
      <c r="NE19" s="43"/>
      <c r="NF19" s="43"/>
      <c r="NG19" s="43"/>
      <c r="NH19" s="43"/>
      <c r="NI19" s="43"/>
      <c r="NJ19" s="43"/>
      <c r="NK19" s="43"/>
      <c r="NL19" s="43"/>
      <c r="NM19" s="43"/>
      <c r="NN19" s="43"/>
      <c r="NO19" s="43"/>
      <c r="NP19" s="43"/>
      <c r="NQ19" s="43"/>
      <c r="NR19" s="43"/>
      <c r="NS19" s="43"/>
      <c r="NT19" s="43"/>
      <c r="NU19" s="43"/>
      <c r="NV19" s="43"/>
      <c r="NW19" s="43"/>
      <c r="NX19" s="43"/>
      <c r="NY19" s="43"/>
      <c r="NZ19" s="43"/>
      <c r="OA19" s="43"/>
      <c r="OB19" s="43"/>
      <c r="OC19" s="43"/>
      <c r="OD19" s="43"/>
      <c r="OE19" s="43"/>
      <c r="OF19" s="43"/>
      <c r="OG19" s="43"/>
      <c r="OH19" s="43"/>
      <c r="OI19" s="43"/>
      <c r="OJ19" s="43"/>
      <c r="OK19" s="43"/>
      <c r="OL19" s="43"/>
      <c r="OM19" s="43"/>
      <c r="ON19" s="43"/>
      <c r="OO19" s="43"/>
      <c r="OP19" s="43"/>
      <c r="OQ19" s="43"/>
      <c r="OR19" s="43"/>
      <c r="OS19" s="43"/>
      <c r="OT19" s="43"/>
      <c r="OU19" s="43"/>
      <c r="OV19" s="43"/>
      <c r="OW19" s="43"/>
      <c r="OX19" s="43"/>
      <c r="OY19" s="43"/>
      <c r="OZ19" s="43"/>
      <c r="PA19" s="43"/>
      <c r="PB19" s="43"/>
      <c r="PC19" s="43"/>
      <c r="PD19" s="43"/>
      <c r="PE19" s="43"/>
      <c r="PF19" s="43"/>
      <c r="PG19" s="43"/>
      <c r="PH19" s="43"/>
      <c r="PI19" s="43"/>
      <c r="PJ19" s="43"/>
      <c r="PK19" s="43"/>
      <c r="PL19" s="43"/>
      <c r="PM19" s="43"/>
      <c r="PN19" s="43"/>
      <c r="PO19" s="43"/>
      <c r="PP19" s="43"/>
      <c r="PQ19" s="43"/>
      <c r="PR19" s="43"/>
      <c r="PS19" s="43"/>
      <c r="PT19" s="43"/>
      <c r="PU19" s="43"/>
      <c r="PV19" s="43"/>
      <c r="PW19" s="43"/>
      <c r="PX19" s="43"/>
      <c r="PY19" s="43"/>
      <c r="PZ19" s="43"/>
      <c r="QA19" s="43"/>
      <c r="QB19" s="43"/>
      <c r="QC19" s="43"/>
    </row>
    <row r="20" spans="1:445" x14ac:dyDescent="0.3">
      <c r="A20" s="47" t="s">
        <v>112</v>
      </c>
      <c r="B20" s="45" t="s">
        <v>73</v>
      </c>
      <c r="C20" s="45" t="s">
        <v>113</v>
      </c>
      <c r="D20" s="45" t="s">
        <v>75</v>
      </c>
      <c r="E20" s="45"/>
      <c r="F20" s="45">
        <v>1800</v>
      </c>
      <c r="G20" s="45"/>
      <c r="H20" s="45">
        <v>100</v>
      </c>
      <c r="I20" s="45">
        <v>200</v>
      </c>
      <c r="J20" s="45">
        <v>200</v>
      </c>
      <c r="K20" s="45">
        <v>200</v>
      </c>
      <c r="L20" s="45">
        <v>200</v>
      </c>
      <c r="M20" s="45">
        <v>200</v>
      </c>
      <c r="N20" s="45">
        <v>200</v>
      </c>
      <c r="O20" s="45">
        <v>200</v>
      </c>
      <c r="P20" s="45">
        <v>200</v>
      </c>
      <c r="Q20" s="45">
        <v>100</v>
      </c>
      <c r="R20" s="45" t="s">
        <v>124</v>
      </c>
      <c r="S20" s="45"/>
      <c r="T20" s="46">
        <f t="shared" si="2"/>
        <v>1800</v>
      </c>
      <c r="U20" s="46">
        <f t="shared" si="3"/>
        <v>0</v>
      </c>
      <c r="V20" s="72">
        <f t="shared" si="4"/>
        <v>1</v>
      </c>
      <c r="X20" s="73" t="str">
        <f t="shared" si="5"/>
        <v/>
      </c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  <c r="GT20" s="43"/>
      <c r="GU20" s="43"/>
      <c r="GV20" s="43"/>
      <c r="GW20" s="43"/>
      <c r="GX20" s="43"/>
      <c r="GY20" s="43"/>
      <c r="GZ20" s="43"/>
      <c r="HA20" s="43"/>
      <c r="HB20" s="43"/>
      <c r="HC20" s="43"/>
      <c r="HD20" s="43"/>
      <c r="HE20" s="43"/>
      <c r="HF20" s="43"/>
      <c r="HG20" s="43"/>
      <c r="HH20" s="43"/>
      <c r="HI20" s="43"/>
      <c r="HJ20" s="43"/>
      <c r="HK20" s="43"/>
      <c r="HL20" s="43"/>
      <c r="HM20" s="43"/>
      <c r="HN20" s="43"/>
      <c r="HO20" s="43"/>
      <c r="HP20" s="43"/>
      <c r="HQ20" s="43"/>
      <c r="HR20" s="43"/>
      <c r="HS20" s="43"/>
      <c r="HT20" s="43"/>
      <c r="HU20" s="43"/>
      <c r="HV20" s="43"/>
      <c r="HW20" s="43"/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  <c r="IM20" s="43"/>
      <c r="IN20" s="43"/>
      <c r="IO20" s="43"/>
      <c r="IP20" s="43"/>
      <c r="IQ20" s="43"/>
      <c r="IR20" s="43"/>
      <c r="IS20" s="43"/>
      <c r="IT20" s="43"/>
      <c r="IU20" s="43"/>
      <c r="IV20" s="43"/>
      <c r="IW20" s="43"/>
      <c r="IX20" s="43"/>
      <c r="IY20" s="43"/>
      <c r="IZ20" s="43"/>
      <c r="JA20" s="43"/>
      <c r="JB20" s="43"/>
      <c r="JC20" s="43"/>
      <c r="JD20" s="43"/>
      <c r="JE20" s="43"/>
      <c r="JF20" s="43"/>
      <c r="JG20" s="43"/>
      <c r="JH20" s="43"/>
      <c r="JI20" s="43"/>
      <c r="JJ20" s="43"/>
      <c r="JK20" s="43"/>
      <c r="JL20" s="43"/>
      <c r="JM20" s="43"/>
      <c r="JN20" s="43"/>
      <c r="JO20" s="43"/>
      <c r="JP20" s="43"/>
      <c r="JQ20" s="43"/>
      <c r="JR20" s="43"/>
      <c r="JS20" s="43"/>
      <c r="JT20" s="43"/>
      <c r="JU20" s="43"/>
      <c r="JV20" s="43"/>
      <c r="JW20" s="43"/>
      <c r="JX20" s="43"/>
      <c r="JY20" s="43"/>
      <c r="JZ20" s="43"/>
      <c r="KA20" s="43"/>
      <c r="KB20" s="43"/>
      <c r="KC20" s="43"/>
      <c r="KD20" s="43"/>
      <c r="KE20" s="43"/>
      <c r="KF20" s="43"/>
      <c r="KG20" s="43"/>
      <c r="KH20" s="43"/>
      <c r="KI20" s="43"/>
      <c r="KJ20" s="43"/>
      <c r="KK20" s="43"/>
      <c r="KL20" s="43"/>
      <c r="KM20" s="43"/>
      <c r="KN20" s="43"/>
      <c r="KO20" s="43"/>
      <c r="KP20" s="43"/>
      <c r="KQ20" s="43"/>
      <c r="KR20" s="43"/>
      <c r="KS20" s="43"/>
      <c r="KT20" s="43"/>
      <c r="KU20" s="43"/>
      <c r="KV20" s="43"/>
      <c r="KW20" s="43"/>
      <c r="KX20" s="43"/>
      <c r="KY20" s="43"/>
      <c r="KZ20" s="43"/>
      <c r="LA20" s="43"/>
      <c r="LB20" s="43"/>
      <c r="LC20" s="43"/>
      <c r="LD20" s="43"/>
      <c r="LE20" s="43"/>
      <c r="LF20" s="43"/>
      <c r="LG20" s="43"/>
      <c r="LH20" s="43"/>
      <c r="LI20" s="43"/>
      <c r="LJ20" s="43"/>
      <c r="LK20" s="43"/>
      <c r="LL20" s="43"/>
      <c r="LM20" s="43"/>
      <c r="LN20" s="43"/>
      <c r="LO20" s="43"/>
      <c r="LP20" s="43"/>
      <c r="LQ20" s="43"/>
      <c r="LR20" s="43"/>
      <c r="LS20" s="43"/>
      <c r="LT20" s="43"/>
      <c r="LU20" s="43"/>
      <c r="LV20" s="43"/>
      <c r="LW20" s="43"/>
      <c r="LX20" s="43"/>
      <c r="LY20" s="43"/>
      <c r="LZ20" s="43"/>
      <c r="MA20" s="43"/>
      <c r="MB20" s="43"/>
      <c r="MC20" s="43"/>
      <c r="MD20" s="43"/>
      <c r="ME20" s="43"/>
      <c r="MF20" s="43"/>
      <c r="MG20" s="43"/>
      <c r="MH20" s="43"/>
      <c r="MI20" s="43"/>
      <c r="MJ20" s="43"/>
      <c r="MK20" s="43"/>
      <c r="ML20" s="43"/>
      <c r="MM20" s="43"/>
      <c r="MN20" s="43"/>
      <c r="MO20" s="43"/>
      <c r="MP20" s="43"/>
      <c r="MQ20" s="43"/>
      <c r="MR20" s="43"/>
      <c r="MS20" s="43"/>
      <c r="MT20" s="43"/>
      <c r="MU20" s="43"/>
      <c r="MV20" s="43"/>
      <c r="MW20" s="43"/>
      <c r="MX20" s="43"/>
      <c r="MY20" s="43"/>
      <c r="MZ20" s="43"/>
      <c r="NA20" s="43"/>
      <c r="NB20" s="43"/>
      <c r="NC20" s="43"/>
      <c r="ND20" s="43"/>
      <c r="NE20" s="43"/>
      <c r="NF20" s="43"/>
      <c r="NG20" s="43"/>
      <c r="NH20" s="43"/>
      <c r="NI20" s="43"/>
      <c r="NJ20" s="43"/>
      <c r="NK20" s="43"/>
      <c r="NL20" s="43"/>
      <c r="NM20" s="43"/>
      <c r="NN20" s="43"/>
      <c r="NO20" s="43"/>
      <c r="NP20" s="43"/>
      <c r="NQ20" s="43"/>
      <c r="NR20" s="43"/>
      <c r="NS20" s="43"/>
      <c r="NT20" s="43"/>
      <c r="NU20" s="43"/>
      <c r="NV20" s="43"/>
      <c r="NW20" s="43"/>
      <c r="NX20" s="43"/>
      <c r="NY20" s="43"/>
      <c r="NZ20" s="43"/>
      <c r="OA20" s="43"/>
      <c r="OB20" s="43"/>
      <c r="OC20" s="43"/>
      <c r="OD20" s="43"/>
      <c r="OE20" s="43"/>
      <c r="OF20" s="43"/>
      <c r="OG20" s="43"/>
      <c r="OH20" s="43"/>
      <c r="OI20" s="43"/>
      <c r="OJ20" s="43"/>
      <c r="OK20" s="43"/>
      <c r="OL20" s="43"/>
      <c r="OM20" s="43"/>
      <c r="ON20" s="43"/>
      <c r="OO20" s="43"/>
      <c r="OP20" s="43"/>
      <c r="OQ20" s="43"/>
      <c r="OR20" s="43"/>
      <c r="OS20" s="43"/>
      <c r="OT20" s="43"/>
      <c r="OU20" s="43"/>
      <c r="OV20" s="43"/>
      <c r="OW20" s="43"/>
      <c r="OX20" s="43"/>
      <c r="OY20" s="43"/>
      <c r="OZ20" s="43"/>
      <c r="PA20" s="43"/>
      <c r="PB20" s="43"/>
      <c r="PC20" s="43"/>
      <c r="PD20" s="43"/>
      <c r="PE20" s="43"/>
      <c r="PF20" s="43"/>
      <c r="PG20" s="43"/>
      <c r="PH20" s="43"/>
      <c r="PI20" s="43"/>
      <c r="PJ20" s="43"/>
      <c r="PK20" s="43"/>
      <c r="PL20" s="43"/>
      <c r="PM20" s="43"/>
      <c r="PN20" s="43"/>
      <c r="PO20" s="43"/>
      <c r="PP20" s="43"/>
      <c r="PQ20" s="43"/>
      <c r="PR20" s="43"/>
      <c r="PS20" s="43"/>
      <c r="PT20" s="43"/>
      <c r="PU20" s="43"/>
      <c r="PV20" s="43"/>
      <c r="PW20" s="43"/>
      <c r="PX20" s="43"/>
      <c r="PY20" s="43"/>
      <c r="PZ20" s="43"/>
      <c r="QA20" s="43"/>
      <c r="QB20" s="43"/>
      <c r="QC20" s="43"/>
    </row>
    <row r="21" spans="1:445" x14ac:dyDescent="0.3">
      <c r="A21" s="47" t="s">
        <v>26</v>
      </c>
      <c r="B21" s="45" t="s">
        <v>73</v>
      </c>
      <c r="C21" s="45" t="s">
        <v>106</v>
      </c>
      <c r="D21" s="45" t="s">
        <v>105</v>
      </c>
      <c r="E21" s="45">
        <v>30</v>
      </c>
      <c r="F21" s="45">
        <v>1080</v>
      </c>
      <c r="G21" s="45"/>
      <c r="H21" s="45">
        <v>60</v>
      </c>
      <c r="I21" s="45">
        <v>120</v>
      </c>
      <c r="J21" s="45">
        <v>120</v>
      </c>
      <c r="K21" s="45">
        <v>120</v>
      </c>
      <c r="L21" s="45">
        <v>120</v>
      </c>
      <c r="M21" s="45">
        <v>120</v>
      </c>
      <c r="N21" s="45">
        <v>120</v>
      </c>
      <c r="O21" s="45">
        <v>120</v>
      </c>
      <c r="P21" s="45">
        <v>120</v>
      </c>
      <c r="Q21" s="45">
        <v>60</v>
      </c>
      <c r="R21" s="45"/>
      <c r="S21" s="45"/>
      <c r="T21" s="46">
        <f t="shared" si="2"/>
        <v>1080</v>
      </c>
      <c r="U21" s="46">
        <f t="shared" si="3"/>
        <v>0</v>
      </c>
      <c r="V21" s="72">
        <f t="shared" si="4"/>
        <v>1.0277777777777777</v>
      </c>
      <c r="W21" s="48"/>
      <c r="X21" s="73" t="str">
        <f t="shared" si="5"/>
        <v/>
      </c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  <c r="CW21" s="43"/>
      <c r="CX21" s="43"/>
      <c r="CY21" s="43"/>
      <c r="CZ21" s="43"/>
      <c r="DA21" s="43"/>
      <c r="DB21" s="43"/>
      <c r="DC21" s="43"/>
      <c r="DD21" s="43"/>
      <c r="DE21" s="43"/>
      <c r="DF21" s="43"/>
      <c r="DG21" s="43"/>
      <c r="DH21" s="43"/>
      <c r="DI21" s="43"/>
      <c r="DJ21" s="43"/>
      <c r="DK21" s="43"/>
      <c r="DL21" s="43"/>
      <c r="DM21" s="43"/>
      <c r="DN21" s="43"/>
      <c r="DO21" s="43"/>
      <c r="DP21" s="43"/>
      <c r="DQ21" s="43"/>
      <c r="DR21" s="43"/>
      <c r="DS21" s="43"/>
      <c r="DT21" s="43"/>
      <c r="DU21" s="43"/>
      <c r="DV21" s="43"/>
      <c r="DW21" s="43"/>
      <c r="DX21" s="43"/>
      <c r="DY21" s="43"/>
      <c r="DZ21" s="43"/>
      <c r="EA21" s="43"/>
      <c r="EB21" s="43"/>
      <c r="EC21" s="43"/>
      <c r="ED21" s="43"/>
      <c r="EE21" s="43"/>
      <c r="EF21" s="43"/>
      <c r="EG21" s="43"/>
      <c r="EH21" s="43"/>
      <c r="EI21" s="43"/>
      <c r="EJ21" s="43"/>
      <c r="EK21" s="43"/>
      <c r="EL21" s="43"/>
      <c r="EM21" s="43"/>
      <c r="EN21" s="43"/>
      <c r="EO21" s="43"/>
      <c r="EP21" s="43"/>
      <c r="EQ21" s="43"/>
      <c r="ER21" s="43"/>
      <c r="ES21" s="43"/>
      <c r="ET21" s="43"/>
      <c r="EU21" s="43"/>
      <c r="EV21" s="43"/>
      <c r="EW21" s="43"/>
      <c r="EX21" s="43"/>
      <c r="EY21" s="43"/>
      <c r="EZ21" s="43"/>
      <c r="FA21" s="43"/>
      <c r="FB21" s="43"/>
      <c r="FC21" s="43"/>
      <c r="FD21" s="43"/>
      <c r="FE21" s="43"/>
      <c r="FF21" s="43"/>
      <c r="FG21" s="43"/>
      <c r="FH21" s="43"/>
      <c r="FI21" s="43"/>
      <c r="FJ21" s="43"/>
      <c r="FK21" s="43"/>
      <c r="FL21" s="43"/>
      <c r="FM21" s="43"/>
      <c r="FN21" s="43"/>
      <c r="FO21" s="43"/>
      <c r="FP21" s="43"/>
      <c r="FQ21" s="43"/>
      <c r="FR21" s="43"/>
      <c r="FS21" s="43"/>
      <c r="FT21" s="43"/>
      <c r="FU21" s="43"/>
      <c r="FV21" s="43"/>
      <c r="FW21" s="43"/>
      <c r="FX21" s="43"/>
      <c r="FY21" s="43"/>
      <c r="FZ21" s="43"/>
      <c r="GA21" s="43"/>
      <c r="GB21" s="43"/>
      <c r="GC21" s="43"/>
      <c r="GD21" s="43"/>
      <c r="GE21" s="43"/>
      <c r="GF21" s="43"/>
      <c r="GG21" s="43"/>
      <c r="GH21" s="43"/>
      <c r="GI21" s="43"/>
      <c r="GJ21" s="43"/>
      <c r="GK21" s="43"/>
      <c r="GL21" s="43"/>
      <c r="GM21" s="43"/>
      <c r="GN21" s="43"/>
      <c r="GO21" s="43"/>
      <c r="GP21" s="43"/>
      <c r="GQ21" s="43"/>
      <c r="GR21" s="43"/>
      <c r="GS21" s="43"/>
      <c r="GT21" s="43"/>
      <c r="GU21" s="43"/>
      <c r="GV21" s="43"/>
      <c r="GW21" s="43"/>
      <c r="GX21" s="43"/>
      <c r="GY21" s="43"/>
      <c r="GZ21" s="43"/>
      <c r="HA21" s="43"/>
      <c r="HB21" s="43"/>
      <c r="HC21" s="43"/>
      <c r="HD21" s="43"/>
      <c r="HE21" s="43"/>
      <c r="HF21" s="43"/>
      <c r="HG21" s="43"/>
      <c r="HH21" s="43"/>
      <c r="HI21" s="43"/>
      <c r="HJ21" s="43"/>
      <c r="HK21" s="43"/>
      <c r="HL21" s="43"/>
      <c r="HM21" s="43"/>
      <c r="HN21" s="43"/>
      <c r="HO21" s="43"/>
      <c r="HP21" s="43"/>
      <c r="HQ21" s="43"/>
      <c r="HR21" s="43"/>
      <c r="HS21" s="43"/>
      <c r="HT21" s="43"/>
      <c r="HU21" s="43"/>
      <c r="HV21" s="43"/>
      <c r="HW21" s="43"/>
      <c r="HX21" s="43"/>
      <c r="HY21" s="43"/>
      <c r="HZ21" s="43"/>
      <c r="IA21" s="43"/>
      <c r="IB21" s="43"/>
      <c r="IC21" s="43"/>
      <c r="ID21" s="43"/>
      <c r="IE21" s="43"/>
      <c r="IF21" s="43"/>
      <c r="IG21" s="43"/>
      <c r="IH21" s="43"/>
      <c r="II21" s="43"/>
      <c r="IJ21" s="43"/>
      <c r="IK21" s="43"/>
      <c r="IL21" s="43"/>
      <c r="IM21" s="43"/>
      <c r="IN21" s="43"/>
      <c r="IO21" s="43"/>
      <c r="IP21" s="43"/>
      <c r="IQ21" s="43"/>
      <c r="IR21" s="43"/>
      <c r="IS21" s="43"/>
      <c r="IT21" s="43"/>
      <c r="IU21" s="43"/>
      <c r="IV21" s="43"/>
      <c r="IW21" s="43"/>
      <c r="IX21" s="43"/>
      <c r="IY21" s="43"/>
      <c r="IZ21" s="43"/>
      <c r="JA21" s="43"/>
      <c r="JB21" s="43"/>
      <c r="JC21" s="43"/>
      <c r="JD21" s="43"/>
      <c r="JE21" s="43"/>
      <c r="JF21" s="43"/>
      <c r="JG21" s="43"/>
      <c r="JH21" s="43"/>
      <c r="JI21" s="43"/>
      <c r="JJ21" s="43"/>
      <c r="JK21" s="43"/>
      <c r="JL21" s="43"/>
      <c r="JM21" s="43"/>
      <c r="JN21" s="43"/>
      <c r="JO21" s="43"/>
      <c r="JP21" s="43"/>
      <c r="JQ21" s="43"/>
      <c r="JR21" s="43"/>
      <c r="JS21" s="43"/>
      <c r="JT21" s="43"/>
      <c r="JU21" s="43"/>
      <c r="JV21" s="43"/>
      <c r="JW21" s="43"/>
      <c r="JX21" s="43"/>
      <c r="JY21" s="43"/>
      <c r="JZ21" s="43"/>
      <c r="KA21" s="43"/>
      <c r="KB21" s="43"/>
      <c r="KC21" s="43"/>
      <c r="KD21" s="43"/>
      <c r="KE21" s="43"/>
      <c r="KF21" s="43"/>
      <c r="KG21" s="43"/>
      <c r="KH21" s="43"/>
      <c r="KI21" s="43"/>
      <c r="KJ21" s="43"/>
      <c r="KK21" s="43"/>
      <c r="KL21" s="43"/>
      <c r="KM21" s="43"/>
      <c r="KN21" s="43"/>
      <c r="KO21" s="43"/>
      <c r="KP21" s="43"/>
      <c r="KQ21" s="43"/>
      <c r="KR21" s="43"/>
      <c r="KS21" s="43"/>
      <c r="KT21" s="43"/>
      <c r="KU21" s="43"/>
      <c r="KV21" s="43"/>
      <c r="KW21" s="43"/>
      <c r="KX21" s="43"/>
      <c r="KY21" s="43"/>
      <c r="KZ21" s="43"/>
      <c r="LA21" s="43"/>
      <c r="LB21" s="43"/>
      <c r="LC21" s="43"/>
      <c r="LD21" s="43"/>
      <c r="LE21" s="43"/>
      <c r="LF21" s="43"/>
      <c r="LG21" s="43"/>
      <c r="LH21" s="43"/>
      <c r="LI21" s="43"/>
      <c r="LJ21" s="43"/>
      <c r="LK21" s="43"/>
      <c r="LL21" s="43"/>
      <c r="LM21" s="43"/>
      <c r="LN21" s="43"/>
      <c r="LO21" s="43"/>
      <c r="LP21" s="43"/>
      <c r="LQ21" s="43"/>
      <c r="LR21" s="43"/>
      <c r="LS21" s="43"/>
      <c r="LT21" s="43"/>
      <c r="LU21" s="43"/>
      <c r="LV21" s="43"/>
      <c r="LW21" s="43"/>
      <c r="LX21" s="43"/>
      <c r="LY21" s="43"/>
      <c r="LZ21" s="43"/>
      <c r="MA21" s="43"/>
      <c r="MB21" s="43"/>
      <c r="MC21" s="43"/>
      <c r="MD21" s="43"/>
      <c r="ME21" s="43"/>
      <c r="MF21" s="43"/>
      <c r="MG21" s="43"/>
      <c r="MH21" s="43"/>
      <c r="MI21" s="43"/>
      <c r="MJ21" s="43"/>
      <c r="MK21" s="43"/>
      <c r="ML21" s="43"/>
      <c r="MM21" s="43"/>
      <c r="MN21" s="43"/>
      <c r="MO21" s="43"/>
      <c r="MP21" s="43"/>
      <c r="MQ21" s="43"/>
      <c r="MR21" s="43"/>
      <c r="MS21" s="43"/>
      <c r="MT21" s="43"/>
      <c r="MU21" s="43"/>
      <c r="MV21" s="43"/>
      <c r="MW21" s="43"/>
      <c r="MX21" s="43"/>
      <c r="MY21" s="43"/>
      <c r="MZ21" s="43"/>
      <c r="NA21" s="43"/>
      <c r="NB21" s="43"/>
      <c r="NC21" s="43"/>
      <c r="ND21" s="43"/>
      <c r="NE21" s="43"/>
      <c r="NF21" s="43"/>
      <c r="NG21" s="43"/>
      <c r="NH21" s="43"/>
      <c r="NI21" s="43"/>
      <c r="NJ21" s="43"/>
      <c r="NK21" s="43"/>
      <c r="NL21" s="43"/>
      <c r="NM21" s="43"/>
      <c r="NN21" s="43"/>
      <c r="NO21" s="43"/>
      <c r="NP21" s="43"/>
      <c r="NQ21" s="43"/>
      <c r="NR21" s="43"/>
      <c r="NS21" s="43"/>
      <c r="NT21" s="43"/>
      <c r="NU21" s="43"/>
      <c r="NV21" s="43"/>
      <c r="NW21" s="43"/>
      <c r="NX21" s="43"/>
      <c r="NY21" s="43"/>
      <c r="NZ21" s="43"/>
      <c r="OA21" s="43"/>
      <c r="OB21" s="43"/>
      <c r="OC21" s="43"/>
      <c r="OD21" s="43"/>
      <c r="OE21" s="43"/>
      <c r="OF21" s="43"/>
      <c r="OG21" s="43"/>
      <c r="OH21" s="43"/>
      <c r="OI21" s="43"/>
      <c r="OJ21" s="43"/>
      <c r="OK21" s="43"/>
      <c r="OL21" s="43"/>
      <c r="OM21" s="43"/>
      <c r="ON21" s="43"/>
      <c r="OO21" s="43"/>
      <c r="OP21" s="43"/>
      <c r="OQ21" s="43"/>
      <c r="OR21" s="43"/>
      <c r="OS21" s="43"/>
      <c r="OT21" s="43"/>
      <c r="OU21" s="43"/>
      <c r="OV21" s="43"/>
      <c r="OW21" s="43"/>
      <c r="OX21" s="43"/>
      <c r="OY21" s="43"/>
      <c r="OZ21" s="43"/>
      <c r="PA21" s="43"/>
      <c r="PB21" s="43"/>
      <c r="PC21" s="43"/>
      <c r="PD21" s="43"/>
      <c r="PE21" s="43"/>
      <c r="PF21" s="43"/>
      <c r="PG21" s="43"/>
      <c r="PH21" s="43"/>
      <c r="PI21" s="43"/>
      <c r="PJ21" s="43"/>
      <c r="PK21" s="43"/>
      <c r="PL21" s="43"/>
      <c r="PM21" s="43"/>
      <c r="PN21" s="43"/>
      <c r="PO21" s="43"/>
      <c r="PP21" s="43"/>
      <c r="PQ21" s="43"/>
      <c r="PR21" s="43"/>
      <c r="PS21" s="43"/>
      <c r="PT21" s="43"/>
      <c r="PU21" s="43"/>
      <c r="PV21" s="43"/>
      <c r="PW21" s="43"/>
      <c r="PX21" s="43"/>
      <c r="PY21" s="43"/>
      <c r="PZ21" s="43"/>
      <c r="QA21" s="43"/>
      <c r="QB21" s="43"/>
      <c r="QC21" s="43"/>
    </row>
    <row r="22" spans="1:445" x14ac:dyDescent="0.3">
      <c r="A22" s="47" t="s">
        <v>107</v>
      </c>
      <c r="B22" s="45" t="s">
        <v>73</v>
      </c>
      <c r="C22" s="45" t="s">
        <v>108</v>
      </c>
      <c r="D22" s="45" t="s">
        <v>77</v>
      </c>
      <c r="E22" s="45">
        <v>40</v>
      </c>
      <c r="F22" s="45">
        <v>1170</v>
      </c>
      <c r="G22" s="45"/>
      <c r="H22" s="45">
        <v>65</v>
      </c>
      <c r="I22" s="45">
        <v>130</v>
      </c>
      <c r="J22" s="45">
        <v>130</v>
      </c>
      <c r="K22" s="45">
        <v>130</v>
      </c>
      <c r="L22" s="45">
        <v>130</v>
      </c>
      <c r="M22" s="45">
        <v>130</v>
      </c>
      <c r="N22" s="45">
        <v>130</v>
      </c>
      <c r="O22" s="45">
        <v>130</v>
      </c>
      <c r="P22" s="45">
        <v>130</v>
      </c>
      <c r="Q22" s="45">
        <v>65</v>
      </c>
      <c r="R22" s="45"/>
      <c r="S22" s="45"/>
      <c r="T22" s="46">
        <f t="shared" si="2"/>
        <v>1170</v>
      </c>
      <c r="U22" s="46">
        <f t="shared" si="3"/>
        <v>0</v>
      </c>
      <c r="V22" s="72">
        <f t="shared" si="4"/>
        <v>1.0341880341880343</v>
      </c>
      <c r="X22" s="73" t="str">
        <f t="shared" si="5"/>
        <v/>
      </c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  <c r="CW22" s="43"/>
      <c r="CX22" s="43"/>
      <c r="CY22" s="43"/>
      <c r="CZ22" s="43"/>
      <c r="DA22" s="43"/>
      <c r="DB22" s="43"/>
      <c r="DC22" s="43"/>
      <c r="DD22" s="43"/>
      <c r="DE22" s="43"/>
      <c r="DF22" s="43"/>
      <c r="DG22" s="43"/>
      <c r="DH22" s="43"/>
      <c r="DI22" s="43"/>
      <c r="DJ22" s="43"/>
      <c r="DK22" s="43"/>
      <c r="DL22" s="43"/>
      <c r="DM22" s="43"/>
      <c r="DN22" s="43"/>
      <c r="DO22" s="43"/>
      <c r="DP22" s="43"/>
      <c r="DQ22" s="43"/>
      <c r="DR22" s="43"/>
      <c r="DS22" s="43"/>
      <c r="DT22" s="43"/>
      <c r="DU22" s="43"/>
      <c r="DV22" s="43"/>
      <c r="DW22" s="43"/>
      <c r="DX22" s="43"/>
      <c r="DY22" s="43"/>
      <c r="DZ22" s="43"/>
      <c r="EA22" s="43"/>
      <c r="EB22" s="43"/>
      <c r="EC22" s="43"/>
      <c r="ED22" s="43"/>
      <c r="EE22" s="43"/>
      <c r="EF22" s="43"/>
      <c r="EG22" s="43"/>
      <c r="EH22" s="43"/>
      <c r="EI22" s="43"/>
      <c r="EJ22" s="43"/>
      <c r="EK22" s="43"/>
      <c r="EL22" s="43"/>
      <c r="EM22" s="43"/>
      <c r="EN22" s="43"/>
      <c r="EO22" s="43"/>
      <c r="EP22" s="43"/>
      <c r="EQ22" s="43"/>
      <c r="ER22" s="43"/>
      <c r="ES22" s="43"/>
      <c r="ET22" s="43"/>
      <c r="EU22" s="43"/>
      <c r="EV22" s="43"/>
      <c r="EW22" s="43"/>
      <c r="EX22" s="43"/>
      <c r="EY22" s="43"/>
      <c r="EZ22" s="43"/>
      <c r="FA22" s="43"/>
      <c r="FB22" s="43"/>
      <c r="FC22" s="43"/>
      <c r="FD22" s="43"/>
      <c r="FE22" s="43"/>
      <c r="FF22" s="43"/>
      <c r="FG22" s="43"/>
      <c r="FH22" s="43"/>
      <c r="FI22" s="43"/>
      <c r="FJ22" s="43"/>
      <c r="FK22" s="43"/>
      <c r="FL22" s="43"/>
      <c r="FM22" s="43"/>
      <c r="FN22" s="43"/>
      <c r="FO22" s="43"/>
      <c r="FP22" s="43"/>
      <c r="FQ22" s="43"/>
      <c r="FR22" s="43"/>
      <c r="FS22" s="43"/>
      <c r="FT22" s="43"/>
      <c r="FU22" s="43"/>
      <c r="FV22" s="43"/>
      <c r="FW22" s="43"/>
      <c r="FX22" s="43"/>
      <c r="FY22" s="43"/>
      <c r="FZ22" s="43"/>
      <c r="GA22" s="43"/>
      <c r="GB22" s="43"/>
      <c r="GC22" s="43"/>
      <c r="GD22" s="43"/>
      <c r="GE22" s="43"/>
      <c r="GF22" s="43"/>
      <c r="GG22" s="43"/>
      <c r="GH22" s="43"/>
      <c r="GI22" s="43"/>
      <c r="GJ22" s="43"/>
      <c r="GK22" s="43"/>
      <c r="GL22" s="43"/>
      <c r="GM22" s="43"/>
      <c r="GN22" s="43"/>
      <c r="GO22" s="43"/>
      <c r="GP22" s="43"/>
      <c r="GQ22" s="43"/>
      <c r="GR22" s="43"/>
      <c r="GS22" s="43"/>
      <c r="GT22" s="43"/>
      <c r="GU22" s="43"/>
      <c r="GV22" s="43"/>
      <c r="GW22" s="43"/>
      <c r="GX22" s="43"/>
      <c r="GY22" s="43"/>
      <c r="GZ22" s="43"/>
      <c r="HA22" s="43"/>
      <c r="HB22" s="43"/>
      <c r="HC22" s="43"/>
      <c r="HD22" s="43"/>
      <c r="HE22" s="43"/>
      <c r="HF22" s="43"/>
      <c r="HG22" s="43"/>
      <c r="HH22" s="43"/>
      <c r="HI22" s="43"/>
      <c r="HJ22" s="43"/>
      <c r="HK22" s="43"/>
      <c r="HL22" s="43"/>
      <c r="HM22" s="43"/>
      <c r="HN22" s="43"/>
      <c r="HO22" s="43"/>
      <c r="HP22" s="43"/>
      <c r="HQ22" s="43"/>
      <c r="HR22" s="43"/>
      <c r="HS22" s="43"/>
      <c r="HT22" s="43"/>
      <c r="HU22" s="43"/>
      <c r="HV22" s="43"/>
      <c r="HW22" s="43"/>
      <c r="HX22" s="43"/>
      <c r="HY22" s="43"/>
      <c r="HZ22" s="43"/>
      <c r="IA22" s="43"/>
      <c r="IB22" s="43"/>
      <c r="IC22" s="43"/>
      <c r="ID22" s="43"/>
      <c r="IE22" s="43"/>
      <c r="IF22" s="43"/>
      <c r="IG22" s="43"/>
      <c r="IH22" s="43"/>
      <c r="II22" s="43"/>
      <c r="IJ22" s="43"/>
      <c r="IK22" s="43"/>
      <c r="IL22" s="43"/>
      <c r="IM22" s="43"/>
      <c r="IN22" s="43"/>
      <c r="IO22" s="43"/>
      <c r="IP22" s="43"/>
      <c r="IQ22" s="43"/>
      <c r="IR22" s="43"/>
      <c r="IS22" s="43"/>
      <c r="IT22" s="43"/>
      <c r="IU22" s="43"/>
      <c r="IV22" s="43"/>
      <c r="IW22" s="43"/>
      <c r="IX22" s="43"/>
      <c r="IY22" s="43"/>
      <c r="IZ22" s="43"/>
      <c r="JA22" s="43"/>
      <c r="JB22" s="43"/>
      <c r="JC22" s="43"/>
      <c r="JD22" s="43"/>
      <c r="JE22" s="43"/>
      <c r="JF22" s="43"/>
      <c r="JG22" s="43"/>
      <c r="JH22" s="43"/>
      <c r="JI22" s="43"/>
      <c r="JJ22" s="43"/>
      <c r="JK22" s="43"/>
      <c r="JL22" s="43"/>
      <c r="JM22" s="43"/>
      <c r="JN22" s="43"/>
      <c r="JO22" s="43"/>
      <c r="JP22" s="43"/>
      <c r="JQ22" s="43"/>
      <c r="JR22" s="43"/>
      <c r="JS22" s="43"/>
      <c r="JT22" s="43"/>
      <c r="JU22" s="43"/>
      <c r="JV22" s="43"/>
      <c r="JW22" s="43"/>
      <c r="JX22" s="43"/>
      <c r="JY22" s="43"/>
      <c r="JZ22" s="43"/>
      <c r="KA22" s="43"/>
      <c r="KB22" s="43"/>
      <c r="KC22" s="43"/>
      <c r="KD22" s="43"/>
      <c r="KE22" s="43"/>
      <c r="KF22" s="43"/>
      <c r="KG22" s="43"/>
      <c r="KH22" s="43"/>
      <c r="KI22" s="43"/>
      <c r="KJ22" s="43"/>
      <c r="KK22" s="43"/>
      <c r="KL22" s="43"/>
      <c r="KM22" s="43"/>
      <c r="KN22" s="43"/>
      <c r="KO22" s="43"/>
      <c r="KP22" s="43"/>
      <c r="KQ22" s="43"/>
      <c r="KR22" s="43"/>
      <c r="KS22" s="43"/>
      <c r="KT22" s="43"/>
      <c r="KU22" s="43"/>
      <c r="KV22" s="43"/>
      <c r="KW22" s="43"/>
      <c r="KX22" s="43"/>
      <c r="KY22" s="43"/>
      <c r="KZ22" s="43"/>
      <c r="LA22" s="43"/>
      <c r="LB22" s="43"/>
      <c r="LC22" s="43"/>
      <c r="LD22" s="43"/>
      <c r="LE22" s="43"/>
      <c r="LF22" s="43"/>
      <c r="LG22" s="43"/>
      <c r="LH22" s="43"/>
      <c r="LI22" s="43"/>
      <c r="LJ22" s="43"/>
      <c r="LK22" s="43"/>
      <c r="LL22" s="43"/>
      <c r="LM22" s="43"/>
      <c r="LN22" s="43"/>
      <c r="LO22" s="43"/>
      <c r="LP22" s="43"/>
      <c r="LQ22" s="43"/>
      <c r="LR22" s="43"/>
      <c r="LS22" s="43"/>
      <c r="LT22" s="43"/>
      <c r="LU22" s="43"/>
      <c r="LV22" s="43"/>
      <c r="LW22" s="43"/>
      <c r="LX22" s="43"/>
      <c r="LY22" s="43"/>
      <c r="LZ22" s="43"/>
      <c r="MA22" s="43"/>
      <c r="MB22" s="43"/>
      <c r="MC22" s="43"/>
      <c r="MD22" s="43"/>
      <c r="ME22" s="43"/>
      <c r="MF22" s="43"/>
      <c r="MG22" s="43"/>
      <c r="MH22" s="43"/>
      <c r="MI22" s="43"/>
      <c r="MJ22" s="43"/>
      <c r="MK22" s="43"/>
      <c r="ML22" s="43"/>
      <c r="MM22" s="43"/>
      <c r="MN22" s="43"/>
      <c r="MO22" s="43"/>
      <c r="MP22" s="43"/>
      <c r="MQ22" s="43"/>
      <c r="MR22" s="43"/>
      <c r="MS22" s="43"/>
      <c r="MT22" s="43"/>
      <c r="MU22" s="43"/>
      <c r="MV22" s="43"/>
      <c r="MW22" s="43"/>
      <c r="MX22" s="43"/>
      <c r="MY22" s="43"/>
      <c r="MZ22" s="43"/>
      <c r="NA22" s="43"/>
      <c r="NB22" s="43"/>
      <c r="NC22" s="43"/>
      <c r="ND22" s="43"/>
      <c r="NE22" s="43"/>
      <c r="NF22" s="43"/>
      <c r="NG22" s="43"/>
      <c r="NH22" s="43"/>
      <c r="NI22" s="43"/>
      <c r="NJ22" s="43"/>
      <c r="NK22" s="43"/>
      <c r="NL22" s="43"/>
      <c r="NM22" s="43"/>
      <c r="NN22" s="43"/>
      <c r="NO22" s="43"/>
      <c r="NP22" s="43"/>
      <c r="NQ22" s="43"/>
      <c r="NR22" s="43"/>
      <c r="NS22" s="43"/>
      <c r="NT22" s="43"/>
      <c r="NU22" s="43"/>
      <c r="NV22" s="43"/>
      <c r="NW22" s="43"/>
      <c r="NX22" s="43"/>
      <c r="NY22" s="43"/>
      <c r="NZ22" s="43"/>
      <c r="OA22" s="43"/>
      <c r="OB22" s="43"/>
      <c r="OC22" s="43"/>
      <c r="OD22" s="43"/>
      <c r="OE22" s="43"/>
      <c r="OF22" s="43"/>
      <c r="OG22" s="43"/>
      <c r="OH22" s="43"/>
      <c r="OI22" s="43"/>
      <c r="OJ22" s="43"/>
      <c r="OK22" s="43"/>
      <c r="OL22" s="43"/>
      <c r="OM22" s="43"/>
      <c r="ON22" s="43"/>
      <c r="OO22" s="43"/>
      <c r="OP22" s="43"/>
      <c r="OQ22" s="43"/>
      <c r="OR22" s="43"/>
      <c r="OS22" s="43"/>
      <c r="OT22" s="43"/>
      <c r="OU22" s="43"/>
      <c r="OV22" s="43"/>
      <c r="OW22" s="43"/>
      <c r="OX22" s="43"/>
      <c r="OY22" s="43"/>
      <c r="OZ22" s="43"/>
      <c r="PA22" s="43"/>
      <c r="PB22" s="43"/>
      <c r="PC22" s="43"/>
      <c r="PD22" s="43"/>
      <c r="PE22" s="43"/>
      <c r="PF22" s="43"/>
      <c r="PG22" s="43"/>
      <c r="PH22" s="43"/>
      <c r="PI22" s="43"/>
      <c r="PJ22" s="43"/>
      <c r="PK22" s="43"/>
      <c r="PL22" s="43"/>
      <c r="PM22" s="43"/>
      <c r="PN22" s="43"/>
      <c r="PO22" s="43"/>
      <c r="PP22" s="43"/>
      <c r="PQ22" s="43"/>
      <c r="PR22" s="43"/>
      <c r="PS22" s="43"/>
      <c r="PT22" s="43"/>
      <c r="PU22" s="43"/>
      <c r="PV22" s="43"/>
      <c r="PW22" s="43"/>
      <c r="PX22" s="43"/>
      <c r="PY22" s="43"/>
      <c r="PZ22" s="43"/>
      <c r="QA22" s="43"/>
      <c r="QB22" s="43"/>
      <c r="QC22" s="43"/>
    </row>
    <row r="23" spans="1:445" x14ac:dyDescent="0.3">
      <c r="A23" s="47" t="s">
        <v>52</v>
      </c>
      <c r="B23" s="45" t="s">
        <v>73</v>
      </c>
      <c r="C23" s="45" t="s">
        <v>108</v>
      </c>
      <c r="D23" s="45" t="s">
        <v>105</v>
      </c>
      <c r="E23" s="45">
        <v>60</v>
      </c>
      <c r="F23" s="45">
        <v>1170</v>
      </c>
      <c r="G23" s="45">
        <v>600</v>
      </c>
      <c r="H23" s="45">
        <v>570</v>
      </c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6">
        <f t="shared" si="2"/>
        <v>1170</v>
      </c>
      <c r="U23" s="46">
        <f t="shared" si="3"/>
        <v>0</v>
      </c>
      <c r="V23" s="72">
        <f t="shared" si="4"/>
        <v>1.0512820512820513</v>
      </c>
      <c r="X23" s="73" t="str">
        <f t="shared" si="5"/>
        <v/>
      </c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43"/>
      <c r="CY23" s="43"/>
      <c r="CZ23" s="43"/>
      <c r="DA23" s="43"/>
      <c r="DB23" s="43"/>
      <c r="DC23" s="43"/>
      <c r="DD23" s="43"/>
      <c r="DE23" s="43"/>
      <c r="DF23" s="43"/>
      <c r="DG23" s="43"/>
      <c r="DH23" s="43"/>
      <c r="DI23" s="43"/>
      <c r="DJ23" s="43"/>
      <c r="DK23" s="43"/>
      <c r="DL23" s="43"/>
      <c r="DM23" s="43"/>
      <c r="DN23" s="43"/>
      <c r="DO23" s="43"/>
      <c r="DP23" s="43"/>
      <c r="DQ23" s="43"/>
      <c r="DR23" s="43"/>
      <c r="DS23" s="43"/>
      <c r="DT23" s="43"/>
      <c r="DU23" s="43"/>
      <c r="DV23" s="43"/>
      <c r="DW23" s="43"/>
      <c r="DX23" s="43"/>
      <c r="DY23" s="43"/>
      <c r="DZ23" s="43"/>
      <c r="EA23" s="43"/>
      <c r="EB23" s="43"/>
      <c r="EC23" s="43"/>
      <c r="ED23" s="43"/>
      <c r="EE23" s="43"/>
      <c r="EF23" s="43"/>
      <c r="EG23" s="43"/>
      <c r="EH23" s="43"/>
      <c r="EI23" s="43"/>
      <c r="EJ23" s="43"/>
      <c r="EK23" s="43"/>
      <c r="EL23" s="43"/>
      <c r="EM23" s="43"/>
      <c r="EN23" s="43"/>
      <c r="EO23" s="43"/>
      <c r="EP23" s="43"/>
      <c r="EQ23" s="43"/>
      <c r="ER23" s="43"/>
      <c r="ES23" s="43"/>
      <c r="ET23" s="43"/>
      <c r="EU23" s="43"/>
      <c r="EV23" s="43"/>
      <c r="EW23" s="43"/>
      <c r="EX23" s="43"/>
      <c r="EY23" s="43"/>
      <c r="EZ23" s="43"/>
      <c r="FA23" s="43"/>
      <c r="FB23" s="43"/>
      <c r="FC23" s="43"/>
      <c r="FD23" s="43"/>
      <c r="FE23" s="43"/>
      <c r="FF23" s="43"/>
      <c r="FG23" s="43"/>
      <c r="FH23" s="43"/>
      <c r="FI23" s="43"/>
      <c r="FJ23" s="43"/>
      <c r="FK23" s="43"/>
      <c r="FL23" s="43"/>
      <c r="FM23" s="43"/>
      <c r="FN23" s="43"/>
      <c r="FO23" s="43"/>
      <c r="FP23" s="43"/>
      <c r="FQ23" s="43"/>
      <c r="FR23" s="43"/>
      <c r="FS23" s="43"/>
      <c r="FT23" s="43"/>
      <c r="FU23" s="43"/>
      <c r="FV23" s="43"/>
      <c r="FW23" s="43"/>
      <c r="FX23" s="43"/>
      <c r="FY23" s="43"/>
      <c r="FZ23" s="43"/>
      <c r="GA23" s="43"/>
      <c r="GB23" s="43"/>
      <c r="GC23" s="43"/>
      <c r="GD23" s="43"/>
      <c r="GE23" s="43"/>
      <c r="GF23" s="43"/>
      <c r="GG23" s="43"/>
      <c r="GH23" s="43"/>
      <c r="GI23" s="43"/>
      <c r="GJ23" s="43"/>
      <c r="GK23" s="43"/>
      <c r="GL23" s="43"/>
      <c r="GM23" s="43"/>
      <c r="GN23" s="43"/>
      <c r="GO23" s="43"/>
      <c r="GP23" s="43"/>
      <c r="GQ23" s="43"/>
      <c r="GR23" s="43"/>
      <c r="GS23" s="43"/>
      <c r="GT23" s="43"/>
      <c r="GU23" s="43"/>
      <c r="GV23" s="43"/>
      <c r="GW23" s="43"/>
      <c r="GX23" s="43"/>
      <c r="GY23" s="43"/>
      <c r="GZ23" s="43"/>
      <c r="HA23" s="43"/>
      <c r="HB23" s="43"/>
      <c r="HC23" s="43"/>
      <c r="HD23" s="43"/>
      <c r="HE23" s="43"/>
      <c r="HF23" s="43"/>
      <c r="HG23" s="43"/>
      <c r="HH23" s="43"/>
      <c r="HI23" s="43"/>
      <c r="HJ23" s="43"/>
      <c r="HK23" s="43"/>
      <c r="HL23" s="43"/>
      <c r="HM23" s="43"/>
      <c r="HN23" s="43"/>
      <c r="HO23" s="43"/>
      <c r="HP23" s="43"/>
      <c r="HQ23" s="43"/>
      <c r="HR23" s="43"/>
      <c r="HS23" s="43"/>
      <c r="HT23" s="43"/>
      <c r="HU23" s="43"/>
      <c r="HV23" s="43"/>
      <c r="HW23" s="43"/>
      <c r="HX23" s="43"/>
      <c r="HY23" s="43"/>
      <c r="HZ23" s="43"/>
      <c r="IA23" s="43"/>
      <c r="IB23" s="43"/>
      <c r="IC23" s="43"/>
      <c r="ID23" s="43"/>
      <c r="IE23" s="43"/>
      <c r="IF23" s="43"/>
      <c r="IG23" s="43"/>
      <c r="IH23" s="43"/>
      <c r="II23" s="43"/>
      <c r="IJ23" s="43"/>
      <c r="IK23" s="43"/>
      <c r="IL23" s="43"/>
      <c r="IM23" s="43"/>
      <c r="IN23" s="43"/>
      <c r="IO23" s="43"/>
      <c r="IP23" s="43"/>
      <c r="IQ23" s="43"/>
      <c r="IR23" s="43"/>
      <c r="IS23" s="43"/>
      <c r="IT23" s="43"/>
      <c r="IU23" s="43"/>
      <c r="IV23" s="43"/>
      <c r="IW23" s="43"/>
      <c r="IX23" s="43"/>
      <c r="IY23" s="43"/>
      <c r="IZ23" s="43"/>
      <c r="JA23" s="43"/>
      <c r="JB23" s="43"/>
      <c r="JC23" s="43"/>
      <c r="JD23" s="43"/>
      <c r="JE23" s="43"/>
      <c r="JF23" s="43"/>
      <c r="JG23" s="43"/>
      <c r="JH23" s="43"/>
      <c r="JI23" s="43"/>
      <c r="JJ23" s="43"/>
      <c r="JK23" s="43"/>
      <c r="JL23" s="43"/>
      <c r="JM23" s="43"/>
      <c r="JN23" s="43"/>
      <c r="JO23" s="43"/>
      <c r="JP23" s="43"/>
      <c r="JQ23" s="43"/>
      <c r="JR23" s="43"/>
      <c r="JS23" s="43"/>
      <c r="JT23" s="43"/>
      <c r="JU23" s="43"/>
      <c r="JV23" s="43"/>
      <c r="JW23" s="43"/>
      <c r="JX23" s="43"/>
      <c r="JY23" s="43"/>
      <c r="JZ23" s="43"/>
      <c r="KA23" s="43"/>
      <c r="KB23" s="43"/>
      <c r="KC23" s="43"/>
      <c r="KD23" s="43"/>
      <c r="KE23" s="43"/>
      <c r="KF23" s="43"/>
      <c r="KG23" s="43"/>
      <c r="KH23" s="43"/>
      <c r="KI23" s="43"/>
      <c r="KJ23" s="43"/>
      <c r="KK23" s="43"/>
      <c r="KL23" s="43"/>
      <c r="KM23" s="43"/>
      <c r="KN23" s="43"/>
      <c r="KO23" s="43"/>
      <c r="KP23" s="43"/>
      <c r="KQ23" s="43"/>
      <c r="KR23" s="43"/>
      <c r="KS23" s="43"/>
      <c r="KT23" s="43"/>
      <c r="KU23" s="43"/>
      <c r="KV23" s="43"/>
      <c r="KW23" s="43"/>
      <c r="KX23" s="43"/>
      <c r="KY23" s="43"/>
      <c r="KZ23" s="43"/>
      <c r="LA23" s="43"/>
      <c r="LB23" s="43"/>
      <c r="LC23" s="43"/>
      <c r="LD23" s="43"/>
      <c r="LE23" s="43"/>
      <c r="LF23" s="43"/>
      <c r="LG23" s="43"/>
      <c r="LH23" s="43"/>
      <c r="LI23" s="43"/>
      <c r="LJ23" s="43"/>
      <c r="LK23" s="43"/>
      <c r="LL23" s="43"/>
      <c r="LM23" s="43"/>
      <c r="LN23" s="43"/>
      <c r="LO23" s="43"/>
      <c r="LP23" s="43"/>
      <c r="LQ23" s="43"/>
      <c r="LR23" s="43"/>
      <c r="LS23" s="43"/>
      <c r="LT23" s="43"/>
      <c r="LU23" s="43"/>
      <c r="LV23" s="43"/>
      <c r="LW23" s="43"/>
      <c r="LX23" s="43"/>
      <c r="LY23" s="43"/>
      <c r="LZ23" s="43"/>
      <c r="MA23" s="43"/>
      <c r="MB23" s="43"/>
      <c r="MC23" s="43"/>
      <c r="MD23" s="43"/>
      <c r="ME23" s="43"/>
      <c r="MF23" s="43"/>
      <c r="MG23" s="43"/>
      <c r="MH23" s="43"/>
      <c r="MI23" s="43"/>
      <c r="MJ23" s="43"/>
      <c r="MK23" s="43"/>
      <c r="ML23" s="43"/>
      <c r="MM23" s="43"/>
      <c r="MN23" s="43"/>
      <c r="MO23" s="43"/>
      <c r="MP23" s="43"/>
      <c r="MQ23" s="43"/>
      <c r="MR23" s="43"/>
      <c r="MS23" s="43"/>
      <c r="MT23" s="43"/>
      <c r="MU23" s="43"/>
      <c r="MV23" s="43"/>
      <c r="MW23" s="43"/>
      <c r="MX23" s="43"/>
      <c r="MY23" s="43"/>
      <c r="MZ23" s="43"/>
      <c r="NA23" s="43"/>
      <c r="NB23" s="43"/>
      <c r="NC23" s="43"/>
      <c r="ND23" s="43"/>
      <c r="NE23" s="43"/>
      <c r="NF23" s="43"/>
      <c r="NG23" s="43"/>
      <c r="NH23" s="43"/>
      <c r="NI23" s="43"/>
      <c r="NJ23" s="43"/>
      <c r="NK23" s="43"/>
      <c r="NL23" s="43"/>
      <c r="NM23" s="43"/>
      <c r="NN23" s="43"/>
      <c r="NO23" s="43"/>
      <c r="NP23" s="43"/>
      <c r="NQ23" s="43"/>
      <c r="NR23" s="43"/>
      <c r="NS23" s="43"/>
      <c r="NT23" s="43"/>
      <c r="NU23" s="43"/>
      <c r="NV23" s="43"/>
      <c r="NW23" s="43"/>
      <c r="NX23" s="43"/>
      <c r="NY23" s="43"/>
      <c r="NZ23" s="43"/>
      <c r="OA23" s="43"/>
      <c r="OB23" s="43"/>
      <c r="OC23" s="43"/>
      <c r="OD23" s="43"/>
      <c r="OE23" s="43"/>
      <c r="OF23" s="43"/>
      <c r="OG23" s="43"/>
      <c r="OH23" s="43"/>
      <c r="OI23" s="43"/>
      <c r="OJ23" s="43"/>
      <c r="OK23" s="43"/>
      <c r="OL23" s="43"/>
      <c r="OM23" s="43"/>
      <c r="ON23" s="43"/>
      <c r="OO23" s="43"/>
      <c r="OP23" s="43"/>
      <c r="OQ23" s="43"/>
      <c r="OR23" s="43"/>
      <c r="OS23" s="43"/>
      <c r="OT23" s="43"/>
      <c r="OU23" s="43"/>
      <c r="OV23" s="43"/>
      <c r="OW23" s="43"/>
      <c r="OX23" s="43"/>
      <c r="OY23" s="43"/>
      <c r="OZ23" s="43"/>
      <c r="PA23" s="43"/>
      <c r="PB23" s="43"/>
      <c r="PC23" s="43"/>
      <c r="PD23" s="43"/>
      <c r="PE23" s="43"/>
      <c r="PF23" s="43"/>
      <c r="PG23" s="43"/>
      <c r="PH23" s="43"/>
      <c r="PI23" s="43"/>
      <c r="PJ23" s="43"/>
      <c r="PK23" s="43"/>
      <c r="PL23" s="43"/>
      <c r="PM23" s="43"/>
      <c r="PN23" s="43"/>
      <c r="PO23" s="43"/>
      <c r="PP23" s="43"/>
      <c r="PQ23" s="43"/>
      <c r="PR23" s="43"/>
      <c r="PS23" s="43"/>
      <c r="PT23" s="43"/>
      <c r="PU23" s="43"/>
      <c r="PV23" s="43"/>
      <c r="PW23" s="43"/>
      <c r="PX23" s="43"/>
      <c r="PY23" s="43"/>
      <c r="PZ23" s="43"/>
      <c r="QA23" s="43"/>
      <c r="QB23" s="43"/>
      <c r="QC23" s="43"/>
    </row>
    <row r="24" spans="1:445" x14ac:dyDescent="0.3">
      <c r="A24" s="47" t="s">
        <v>122</v>
      </c>
      <c r="B24" s="45" t="s">
        <v>102</v>
      </c>
      <c r="C24" s="45" t="s">
        <v>104</v>
      </c>
      <c r="D24" s="45"/>
      <c r="E24" s="45">
        <v>60</v>
      </c>
      <c r="F24" s="45">
        <v>1020</v>
      </c>
      <c r="G24" s="45"/>
      <c r="H24" s="45">
        <v>50</v>
      </c>
      <c r="I24" s="45">
        <v>90</v>
      </c>
      <c r="J24" s="45">
        <v>140</v>
      </c>
      <c r="K24" s="45">
        <v>140</v>
      </c>
      <c r="L24" s="45">
        <v>140</v>
      </c>
      <c r="M24" s="45">
        <v>140</v>
      </c>
      <c r="N24" s="45">
        <v>140</v>
      </c>
      <c r="O24" s="45">
        <v>140</v>
      </c>
      <c r="P24" s="45">
        <v>40</v>
      </c>
      <c r="Q24" s="45"/>
      <c r="R24" s="45"/>
      <c r="S24" s="45"/>
      <c r="T24" s="46">
        <f t="shared" si="2"/>
        <v>1020</v>
      </c>
      <c r="U24" s="46">
        <f t="shared" si="3"/>
        <v>0</v>
      </c>
      <c r="V24" s="72">
        <f t="shared" si="4"/>
        <v>1.0588235294117647</v>
      </c>
      <c r="X24" s="73" t="str">
        <f t="shared" si="5"/>
        <v/>
      </c>
    </row>
    <row r="25" spans="1:445" x14ac:dyDescent="0.3">
      <c r="A25" s="47" t="s">
        <v>27</v>
      </c>
      <c r="B25" s="45" t="s">
        <v>73</v>
      </c>
      <c r="C25" s="45" t="s">
        <v>111</v>
      </c>
      <c r="D25" s="45" t="s">
        <v>78</v>
      </c>
      <c r="E25" s="45"/>
      <c r="F25" s="45">
        <v>1350</v>
      </c>
      <c r="G25" s="45"/>
      <c r="H25" s="45">
        <v>75</v>
      </c>
      <c r="I25" s="45">
        <v>150</v>
      </c>
      <c r="J25" s="45">
        <v>150</v>
      </c>
      <c r="K25" s="45">
        <v>150</v>
      </c>
      <c r="L25" s="45">
        <v>150</v>
      </c>
      <c r="M25" s="45">
        <v>150</v>
      </c>
      <c r="N25" s="45">
        <v>150</v>
      </c>
      <c r="O25" s="45">
        <v>150</v>
      </c>
      <c r="P25" s="45">
        <v>150</v>
      </c>
      <c r="Q25" s="45"/>
      <c r="R25" s="45"/>
      <c r="S25" s="45"/>
      <c r="T25" s="46">
        <f t="shared" si="2"/>
        <v>1275</v>
      </c>
      <c r="U25" s="46">
        <f t="shared" si="3"/>
        <v>75</v>
      </c>
      <c r="V25" s="72">
        <f t="shared" si="4"/>
        <v>0.94444444444444442</v>
      </c>
      <c r="W25" s="48"/>
      <c r="X25" s="73" t="str">
        <f t="shared" si="5"/>
        <v/>
      </c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43"/>
      <c r="CY25" s="43"/>
      <c r="CZ25" s="43"/>
      <c r="DA25" s="43"/>
      <c r="DB25" s="43"/>
      <c r="DC25" s="43"/>
      <c r="DD25" s="43"/>
      <c r="DE25" s="43"/>
      <c r="DF25" s="43"/>
      <c r="DG25" s="43"/>
      <c r="DH25" s="43"/>
      <c r="DI25" s="43"/>
      <c r="DJ25" s="43"/>
      <c r="DK25" s="43"/>
      <c r="DL25" s="43"/>
      <c r="DM25" s="43"/>
      <c r="DN25" s="43"/>
      <c r="DO25" s="43"/>
      <c r="DP25" s="43"/>
      <c r="DQ25" s="43"/>
      <c r="DR25" s="43"/>
      <c r="DS25" s="43"/>
      <c r="DT25" s="43"/>
      <c r="DU25" s="43"/>
      <c r="DV25" s="43"/>
      <c r="DW25" s="43"/>
      <c r="DX25" s="43"/>
      <c r="DY25" s="43"/>
      <c r="DZ25" s="43"/>
      <c r="EA25" s="43"/>
      <c r="EB25" s="43"/>
      <c r="EC25" s="43"/>
      <c r="ED25" s="43"/>
      <c r="EE25" s="43"/>
      <c r="EF25" s="43"/>
      <c r="EG25" s="43"/>
      <c r="EH25" s="43"/>
      <c r="EI25" s="43"/>
      <c r="EJ25" s="43"/>
      <c r="EK25" s="43"/>
      <c r="EL25" s="43"/>
      <c r="EM25" s="43"/>
      <c r="EN25" s="43"/>
      <c r="EO25" s="43"/>
      <c r="EP25" s="43"/>
      <c r="EQ25" s="43"/>
      <c r="ER25" s="43"/>
      <c r="ES25" s="43"/>
      <c r="ET25" s="43"/>
      <c r="EU25" s="43"/>
      <c r="EV25" s="43"/>
      <c r="EW25" s="43"/>
      <c r="EX25" s="43"/>
      <c r="EY25" s="43"/>
      <c r="EZ25" s="43"/>
      <c r="FA25" s="43"/>
      <c r="FB25" s="43"/>
      <c r="FC25" s="43"/>
      <c r="FD25" s="43"/>
      <c r="FE25" s="43"/>
      <c r="FF25" s="43"/>
      <c r="FG25" s="43"/>
      <c r="FH25" s="43"/>
      <c r="FI25" s="43"/>
      <c r="FJ25" s="43"/>
      <c r="FK25" s="43"/>
      <c r="FL25" s="43"/>
      <c r="FM25" s="43"/>
      <c r="FN25" s="43"/>
      <c r="FO25" s="43"/>
      <c r="FP25" s="43"/>
      <c r="FQ25" s="43"/>
      <c r="FR25" s="43"/>
      <c r="FS25" s="43"/>
      <c r="FT25" s="43"/>
      <c r="FU25" s="43"/>
      <c r="FV25" s="43"/>
      <c r="FW25" s="43"/>
      <c r="FX25" s="43"/>
      <c r="FY25" s="43"/>
      <c r="FZ25" s="43"/>
      <c r="GA25" s="43"/>
      <c r="GB25" s="43"/>
      <c r="GC25" s="43"/>
      <c r="GD25" s="43"/>
      <c r="GE25" s="43"/>
      <c r="GF25" s="43"/>
      <c r="GG25" s="43"/>
      <c r="GH25" s="43"/>
      <c r="GI25" s="43"/>
      <c r="GJ25" s="43"/>
      <c r="GK25" s="43"/>
      <c r="GL25" s="43"/>
      <c r="GM25" s="43"/>
      <c r="GN25" s="43"/>
      <c r="GO25" s="43"/>
      <c r="GP25" s="43"/>
      <c r="GQ25" s="43"/>
      <c r="GR25" s="43"/>
      <c r="GS25" s="43"/>
      <c r="GT25" s="43"/>
      <c r="GU25" s="43"/>
      <c r="GV25" s="43"/>
      <c r="GW25" s="43"/>
      <c r="GX25" s="43"/>
      <c r="GY25" s="43"/>
      <c r="GZ25" s="43"/>
      <c r="HA25" s="43"/>
      <c r="HB25" s="43"/>
      <c r="HC25" s="43"/>
      <c r="HD25" s="43"/>
      <c r="HE25" s="43"/>
      <c r="HF25" s="43"/>
      <c r="HG25" s="43"/>
      <c r="HH25" s="43"/>
      <c r="HI25" s="43"/>
      <c r="HJ25" s="43"/>
      <c r="HK25" s="43"/>
      <c r="HL25" s="43"/>
      <c r="HM25" s="43"/>
      <c r="HN25" s="43"/>
      <c r="HO25" s="43"/>
      <c r="HP25" s="43"/>
      <c r="HQ25" s="43"/>
      <c r="HR25" s="43"/>
      <c r="HS25" s="43"/>
      <c r="HT25" s="43"/>
      <c r="HU25" s="43"/>
      <c r="HV25" s="43"/>
      <c r="HW25" s="43"/>
      <c r="HX25" s="43"/>
      <c r="HY25" s="43"/>
      <c r="HZ25" s="43"/>
      <c r="IA25" s="43"/>
      <c r="IB25" s="43"/>
      <c r="IC25" s="43"/>
      <c r="ID25" s="43"/>
      <c r="IE25" s="43"/>
      <c r="IF25" s="43"/>
      <c r="IG25" s="43"/>
      <c r="IH25" s="43"/>
      <c r="II25" s="43"/>
      <c r="IJ25" s="43"/>
      <c r="IK25" s="43"/>
      <c r="IL25" s="43"/>
      <c r="IM25" s="43"/>
      <c r="IN25" s="43"/>
      <c r="IO25" s="43"/>
      <c r="IP25" s="43"/>
      <c r="IQ25" s="43"/>
      <c r="IR25" s="43"/>
      <c r="IS25" s="43"/>
      <c r="IT25" s="43"/>
      <c r="IU25" s="43"/>
      <c r="IV25" s="43"/>
      <c r="IW25" s="43"/>
      <c r="IX25" s="43"/>
      <c r="IY25" s="43"/>
      <c r="IZ25" s="43"/>
      <c r="JA25" s="43"/>
      <c r="JB25" s="43"/>
      <c r="JC25" s="43"/>
      <c r="JD25" s="43"/>
      <c r="JE25" s="43"/>
      <c r="JF25" s="43"/>
      <c r="JG25" s="43"/>
      <c r="JH25" s="43"/>
      <c r="JI25" s="43"/>
      <c r="JJ25" s="43"/>
      <c r="JK25" s="43"/>
      <c r="JL25" s="43"/>
      <c r="JM25" s="43"/>
      <c r="JN25" s="43"/>
      <c r="JO25" s="43"/>
      <c r="JP25" s="43"/>
      <c r="JQ25" s="43"/>
      <c r="JR25" s="43"/>
      <c r="JS25" s="43"/>
      <c r="JT25" s="43"/>
      <c r="JU25" s="43"/>
      <c r="JV25" s="43"/>
      <c r="JW25" s="43"/>
      <c r="JX25" s="43"/>
      <c r="JY25" s="43"/>
      <c r="JZ25" s="43"/>
      <c r="KA25" s="43"/>
      <c r="KB25" s="43"/>
      <c r="KC25" s="43"/>
      <c r="KD25" s="43"/>
      <c r="KE25" s="43"/>
      <c r="KF25" s="43"/>
      <c r="KG25" s="43"/>
      <c r="KH25" s="43"/>
      <c r="KI25" s="43"/>
      <c r="KJ25" s="43"/>
      <c r="KK25" s="43"/>
      <c r="KL25" s="43"/>
      <c r="KM25" s="43"/>
      <c r="KN25" s="43"/>
      <c r="KO25" s="43"/>
      <c r="KP25" s="43"/>
      <c r="KQ25" s="43"/>
      <c r="KR25" s="43"/>
      <c r="KS25" s="43"/>
      <c r="KT25" s="43"/>
      <c r="KU25" s="43"/>
      <c r="KV25" s="43"/>
      <c r="KW25" s="43"/>
      <c r="KX25" s="43"/>
      <c r="KY25" s="43"/>
      <c r="KZ25" s="43"/>
      <c r="LA25" s="43"/>
      <c r="LB25" s="43"/>
      <c r="LC25" s="43"/>
      <c r="LD25" s="43"/>
      <c r="LE25" s="43"/>
      <c r="LF25" s="43"/>
      <c r="LG25" s="43"/>
      <c r="LH25" s="43"/>
      <c r="LI25" s="43"/>
      <c r="LJ25" s="43"/>
      <c r="LK25" s="43"/>
      <c r="LL25" s="43"/>
      <c r="LM25" s="43"/>
      <c r="LN25" s="43"/>
      <c r="LO25" s="43"/>
      <c r="LP25" s="43"/>
      <c r="LQ25" s="43"/>
      <c r="LR25" s="43"/>
      <c r="LS25" s="43"/>
      <c r="LT25" s="43"/>
      <c r="LU25" s="43"/>
      <c r="LV25" s="43"/>
      <c r="LW25" s="43"/>
      <c r="LX25" s="43"/>
      <c r="LY25" s="43"/>
      <c r="LZ25" s="43"/>
      <c r="MA25" s="43"/>
      <c r="MB25" s="43"/>
      <c r="MC25" s="43"/>
      <c r="MD25" s="43"/>
      <c r="ME25" s="43"/>
      <c r="MF25" s="43"/>
      <c r="MG25" s="43"/>
      <c r="MH25" s="43"/>
      <c r="MI25" s="43"/>
      <c r="MJ25" s="43"/>
      <c r="MK25" s="43"/>
      <c r="ML25" s="43"/>
      <c r="MM25" s="43"/>
      <c r="MN25" s="43"/>
      <c r="MO25" s="43"/>
      <c r="MP25" s="43"/>
      <c r="MQ25" s="43"/>
      <c r="MR25" s="43"/>
      <c r="MS25" s="43"/>
      <c r="MT25" s="43"/>
      <c r="MU25" s="43"/>
      <c r="MV25" s="43"/>
      <c r="MW25" s="43"/>
      <c r="MX25" s="43"/>
      <c r="MY25" s="43"/>
      <c r="MZ25" s="43"/>
      <c r="NA25" s="43"/>
      <c r="NB25" s="43"/>
      <c r="NC25" s="43"/>
      <c r="ND25" s="43"/>
      <c r="NE25" s="43"/>
      <c r="NF25" s="43"/>
      <c r="NG25" s="43"/>
      <c r="NH25" s="43"/>
      <c r="NI25" s="43"/>
      <c r="NJ25" s="43"/>
      <c r="NK25" s="43"/>
      <c r="NL25" s="43"/>
      <c r="NM25" s="43"/>
      <c r="NN25" s="43"/>
      <c r="NO25" s="43"/>
      <c r="NP25" s="43"/>
      <c r="NQ25" s="43"/>
      <c r="NR25" s="43"/>
      <c r="NS25" s="43"/>
      <c r="NT25" s="43"/>
      <c r="NU25" s="43"/>
      <c r="NV25" s="43"/>
      <c r="NW25" s="43"/>
      <c r="NX25" s="43"/>
      <c r="NY25" s="43"/>
      <c r="NZ25" s="43"/>
      <c r="OA25" s="43"/>
      <c r="OB25" s="43"/>
      <c r="OC25" s="43"/>
      <c r="OD25" s="43"/>
      <c r="OE25" s="43"/>
      <c r="OF25" s="43"/>
      <c r="OG25" s="43"/>
      <c r="OH25" s="43"/>
      <c r="OI25" s="43"/>
      <c r="OJ25" s="43"/>
      <c r="OK25" s="43"/>
      <c r="OL25" s="43"/>
      <c r="OM25" s="43"/>
      <c r="ON25" s="43"/>
      <c r="OO25" s="43"/>
      <c r="OP25" s="43"/>
      <c r="OQ25" s="43"/>
      <c r="OR25" s="43"/>
      <c r="OS25" s="43"/>
      <c r="OT25" s="43"/>
      <c r="OU25" s="43"/>
      <c r="OV25" s="43"/>
      <c r="OW25" s="43"/>
      <c r="OX25" s="43"/>
      <c r="OY25" s="43"/>
      <c r="OZ25" s="43"/>
      <c r="PA25" s="43"/>
      <c r="PB25" s="43"/>
      <c r="PC25" s="43"/>
      <c r="PD25" s="43"/>
      <c r="PE25" s="43"/>
      <c r="PF25" s="43"/>
      <c r="PG25" s="43"/>
      <c r="PH25" s="43"/>
      <c r="PI25" s="43"/>
      <c r="PJ25" s="43"/>
      <c r="PK25" s="43"/>
      <c r="PL25" s="43"/>
      <c r="PM25" s="43"/>
      <c r="PN25" s="43"/>
      <c r="PO25" s="43"/>
      <c r="PP25" s="43"/>
      <c r="PQ25" s="43"/>
      <c r="PR25" s="43"/>
      <c r="PS25" s="43"/>
      <c r="PT25" s="43"/>
      <c r="PU25" s="43"/>
      <c r="PV25" s="43"/>
      <c r="PW25" s="43"/>
      <c r="PX25" s="43"/>
      <c r="PY25" s="43"/>
      <c r="PZ25" s="43"/>
      <c r="QA25" s="43"/>
      <c r="QB25" s="43"/>
      <c r="QC25" s="43"/>
    </row>
    <row r="26" spans="1:445" s="50" customFormat="1" x14ac:dyDescent="0.3">
      <c r="A26" s="47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6" t="str">
        <f t="shared" si="2"/>
        <v/>
      </c>
      <c r="U26" s="46" t="str">
        <f t="shared" si="3"/>
        <v/>
      </c>
      <c r="V26" s="72" t="str">
        <f t="shared" si="4"/>
        <v/>
      </c>
      <c r="W26" s="49"/>
      <c r="X26" s="73" t="str">
        <f t="shared" si="5"/>
        <v/>
      </c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43"/>
      <c r="CY26" s="43"/>
      <c r="CZ26" s="43"/>
      <c r="DA26" s="43"/>
      <c r="DB26" s="43"/>
      <c r="DC26" s="43"/>
      <c r="DD26" s="43"/>
      <c r="DE26" s="43"/>
      <c r="DF26" s="43"/>
      <c r="DG26" s="43"/>
      <c r="DH26" s="43"/>
      <c r="DI26" s="43"/>
      <c r="DJ26" s="43"/>
      <c r="DK26" s="43"/>
      <c r="DL26" s="43"/>
      <c r="DM26" s="43"/>
      <c r="DN26" s="43"/>
      <c r="DO26" s="43"/>
      <c r="DP26" s="43"/>
      <c r="DQ26" s="43"/>
      <c r="DR26" s="43"/>
      <c r="DS26" s="43"/>
      <c r="DT26" s="43"/>
      <c r="DU26" s="43"/>
      <c r="DV26" s="43"/>
      <c r="DW26" s="43"/>
      <c r="DX26" s="43"/>
      <c r="DY26" s="43"/>
      <c r="DZ26" s="43"/>
      <c r="EA26" s="43"/>
      <c r="EB26" s="43"/>
      <c r="EC26" s="43"/>
      <c r="ED26" s="43"/>
      <c r="EE26" s="43"/>
      <c r="EF26" s="43"/>
      <c r="EG26" s="43"/>
      <c r="EH26" s="43"/>
      <c r="EI26" s="43"/>
      <c r="EJ26" s="43"/>
      <c r="EK26" s="43"/>
      <c r="EL26" s="43"/>
      <c r="EM26" s="43"/>
      <c r="EN26" s="43"/>
      <c r="EO26" s="43"/>
      <c r="EP26" s="43"/>
      <c r="EQ26" s="43"/>
      <c r="ER26" s="43"/>
      <c r="ES26" s="43"/>
      <c r="ET26" s="43"/>
      <c r="EU26" s="43"/>
      <c r="EV26" s="43"/>
      <c r="EW26" s="43"/>
      <c r="EX26" s="43"/>
      <c r="EY26" s="43"/>
      <c r="EZ26" s="43"/>
      <c r="FA26" s="43"/>
      <c r="FB26" s="43"/>
      <c r="FC26" s="43"/>
      <c r="FD26" s="43"/>
      <c r="FE26" s="43"/>
      <c r="FF26" s="43"/>
      <c r="FG26" s="43"/>
      <c r="FH26" s="43"/>
      <c r="FI26" s="43"/>
      <c r="FJ26" s="43"/>
      <c r="FK26" s="43"/>
      <c r="FL26" s="43"/>
      <c r="FM26" s="43"/>
      <c r="FN26" s="43"/>
      <c r="FO26" s="43"/>
      <c r="FP26" s="43"/>
      <c r="FQ26" s="43"/>
      <c r="FR26" s="43"/>
      <c r="FS26" s="43"/>
      <c r="FT26" s="43"/>
      <c r="FU26" s="43"/>
      <c r="FV26" s="43"/>
      <c r="FW26" s="43"/>
      <c r="FX26" s="43"/>
      <c r="FY26" s="43"/>
      <c r="FZ26" s="43"/>
      <c r="GA26" s="43"/>
      <c r="GB26" s="43"/>
      <c r="GC26" s="43"/>
      <c r="GD26" s="43"/>
      <c r="GE26" s="43"/>
      <c r="GF26" s="43"/>
      <c r="GG26" s="43"/>
      <c r="GH26" s="43"/>
      <c r="GI26" s="43"/>
      <c r="GJ26" s="43"/>
      <c r="GK26" s="43"/>
      <c r="GL26" s="43"/>
      <c r="GM26" s="43"/>
      <c r="GN26" s="43"/>
      <c r="GO26" s="43"/>
      <c r="GP26" s="43"/>
      <c r="GQ26" s="43"/>
      <c r="GR26" s="43"/>
      <c r="GS26" s="43"/>
      <c r="GT26" s="43"/>
      <c r="GU26" s="43"/>
      <c r="GV26" s="43"/>
      <c r="GW26" s="43"/>
      <c r="GX26" s="43"/>
      <c r="GY26" s="43"/>
      <c r="GZ26" s="43"/>
      <c r="HA26" s="43"/>
      <c r="HB26" s="43"/>
      <c r="HC26" s="43"/>
      <c r="HD26" s="43"/>
      <c r="HE26" s="43"/>
      <c r="HF26" s="43"/>
      <c r="HG26" s="43"/>
      <c r="HH26" s="43"/>
      <c r="HI26" s="43"/>
      <c r="HJ26" s="43"/>
      <c r="HK26" s="43"/>
      <c r="HL26" s="43"/>
      <c r="HM26" s="43"/>
      <c r="HN26" s="43"/>
      <c r="HO26" s="43"/>
      <c r="HP26" s="43"/>
      <c r="HQ26" s="43"/>
      <c r="HR26" s="43"/>
      <c r="HS26" s="43"/>
      <c r="HT26" s="43"/>
      <c r="HU26" s="43"/>
      <c r="HV26" s="43"/>
      <c r="HW26" s="43"/>
      <c r="HX26" s="43"/>
      <c r="HY26" s="43"/>
      <c r="HZ26" s="43"/>
      <c r="IA26" s="43"/>
      <c r="IB26" s="43"/>
      <c r="IC26" s="43"/>
      <c r="ID26" s="43"/>
      <c r="IE26" s="43"/>
      <c r="IF26" s="43"/>
      <c r="IG26" s="43"/>
      <c r="IH26" s="43"/>
      <c r="II26" s="43"/>
      <c r="IJ26" s="43"/>
      <c r="IK26" s="43"/>
      <c r="IL26" s="43"/>
      <c r="IM26" s="43"/>
      <c r="IN26" s="43"/>
      <c r="IO26" s="43"/>
      <c r="IP26" s="43"/>
      <c r="IQ26" s="43"/>
      <c r="IR26" s="43"/>
      <c r="IS26" s="43"/>
      <c r="IT26" s="43"/>
      <c r="IU26" s="43"/>
      <c r="IV26" s="43"/>
      <c r="IW26" s="43"/>
      <c r="IX26" s="43"/>
      <c r="IY26" s="43"/>
      <c r="IZ26" s="43"/>
      <c r="JA26" s="43"/>
      <c r="JB26" s="43"/>
      <c r="JC26" s="43"/>
      <c r="JD26" s="43"/>
      <c r="JE26" s="43"/>
      <c r="JF26" s="43"/>
      <c r="JG26" s="43"/>
      <c r="JH26" s="43"/>
      <c r="JI26" s="43"/>
      <c r="JJ26" s="43"/>
      <c r="JK26" s="43"/>
      <c r="JL26" s="43"/>
      <c r="JM26" s="43"/>
      <c r="JN26" s="43"/>
      <c r="JO26" s="43"/>
      <c r="JP26" s="43"/>
      <c r="JQ26" s="43"/>
      <c r="JR26" s="43"/>
      <c r="JS26" s="43"/>
      <c r="JT26" s="43"/>
      <c r="JU26" s="43"/>
      <c r="JV26" s="43"/>
      <c r="JW26" s="43"/>
      <c r="JX26" s="43"/>
      <c r="JY26" s="43"/>
      <c r="JZ26" s="43"/>
      <c r="KA26" s="43"/>
      <c r="KB26" s="43"/>
      <c r="KC26" s="43"/>
      <c r="KD26" s="43"/>
      <c r="KE26" s="43"/>
      <c r="KF26" s="43"/>
      <c r="KG26" s="43"/>
      <c r="KH26" s="43"/>
      <c r="KI26" s="43"/>
      <c r="KJ26" s="43"/>
      <c r="KK26" s="43"/>
      <c r="KL26" s="43"/>
      <c r="KM26" s="43"/>
      <c r="KN26" s="43"/>
      <c r="KO26" s="43"/>
      <c r="KP26" s="43"/>
      <c r="KQ26" s="43"/>
      <c r="KR26" s="43"/>
      <c r="KS26" s="43"/>
      <c r="KT26" s="43"/>
      <c r="KU26" s="43"/>
      <c r="KV26" s="43"/>
      <c r="KW26" s="43"/>
      <c r="KX26" s="43"/>
      <c r="KY26" s="43"/>
      <c r="KZ26" s="43"/>
      <c r="LA26" s="43"/>
      <c r="LB26" s="43"/>
      <c r="LC26" s="43"/>
      <c r="LD26" s="43"/>
      <c r="LE26" s="43"/>
      <c r="LF26" s="43"/>
      <c r="LG26" s="43"/>
      <c r="LH26" s="43"/>
      <c r="LI26" s="43"/>
      <c r="LJ26" s="43"/>
      <c r="LK26" s="43"/>
      <c r="LL26" s="43"/>
      <c r="LM26" s="43"/>
      <c r="LN26" s="43"/>
      <c r="LO26" s="43"/>
      <c r="LP26" s="43"/>
      <c r="LQ26" s="43"/>
      <c r="LR26" s="43"/>
      <c r="LS26" s="43"/>
      <c r="LT26" s="43"/>
      <c r="LU26" s="43"/>
      <c r="LV26" s="43"/>
      <c r="LW26" s="43"/>
      <c r="LX26" s="43"/>
      <c r="LY26" s="43"/>
      <c r="LZ26" s="43"/>
      <c r="MA26" s="43"/>
      <c r="MB26" s="43"/>
      <c r="MC26" s="43"/>
      <c r="MD26" s="43"/>
      <c r="ME26" s="43"/>
      <c r="MF26" s="43"/>
      <c r="MG26" s="43"/>
      <c r="MH26" s="43"/>
      <c r="MI26" s="43"/>
      <c r="MJ26" s="43"/>
      <c r="MK26" s="43"/>
      <c r="ML26" s="43"/>
      <c r="MM26" s="43"/>
      <c r="MN26" s="43"/>
      <c r="MO26" s="43"/>
      <c r="MP26" s="43"/>
      <c r="MQ26" s="43"/>
      <c r="MR26" s="43"/>
      <c r="MS26" s="43"/>
      <c r="MT26" s="43"/>
      <c r="MU26" s="43"/>
      <c r="MV26" s="43"/>
      <c r="MW26" s="43"/>
      <c r="MX26" s="43"/>
      <c r="MY26" s="43"/>
      <c r="MZ26" s="43"/>
      <c r="NA26" s="43"/>
      <c r="NB26" s="43"/>
      <c r="NC26" s="43"/>
      <c r="ND26" s="43"/>
      <c r="NE26" s="43"/>
      <c r="NF26" s="43"/>
      <c r="NG26" s="43"/>
      <c r="NH26" s="43"/>
      <c r="NI26" s="43"/>
      <c r="NJ26" s="43"/>
      <c r="NK26" s="43"/>
      <c r="NL26" s="43"/>
      <c r="NM26" s="43"/>
      <c r="NN26" s="43"/>
      <c r="NO26" s="43"/>
      <c r="NP26" s="43"/>
      <c r="NQ26" s="43"/>
      <c r="NR26" s="43"/>
      <c r="NS26" s="43"/>
      <c r="NT26" s="43"/>
      <c r="NU26" s="43"/>
      <c r="NV26" s="43"/>
      <c r="NW26" s="43"/>
      <c r="NX26" s="43"/>
      <c r="NY26" s="43"/>
      <c r="NZ26" s="43"/>
      <c r="OA26" s="43"/>
      <c r="OB26" s="43"/>
      <c r="OC26" s="43"/>
      <c r="OD26" s="43"/>
      <c r="OE26" s="43"/>
      <c r="OF26" s="43"/>
      <c r="OG26" s="43"/>
      <c r="OH26" s="43"/>
      <c r="OI26" s="43"/>
      <c r="OJ26" s="43"/>
      <c r="OK26" s="43"/>
      <c r="OL26" s="43"/>
      <c r="OM26" s="43"/>
      <c r="ON26" s="43"/>
      <c r="OO26" s="43"/>
      <c r="OP26" s="43"/>
      <c r="OQ26" s="43"/>
      <c r="OR26" s="43"/>
      <c r="OS26" s="43"/>
      <c r="OT26" s="43"/>
      <c r="OU26" s="43"/>
      <c r="OV26" s="43"/>
      <c r="OW26" s="43"/>
      <c r="OX26" s="43"/>
      <c r="OY26" s="43"/>
      <c r="OZ26" s="43"/>
      <c r="PA26" s="43"/>
      <c r="PB26" s="43"/>
      <c r="PC26" s="43"/>
      <c r="PD26" s="43"/>
      <c r="PE26" s="43"/>
      <c r="PF26" s="43"/>
      <c r="PG26" s="43"/>
      <c r="PH26" s="43"/>
      <c r="PI26" s="43"/>
      <c r="PJ26" s="43"/>
      <c r="PK26" s="43"/>
      <c r="PL26" s="43"/>
      <c r="PM26" s="43"/>
      <c r="PN26" s="43"/>
      <c r="PO26" s="43"/>
      <c r="PP26" s="43"/>
      <c r="PQ26" s="43"/>
      <c r="PR26" s="43"/>
      <c r="PS26" s="43"/>
      <c r="PT26" s="43"/>
      <c r="PU26" s="43"/>
      <c r="PV26" s="43"/>
      <c r="PW26" s="43"/>
      <c r="PX26" s="43"/>
      <c r="PY26" s="43"/>
      <c r="PZ26" s="43"/>
      <c r="QA26" s="43"/>
      <c r="QB26" s="43"/>
      <c r="QC26" s="43"/>
    </row>
    <row r="27" spans="1:445" s="50" customFormat="1" x14ac:dyDescent="0.3">
      <c r="A27" s="47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6" t="str">
        <f t="shared" si="2"/>
        <v/>
      </c>
      <c r="U27" s="46" t="str">
        <f t="shared" si="3"/>
        <v/>
      </c>
      <c r="V27" s="72" t="str">
        <f t="shared" si="4"/>
        <v/>
      </c>
      <c r="W27" s="48"/>
      <c r="X27" s="73" t="str">
        <f t="shared" si="5"/>
        <v/>
      </c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43"/>
      <c r="CY27" s="43"/>
      <c r="CZ27" s="43"/>
      <c r="DA27" s="43"/>
      <c r="DB27" s="43"/>
      <c r="DC27" s="43"/>
      <c r="DD27" s="43"/>
      <c r="DE27" s="43"/>
      <c r="DF27" s="43"/>
      <c r="DG27" s="43"/>
      <c r="DH27" s="43"/>
      <c r="DI27" s="43"/>
      <c r="DJ27" s="43"/>
      <c r="DK27" s="43"/>
      <c r="DL27" s="43"/>
      <c r="DM27" s="43"/>
      <c r="DN27" s="43"/>
      <c r="DO27" s="43"/>
      <c r="DP27" s="43"/>
      <c r="DQ27" s="43"/>
      <c r="DR27" s="43"/>
      <c r="DS27" s="43"/>
      <c r="DT27" s="43"/>
      <c r="DU27" s="43"/>
      <c r="DV27" s="43"/>
      <c r="DW27" s="43"/>
      <c r="DX27" s="43"/>
      <c r="DY27" s="43"/>
      <c r="DZ27" s="43"/>
      <c r="EA27" s="43"/>
      <c r="EB27" s="43"/>
      <c r="EC27" s="43"/>
      <c r="ED27" s="43"/>
      <c r="EE27" s="43"/>
      <c r="EF27" s="43"/>
      <c r="EG27" s="43"/>
      <c r="EH27" s="43"/>
      <c r="EI27" s="43"/>
      <c r="EJ27" s="43"/>
      <c r="EK27" s="43"/>
      <c r="EL27" s="43"/>
      <c r="EM27" s="43"/>
      <c r="EN27" s="43"/>
      <c r="EO27" s="43"/>
      <c r="EP27" s="43"/>
      <c r="EQ27" s="43"/>
      <c r="ER27" s="43"/>
      <c r="ES27" s="43"/>
      <c r="ET27" s="43"/>
      <c r="EU27" s="43"/>
      <c r="EV27" s="43"/>
      <c r="EW27" s="43"/>
      <c r="EX27" s="43"/>
      <c r="EY27" s="43"/>
      <c r="EZ27" s="43"/>
      <c r="FA27" s="43"/>
      <c r="FB27" s="43"/>
      <c r="FC27" s="43"/>
      <c r="FD27" s="43"/>
      <c r="FE27" s="43"/>
      <c r="FF27" s="43"/>
      <c r="FG27" s="43"/>
      <c r="FH27" s="43"/>
      <c r="FI27" s="43"/>
      <c r="FJ27" s="43"/>
      <c r="FK27" s="43"/>
      <c r="FL27" s="43"/>
      <c r="FM27" s="43"/>
      <c r="FN27" s="43"/>
      <c r="FO27" s="43"/>
      <c r="FP27" s="43"/>
      <c r="FQ27" s="43"/>
      <c r="FR27" s="43"/>
      <c r="FS27" s="43"/>
      <c r="FT27" s="43"/>
      <c r="FU27" s="43"/>
      <c r="FV27" s="43"/>
      <c r="FW27" s="43"/>
      <c r="FX27" s="43"/>
      <c r="FY27" s="43"/>
      <c r="FZ27" s="43"/>
      <c r="GA27" s="43"/>
      <c r="GB27" s="43"/>
      <c r="GC27" s="43"/>
      <c r="GD27" s="43"/>
      <c r="GE27" s="43"/>
      <c r="GF27" s="43"/>
      <c r="GG27" s="43"/>
      <c r="GH27" s="43"/>
      <c r="GI27" s="43"/>
      <c r="GJ27" s="43"/>
      <c r="GK27" s="43"/>
      <c r="GL27" s="43"/>
      <c r="GM27" s="43"/>
      <c r="GN27" s="43"/>
      <c r="GO27" s="43"/>
      <c r="GP27" s="43"/>
      <c r="GQ27" s="43"/>
      <c r="GR27" s="43"/>
      <c r="GS27" s="43"/>
      <c r="GT27" s="43"/>
      <c r="GU27" s="43"/>
      <c r="GV27" s="43"/>
      <c r="GW27" s="43"/>
      <c r="GX27" s="43"/>
      <c r="GY27" s="43"/>
      <c r="GZ27" s="43"/>
      <c r="HA27" s="43"/>
      <c r="HB27" s="43"/>
      <c r="HC27" s="43"/>
      <c r="HD27" s="43"/>
      <c r="HE27" s="43"/>
      <c r="HF27" s="43"/>
      <c r="HG27" s="43"/>
      <c r="HH27" s="43"/>
      <c r="HI27" s="43"/>
      <c r="HJ27" s="43"/>
      <c r="HK27" s="43"/>
      <c r="HL27" s="43"/>
      <c r="HM27" s="43"/>
      <c r="HN27" s="43"/>
      <c r="HO27" s="43"/>
      <c r="HP27" s="43"/>
      <c r="HQ27" s="43"/>
      <c r="HR27" s="43"/>
      <c r="HS27" s="43"/>
      <c r="HT27" s="43"/>
      <c r="HU27" s="43"/>
      <c r="HV27" s="43"/>
      <c r="HW27" s="43"/>
      <c r="HX27" s="43"/>
      <c r="HY27" s="43"/>
      <c r="HZ27" s="43"/>
      <c r="IA27" s="43"/>
      <c r="IB27" s="43"/>
      <c r="IC27" s="43"/>
      <c r="ID27" s="43"/>
      <c r="IE27" s="43"/>
      <c r="IF27" s="43"/>
      <c r="IG27" s="43"/>
      <c r="IH27" s="43"/>
      <c r="II27" s="43"/>
      <c r="IJ27" s="43"/>
      <c r="IK27" s="43"/>
      <c r="IL27" s="43"/>
      <c r="IM27" s="43"/>
      <c r="IN27" s="43"/>
      <c r="IO27" s="43"/>
      <c r="IP27" s="43"/>
      <c r="IQ27" s="43"/>
      <c r="IR27" s="43"/>
      <c r="IS27" s="43"/>
      <c r="IT27" s="43"/>
      <c r="IU27" s="43"/>
      <c r="IV27" s="43"/>
      <c r="IW27" s="43"/>
      <c r="IX27" s="43"/>
      <c r="IY27" s="43"/>
      <c r="IZ27" s="43"/>
      <c r="JA27" s="43"/>
      <c r="JB27" s="43"/>
      <c r="JC27" s="43"/>
      <c r="JD27" s="43"/>
      <c r="JE27" s="43"/>
      <c r="JF27" s="43"/>
      <c r="JG27" s="43"/>
      <c r="JH27" s="43"/>
      <c r="JI27" s="43"/>
      <c r="JJ27" s="43"/>
      <c r="JK27" s="43"/>
      <c r="JL27" s="43"/>
      <c r="JM27" s="43"/>
      <c r="JN27" s="43"/>
      <c r="JO27" s="43"/>
      <c r="JP27" s="43"/>
      <c r="JQ27" s="43"/>
      <c r="JR27" s="43"/>
      <c r="JS27" s="43"/>
      <c r="JT27" s="43"/>
      <c r="JU27" s="43"/>
      <c r="JV27" s="43"/>
      <c r="JW27" s="43"/>
      <c r="JX27" s="43"/>
      <c r="JY27" s="43"/>
      <c r="JZ27" s="43"/>
      <c r="KA27" s="43"/>
      <c r="KB27" s="43"/>
      <c r="KC27" s="43"/>
      <c r="KD27" s="43"/>
      <c r="KE27" s="43"/>
      <c r="KF27" s="43"/>
      <c r="KG27" s="43"/>
      <c r="KH27" s="43"/>
      <c r="KI27" s="43"/>
      <c r="KJ27" s="43"/>
      <c r="KK27" s="43"/>
      <c r="KL27" s="43"/>
      <c r="KM27" s="43"/>
      <c r="KN27" s="43"/>
      <c r="KO27" s="43"/>
      <c r="KP27" s="43"/>
      <c r="KQ27" s="43"/>
      <c r="KR27" s="43"/>
      <c r="KS27" s="43"/>
      <c r="KT27" s="43"/>
      <c r="KU27" s="43"/>
      <c r="KV27" s="43"/>
      <c r="KW27" s="43"/>
      <c r="KX27" s="43"/>
      <c r="KY27" s="43"/>
      <c r="KZ27" s="43"/>
      <c r="LA27" s="43"/>
      <c r="LB27" s="43"/>
      <c r="LC27" s="43"/>
      <c r="LD27" s="43"/>
      <c r="LE27" s="43"/>
      <c r="LF27" s="43"/>
      <c r="LG27" s="43"/>
      <c r="LH27" s="43"/>
      <c r="LI27" s="43"/>
      <c r="LJ27" s="43"/>
      <c r="LK27" s="43"/>
      <c r="LL27" s="43"/>
      <c r="LM27" s="43"/>
      <c r="LN27" s="43"/>
      <c r="LO27" s="43"/>
      <c r="LP27" s="43"/>
      <c r="LQ27" s="43"/>
      <c r="LR27" s="43"/>
      <c r="LS27" s="43"/>
      <c r="LT27" s="43"/>
      <c r="LU27" s="43"/>
      <c r="LV27" s="43"/>
      <c r="LW27" s="43"/>
      <c r="LX27" s="43"/>
      <c r="LY27" s="43"/>
      <c r="LZ27" s="43"/>
      <c r="MA27" s="43"/>
      <c r="MB27" s="43"/>
      <c r="MC27" s="43"/>
      <c r="MD27" s="43"/>
      <c r="ME27" s="43"/>
      <c r="MF27" s="43"/>
      <c r="MG27" s="43"/>
      <c r="MH27" s="43"/>
      <c r="MI27" s="43"/>
      <c r="MJ27" s="43"/>
      <c r="MK27" s="43"/>
      <c r="ML27" s="43"/>
      <c r="MM27" s="43"/>
      <c r="MN27" s="43"/>
      <c r="MO27" s="43"/>
      <c r="MP27" s="43"/>
      <c r="MQ27" s="43"/>
      <c r="MR27" s="43"/>
      <c r="MS27" s="43"/>
      <c r="MT27" s="43"/>
      <c r="MU27" s="43"/>
      <c r="MV27" s="43"/>
      <c r="MW27" s="43"/>
      <c r="MX27" s="43"/>
      <c r="MY27" s="43"/>
      <c r="MZ27" s="43"/>
      <c r="NA27" s="43"/>
      <c r="NB27" s="43"/>
      <c r="NC27" s="43"/>
      <c r="ND27" s="43"/>
      <c r="NE27" s="43"/>
      <c r="NF27" s="43"/>
      <c r="NG27" s="43"/>
      <c r="NH27" s="43"/>
      <c r="NI27" s="43"/>
      <c r="NJ27" s="43"/>
      <c r="NK27" s="43"/>
      <c r="NL27" s="43"/>
      <c r="NM27" s="43"/>
      <c r="NN27" s="43"/>
      <c r="NO27" s="43"/>
      <c r="NP27" s="43"/>
      <c r="NQ27" s="43"/>
      <c r="NR27" s="43"/>
      <c r="NS27" s="43"/>
      <c r="NT27" s="43"/>
      <c r="NU27" s="43"/>
      <c r="NV27" s="43"/>
      <c r="NW27" s="43"/>
      <c r="NX27" s="43"/>
      <c r="NY27" s="43"/>
      <c r="NZ27" s="43"/>
      <c r="OA27" s="43"/>
      <c r="OB27" s="43"/>
      <c r="OC27" s="43"/>
      <c r="OD27" s="43"/>
      <c r="OE27" s="43"/>
      <c r="OF27" s="43"/>
      <c r="OG27" s="43"/>
      <c r="OH27" s="43"/>
      <c r="OI27" s="43"/>
      <c r="OJ27" s="43"/>
      <c r="OK27" s="43"/>
      <c r="OL27" s="43"/>
      <c r="OM27" s="43"/>
      <c r="ON27" s="43"/>
      <c r="OO27" s="43"/>
      <c r="OP27" s="43"/>
      <c r="OQ27" s="43"/>
      <c r="OR27" s="43"/>
      <c r="OS27" s="43"/>
      <c r="OT27" s="43"/>
      <c r="OU27" s="43"/>
      <c r="OV27" s="43"/>
      <c r="OW27" s="43"/>
      <c r="OX27" s="43"/>
      <c r="OY27" s="43"/>
      <c r="OZ27" s="43"/>
      <c r="PA27" s="43"/>
      <c r="PB27" s="43"/>
      <c r="PC27" s="43"/>
      <c r="PD27" s="43"/>
      <c r="PE27" s="43"/>
      <c r="PF27" s="43"/>
      <c r="PG27" s="43"/>
      <c r="PH27" s="43"/>
      <c r="PI27" s="43"/>
      <c r="PJ27" s="43"/>
      <c r="PK27" s="43"/>
      <c r="PL27" s="43"/>
      <c r="PM27" s="43"/>
      <c r="PN27" s="43"/>
      <c r="PO27" s="43"/>
      <c r="PP27" s="43"/>
      <c r="PQ27" s="43"/>
      <c r="PR27" s="43"/>
      <c r="PS27" s="43"/>
      <c r="PT27" s="43"/>
      <c r="PU27" s="43"/>
      <c r="PV27" s="43"/>
      <c r="PW27" s="43"/>
      <c r="PX27" s="43"/>
      <c r="PY27" s="43"/>
      <c r="PZ27" s="43"/>
      <c r="QA27" s="43"/>
      <c r="QB27" s="43"/>
      <c r="QC27" s="43"/>
    </row>
    <row r="28" spans="1:445" s="50" customFormat="1" x14ac:dyDescent="0.3">
      <c r="A28" s="47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6" t="str">
        <f t="shared" si="2"/>
        <v/>
      </c>
      <c r="U28" s="46" t="str">
        <f t="shared" si="3"/>
        <v/>
      </c>
      <c r="V28" s="72" t="str">
        <f t="shared" si="4"/>
        <v/>
      </c>
      <c r="W28" s="48"/>
      <c r="X28" s="73" t="str">
        <f t="shared" si="5"/>
        <v/>
      </c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43"/>
      <c r="CY28" s="43"/>
      <c r="CZ28" s="43"/>
      <c r="DA28" s="43"/>
      <c r="DB28" s="43"/>
      <c r="DC28" s="43"/>
      <c r="DD28" s="43"/>
      <c r="DE28" s="43"/>
      <c r="DF28" s="43"/>
      <c r="DG28" s="43"/>
      <c r="DH28" s="43"/>
      <c r="DI28" s="43"/>
      <c r="DJ28" s="43"/>
      <c r="DK28" s="43"/>
      <c r="DL28" s="43"/>
      <c r="DM28" s="43"/>
      <c r="DN28" s="43"/>
      <c r="DO28" s="43"/>
      <c r="DP28" s="43"/>
      <c r="DQ28" s="43"/>
      <c r="DR28" s="43"/>
      <c r="DS28" s="43"/>
      <c r="DT28" s="43"/>
      <c r="DU28" s="43"/>
      <c r="DV28" s="43"/>
      <c r="DW28" s="43"/>
      <c r="DX28" s="43"/>
      <c r="DY28" s="43"/>
      <c r="DZ28" s="43"/>
      <c r="EA28" s="43"/>
      <c r="EB28" s="43"/>
      <c r="EC28" s="43"/>
      <c r="ED28" s="43"/>
      <c r="EE28" s="43"/>
      <c r="EF28" s="43"/>
      <c r="EG28" s="43"/>
      <c r="EH28" s="43"/>
      <c r="EI28" s="43"/>
      <c r="EJ28" s="43"/>
      <c r="EK28" s="43"/>
      <c r="EL28" s="43"/>
      <c r="EM28" s="43"/>
      <c r="EN28" s="43"/>
      <c r="EO28" s="43"/>
      <c r="EP28" s="43"/>
      <c r="EQ28" s="43"/>
      <c r="ER28" s="43"/>
      <c r="ES28" s="43"/>
      <c r="ET28" s="43"/>
      <c r="EU28" s="43"/>
      <c r="EV28" s="43"/>
      <c r="EW28" s="43"/>
      <c r="EX28" s="43"/>
      <c r="EY28" s="43"/>
      <c r="EZ28" s="43"/>
      <c r="FA28" s="43"/>
      <c r="FB28" s="43"/>
      <c r="FC28" s="43"/>
      <c r="FD28" s="43"/>
      <c r="FE28" s="43"/>
      <c r="FF28" s="43"/>
      <c r="FG28" s="43"/>
      <c r="FH28" s="43"/>
      <c r="FI28" s="43"/>
      <c r="FJ28" s="43"/>
      <c r="FK28" s="43"/>
      <c r="FL28" s="43"/>
      <c r="FM28" s="43"/>
      <c r="FN28" s="43"/>
      <c r="FO28" s="43"/>
      <c r="FP28" s="43"/>
      <c r="FQ28" s="43"/>
      <c r="FR28" s="43"/>
      <c r="FS28" s="43"/>
      <c r="FT28" s="43"/>
      <c r="FU28" s="43"/>
      <c r="FV28" s="43"/>
      <c r="FW28" s="43"/>
      <c r="FX28" s="43"/>
      <c r="FY28" s="43"/>
      <c r="FZ28" s="43"/>
      <c r="GA28" s="43"/>
      <c r="GB28" s="43"/>
      <c r="GC28" s="43"/>
      <c r="GD28" s="43"/>
      <c r="GE28" s="43"/>
      <c r="GF28" s="43"/>
      <c r="GG28" s="43"/>
      <c r="GH28" s="43"/>
      <c r="GI28" s="43"/>
      <c r="GJ28" s="43"/>
      <c r="GK28" s="43"/>
      <c r="GL28" s="43"/>
      <c r="GM28" s="43"/>
      <c r="GN28" s="43"/>
      <c r="GO28" s="43"/>
      <c r="GP28" s="43"/>
      <c r="GQ28" s="43"/>
      <c r="GR28" s="43"/>
      <c r="GS28" s="43"/>
      <c r="GT28" s="43"/>
      <c r="GU28" s="43"/>
      <c r="GV28" s="43"/>
      <c r="GW28" s="43"/>
      <c r="GX28" s="43"/>
      <c r="GY28" s="43"/>
      <c r="GZ28" s="43"/>
      <c r="HA28" s="43"/>
      <c r="HB28" s="43"/>
      <c r="HC28" s="43"/>
      <c r="HD28" s="43"/>
      <c r="HE28" s="43"/>
      <c r="HF28" s="43"/>
      <c r="HG28" s="43"/>
      <c r="HH28" s="43"/>
      <c r="HI28" s="43"/>
      <c r="HJ28" s="43"/>
      <c r="HK28" s="43"/>
      <c r="HL28" s="43"/>
      <c r="HM28" s="43"/>
      <c r="HN28" s="43"/>
      <c r="HO28" s="43"/>
      <c r="HP28" s="43"/>
      <c r="HQ28" s="43"/>
      <c r="HR28" s="43"/>
      <c r="HS28" s="43"/>
      <c r="HT28" s="43"/>
      <c r="HU28" s="43"/>
      <c r="HV28" s="43"/>
      <c r="HW28" s="43"/>
      <c r="HX28" s="43"/>
      <c r="HY28" s="43"/>
      <c r="HZ28" s="43"/>
      <c r="IA28" s="43"/>
      <c r="IB28" s="43"/>
      <c r="IC28" s="43"/>
      <c r="ID28" s="43"/>
      <c r="IE28" s="43"/>
      <c r="IF28" s="43"/>
      <c r="IG28" s="43"/>
      <c r="IH28" s="43"/>
      <c r="II28" s="43"/>
      <c r="IJ28" s="43"/>
      <c r="IK28" s="43"/>
      <c r="IL28" s="43"/>
      <c r="IM28" s="43"/>
      <c r="IN28" s="43"/>
      <c r="IO28" s="43"/>
      <c r="IP28" s="43"/>
      <c r="IQ28" s="43"/>
      <c r="IR28" s="43"/>
      <c r="IS28" s="43"/>
      <c r="IT28" s="43"/>
      <c r="IU28" s="43"/>
      <c r="IV28" s="43"/>
      <c r="IW28" s="43"/>
      <c r="IX28" s="43"/>
      <c r="IY28" s="43"/>
      <c r="IZ28" s="43"/>
      <c r="JA28" s="43"/>
      <c r="JB28" s="43"/>
      <c r="JC28" s="43"/>
      <c r="JD28" s="43"/>
      <c r="JE28" s="43"/>
      <c r="JF28" s="43"/>
      <c r="JG28" s="43"/>
      <c r="JH28" s="43"/>
      <c r="JI28" s="43"/>
      <c r="JJ28" s="43"/>
      <c r="JK28" s="43"/>
      <c r="JL28" s="43"/>
      <c r="JM28" s="43"/>
      <c r="JN28" s="43"/>
      <c r="JO28" s="43"/>
      <c r="JP28" s="43"/>
      <c r="JQ28" s="43"/>
      <c r="JR28" s="43"/>
      <c r="JS28" s="43"/>
      <c r="JT28" s="43"/>
      <c r="JU28" s="43"/>
      <c r="JV28" s="43"/>
      <c r="JW28" s="43"/>
      <c r="JX28" s="43"/>
      <c r="JY28" s="43"/>
      <c r="JZ28" s="43"/>
      <c r="KA28" s="43"/>
      <c r="KB28" s="43"/>
      <c r="KC28" s="43"/>
      <c r="KD28" s="43"/>
      <c r="KE28" s="43"/>
      <c r="KF28" s="43"/>
      <c r="KG28" s="43"/>
      <c r="KH28" s="43"/>
      <c r="KI28" s="43"/>
      <c r="KJ28" s="43"/>
      <c r="KK28" s="43"/>
      <c r="KL28" s="43"/>
      <c r="KM28" s="43"/>
      <c r="KN28" s="43"/>
      <c r="KO28" s="43"/>
      <c r="KP28" s="43"/>
      <c r="KQ28" s="43"/>
      <c r="KR28" s="43"/>
      <c r="KS28" s="43"/>
      <c r="KT28" s="43"/>
      <c r="KU28" s="43"/>
      <c r="KV28" s="43"/>
      <c r="KW28" s="43"/>
      <c r="KX28" s="43"/>
      <c r="KY28" s="43"/>
      <c r="KZ28" s="43"/>
      <c r="LA28" s="43"/>
      <c r="LB28" s="43"/>
      <c r="LC28" s="43"/>
      <c r="LD28" s="43"/>
      <c r="LE28" s="43"/>
      <c r="LF28" s="43"/>
      <c r="LG28" s="43"/>
      <c r="LH28" s="43"/>
      <c r="LI28" s="43"/>
      <c r="LJ28" s="43"/>
      <c r="LK28" s="43"/>
      <c r="LL28" s="43"/>
      <c r="LM28" s="43"/>
      <c r="LN28" s="43"/>
      <c r="LO28" s="43"/>
      <c r="LP28" s="43"/>
      <c r="LQ28" s="43"/>
      <c r="LR28" s="43"/>
      <c r="LS28" s="43"/>
      <c r="LT28" s="43"/>
      <c r="LU28" s="43"/>
      <c r="LV28" s="43"/>
      <c r="LW28" s="43"/>
      <c r="LX28" s="43"/>
      <c r="LY28" s="43"/>
      <c r="LZ28" s="43"/>
      <c r="MA28" s="43"/>
      <c r="MB28" s="43"/>
      <c r="MC28" s="43"/>
      <c r="MD28" s="43"/>
      <c r="ME28" s="43"/>
      <c r="MF28" s="43"/>
      <c r="MG28" s="43"/>
      <c r="MH28" s="43"/>
      <c r="MI28" s="43"/>
      <c r="MJ28" s="43"/>
      <c r="MK28" s="43"/>
      <c r="ML28" s="43"/>
      <c r="MM28" s="43"/>
      <c r="MN28" s="43"/>
      <c r="MO28" s="43"/>
      <c r="MP28" s="43"/>
      <c r="MQ28" s="43"/>
      <c r="MR28" s="43"/>
      <c r="MS28" s="43"/>
      <c r="MT28" s="43"/>
      <c r="MU28" s="43"/>
      <c r="MV28" s="43"/>
      <c r="MW28" s="43"/>
      <c r="MX28" s="43"/>
      <c r="MY28" s="43"/>
      <c r="MZ28" s="43"/>
      <c r="NA28" s="43"/>
      <c r="NB28" s="43"/>
      <c r="NC28" s="43"/>
      <c r="ND28" s="43"/>
      <c r="NE28" s="43"/>
      <c r="NF28" s="43"/>
      <c r="NG28" s="43"/>
      <c r="NH28" s="43"/>
      <c r="NI28" s="43"/>
      <c r="NJ28" s="43"/>
      <c r="NK28" s="43"/>
      <c r="NL28" s="43"/>
      <c r="NM28" s="43"/>
      <c r="NN28" s="43"/>
      <c r="NO28" s="43"/>
      <c r="NP28" s="43"/>
      <c r="NQ28" s="43"/>
      <c r="NR28" s="43"/>
      <c r="NS28" s="43"/>
      <c r="NT28" s="43"/>
      <c r="NU28" s="43"/>
      <c r="NV28" s="43"/>
      <c r="NW28" s="43"/>
      <c r="NX28" s="43"/>
      <c r="NY28" s="43"/>
      <c r="NZ28" s="43"/>
      <c r="OA28" s="43"/>
      <c r="OB28" s="43"/>
      <c r="OC28" s="43"/>
      <c r="OD28" s="43"/>
      <c r="OE28" s="43"/>
      <c r="OF28" s="43"/>
      <c r="OG28" s="43"/>
      <c r="OH28" s="43"/>
      <c r="OI28" s="43"/>
      <c r="OJ28" s="43"/>
      <c r="OK28" s="43"/>
      <c r="OL28" s="43"/>
      <c r="OM28" s="43"/>
      <c r="ON28" s="43"/>
      <c r="OO28" s="43"/>
      <c r="OP28" s="43"/>
      <c r="OQ28" s="43"/>
      <c r="OR28" s="43"/>
      <c r="OS28" s="43"/>
      <c r="OT28" s="43"/>
      <c r="OU28" s="43"/>
      <c r="OV28" s="43"/>
      <c r="OW28" s="43"/>
      <c r="OX28" s="43"/>
      <c r="OY28" s="43"/>
      <c r="OZ28" s="43"/>
      <c r="PA28" s="43"/>
      <c r="PB28" s="43"/>
      <c r="PC28" s="43"/>
      <c r="PD28" s="43"/>
      <c r="PE28" s="43"/>
      <c r="PF28" s="43"/>
      <c r="PG28" s="43"/>
      <c r="PH28" s="43"/>
      <c r="PI28" s="43"/>
      <c r="PJ28" s="43"/>
      <c r="PK28" s="43"/>
      <c r="PL28" s="43"/>
      <c r="PM28" s="43"/>
      <c r="PN28" s="43"/>
      <c r="PO28" s="43"/>
      <c r="PP28" s="43"/>
      <c r="PQ28" s="43"/>
      <c r="PR28" s="43"/>
      <c r="PS28" s="43"/>
      <c r="PT28" s="43"/>
      <c r="PU28" s="43"/>
      <c r="PV28" s="43"/>
      <c r="PW28" s="43"/>
      <c r="PX28" s="43"/>
      <c r="PY28" s="43"/>
      <c r="PZ28" s="43"/>
      <c r="QA28" s="43"/>
      <c r="QB28" s="43"/>
      <c r="QC28" s="43"/>
    </row>
    <row r="29" spans="1:445" s="50" customFormat="1" x14ac:dyDescent="0.3">
      <c r="A29" s="47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6" t="str">
        <f t="shared" si="2"/>
        <v/>
      </c>
      <c r="U29" s="46" t="str">
        <f t="shared" si="3"/>
        <v/>
      </c>
      <c r="V29" s="72" t="str">
        <f t="shared" si="4"/>
        <v/>
      </c>
      <c r="W29" s="48"/>
      <c r="X29" s="73" t="str">
        <f t="shared" si="5"/>
        <v/>
      </c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43"/>
      <c r="CY29" s="43"/>
      <c r="CZ29" s="43"/>
      <c r="DA29" s="43"/>
      <c r="DB29" s="43"/>
      <c r="DC29" s="43"/>
      <c r="DD29" s="43"/>
      <c r="DE29" s="43"/>
      <c r="DF29" s="43"/>
      <c r="DG29" s="43"/>
      <c r="DH29" s="43"/>
      <c r="DI29" s="43"/>
      <c r="DJ29" s="43"/>
      <c r="DK29" s="43"/>
      <c r="DL29" s="43"/>
      <c r="DM29" s="43"/>
      <c r="DN29" s="43"/>
      <c r="DO29" s="43"/>
      <c r="DP29" s="43"/>
      <c r="DQ29" s="43"/>
      <c r="DR29" s="43"/>
      <c r="DS29" s="43"/>
      <c r="DT29" s="43"/>
      <c r="DU29" s="43"/>
      <c r="DV29" s="43"/>
      <c r="DW29" s="43"/>
      <c r="DX29" s="43"/>
      <c r="DY29" s="43"/>
      <c r="DZ29" s="43"/>
      <c r="EA29" s="43"/>
      <c r="EB29" s="43"/>
      <c r="EC29" s="43"/>
      <c r="ED29" s="43"/>
      <c r="EE29" s="43"/>
      <c r="EF29" s="43"/>
      <c r="EG29" s="43"/>
      <c r="EH29" s="43"/>
      <c r="EI29" s="43"/>
      <c r="EJ29" s="43"/>
      <c r="EK29" s="43"/>
      <c r="EL29" s="43"/>
      <c r="EM29" s="43"/>
      <c r="EN29" s="43"/>
      <c r="EO29" s="43"/>
      <c r="EP29" s="43"/>
      <c r="EQ29" s="43"/>
      <c r="ER29" s="43"/>
      <c r="ES29" s="43"/>
      <c r="ET29" s="43"/>
      <c r="EU29" s="43"/>
      <c r="EV29" s="43"/>
      <c r="EW29" s="43"/>
      <c r="EX29" s="43"/>
      <c r="EY29" s="43"/>
      <c r="EZ29" s="43"/>
      <c r="FA29" s="43"/>
      <c r="FB29" s="43"/>
      <c r="FC29" s="43"/>
      <c r="FD29" s="43"/>
      <c r="FE29" s="43"/>
      <c r="FF29" s="43"/>
      <c r="FG29" s="43"/>
      <c r="FH29" s="43"/>
      <c r="FI29" s="43"/>
      <c r="FJ29" s="43"/>
      <c r="FK29" s="43"/>
      <c r="FL29" s="43"/>
      <c r="FM29" s="43"/>
      <c r="FN29" s="43"/>
      <c r="FO29" s="43"/>
      <c r="FP29" s="43"/>
      <c r="FQ29" s="43"/>
      <c r="FR29" s="43"/>
      <c r="FS29" s="43"/>
      <c r="FT29" s="43"/>
      <c r="FU29" s="43"/>
      <c r="FV29" s="43"/>
      <c r="FW29" s="43"/>
      <c r="FX29" s="43"/>
      <c r="FY29" s="43"/>
      <c r="FZ29" s="43"/>
      <c r="GA29" s="43"/>
      <c r="GB29" s="43"/>
      <c r="GC29" s="43"/>
      <c r="GD29" s="43"/>
      <c r="GE29" s="43"/>
      <c r="GF29" s="43"/>
      <c r="GG29" s="43"/>
      <c r="GH29" s="43"/>
      <c r="GI29" s="43"/>
      <c r="GJ29" s="43"/>
      <c r="GK29" s="43"/>
      <c r="GL29" s="43"/>
      <c r="GM29" s="43"/>
      <c r="GN29" s="43"/>
      <c r="GO29" s="43"/>
      <c r="GP29" s="43"/>
      <c r="GQ29" s="43"/>
      <c r="GR29" s="43"/>
      <c r="GS29" s="43"/>
      <c r="GT29" s="43"/>
      <c r="GU29" s="43"/>
      <c r="GV29" s="43"/>
      <c r="GW29" s="43"/>
      <c r="GX29" s="43"/>
      <c r="GY29" s="43"/>
      <c r="GZ29" s="43"/>
      <c r="HA29" s="43"/>
      <c r="HB29" s="43"/>
      <c r="HC29" s="43"/>
      <c r="HD29" s="43"/>
      <c r="HE29" s="43"/>
      <c r="HF29" s="43"/>
      <c r="HG29" s="43"/>
      <c r="HH29" s="43"/>
      <c r="HI29" s="43"/>
      <c r="HJ29" s="43"/>
      <c r="HK29" s="43"/>
      <c r="HL29" s="43"/>
      <c r="HM29" s="43"/>
      <c r="HN29" s="43"/>
      <c r="HO29" s="43"/>
      <c r="HP29" s="43"/>
      <c r="HQ29" s="43"/>
      <c r="HR29" s="43"/>
      <c r="HS29" s="43"/>
      <c r="HT29" s="43"/>
      <c r="HU29" s="43"/>
      <c r="HV29" s="43"/>
      <c r="HW29" s="43"/>
      <c r="HX29" s="43"/>
      <c r="HY29" s="43"/>
      <c r="HZ29" s="43"/>
      <c r="IA29" s="43"/>
      <c r="IB29" s="43"/>
      <c r="IC29" s="43"/>
      <c r="ID29" s="43"/>
      <c r="IE29" s="43"/>
      <c r="IF29" s="43"/>
      <c r="IG29" s="43"/>
      <c r="IH29" s="43"/>
      <c r="II29" s="43"/>
      <c r="IJ29" s="43"/>
      <c r="IK29" s="43"/>
      <c r="IL29" s="43"/>
      <c r="IM29" s="43"/>
      <c r="IN29" s="43"/>
      <c r="IO29" s="43"/>
      <c r="IP29" s="43"/>
      <c r="IQ29" s="43"/>
      <c r="IR29" s="43"/>
      <c r="IS29" s="43"/>
      <c r="IT29" s="43"/>
      <c r="IU29" s="43"/>
      <c r="IV29" s="43"/>
      <c r="IW29" s="43"/>
      <c r="IX29" s="43"/>
      <c r="IY29" s="43"/>
      <c r="IZ29" s="43"/>
      <c r="JA29" s="43"/>
      <c r="JB29" s="43"/>
      <c r="JC29" s="43"/>
      <c r="JD29" s="43"/>
      <c r="JE29" s="43"/>
      <c r="JF29" s="43"/>
      <c r="JG29" s="43"/>
      <c r="JH29" s="43"/>
      <c r="JI29" s="43"/>
      <c r="JJ29" s="43"/>
      <c r="JK29" s="43"/>
      <c r="JL29" s="43"/>
      <c r="JM29" s="43"/>
      <c r="JN29" s="43"/>
      <c r="JO29" s="43"/>
      <c r="JP29" s="43"/>
      <c r="JQ29" s="43"/>
      <c r="JR29" s="43"/>
      <c r="JS29" s="43"/>
      <c r="JT29" s="43"/>
      <c r="JU29" s="43"/>
      <c r="JV29" s="43"/>
      <c r="JW29" s="43"/>
      <c r="JX29" s="43"/>
      <c r="JY29" s="43"/>
      <c r="JZ29" s="43"/>
      <c r="KA29" s="43"/>
      <c r="KB29" s="43"/>
      <c r="KC29" s="43"/>
      <c r="KD29" s="43"/>
      <c r="KE29" s="43"/>
      <c r="KF29" s="43"/>
      <c r="KG29" s="43"/>
      <c r="KH29" s="43"/>
      <c r="KI29" s="43"/>
      <c r="KJ29" s="43"/>
      <c r="KK29" s="43"/>
      <c r="KL29" s="43"/>
      <c r="KM29" s="43"/>
      <c r="KN29" s="43"/>
      <c r="KO29" s="43"/>
      <c r="KP29" s="43"/>
      <c r="KQ29" s="43"/>
      <c r="KR29" s="43"/>
      <c r="KS29" s="43"/>
      <c r="KT29" s="43"/>
      <c r="KU29" s="43"/>
      <c r="KV29" s="43"/>
      <c r="KW29" s="43"/>
      <c r="KX29" s="43"/>
      <c r="KY29" s="43"/>
      <c r="KZ29" s="43"/>
      <c r="LA29" s="43"/>
      <c r="LB29" s="43"/>
      <c r="LC29" s="43"/>
      <c r="LD29" s="43"/>
      <c r="LE29" s="43"/>
      <c r="LF29" s="43"/>
      <c r="LG29" s="43"/>
      <c r="LH29" s="43"/>
      <c r="LI29" s="43"/>
      <c r="LJ29" s="43"/>
      <c r="LK29" s="43"/>
      <c r="LL29" s="43"/>
      <c r="LM29" s="43"/>
      <c r="LN29" s="43"/>
      <c r="LO29" s="43"/>
      <c r="LP29" s="43"/>
      <c r="LQ29" s="43"/>
      <c r="LR29" s="43"/>
      <c r="LS29" s="43"/>
      <c r="LT29" s="43"/>
      <c r="LU29" s="43"/>
      <c r="LV29" s="43"/>
      <c r="LW29" s="43"/>
      <c r="LX29" s="43"/>
      <c r="LY29" s="43"/>
      <c r="LZ29" s="43"/>
      <c r="MA29" s="43"/>
      <c r="MB29" s="43"/>
      <c r="MC29" s="43"/>
      <c r="MD29" s="43"/>
      <c r="ME29" s="43"/>
      <c r="MF29" s="43"/>
      <c r="MG29" s="43"/>
      <c r="MH29" s="43"/>
      <c r="MI29" s="43"/>
      <c r="MJ29" s="43"/>
      <c r="MK29" s="43"/>
      <c r="ML29" s="43"/>
      <c r="MM29" s="43"/>
      <c r="MN29" s="43"/>
      <c r="MO29" s="43"/>
      <c r="MP29" s="43"/>
      <c r="MQ29" s="43"/>
      <c r="MR29" s="43"/>
      <c r="MS29" s="43"/>
      <c r="MT29" s="43"/>
      <c r="MU29" s="43"/>
      <c r="MV29" s="43"/>
      <c r="MW29" s="43"/>
      <c r="MX29" s="43"/>
      <c r="MY29" s="43"/>
      <c r="MZ29" s="43"/>
      <c r="NA29" s="43"/>
      <c r="NB29" s="43"/>
      <c r="NC29" s="43"/>
      <c r="ND29" s="43"/>
      <c r="NE29" s="43"/>
      <c r="NF29" s="43"/>
      <c r="NG29" s="43"/>
      <c r="NH29" s="43"/>
      <c r="NI29" s="43"/>
      <c r="NJ29" s="43"/>
      <c r="NK29" s="43"/>
      <c r="NL29" s="43"/>
      <c r="NM29" s="43"/>
      <c r="NN29" s="43"/>
      <c r="NO29" s="43"/>
      <c r="NP29" s="43"/>
      <c r="NQ29" s="43"/>
      <c r="NR29" s="43"/>
      <c r="NS29" s="43"/>
      <c r="NT29" s="43"/>
      <c r="NU29" s="43"/>
      <c r="NV29" s="43"/>
      <c r="NW29" s="43"/>
      <c r="NX29" s="43"/>
      <c r="NY29" s="43"/>
      <c r="NZ29" s="43"/>
      <c r="OA29" s="43"/>
      <c r="OB29" s="43"/>
      <c r="OC29" s="43"/>
      <c r="OD29" s="43"/>
      <c r="OE29" s="43"/>
      <c r="OF29" s="43"/>
      <c r="OG29" s="43"/>
      <c r="OH29" s="43"/>
      <c r="OI29" s="43"/>
      <c r="OJ29" s="43"/>
      <c r="OK29" s="43"/>
      <c r="OL29" s="43"/>
      <c r="OM29" s="43"/>
      <c r="ON29" s="43"/>
      <c r="OO29" s="43"/>
      <c r="OP29" s="43"/>
      <c r="OQ29" s="43"/>
      <c r="OR29" s="43"/>
      <c r="OS29" s="43"/>
      <c r="OT29" s="43"/>
      <c r="OU29" s="43"/>
      <c r="OV29" s="43"/>
      <c r="OW29" s="43"/>
      <c r="OX29" s="43"/>
      <c r="OY29" s="43"/>
      <c r="OZ29" s="43"/>
      <c r="PA29" s="43"/>
      <c r="PB29" s="43"/>
      <c r="PC29" s="43"/>
      <c r="PD29" s="43"/>
      <c r="PE29" s="43"/>
      <c r="PF29" s="43"/>
      <c r="PG29" s="43"/>
      <c r="PH29" s="43"/>
      <c r="PI29" s="43"/>
      <c r="PJ29" s="43"/>
      <c r="PK29" s="43"/>
      <c r="PL29" s="43"/>
      <c r="PM29" s="43"/>
      <c r="PN29" s="43"/>
      <c r="PO29" s="43"/>
      <c r="PP29" s="43"/>
      <c r="PQ29" s="43"/>
      <c r="PR29" s="43"/>
      <c r="PS29" s="43"/>
      <c r="PT29" s="43"/>
      <c r="PU29" s="43"/>
      <c r="PV29" s="43"/>
      <c r="PW29" s="43"/>
      <c r="PX29" s="43"/>
      <c r="PY29" s="43"/>
      <c r="PZ29" s="43"/>
      <c r="QA29" s="43"/>
      <c r="QB29" s="43"/>
      <c r="QC29" s="43"/>
    </row>
    <row r="30" spans="1:445" s="50" customFormat="1" x14ac:dyDescent="0.3">
      <c r="A30" s="47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6" t="str">
        <f t="shared" si="2"/>
        <v/>
      </c>
      <c r="U30" s="46" t="str">
        <f t="shared" si="3"/>
        <v/>
      </c>
      <c r="V30" s="72" t="str">
        <f t="shared" si="4"/>
        <v/>
      </c>
      <c r="W30" s="48"/>
      <c r="X30" s="73" t="str">
        <f t="shared" si="5"/>
        <v/>
      </c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43"/>
      <c r="CY30" s="43"/>
      <c r="CZ30" s="43"/>
      <c r="DA30" s="43"/>
      <c r="DB30" s="43"/>
      <c r="DC30" s="43"/>
      <c r="DD30" s="43"/>
      <c r="DE30" s="43"/>
      <c r="DF30" s="43"/>
      <c r="DG30" s="43"/>
      <c r="DH30" s="43"/>
      <c r="DI30" s="43"/>
      <c r="DJ30" s="43"/>
      <c r="DK30" s="43"/>
      <c r="DL30" s="43"/>
      <c r="DM30" s="43"/>
      <c r="DN30" s="43"/>
      <c r="DO30" s="43"/>
      <c r="DP30" s="43"/>
      <c r="DQ30" s="43"/>
      <c r="DR30" s="43"/>
      <c r="DS30" s="43"/>
      <c r="DT30" s="43"/>
      <c r="DU30" s="43"/>
      <c r="DV30" s="43"/>
      <c r="DW30" s="43"/>
      <c r="DX30" s="43"/>
      <c r="DY30" s="43"/>
      <c r="DZ30" s="43"/>
      <c r="EA30" s="43"/>
      <c r="EB30" s="43"/>
      <c r="EC30" s="43"/>
      <c r="ED30" s="43"/>
      <c r="EE30" s="43"/>
      <c r="EF30" s="43"/>
      <c r="EG30" s="43"/>
      <c r="EH30" s="43"/>
      <c r="EI30" s="43"/>
      <c r="EJ30" s="43"/>
      <c r="EK30" s="43"/>
      <c r="EL30" s="43"/>
      <c r="EM30" s="43"/>
      <c r="EN30" s="43"/>
      <c r="EO30" s="43"/>
      <c r="EP30" s="43"/>
      <c r="EQ30" s="43"/>
      <c r="ER30" s="43"/>
      <c r="ES30" s="43"/>
      <c r="ET30" s="43"/>
      <c r="EU30" s="43"/>
      <c r="EV30" s="43"/>
      <c r="EW30" s="43"/>
      <c r="EX30" s="43"/>
      <c r="EY30" s="43"/>
      <c r="EZ30" s="43"/>
      <c r="FA30" s="43"/>
      <c r="FB30" s="43"/>
      <c r="FC30" s="43"/>
      <c r="FD30" s="43"/>
      <c r="FE30" s="43"/>
      <c r="FF30" s="43"/>
      <c r="FG30" s="43"/>
      <c r="FH30" s="43"/>
      <c r="FI30" s="43"/>
      <c r="FJ30" s="43"/>
      <c r="FK30" s="43"/>
      <c r="FL30" s="43"/>
      <c r="FM30" s="43"/>
      <c r="FN30" s="43"/>
      <c r="FO30" s="43"/>
      <c r="FP30" s="43"/>
      <c r="FQ30" s="43"/>
      <c r="FR30" s="43"/>
      <c r="FS30" s="43"/>
      <c r="FT30" s="43"/>
      <c r="FU30" s="43"/>
      <c r="FV30" s="43"/>
      <c r="FW30" s="43"/>
      <c r="FX30" s="43"/>
      <c r="FY30" s="43"/>
      <c r="FZ30" s="43"/>
      <c r="GA30" s="43"/>
      <c r="GB30" s="43"/>
      <c r="GC30" s="43"/>
      <c r="GD30" s="43"/>
      <c r="GE30" s="43"/>
      <c r="GF30" s="43"/>
      <c r="GG30" s="43"/>
      <c r="GH30" s="43"/>
      <c r="GI30" s="43"/>
      <c r="GJ30" s="43"/>
      <c r="GK30" s="43"/>
      <c r="GL30" s="43"/>
      <c r="GM30" s="43"/>
      <c r="GN30" s="43"/>
      <c r="GO30" s="43"/>
      <c r="GP30" s="43"/>
      <c r="GQ30" s="43"/>
      <c r="GR30" s="43"/>
      <c r="GS30" s="43"/>
      <c r="GT30" s="43"/>
      <c r="GU30" s="43"/>
      <c r="GV30" s="43"/>
      <c r="GW30" s="43"/>
      <c r="GX30" s="43"/>
      <c r="GY30" s="43"/>
      <c r="GZ30" s="43"/>
      <c r="HA30" s="43"/>
      <c r="HB30" s="43"/>
      <c r="HC30" s="43"/>
      <c r="HD30" s="43"/>
      <c r="HE30" s="43"/>
      <c r="HF30" s="43"/>
      <c r="HG30" s="43"/>
      <c r="HH30" s="43"/>
      <c r="HI30" s="43"/>
      <c r="HJ30" s="43"/>
      <c r="HK30" s="43"/>
      <c r="HL30" s="43"/>
      <c r="HM30" s="43"/>
      <c r="HN30" s="43"/>
      <c r="HO30" s="43"/>
      <c r="HP30" s="43"/>
      <c r="HQ30" s="43"/>
      <c r="HR30" s="43"/>
      <c r="HS30" s="43"/>
      <c r="HT30" s="43"/>
      <c r="HU30" s="43"/>
      <c r="HV30" s="43"/>
      <c r="HW30" s="43"/>
      <c r="HX30" s="43"/>
      <c r="HY30" s="43"/>
      <c r="HZ30" s="43"/>
      <c r="IA30" s="43"/>
      <c r="IB30" s="43"/>
      <c r="IC30" s="43"/>
      <c r="ID30" s="43"/>
      <c r="IE30" s="43"/>
      <c r="IF30" s="43"/>
      <c r="IG30" s="43"/>
      <c r="IH30" s="43"/>
      <c r="II30" s="43"/>
      <c r="IJ30" s="43"/>
      <c r="IK30" s="43"/>
      <c r="IL30" s="43"/>
      <c r="IM30" s="43"/>
      <c r="IN30" s="43"/>
      <c r="IO30" s="43"/>
      <c r="IP30" s="43"/>
      <c r="IQ30" s="43"/>
      <c r="IR30" s="43"/>
      <c r="IS30" s="43"/>
      <c r="IT30" s="43"/>
      <c r="IU30" s="43"/>
      <c r="IV30" s="43"/>
      <c r="IW30" s="43"/>
      <c r="IX30" s="43"/>
      <c r="IY30" s="43"/>
      <c r="IZ30" s="43"/>
      <c r="JA30" s="43"/>
      <c r="JB30" s="43"/>
      <c r="JC30" s="43"/>
      <c r="JD30" s="43"/>
      <c r="JE30" s="43"/>
      <c r="JF30" s="43"/>
      <c r="JG30" s="43"/>
      <c r="JH30" s="43"/>
      <c r="JI30" s="43"/>
      <c r="JJ30" s="43"/>
      <c r="JK30" s="43"/>
      <c r="JL30" s="43"/>
      <c r="JM30" s="43"/>
      <c r="JN30" s="43"/>
      <c r="JO30" s="43"/>
      <c r="JP30" s="43"/>
      <c r="JQ30" s="43"/>
      <c r="JR30" s="43"/>
      <c r="JS30" s="43"/>
      <c r="JT30" s="43"/>
      <c r="JU30" s="43"/>
      <c r="JV30" s="43"/>
      <c r="JW30" s="43"/>
      <c r="JX30" s="43"/>
      <c r="JY30" s="43"/>
      <c r="JZ30" s="43"/>
      <c r="KA30" s="43"/>
      <c r="KB30" s="43"/>
      <c r="KC30" s="43"/>
      <c r="KD30" s="43"/>
      <c r="KE30" s="43"/>
      <c r="KF30" s="43"/>
      <c r="KG30" s="43"/>
      <c r="KH30" s="43"/>
      <c r="KI30" s="43"/>
      <c r="KJ30" s="43"/>
      <c r="KK30" s="43"/>
      <c r="KL30" s="43"/>
      <c r="KM30" s="43"/>
      <c r="KN30" s="43"/>
      <c r="KO30" s="43"/>
      <c r="KP30" s="43"/>
      <c r="KQ30" s="43"/>
      <c r="KR30" s="43"/>
      <c r="KS30" s="43"/>
      <c r="KT30" s="43"/>
      <c r="KU30" s="43"/>
      <c r="KV30" s="43"/>
      <c r="KW30" s="43"/>
      <c r="KX30" s="43"/>
      <c r="KY30" s="43"/>
      <c r="KZ30" s="43"/>
      <c r="LA30" s="43"/>
      <c r="LB30" s="43"/>
      <c r="LC30" s="43"/>
      <c r="LD30" s="43"/>
      <c r="LE30" s="43"/>
      <c r="LF30" s="43"/>
      <c r="LG30" s="43"/>
      <c r="LH30" s="43"/>
      <c r="LI30" s="43"/>
      <c r="LJ30" s="43"/>
      <c r="LK30" s="43"/>
      <c r="LL30" s="43"/>
      <c r="LM30" s="43"/>
      <c r="LN30" s="43"/>
      <c r="LO30" s="43"/>
      <c r="LP30" s="43"/>
      <c r="LQ30" s="43"/>
      <c r="LR30" s="43"/>
      <c r="LS30" s="43"/>
      <c r="LT30" s="43"/>
      <c r="LU30" s="43"/>
      <c r="LV30" s="43"/>
      <c r="LW30" s="43"/>
      <c r="LX30" s="43"/>
      <c r="LY30" s="43"/>
      <c r="LZ30" s="43"/>
      <c r="MA30" s="43"/>
      <c r="MB30" s="43"/>
      <c r="MC30" s="43"/>
      <c r="MD30" s="43"/>
      <c r="ME30" s="43"/>
      <c r="MF30" s="43"/>
      <c r="MG30" s="43"/>
      <c r="MH30" s="43"/>
      <c r="MI30" s="43"/>
      <c r="MJ30" s="43"/>
      <c r="MK30" s="43"/>
      <c r="ML30" s="43"/>
      <c r="MM30" s="43"/>
      <c r="MN30" s="43"/>
      <c r="MO30" s="43"/>
      <c r="MP30" s="43"/>
      <c r="MQ30" s="43"/>
      <c r="MR30" s="43"/>
      <c r="MS30" s="43"/>
      <c r="MT30" s="43"/>
      <c r="MU30" s="43"/>
      <c r="MV30" s="43"/>
      <c r="MW30" s="43"/>
      <c r="MX30" s="43"/>
      <c r="MY30" s="43"/>
      <c r="MZ30" s="43"/>
      <c r="NA30" s="43"/>
      <c r="NB30" s="43"/>
      <c r="NC30" s="43"/>
      <c r="ND30" s="43"/>
      <c r="NE30" s="43"/>
      <c r="NF30" s="43"/>
      <c r="NG30" s="43"/>
      <c r="NH30" s="43"/>
      <c r="NI30" s="43"/>
      <c r="NJ30" s="43"/>
      <c r="NK30" s="43"/>
      <c r="NL30" s="43"/>
      <c r="NM30" s="43"/>
      <c r="NN30" s="43"/>
      <c r="NO30" s="43"/>
      <c r="NP30" s="43"/>
      <c r="NQ30" s="43"/>
      <c r="NR30" s="43"/>
      <c r="NS30" s="43"/>
      <c r="NT30" s="43"/>
      <c r="NU30" s="43"/>
      <c r="NV30" s="43"/>
      <c r="NW30" s="43"/>
      <c r="NX30" s="43"/>
      <c r="NY30" s="43"/>
      <c r="NZ30" s="43"/>
      <c r="OA30" s="43"/>
      <c r="OB30" s="43"/>
      <c r="OC30" s="43"/>
      <c r="OD30" s="43"/>
      <c r="OE30" s="43"/>
      <c r="OF30" s="43"/>
      <c r="OG30" s="43"/>
      <c r="OH30" s="43"/>
      <c r="OI30" s="43"/>
      <c r="OJ30" s="43"/>
      <c r="OK30" s="43"/>
      <c r="OL30" s="43"/>
      <c r="OM30" s="43"/>
      <c r="ON30" s="43"/>
      <c r="OO30" s="43"/>
      <c r="OP30" s="43"/>
      <c r="OQ30" s="43"/>
      <c r="OR30" s="43"/>
      <c r="OS30" s="43"/>
      <c r="OT30" s="43"/>
      <c r="OU30" s="43"/>
      <c r="OV30" s="43"/>
      <c r="OW30" s="43"/>
      <c r="OX30" s="43"/>
      <c r="OY30" s="43"/>
      <c r="OZ30" s="43"/>
      <c r="PA30" s="43"/>
      <c r="PB30" s="43"/>
      <c r="PC30" s="43"/>
      <c r="PD30" s="43"/>
      <c r="PE30" s="43"/>
      <c r="PF30" s="43"/>
      <c r="PG30" s="43"/>
      <c r="PH30" s="43"/>
      <c r="PI30" s="43"/>
      <c r="PJ30" s="43"/>
      <c r="PK30" s="43"/>
      <c r="PL30" s="43"/>
      <c r="PM30" s="43"/>
      <c r="PN30" s="43"/>
      <c r="PO30" s="43"/>
      <c r="PP30" s="43"/>
      <c r="PQ30" s="43"/>
      <c r="PR30" s="43"/>
      <c r="PS30" s="43"/>
      <c r="PT30" s="43"/>
      <c r="PU30" s="43"/>
      <c r="PV30" s="43"/>
      <c r="PW30" s="43"/>
      <c r="PX30" s="43"/>
      <c r="PY30" s="43"/>
      <c r="PZ30" s="43"/>
      <c r="QA30" s="43"/>
      <c r="QB30" s="43"/>
      <c r="QC30" s="43"/>
    </row>
    <row r="31" spans="1:445" s="50" customFormat="1" x14ac:dyDescent="0.3">
      <c r="A31" s="47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6" t="str">
        <f t="shared" si="2"/>
        <v/>
      </c>
      <c r="U31" s="46" t="str">
        <f t="shared" si="3"/>
        <v/>
      </c>
      <c r="V31" s="72" t="str">
        <f t="shared" si="4"/>
        <v/>
      </c>
      <c r="W31" s="48"/>
      <c r="X31" s="73" t="str">
        <f t="shared" si="5"/>
        <v/>
      </c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43"/>
      <c r="CY31" s="43"/>
      <c r="CZ31" s="43"/>
      <c r="DA31" s="43"/>
      <c r="DB31" s="43"/>
      <c r="DC31" s="43"/>
      <c r="DD31" s="43"/>
      <c r="DE31" s="43"/>
      <c r="DF31" s="43"/>
      <c r="DG31" s="43"/>
      <c r="DH31" s="43"/>
      <c r="DI31" s="43"/>
      <c r="DJ31" s="43"/>
      <c r="DK31" s="43"/>
      <c r="DL31" s="43"/>
      <c r="DM31" s="43"/>
      <c r="DN31" s="43"/>
      <c r="DO31" s="43"/>
      <c r="DP31" s="43"/>
      <c r="DQ31" s="43"/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 s="43"/>
      <c r="EI31" s="43"/>
      <c r="EJ31" s="43"/>
      <c r="EK31" s="43"/>
      <c r="EL31" s="43"/>
      <c r="EM31" s="43"/>
      <c r="EN31" s="43"/>
      <c r="EO31" s="43"/>
      <c r="EP31" s="43"/>
      <c r="EQ31" s="43"/>
      <c r="ER31" s="43"/>
      <c r="ES31" s="43"/>
      <c r="ET31" s="43"/>
      <c r="EU31" s="43"/>
      <c r="EV31" s="43"/>
      <c r="EW31" s="43"/>
      <c r="EX31" s="43"/>
      <c r="EY31" s="43"/>
      <c r="EZ31" s="43"/>
      <c r="FA31" s="43"/>
      <c r="FB31" s="43"/>
      <c r="FC31" s="43"/>
      <c r="FD31" s="43"/>
      <c r="FE31" s="43"/>
      <c r="FF31" s="43"/>
      <c r="FG31" s="43"/>
      <c r="FH31" s="43"/>
      <c r="FI31" s="43"/>
      <c r="FJ31" s="43"/>
      <c r="FK31" s="43"/>
      <c r="FL31" s="43"/>
      <c r="FM31" s="43"/>
      <c r="FN31" s="43"/>
      <c r="FO31" s="43"/>
      <c r="FP31" s="43"/>
      <c r="FQ31" s="43"/>
      <c r="FR31" s="43"/>
      <c r="FS31" s="43"/>
      <c r="FT31" s="43"/>
      <c r="FU31" s="43"/>
      <c r="FV31" s="43"/>
      <c r="FW31" s="43"/>
      <c r="FX31" s="43"/>
      <c r="FY31" s="43"/>
      <c r="FZ31" s="43"/>
      <c r="GA31" s="43"/>
      <c r="GB31" s="43"/>
      <c r="GC31" s="43"/>
      <c r="GD31" s="43"/>
      <c r="GE31" s="43"/>
      <c r="GF31" s="43"/>
      <c r="GG31" s="43"/>
      <c r="GH31" s="43"/>
      <c r="GI31" s="43"/>
      <c r="GJ31" s="43"/>
      <c r="GK31" s="43"/>
      <c r="GL31" s="43"/>
      <c r="GM31" s="43"/>
      <c r="GN31" s="43"/>
      <c r="GO31" s="43"/>
      <c r="GP31" s="43"/>
      <c r="GQ31" s="43"/>
      <c r="GR31" s="43"/>
      <c r="GS31" s="43"/>
      <c r="GT31" s="43"/>
      <c r="GU31" s="43"/>
      <c r="GV31" s="43"/>
      <c r="GW31" s="43"/>
      <c r="GX31" s="43"/>
      <c r="GY31" s="43"/>
      <c r="GZ31" s="43"/>
      <c r="HA31" s="43"/>
      <c r="HB31" s="43"/>
      <c r="HC31" s="43"/>
      <c r="HD31" s="43"/>
      <c r="HE31" s="43"/>
      <c r="HF31" s="43"/>
      <c r="HG31" s="43"/>
      <c r="HH31" s="43"/>
      <c r="HI31" s="43"/>
      <c r="HJ31" s="43"/>
      <c r="HK31" s="43"/>
      <c r="HL31" s="43"/>
      <c r="HM31" s="43"/>
      <c r="HN31" s="43"/>
      <c r="HO31" s="43"/>
      <c r="HP31" s="43"/>
      <c r="HQ31" s="43"/>
      <c r="HR31" s="43"/>
      <c r="HS31" s="43"/>
      <c r="HT31" s="43"/>
      <c r="HU31" s="43"/>
      <c r="HV31" s="43"/>
      <c r="HW31" s="43"/>
      <c r="HX31" s="43"/>
      <c r="HY31" s="43"/>
      <c r="HZ31" s="43"/>
      <c r="IA31" s="43"/>
      <c r="IB31" s="43"/>
      <c r="IC31" s="43"/>
      <c r="ID31" s="43"/>
      <c r="IE31" s="43"/>
      <c r="IF31" s="43"/>
      <c r="IG31" s="43"/>
      <c r="IH31" s="43"/>
      <c r="II31" s="43"/>
      <c r="IJ31" s="43"/>
      <c r="IK31" s="43"/>
      <c r="IL31" s="43"/>
      <c r="IM31" s="43"/>
      <c r="IN31" s="43"/>
      <c r="IO31" s="43"/>
      <c r="IP31" s="43"/>
      <c r="IQ31" s="43"/>
      <c r="IR31" s="43"/>
      <c r="IS31" s="43"/>
      <c r="IT31" s="43"/>
      <c r="IU31" s="43"/>
      <c r="IV31" s="43"/>
      <c r="IW31" s="43"/>
      <c r="IX31" s="43"/>
      <c r="IY31" s="43"/>
      <c r="IZ31" s="43"/>
      <c r="JA31" s="43"/>
      <c r="JB31" s="43"/>
      <c r="JC31" s="43"/>
      <c r="JD31" s="43"/>
      <c r="JE31" s="43"/>
      <c r="JF31" s="43"/>
      <c r="JG31" s="43"/>
      <c r="JH31" s="43"/>
      <c r="JI31" s="43"/>
      <c r="JJ31" s="43"/>
      <c r="JK31" s="43"/>
      <c r="JL31" s="43"/>
      <c r="JM31" s="43"/>
      <c r="JN31" s="43"/>
      <c r="JO31" s="43"/>
      <c r="JP31" s="43"/>
      <c r="JQ31" s="43"/>
      <c r="JR31" s="43"/>
      <c r="JS31" s="43"/>
      <c r="JT31" s="43"/>
      <c r="JU31" s="43"/>
      <c r="JV31" s="43"/>
      <c r="JW31" s="43"/>
      <c r="JX31" s="43"/>
      <c r="JY31" s="43"/>
      <c r="JZ31" s="43"/>
      <c r="KA31" s="43"/>
      <c r="KB31" s="43"/>
      <c r="KC31" s="43"/>
      <c r="KD31" s="43"/>
      <c r="KE31" s="43"/>
      <c r="KF31" s="43"/>
      <c r="KG31" s="43"/>
      <c r="KH31" s="43"/>
      <c r="KI31" s="43"/>
      <c r="KJ31" s="43"/>
      <c r="KK31" s="43"/>
      <c r="KL31" s="43"/>
      <c r="KM31" s="43"/>
      <c r="KN31" s="43"/>
      <c r="KO31" s="43"/>
      <c r="KP31" s="43"/>
      <c r="KQ31" s="43"/>
      <c r="KR31" s="43"/>
      <c r="KS31" s="43"/>
      <c r="KT31" s="43"/>
      <c r="KU31" s="43"/>
      <c r="KV31" s="43"/>
      <c r="KW31" s="43"/>
      <c r="KX31" s="43"/>
      <c r="KY31" s="43"/>
      <c r="KZ31" s="43"/>
      <c r="LA31" s="43"/>
      <c r="LB31" s="43"/>
      <c r="LC31" s="43"/>
      <c r="LD31" s="43"/>
      <c r="LE31" s="43"/>
      <c r="LF31" s="43"/>
      <c r="LG31" s="43"/>
      <c r="LH31" s="43"/>
      <c r="LI31" s="43"/>
      <c r="LJ31" s="43"/>
      <c r="LK31" s="43"/>
      <c r="LL31" s="43"/>
      <c r="LM31" s="43"/>
      <c r="LN31" s="43"/>
      <c r="LO31" s="43"/>
      <c r="LP31" s="43"/>
      <c r="LQ31" s="43"/>
      <c r="LR31" s="43"/>
      <c r="LS31" s="43"/>
      <c r="LT31" s="43"/>
      <c r="LU31" s="43"/>
      <c r="LV31" s="43"/>
      <c r="LW31" s="43"/>
      <c r="LX31" s="43"/>
      <c r="LY31" s="43"/>
      <c r="LZ31" s="43"/>
      <c r="MA31" s="43"/>
      <c r="MB31" s="43"/>
      <c r="MC31" s="43"/>
      <c r="MD31" s="43"/>
      <c r="ME31" s="43"/>
      <c r="MF31" s="43"/>
      <c r="MG31" s="43"/>
      <c r="MH31" s="43"/>
      <c r="MI31" s="43"/>
      <c r="MJ31" s="43"/>
      <c r="MK31" s="43"/>
      <c r="ML31" s="43"/>
      <c r="MM31" s="43"/>
      <c r="MN31" s="43"/>
      <c r="MO31" s="43"/>
      <c r="MP31" s="43"/>
      <c r="MQ31" s="43"/>
      <c r="MR31" s="43"/>
      <c r="MS31" s="43"/>
      <c r="MT31" s="43"/>
      <c r="MU31" s="43"/>
      <c r="MV31" s="43"/>
      <c r="MW31" s="43"/>
      <c r="MX31" s="43"/>
      <c r="MY31" s="43"/>
      <c r="MZ31" s="43"/>
      <c r="NA31" s="43"/>
      <c r="NB31" s="43"/>
      <c r="NC31" s="43"/>
      <c r="ND31" s="43"/>
      <c r="NE31" s="43"/>
      <c r="NF31" s="43"/>
      <c r="NG31" s="43"/>
      <c r="NH31" s="43"/>
      <c r="NI31" s="43"/>
      <c r="NJ31" s="43"/>
      <c r="NK31" s="43"/>
      <c r="NL31" s="43"/>
      <c r="NM31" s="43"/>
      <c r="NN31" s="43"/>
      <c r="NO31" s="43"/>
      <c r="NP31" s="43"/>
      <c r="NQ31" s="43"/>
      <c r="NR31" s="43"/>
      <c r="NS31" s="43"/>
      <c r="NT31" s="43"/>
      <c r="NU31" s="43"/>
      <c r="NV31" s="43"/>
      <c r="NW31" s="43"/>
      <c r="NX31" s="43"/>
      <c r="NY31" s="43"/>
      <c r="NZ31" s="43"/>
      <c r="OA31" s="43"/>
      <c r="OB31" s="43"/>
      <c r="OC31" s="43"/>
      <c r="OD31" s="43"/>
      <c r="OE31" s="43"/>
      <c r="OF31" s="43"/>
      <c r="OG31" s="43"/>
      <c r="OH31" s="43"/>
      <c r="OI31" s="43"/>
      <c r="OJ31" s="43"/>
      <c r="OK31" s="43"/>
      <c r="OL31" s="43"/>
      <c r="OM31" s="43"/>
      <c r="ON31" s="43"/>
      <c r="OO31" s="43"/>
      <c r="OP31" s="43"/>
      <c r="OQ31" s="43"/>
      <c r="OR31" s="43"/>
      <c r="OS31" s="43"/>
      <c r="OT31" s="43"/>
      <c r="OU31" s="43"/>
      <c r="OV31" s="43"/>
      <c r="OW31" s="43"/>
      <c r="OX31" s="43"/>
      <c r="OY31" s="43"/>
      <c r="OZ31" s="43"/>
      <c r="PA31" s="43"/>
      <c r="PB31" s="43"/>
      <c r="PC31" s="43"/>
      <c r="PD31" s="43"/>
      <c r="PE31" s="43"/>
      <c r="PF31" s="43"/>
      <c r="PG31" s="43"/>
      <c r="PH31" s="43"/>
      <c r="PI31" s="43"/>
      <c r="PJ31" s="43"/>
      <c r="PK31" s="43"/>
      <c r="PL31" s="43"/>
      <c r="PM31" s="43"/>
      <c r="PN31" s="43"/>
      <c r="PO31" s="43"/>
      <c r="PP31" s="43"/>
      <c r="PQ31" s="43"/>
      <c r="PR31" s="43"/>
      <c r="PS31" s="43"/>
      <c r="PT31" s="43"/>
      <c r="PU31" s="43"/>
      <c r="PV31" s="43"/>
      <c r="PW31" s="43"/>
      <c r="PX31" s="43"/>
      <c r="PY31" s="43"/>
      <c r="PZ31" s="43"/>
      <c r="QA31" s="43"/>
      <c r="QB31" s="43"/>
      <c r="QC31" s="43"/>
    </row>
    <row r="32" spans="1:445" s="50" customFormat="1" x14ac:dyDescent="0.3">
      <c r="A32" s="47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6" t="str">
        <f t="shared" si="2"/>
        <v/>
      </c>
      <c r="U32" s="46" t="str">
        <f t="shared" si="3"/>
        <v/>
      </c>
      <c r="V32" s="72" t="str">
        <f t="shared" si="4"/>
        <v/>
      </c>
      <c r="W32" s="48"/>
      <c r="X32" s="73" t="str">
        <f t="shared" si="5"/>
        <v/>
      </c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43"/>
      <c r="CY32" s="43"/>
      <c r="CZ32" s="43"/>
      <c r="DA32" s="43"/>
      <c r="DB32" s="43"/>
      <c r="DC32" s="43"/>
      <c r="DD32" s="43"/>
      <c r="DE32" s="43"/>
      <c r="DF32" s="43"/>
      <c r="DG32" s="43"/>
      <c r="DH32" s="43"/>
      <c r="DI32" s="43"/>
      <c r="DJ32" s="43"/>
      <c r="DK32" s="43"/>
      <c r="DL32" s="43"/>
      <c r="DM32" s="43"/>
      <c r="DN32" s="43"/>
      <c r="DO32" s="43"/>
      <c r="DP32" s="43"/>
      <c r="DQ32" s="43"/>
      <c r="DR32" s="43"/>
      <c r="DS32" s="43"/>
      <c r="DT32" s="43"/>
      <c r="DU32" s="43"/>
      <c r="DV32" s="43"/>
      <c r="DW32" s="43"/>
      <c r="DX32" s="43"/>
      <c r="DY32" s="43"/>
      <c r="DZ32" s="43"/>
      <c r="EA32" s="43"/>
      <c r="EB32" s="43"/>
      <c r="EC32" s="43"/>
      <c r="ED32" s="43"/>
      <c r="EE32" s="43"/>
      <c r="EF32" s="43"/>
      <c r="EG32" s="43"/>
      <c r="EH32" s="43"/>
      <c r="EI32" s="43"/>
      <c r="EJ32" s="43"/>
      <c r="EK32" s="43"/>
      <c r="EL32" s="43"/>
      <c r="EM32" s="43"/>
      <c r="EN32" s="43"/>
      <c r="EO32" s="43"/>
      <c r="EP32" s="43"/>
      <c r="EQ32" s="43"/>
      <c r="ER32" s="43"/>
      <c r="ES32" s="43"/>
      <c r="ET32" s="43"/>
      <c r="EU32" s="43"/>
      <c r="EV32" s="43"/>
      <c r="EW32" s="43"/>
      <c r="EX32" s="43"/>
      <c r="EY32" s="43"/>
      <c r="EZ32" s="43"/>
      <c r="FA32" s="43"/>
      <c r="FB32" s="43"/>
      <c r="FC32" s="43"/>
      <c r="FD32" s="43"/>
      <c r="FE32" s="43"/>
      <c r="FF32" s="43"/>
      <c r="FG32" s="43"/>
      <c r="FH32" s="43"/>
      <c r="FI32" s="43"/>
      <c r="FJ32" s="43"/>
      <c r="FK32" s="43"/>
      <c r="FL32" s="43"/>
      <c r="FM32" s="43"/>
      <c r="FN32" s="43"/>
      <c r="FO32" s="43"/>
      <c r="FP32" s="43"/>
      <c r="FQ32" s="43"/>
      <c r="FR32" s="43"/>
      <c r="FS32" s="43"/>
      <c r="FT32" s="43"/>
      <c r="FU32" s="43"/>
      <c r="FV32" s="43"/>
      <c r="FW32" s="43"/>
      <c r="FX32" s="43"/>
      <c r="FY32" s="43"/>
      <c r="FZ32" s="43"/>
      <c r="GA32" s="43"/>
      <c r="GB32" s="43"/>
      <c r="GC32" s="43"/>
      <c r="GD32" s="43"/>
      <c r="GE32" s="43"/>
      <c r="GF32" s="43"/>
      <c r="GG32" s="43"/>
      <c r="GH32" s="43"/>
      <c r="GI32" s="43"/>
      <c r="GJ32" s="43"/>
      <c r="GK32" s="43"/>
      <c r="GL32" s="43"/>
      <c r="GM32" s="43"/>
      <c r="GN32" s="43"/>
      <c r="GO32" s="43"/>
      <c r="GP32" s="43"/>
      <c r="GQ32" s="43"/>
      <c r="GR32" s="43"/>
      <c r="GS32" s="43"/>
      <c r="GT32" s="43"/>
      <c r="GU32" s="43"/>
      <c r="GV32" s="43"/>
      <c r="GW32" s="43"/>
      <c r="GX32" s="43"/>
      <c r="GY32" s="43"/>
      <c r="GZ32" s="43"/>
      <c r="HA32" s="43"/>
      <c r="HB32" s="43"/>
      <c r="HC32" s="43"/>
      <c r="HD32" s="43"/>
      <c r="HE32" s="43"/>
      <c r="HF32" s="43"/>
      <c r="HG32" s="43"/>
      <c r="HH32" s="43"/>
      <c r="HI32" s="43"/>
      <c r="HJ32" s="43"/>
      <c r="HK32" s="43"/>
      <c r="HL32" s="43"/>
      <c r="HM32" s="43"/>
      <c r="HN32" s="43"/>
      <c r="HO32" s="43"/>
      <c r="HP32" s="43"/>
      <c r="HQ32" s="43"/>
      <c r="HR32" s="43"/>
      <c r="HS32" s="43"/>
      <c r="HT32" s="43"/>
      <c r="HU32" s="43"/>
      <c r="HV32" s="43"/>
      <c r="HW32" s="43"/>
      <c r="HX32" s="43"/>
      <c r="HY32" s="43"/>
      <c r="HZ32" s="43"/>
      <c r="IA32" s="43"/>
      <c r="IB32" s="43"/>
      <c r="IC32" s="43"/>
      <c r="ID32" s="43"/>
      <c r="IE32" s="43"/>
      <c r="IF32" s="43"/>
      <c r="IG32" s="43"/>
      <c r="IH32" s="43"/>
      <c r="II32" s="43"/>
      <c r="IJ32" s="43"/>
      <c r="IK32" s="43"/>
      <c r="IL32" s="43"/>
      <c r="IM32" s="43"/>
      <c r="IN32" s="43"/>
      <c r="IO32" s="43"/>
      <c r="IP32" s="43"/>
      <c r="IQ32" s="43"/>
      <c r="IR32" s="43"/>
      <c r="IS32" s="43"/>
      <c r="IT32" s="43"/>
      <c r="IU32" s="43"/>
      <c r="IV32" s="43"/>
      <c r="IW32" s="43"/>
      <c r="IX32" s="43"/>
      <c r="IY32" s="43"/>
      <c r="IZ32" s="43"/>
      <c r="JA32" s="43"/>
      <c r="JB32" s="43"/>
      <c r="JC32" s="43"/>
      <c r="JD32" s="43"/>
      <c r="JE32" s="43"/>
      <c r="JF32" s="43"/>
      <c r="JG32" s="43"/>
      <c r="JH32" s="43"/>
      <c r="JI32" s="43"/>
      <c r="JJ32" s="43"/>
      <c r="JK32" s="43"/>
      <c r="JL32" s="43"/>
      <c r="JM32" s="43"/>
      <c r="JN32" s="43"/>
      <c r="JO32" s="43"/>
      <c r="JP32" s="43"/>
      <c r="JQ32" s="43"/>
      <c r="JR32" s="43"/>
      <c r="JS32" s="43"/>
      <c r="JT32" s="43"/>
      <c r="JU32" s="43"/>
      <c r="JV32" s="43"/>
      <c r="JW32" s="43"/>
      <c r="JX32" s="43"/>
      <c r="JY32" s="43"/>
      <c r="JZ32" s="43"/>
      <c r="KA32" s="43"/>
      <c r="KB32" s="43"/>
      <c r="KC32" s="43"/>
      <c r="KD32" s="43"/>
      <c r="KE32" s="43"/>
      <c r="KF32" s="43"/>
      <c r="KG32" s="43"/>
      <c r="KH32" s="43"/>
      <c r="KI32" s="43"/>
      <c r="KJ32" s="43"/>
      <c r="KK32" s="43"/>
      <c r="KL32" s="43"/>
      <c r="KM32" s="43"/>
      <c r="KN32" s="43"/>
      <c r="KO32" s="43"/>
      <c r="KP32" s="43"/>
      <c r="KQ32" s="43"/>
      <c r="KR32" s="43"/>
      <c r="KS32" s="43"/>
      <c r="KT32" s="43"/>
      <c r="KU32" s="43"/>
      <c r="KV32" s="43"/>
      <c r="KW32" s="43"/>
      <c r="KX32" s="43"/>
      <c r="KY32" s="43"/>
      <c r="KZ32" s="43"/>
      <c r="LA32" s="43"/>
      <c r="LB32" s="43"/>
      <c r="LC32" s="43"/>
      <c r="LD32" s="43"/>
      <c r="LE32" s="43"/>
      <c r="LF32" s="43"/>
      <c r="LG32" s="43"/>
      <c r="LH32" s="43"/>
      <c r="LI32" s="43"/>
      <c r="LJ32" s="43"/>
      <c r="LK32" s="43"/>
      <c r="LL32" s="43"/>
      <c r="LM32" s="43"/>
      <c r="LN32" s="43"/>
      <c r="LO32" s="43"/>
      <c r="LP32" s="43"/>
      <c r="LQ32" s="43"/>
      <c r="LR32" s="43"/>
      <c r="LS32" s="43"/>
      <c r="LT32" s="43"/>
      <c r="LU32" s="43"/>
      <c r="LV32" s="43"/>
      <c r="LW32" s="43"/>
      <c r="LX32" s="43"/>
      <c r="LY32" s="43"/>
      <c r="LZ32" s="43"/>
      <c r="MA32" s="43"/>
      <c r="MB32" s="43"/>
      <c r="MC32" s="43"/>
      <c r="MD32" s="43"/>
      <c r="ME32" s="43"/>
      <c r="MF32" s="43"/>
      <c r="MG32" s="43"/>
      <c r="MH32" s="43"/>
      <c r="MI32" s="43"/>
      <c r="MJ32" s="43"/>
      <c r="MK32" s="43"/>
      <c r="ML32" s="43"/>
      <c r="MM32" s="43"/>
      <c r="MN32" s="43"/>
      <c r="MO32" s="43"/>
      <c r="MP32" s="43"/>
      <c r="MQ32" s="43"/>
      <c r="MR32" s="43"/>
      <c r="MS32" s="43"/>
      <c r="MT32" s="43"/>
      <c r="MU32" s="43"/>
      <c r="MV32" s="43"/>
      <c r="MW32" s="43"/>
      <c r="MX32" s="43"/>
      <c r="MY32" s="43"/>
      <c r="MZ32" s="43"/>
      <c r="NA32" s="43"/>
      <c r="NB32" s="43"/>
      <c r="NC32" s="43"/>
      <c r="ND32" s="43"/>
      <c r="NE32" s="43"/>
      <c r="NF32" s="43"/>
      <c r="NG32" s="43"/>
      <c r="NH32" s="43"/>
      <c r="NI32" s="43"/>
      <c r="NJ32" s="43"/>
      <c r="NK32" s="43"/>
      <c r="NL32" s="43"/>
      <c r="NM32" s="43"/>
      <c r="NN32" s="43"/>
      <c r="NO32" s="43"/>
      <c r="NP32" s="43"/>
      <c r="NQ32" s="43"/>
      <c r="NR32" s="43"/>
      <c r="NS32" s="43"/>
      <c r="NT32" s="43"/>
      <c r="NU32" s="43"/>
      <c r="NV32" s="43"/>
      <c r="NW32" s="43"/>
      <c r="NX32" s="43"/>
      <c r="NY32" s="43"/>
      <c r="NZ32" s="43"/>
      <c r="OA32" s="43"/>
      <c r="OB32" s="43"/>
      <c r="OC32" s="43"/>
      <c r="OD32" s="43"/>
      <c r="OE32" s="43"/>
      <c r="OF32" s="43"/>
      <c r="OG32" s="43"/>
      <c r="OH32" s="43"/>
      <c r="OI32" s="43"/>
      <c r="OJ32" s="43"/>
      <c r="OK32" s="43"/>
      <c r="OL32" s="43"/>
      <c r="OM32" s="43"/>
      <c r="ON32" s="43"/>
      <c r="OO32" s="43"/>
      <c r="OP32" s="43"/>
      <c r="OQ32" s="43"/>
      <c r="OR32" s="43"/>
      <c r="OS32" s="43"/>
      <c r="OT32" s="43"/>
      <c r="OU32" s="43"/>
      <c r="OV32" s="43"/>
      <c r="OW32" s="43"/>
      <c r="OX32" s="43"/>
      <c r="OY32" s="43"/>
      <c r="OZ32" s="43"/>
      <c r="PA32" s="43"/>
      <c r="PB32" s="43"/>
      <c r="PC32" s="43"/>
      <c r="PD32" s="43"/>
      <c r="PE32" s="43"/>
      <c r="PF32" s="43"/>
      <c r="PG32" s="43"/>
      <c r="PH32" s="43"/>
      <c r="PI32" s="43"/>
      <c r="PJ32" s="43"/>
      <c r="PK32" s="43"/>
      <c r="PL32" s="43"/>
      <c r="PM32" s="43"/>
      <c r="PN32" s="43"/>
      <c r="PO32" s="43"/>
      <c r="PP32" s="43"/>
      <c r="PQ32" s="43"/>
      <c r="PR32" s="43"/>
      <c r="PS32" s="43"/>
      <c r="PT32" s="43"/>
      <c r="PU32" s="43"/>
      <c r="PV32" s="43"/>
      <c r="PW32" s="43"/>
      <c r="PX32" s="43"/>
      <c r="PY32" s="43"/>
      <c r="PZ32" s="43"/>
      <c r="QA32" s="43"/>
      <c r="QB32" s="43"/>
      <c r="QC32" s="43"/>
    </row>
    <row r="33" spans="1:16383" s="50" customFormat="1" x14ac:dyDescent="0.3">
      <c r="A33" s="47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6" t="str">
        <f t="shared" si="2"/>
        <v/>
      </c>
      <c r="U33" s="46" t="str">
        <f t="shared" si="3"/>
        <v/>
      </c>
      <c r="V33" s="72" t="str">
        <f t="shared" si="4"/>
        <v/>
      </c>
      <c r="W33" s="48"/>
      <c r="X33" s="73" t="str">
        <f t="shared" si="5"/>
        <v/>
      </c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43"/>
      <c r="CY33" s="43"/>
      <c r="CZ33" s="43"/>
      <c r="DA33" s="43"/>
      <c r="DB33" s="43"/>
      <c r="DC33" s="43"/>
      <c r="DD33" s="43"/>
      <c r="DE33" s="43"/>
      <c r="DF33" s="43"/>
      <c r="DG33" s="43"/>
      <c r="DH33" s="43"/>
      <c r="DI33" s="43"/>
      <c r="DJ33" s="43"/>
      <c r="DK33" s="43"/>
      <c r="DL33" s="43"/>
      <c r="DM33" s="43"/>
      <c r="DN33" s="43"/>
      <c r="DO33" s="43"/>
      <c r="DP33" s="43"/>
      <c r="DQ33" s="43"/>
      <c r="DR33" s="43"/>
      <c r="DS33" s="43"/>
      <c r="DT33" s="43"/>
      <c r="DU33" s="43"/>
      <c r="DV33" s="43"/>
      <c r="DW33" s="43"/>
      <c r="DX33" s="43"/>
      <c r="DY33" s="43"/>
      <c r="DZ33" s="43"/>
      <c r="EA33" s="43"/>
      <c r="EB33" s="43"/>
      <c r="EC33" s="43"/>
      <c r="ED33" s="43"/>
      <c r="EE33" s="43"/>
      <c r="EF33" s="43"/>
      <c r="EG33" s="43"/>
      <c r="EH33" s="43"/>
      <c r="EI33" s="43"/>
      <c r="EJ33" s="43"/>
      <c r="EK33" s="43"/>
      <c r="EL33" s="43"/>
      <c r="EM33" s="43"/>
      <c r="EN33" s="43"/>
      <c r="EO33" s="43"/>
      <c r="EP33" s="43"/>
      <c r="EQ33" s="43"/>
      <c r="ER33" s="43"/>
      <c r="ES33" s="43"/>
      <c r="ET33" s="43"/>
      <c r="EU33" s="43"/>
      <c r="EV33" s="43"/>
      <c r="EW33" s="43"/>
      <c r="EX33" s="43"/>
      <c r="EY33" s="43"/>
      <c r="EZ33" s="43"/>
      <c r="FA33" s="43"/>
      <c r="FB33" s="43"/>
      <c r="FC33" s="43"/>
      <c r="FD33" s="43"/>
      <c r="FE33" s="43"/>
      <c r="FF33" s="43"/>
      <c r="FG33" s="43"/>
      <c r="FH33" s="43"/>
      <c r="FI33" s="43"/>
      <c r="FJ33" s="43"/>
      <c r="FK33" s="43"/>
      <c r="FL33" s="43"/>
      <c r="FM33" s="43"/>
      <c r="FN33" s="43"/>
      <c r="FO33" s="43"/>
      <c r="FP33" s="43"/>
      <c r="FQ33" s="43"/>
      <c r="FR33" s="43"/>
      <c r="FS33" s="43"/>
      <c r="FT33" s="43"/>
      <c r="FU33" s="43"/>
      <c r="FV33" s="43"/>
      <c r="FW33" s="43"/>
      <c r="FX33" s="43"/>
      <c r="FY33" s="43"/>
      <c r="FZ33" s="43"/>
      <c r="GA33" s="43"/>
      <c r="GB33" s="43"/>
      <c r="GC33" s="43"/>
      <c r="GD33" s="43"/>
      <c r="GE33" s="43"/>
      <c r="GF33" s="43"/>
      <c r="GG33" s="43"/>
      <c r="GH33" s="43"/>
      <c r="GI33" s="43"/>
      <c r="GJ33" s="43"/>
      <c r="GK33" s="43"/>
      <c r="GL33" s="43"/>
      <c r="GM33" s="43"/>
      <c r="GN33" s="43"/>
      <c r="GO33" s="43"/>
      <c r="GP33" s="43"/>
      <c r="GQ33" s="43"/>
      <c r="GR33" s="43"/>
      <c r="GS33" s="43"/>
      <c r="GT33" s="43"/>
      <c r="GU33" s="43"/>
      <c r="GV33" s="43"/>
      <c r="GW33" s="43"/>
      <c r="GX33" s="43"/>
      <c r="GY33" s="43"/>
      <c r="GZ33" s="43"/>
      <c r="HA33" s="43"/>
      <c r="HB33" s="43"/>
      <c r="HC33" s="43"/>
      <c r="HD33" s="43"/>
      <c r="HE33" s="43"/>
      <c r="HF33" s="43"/>
      <c r="HG33" s="43"/>
      <c r="HH33" s="43"/>
      <c r="HI33" s="43"/>
      <c r="HJ33" s="43"/>
      <c r="HK33" s="43"/>
      <c r="HL33" s="43"/>
      <c r="HM33" s="43"/>
      <c r="HN33" s="43"/>
      <c r="HO33" s="43"/>
      <c r="HP33" s="43"/>
      <c r="HQ33" s="43"/>
      <c r="HR33" s="43"/>
      <c r="HS33" s="43"/>
      <c r="HT33" s="43"/>
      <c r="HU33" s="43"/>
      <c r="HV33" s="43"/>
      <c r="HW33" s="43"/>
      <c r="HX33" s="43"/>
      <c r="HY33" s="43"/>
      <c r="HZ33" s="43"/>
      <c r="IA33" s="43"/>
      <c r="IB33" s="43"/>
      <c r="IC33" s="43"/>
      <c r="ID33" s="43"/>
      <c r="IE33" s="43"/>
      <c r="IF33" s="43"/>
      <c r="IG33" s="43"/>
      <c r="IH33" s="43"/>
      <c r="II33" s="43"/>
      <c r="IJ33" s="43"/>
      <c r="IK33" s="43"/>
      <c r="IL33" s="43"/>
      <c r="IM33" s="43"/>
      <c r="IN33" s="43"/>
      <c r="IO33" s="43"/>
      <c r="IP33" s="43"/>
      <c r="IQ33" s="43"/>
      <c r="IR33" s="43"/>
      <c r="IS33" s="43"/>
      <c r="IT33" s="43"/>
      <c r="IU33" s="43"/>
      <c r="IV33" s="43"/>
      <c r="IW33" s="43"/>
      <c r="IX33" s="43"/>
      <c r="IY33" s="43"/>
      <c r="IZ33" s="43"/>
      <c r="JA33" s="43"/>
      <c r="JB33" s="43"/>
      <c r="JC33" s="43"/>
      <c r="JD33" s="43"/>
      <c r="JE33" s="43"/>
      <c r="JF33" s="43"/>
      <c r="JG33" s="43"/>
      <c r="JH33" s="43"/>
      <c r="JI33" s="43"/>
      <c r="JJ33" s="43"/>
      <c r="JK33" s="43"/>
      <c r="JL33" s="43"/>
      <c r="JM33" s="43"/>
      <c r="JN33" s="43"/>
      <c r="JO33" s="43"/>
      <c r="JP33" s="43"/>
      <c r="JQ33" s="43"/>
      <c r="JR33" s="43"/>
      <c r="JS33" s="43"/>
      <c r="JT33" s="43"/>
      <c r="JU33" s="43"/>
      <c r="JV33" s="43"/>
      <c r="JW33" s="43"/>
      <c r="JX33" s="43"/>
      <c r="JY33" s="43"/>
      <c r="JZ33" s="43"/>
      <c r="KA33" s="43"/>
      <c r="KB33" s="43"/>
      <c r="KC33" s="43"/>
      <c r="KD33" s="43"/>
      <c r="KE33" s="43"/>
      <c r="KF33" s="43"/>
      <c r="KG33" s="43"/>
      <c r="KH33" s="43"/>
      <c r="KI33" s="43"/>
      <c r="KJ33" s="43"/>
      <c r="KK33" s="43"/>
      <c r="KL33" s="43"/>
      <c r="KM33" s="43"/>
      <c r="KN33" s="43"/>
      <c r="KO33" s="43"/>
      <c r="KP33" s="43"/>
      <c r="KQ33" s="43"/>
      <c r="KR33" s="43"/>
      <c r="KS33" s="43"/>
      <c r="KT33" s="43"/>
      <c r="KU33" s="43"/>
      <c r="KV33" s="43"/>
      <c r="KW33" s="43"/>
      <c r="KX33" s="43"/>
      <c r="KY33" s="43"/>
      <c r="KZ33" s="43"/>
      <c r="LA33" s="43"/>
      <c r="LB33" s="43"/>
      <c r="LC33" s="43"/>
      <c r="LD33" s="43"/>
      <c r="LE33" s="43"/>
      <c r="LF33" s="43"/>
      <c r="LG33" s="43"/>
      <c r="LH33" s="43"/>
      <c r="LI33" s="43"/>
      <c r="LJ33" s="43"/>
      <c r="LK33" s="43"/>
      <c r="LL33" s="43"/>
      <c r="LM33" s="43"/>
      <c r="LN33" s="43"/>
      <c r="LO33" s="43"/>
      <c r="LP33" s="43"/>
      <c r="LQ33" s="43"/>
      <c r="LR33" s="43"/>
      <c r="LS33" s="43"/>
      <c r="LT33" s="43"/>
      <c r="LU33" s="43"/>
      <c r="LV33" s="43"/>
      <c r="LW33" s="43"/>
      <c r="LX33" s="43"/>
      <c r="LY33" s="43"/>
      <c r="LZ33" s="43"/>
      <c r="MA33" s="43"/>
      <c r="MB33" s="43"/>
      <c r="MC33" s="43"/>
      <c r="MD33" s="43"/>
      <c r="ME33" s="43"/>
      <c r="MF33" s="43"/>
      <c r="MG33" s="43"/>
      <c r="MH33" s="43"/>
      <c r="MI33" s="43"/>
      <c r="MJ33" s="43"/>
      <c r="MK33" s="43"/>
      <c r="ML33" s="43"/>
      <c r="MM33" s="43"/>
      <c r="MN33" s="43"/>
      <c r="MO33" s="43"/>
      <c r="MP33" s="43"/>
      <c r="MQ33" s="43"/>
      <c r="MR33" s="43"/>
      <c r="MS33" s="43"/>
      <c r="MT33" s="43"/>
      <c r="MU33" s="43"/>
      <c r="MV33" s="43"/>
      <c r="MW33" s="43"/>
      <c r="MX33" s="43"/>
      <c r="MY33" s="43"/>
      <c r="MZ33" s="43"/>
      <c r="NA33" s="43"/>
      <c r="NB33" s="43"/>
      <c r="NC33" s="43"/>
      <c r="ND33" s="43"/>
      <c r="NE33" s="43"/>
      <c r="NF33" s="43"/>
      <c r="NG33" s="43"/>
      <c r="NH33" s="43"/>
      <c r="NI33" s="43"/>
      <c r="NJ33" s="43"/>
      <c r="NK33" s="43"/>
      <c r="NL33" s="43"/>
      <c r="NM33" s="43"/>
      <c r="NN33" s="43"/>
      <c r="NO33" s="43"/>
      <c r="NP33" s="43"/>
      <c r="NQ33" s="43"/>
      <c r="NR33" s="43"/>
      <c r="NS33" s="43"/>
      <c r="NT33" s="43"/>
      <c r="NU33" s="43"/>
      <c r="NV33" s="43"/>
      <c r="NW33" s="43"/>
      <c r="NX33" s="43"/>
      <c r="NY33" s="43"/>
      <c r="NZ33" s="43"/>
      <c r="OA33" s="43"/>
      <c r="OB33" s="43"/>
      <c r="OC33" s="43"/>
      <c r="OD33" s="43"/>
      <c r="OE33" s="43"/>
      <c r="OF33" s="43"/>
      <c r="OG33" s="43"/>
      <c r="OH33" s="43"/>
      <c r="OI33" s="43"/>
      <c r="OJ33" s="43"/>
      <c r="OK33" s="43"/>
      <c r="OL33" s="43"/>
      <c r="OM33" s="43"/>
      <c r="ON33" s="43"/>
      <c r="OO33" s="43"/>
      <c r="OP33" s="43"/>
      <c r="OQ33" s="43"/>
      <c r="OR33" s="43"/>
      <c r="OS33" s="43"/>
      <c r="OT33" s="43"/>
      <c r="OU33" s="43"/>
      <c r="OV33" s="43"/>
      <c r="OW33" s="43"/>
      <c r="OX33" s="43"/>
      <c r="OY33" s="43"/>
      <c r="OZ33" s="43"/>
      <c r="PA33" s="43"/>
      <c r="PB33" s="43"/>
      <c r="PC33" s="43"/>
      <c r="PD33" s="43"/>
      <c r="PE33" s="43"/>
      <c r="PF33" s="43"/>
      <c r="PG33" s="43"/>
      <c r="PH33" s="43"/>
      <c r="PI33" s="43"/>
      <c r="PJ33" s="43"/>
      <c r="PK33" s="43"/>
      <c r="PL33" s="43"/>
      <c r="PM33" s="43"/>
      <c r="PN33" s="43"/>
      <c r="PO33" s="43"/>
      <c r="PP33" s="43"/>
      <c r="PQ33" s="43"/>
      <c r="PR33" s="43"/>
      <c r="PS33" s="43"/>
      <c r="PT33" s="43"/>
      <c r="PU33" s="43"/>
      <c r="PV33" s="43"/>
      <c r="PW33" s="43"/>
      <c r="PX33" s="43"/>
      <c r="PY33" s="43"/>
      <c r="PZ33" s="43"/>
      <c r="QA33" s="43"/>
      <c r="QB33" s="43"/>
      <c r="QC33" s="43"/>
    </row>
    <row r="34" spans="1:16383" s="50" customFormat="1" x14ac:dyDescent="0.3">
      <c r="A34" s="47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6" t="str">
        <f t="shared" si="2"/>
        <v/>
      </c>
      <c r="U34" s="46" t="str">
        <f t="shared" si="3"/>
        <v/>
      </c>
      <c r="V34" s="72" t="str">
        <f t="shared" si="4"/>
        <v/>
      </c>
      <c r="W34" s="48"/>
      <c r="X34" s="73" t="str">
        <f t="shared" si="5"/>
        <v/>
      </c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43"/>
      <c r="CY34" s="43"/>
      <c r="CZ34" s="43"/>
      <c r="DA34" s="43"/>
      <c r="DB34" s="43"/>
      <c r="DC34" s="43"/>
      <c r="DD34" s="43"/>
      <c r="DE34" s="43"/>
      <c r="DF34" s="43"/>
      <c r="DG34" s="43"/>
      <c r="DH34" s="43"/>
      <c r="DI34" s="43"/>
      <c r="DJ34" s="43"/>
      <c r="DK34" s="43"/>
      <c r="DL34" s="43"/>
      <c r="DM34" s="43"/>
      <c r="DN34" s="43"/>
      <c r="DO34" s="43"/>
      <c r="DP34" s="43"/>
      <c r="DQ34" s="43"/>
      <c r="DR34" s="43"/>
      <c r="DS34" s="43"/>
      <c r="DT34" s="43"/>
      <c r="DU34" s="43"/>
      <c r="DV34" s="43"/>
      <c r="DW34" s="43"/>
      <c r="DX34" s="43"/>
      <c r="DY34" s="43"/>
      <c r="DZ34" s="43"/>
      <c r="EA34" s="43"/>
      <c r="EB34" s="43"/>
      <c r="EC34" s="43"/>
      <c r="ED34" s="43"/>
      <c r="EE34" s="43"/>
      <c r="EF34" s="43"/>
      <c r="EG34" s="43"/>
      <c r="EH34" s="43"/>
      <c r="EI34" s="43"/>
      <c r="EJ34" s="43"/>
      <c r="EK34" s="43"/>
      <c r="EL34" s="43"/>
      <c r="EM34" s="43"/>
      <c r="EN34" s="43"/>
      <c r="EO34" s="43"/>
      <c r="EP34" s="43"/>
      <c r="EQ34" s="43"/>
      <c r="ER34" s="43"/>
      <c r="ES34" s="43"/>
      <c r="ET34" s="43"/>
      <c r="EU34" s="43"/>
      <c r="EV34" s="43"/>
      <c r="EW34" s="43"/>
      <c r="EX34" s="43"/>
      <c r="EY34" s="43"/>
      <c r="EZ34" s="43"/>
      <c r="FA34" s="43"/>
      <c r="FB34" s="43"/>
      <c r="FC34" s="43"/>
      <c r="FD34" s="43"/>
      <c r="FE34" s="43"/>
      <c r="FF34" s="43"/>
      <c r="FG34" s="43"/>
      <c r="FH34" s="43"/>
      <c r="FI34" s="43"/>
      <c r="FJ34" s="43"/>
      <c r="FK34" s="43"/>
      <c r="FL34" s="43"/>
      <c r="FM34" s="43"/>
      <c r="FN34" s="43"/>
      <c r="FO34" s="43"/>
      <c r="FP34" s="43"/>
      <c r="FQ34" s="43"/>
      <c r="FR34" s="43"/>
      <c r="FS34" s="43"/>
      <c r="FT34" s="43"/>
      <c r="FU34" s="43"/>
      <c r="FV34" s="43"/>
      <c r="FW34" s="43"/>
      <c r="FX34" s="43"/>
      <c r="FY34" s="43"/>
      <c r="FZ34" s="43"/>
      <c r="GA34" s="43"/>
      <c r="GB34" s="43"/>
      <c r="GC34" s="43"/>
      <c r="GD34" s="43"/>
      <c r="GE34" s="43"/>
      <c r="GF34" s="43"/>
      <c r="GG34" s="43"/>
      <c r="GH34" s="43"/>
      <c r="GI34" s="43"/>
      <c r="GJ34" s="43"/>
      <c r="GK34" s="43"/>
      <c r="GL34" s="43"/>
      <c r="GM34" s="43"/>
      <c r="GN34" s="43"/>
      <c r="GO34" s="43"/>
      <c r="GP34" s="43"/>
      <c r="GQ34" s="43"/>
      <c r="GR34" s="43"/>
      <c r="GS34" s="43"/>
      <c r="GT34" s="43"/>
      <c r="GU34" s="43"/>
      <c r="GV34" s="43"/>
      <c r="GW34" s="43"/>
      <c r="GX34" s="43"/>
      <c r="GY34" s="43"/>
      <c r="GZ34" s="43"/>
      <c r="HA34" s="43"/>
      <c r="HB34" s="43"/>
      <c r="HC34" s="43"/>
      <c r="HD34" s="43"/>
      <c r="HE34" s="43"/>
      <c r="HF34" s="43"/>
      <c r="HG34" s="43"/>
      <c r="HH34" s="43"/>
      <c r="HI34" s="43"/>
      <c r="HJ34" s="43"/>
      <c r="HK34" s="43"/>
      <c r="HL34" s="43"/>
      <c r="HM34" s="43"/>
      <c r="HN34" s="43"/>
      <c r="HO34" s="43"/>
      <c r="HP34" s="43"/>
      <c r="HQ34" s="43"/>
      <c r="HR34" s="43"/>
      <c r="HS34" s="43"/>
      <c r="HT34" s="43"/>
      <c r="HU34" s="43"/>
      <c r="HV34" s="43"/>
      <c r="HW34" s="43"/>
      <c r="HX34" s="43"/>
      <c r="HY34" s="43"/>
      <c r="HZ34" s="43"/>
      <c r="IA34" s="43"/>
      <c r="IB34" s="43"/>
      <c r="IC34" s="43"/>
      <c r="ID34" s="43"/>
      <c r="IE34" s="43"/>
      <c r="IF34" s="43"/>
      <c r="IG34" s="43"/>
      <c r="IH34" s="43"/>
      <c r="II34" s="43"/>
      <c r="IJ34" s="43"/>
      <c r="IK34" s="43"/>
      <c r="IL34" s="43"/>
      <c r="IM34" s="43"/>
      <c r="IN34" s="43"/>
      <c r="IO34" s="43"/>
      <c r="IP34" s="43"/>
      <c r="IQ34" s="43"/>
      <c r="IR34" s="43"/>
      <c r="IS34" s="43"/>
      <c r="IT34" s="43"/>
      <c r="IU34" s="43"/>
      <c r="IV34" s="43"/>
      <c r="IW34" s="43"/>
      <c r="IX34" s="43"/>
      <c r="IY34" s="43"/>
      <c r="IZ34" s="43"/>
      <c r="JA34" s="43"/>
      <c r="JB34" s="43"/>
      <c r="JC34" s="43"/>
      <c r="JD34" s="43"/>
      <c r="JE34" s="43"/>
      <c r="JF34" s="43"/>
      <c r="JG34" s="43"/>
      <c r="JH34" s="43"/>
      <c r="JI34" s="43"/>
      <c r="JJ34" s="43"/>
      <c r="JK34" s="43"/>
      <c r="JL34" s="43"/>
      <c r="JM34" s="43"/>
      <c r="JN34" s="43"/>
      <c r="JO34" s="43"/>
      <c r="JP34" s="43"/>
      <c r="JQ34" s="43"/>
      <c r="JR34" s="43"/>
      <c r="JS34" s="43"/>
      <c r="JT34" s="43"/>
      <c r="JU34" s="43"/>
      <c r="JV34" s="43"/>
      <c r="JW34" s="43"/>
      <c r="JX34" s="43"/>
      <c r="JY34" s="43"/>
      <c r="JZ34" s="43"/>
      <c r="KA34" s="43"/>
      <c r="KB34" s="43"/>
      <c r="KC34" s="43"/>
      <c r="KD34" s="43"/>
      <c r="KE34" s="43"/>
      <c r="KF34" s="43"/>
      <c r="KG34" s="43"/>
      <c r="KH34" s="43"/>
      <c r="KI34" s="43"/>
      <c r="KJ34" s="43"/>
      <c r="KK34" s="43"/>
      <c r="KL34" s="43"/>
      <c r="KM34" s="43"/>
      <c r="KN34" s="43"/>
      <c r="KO34" s="43"/>
      <c r="KP34" s="43"/>
      <c r="KQ34" s="43"/>
      <c r="KR34" s="43"/>
      <c r="KS34" s="43"/>
      <c r="KT34" s="43"/>
      <c r="KU34" s="43"/>
      <c r="KV34" s="43"/>
      <c r="KW34" s="43"/>
      <c r="KX34" s="43"/>
      <c r="KY34" s="43"/>
      <c r="KZ34" s="43"/>
      <c r="LA34" s="43"/>
      <c r="LB34" s="43"/>
      <c r="LC34" s="43"/>
      <c r="LD34" s="43"/>
      <c r="LE34" s="43"/>
      <c r="LF34" s="43"/>
      <c r="LG34" s="43"/>
      <c r="LH34" s="43"/>
      <c r="LI34" s="43"/>
      <c r="LJ34" s="43"/>
      <c r="LK34" s="43"/>
      <c r="LL34" s="43"/>
      <c r="LM34" s="43"/>
      <c r="LN34" s="43"/>
      <c r="LO34" s="43"/>
      <c r="LP34" s="43"/>
      <c r="LQ34" s="43"/>
      <c r="LR34" s="43"/>
      <c r="LS34" s="43"/>
      <c r="LT34" s="43"/>
      <c r="LU34" s="43"/>
      <c r="LV34" s="43"/>
      <c r="LW34" s="43"/>
      <c r="LX34" s="43"/>
      <c r="LY34" s="43"/>
      <c r="LZ34" s="43"/>
      <c r="MA34" s="43"/>
      <c r="MB34" s="43"/>
      <c r="MC34" s="43"/>
      <c r="MD34" s="43"/>
      <c r="ME34" s="43"/>
      <c r="MF34" s="43"/>
      <c r="MG34" s="43"/>
      <c r="MH34" s="43"/>
      <c r="MI34" s="43"/>
      <c r="MJ34" s="43"/>
      <c r="MK34" s="43"/>
      <c r="ML34" s="43"/>
      <c r="MM34" s="43"/>
      <c r="MN34" s="43"/>
      <c r="MO34" s="43"/>
      <c r="MP34" s="43"/>
      <c r="MQ34" s="43"/>
      <c r="MR34" s="43"/>
      <c r="MS34" s="43"/>
      <c r="MT34" s="43"/>
      <c r="MU34" s="43"/>
      <c r="MV34" s="43"/>
      <c r="MW34" s="43"/>
      <c r="MX34" s="43"/>
      <c r="MY34" s="43"/>
      <c r="MZ34" s="43"/>
      <c r="NA34" s="43"/>
      <c r="NB34" s="43"/>
      <c r="NC34" s="43"/>
      <c r="ND34" s="43"/>
      <c r="NE34" s="43"/>
      <c r="NF34" s="43"/>
      <c r="NG34" s="43"/>
      <c r="NH34" s="43"/>
      <c r="NI34" s="43"/>
      <c r="NJ34" s="43"/>
      <c r="NK34" s="43"/>
      <c r="NL34" s="43"/>
      <c r="NM34" s="43"/>
      <c r="NN34" s="43"/>
      <c r="NO34" s="43"/>
      <c r="NP34" s="43"/>
      <c r="NQ34" s="43"/>
      <c r="NR34" s="43"/>
      <c r="NS34" s="43"/>
      <c r="NT34" s="43"/>
      <c r="NU34" s="43"/>
      <c r="NV34" s="43"/>
      <c r="NW34" s="43"/>
      <c r="NX34" s="43"/>
      <c r="NY34" s="43"/>
      <c r="NZ34" s="43"/>
      <c r="OA34" s="43"/>
      <c r="OB34" s="43"/>
      <c r="OC34" s="43"/>
      <c r="OD34" s="43"/>
      <c r="OE34" s="43"/>
      <c r="OF34" s="43"/>
      <c r="OG34" s="43"/>
      <c r="OH34" s="43"/>
      <c r="OI34" s="43"/>
      <c r="OJ34" s="43"/>
      <c r="OK34" s="43"/>
      <c r="OL34" s="43"/>
      <c r="OM34" s="43"/>
      <c r="ON34" s="43"/>
      <c r="OO34" s="43"/>
      <c r="OP34" s="43"/>
      <c r="OQ34" s="43"/>
      <c r="OR34" s="43"/>
      <c r="OS34" s="43"/>
      <c r="OT34" s="43"/>
      <c r="OU34" s="43"/>
      <c r="OV34" s="43"/>
      <c r="OW34" s="43"/>
      <c r="OX34" s="43"/>
      <c r="OY34" s="43"/>
      <c r="OZ34" s="43"/>
      <c r="PA34" s="43"/>
      <c r="PB34" s="43"/>
      <c r="PC34" s="43"/>
      <c r="PD34" s="43"/>
      <c r="PE34" s="43"/>
      <c r="PF34" s="43"/>
      <c r="PG34" s="43"/>
      <c r="PH34" s="43"/>
      <c r="PI34" s="43"/>
      <c r="PJ34" s="43"/>
      <c r="PK34" s="43"/>
      <c r="PL34" s="43"/>
      <c r="PM34" s="43"/>
      <c r="PN34" s="43"/>
      <c r="PO34" s="43"/>
      <c r="PP34" s="43"/>
      <c r="PQ34" s="43"/>
      <c r="PR34" s="43"/>
      <c r="PS34" s="43"/>
      <c r="PT34" s="43"/>
      <c r="PU34" s="43"/>
      <c r="PV34" s="43"/>
      <c r="PW34" s="43"/>
      <c r="PX34" s="43"/>
      <c r="PY34" s="43"/>
      <c r="PZ34" s="43"/>
      <c r="QA34" s="43"/>
      <c r="QB34" s="43"/>
      <c r="QC34" s="43"/>
    </row>
    <row r="35" spans="1:16383" s="50" customFormat="1" x14ac:dyDescent="0.3">
      <c r="A35" s="47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6" t="str">
        <f t="shared" si="2"/>
        <v/>
      </c>
      <c r="U35" s="46" t="str">
        <f t="shared" si="3"/>
        <v/>
      </c>
      <c r="V35" s="72" t="str">
        <f t="shared" si="4"/>
        <v/>
      </c>
      <c r="W35" s="48"/>
      <c r="X35" s="73" t="str">
        <f t="shared" si="5"/>
        <v/>
      </c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43"/>
      <c r="CY35" s="43"/>
      <c r="CZ35" s="43"/>
      <c r="DA35" s="43"/>
      <c r="DB35" s="43"/>
      <c r="DC35" s="43"/>
      <c r="DD35" s="43"/>
      <c r="DE35" s="43"/>
      <c r="DF35" s="43"/>
      <c r="DG35" s="43"/>
      <c r="DH35" s="43"/>
      <c r="DI35" s="43"/>
      <c r="DJ35" s="43"/>
      <c r="DK35" s="43"/>
      <c r="DL35" s="43"/>
      <c r="DM35" s="43"/>
      <c r="DN35" s="43"/>
      <c r="DO35" s="43"/>
      <c r="DP35" s="43"/>
      <c r="DQ35" s="43"/>
      <c r="DR35" s="43"/>
      <c r="DS35" s="43"/>
      <c r="DT35" s="43"/>
      <c r="DU35" s="43"/>
      <c r="DV35" s="43"/>
      <c r="DW35" s="43"/>
      <c r="DX35" s="43"/>
      <c r="DY35" s="43"/>
      <c r="DZ35" s="43"/>
      <c r="EA35" s="43"/>
      <c r="EB35" s="43"/>
      <c r="EC35" s="43"/>
      <c r="ED35" s="43"/>
      <c r="EE35" s="43"/>
      <c r="EF35" s="43"/>
      <c r="EG35" s="43"/>
      <c r="EH35" s="43"/>
      <c r="EI35" s="43"/>
      <c r="EJ35" s="43"/>
      <c r="EK35" s="43"/>
      <c r="EL35" s="43"/>
      <c r="EM35" s="43"/>
      <c r="EN35" s="43"/>
      <c r="EO35" s="43"/>
      <c r="EP35" s="43"/>
      <c r="EQ35" s="43"/>
      <c r="ER35" s="43"/>
      <c r="ES35" s="43"/>
      <c r="ET35" s="43"/>
      <c r="EU35" s="43"/>
      <c r="EV35" s="43"/>
      <c r="EW35" s="43"/>
      <c r="EX35" s="43"/>
      <c r="EY35" s="43"/>
      <c r="EZ35" s="43"/>
      <c r="FA35" s="43"/>
      <c r="FB35" s="43"/>
      <c r="FC35" s="43"/>
      <c r="FD35" s="43"/>
      <c r="FE35" s="43"/>
      <c r="FF35" s="43"/>
      <c r="FG35" s="43"/>
      <c r="FH35" s="43"/>
      <c r="FI35" s="43"/>
      <c r="FJ35" s="43"/>
      <c r="FK35" s="43"/>
      <c r="FL35" s="43"/>
      <c r="FM35" s="43"/>
      <c r="FN35" s="43"/>
      <c r="FO35" s="43"/>
      <c r="FP35" s="43"/>
      <c r="FQ35" s="43"/>
      <c r="FR35" s="43"/>
      <c r="FS35" s="43"/>
      <c r="FT35" s="43"/>
      <c r="FU35" s="43"/>
      <c r="FV35" s="43"/>
      <c r="FW35" s="43"/>
      <c r="FX35" s="43"/>
      <c r="FY35" s="43"/>
      <c r="FZ35" s="43"/>
      <c r="GA35" s="43"/>
      <c r="GB35" s="43"/>
      <c r="GC35" s="43"/>
      <c r="GD35" s="43"/>
      <c r="GE35" s="43"/>
      <c r="GF35" s="43"/>
      <c r="GG35" s="43"/>
      <c r="GH35" s="43"/>
      <c r="GI35" s="43"/>
      <c r="GJ35" s="43"/>
      <c r="GK35" s="43"/>
      <c r="GL35" s="43"/>
      <c r="GM35" s="43"/>
      <c r="GN35" s="43"/>
      <c r="GO35" s="43"/>
      <c r="GP35" s="43"/>
      <c r="GQ35" s="43"/>
      <c r="GR35" s="43"/>
      <c r="GS35" s="43"/>
      <c r="GT35" s="43"/>
      <c r="GU35" s="43"/>
      <c r="GV35" s="43"/>
      <c r="GW35" s="43"/>
      <c r="GX35" s="43"/>
      <c r="GY35" s="43"/>
      <c r="GZ35" s="43"/>
      <c r="HA35" s="43"/>
      <c r="HB35" s="43"/>
      <c r="HC35" s="43"/>
      <c r="HD35" s="43"/>
      <c r="HE35" s="43"/>
      <c r="HF35" s="43"/>
      <c r="HG35" s="43"/>
      <c r="HH35" s="43"/>
      <c r="HI35" s="43"/>
      <c r="HJ35" s="43"/>
      <c r="HK35" s="43"/>
      <c r="HL35" s="43"/>
      <c r="HM35" s="43"/>
      <c r="HN35" s="43"/>
      <c r="HO35" s="43"/>
      <c r="HP35" s="43"/>
      <c r="HQ35" s="43"/>
      <c r="HR35" s="43"/>
      <c r="HS35" s="43"/>
      <c r="HT35" s="43"/>
      <c r="HU35" s="43"/>
      <c r="HV35" s="43"/>
      <c r="HW35" s="43"/>
      <c r="HX35" s="43"/>
      <c r="HY35" s="43"/>
      <c r="HZ35" s="43"/>
      <c r="IA35" s="43"/>
      <c r="IB35" s="43"/>
      <c r="IC35" s="43"/>
      <c r="ID35" s="43"/>
      <c r="IE35" s="43"/>
      <c r="IF35" s="43"/>
      <c r="IG35" s="43"/>
      <c r="IH35" s="43"/>
      <c r="II35" s="43"/>
      <c r="IJ35" s="43"/>
      <c r="IK35" s="43"/>
      <c r="IL35" s="43"/>
      <c r="IM35" s="43"/>
      <c r="IN35" s="43"/>
      <c r="IO35" s="43"/>
      <c r="IP35" s="43"/>
      <c r="IQ35" s="43"/>
      <c r="IR35" s="43"/>
      <c r="IS35" s="43"/>
      <c r="IT35" s="43"/>
      <c r="IU35" s="43"/>
      <c r="IV35" s="43"/>
      <c r="IW35" s="43"/>
      <c r="IX35" s="43"/>
      <c r="IY35" s="43"/>
      <c r="IZ35" s="43"/>
      <c r="JA35" s="43"/>
      <c r="JB35" s="43"/>
      <c r="JC35" s="43"/>
      <c r="JD35" s="43"/>
      <c r="JE35" s="43"/>
      <c r="JF35" s="43"/>
      <c r="JG35" s="43"/>
      <c r="JH35" s="43"/>
      <c r="JI35" s="43"/>
      <c r="JJ35" s="43"/>
      <c r="JK35" s="43"/>
      <c r="JL35" s="43"/>
      <c r="JM35" s="43"/>
      <c r="JN35" s="43"/>
      <c r="JO35" s="43"/>
      <c r="JP35" s="43"/>
      <c r="JQ35" s="43"/>
      <c r="JR35" s="43"/>
      <c r="JS35" s="43"/>
      <c r="JT35" s="43"/>
      <c r="JU35" s="43"/>
      <c r="JV35" s="43"/>
      <c r="JW35" s="43"/>
      <c r="JX35" s="43"/>
      <c r="JY35" s="43"/>
      <c r="JZ35" s="43"/>
      <c r="KA35" s="43"/>
      <c r="KB35" s="43"/>
      <c r="KC35" s="43"/>
      <c r="KD35" s="43"/>
      <c r="KE35" s="43"/>
      <c r="KF35" s="43"/>
      <c r="KG35" s="43"/>
      <c r="KH35" s="43"/>
      <c r="KI35" s="43"/>
      <c r="KJ35" s="43"/>
      <c r="KK35" s="43"/>
      <c r="KL35" s="43"/>
      <c r="KM35" s="43"/>
      <c r="KN35" s="43"/>
      <c r="KO35" s="43"/>
      <c r="KP35" s="43"/>
      <c r="KQ35" s="43"/>
      <c r="KR35" s="43"/>
      <c r="KS35" s="43"/>
      <c r="KT35" s="43"/>
      <c r="KU35" s="43"/>
      <c r="KV35" s="43"/>
      <c r="KW35" s="43"/>
      <c r="KX35" s="43"/>
      <c r="KY35" s="43"/>
      <c r="KZ35" s="43"/>
      <c r="LA35" s="43"/>
      <c r="LB35" s="43"/>
      <c r="LC35" s="43"/>
      <c r="LD35" s="43"/>
      <c r="LE35" s="43"/>
      <c r="LF35" s="43"/>
      <c r="LG35" s="43"/>
      <c r="LH35" s="43"/>
      <c r="LI35" s="43"/>
      <c r="LJ35" s="43"/>
      <c r="LK35" s="43"/>
      <c r="LL35" s="43"/>
      <c r="LM35" s="43"/>
      <c r="LN35" s="43"/>
      <c r="LO35" s="43"/>
      <c r="LP35" s="43"/>
      <c r="LQ35" s="43"/>
      <c r="LR35" s="43"/>
      <c r="LS35" s="43"/>
      <c r="LT35" s="43"/>
      <c r="LU35" s="43"/>
      <c r="LV35" s="43"/>
      <c r="LW35" s="43"/>
      <c r="LX35" s="43"/>
      <c r="LY35" s="43"/>
      <c r="LZ35" s="43"/>
      <c r="MA35" s="43"/>
      <c r="MB35" s="43"/>
      <c r="MC35" s="43"/>
      <c r="MD35" s="43"/>
      <c r="ME35" s="43"/>
      <c r="MF35" s="43"/>
      <c r="MG35" s="43"/>
      <c r="MH35" s="43"/>
      <c r="MI35" s="43"/>
      <c r="MJ35" s="43"/>
      <c r="MK35" s="43"/>
      <c r="ML35" s="43"/>
      <c r="MM35" s="43"/>
      <c r="MN35" s="43"/>
      <c r="MO35" s="43"/>
      <c r="MP35" s="43"/>
      <c r="MQ35" s="43"/>
      <c r="MR35" s="43"/>
      <c r="MS35" s="43"/>
      <c r="MT35" s="43"/>
      <c r="MU35" s="43"/>
      <c r="MV35" s="43"/>
      <c r="MW35" s="43"/>
      <c r="MX35" s="43"/>
      <c r="MY35" s="43"/>
      <c r="MZ35" s="43"/>
      <c r="NA35" s="43"/>
      <c r="NB35" s="43"/>
      <c r="NC35" s="43"/>
      <c r="ND35" s="43"/>
      <c r="NE35" s="43"/>
      <c r="NF35" s="43"/>
      <c r="NG35" s="43"/>
      <c r="NH35" s="43"/>
      <c r="NI35" s="43"/>
      <c r="NJ35" s="43"/>
      <c r="NK35" s="43"/>
      <c r="NL35" s="43"/>
      <c r="NM35" s="43"/>
      <c r="NN35" s="43"/>
      <c r="NO35" s="43"/>
      <c r="NP35" s="43"/>
      <c r="NQ35" s="43"/>
      <c r="NR35" s="43"/>
      <c r="NS35" s="43"/>
      <c r="NT35" s="43"/>
      <c r="NU35" s="43"/>
      <c r="NV35" s="43"/>
      <c r="NW35" s="43"/>
      <c r="NX35" s="43"/>
      <c r="NY35" s="43"/>
      <c r="NZ35" s="43"/>
      <c r="OA35" s="43"/>
      <c r="OB35" s="43"/>
      <c r="OC35" s="43"/>
      <c r="OD35" s="43"/>
      <c r="OE35" s="43"/>
      <c r="OF35" s="43"/>
      <c r="OG35" s="43"/>
      <c r="OH35" s="43"/>
      <c r="OI35" s="43"/>
      <c r="OJ35" s="43"/>
      <c r="OK35" s="43"/>
      <c r="OL35" s="43"/>
      <c r="OM35" s="43"/>
      <c r="ON35" s="43"/>
      <c r="OO35" s="43"/>
      <c r="OP35" s="43"/>
      <c r="OQ35" s="43"/>
      <c r="OR35" s="43"/>
      <c r="OS35" s="43"/>
      <c r="OT35" s="43"/>
      <c r="OU35" s="43"/>
      <c r="OV35" s="43"/>
      <c r="OW35" s="43"/>
      <c r="OX35" s="43"/>
      <c r="OY35" s="43"/>
      <c r="OZ35" s="43"/>
      <c r="PA35" s="43"/>
      <c r="PB35" s="43"/>
      <c r="PC35" s="43"/>
      <c r="PD35" s="43"/>
      <c r="PE35" s="43"/>
      <c r="PF35" s="43"/>
      <c r="PG35" s="43"/>
      <c r="PH35" s="43"/>
      <c r="PI35" s="43"/>
      <c r="PJ35" s="43"/>
      <c r="PK35" s="43"/>
      <c r="PL35" s="43"/>
      <c r="PM35" s="43"/>
      <c r="PN35" s="43"/>
      <c r="PO35" s="43"/>
      <c r="PP35" s="43"/>
      <c r="PQ35" s="43"/>
      <c r="PR35" s="43"/>
      <c r="PS35" s="43"/>
      <c r="PT35" s="43"/>
      <c r="PU35" s="43"/>
      <c r="PV35" s="43"/>
      <c r="PW35" s="43"/>
      <c r="PX35" s="43"/>
      <c r="PY35" s="43"/>
      <c r="PZ35" s="43"/>
      <c r="QA35" s="43"/>
      <c r="QB35" s="43"/>
      <c r="QC35" s="43"/>
    </row>
    <row r="36" spans="1:16383" s="50" customFormat="1" x14ac:dyDescent="0.3">
      <c r="A36" s="47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6" t="str">
        <f t="shared" si="2"/>
        <v/>
      </c>
      <c r="U36" s="46" t="str">
        <f t="shared" si="3"/>
        <v/>
      </c>
      <c r="V36" s="72" t="str">
        <f t="shared" si="4"/>
        <v/>
      </c>
      <c r="W36" s="49"/>
      <c r="X36" s="73" t="str">
        <f t="shared" ref="X36:X67" si="6">IF(W36&lt;&gt;"",F36 - (SUM(G36:S36)),"")</f>
        <v/>
      </c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43"/>
      <c r="CY36" s="43"/>
      <c r="CZ36" s="43"/>
      <c r="DA36" s="43"/>
      <c r="DB36" s="43"/>
      <c r="DC36" s="43"/>
      <c r="DD36" s="43"/>
      <c r="DE36" s="43"/>
      <c r="DF36" s="43"/>
      <c r="DG36" s="43"/>
      <c r="DH36" s="43"/>
      <c r="DI36" s="43"/>
      <c r="DJ36" s="43"/>
      <c r="DK36" s="43"/>
      <c r="DL36" s="43"/>
      <c r="DM36" s="43"/>
      <c r="DN36" s="43"/>
      <c r="DO36" s="43"/>
      <c r="DP36" s="43"/>
      <c r="DQ36" s="43"/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43"/>
      <c r="EM36" s="43"/>
      <c r="EN36" s="43"/>
      <c r="EO36" s="43"/>
      <c r="EP36" s="43"/>
      <c r="EQ36" s="43"/>
      <c r="ER36" s="43"/>
      <c r="ES36" s="43"/>
      <c r="ET36" s="43"/>
      <c r="EU36" s="43"/>
      <c r="EV36" s="43"/>
      <c r="EW36" s="43"/>
      <c r="EX36" s="43"/>
      <c r="EY36" s="43"/>
      <c r="EZ36" s="43"/>
      <c r="FA36" s="43"/>
      <c r="FB36" s="43"/>
      <c r="FC36" s="43"/>
      <c r="FD36" s="43"/>
      <c r="FE36" s="43"/>
      <c r="FF36" s="43"/>
      <c r="FG36" s="43"/>
      <c r="FH36" s="43"/>
      <c r="FI36" s="43"/>
      <c r="FJ36" s="43"/>
      <c r="FK36" s="43"/>
      <c r="FL36" s="43"/>
      <c r="FM36" s="43"/>
      <c r="FN36" s="43"/>
      <c r="FO36" s="43"/>
      <c r="FP36" s="43"/>
      <c r="FQ36" s="43"/>
      <c r="FR36" s="43"/>
      <c r="FS36" s="43"/>
      <c r="FT36" s="43"/>
      <c r="FU36" s="43"/>
      <c r="FV36" s="43"/>
      <c r="FW36" s="43"/>
      <c r="FX36" s="43"/>
      <c r="FY36" s="43"/>
      <c r="FZ36" s="43"/>
      <c r="GA36" s="43"/>
      <c r="GB36" s="43"/>
      <c r="GC36" s="43"/>
      <c r="GD36" s="43"/>
      <c r="GE36" s="43"/>
      <c r="GF36" s="43"/>
      <c r="GG36" s="43"/>
      <c r="GH36" s="43"/>
      <c r="GI36" s="43"/>
      <c r="GJ36" s="43"/>
      <c r="GK36" s="43"/>
      <c r="GL36" s="43"/>
      <c r="GM36" s="43"/>
      <c r="GN36" s="43"/>
      <c r="GO36" s="43"/>
      <c r="GP36" s="43"/>
      <c r="GQ36" s="43"/>
      <c r="GR36" s="43"/>
      <c r="GS36" s="43"/>
      <c r="GT36" s="43"/>
      <c r="GU36" s="43"/>
      <c r="GV36" s="43"/>
      <c r="GW36" s="43"/>
      <c r="GX36" s="43"/>
      <c r="GY36" s="43"/>
      <c r="GZ36" s="43"/>
      <c r="HA36" s="43"/>
      <c r="HB36" s="43"/>
      <c r="HC36" s="43"/>
      <c r="HD36" s="43"/>
      <c r="HE36" s="43"/>
      <c r="HF36" s="43"/>
      <c r="HG36" s="43"/>
      <c r="HH36" s="43"/>
      <c r="HI36" s="43"/>
      <c r="HJ36" s="43"/>
      <c r="HK36" s="43"/>
      <c r="HL36" s="43"/>
      <c r="HM36" s="43"/>
      <c r="HN36" s="43"/>
      <c r="HO36" s="43"/>
      <c r="HP36" s="43"/>
      <c r="HQ36" s="43"/>
      <c r="HR36" s="43"/>
      <c r="HS36" s="43"/>
      <c r="HT36" s="43"/>
      <c r="HU36" s="43"/>
      <c r="HV36" s="43"/>
      <c r="HW36" s="43"/>
      <c r="HX36" s="43"/>
      <c r="HY36" s="43"/>
      <c r="HZ36" s="43"/>
      <c r="IA36" s="43"/>
      <c r="IB36" s="43"/>
      <c r="IC36" s="43"/>
      <c r="ID36" s="43"/>
      <c r="IE36" s="43"/>
      <c r="IF36" s="43"/>
      <c r="IG36" s="43"/>
      <c r="IH36" s="43"/>
      <c r="II36" s="43"/>
      <c r="IJ36" s="43"/>
      <c r="IK36" s="43"/>
      <c r="IL36" s="43"/>
      <c r="IM36" s="43"/>
      <c r="IN36" s="43"/>
      <c r="IO36" s="43"/>
      <c r="IP36" s="43"/>
      <c r="IQ36" s="43"/>
      <c r="IR36" s="43"/>
      <c r="IS36" s="43"/>
      <c r="IT36" s="43"/>
      <c r="IU36" s="43"/>
      <c r="IV36" s="43"/>
      <c r="IW36" s="43"/>
      <c r="IX36" s="43"/>
      <c r="IY36" s="43"/>
      <c r="IZ36" s="43"/>
      <c r="JA36" s="43"/>
      <c r="JB36" s="43"/>
      <c r="JC36" s="43"/>
      <c r="JD36" s="43"/>
      <c r="JE36" s="43"/>
      <c r="JF36" s="43"/>
      <c r="JG36" s="43"/>
      <c r="JH36" s="43"/>
      <c r="JI36" s="43"/>
      <c r="JJ36" s="43"/>
      <c r="JK36" s="43"/>
      <c r="JL36" s="43"/>
      <c r="JM36" s="43"/>
      <c r="JN36" s="43"/>
      <c r="JO36" s="43"/>
      <c r="JP36" s="43"/>
      <c r="JQ36" s="43"/>
      <c r="JR36" s="43"/>
      <c r="JS36" s="43"/>
      <c r="JT36" s="43"/>
      <c r="JU36" s="43"/>
      <c r="JV36" s="43"/>
      <c r="JW36" s="43"/>
      <c r="JX36" s="43"/>
      <c r="JY36" s="43"/>
      <c r="JZ36" s="43"/>
      <c r="KA36" s="43"/>
      <c r="KB36" s="43"/>
      <c r="KC36" s="43"/>
      <c r="KD36" s="43"/>
      <c r="KE36" s="43"/>
      <c r="KF36" s="43"/>
      <c r="KG36" s="43"/>
      <c r="KH36" s="43"/>
      <c r="KI36" s="43"/>
      <c r="KJ36" s="43"/>
      <c r="KK36" s="43"/>
      <c r="KL36" s="43"/>
      <c r="KM36" s="43"/>
      <c r="KN36" s="43"/>
      <c r="KO36" s="43"/>
      <c r="KP36" s="43"/>
      <c r="KQ36" s="43"/>
      <c r="KR36" s="43"/>
      <c r="KS36" s="43"/>
      <c r="KT36" s="43"/>
      <c r="KU36" s="43"/>
      <c r="KV36" s="43"/>
      <c r="KW36" s="43"/>
      <c r="KX36" s="43"/>
      <c r="KY36" s="43"/>
      <c r="KZ36" s="43"/>
      <c r="LA36" s="43"/>
      <c r="LB36" s="43"/>
      <c r="LC36" s="43"/>
      <c r="LD36" s="43"/>
      <c r="LE36" s="43"/>
      <c r="LF36" s="43"/>
      <c r="LG36" s="43"/>
      <c r="LH36" s="43"/>
      <c r="LI36" s="43"/>
      <c r="LJ36" s="43"/>
      <c r="LK36" s="43"/>
      <c r="LL36" s="43"/>
      <c r="LM36" s="43"/>
      <c r="LN36" s="43"/>
      <c r="LO36" s="43"/>
      <c r="LP36" s="43"/>
      <c r="LQ36" s="43"/>
      <c r="LR36" s="43"/>
      <c r="LS36" s="43"/>
      <c r="LT36" s="43"/>
      <c r="LU36" s="43"/>
      <c r="LV36" s="43"/>
      <c r="LW36" s="43"/>
      <c r="LX36" s="43"/>
      <c r="LY36" s="43"/>
      <c r="LZ36" s="43"/>
      <c r="MA36" s="43"/>
      <c r="MB36" s="43"/>
      <c r="MC36" s="43"/>
      <c r="MD36" s="43"/>
      <c r="ME36" s="43"/>
      <c r="MF36" s="43"/>
      <c r="MG36" s="43"/>
      <c r="MH36" s="43"/>
      <c r="MI36" s="43"/>
      <c r="MJ36" s="43"/>
      <c r="MK36" s="43"/>
      <c r="ML36" s="43"/>
      <c r="MM36" s="43"/>
      <c r="MN36" s="43"/>
      <c r="MO36" s="43"/>
      <c r="MP36" s="43"/>
      <c r="MQ36" s="43"/>
      <c r="MR36" s="43"/>
      <c r="MS36" s="43"/>
      <c r="MT36" s="43"/>
      <c r="MU36" s="43"/>
      <c r="MV36" s="43"/>
      <c r="MW36" s="43"/>
      <c r="MX36" s="43"/>
      <c r="MY36" s="43"/>
      <c r="MZ36" s="43"/>
      <c r="NA36" s="43"/>
      <c r="NB36" s="43"/>
      <c r="NC36" s="43"/>
      <c r="ND36" s="43"/>
      <c r="NE36" s="43"/>
      <c r="NF36" s="43"/>
      <c r="NG36" s="43"/>
      <c r="NH36" s="43"/>
      <c r="NI36" s="43"/>
      <c r="NJ36" s="43"/>
      <c r="NK36" s="43"/>
      <c r="NL36" s="43"/>
      <c r="NM36" s="43"/>
      <c r="NN36" s="43"/>
      <c r="NO36" s="43"/>
      <c r="NP36" s="43"/>
      <c r="NQ36" s="43"/>
      <c r="NR36" s="43"/>
      <c r="NS36" s="43"/>
      <c r="NT36" s="43"/>
      <c r="NU36" s="43"/>
      <c r="NV36" s="43"/>
      <c r="NW36" s="43"/>
      <c r="NX36" s="43"/>
      <c r="NY36" s="43"/>
      <c r="NZ36" s="43"/>
      <c r="OA36" s="43"/>
      <c r="OB36" s="43"/>
      <c r="OC36" s="43"/>
      <c r="OD36" s="43"/>
      <c r="OE36" s="43"/>
      <c r="OF36" s="43"/>
      <c r="OG36" s="43"/>
      <c r="OH36" s="43"/>
      <c r="OI36" s="43"/>
      <c r="OJ36" s="43"/>
      <c r="OK36" s="43"/>
      <c r="OL36" s="43"/>
      <c r="OM36" s="43"/>
      <c r="ON36" s="43"/>
      <c r="OO36" s="43"/>
      <c r="OP36" s="43"/>
      <c r="OQ36" s="43"/>
      <c r="OR36" s="43"/>
      <c r="OS36" s="43"/>
      <c r="OT36" s="43"/>
      <c r="OU36" s="43"/>
      <c r="OV36" s="43"/>
      <c r="OW36" s="43"/>
      <c r="OX36" s="43"/>
      <c r="OY36" s="43"/>
      <c r="OZ36" s="43"/>
      <c r="PA36" s="43"/>
      <c r="PB36" s="43"/>
      <c r="PC36" s="43"/>
      <c r="PD36" s="43"/>
      <c r="PE36" s="43"/>
      <c r="PF36" s="43"/>
      <c r="PG36" s="43"/>
      <c r="PH36" s="43"/>
      <c r="PI36" s="43"/>
      <c r="PJ36" s="43"/>
      <c r="PK36" s="43"/>
      <c r="PL36" s="43"/>
      <c r="PM36" s="43"/>
      <c r="PN36" s="43"/>
      <c r="PO36" s="43"/>
      <c r="PP36" s="43"/>
      <c r="PQ36" s="43"/>
      <c r="PR36" s="43"/>
      <c r="PS36" s="43"/>
      <c r="PT36" s="43"/>
      <c r="PU36" s="43"/>
      <c r="PV36" s="43"/>
      <c r="PW36" s="43"/>
      <c r="PX36" s="43"/>
      <c r="PY36" s="43"/>
      <c r="PZ36" s="43"/>
      <c r="QA36" s="43"/>
      <c r="QB36" s="43"/>
      <c r="QC36" s="43"/>
    </row>
    <row r="37" spans="1:16383" s="50" customFormat="1" x14ac:dyDescent="0.3">
      <c r="A37" s="47"/>
      <c r="B37" s="45"/>
      <c r="C37" s="45"/>
      <c r="D37" s="45"/>
      <c r="E37" s="45"/>
      <c r="F37" s="45"/>
      <c r="G37" s="45"/>
      <c r="H37" s="45"/>
      <c r="I37" s="45"/>
      <c r="J37" s="51"/>
      <c r="K37" s="45"/>
      <c r="L37" s="45"/>
      <c r="M37" s="45"/>
      <c r="N37" s="45"/>
      <c r="O37" s="45"/>
      <c r="P37" s="45"/>
      <c r="Q37" s="45"/>
      <c r="R37" s="45"/>
      <c r="S37" s="45"/>
      <c r="T37" s="46" t="str">
        <f t="shared" si="2"/>
        <v/>
      </c>
      <c r="U37" s="46" t="str">
        <f t="shared" si="3"/>
        <v/>
      </c>
      <c r="V37" s="72" t="str">
        <f t="shared" si="4"/>
        <v/>
      </c>
      <c r="W37" s="48"/>
      <c r="X37" s="73" t="str">
        <f t="shared" si="6"/>
        <v/>
      </c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43"/>
      <c r="CY37" s="43"/>
      <c r="CZ37" s="43"/>
      <c r="DA37" s="43"/>
      <c r="DB37" s="43"/>
      <c r="DC37" s="43"/>
      <c r="DD37" s="43"/>
      <c r="DE37" s="43"/>
      <c r="DF37" s="43"/>
      <c r="DG37" s="43"/>
      <c r="DH37" s="43"/>
      <c r="DI37" s="43"/>
      <c r="DJ37" s="43"/>
      <c r="DK37" s="43"/>
      <c r="DL37" s="43"/>
      <c r="DM37" s="43"/>
      <c r="DN37" s="43"/>
      <c r="DO37" s="43"/>
      <c r="DP37" s="43"/>
      <c r="DQ37" s="43"/>
      <c r="DR37" s="43"/>
      <c r="DS37" s="43"/>
      <c r="DT37" s="43"/>
      <c r="DU37" s="43"/>
      <c r="DV37" s="43"/>
      <c r="DW37" s="43"/>
      <c r="DX37" s="43"/>
      <c r="DY37" s="43"/>
      <c r="DZ37" s="43"/>
      <c r="EA37" s="43"/>
      <c r="EB37" s="43"/>
      <c r="EC37" s="43"/>
      <c r="ED37" s="43"/>
      <c r="EE37" s="43"/>
      <c r="EF37" s="43"/>
      <c r="EG37" s="43"/>
      <c r="EH37" s="43"/>
      <c r="EI37" s="43"/>
      <c r="EJ37" s="43"/>
      <c r="EK37" s="43"/>
      <c r="EL37" s="43"/>
      <c r="EM37" s="43"/>
      <c r="EN37" s="43"/>
      <c r="EO37" s="43"/>
      <c r="EP37" s="43"/>
      <c r="EQ37" s="43"/>
      <c r="ER37" s="43"/>
      <c r="ES37" s="43"/>
      <c r="ET37" s="43"/>
      <c r="EU37" s="43"/>
      <c r="EV37" s="43"/>
      <c r="EW37" s="43"/>
      <c r="EX37" s="43"/>
      <c r="EY37" s="43"/>
      <c r="EZ37" s="43"/>
      <c r="FA37" s="43"/>
      <c r="FB37" s="43"/>
      <c r="FC37" s="43"/>
      <c r="FD37" s="43"/>
      <c r="FE37" s="43"/>
      <c r="FF37" s="43"/>
      <c r="FG37" s="43"/>
      <c r="FH37" s="43"/>
      <c r="FI37" s="43"/>
      <c r="FJ37" s="43"/>
      <c r="FK37" s="43"/>
      <c r="FL37" s="43"/>
      <c r="FM37" s="43"/>
      <c r="FN37" s="43"/>
      <c r="FO37" s="43"/>
      <c r="FP37" s="43"/>
      <c r="FQ37" s="43"/>
      <c r="FR37" s="43"/>
      <c r="FS37" s="43"/>
      <c r="FT37" s="43"/>
      <c r="FU37" s="43"/>
      <c r="FV37" s="43"/>
      <c r="FW37" s="43"/>
      <c r="FX37" s="43"/>
      <c r="FY37" s="43"/>
      <c r="FZ37" s="43"/>
      <c r="GA37" s="43"/>
      <c r="GB37" s="43"/>
      <c r="GC37" s="43"/>
      <c r="GD37" s="43"/>
      <c r="GE37" s="43"/>
      <c r="GF37" s="43"/>
      <c r="GG37" s="43"/>
      <c r="GH37" s="43"/>
      <c r="GI37" s="43"/>
      <c r="GJ37" s="43"/>
      <c r="GK37" s="43"/>
      <c r="GL37" s="43"/>
      <c r="GM37" s="43"/>
      <c r="GN37" s="43"/>
      <c r="GO37" s="43"/>
      <c r="GP37" s="43"/>
      <c r="GQ37" s="43"/>
      <c r="GR37" s="43"/>
      <c r="GS37" s="43"/>
      <c r="GT37" s="43"/>
      <c r="GU37" s="43"/>
      <c r="GV37" s="43"/>
      <c r="GW37" s="43"/>
      <c r="GX37" s="43"/>
      <c r="GY37" s="43"/>
      <c r="GZ37" s="43"/>
      <c r="HA37" s="43"/>
      <c r="HB37" s="43"/>
      <c r="HC37" s="43"/>
      <c r="HD37" s="43"/>
      <c r="HE37" s="43"/>
      <c r="HF37" s="43"/>
      <c r="HG37" s="43"/>
      <c r="HH37" s="43"/>
      <c r="HI37" s="43"/>
      <c r="HJ37" s="43"/>
      <c r="HK37" s="43"/>
      <c r="HL37" s="43"/>
      <c r="HM37" s="43"/>
      <c r="HN37" s="43"/>
      <c r="HO37" s="43"/>
      <c r="HP37" s="43"/>
      <c r="HQ37" s="43"/>
      <c r="HR37" s="43"/>
      <c r="HS37" s="43"/>
      <c r="HT37" s="43"/>
      <c r="HU37" s="43"/>
      <c r="HV37" s="43"/>
      <c r="HW37" s="43"/>
      <c r="HX37" s="43"/>
      <c r="HY37" s="43"/>
      <c r="HZ37" s="43"/>
      <c r="IA37" s="43"/>
      <c r="IB37" s="43"/>
      <c r="IC37" s="43"/>
      <c r="ID37" s="43"/>
      <c r="IE37" s="43"/>
      <c r="IF37" s="43"/>
      <c r="IG37" s="43"/>
      <c r="IH37" s="43"/>
      <c r="II37" s="43"/>
      <c r="IJ37" s="43"/>
      <c r="IK37" s="43"/>
      <c r="IL37" s="43"/>
      <c r="IM37" s="43"/>
      <c r="IN37" s="43"/>
      <c r="IO37" s="43"/>
      <c r="IP37" s="43"/>
      <c r="IQ37" s="43"/>
      <c r="IR37" s="43"/>
      <c r="IS37" s="43"/>
      <c r="IT37" s="43"/>
      <c r="IU37" s="43"/>
      <c r="IV37" s="43"/>
      <c r="IW37" s="43"/>
      <c r="IX37" s="43"/>
      <c r="IY37" s="43"/>
      <c r="IZ37" s="43"/>
      <c r="JA37" s="43"/>
      <c r="JB37" s="43"/>
      <c r="JC37" s="43"/>
      <c r="JD37" s="43"/>
      <c r="JE37" s="43"/>
      <c r="JF37" s="43"/>
      <c r="JG37" s="43"/>
      <c r="JH37" s="43"/>
      <c r="JI37" s="43"/>
      <c r="JJ37" s="43"/>
      <c r="JK37" s="43"/>
      <c r="JL37" s="43"/>
      <c r="JM37" s="43"/>
      <c r="JN37" s="43"/>
      <c r="JO37" s="43"/>
      <c r="JP37" s="43"/>
      <c r="JQ37" s="43"/>
      <c r="JR37" s="43"/>
      <c r="JS37" s="43"/>
      <c r="JT37" s="43"/>
      <c r="JU37" s="43"/>
      <c r="JV37" s="43"/>
      <c r="JW37" s="43"/>
      <c r="JX37" s="43"/>
      <c r="JY37" s="43"/>
      <c r="JZ37" s="43"/>
      <c r="KA37" s="43"/>
      <c r="KB37" s="43"/>
      <c r="KC37" s="43"/>
      <c r="KD37" s="43"/>
      <c r="KE37" s="43"/>
      <c r="KF37" s="43"/>
      <c r="KG37" s="43"/>
      <c r="KH37" s="43"/>
      <c r="KI37" s="43"/>
      <c r="KJ37" s="43"/>
      <c r="KK37" s="43"/>
      <c r="KL37" s="43"/>
      <c r="KM37" s="43"/>
      <c r="KN37" s="43"/>
      <c r="KO37" s="43"/>
      <c r="KP37" s="43"/>
      <c r="KQ37" s="43"/>
      <c r="KR37" s="43"/>
      <c r="KS37" s="43"/>
      <c r="KT37" s="43"/>
      <c r="KU37" s="43"/>
      <c r="KV37" s="43"/>
      <c r="KW37" s="43"/>
      <c r="KX37" s="43"/>
      <c r="KY37" s="43"/>
      <c r="KZ37" s="43"/>
      <c r="LA37" s="43"/>
      <c r="LB37" s="43"/>
      <c r="LC37" s="43"/>
      <c r="LD37" s="43"/>
      <c r="LE37" s="43"/>
      <c r="LF37" s="43"/>
      <c r="LG37" s="43"/>
      <c r="LH37" s="43"/>
      <c r="LI37" s="43"/>
      <c r="LJ37" s="43"/>
      <c r="LK37" s="43"/>
      <c r="LL37" s="43"/>
      <c r="LM37" s="43"/>
      <c r="LN37" s="43"/>
      <c r="LO37" s="43"/>
      <c r="LP37" s="43"/>
      <c r="LQ37" s="43"/>
      <c r="LR37" s="43"/>
      <c r="LS37" s="43"/>
      <c r="LT37" s="43"/>
      <c r="LU37" s="43"/>
      <c r="LV37" s="43"/>
      <c r="LW37" s="43"/>
      <c r="LX37" s="43"/>
      <c r="LY37" s="43"/>
      <c r="LZ37" s="43"/>
      <c r="MA37" s="43"/>
      <c r="MB37" s="43"/>
      <c r="MC37" s="43"/>
      <c r="MD37" s="43"/>
      <c r="ME37" s="43"/>
      <c r="MF37" s="43"/>
      <c r="MG37" s="43"/>
      <c r="MH37" s="43"/>
      <c r="MI37" s="43"/>
      <c r="MJ37" s="43"/>
      <c r="MK37" s="43"/>
      <c r="ML37" s="43"/>
      <c r="MM37" s="43"/>
      <c r="MN37" s="43"/>
      <c r="MO37" s="43"/>
      <c r="MP37" s="43"/>
      <c r="MQ37" s="43"/>
      <c r="MR37" s="43"/>
      <c r="MS37" s="43"/>
      <c r="MT37" s="43"/>
      <c r="MU37" s="43"/>
      <c r="MV37" s="43"/>
      <c r="MW37" s="43"/>
      <c r="MX37" s="43"/>
      <c r="MY37" s="43"/>
      <c r="MZ37" s="43"/>
      <c r="NA37" s="43"/>
      <c r="NB37" s="43"/>
      <c r="NC37" s="43"/>
      <c r="ND37" s="43"/>
      <c r="NE37" s="43"/>
      <c r="NF37" s="43"/>
      <c r="NG37" s="43"/>
      <c r="NH37" s="43"/>
      <c r="NI37" s="43"/>
      <c r="NJ37" s="43"/>
      <c r="NK37" s="43"/>
      <c r="NL37" s="43"/>
      <c r="NM37" s="43"/>
      <c r="NN37" s="43"/>
      <c r="NO37" s="43"/>
      <c r="NP37" s="43"/>
      <c r="NQ37" s="43"/>
      <c r="NR37" s="43"/>
      <c r="NS37" s="43"/>
      <c r="NT37" s="43"/>
      <c r="NU37" s="43"/>
      <c r="NV37" s="43"/>
      <c r="NW37" s="43"/>
      <c r="NX37" s="43"/>
      <c r="NY37" s="43"/>
      <c r="NZ37" s="43"/>
      <c r="OA37" s="43"/>
      <c r="OB37" s="43"/>
      <c r="OC37" s="43"/>
      <c r="OD37" s="43"/>
      <c r="OE37" s="43"/>
      <c r="OF37" s="43"/>
      <c r="OG37" s="43"/>
      <c r="OH37" s="43"/>
      <c r="OI37" s="43"/>
      <c r="OJ37" s="43"/>
      <c r="OK37" s="43"/>
      <c r="OL37" s="43"/>
      <c r="OM37" s="43"/>
      <c r="ON37" s="43"/>
      <c r="OO37" s="43"/>
      <c r="OP37" s="43"/>
      <c r="OQ37" s="43"/>
      <c r="OR37" s="43"/>
      <c r="OS37" s="43"/>
      <c r="OT37" s="43"/>
      <c r="OU37" s="43"/>
      <c r="OV37" s="43"/>
      <c r="OW37" s="43"/>
      <c r="OX37" s="43"/>
      <c r="OY37" s="43"/>
      <c r="OZ37" s="43"/>
      <c r="PA37" s="43"/>
      <c r="PB37" s="43"/>
      <c r="PC37" s="43"/>
      <c r="PD37" s="43"/>
      <c r="PE37" s="43"/>
      <c r="PF37" s="43"/>
      <c r="PG37" s="43"/>
      <c r="PH37" s="43"/>
      <c r="PI37" s="43"/>
      <c r="PJ37" s="43"/>
      <c r="PK37" s="43"/>
      <c r="PL37" s="43"/>
      <c r="PM37" s="43"/>
      <c r="PN37" s="43"/>
      <c r="PO37" s="43"/>
      <c r="PP37" s="43"/>
      <c r="PQ37" s="43"/>
      <c r="PR37" s="43"/>
      <c r="PS37" s="43"/>
      <c r="PT37" s="43"/>
      <c r="PU37" s="43"/>
      <c r="PV37" s="43"/>
      <c r="PW37" s="43"/>
      <c r="PX37" s="43"/>
      <c r="PY37" s="43"/>
      <c r="PZ37" s="43"/>
      <c r="QA37" s="43"/>
      <c r="QB37" s="43"/>
      <c r="QC37" s="43"/>
    </row>
    <row r="38" spans="1:16383" s="50" customFormat="1" x14ac:dyDescent="0.3">
      <c r="A38" s="47"/>
      <c r="B38" s="45"/>
      <c r="C38" s="45"/>
      <c r="D38" s="45"/>
      <c r="E38" s="45"/>
      <c r="F38" s="45"/>
      <c r="G38" s="45"/>
      <c r="H38" s="45"/>
      <c r="I38" s="45"/>
      <c r="K38" s="45"/>
      <c r="L38" s="45"/>
      <c r="M38" s="45"/>
      <c r="N38" s="45"/>
      <c r="O38" s="45"/>
      <c r="P38" s="45"/>
      <c r="Q38" s="45"/>
      <c r="R38" s="45"/>
      <c r="S38" s="45"/>
      <c r="T38" s="46" t="str">
        <f t="shared" si="2"/>
        <v/>
      </c>
      <c r="U38" s="46" t="str">
        <f t="shared" si="3"/>
        <v/>
      </c>
      <c r="V38" s="72" t="str">
        <f t="shared" si="4"/>
        <v/>
      </c>
      <c r="W38" s="48"/>
      <c r="X38" s="73" t="str">
        <f t="shared" si="6"/>
        <v/>
      </c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43"/>
      <c r="CY38" s="43"/>
      <c r="CZ38" s="43"/>
      <c r="DA38" s="43"/>
      <c r="DB38" s="43"/>
      <c r="DC38" s="43"/>
      <c r="DD38" s="43"/>
      <c r="DE38" s="43"/>
      <c r="DF38" s="43"/>
      <c r="DG38" s="43"/>
      <c r="DH38" s="43"/>
      <c r="DI38" s="43"/>
      <c r="DJ38" s="43"/>
      <c r="DK38" s="43"/>
      <c r="DL38" s="43"/>
      <c r="DM38" s="43"/>
      <c r="DN38" s="43"/>
      <c r="DO38" s="43"/>
      <c r="DP38" s="43"/>
      <c r="DQ38" s="43"/>
      <c r="DR38" s="43"/>
      <c r="DS38" s="43"/>
      <c r="DT38" s="43"/>
      <c r="DU38" s="43"/>
      <c r="DV38" s="43"/>
      <c r="DW38" s="43"/>
      <c r="DX38" s="43"/>
      <c r="DY38" s="43"/>
      <c r="DZ38" s="43"/>
      <c r="EA38" s="43"/>
      <c r="EB38" s="43"/>
      <c r="EC38" s="43"/>
      <c r="ED38" s="43"/>
      <c r="EE38" s="43"/>
      <c r="EF38" s="43"/>
      <c r="EG38" s="43"/>
      <c r="EH38" s="43"/>
      <c r="EI38" s="43"/>
      <c r="EJ38" s="43"/>
      <c r="EK38" s="43"/>
      <c r="EL38" s="43"/>
      <c r="EM38" s="43"/>
      <c r="EN38" s="43"/>
      <c r="EO38" s="43"/>
      <c r="EP38" s="43"/>
      <c r="EQ38" s="43"/>
      <c r="ER38" s="43"/>
      <c r="ES38" s="43"/>
      <c r="ET38" s="43"/>
      <c r="EU38" s="43"/>
      <c r="EV38" s="43"/>
      <c r="EW38" s="43"/>
      <c r="EX38" s="43"/>
      <c r="EY38" s="43"/>
      <c r="EZ38" s="43"/>
      <c r="FA38" s="43"/>
      <c r="FB38" s="43"/>
      <c r="FC38" s="43"/>
      <c r="FD38" s="43"/>
      <c r="FE38" s="43"/>
      <c r="FF38" s="43"/>
      <c r="FG38" s="43"/>
      <c r="FH38" s="43"/>
      <c r="FI38" s="43"/>
      <c r="FJ38" s="43"/>
      <c r="FK38" s="43"/>
      <c r="FL38" s="43"/>
      <c r="FM38" s="43"/>
      <c r="FN38" s="43"/>
      <c r="FO38" s="43"/>
      <c r="FP38" s="43"/>
      <c r="FQ38" s="43"/>
      <c r="FR38" s="43"/>
      <c r="FS38" s="43"/>
      <c r="FT38" s="43"/>
      <c r="FU38" s="43"/>
      <c r="FV38" s="43"/>
      <c r="FW38" s="43"/>
      <c r="FX38" s="43"/>
      <c r="FY38" s="43"/>
      <c r="FZ38" s="43"/>
      <c r="GA38" s="43"/>
      <c r="GB38" s="43"/>
      <c r="GC38" s="43"/>
      <c r="GD38" s="43"/>
      <c r="GE38" s="43"/>
      <c r="GF38" s="43"/>
      <c r="GG38" s="43"/>
      <c r="GH38" s="43"/>
      <c r="GI38" s="43"/>
      <c r="GJ38" s="43"/>
      <c r="GK38" s="43"/>
      <c r="GL38" s="43"/>
      <c r="GM38" s="43"/>
      <c r="GN38" s="43"/>
      <c r="GO38" s="43"/>
      <c r="GP38" s="43"/>
      <c r="GQ38" s="43"/>
      <c r="GR38" s="43"/>
      <c r="GS38" s="43"/>
      <c r="GT38" s="43"/>
      <c r="GU38" s="43"/>
      <c r="GV38" s="43"/>
      <c r="GW38" s="43"/>
      <c r="GX38" s="43"/>
      <c r="GY38" s="43"/>
      <c r="GZ38" s="43"/>
      <c r="HA38" s="43"/>
      <c r="HB38" s="43"/>
      <c r="HC38" s="43"/>
      <c r="HD38" s="43"/>
      <c r="HE38" s="43"/>
      <c r="HF38" s="43"/>
      <c r="HG38" s="43"/>
      <c r="HH38" s="43"/>
      <c r="HI38" s="43"/>
      <c r="HJ38" s="43"/>
      <c r="HK38" s="43"/>
      <c r="HL38" s="43"/>
      <c r="HM38" s="43"/>
      <c r="HN38" s="43"/>
      <c r="HO38" s="43"/>
      <c r="HP38" s="43"/>
      <c r="HQ38" s="43"/>
      <c r="HR38" s="43"/>
      <c r="HS38" s="43"/>
      <c r="HT38" s="43"/>
      <c r="HU38" s="43"/>
      <c r="HV38" s="43"/>
      <c r="HW38" s="43"/>
      <c r="HX38" s="43"/>
      <c r="HY38" s="43"/>
      <c r="HZ38" s="43"/>
      <c r="IA38" s="43"/>
      <c r="IB38" s="43"/>
      <c r="IC38" s="43"/>
      <c r="ID38" s="43"/>
      <c r="IE38" s="43"/>
      <c r="IF38" s="43"/>
      <c r="IG38" s="43"/>
      <c r="IH38" s="43"/>
      <c r="II38" s="43"/>
      <c r="IJ38" s="43"/>
      <c r="IK38" s="43"/>
      <c r="IL38" s="43"/>
      <c r="IM38" s="43"/>
      <c r="IN38" s="43"/>
      <c r="IO38" s="43"/>
      <c r="IP38" s="43"/>
      <c r="IQ38" s="43"/>
      <c r="IR38" s="43"/>
      <c r="IS38" s="43"/>
      <c r="IT38" s="43"/>
      <c r="IU38" s="43"/>
      <c r="IV38" s="43"/>
      <c r="IW38" s="43"/>
      <c r="IX38" s="43"/>
      <c r="IY38" s="43"/>
      <c r="IZ38" s="43"/>
      <c r="JA38" s="43"/>
      <c r="JB38" s="43"/>
      <c r="JC38" s="43"/>
      <c r="JD38" s="43"/>
      <c r="JE38" s="43"/>
      <c r="JF38" s="43"/>
      <c r="JG38" s="43"/>
      <c r="JH38" s="43"/>
      <c r="JI38" s="43"/>
      <c r="JJ38" s="43"/>
      <c r="JK38" s="43"/>
      <c r="JL38" s="43"/>
      <c r="JM38" s="43"/>
      <c r="JN38" s="43"/>
      <c r="JO38" s="43"/>
      <c r="JP38" s="43"/>
      <c r="JQ38" s="43"/>
      <c r="JR38" s="43"/>
      <c r="JS38" s="43"/>
      <c r="JT38" s="43"/>
      <c r="JU38" s="43"/>
      <c r="JV38" s="43"/>
      <c r="JW38" s="43"/>
      <c r="JX38" s="43"/>
      <c r="JY38" s="43"/>
      <c r="JZ38" s="43"/>
      <c r="KA38" s="43"/>
      <c r="KB38" s="43"/>
      <c r="KC38" s="43"/>
      <c r="KD38" s="43"/>
      <c r="KE38" s="43"/>
      <c r="KF38" s="43"/>
      <c r="KG38" s="43"/>
      <c r="KH38" s="43"/>
      <c r="KI38" s="43"/>
      <c r="KJ38" s="43"/>
      <c r="KK38" s="43"/>
      <c r="KL38" s="43"/>
      <c r="KM38" s="43"/>
      <c r="KN38" s="43"/>
      <c r="KO38" s="43"/>
      <c r="KP38" s="43"/>
      <c r="KQ38" s="43"/>
      <c r="KR38" s="43"/>
      <c r="KS38" s="43"/>
      <c r="KT38" s="43"/>
      <c r="KU38" s="43"/>
      <c r="KV38" s="43"/>
      <c r="KW38" s="43"/>
      <c r="KX38" s="43"/>
      <c r="KY38" s="43"/>
      <c r="KZ38" s="43"/>
      <c r="LA38" s="43"/>
      <c r="LB38" s="43"/>
      <c r="LC38" s="43"/>
      <c r="LD38" s="43"/>
      <c r="LE38" s="43"/>
      <c r="LF38" s="43"/>
      <c r="LG38" s="43"/>
      <c r="LH38" s="43"/>
      <c r="LI38" s="43"/>
      <c r="LJ38" s="43"/>
      <c r="LK38" s="43"/>
      <c r="LL38" s="43"/>
      <c r="LM38" s="43"/>
      <c r="LN38" s="43"/>
      <c r="LO38" s="43"/>
      <c r="LP38" s="43"/>
      <c r="LQ38" s="43"/>
      <c r="LR38" s="43"/>
      <c r="LS38" s="43"/>
      <c r="LT38" s="43"/>
      <c r="LU38" s="43"/>
      <c r="LV38" s="43"/>
      <c r="LW38" s="43"/>
      <c r="LX38" s="43"/>
      <c r="LY38" s="43"/>
      <c r="LZ38" s="43"/>
      <c r="MA38" s="43"/>
      <c r="MB38" s="43"/>
      <c r="MC38" s="43"/>
      <c r="MD38" s="43"/>
      <c r="ME38" s="43"/>
      <c r="MF38" s="43"/>
      <c r="MG38" s="43"/>
      <c r="MH38" s="43"/>
      <c r="MI38" s="43"/>
      <c r="MJ38" s="43"/>
      <c r="MK38" s="43"/>
      <c r="ML38" s="43"/>
      <c r="MM38" s="43"/>
      <c r="MN38" s="43"/>
      <c r="MO38" s="43"/>
      <c r="MP38" s="43"/>
      <c r="MQ38" s="43"/>
      <c r="MR38" s="43"/>
      <c r="MS38" s="43"/>
      <c r="MT38" s="43"/>
      <c r="MU38" s="43"/>
      <c r="MV38" s="43"/>
      <c r="MW38" s="43"/>
      <c r="MX38" s="43"/>
      <c r="MY38" s="43"/>
      <c r="MZ38" s="43"/>
      <c r="NA38" s="43"/>
      <c r="NB38" s="43"/>
      <c r="NC38" s="43"/>
      <c r="ND38" s="43"/>
      <c r="NE38" s="43"/>
      <c r="NF38" s="43"/>
      <c r="NG38" s="43"/>
      <c r="NH38" s="43"/>
      <c r="NI38" s="43"/>
      <c r="NJ38" s="43"/>
      <c r="NK38" s="43"/>
      <c r="NL38" s="43"/>
      <c r="NM38" s="43"/>
      <c r="NN38" s="43"/>
      <c r="NO38" s="43"/>
      <c r="NP38" s="43"/>
      <c r="NQ38" s="43"/>
      <c r="NR38" s="43"/>
      <c r="NS38" s="43"/>
      <c r="NT38" s="43"/>
      <c r="NU38" s="43"/>
      <c r="NV38" s="43"/>
      <c r="NW38" s="43"/>
      <c r="NX38" s="43"/>
      <c r="NY38" s="43"/>
      <c r="NZ38" s="43"/>
      <c r="OA38" s="43"/>
      <c r="OB38" s="43"/>
      <c r="OC38" s="43"/>
      <c r="OD38" s="43"/>
      <c r="OE38" s="43"/>
      <c r="OF38" s="43"/>
      <c r="OG38" s="43"/>
      <c r="OH38" s="43"/>
      <c r="OI38" s="43"/>
      <c r="OJ38" s="43"/>
      <c r="OK38" s="43"/>
      <c r="OL38" s="43"/>
      <c r="OM38" s="43"/>
      <c r="ON38" s="43"/>
      <c r="OO38" s="43"/>
      <c r="OP38" s="43"/>
      <c r="OQ38" s="43"/>
      <c r="OR38" s="43"/>
      <c r="OS38" s="43"/>
      <c r="OT38" s="43"/>
      <c r="OU38" s="43"/>
      <c r="OV38" s="43"/>
      <c r="OW38" s="43"/>
      <c r="OX38" s="43"/>
      <c r="OY38" s="43"/>
      <c r="OZ38" s="43"/>
      <c r="PA38" s="43"/>
      <c r="PB38" s="43"/>
      <c r="PC38" s="43"/>
      <c r="PD38" s="43"/>
      <c r="PE38" s="43"/>
      <c r="PF38" s="43"/>
      <c r="PG38" s="43"/>
      <c r="PH38" s="43"/>
      <c r="PI38" s="43"/>
      <c r="PJ38" s="43"/>
      <c r="PK38" s="43"/>
      <c r="PL38" s="43"/>
      <c r="PM38" s="43"/>
      <c r="PN38" s="43"/>
      <c r="PO38" s="43"/>
      <c r="PP38" s="43"/>
      <c r="PQ38" s="43"/>
      <c r="PR38" s="43"/>
      <c r="PS38" s="43"/>
      <c r="PT38" s="43"/>
      <c r="PU38" s="43"/>
      <c r="PV38" s="43"/>
      <c r="PW38" s="43"/>
      <c r="PX38" s="43"/>
      <c r="PY38" s="43"/>
      <c r="PZ38" s="43"/>
      <c r="QA38" s="43"/>
      <c r="QB38" s="43"/>
      <c r="QC38" s="43"/>
    </row>
    <row r="39" spans="1:16383" s="50" customFormat="1" x14ac:dyDescent="0.3">
      <c r="A39" s="47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6" t="str">
        <f t="shared" si="2"/>
        <v/>
      </c>
      <c r="U39" s="46" t="str">
        <f t="shared" si="3"/>
        <v/>
      </c>
      <c r="V39" s="72" t="str">
        <f t="shared" si="4"/>
        <v/>
      </c>
      <c r="W39" s="48"/>
      <c r="X39" s="73" t="str">
        <f t="shared" si="6"/>
        <v/>
      </c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  <c r="AJ39" s="48"/>
      <c r="AK39" s="48"/>
      <c r="AL39" s="48"/>
      <c r="AM39" s="48"/>
      <c r="AN39" s="48"/>
      <c r="AO39" s="45"/>
      <c r="AP39" s="46"/>
      <c r="AQ39" s="46"/>
      <c r="AR39" s="47"/>
      <c r="AS39" s="48"/>
      <c r="AT39" s="48"/>
      <c r="AU39" s="48"/>
      <c r="AV39" s="48"/>
      <c r="AW39" s="48"/>
      <c r="AX39" s="48"/>
      <c r="AY39" s="48"/>
      <c r="AZ39" s="48"/>
      <c r="BA39" s="48"/>
      <c r="BB39" s="48"/>
      <c r="BC39" s="48"/>
      <c r="BD39" s="48"/>
      <c r="BE39" s="48"/>
      <c r="BF39" s="48"/>
      <c r="BG39" s="48"/>
      <c r="BH39" s="48"/>
      <c r="BI39" s="48"/>
      <c r="BJ39" s="48"/>
      <c r="BK39" s="45"/>
      <c r="BL39" s="46"/>
      <c r="BM39" s="46"/>
      <c r="BN39" s="47"/>
      <c r="BO39" s="48"/>
      <c r="BP39" s="48"/>
      <c r="BQ39" s="48"/>
      <c r="BR39" s="48"/>
      <c r="BS39" s="48"/>
      <c r="BT39" s="48"/>
      <c r="BU39" s="48"/>
      <c r="BV39" s="48"/>
      <c r="BW39" s="48"/>
      <c r="BX39" s="48"/>
      <c r="BY39" s="48"/>
      <c r="BZ39" s="48"/>
      <c r="CA39" s="48"/>
      <c r="CB39" s="48"/>
      <c r="CC39" s="48"/>
      <c r="CD39" s="48"/>
      <c r="CE39" s="48"/>
      <c r="CF39" s="48"/>
      <c r="CG39" s="45"/>
      <c r="CH39" s="46"/>
      <c r="CI39" s="46"/>
      <c r="CJ39" s="47"/>
      <c r="CK39" s="48"/>
      <c r="CL39" s="48"/>
      <c r="CM39" s="48"/>
      <c r="CN39" s="48"/>
      <c r="CO39" s="48"/>
      <c r="CP39" s="48"/>
      <c r="CQ39" s="48"/>
      <c r="CR39" s="48"/>
      <c r="CS39" s="48"/>
      <c r="CT39" s="48"/>
      <c r="CU39" s="48"/>
      <c r="CV39" s="48"/>
      <c r="CW39" s="48"/>
      <c r="CX39" s="48"/>
      <c r="CY39" s="48"/>
      <c r="CZ39" s="48"/>
      <c r="DA39" s="48"/>
      <c r="DB39" s="48"/>
      <c r="DC39" s="45"/>
      <c r="DD39" s="46"/>
      <c r="DE39" s="46"/>
      <c r="DF39" s="47"/>
      <c r="DG39" s="48"/>
      <c r="DH39" s="48"/>
      <c r="DI39" s="48"/>
      <c r="DJ39" s="48"/>
      <c r="DK39" s="48"/>
      <c r="DL39" s="48"/>
      <c r="DM39" s="48"/>
      <c r="DN39" s="48"/>
      <c r="DO39" s="48"/>
      <c r="DP39" s="48"/>
      <c r="DQ39" s="48"/>
      <c r="DR39" s="48"/>
      <c r="DS39" s="48"/>
      <c r="DT39" s="48"/>
      <c r="DU39" s="48"/>
      <c r="DV39" s="48"/>
      <c r="DW39" s="48"/>
      <c r="DX39" s="48"/>
      <c r="DY39" s="45"/>
      <c r="DZ39" s="46"/>
      <c r="EA39" s="46"/>
      <c r="EB39" s="47"/>
      <c r="EC39" s="48"/>
      <c r="ED39" s="48"/>
      <c r="EE39" s="48"/>
      <c r="EF39" s="48"/>
      <c r="EG39" s="48"/>
      <c r="EH39" s="48"/>
      <c r="EI39" s="48"/>
      <c r="EJ39" s="48"/>
      <c r="EK39" s="48"/>
      <c r="EL39" s="48"/>
      <c r="EM39" s="48"/>
      <c r="EN39" s="48"/>
      <c r="EO39" s="48"/>
      <c r="EP39" s="48"/>
      <c r="EQ39" s="48"/>
      <c r="ER39" s="48"/>
      <c r="ES39" s="48"/>
      <c r="ET39" s="48"/>
      <c r="EU39" s="45"/>
      <c r="EV39" s="46"/>
      <c r="EW39" s="46"/>
      <c r="EX39" s="47"/>
      <c r="EY39" s="48"/>
      <c r="EZ39" s="48"/>
      <c r="FA39" s="48"/>
      <c r="FB39" s="48"/>
      <c r="FC39" s="48"/>
      <c r="FD39" s="48"/>
      <c r="FE39" s="48"/>
      <c r="FF39" s="48"/>
      <c r="FG39" s="48"/>
      <c r="FH39" s="48"/>
      <c r="FI39" s="48"/>
      <c r="FJ39" s="48"/>
      <c r="FK39" s="48"/>
      <c r="FL39" s="48"/>
      <c r="FM39" s="48"/>
      <c r="FN39" s="48"/>
      <c r="FO39" s="48"/>
      <c r="FP39" s="48"/>
      <c r="FQ39" s="45"/>
      <c r="FR39" s="46"/>
      <c r="FS39" s="46"/>
      <c r="FT39" s="47"/>
      <c r="FU39" s="48"/>
      <c r="FV39" s="48"/>
      <c r="FW39" s="48"/>
      <c r="FX39" s="48"/>
      <c r="FY39" s="48"/>
      <c r="FZ39" s="48"/>
      <c r="GA39" s="48"/>
      <c r="GB39" s="48"/>
      <c r="GC39" s="48"/>
      <c r="GD39" s="48"/>
      <c r="GE39" s="48"/>
      <c r="GF39" s="48"/>
      <c r="GG39" s="48"/>
      <c r="GH39" s="48"/>
      <c r="GI39" s="48"/>
      <c r="GJ39" s="48"/>
      <c r="GK39" s="48"/>
      <c r="GL39" s="48"/>
      <c r="GM39" s="45"/>
      <c r="GN39" s="46"/>
      <c r="GO39" s="46"/>
      <c r="GP39" s="47"/>
      <c r="GQ39" s="48"/>
      <c r="GR39" s="48"/>
      <c r="GS39" s="48"/>
      <c r="GT39" s="48"/>
      <c r="GU39" s="48"/>
      <c r="GV39" s="48"/>
      <c r="GW39" s="48"/>
      <c r="GX39" s="48"/>
      <c r="GY39" s="48"/>
      <c r="GZ39" s="48"/>
      <c r="HA39" s="48"/>
      <c r="HB39" s="48"/>
      <c r="HC39" s="48"/>
      <c r="HD39" s="48"/>
      <c r="HE39" s="48"/>
      <c r="HF39" s="48"/>
      <c r="HG39" s="48"/>
      <c r="HH39" s="48"/>
      <c r="HI39" s="45"/>
      <c r="HJ39" s="46"/>
      <c r="HK39" s="46"/>
      <c r="HL39" s="47"/>
      <c r="HM39" s="48"/>
      <c r="HN39" s="48"/>
      <c r="HO39" s="48"/>
      <c r="HP39" s="48"/>
      <c r="HQ39" s="48"/>
      <c r="HR39" s="48"/>
      <c r="HS39" s="48"/>
      <c r="HT39" s="48"/>
      <c r="HU39" s="48"/>
      <c r="HV39" s="48"/>
      <c r="HW39" s="48"/>
      <c r="HX39" s="48"/>
      <c r="HY39" s="48"/>
      <c r="HZ39" s="48"/>
      <c r="IA39" s="48"/>
      <c r="IB39" s="48"/>
      <c r="IC39" s="48"/>
      <c r="ID39" s="48"/>
      <c r="IE39" s="45"/>
      <c r="IF39" s="46"/>
      <c r="IG39" s="46"/>
      <c r="IH39" s="47"/>
      <c r="II39" s="48"/>
      <c r="IJ39" s="48"/>
      <c r="IK39" s="48"/>
      <c r="IL39" s="48"/>
      <c r="IM39" s="48"/>
      <c r="IN39" s="48"/>
      <c r="IO39" s="48"/>
      <c r="IP39" s="48"/>
      <c r="IQ39" s="48"/>
      <c r="IR39" s="48"/>
      <c r="IS39" s="48"/>
      <c r="IT39" s="48"/>
      <c r="IU39" s="48"/>
      <c r="IV39" s="48"/>
      <c r="IW39" s="48"/>
      <c r="IX39" s="48"/>
      <c r="IY39" s="48"/>
      <c r="IZ39" s="48"/>
      <c r="JA39" s="45"/>
      <c r="JB39" s="46"/>
      <c r="JC39" s="46"/>
      <c r="JD39" s="47"/>
      <c r="JE39" s="48"/>
      <c r="JF39" s="48"/>
      <c r="JG39" s="48"/>
      <c r="JH39" s="48"/>
      <c r="JI39" s="48"/>
      <c r="JJ39" s="48"/>
      <c r="JK39" s="48"/>
      <c r="JL39" s="48"/>
      <c r="JM39" s="48"/>
      <c r="JN39" s="48"/>
      <c r="JO39" s="48"/>
      <c r="JP39" s="48"/>
      <c r="JQ39" s="48"/>
      <c r="JR39" s="48"/>
      <c r="JS39" s="48"/>
      <c r="JT39" s="48"/>
      <c r="JU39" s="48"/>
      <c r="JV39" s="48"/>
      <c r="JW39" s="45"/>
      <c r="JX39" s="46"/>
      <c r="JY39" s="46"/>
      <c r="JZ39" s="47"/>
      <c r="KA39" s="48"/>
      <c r="KB39" s="48"/>
      <c r="KC39" s="48"/>
      <c r="KD39" s="48"/>
      <c r="KE39" s="48"/>
      <c r="KF39" s="48"/>
      <c r="KG39" s="48"/>
      <c r="KH39" s="48"/>
      <c r="KI39" s="48"/>
      <c r="KJ39" s="48"/>
      <c r="KK39" s="48"/>
      <c r="KL39" s="48"/>
      <c r="KM39" s="48"/>
      <c r="KN39" s="48"/>
      <c r="KO39" s="48"/>
      <c r="KP39" s="48"/>
      <c r="KQ39" s="48"/>
      <c r="KR39" s="48"/>
      <c r="KS39" s="45"/>
      <c r="KT39" s="46"/>
      <c r="KU39" s="46"/>
      <c r="KV39" s="47"/>
      <c r="KW39" s="48"/>
      <c r="KX39" s="48"/>
      <c r="KY39" s="48"/>
      <c r="KZ39" s="48"/>
      <c r="LA39" s="48"/>
      <c r="LB39" s="48"/>
      <c r="LC39" s="48"/>
      <c r="LD39" s="48"/>
      <c r="LE39" s="48"/>
      <c r="LF39" s="48"/>
      <c r="LG39" s="48"/>
      <c r="LH39" s="48"/>
      <c r="LI39" s="48"/>
      <c r="LJ39" s="48"/>
      <c r="LK39" s="48"/>
      <c r="LL39" s="48"/>
      <c r="LM39" s="48"/>
      <c r="LN39" s="48"/>
      <c r="LO39" s="45"/>
      <c r="LP39" s="46"/>
      <c r="LQ39" s="46"/>
      <c r="LR39" s="47"/>
      <c r="LS39" s="48"/>
      <c r="LT39" s="48"/>
      <c r="LU39" s="48"/>
      <c r="LV39" s="48"/>
      <c r="LW39" s="48"/>
      <c r="LX39" s="48"/>
      <c r="LY39" s="48"/>
      <c r="LZ39" s="48"/>
      <c r="MA39" s="48"/>
      <c r="MB39" s="48"/>
      <c r="MC39" s="48"/>
      <c r="MD39" s="48"/>
      <c r="ME39" s="48"/>
      <c r="MF39" s="48"/>
      <c r="MG39" s="48"/>
      <c r="MH39" s="48"/>
      <c r="MI39" s="48"/>
      <c r="MJ39" s="48"/>
      <c r="MK39" s="45"/>
      <c r="ML39" s="46"/>
      <c r="MM39" s="46"/>
      <c r="MN39" s="47"/>
      <c r="MO39" s="48"/>
      <c r="MP39" s="48"/>
      <c r="MQ39" s="48"/>
      <c r="MR39" s="48"/>
      <c r="MS39" s="48"/>
      <c r="MT39" s="48"/>
      <c r="MU39" s="48"/>
      <c r="MV39" s="48"/>
      <c r="MW39" s="48"/>
      <c r="MX39" s="48"/>
      <c r="MY39" s="48"/>
      <c r="MZ39" s="48"/>
      <c r="NA39" s="48"/>
      <c r="NB39" s="48"/>
      <c r="NC39" s="48"/>
      <c r="ND39" s="48"/>
      <c r="NE39" s="48"/>
      <c r="NF39" s="48"/>
      <c r="NG39" s="45"/>
      <c r="NH39" s="46"/>
      <c r="NI39" s="46"/>
      <c r="NJ39" s="47"/>
      <c r="NK39" s="48"/>
      <c r="NL39" s="48"/>
      <c r="NM39" s="48"/>
      <c r="NN39" s="48"/>
      <c r="NO39" s="48"/>
      <c r="NP39" s="48"/>
      <c r="NQ39" s="48"/>
      <c r="NR39" s="48"/>
      <c r="NS39" s="48"/>
      <c r="NT39" s="48"/>
      <c r="NU39" s="48"/>
      <c r="NV39" s="48"/>
      <c r="NW39" s="48"/>
      <c r="NX39" s="48"/>
      <c r="NY39" s="48"/>
      <c r="NZ39" s="48"/>
      <c r="OA39" s="48"/>
      <c r="OB39" s="48"/>
      <c r="OC39" s="45"/>
      <c r="OD39" s="46"/>
      <c r="OE39" s="46"/>
      <c r="OF39" s="47"/>
      <c r="OG39" s="48"/>
      <c r="OH39" s="48"/>
      <c r="OI39" s="48"/>
      <c r="OJ39" s="48"/>
      <c r="OK39" s="48"/>
      <c r="OL39" s="48"/>
      <c r="OM39" s="48"/>
      <c r="ON39" s="48"/>
      <c r="OO39" s="48"/>
      <c r="OP39" s="48"/>
      <c r="OQ39" s="48"/>
      <c r="OR39" s="48"/>
      <c r="OS39" s="48"/>
      <c r="OT39" s="48"/>
      <c r="OU39" s="48"/>
      <c r="OV39" s="48"/>
      <c r="OW39" s="48"/>
      <c r="OX39" s="48"/>
      <c r="OY39" s="45"/>
      <c r="OZ39" s="46"/>
      <c r="PA39" s="46"/>
      <c r="PB39" s="47"/>
      <c r="PC39" s="48"/>
      <c r="PD39" s="48"/>
      <c r="PE39" s="48"/>
      <c r="PF39" s="48"/>
      <c r="PG39" s="48"/>
      <c r="PH39" s="48"/>
      <c r="PI39" s="48"/>
      <c r="PJ39" s="48"/>
      <c r="PK39" s="48"/>
      <c r="PL39" s="48"/>
      <c r="PM39" s="48"/>
      <c r="PN39" s="48"/>
      <c r="PO39" s="48"/>
      <c r="PP39" s="48"/>
      <c r="PQ39" s="48"/>
      <c r="PR39" s="48"/>
      <c r="PS39" s="48"/>
      <c r="PT39" s="48"/>
      <c r="PU39" s="45"/>
      <c r="PV39" s="46"/>
      <c r="PW39" s="46"/>
      <c r="PX39" s="47"/>
      <c r="PY39" s="48"/>
      <c r="PZ39" s="48"/>
      <c r="QA39" s="48"/>
      <c r="QB39" s="48"/>
      <c r="QC39" s="48"/>
      <c r="QD39" s="48"/>
      <c r="QE39" s="48"/>
      <c r="QF39" s="48"/>
      <c r="QG39" s="48"/>
      <c r="QH39" s="48"/>
      <c r="QI39" s="48"/>
      <c r="QJ39" s="48"/>
      <c r="QK39" s="48"/>
      <c r="QL39" s="48"/>
      <c r="QM39" s="48"/>
      <c r="QN39" s="48"/>
      <c r="QO39" s="48"/>
      <c r="QP39" s="48"/>
      <c r="QQ39" s="45"/>
      <c r="QR39" s="46"/>
      <c r="QS39" s="46"/>
      <c r="QT39" s="47"/>
      <c r="QU39" s="48"/>
      <c r="QV39" s="48"/>
      <c r="QW39" s="48"/>
      <c r="QX39" s="48"/>
      <c r="QY39" s="48"/>
      <c r="QZ39" s="48"/>
      <c r="RA39" s="48"/>
      <c r="RB39" s="48"/>
      <c r="RC39" s="48"/>
      <c r="RD39" s="48"/>
      <c r="RE39" s="48"/>
      <c r="RF39" s="48"/>
      <c r="RG39" s="48"/>
      <c r="RH39" s="48"/>
      <c r="RI39" s="48"/>
      <c r="RJ39" s="48"/>
      <c r="RK39" s="48"/>
      <c r="RL39" s="48"/>
      <c r="RM39" s="45"/>
      <c r="RN39" s="46"/>
      <c r="RO39" s="46"/>
      <c r="RP39" s="47"/>
      <c r="RQ39" s="48"/>
      <c r="RR39" s="48"/>
      <c r="RS39" s="48"/>
      <c r="RT39" s="48"/>
      <c r="RU39" s="48"/>
      <c r="RV39" s="48"/>
      <c r="RW39" s="48"/>
      <c r="RX39" s="48"/>
      <c r="RY39" s="48"/>
      <c r="RZ39" s="48"/>
      <c r="SA39" s="48"/>
      <c r="SB39" s="48"/>
      <c r="SC39" s="48"/>
      <c r="SD39" s="48"/>
      <c r="SE39" s="48"/>
      <c r="SF39" s="48"/>
      <c r="SG39" s="48"/>
      <c r="SH39" s="48"/>
      <c r="SI39" s="45"/>
      <c r="SJ39" s="46"/>
      <c r="SK39" s="46"/>
      <c r="SL39" s="47"/>
      <c r="SM39" s="48"/>
      <c r="SN39" s="48"/>
      <c r="SO39" s="48"/>
      <c r="SP39" s="48"/>
      <c r="SQ39" s="48"/>
      <c r="SR39" s="48"/>
      <c r="SS39" s="48"/>
      <c r="ST39" s="48"/>
      <c r="SU39" s="48"/>
      <c r="SV39" s="48"/>
      <c r="SW39" s="48"/>
      <c r="SX39" s="48"/>
      <c r="SY39" s="48"/>
      <c r="SZ39" s="48"/>
      <c r="TA39" s="48"/>
      <c r="TB39" s="48"/>
      <c r="TC39" s="48"/>
      <c r="TD39" s="48"/>
      <c r="TE39" s="45"/>
      <c r="TF39" s="46"/>
      <c r="TG39" s="46"/>
      <c r="TH39" s="47"/>
      <c r="TI39" s="48"/>
      <c r="TJ39" s="48"/>
      <c r="TK39" s="48"/>
      <c r="TL39" s="48"/>
      <c r="TM39" s="48"/>
      <c r="TN39" s="48"/>
      <c r="TO39" s="48"/>
      <c r="TP39" s="48"/>
      <c r="TQ39" s="48"/>
      <c r="TR39" s="48"/>
      <c r="TS39" s="48"/>
      <c r="TT39" s="48"/>
      <c r="TU39" s="48"/>
      <c r="TV39" s="48"/>
      <c r="TW39" s="48"/>
      <c r="TX39" s="48"/>
      <c r="TY39" s="48"/>
      <c r="TZ39" s="48"/>
      <c r="UA39" s="45"/>
      <c r="UB39" s="46"/>
      <c r="UC39" s="46"/>
      <c r="UD39" s="47"/>
      <c r="UE39" s="48"/>
      <c r="UF39" s="48"/>
      <c r="UG39" s="48"/>
      <c r="UH39" s="48"/>
      <c r="UI39" s="48"/>
      <c r="UJ39" s="48"/>
      <c r="UK39" s="48"/>
      <c r="UL39" s="48"/>
      <c r="UM39" s="48"/>
      <c r="UN39" s="48"/>
      <c r="UO39" s="48"/>
      <c r="UP39" s="48"/>
      <c r="UQ39" s="48"/>
      <c r="UR39" s="48"/>
      <c r="US39" s="48"/>
      <c r="UT39" s="48"/>
      <c r="UU39" s="48"/>
      <c r="UV39" s="48"/>
      <c r="UW39" s="45"/>
      <c r="UX39" s="46"/>
      <c r="UY39" s="46"/>
      <c r="UZ39" s="47"/>
      <c r="VA39" s="48"/>
      <c r="VB39" s="48"/>
      <c r="VC39" s="48"/>
      <c r="VD39" s="48"/>
      <c r="VE39" s="48"/>
      <c r="VF39" s="48"/>
      <c r="VG39" s="48"/>
      <c r="VH39" s="48"/>
      <c r="VI39" s="48"/>
      <c r="VJ39" s="48"/>
      <c r="VK39" s="48"/>
      <c r="VL39" s="48"/>
      <c r="VM39" s="48"/>
      <c r="VN39" s="48"/>
      <c r="VO39" s="48"/>
      <c r="VP39" s="48"/>
      <c r="VQ39" s="48"/>
      <c r="VR39" s="48"/>
      <c r="VS39" s="45"/>
      <c r="VT39" s="46"/>
      <c r="VU39" s="46"/>
      <c r="VV39" s="47"/>
      <c r="VW39" s="48"/>
      <c r="VX39" s="48"/>
      <c r="VY39" s="48"/>
      <c r="VZ39" s="48"/>
      <c r="WA39" s="48"/>
      <c r="WB39" s="48"/>
      <c r="WC39" s="48"/>
      <c r="WD39" s="48"/>
      <c r="WE39" s="48"/>
      <c r="WF39" s="48"/>
      <c r="WG39" s="48"/>
      <c r="WH39" s="48"/>
      <c r="WI39" s="48"/>
      <c r="WJ39" s="48"/>
      <c r="WK39" s="48"/>
      <c r="WL39" s="48"/>
      <c r="WM39" s="48"/>
      <c r="WN39" s="48"/>
      <c r="WO39" s="45"/>
      <c r="WP39" s="46"/>
      <c r="WQ39" s="46"/>
      <c r="WR39" s="47"/>
      <c r="WS39" s="48"/>
      <c r="WT39" s="48"/>
      <c r="WU39" s="48"/>
      <c r="WV39" s="48"/>
      <c r="WW39" s="48"/>
      <c r="WX39" s="48"/>
      <c r="WY39" s="48"/>
      <c r="WZ39" s="48"/>
      <c r="XA39" s="48"/>
      <c r="XB39" s="48"/>
      <c r="XC39" s="48"/>
      <c r="XD39" s="48"/>
      <c r="XE39" s="48"/>
      <c r="XF39" s="48"/>
      <c r="XG39" s="48"/>
      <c r="XH39" s="48"/>
      <c r="XI39" s="48"/>
      <c r="XJ39" s="48"/>
      <c r="XK39" s="45"/>
      <c r="XL39" s="46"/>
      <c r="XM39" s="46"/>
      <c r="XN39" s="47"/>
      <c r="XO39" s="48"/>
      <c r="XP39" s="48"/>
      <c r="XQ39" s="48"/>
      <c r="XR39" s="48"/>
      <c r="XS39" s="48"/>
      <c r="XT39" s="48"/>
      <c r="XU39" s="48"/>
      <c r="XV39" s="48"/>
      <c r="XW39" s="48"/>
      <c r="XX39" s="48"/>
      <c r="XY39" s="48"/>
      <c r="XZ39" s="48"/>
      <c r="YA39" s="48"/>
      <c r="YB39" s="48"/>
      <c r="YC39" s="48"/>
      <c r="YD39" s="48"/>
      <c r="YE39" s="48"/>
      <c r="YF39" s="48"/>
      <c r="YG39" s="45"/>
      <c r="YH39" s="46"/>
      <c r="YI39" s="46"/>
      <c r="YJ39" s="47"/>
      <c r="YK39" s="48"/>
      <c r="YL39" s="48"/>
      <c r="YM39" s="48"/>
      <c r="YN39" s="48"/>
      <c r="YO39" s="48"/>
      <c r="YP39" s="48"/>
      <c r="YQ39" s="48"/>
      <c r="YR39" s="48"/>
      <c r="YS39" s="48"/>
      <c r="YT39" s="48"/>
      <c r="YU39" s="48"/>
      <c r="YV39" s="48"/>
      <c r="YW39" s="48"/>
      <c r="YX39" s="48"/>
      <c r="YY39" s="48"/>
      <c r="YZ39" s="48"/>
      <c r="ZA39" s="48"/>
      <c r="ZB39" s="48"/>
      <c r="ZC39" s="45"/>
      <c r="ZD39" s="46"/>
      <c r="ZE39" s="46"/>
      <c r="ZF39" s="47"/>
      <c r="ZG39" s="48"/>
      <c r="ZH39" s="48"/>
      <c r="ZI39" s="48"/>
      <c r="ZJ39" s="48"/>
      <c r="ZK39" s="48"/>
      <c r="ZL39" s="48"/>
      <c r="ZM39" s="48"/>
      <c r="ZN39" s="48"/>
      <c r="ZO39" s="48"/>
      <c r="ZP39" s="48"/>
      <c r="ZQ39" s="48"/>
      <c r="ZR39" s="48"/>
      <c r="ZS39" s="48"/>
      <c r="ZT39" s="48"/>
      <c r="ZU39" s="48"/>
      <c r="ZV39" s="48"/>
      <c r="ZW39" s="48"/>
      <c r="ZX39" s="48"/>
      <c r="ZY39" s="45"/>
      <c r="ZZ39" s="46"/>
      <c r="AAA39" s="46"/>
      <c r="AAB39" s="47"/>
      <c r="AAC39" s="48"/>
      <c r="AAD39" s="48"/>
      <c r="AAE39" s="48"/>
      <c r="AAF39" s="48"/>
      <c r="AAG39" s="48"/>
      <c r="AAH39" s="48"/>
      <c r="AAI39" s="48"/>
      <c r="AAJ39" s="48"/>
      <c r="AAK39" s="48"/>
      <c r="AAL39" s="48"/>
      <c r="AAM39" s="48"/>
      <c r="AAN39" s="48"/>
      <c r="AAO39" s="48"/>
      <c r="AAP39" s="48"/>
      <c r="AAQ39" s="48"/>
      <c r="AAR39" s="48"/>
      <c r="AAS39" s="48"/>
      <c r="AAT39" s="48"/>
      <c r="AAU39" s="45"/>
      <c r="AAV39" s="46"/>
      <c r="AAW39" s="46"/>
      <c r="AAX39" s="47"/>
      <c r="AAY39" s="48"/>
      <c r="AAZ39" s="48"/>
      <c r="ABA39" s="48"/>
      <c r="ABB39" s="48"/>
      <c r="ABC39" s="48"/>
      <c r="ABD39" s="48"/>
      <c r="ABE39" s="48"/>
      <c r="ABF39" s="48"/>
      <c r="ABG39" s="48"/>
      <c r="ABH39" s="48"/>
      <c r="ABI39" s="48"/>
      <c r="ABJ39" s="48"/>
      <c r="ABK39" s="48"/>
      <c r="ABL39" s="48"/>
      <c r="ABM39" s="48"/>
      <c r="ABN39" s="48"/>
      <c r="ABO39" s="48"/>
      <c r="ABP39" s="48"/>
      <c r="ABQ39" s="45"/>
      <c r="ABR39" s="46"/>
      <c r="ABS39" s="46"/>
      <c r="ABT39" s="47"/>
      <c r="ABU39" s="48"/>
      <c r="ABV39" s="48"/>
      <c r="ABW39" s="48"/>
      <c r="ABX39" s="48"/>
      <c r="ABY39" s="48"/>
      <c r="ABZ39" s="48"/>
      <c r="ACA39" s="48"/>
      <c r="ACB39" s="48"/>
      <c r="ACC39" s="48"/>
      <c r="ACD39" s="48"/>
      <c r="ACE39" s="48"/>
      <c r="ACF39" s="48"/>
      <c r="ACG39" s="48"/>
      <c r="ACH39" s="48"/>
      <c r="ACI39" s="48"/>
      <c r="ACJ39" s="48"/>
      <c r="ACK39" s="48"/>
      <c r="ACL39" s="48"/>
      <c r="ACM39" s="45"/>
      <c r="ACN39" s="46"/>
      <c r="ACO39" s="46"/>
      <c r="ACP39" s="47"/>
      <c r="ACQ39" s="48"/>
      <c r="ACR39" s="48"/>
      <c r="ACS39" s="48"/>
      <c r="ACT39" s="48"/>
      <c r="ACU39" s="48"/>
      <c r="ACV39" s="48"/>
      <c r="ACW39" s="48"/>
      <c r="ACX39" s="48"/>
      <c r="ACY39" s="48"/>
      <c r="ACZ39" s="48"/>
      <c r="ADA39" s="48"/>
      <c r="ADB39" s="48"/>
      <c r="ADC39" s="48"/>
      <c r="ADD39" s="48"/>
      <c r="ADE39" s="48"/>
      <c r="ADF39" s="48"/>
      <c r="ADG39" s="48"/>
      <c r="ADH39" s="48"/>
      <c r="ADI39" s="45"/>
      <c r="ADJ39" s="46"/>
      <c r="ADK39" s="46"/>
      <c r="ADL39" s="47"/>
      <c r="ADM39" s="48"/>
      <c r="ADN39" s="48"/>
      <c r="ADO39" s="48"/>
      <c r="ADP39" s="48"/>
      <c r="ADQ39" s="48"/>
      <c r="ADR39" s="48"/>
      <c r="ADS39" s="48"/>
      <c r="ADT39" s="48"/>
      <c r="ADU39" s="48"/>
      <c r="ADV39" s="48"/>
      <c r="ADW39" s="48"/>
      <c r="ADX39" s="48"/>
      <c r="ADY39" s="48"/>
      <c r="ADZ39" s="48"/>
      <c r="AEA39" s="48"/>
      <c r="AEB39" s="48"/>
      <c r="AEC39" s="48"/>
      <c r="AED39" s="48"/>
      <c r="AEE39" s="45"/>
      <c r="AEF39" s="46"/>
      <c r="AEG39" s="46"/>
      <c r="AEH39" s="47"/>
      <c r="AEI39" s="48"/>
      <c r="AEJ39" s="48"/>
      <c r="AEK39" s="48"/>
      <c r="AEL39" s="48"/>
      <c r="AEM39" s="48"/>
      <c r="AEN39" s="48"/>
      <c r="AEO39" s="48"/>
      <c r="AEP39" s="48"/>
      <c r="AEQ39" s="48"/>
      <c r="AER39" s="48"/>
      <c r="AES39" s="48"/>
      <c r="AET39" s="48"/>
      <c r="AEU39" s="48"/>
      <c r="AEV39" s="48"/>
      <c r="AEW39" s="48"/>
      <c r="AEX39" s="48"/>
      <c r="AEY39" s="48"/>
      <c r="AEZ39" s="48"/>
      <c r="AFA39" s="45"/>
      <c r="AFB39" s="46"/>
      <c r="AFC39" s="46"/>
      <c r="AFD39" s="47"/>
      <c r="AFE39" s="48"/>
      <c r="AFF39" s="48"/>
      <c r="AFG39" s="48"/>
      <c r="AFH39" s="48"/>
      <c r="AFI39" s="48"/>
      <c r="AFJ39" s="48"/>
      <c r="AFK39" s="48"/>
      <c r="AFL39" s="48"/>
      <c r="AFM39" s="48"/>
      <c r="AFN39" s="48"/>
      <c r="AFO39" s="48"/>
      <c r="AFP39" s="48"/>
      <c r="AFQ39" s="48"/>
      <c r="AFR39" s="48"/>
      <c r="AFS39" s="48"/>
      <c r="AFT39" s="48"/>
      <c r="AFU39" s="48"/>
      <c r="AFV39" s="48"/>
      <c r="AFW39" s="45"/>
      <c r="AFX39" s="46"/>
      <c r="AFY39" s="46"/>
      <c r="AFZ39" s="47"/>
      <c r="AGA39" s="48"/>
      <c r="AGB39" s="48"/>
      <c r="AGC39" s="48"/>
      <c r="AGD39" s="48"/>
      <c r="AGE39" s="48"/>
      <c r="AGF39" s="48"/>
      <c r="AGG39" s="48"/>
      <c r="AGH39" s="48"/>
      <c r="AGI39" s="48"/>
      <c r="AGJ39" s="48"/>
      <c r="AGK39" s="48"/>
      <c r="AGL39" s="48"/>
      <c r="AGM39" s="48"/>
      <c r="AGN39" s="48"/>
      <c r="AGO39" s="48"/>
      <c r="AGP39" s="48"/>
      <c r="AGQ39" s="48"/>
      <c r="AGR39" s="48"/>
      <c r="AGS39" s="45"/>
      <c r="AGT39" s="46"/>
      <c r="AGU39" s="46"/>
      <c r="AGV39" s="47"/>
      <c r="AGW39" s="48"/>
      <c r="AGX39" s="48"/>
      <c r="AGY39" s="48"/>
      <c r="AGZ39" s="48"/>
      <c r="AHA39" s="48"/>
      <c r="AHB39" s="48"/>
      <c r="AHC39" s="48"/>
      <c r="AHD39" s="48"/>
      <c r="AHE39" s="48"/>
      <c r="AHF39" s="48"/>
      <c r="AHG39" s="48"/>
      <c r="AHH39" s="48"/>
      <c r="AHI39" s="48"/>
      <c r="AHJ39" s="48"/>
      <c r="AHK39" s="48"/>
      <c r="AHL39" s="48"/>
      <c r="AHM39" s="48"/>
      <c r="AHN39" s="48"/>
      <c r="AHO39" s="45"/>
      <c r="AHP39" s="46"/>
      <c r="AHQ39" s="46"/>
      <c r="AHR39" s="47"/>
      <c r="AHS39" s="48"/>
      <c r="AHT39" s="48"/>
      <c r="AHU39" s="48"/>
      <c r="AHV39" s="48"/>
      <c r="AHW39" s="48"/>
      <c r="AHX39" s="48"/>
      <c r="AHY39" s="48"/>
      <c r="AHZ39" s="48"/>
      <c r="AIA39" s="48"/>
      <c r="AIB39" s="48"/>
      <c r="AIC39" s="48"/>
      <c r="AID39" s="48"/>
      <c r="AIE39" s="48"/>
      <c r="AIF39" s="48"/>
      <c r="AIG39" s="48"/>
      <c r="AIH39" s="48"/>
      <c r="AII39" s="48"/>
      <c r="AIJ39" s="48"/>
      <c r="AIK39" s="45"/>
      <c r="AIL39" s="46"/>
      <c r="AIM39" s="46"/>
      <c r="AIN39" s="47"/>
      <c r="AIO39" s="48"/>
      <c r="AIP39" s="48"/>
      <c r="AIQ39" s="48"/>
      <c r="AIR39" s="48"/>
      <c r="AIS39" s="48"/>
      <c r="AIT39" s="48"/>
      <c r="AIU39" s="48"/>
      <c r="AIV39" s="48"/>
      <c r="AIW39" s="48"/>
      <c r="AIX39" s="48"/>
      <c r="AIY39" s="48"/>
      <c r="AIZ39" s="48"/>
      <c r="AJA39" s="48"/>
      <c r="AJB39" s="48"/>
      <c r="AJC39" s="48"/>
      <c r="AJD39" s="48"/>
      <c r="AJE39" s="48"/>
      <c r="AJF39" s="48"/>
      <c r="AJG39" s="45"/>
      <c r="AJH39" s="46"/>
      <c r="AJI39" s="46"/>
      <c r="AJJ39" s="47"/>
      <c r="AJK39" s="48"/>
      <c r="AJL39" s="48"/>
      <c r="AJM39" s="48"/>
      <c r="AJN39" s="48"/>
      <c r="AJO39" s="48"/>
      <c r="AJP39" s="48"/>
      <c r="AJQ39" s="48"/>
      <c r="AJR39" s="48"/>
      <c r="AJS39" s="48"/>
      <c r="AJT39" s="48"/>
      <c r="AJU39" s="48"/>
      <c r="AJV39" s="48"/>
      <c r="AJW39" s="48"/>
      <c r="AJX39" s="48"/>
      <c r="AJY39" s="48"/>
      <c r="AJZ39" s="48"/>
      <c r="AKA39" s="48"/>
      <c r="AKB39" s="48"/>
      <c r="AKC39" s="45"/>
      <c r="AKD39" s="46"/>
      <c r="AKE39" s="46"/>
      <c r="AKF39" s="47"/>
      <c r="AKG39" s="48"/>
      <c r="AKH39" s="48"/>
      <c r="AKI39" s="48"/>
      <c r="AKJ39" s="48"/>
      <c r="AKK39" s="48"/>
      <c r="AKL39" s="48"/>
      <c r="AKM39" s="48"/>
      <c r="AKN39" s="48"/>
      <c r="AKO39" s="48"/>
      <c r="AKP39" s="48"/>
      <c r="AKQ39" s="48"/>
      <c r="AKR39" s="48"/>
      <c r="AKS39" s="48"/>
      <c r="AKT39" s="48"/>
      <c r="AKU39" s="48"/>
      <c r="AKV39" s="48"/>
      <c r="AKW39" s="48"/>
      <c r="AKX39" s="48"/>
      <c r="AKY39" s="45"/>
      <c r="AKZ39" s="46"/>
      <c r="ALA39" s="46"/>
      <c r="ALB39" s="47"/>
      <c r="ALC39" s="48"/>
      <c r="ALD39" s="48"/>
      <c r="ALE39" s="48"/>
      <c r="ALF39" s="48"/>
      <c r="ALG39" s="48"/>
      <c r="ALH39" s="48"/>
      <c r="ALI39" s="48"/>
      <c r="ALJ39" s="48"/>
      <c r="ALK39" s="48"/>
      <c r="ALL39" s="48"/>
      <c r="ALM39" s="48"/>
      <c r="ALN39" s="48"/>
      <c r="ALO39" s="48"/>
      <c r="ALP39" s="48"/>
      <c r="ALQ39" s="48"/>
      <c r="ALR39" s="48"/>
      <c r="ALS39" s="48"/>
      <c r="ALT39" s="48"/>
      <c r="ALU39" s="45"/>
      <c r="ALV39" s="46"/>
      <c r="ALW39" s="46"/>
      <c r="ALX39" s="47"/>
      <c r="ALY39" s="48"/>
      <c r="ALZ39" s="48"/>
      <c r="AMA39" s="48"/>
      <c r="AMB39" s="48"/>
      <c r="AMC39" s="48"/>
      <c r="AMD39" s="48"/>
      <c r="AME39" s="48"/>
      <c r="AMF39" s="48"/>
      <c r="AMG39" s="48"/>
      <c r="AMH39" s="48"/>
      <c r="AMI39" s="48"/>
      <c r="AMJ39" s="48"/>
      <c r="AMK39" s="48"/>
      <c r="AML39" s="48"/>
      <c r="AMM39" s="48"/>
      <c r="AMN39" s="48"/>
      <c r="AMO39" s="48"/>
      <c r="AMP39" s="48"/>
      <c r="AMQ39" s="45"/>
      <c r="AMR39" s="46"/>
      <c r="AMS39" s="46"/>
      <c r="AMT39" s="47"/>
      <c r="AMU39" s="48"/>
      <c r="AMV39" s="48"/>
      <c r="AMW39" s="48"/>
      <c r="AMX39" s="48"/>
      <c r="AMY39" s="48"/>
      <c r="AMZ39" s="48"/>
      <c r="ANA39" s="48"/>
      <c r="ANB39" s="48"/>
      <c r="ANC39" s="48"/>
      <c r="AND39" s="48"/>
      <c r="ANE39" s="48"/>
      <c r="ANF39" s="48"/>
      <c r="ANG39" s="48"/>
      <c r="ANH39" s="48"/>
      <c r="ANI39" s="48"/>
      <c r="ANJ39" s="48"/>
      <c r="ANK39" s="48"/>
      <c r="ANL39" s="48"/>
      <c r="ANM39" s="45"/>
      <c r="ANN39" s="46"/>
      <c r="ANO39" s="46"/>
      <c r="ANP39" s="47"/>
      <c r="ANQ39" s="48"/>
      <c r="ANR39" s="48"/>
      <c r="ANS39" s="48"/>
      <c r="ANT39" s="48"/>
      <c r="ANU39" s="48"/>
      <c r="ANV39" s="48"/>
      <c r="ANW39" s="48"/>
      <c r="ANX39" s="48"/>
      <c r="ANY39" s="48"/>
      <c r="ANZ39" s="48"/>
      <c r="AOA39" s="48"/>
      <c r="AOB39" s="48"/>
      <c r="AOC39" s="48"/>
      <c r="AOD39" s="48"/>
      <c r="AOE39" s="48"/>
      <c r="AOF39" s="48"/>
      <c r="AOG39" s="48"/>
      <c r="AOH39" s="48"/>
      <c r="AOI39" s="45"/>
      <c r="AOJ39" s="46"/>
      <c r="AOK39" s="46"/>
      <c r="AOL39" s="47"/>
      <c r="AOM39" s="48"/>
      <c r="AON39" s="48"/>
      <c r="AOO39" s="48"/>
      <c r="AOP39" s="48"/>
      <c r="AOQ39" s="48"/>
      <c r="AOR39" s="48"/>
      <c r="AOS39" s="48"/>
      <c r="AOT39" s="48"/>
      <c r="AOU39" s="48"/>
      <c r="AOV39" s="48"/>
      <c r="AOW39" s="48"/>
      <c r="AOX39" s="48"/>
      <c r="AOY39" s="48"/>
      <c r="AOZ39" s="48"/>
      <c r="APA39" s="48"/>
      <c r="APB39" s="48"/>
      <c r="APC39" s="48"/>
      <c r="APD39" s="48"/>
      <c r="APE39" s="45"/>
      <c r="APF39" s="46"/>
      <c r="APG39" s="46"/>
      <c r="APH39" s="47"/>
      <c r="API39" s="48"/>
      <c r="APJ39" s="48"/>
      <c r="APK39" s="48"/>
      <c r="APL39" s="48"/>
      <c r="APM39" s="48"/>
      <c r="APN39" s="48"/>
      <c r="APO39" s="48"/>
      <c r="APP39" s="48"/>
      <c r="APQ39" s="48"/>
      <c r="APR39" s="48"/>
      <c r="APS39" s="48"/>
      <c r="APT39" s="48"/>
      <c r="APU39" s="48"/>
      <c r="APV39" s="48"/>
      <c r="APW39" s="48"/>
      <c r="APX39" s="48"/>
      <c r="APY39" s="48"/>
      <c r="APZ39" s="48"/>
      <c r="AQA39" s="45"/>
      <c r="AQB39" s="46"/>
      <c r="AQC39" s="46"/>
      <c r="AQD39" s="47"/>
      <c r="AQE39" s="48"/>
      <c r="AQF39" s="48"/>
      <c r="AQG39" s="48"/>
      <c r="AQH39" s="48"/>
      <c r="AQI39" s="48"/>
      <c r="AQJ39" s="48"/>
      <c r="AQK39" s="48"/>
      <c r="AQL39" s="48"/>
      <c r="AQM39" s="48"/>
      <c r="AQN39" s="48"/>
      <c r="AQO39" s="48"/>
      <c r="AQP39" s="48"/>
      <c r="AQQ39" s="48"/>
      <c r="AQR39" s="48"/>
      <c r="AQS39" s="48"/>
      <c r="AQT39" s="48"/>
      <c r="AQU39" s="48"/>
      <c r="AQV39" s="48"/>
      <c r="AQW39" s="45"/>
      <c r="AQX39" s="46"/>
      <c r="AQY39" s="46"/>
      <c r="AQZ39" s="47"/>
      <c r="ARA39" s="48"/>
      <c r="ARB39" s="48"/>
      <c r="ARC39" s="48"/>
      <c r="ARD39" s="48"/>
      <c r="ARE39" s="48"/>
      <c r="ARF39" s="48"/>
      <c r="ARG39" s="48"/>
      <c r="ARH39" s="48"/>
      <c r="ARI39" s="48"/>
      <c r="ARJ39" s="48"/>
      <c r="ARK39" s="48"/>
      <c r="ARL39" s="48"/>
      <c r="ARM39" s="48"/>
      <c r="ARN39" s="48"/>
      <c r="ARO39" s="48"/>
      <c r="ARP39" s="48"/>
      <c r="ARQ39" s="48"/>
      <c r="ARR39" s="48"/>
      <c r="ARS39" s="45"/>
      <c r="ART39" s="46"/>
      <c r="ARU39" s="46"/>
      <c r="ARV39" s="47"/>
      <c r="ARW39" s="48"/>
      <c r="ARX39" s="48"/>
      <c r="ARY39" s="48"/>
      <c r="ARZ39" s="48"/>
      <c r="ASA39" s="48"/>
      <c r="ASB39" s="48"/>
      <c r="ASC39" s="48"/>
      <c r="ASD39" s="48"/>
      <c r="ASE39" s="48"/>
      <c r="ASF39" s="48"/>
      <c r="ASG39" s="48"/>
      <c r="ASH39" s="48"/>
      <c r="ASI39" s="48"/>
      <c r="ASJ39" s="48"/>
      <c r="ASK39" s="48"/>
      <c r="ASL39" s="48"/>
      <c r="ASM39" s="48"/>
      <c r="ASN39" s="48"/>
      <c r="ASO39" s="45"/>
      <c r="ASP39" s="46"/>
      <c r="ASQ39" s="46"/>
      <c r="ASR39" s="47"/>
      <c r="ASS39" s="48"/>
      <c r="AST39" s="48"/>
      <c r="ASU39" s="48"/>
      <c r="ASV39" s="48"/>
      <c r="ASW39" s="48"/>
      <c r="ASX39" s="48"/>
      <c r="ASY39" s="48"/>
      <c r="ASZ39" s="48"/>
      <c r="ATA39" s="48"/>
      <c r="ATB39" s="48"/>
      <c r="ATC39" s="48"/>
      <c r="ATD39" s="48"/>
      <c r="ATE39" s="48"/>
      <c r="ATF39" s="48"/>
      <c r="ATG39" s="48"/>
      <c r="ATH39" s="48"/>
      <c r="ATI39" s="48"/>
      <c r="ATJ39" s="48"/>
      <c r="ATK39" s="45"/>
      <c r="ATL39" s="46"/>
      <c r="ATM39" s="46"/>
      <c r="ATN39" s="47"/>
      <c r="ATO39" s="48"/>
      <c r="ATP39" s="48"/>
      <c r="ATQ39" s="48"/>
      <c r="ATR39" s="48"/>
      <c r="ATS39" s="48"/>
      <c r="ATT39" s="48"/>
      <c r="ATU39" s="48"/>
      <c r="ATV39" s="48"/>
      <c r="ATW39" s="48"/>
      <c r="ATX39" s="48"/>
      <c r="ATY39" s="48"/>
      <c r="ATZ39" s="48"/>
      <c r="AUA39" s="48"/>
      <c r="AUB39" s="48"/>
      <c r="AUC39" s="48"/>
      <c r="AUD39" s="48"/>
      <c r="AUE39" s="48"/>
      <c r="AUF39" s="48"/>
      <c r="AUG39" s="45"/>
      <c r="AUH39" s="46"/>
      <c r="AUI39" s="46"/>
      <c r="AUJ39" s="47"/>
      <c r="AUK39" s="48"/>
      <c r="AUL39" s="48"/>
      <c r="AUM39" s="48"/>
      <c r="AUN39" s="48"/>
      <c r="AUO39" s="48"/>
      <c r="AUP39" s="48"/>
      <c r="AUQ39" s="48"/>
      <c r="AUR39" s="48"/>
      <c r="AUS39" s="48"/>
      <c r="AUT39" s="48"/>
      <c r="AUU39" s="48"/>
      <c r="AUV39" s="48"/>
      <c r="AUW39" s="48"/>
      <c r="AUX39" s="48"/>
      <c r="AUY39" s="48"/>
      <c r="AUZ39" s="48"/>
      <c r="AVA39" s="48"/>
      <c r="AVB39" s="48"/>
      <c r="AVC39" s="45"/>
      <c r="AVD39" s="46"/>
      <c r="AVE39" s="46"/>
      <c r="AVF39" s="47"/>
      <c r="AVG39" s="48"/>
      <c r="AVH39" s="48"/>
      <c r="AVI39" s="48"/>
      <c r="AVJ39" s="48"/>
      <c r="AVK39" s="48"/>
      <c r="AVL39" s="48"/>
      <c r="AVM39" s="48"/>
      <c r="AVN39" s="48"/>
      <c r="AVO39" s="48"/>
      <c r="AVP39" s="48"/>
      <c r="AVQ39" s="48"/>
      <c r="AVR39" s="48"/>
      <c r="AVS39" s="48"/>
      <c r="AVT39" s="48"/>
      <c r="AVU39" s="48"/>
      <c r="AVV39" s="48"/>
      <c r="AVW39" s="48"/>
      <c r="AVX39" s="48"/>
      <c r="AVY39" s="45"/>
      <c r="AVZ39" s="46"/>
      <c r="AWA39" s="46"/>
      <c r="AWB39" s="47"/>
      <c r="AWC39" s="48"/>
      <c r="AWD39" s="48"/>
      <c r="AWE39" s="48"/>
      <c r="AWF39" s="48"/>
      <c r="AWG39" s="48"/>
      <c r="AWH39" s="48"/>
      <c r="AWI39" s="48"/>
      <c r="AWJ39" s="48"/>
      <c r="AWK39" s="48"/>
      <c r="AWL39" s="48"/>
      <c r="AWM39" s="48"/>
      <c r="AWN39" s="48"/>
      <c r="AWO39" s="48"/>
      <c r="AWP39" s="48"/>
      <c r="AWQ39" s="48"/>
      <c r="AWR39" s="48"/>
      <c r="AWS39" s="48"/>
      <c r="AWT39" s="48"/>
      <c r="AWU39" s="45"/>
      <c r="AWV39" s="46"/>
      <c r="AWW39" s="46"/>
      <c r="AWX39" s="47"/>
      <c r="AWY39" s="48"/>
      <c r="AWZ39" s="48"/>
      <c r="AXA39" s="48"/>
      <c r="AXB39" s="48"/>
      <c r="AXC39" s="48"/>
      <c r="AXD39" s="48"/>
      <c r="AXE39" s="48"/>
      <c r="AXF39" s="48"/>
      <c r="AXG39" s="48"/>
      <c r="AXH39" s="48"/>
      <c r="AXI39" s="48"/>
      <c r="AXJ39" s="48"/>
      <c r="AXK39" s="48"/>
      <c r="AXL39" s="48"/>
      <c r="AXM39" s="48"/>
      <c r="AXN39" s="48"/>
      <c r="AXO39" s="48"/>
      <c r="AXP39" s="48"/>
      <c r="AXQ39" s="45"/>
      <c r="AXR39" s="46"/>
      <c r="AXS39" s="46"/>
      <c r="AXT39" s="47"/>
      <c r="AXU39" s="48"/>
      <c r="AXV39" s="48"/>
      <c r="AXW39" s="48"/>
      <c r="AXX39" s="48"/>
      <c r="AXY39" s="48"/>
      <c r="AXZ39" s="48"/>
      <c r="AYA39" s="48"/>
      <c r="AYB39" s="48"/>
      <c r="AYC39" s="48"/>
      <c r="AYD39" s="48"/>
      <c r="AYE39" s="48"/>
      <c r="AYF39" s="48"/>
      <c r="AYG39" s="48"/>
      <c r="AYH39" s="48"/>
      <c r="AYI39" s="48"/>
      <c r="AYJ39" s="48"/>
      <c r="AYK39" s="48"/>
      <c r="AYL39" s="48"/>
      <c r="AYM39" s="45"/>
      <c r="AYN39" s="46"/>
      <c r="AYO39" s="46"/>
      <c r="AYP39" s="47"/>
      <c r="AYQ39" s="48"/>
      <c r="AYR39" s="48"/>
      <c r="AYS39" s="48"/>
      <c r="AYT39" s="48"/>
      <c r="AYU39" s="48"/>
      <c r="AYV39" s="48"/>
      <c r="AYW39" s="48"/>
      <c r="AYX39" s="48"/>
      <c r="AYY39" s="48"/>
      <c r="AYZ39" s="48"/>
      <c r="AZA39" s="48"/>
      <c r="AZB39" s="48"/>
      <c r="AZC39" s="48"/>
      <c r="AZD39" s="48"/>
      <c r="AZE39" s="48"/>
      <c r="AZF39" s="48"/>
      <c r="AZG39" s="48"/>
      <c r="AZH39" s="48"/>
      <c r="AZI39" s="45"/>
      <c r="AZJ39" s="46"/>
      <c r="AZK39" s="46"/>
      <c r="AZL39" s="47"/>
      <c r="AZM39" s="48"/>
      <c r="AZN39" s="48"/>
      <c r="AZO39" s="48"/>
      <c r="AZP39" s="48"/>
      <c r="AZQ39" s="48"/>
      <c r="AZR39" s="48"/>
      <c r="AZS39" s="48"/>
      <c r="AZT39" s="48"/>
      <c r="AZU39" s="48"/>
      <c r="AZV39" s="48"/>
      <c r="AZW39" s="48"/>
      <c r="AZX39" s="48"/>
      <c r="AZY39" s="48"/>
      <c r="AZZ39" s="48"/>
      <c r="BAA39" s="48"/>
      <c r="BAB39" s="48"/>
      <c r="BAC39" s="48"/>
      <c r="BAD39" s="48"/>
      <c r="BAE39" s="45"/>
      <c r="BAF39" s="46"/>
      <c r="BAG39" s="46"/>
      <c r="BAH39" s="47"/>
      <c r="BAI39" s="48"/>
      <c r="BAJ39" s="48"/>
      <c r="BAK39" s="48"/>
      <c r="BAL39" s="48"/>
      <c r="BAM39" s="48"/>
      <c r="BAN39" s="48"/>
      <c r="BAO39" s="48"/>
      <c r="BAP39" s="48"/>
      <c r="BAQ39" s="48"/>
      <c r="BAR39" s="48"/>
      <c r="BAS39" s="48"/>
      <c r="BAT39" s="48"/>
      <c r="BAU39" s="48"/>
      <c r="BAV39" s="48"/>
      <c r="BAW39" s="48"/>
      <c r="BAX39" s="48"/>
      <c r="BAY39" s="48"/>
      <c r="BAZ39" s="48"/>
      <c r="BBA39" s="45"/>
      <c r="BBB39" s="46"/>
      <c r="BBC39" s="46"/>
      <c r="BBD39" s="47"/>
      <c r="BBE39" s="48"/>
      <c r="BBF39" s="48"/>
      <c r="BBG39" s="48"/>
      <c r="BBH39" s="48"/>
      <c r="BBI39" s="48"/>
      <c r="BBJ39" s="48"/>
      <c r="BBK39" s="48"/>
      <c r="BBL39" s="48"/>
      <c r="BBM39" s="48"/>
      <c r="BBN39" s="48"/>
      <c r="BBO39" s="48"/>
      <c r="BBP39" s="48"/>
      <c r="BBQ39" s="48"/>
      <c r="BBR39" s="48"/>
      <c r="BBS39" s="48"/>
      <c r="BBT39" s="48"/>
      <c r="BBU39" s="48"/>
      <c r="BBV39" s="48"/>
      <c r="BBW39" s="45"/>
      <c r="BBX39" s="46"/>
      <c r="BBY39" s="46"/>
      <c r="BBZ39" s="47"/>
      <c r="BCA39" s="48"/>
      <c r="BCB39" s="48"/>
      <c r="BCC39" s="48"/>
      <c r="BCD39" s="48"/>
      <c r="BCE39" s="48"/>
      <c r="BCF39" s="48"/>
      <c r="BCG39" s="48"/>
      <c r="BCH39" s="48"/>
      <c r="BCI39" s="48"/>
      <c r="BCJ39" s="48"/>
      <c r="BCK39" s="48"/>
      <c r="BCL39" s="48"/>
      <c r="BCM39" s="48"/>
      <c r="BCN39" s="48"/>
      <c r="BCO39" s="48"/>
      <c r="BCP39" s="48"/>
      <c r="BCQ39" s="48"/>
      <c r="BCR39" s="48"/>
      <c r="BCS39" s="45"/>
      <c r="BCT39" s="46"/>
      <c r="BCU39" s="46"/>
      <c r="BCV39" s="47"/>
      <c r="BCW39" s="48"/>
      <c r="BCX39" s="48"/>
      <c r="BCY39" s="48"/>
      <c r="BCZ39" s="48"/>
      <c r="BDA39" s="48"/>
      <c r="BDB39" s="48"/>
      <c r="BDC39" s="48"/>
      <c r="BDD39" s="48"/>
      <c r="BDE39" s="48"/>
      <c r="BDF39" s="48"/>
      <c r="BDG39" s="48"/>
      <c r="BDH39" s="48"/>
      <c r="BDI39" s="48"/>
      <c r="BDJ39" s="48"/>
      <c r="BDK39" s="48"/>
      <c r="BDL39" s="48"/>
      <c r="BDM39" s="48"/>
      <c r="BDN39" s="48"/>
      <c r="BDO39" s="45"/>
      <c r="BDP39" s="46"/>
      <c r="BDQ39" s="46"/>
      <c r="BDR39" s="47"/>
      <c r="BDS39" s="48"/>
      <c r="BDT39" s="48"/>
      <c r="BDU39" s="48"/>
      <c r="BDV39" s="48"/>
      <c r="BDW39" s="48"/>
      <c r="BDX39" s="48"/>
      <c r="BDY39" s="48"/>
      <c r="BDZ39" s="48"/>
      <c r="BEA39" s="48"/>
      <c r="BEB39" s="48"/>
      <c r="BEC39" s="48"/>
      <c r="BED39" s="48"/>
      <c r="BEE39" s="48"/>
      <c r="BEF39" s="48"/>
      <c r="BEG39" s="48"/>
      <c r="BEH39" s="48"/>
      <c r="BEI39" s="48"/>
      <c r="BEJ39" s="48"/>
      <c r="BEK39" s="45"/>
      <c r="BEL39" s="46"/>
      <c r="BEM39" s="46"/>
      <c r="BEN39" s="47"/>
      <c r="BEO39" s="48"/>
      <c r="BEP39" s="48"/>
      <c r="BEQ39" s="48"/>
      <c r="BER39" s="48"/>
      <c r="BES39" s="48"/>
      <c r="BET39" s="48"/>
      <c r="BEU39" s="48"/>
      <c r="BEV39" s="48"/>
      <c r="BEW39" s="48"/>
      <c r="BEX39" s="48"/>
      <c r="BEY39" s="48"/>
      <c r="BEZ39" s="48"/>
      <c r="BFA39" s="48"/>
      <c r="BFB39" s="48"/>
      <c r="BFC39" s="48"/>
      <c r="BFD39" s="48"/>
      <c r="BFE39" s="48"/>
      <c r="BFF39" s="48"/>
      <c r="BFG39" s="45"/>
      <c r="BFH39" s="46"/>
      <c r="BFI39" s="46"/>
      <c r="BFJ39" s="47"/>
      <c r="BFK39" s="48"/>
      <c r="BFL39" s="48"/>
      <c r="BFM39" s="48"/>
      <c r="BFN39" s="48"/>
      <c r="BFO39" s="48"/>
      <c r="BFP39" s="48"/>
      <c r="BFQ39" s="48"/>
      <c r="BFR39" s="48"/>
      <c r="BFS39" s="48"/>
      <c r="BFT39" s="48"/>
      <c r="BFU39" s="48"/>
      <c r="BFV39" s="48"/>
      <c r="BFW39" s="48"/>
      <c r="BFX39" s="48"/>
      <c r="BFY39" s="48"/>
      <c r="BFZ39" s="48"/>
      <c r="BGA39" s="48"/>
      <c r="BGB39" s="48"/>
      <c r="BGC39" s="45"/>
      <c r="BGD39" s="46"/>
      <c r="BGE39" s="46"/>
      <c r="BGF39" s="47"/>
      <c r="BGG39" s="48"/>
      <c r="BGH39" s="48"/>
      <c r="BGI39" s="48"/>
      <c r="BGJ39" s="48"/>
      <c r="BGK39" s="48"/>
      <c r="BGL39" s="48"/>
      <c r="BGM39" s="48"/>
      <c r="BGN39" s="48"/>
      <c r="BGO39" s="48"/>
      <c r="BGP39" s="48"/>
      <c r="BGQ39" s="48"/>
      <c r="BGR39" s="48"/>
      <c r="BGS39" s="48"/>
      <c r="BGT39" s="48"/>
      <c r="BGU39" s="48"/>
      <c r="BGV39" s="48"/>
      <c r="BGW39" s="48"/>
      <c r="BGX39" s="48"/>
      <c r="BGY39" s="45"/>
      <c r="BGZ39" s="46"/>
      <c r="BHA39" s="46"/>
      <c r="BHB39" s="47"/>
      <c r="BHC39" s="48"/>
      <c r="BHD39" s="48"/>
      <c r="BHE39" s="48"/>
      <c r="BHF39" s="48"/>
      <c r="BHG39" s="48"/>
      <c r="BHH39" s="48"/>
      <c r="BHI39" s="48"/>
      <c r="BHJ39" s="48"/>
      <c r="BHK39" s="48"/>
      <c r="BHL39" s="48"/>
      <c r="BHM39" s="48"/>
      <c r="BHN39" s="48"/>
      <c r="BHO39" s="48"/>
      <c r="BHP39" s="48"/>
      <c r="BHQ39" s="48"/>
      <c r="BHR39" s="48"/>
      <c r="BHS39" s="48"/>
      <c r="BHT39" s="48"/>
      <c r="BHU39" s="45"/>
      <c r="BHV39" s="46"/>
      <c r="BHW39" s="46"/>
      <c r="BHX39" s="47"/>
      <c r="BHY39" s="48"/>
      <c r="BHZ39" s="48"/>
      <c r="BIA39" s="48"/>
      <c r="BIB39" s="48"/>
      <c r="BIC39" s="48"/>
      <c r="BID39" s="48"/>
      <c r="BIE39" s="48"/>
      <c r="BIF39" s="48"/>
      <c r="BIG39" s="48"/>
      <c r="BIH39" s="48"/>
      <c r="BII39" s="48"/>
      <c r="BIJ39" s="48"/>
      <c r="BIK39" s="48"/>
      <c r="BIL39" s="48"/>
      <c r="BIM39" s="48"/>
      <c r="BIN39" s="48"/>
      <c r="BIO39" s="48"/>
      <c r="BIP39" s="48"/>
      <c r="BIQ39" s="45"/>
      <c r="BIR39" s="46"/>
      <c r="BIS39" s="46"/>
      <c r="BIT39" s="47"/>
      <c r="BIU39" s="48"/>
      <c r="BIV39" s="48"/>
      <c r="BIW39" s="48"/>
      <c r="BIX39" s="48"/>
      <c r="BIY39" s="48"/>
      <c r="BIZ39" s="48"/>
      <c r="BJA39" s="48"/>
      <c r="BJB39" s="48"/>
      <c r="BJC39" s="48"/>
      <c r="BJD39" s="48"/>
      <c r="BJE39" s="48"/>
      <c r="BJF39" s="48"/>
      <c r="BJG39" s="48"/>
      <c r="BJH39" s="48"/>
      <c r="BJI39" s="48"/>
      <c r="BJJ39" s="48"/>
      <c r="BJK39" s="48"/>
      <c r="BJL39" s="48"/>
      <c r="BJM39" s="45"/>
      <c r="BJN39" s="46"/>
      <c r="BJO39" s="46"/>
      <c r="BJP39" s="47"/>
      <c r="BJQ39" s="48"/>
      <c r="BJR39" s="48"/>
      <c r="BJS39" s="48"/>
      <c r="BJT39" s="48"/>
      <c r="BJU39" s="48"/>
      <c r="BJV39" s="48"/>
      <c r="BJW39" s="48"/>
      <c r="BJX39" s="48"/>
      <c r="BJY39" s="48"/>
      <c r="BJZ39" s="48"/>
      <c r="BKA39" s="48"/>
      <c r="BKB39" s="48"/>
      <c r="BKC39" s="48"/>
      <c r="BKD39" s="48"/>
      <c r="BKE39" s="48"/>
      <c r="BKF39" s="48"/>
      <c r="BKG39" s="48"/>
      <c r="BKH39" s="48"/>
      <c r="BKI39" s="45"/>
      <c r="BKJ39" s="46"/>
      <c r="BKK39" s="46"/>
      <c r="BKL39" s="47"/>
      <c r="BKM39" s="48"/>
      <c r="BKN39" s="48"/>
      <c r="BKO39" s="48"/>
      <c r="BKP39" s="48"/>
      <c r="BKQ39" s="48"/>
      <c r="BKR39" s="48"/>
      <c r="BKS39" s="48"/>
      <c r="BKT39" s="48"/>
      <c r="BKU39" s="48"/>
      <c r="BKV39" s="48"/>
      <c r="BKW39" s="48"/>
      <c r="BKX39" s="48"/>
      <c r="BKY39" s="48"/>
      <c r="BKZ39" s="48"/>
      <c r="BLA39" s="48"/>
      <c r="BLB39" s="48"/>
      <c r="BLC39" s="48"/>
      <c r="BLD39" s="48"/>
      <c r="BLE39" s="45"/>
      <c r="BLF39" s="46"/>
      <c r="BLG39" s="46"/>
      <c r="BLH39" s="47"/>
      <c r="BLI39" s="48"/>
      <c r="BLJ39" s="48"/>
      <c r="BLK39" s="48"/>
      <c r="BLL39" s="48"/>
      <c r="BLM39" s="48"/>
      <c r="BLN39" s="48"/>
      <c r="BLO39" s="48"/>
      <c r="BLP39" s="48"/>
      <c r="BLQ39" s="48"/>
      <c r="BLR39" s="48"/>
      <c r="BLS39" s="48"/>
      <c r="BLT39" s="48"/>
      <c r="BLU39" s="48"/>
      <c r="BLV39" s="48"/>
      <c r="BLW39" s="48"/>
      <c r="BLX39" s="48"/>
      <c r="BLY39" s="48"/>
      <c r="BLZ39" s="48"/>
      <c r="BMA39" s="45"/>
      <c r="BMB39" s="46"/>
      <c r="BMC39" s="46"/>
      <c r="BMD39" s="47"/>
      <c r="BME39" s="48"/>
      <c r="BMF39" s="48"/>
      <c r="BMG39" s="48"/>
      <c r="BMH39" s="48"/>
      <c r="BMI39" s="48"/>
      <c r="BMJ39" s="48"/>
      <c r="BMK39" s="48"/>
      <c r="BML39" s="48"/>
      <c r="BMM39" s="48"/>
      <c r="BMN39" s="48"/>
      <c r="BMO39" s="48"/>
      <c r="BMP39" s="48"/>
      <c r="BMQ39" s="48"/>
      <c r="BMR39" s="48"/>
      <c r="BMS39" s="48"/>
      <c r="BMT39" s="48"/>
      <c r="BMU39" s="48"/>
      <c r="BMV39" s="48"/>
      <c r="BMW39" s="45"/>
      <c r="BMX39" s="46"/>
      <c r="BMY39" s="46"/>
      <c r="BMZ39" s="47"/>
      <c r="BNA39" s="48"/>
      <c r="BNB39" s="48"/>
      <c r="BNC39" s="48"/>
      <c r="BND39" s="48"/>
      <c r="BNE39" s="48"/>
      <c r="BNF39" s="48"/>
      <c r="BNG39" s="48"/>
      <c r="BNH39" s="48"/>
      <c r="BNI39" s="48"/>
      <c r="BNJ39" s="48"/>
      <c r="BNK39" s="48"/>
      <c r="BNL39" s="48"/>
      <c r="BNM39" s="48"/>
      <c r="BNN39" s="48"/>
      <c r="BNO39" s="48"/>
      <c r="BNP39" s="48"/>
      <c r="BNQ39" s="48"/>
      <c r="BNR39" s="48"/>
      <c r="BNS39" s="45"/>
      <c r="BNT39" s="46"/>
      <c r="BNU39" s="46"/>
      <c r="BNV39" s="47"/>
      <c r="BNW39" s="48"/>
      <c r="BNX39" s="48"/>
      <c r="BNY39" s="48"/>
      <c r="BNZ39" s="48"/>
      <c r="BOA39" s="48"/>
      <c r="BOB39" s="48"/>
      <c r="BOC39" s="48"/>
      <c r="BOD39" s="48"/>
      <c r="BOE39" s="48"/>
      <c r="BOF39" s="48"/>
      <c r="BOG39" s="48"/>
      <c r="BOH39" s="48"/>
      <c r="BOI39" s="48"/>
      <c r="BOJ39" s="48"/>
      <c r="BOK39" s="48"/>
      <c r="BOL39" s="48"/>
      <c r="BOM39" s="48"/>
      <c r="BON39" s="48"/>
      <c r="BOO39" s="45"/>
      <c r="BOP39" s="46"/>
      <c r="BOQ39" s="46"/>
      <c r="BOR39" s="47"/>
      <c r="BOS39" s="48"/>
      <c r="BOT39" s="48"/>
      <c r="BOU39" s="48"/>
      <c r="BOV39" s="48"/>
      <c r="BOW39" s="48"/>
      <c r="BOX39" s="48"/>
      <c r="BOY39" s="48"/>
      <c r="BOZ39" s="48"/>
      <c r="BPA39" s="48"/>
      <c r="BPB39" s="48"/>
      <c r="BPC39" s="48"/>
      <c r="BPD39" s="48"/>
      <c r="BPE39" s="48"/>
      <c r="BPF39" s="48"/>
      <c r="BPG39" s="48"/>
      <c r="BPH39" s="48"/>
      <c r="BPI39" s="48"/>
      <c r="BPJ39" s="48"/>
      <c r="BPK39" s="45"/>
      <c r="BPL39" s="46"/>
      <c r="BPM39" s="46"/>
      <c r="BPN39" s="47"/>
      <c r="BPO39" s="48"/>
      <c r="BPP39" s="48"/>
      <c r="BPQ39" s="48"/>
      <c r="BPR39" s="48"/>
      <c r="BPS39" s="48"/>
      <c r="BPT39" s="48"/>
      <c r="BPU39" s="48"/>
      <c r="BPV39" s="48"/>
      <c r="BPW39" s="48"/>
      <c r="BPX39" s="48"/>
      <c r="BPY39" s="48"/>
      <c r="BPZ39" s="48"/>
      <c r="BQA39" s="48"/>
      <c r="BQB39" s="48"/>
      <c r="BQC39" s="48"/>
      <c r="BQD39" s="48"/>
      <c r="BQE39" s="48"/>
      <c r="BQF39" s="48"/>
      <c r="BQG39" s="45"/>
      <c r="BQH39" s="46"/>
      <c r="BQI39" s="46"/>
      <c r="BQJ39" s="47"/>
      <c r="BQK39" s="48"/>
      <c r="BQL39" s="48"/>
      <c r="BQM39" s="48"/>
      <c r="BQN39" s="48"/>
      <c r="BQO39" s="48"/>
      <c r="BQP39" s="48"/>
      <c r="BQQ39" s="48"/>
      <c r="BQR39" s="48"/>
      <c r="BQS39" s="48"/>
      <c r="BQT39" s="48"/>
      <c r="BQU39" s="48"/>
      <c r="BQV39" s="48"/>
      <c r="BQW39" s="48"/>
      <c r="BQX39" s="48"/>
      <c r="BQY39" s="48"/>
      <c r="BQZ39" s="48"/>
      <c r="BRA39" s="48"/>
      <c r="BRB39" s="48"/>
      <c r="BRC39" s="45"/>
      <c r="BRD39" s="46"/>
      <c r="BRE39" s="46"/>
      <c r="BRF39" s="47"/>
      <c r="BRG39" s="48"/>
      <c r="BRH39" s="48"/>
      <c r="BRI39" s="48"/>
      <c r="BRJ39" s="48"/>
      <c r="BRK39" s="48"/>
      <c r="BRL39" s="48"/>
      <c r="BRM39" s="48"/>
      <c r="BRN39" s="48"/>
      <c r="BRO39" s="48"/>
      <c r="BRP39" s="48"/>
      <c r="BRQ39" s="48"/>
      <c r="BRR39" s="48"/>
      <c r="BRS39" s="48"/>
      <c r="BRT39" s="48"/>
      <c r="BRU39" s="48"/>
      <c r="BRV39" s="48"/>
      <c r="BRW39" s="48"/>
      <c r="BRX39" s="48"/>
      <c r="BRY39" s="45"/>
      <c r="BRZ39" s="46"/>
      <c r="BSA39" s="46"/>
      <c r="BSB39" s="47"/>
      <c r="BSC39" s="48"/>
      <c r="BSD39" s="48"/>
      <c r="BSE39" s="48"/>
      <c r="BSF39" s="48"/>
      <c r="BSG39" s="48"/>
      <c r="BSH39" s="48"/>
      <c r="BSI39" s="48"/>
      <c r="BSJ39" s="48"/>
      <c r="BSK39" s="48"/>
      <c r="BSL39" s="48"/>
      <c r="BSM39" s="48"/>
      <c r="BSN39" s="48"/>
      <c r="BSO39" s="48"/>
      <c r="BSP39" s="48"/>
      <c r="BSQ39" s="48"/>
      <c r="BSR39" s="48"/>
      <c r="BSS39" s="48"/>
      <c r="BST39" s="48"/>
      <c r="BSU39" s="45"/>
      <c r="BSV39" s="46"/>
      <c r="BSW39" s="46"/>
      <c r="BSX39" s="47"/>
      <c r="BSY39" s="48"/>
      <c r="BSZ39" s="48"/>
      <c r="BTA39" s="48"/>
      <c r="BTB39" s="48"/>
      <c r="BTC39" s="48"/>
      <c r="BTD39" s="48"/>
      <c r="BTE39" s="48"/>
      <c r="BTF39" s="48"/>
      <c r="BTG39" s="48"/>
      <c r="BTH39" s="48"/>
      <c r="BTI39" s="48"/>
      <c r="BTJ39" s="48"/>
      <c r="BTK39" s="48"/>
      <c r="BTL39" s="48"/>
      <c r="BTM39" s="48"/>
      <c r="BTN39" s="48"/>
      <c r="BTO39" s="48"/>
      <c r="BTP39" s="48"/>
      <c r="BTQ39" s="45"/>
      <c r="BTR39" s="46"/>
      <c r="BTS39" s="46"/>
      <c r="BTT39" s="47"/>
      <c r="BTU39" s="48"/>
      <c r="BTV39" s="48"/>
      <c r="BTW39" s="48"/>
      <c r="BTX39" s="48"/>
      <c r="BTY39" s="48"/>
      <c r="BTZ39" s="48"/>
      <c r="BUA39" s="48"/>
      <c r="BUB39" s="48"/>
      <c r="BUC39" s="48"/>
      <c r="BUD39" s="48"/>
      <c r="BUE39" s="48"/>
      <c r="BUF39" s="48"/>
      <c r="BUG39" s="48"/>
      <c r="BUH39" s="48"/>
      <c r="BUI39" s="48"/>
      <c r="BUJ39" s="48"/>
      <c r="BUK39" s="48"/>
      <c r="BUL39" s="48"/>
      <c r="BUM39" s="45"/>
      <c r="BUN39" s="46"/>
      <c r="BUO39" s="46"/>
      <c r="BUP39" s="47"/>
      <c r="BUQ39" s="48"/>
      <c r="BUR39" s="48"/>
      <c r="BUS39" s="48"/>
      <c r="BUT39" s="48"/>
      <c r="BUU39" s="48"/>
      <c r="BUV39" s="48"/>
      <c r="BUW39" s="48"/>
      <c r="BUX39" s="48"/>
      <c r="BUY39" s="48"/>
      <c r="BUZ39" s="48"/>
      <c r="BVA39" s="48"/>
      <c r="BVB39" s="48"/>
      <c r="BVC39" s="48"/>
      <c r="BVD39" s="48"/>
      <c r="BVE39" s="48"/>
      <c r="BVF39" s="48"/>
      <c r="BVG39" s="48"/>
      <c r="BVH39" s="48"/>
      <c r="BVI39" s="45"/>
      <c r="BVJ39" s="46"/>
      <c r="BVK39" s="46"/>
      <c r="BVL39" s="47"/>
      <c r="BVM39" s="48"/>
      <c r="BVN39" s="48"/>
      <c r="BVO39" s="48"/>
      <c r="BVP39" s="48"/>
      <c r="BVQ39" s="48"/>
      <c r="BVR39" s="48"/>
      <c r="BVS39" s="48"/>
      <c r="BVT39" s="48"/>
      <c r="BVU39" s="48"/>
      <c r="BVV39" s="48"/>
      <c r="BVW39" s="48"/>
      <c r="BVX39" s="48"/>
      <c r="BVY39" s="48"/>
      <c r="BVZ39" s="48"/>
      <c r="BWA39" s="48"/>
      <c r="BWB39" s="48"/>
      <c r="BWC39" s="48"/>
      <c r="BWD39" s="48"/>
      <c r="BWE39" s="45"/>
      <c r="BWF39" s="46"/>
      <c r="BWG39" s="46"/>
      <c r="BWH39" s="47"/>
      <c r="BWI39" s="48"/>
      <c r="BWJ39" s="48"/>
      <c r="BWK39" s="48"/>
      <c r="BWL39" s="48"/>
      <c r="BWM39" s="48"/>
      <c r="BWN39" s="48"/>
      <c r="BWO39" s="48"/>
      <c r="BWP39" s="48"/>
      <c r="BWQ39" s="48"/>
      <c r="BWR39" s="48"/>
      <c r="BWS39" s="48"/>
      <c r="BWT39" s="48"/>
      <c r="BWU39" s="48"/>
      <c r="BWV39" s="48"/>
      <c r="BWW39" s="48"/>
      <c r="BWX39" s="48"/>
      <c r="BWY39" s="48"/>
      <c r="BWZ39" s="48"/>
      <c r="BXA39" s="45"/>
      <c r="BXB39" s="46"/>
      <c r="BXC39" s="46"/>
      <c r="BXD39" s="47"/>
      <c r="BXE39" s="48"/>
      <c r="BXF39" s="48"/>
      <c r="BXG39" s="48"/>
      <c r="BXH39" s="48"/>
      <c r="BXI39" s="48"/>
      <c r="BXJ39" s="48"/>
      <c r="BXK39" s="48"/>
      <c r="BXL39" s="48"/>
      <c r="BXM39" s="48"/>
      <c r="BXN39" s="48"/>
      <c r="BXO39" s="48"/>
      <c r="BXP39" s="48"/>
      <c r="BXQ39" s="48"/>
      <c r="BXR39" s="48"/>
      <c r="BXS39" s="48"/>
      <c r="BXT39" s="48"/>
      <c r="BXU39" s="48"/>
      <c r="BXV39" s="48"/>
      <c r="BXW39" s="45"/>
      <c r="BXX39" s="46"/>
      <c r="BXY39" s="46"/>
      <c r="BXZ39" s="47"/>
      <c r="BYA39" s="48"/>
      <c r="BYB39" s="48"/>
      <c r="BYC39" s="48"/>
      <c r="BYD39" s="48"/>
      <c r="BYE39" s="48"/>
      <c r="BYF39" s="48"/>
      <c r="BYG39" s="48"/>
      <c r="BYH39" s="48"/>
      <c r="BYI39" s="48"/>
      <c r="BYJ39" s="48"/>
      <c r="BYK39" s="48"/>
      <c r="BYL39" s="48"/>
      <c r="BYM39" s="48"/>
      <c r="BYN39" s="48"/>
      <c r="BYO39" s="48"/>
      <c r="BYP39" s="48"/>
      <c r="BYQ39" s="48"/>
      <c r="BYR39" s="48"/>
      <c r="BYS39" s="45"/>
      <c r="BYT39" s="46"/>
      <c r="BYU39" s="46"/>
      <c r="BYV39" s="47"/>
      <c r="BYW39" s="48"/>
      <c r="BYX39" s="48"/>
      <c r="BYY39" s="48"/>
      <c r="BYZ39" s="48"/>
      <c r="BZA39" s="48"/>
      <c r="BZB39" s="48"/>
      <c r="BZC39" s="48"/>
      <c r="BZD39" s="48"/>
      <c r="BZE39" s="48"/>
      <c r="BZF39" s="48"/>
      <c r="BZG39" s="48"/>
      <c r="BZH39" s="48"/>
      <c r="BZI39" s="48"/>
      <c r="BZJ39" s="48"/>
      <c r="BZK39" s="48"/>
      <c r="BZL39" s="48"/>
      <c r="BZM39" s="48"/>
      <c r="BZN39" s="48"/>
      <c r="BZO39" s="45"/>
      <c r="BZP39" s="46"/>
      <c r="BZQ39" s="46"/>
      <c r="BZR39" s="47"/>
      <c r="BZS39" s="48"/>
      <c r="BZT39" s="48"/>
      <c r="BZU39" s="48"/>
      <c r="BZV39" s="48"/>
      <c r="BZW39" s="48"/>
      <c r="BZX39" s="48"/>
      <c r="BZY39" s="48"/>
      <c r="BZZ39" s="48"/>
      <c r="CAA39" s="48"/>
      <c r="CAB39" s="48"/>
      <c r="CAC39" s="48"/>
      <c r="CAD39" s="48"/>
      <c r="CAE39" s="48"/>
      <c r="CAF39" s="48"/>
      <c r="CAG39" s="48"/>
      <c r="CAH39" s="48"/>
      <c r="CAI39" s="48"/>
      <c r="CAJ39" s="48"/>
      <c r="CAK39" s="45"/>
      <c r="CAL39" s="46"/>
      <c r="CAM39" s="46"/>
      <c r="CAN39" s="47"/>
      <c r="CAO39" s="48"/>
      <c r="CAP39" s="48"/>
      <c r="CAQ39" s="48"/>
      <c r="CAR39" s="48"/>
      <c r="CAS39" s="48"/>
      <c r="CAT39" s="48"/>
      <c r="CAU39" s="48"/>
      <c r="CAV39" s="48"/>
      <c r="CAW39" s="48"/>
      <c r="CAX39" s="48"/>
      <c r="CAY39" s="48"/>
      <c r="CAZ39" s="48"/>
      <c r="CBA39" s="48"/>
      <c r="CBB39" s="48"/>
      <c r="CBC39" s="48"/>
      <c r="CBD39" s="48"/>
      <c r="CBE39" s="48"/>
      <c r="CBF39" s="48"/>
      <c r="CBG39" s="45"/>
      <c r="CBH39" s="46"/>
      <c r="CBI39" s="46"/>
      <c r="CBJ39" s="47"/>
      <c r="CBK39" s="48"/>
      <c r="CBL39" s="48"/>
      <c r="CBM39" s="48"/>
      <c r="CBN39" s="48"/>
      <c r="CBO39" s="48"/>
      <c r="CBP39" s="48"/>
      <c r="CBQ39" s="48"/>
      <c r="CBR39" s="48"/>
      <c r="CBS39" s="48"/>
      <c r="CBT39" s="48"/>
      <c r="CBU39" s="48"/>
      <c r="CBV39" s="48"/>
      <c r="CBW39" s="48"/>
      <c r="CBX39" s="48"/>
      <c r="CBY39" s="48"/>
      <c r="CBZ39" s="48"/>
      <c r="CCA39" s="48"/>
      <c r="CCB39" s="48"/>
      <c r="CCC39" s="45"/>
      <c r="CCD39" s="46"/>
      <c r="CCE39" s="46"/>
      <c r="CCF39" s="47"/>
      <c r="CCG39" s="48"/>
      <c r="CCH39" s="48"/>
      <c r="CCI39" s="48"/>
      <c r="CCJ39" s="48"/>
      <c r="CCK39" s="48"/>
      <c r="CCL39" s="48"/>
      <c r="CCM39" s="48"/>
      <c r="CCN39" s="48"/>
      <c r="CCO39" s="48"/>
      <c r="CCP39" s="48"/>
      <c r="CCQ39" s="48"/>
      <c r="CCR39" s="48"/>
      <c r="CCS39" s="48"/>
      <c r="CCT39" s="48"/>
      <c r="CCU39" s="48"/>
      <c r="CCV39" s="48"/>
      <c r="CCW39" s="48"/>
      <c r="CCX39" s="48"/>
      <c r="CCY39" s="45"/>
      <c r="CCZ39" s="46"/>
      <c r="CDA39" s="46"/>
      <c r="CDB39" s="47"/>
      <c r="CDC39" s="48"/>
      <c r="CDD39" s="48"/>
      <c r="CDE39" s="48"/>
      <c r="CDF39" s="48"/>
      <c r="CDG39" s="48"/>
      <c r="CDH39" s="48"/>
      <c r="CDI39" s="48"/>
      <c r="CDJ39" s="48"/>
      <c r="CDK39" s="48"/>
      <c r="CDL39" s="48"/>
      <c r="CDM39" s="48"/>
      <c r="CDN39" s="48"/>
      <c r="CDO39" s="48"/>
      <c r="CDP39" s="48"/>
      <c r="CDQ39" s="48"/>
      <c r="CDR39" s="48"/>
      <c r="CDS39" s="48"/>
      <c r="CDT39" s="48"/>
      <c r="CDU39" s="45"/>
      <c r="CDV39" s="46"/>
      <c r="CDW39" s="46"/>
      <c r="CDX39" s="47"/>
      <c r="CDY39" s="48"/>
      <c r="CDZ39" s="48"/>
      <c r="CEA39" s="48"/>
      <c r="CEB39" s="48"/>
      <c r="CEC39" s="48"/>
      <c r="CED39" s="48"/>
      <c r="CEE39" s="48"/>
      <c r="CEF39" s="48"/>
      <c r="CEG39" s="48"/>
      <c r="CEH39" s="48"/>
      <c r="CEI39" s="48"/>
      <c r="CEJ39" s="48"/>
      <c r="CEK39" s="48"/>
      <c r="CEL39" s="48"/>
      <c r="CEM39" s="48"/>
      <c r="CEN39" s="48"/>
      <c r="CEO39" s="48"/>
      <c r="CEP39" s="48"/>
      <c r="CEQ39" s="45"/>
      <c r="CER39" s="46"/>
      <c r="CES39" s="46"/>
      <c r="CET39" s="47"/>
      <c r="CEU39" s="48"/>
      <c r="CEV39" s="48"/>
      <c r="CEW39" s="48"/>
      <c r="CEX39" s="48"/>
      <c r="CEY39" s="48"/>
      <c r="CEZ39" s="48"/>
      <c r="CFA39" s="48"/>
      <c r="CFB39" s="48"/>
      <c r="CFC39" s="48"/>
      <c r="CFD39" s="48"/>
      <c r="CFE39" s="48"/>
      <c r="CFF39" s="48"/>
      <c r="CFG39" s="48"/>
      <c r="CFH39" s="48"/>
      <c r="CFI39" s="48"/>
      <c r="CFJ39" s="48"/>
      <c r="CFK39" s="48"/>
      <c r="CFL39" s="48"/>
      <c r="CFM39" s="45"/>
      <c r="CFN39" s="46"/>
      <c r="CFO39" s="46"/>
      <c r="CFP39" s="47"/>
      <c r="CFQ39" s="48"/>
      <c r="CFR39" s="48"/>
      <c r="CFS39" s="48"/>
      <c r="CFT39" s="48"/>
      <c r="CFU39" s="48"/>
      <c r="CFV39" s="48"/>
      <c r="CFW39" s="48"/>
      <c r="CFX39" s="48"/>
      <c r="CFY39" s="48"/>
      <c r="CFZ39" s="48"/>
      <c r="CGA39" s="48"/>
      <c r="CGB39" s="48"/>
      <c r="CGC39" s="48"/>
      <c r="CGD39" s="48"/>
      <c r="CGE39" s="48"/>
      <c r="CGF39" s="48"/>
      <c r="CGG39" s="48"/>
      <c r="CGH39" s="48"/>
      <c r="CGI39" s="45"/>
      <c r="CGJ39" s="46"/>
      <c r="CGK39" s="46"/>
      <c r="CGL39" s="47"/>
      <c r="CGM39" s="48"/>
      <c r="CGN39" s="48"/>
      <c r="CGO39" s="48"/>
      <c r="CGP39" s="48"/>
      <c r="CGQ39" s="48"/>
      <c r="CGR39" s="48"/>
      <c r="CGS39" s="48"/>
      <c r="CGT39" s="48"/>
      <c r="CGU39" s="48"/>
      <c r="CGV39" s="48"/>
      <c r="CGW39" s="48"/>
      <c r="CGX39" s="48"/>
      <c r="CGY39" s="48"/>
      <c r="CGZ39" s="48"/>
      <c r="CHA39" s="48"/>
      <c r="CHB39" s="48"/>
      <c r="CHC39" s="48"/>
      <c r="CHD39" s="48"/>
      <c r="CHE39" s="45"/>
      <c r="CHF39" s="46"/>
      <c r="CHG39" s="46"/>
      <c r="CHH39" s="47"/>
      <c r="CHI39" s="48"/>
      <c r="CHJ39" s="48"/>
      <c r="CHK39" s="48"/>
      <c r="CHL39" s="48"/>
      <c r="CHM39" s="48"/>
      <c r="CHN39" s="48"/>
      <c r="CHO39" s="48"/>
      <c r="CHP39" s="48"/>
      <c r="CHQ39" s="48"/>
      <c r="CHR39" s="48"/>
      <c r="CHS39" s="48"/>
      <c r="CHT39" s="48"/>
      <c r="CHU39" s="48"/>
      <c r="CHV39" s="48"/>
      <c r="CHW39" s="48"/>
      <c r="CHX39" s="48"/>
      <c r="CHY39" s="48"/>
      <c r="CHZ39" s="48"/>
      <c r="CIA39" s="45"/>
      <c r="CIB39" s="46"/>
      <c r="CIC39" s="46"/>
      <c r="CID39" s="47"/>
      <c r="CIE39" s="48"/>
      <c r="CIF39" s="48"/>
      <c r="CIG39" s="48"/>
      <c r="CIH39" s="48"/>
      <c r="CII39" s="48"/>
      <c r="CIJ39" s="48"/>
      <c r="CIK39" s="48"/>
      <c r="CIL39" s="48"/>
      <c r="CIM39" s="48"/>
      <c r="CIN39" s="48"/>
      <c r="CIO39" s="48"/>
      <c r="CIP39" s="48"/>
      <c r="CIQ39" s="48"/>
      <c r="CIR39" s="48"/>
      <c r="CIS39" s="48"/>
      <c r="CIT39" s="48"/>
      <c r="CIU39" s="48"/>
      <c r="CIV39" s="48"/>
      <c r="CIW39" s="45"/>
      <c r="CIX39" s="46"/>
      <c r="CIY39" s="46"/>
      <c r="CIZ39" s="47"/>
      <c r="CJA39" s="48"/>
      <c r="CJB39" s="48"/>
      <c r="CJC39" s="48"/>
      <c r="CJD39" s="48"/>
      <c r="CJE39" s="48"/>
      <c r="CJF39" s="48"/>
      <c r="CJG39" s="48"/>
      <c r="CJH39" s="48"/>
      <c r="CJI39" s="48"/>
      <c r="CJJ39" s="48"/>
      <c r="CJK39" s="48"/>
      <c r="CJL39" s="48"/>
      <c r="CJM39" s="48"/>
      <c r="CJN39" s="48"/>
      <c r="CJO39" s="48"/>
      <c r="CJP39" s="48"/>
      <c r="CJQ39" s="48"/>
      <c r="CJR39" s="48"/>
      <c r="CJS39" s="45"/>
      <c r="CJT39" s="46"/>
      <c r="CJU39" s="46"/>
      <c r="CJV39" s="47"/>
      <c r="CJW39" s="48"/>
      <c r="CJX39" s="48"/>
      <c r="CJY39" s="48"/>
      <c r="CJZ39" s="48"/>
      <c r="CKA39" s="48"/>
      <c r="CKB39" s="48"/>
      <c r="CKC39" s="48"/>
      <c r="CKD39" s="48"/>
      <c r="CKE39" s="48"/>
      <c r="CKF39" s="48"/>
      <c r="CKG39" s="48"/>
      <c r="CKH39" s="48"/>
      <c r="CKI39" s="48"/>
      <c r="CKJ39" s="48"/>
      <c r="CKK39" s="48"/>
      <c r="CKL39" s="48"/>
      <c r="CKM39" s="48"/>
      <c r="CKN39" s="48"/>
      <c r="CKO39" s="45"/>
      <c r="CKP39" s="46"/>
      <c r="CKQ39" s="46"/>
      <c r="CKR39" s="47"/>
      <c r="CKS39" s="48"/>
      <c r="CKT39" s="48"/>
      <c r="CKU39" s="48"/>
      <c r="CKV39" s="48"/>
      <c r="CKW39" s="48"/>
      <c r="CKX39" s="48"/>
      <c r="CKY39" s="48"/>
      <c r="CKZ39" s="48"/>
      <c r="CLA39" s="48"/>
      <c r="CLB39" s="48"/>
      <c r="CLC39" s="48"/>
      <c r="CLD39" s="48"/>
      <c r="CLE39" s="48"/>
      <c r="CLF39" s="48"/>
      <c r="CLG39" s="48"/>
      <c r="CLH39" s="48"/>
      <c r="CLI39" s="48"/>
      <c r="CLJ39" s="48"/>
      <c r="CLK39" s="45"/>
      <c r="CLL39" s="46"/>
      <c r="CLM39" s="46"/>
      <c r="CLN39" s="47"/>
      <c r="CLO39" s="48"/>
      <c r="CLP39" s="48"/>
      <c r="CLQ39" s="48"/>
      <c r="CLR39" s="48"/>
      <c r="CLS39" s="48"/>
      <c r="CLT39" s="48"/>
      <c r="CLU39" s="48"/>
      <c r="CLV39" s="48"/>
      <c r="CLW39" s="48"/>
      <c r="CLX39" s="48"/>
      <c r="CLY39" s="48"/>
      <c r="CLZ39" s="48"/>
      <c r="CMA39" s="48"/>
      <c r="CMB39" s="48"/>
      <c r="CMC39" s="48"/>
      <c r="CMD39" s="48"/>
      <c r="CME39" s="48"/>
      <c r="CMF39" s="48"/>
      <c r="CMG39" s="45"/>
      <c r="CMH39" s="46"/>
      <c r="CMI39" s="46"/>
      <c r="CMJ39" s="47"/>
      <c r="CMK39" s="48"/>
      <c r="CML39" s="48"/>
      <c r="CMM39" s="48"/>
      <c r="CMN39" s="48"/>
      <c r="CMO39" s="48"/>
      <c r="CMP39" s="48"/>
      <c r="CMQ39" s="48"/>
      <c r="CMR39" s="48"/>
      <c r="CMS39" s="48"/>
      <c r="CMT39" s="48"/>
      <c r="CMU39" s="48"/>
      <c r="CMV39" s="48"/>
      <c r="CMW39" s="48"/>
      <c r="CMX39" s="48"/>
      <c r="CMY39" s="48"/>
      <c r="CMZ39" s="48"/>
      <c r="CNA39" s="48"/>
      <c r="CNB39" s="48"/>
      <c r="CNC39" s="45"/>
      <c r="CND39" s="46"/>
      <c r="CNE39" s="46"/>
      <c r="CNF39" s="47"/>
      <c r="CNG39" s="48"/>
      <c r="CNH39" s="48"/>
      <c r="CNI39" s="48"/>
      <c r="CNJ39" s="48"/>
      <c r="CNK39" s="48"/>
      <c r="CNL39" s="48"/>
      <c r="CNM39" s="48"/>
      <c r="CNN39" s="48"/>
      <c r="CNO39" s="48"/>
      <c r="CNP39" s="48"/>
      <c r="CNQ39" s="48"/>
      <c r="CNR39" s="48"/>
      <c r="CNS39" s="48"/>
      <c r="CNT39" s="48"/>
      <c r="CNU39" s="48"/>
      <c r="CNV39" s="48"/>
      <c r="CNW39" s="48"/>
      <c r="CNX39" s="48"/>
      <c r="CNY39" s="45"/>
      <c r="CNZ39" s="46"/>
      <c r="COA39" s="46"/>
      <c r="COB39" s="47"/>
      <c r="COC39" s="48"/>
      <c r="COD39" s="48"/>
      <c r="COE39" s="48"/>
      <c r="COF39" s="48"/>
      <c r="COG39" s="48"/>
      <c r="COH39" s="48"/>
      <c r="COI39" s="48"/>
      <c r="COJ39" s="48"/>
      <c r="COK39" s="48"/>
      <c r="COL39" s="48"/>
      <c r="COM39" s="48"/>
      <c r="CON39" s="48"/>
      <c r="COO39" s="48"/>
      <c r="COP39" s="48"/>
      <c r="COQ39" s="48"/>
      <c r="COR39" s="48"/>
      <c r="COS39" s="48"/>
      <c r="COT39" s="48"/>
      <c r="COU39" s="45"/>
      <c r="COV39" s="46"/>
      <c r="COW39" s="46"/>
      <c r="COX39" s="47"/>
      <c r="COY39" s="48"/>
      <c r="COZ39" s="48"/>
      <c r="CPA39" s="48"/>
      <c r="CPB39" s="48"/>
      <c r="CPC39" s="48"/>
      <c r="CPD39" s="48"/>
      <c r="CPE39" s="48"/>
      <c r="CPF39" s="48"/>
      <c r="CPG39" s="48"/>
      <c r="CPH39" s="48"/>
      <c r="CPI39" s="48"/>
      <c r="CPJ39" s="48"/>
      <c r="CPK39" s="48"/>
      <c r="CPL39" s="48"/>
      <c r="CPM39" s="48"/>
      <c r="CPN39" s="48"/>
      <c r="CPO39" s="48"/>
      <c r="CPP39" s="48"/>
      <c r="CPQ39" s="45"/>
      <c r="CPR39" s="46"/>
      <c r="CPS39" s="46"/>
      <c r="CPT39" s="47"/>
      <c r="CPU39" s="48"/>
      <c r="CPV39" s="48"/>
      <c r="CPW39" s="48"/>
      <c r="CPX39" s="48"/>
      <c r="CPY39" s="48"/>
      <c r="CPZ39" s="48"/>
      <c r="CQA39" s="48"/>
      <c r="CQB39" s="48"/>
      <c r="CQC39" s="48"/>
      <c r="CQD39" s="48"/>
      <c r="CQE39" s="48"/>
      <c r="CQF39" s="48"/>
      <c r="CQG39" s="48"/>
      <c r="CQH39" s="48"/>
      <c r="CQI39" s="48"/>
      <c r="CQJ39" s="48"/>
      <c r="CQK39" s="48"/>
      <c r="CQL39" s="48"/>
      <c r="CQM39" s="45"/>
      <c r="CQN39" s="46"/>
      <c r="CQO39" s="46"/>
      <c r="CQP39" s="47"/>
      <c r="CQQ39" s="48"/>
      <c r="CQR39" s="48"/>
      <c r="CQS39" s="48"/>
      <c r="CQT39" s="48"/>
      <c r="CQU39" s="48"/>
      <c r="CQV39" s="48"/>
      <c r="CQW39" s="48"/>
      <c r="CQX39" s="48"/>
      <c r="CQY39" s="48"/>
      <c r="CQZ39" s="48"/>
      <c r="CRA39" s="48"/>
      <c r="CRB39" s="48"/>
      <c r="CRC39" s="48"/>
      <c r="CRD39" s="48"/>
      <c r="CRE39" s="48"/>
      <c r="CRF39" s="48"/>
      <c r="CRG39" s="48"/>
      <c r="CRH39" s="48"/>
      <c r="CRI39" s="45"/>
      <c r="CRJ39" s="46"/>
      <c r="CRK39" s="46"/>
      <c r="CRL39" s="47"/>
      <c r="CRM39" s="48"/>
      <c r="CRN39" s="48"/>
      <c r="CRO39" s="48"/>
      <c r="CRP39" s="48"/>
      <c r="CRQ39" s="48"/>
      <c r="CRR39" s="48"/>
      <c r="CRS39" s="48"/>
      <c r="CRT39" s="48"/>
      <c r="CRU39" s="48"/>
      <c r="CRV39" s="48"/>
      <c r="CRW39" s="48"/>
      <c r="CRX39" s="48"/>
      <c r="CRY39" s="48"/>
      <c r="CRZ39" s="48"/>
      <c r="CSA39" s="48"/>
      <c r="CSB39" s="48"/>
      <c r="CSC39" s="48"/>
      <c r="CSD39" s="48"/>
      <c r="CSE39" s="45"/>
      <c r="CSF39" s="46"/>
      <c r="CSG39" s="46"/>
      <c r="CSH39" s="47"/>
      <c r="CSI39" s="48"/>
      <c r="CSJ39" s="48"/>
      <c r="CSK39" s="48"/>
      <c r="CSL39" s="48"/>
      <c r="CSM39" s="48"/>
      <c r="CSN39" s="48"/>
      <c r="CSO39" s="48"/>
      <c r="CSP39" s="48"/>
      <c r="CSQ39" s="48"/>
      <c r="CSR39" s="48"/>
      <c r="CSS39" s="48"/>
      <c r="CST39" s="48"/>
      <c r="CSU39" s="48"/>
      <c r="CSV39" s="48"/>
      <c r="CSW39" s="48"/>
      <c r="CSX39" s="48"/>
      <c r="CSY39" s="48"/>
      <c r="CSZ39" s="48"/>
      <c r="CTA39" s="45"/>
      <c r="CTB39" s="46"/>
      <c r="CTC39" s="46"/>
      <c r="CTD39" s="47"/>
      <c r="CTE39" s="48"/>
      <c r="CTF39" s="48"/>
      <c r="CTG39" s="48"/>
      <c r="CTH39" s="48"/>
      <c r="CTI39" s="48"/>
      <c r="CTJ39" s="48"/>
      <c r="CTK39" s="48"/>
      <c r="CTL39" s="48"/>
      <c r="CTM39" s="48"/>
      <c r="CTN39" s="48"/>
      <c r="CTO39" s="48"/>
      <c r="CTP39" s="48"/>
      <c r="CTQ39" s="48"/>
      <c r="CTR39" s="48"/>
      <c r="CTS39" s="48"/>
      <c r="CTT39" s="48"/>
      <c r="CTU39" s="48"/>
      <c r="CTV39" s="48"/>
      <c r="CTW39" s="45"/>
      <c r="CTX39" s="46"/>
      <c r="CTY39" s="46"/>
      <c r="CTZ39" s="47"/>
      <c r="CUA39" s="48"/>
      <c r="CUB39" s="48"/>
      <c r="CUC39" s="48"/>
      <c r="CUD39" s="48"/>
      <c r="CUE39" s="48"/>
      <c r="CUF39" s="48"/>
      <c r="CUG39" s="48"/>
      <c r="CUH39" s="48"/>
      <c r="CUI39" s="48"/>
      <c r="CUJ39" s="48"/>
      <c r="CUK39" s="48"/>
      <c r="CUL39" s="48"/>
      <c r="CUM39" s="48"/>
      <c r="CUN39" s="48"/>
      <c r="CUO39" s="48"/>
      <c r="CUP39" s="48"/>
      <c r="CUQ39" s="48"/>
      <c r="CUR39" s="48"/>
      <c r="CUS39" s="45"/>
      <c r="CUT39" s="46"/>
      <c r="CUU39" s="46"/>
      <c r="CUV39" s="47"/>
      <c r="CUW39" s="48"/>
      <c r="CUX39" s="48"/>
      <c r="CUY39" s="48"/>
      <c r="CUZ39" s="48"/>
      <c r="CVA39" s="48"/>
      <c r="CVB39" s="48"/>
      <c r="CVC39" s="48"/>
      <c r="CVD39" s="48"/>
      <c r="CVE39" s="48"/>
      <c r="CVF39" s="48"/>
      <c r="CVG39" s="48"/>
      <c r="CVH39" s="48"/>
      <c r="CVI39" s="48"/>
      <c r="CVJ39" s="48"/>
      <c r="CVK39" s="48"/>
      <c r="CVL39" s="48"/>
      <c r="CVM39" s="48"/>
      <c r="CVN39" s="48"/>
      <c r="CVO39" s="45"/>
      <c r="CVP39" s="46"/>
      <c r="CVQ39" s="46"/>
      <c r="CVR39" s="47"/>
      <c r="CVS39" s="48"/>
      <c r="CVT39" s="48"/>
      <c r="CVU39" s="48"/>
      <c r="CVV39" s="48"/>
      <c r="CVW39" s="48"/>
      <c r="CVX39" s="48"/>
      <c r="CVY39" s="48"/>
      <c r="CVZ39" s="48"/>
      <c r="CWA39" s="48"/>
      <c r="CWB39" s="48"/>
      <c r="CWC39" s="48"/>
      <c r="CWD39" s="48"/>
      <c r="CWE39" s="48"/>
      <c r="CWF39" s="48"/>
      <c r="CWG39" s="48"/>
      <c r="CWH39" s="48"/>
      <c r="CWI39" s="48"/>
      <c r="CWJ39" s="48"/>
      <c r="CWK39" s="45"/>
      <c r="CWL39" s="46"/>
      <c r="CWM39" s="46"/>
      <c r="CWN39" s="47"/>
      <c r="CWO39" s="48"/>
      <c r="CWP39" s="48"/>
      <c r="CWQ39" s="48"/>
      <c r="CWR39" s="48"/>
      <c r="CWS39" s="48"/>
      <c r="CWT39" s="48"/>
      <c r="CWU39" s="48"/>
      <c r="CWV39" s="48"/>
      <c r="CWW39" s="48"/>
      <c r="CWX39" s="48"/>
      <c r="CWY39" s="48"/>
      <c r="CWZ39" s="48"/>
      <c r="CXA39" s="48"/>
      <c r="CXB39" s="48"/>
      <c r="CXC39" s="48"/>
      <c r="CXD39" s="48"/>
      <c r="CXE39" s="48"/>
      <c r="CXF39" s="48"/>
      <c r="CXG39" s="45"/>
      <c r="CXH39" s="46"/>
      <c r="CXI39" s="46"/>
      <c r="CXJ39" s="47"/>
      <c r="CXK39" s="48"/>
      <c r="CXL39" s="48"/>
      <c r="CXM39" s="48"/>
      <c r="CXN39" s="48"/>
      <c r="CXO39" s="48"/>
      <c r="CXP39" s="48"/>
      <c r="CXQ39" s="48"/>
      <c r="CXR39" s="48"/>
      <c r="CXS39" s="48"/>
      <c r="CXT39" s="48"/>
      <c r="CXU39" s="48"/>
      <c r="CXV39" s="48"/>
      <c r="CXW39" s="48"/>
      <c r="CXX39" s="48"/>
      <c r="CXY39" s="48"/>
      <c r="CXZ39" s="48"/>
      <c r="CYA39" s="48"/>
      <c r="CYB39" s="48"/>
      <c r="CYC39" s="45"/>
      <c r="CYD39" s="46"/>
      <c r="CYE39" s="46"/>
      <c r="CYF39" s="47"/>
      <c r="CYG39" s="48"/>
      <c r="CYH39" s="48"/>
      <c r="CYI39" s="48"/>
      <c r="CYJ39" s="48"/>
      <c r="CYK39" s="48"/>
      <c r="CYL39" s="48"/>
      <c r="CYM39" s="48"/>
      <c r="CYN39" s="48"/>
      <c r="CYO39" s="48"/>
      <c r="CYP39" s="48"/>
      <c r="CYQ39" s="48"/>
      <c r="CYR39" s="48"/>
      <c r="CYS39" s="48"/>
      <c r="CYT39" s="48"/>
      <c r="CYU39" s="48"/>
      <c r="CYV39" s="48"/>
      <c r="CYW39" s="48"/>
      <c r="CYX39" s="48"/>
      <c r="CYY39" s="45"/>
      <c r="CYZ39" s="46"/>
      <c r="CZA39" s="46"/>
      <c r="CZB39" s="47"/>
      <c r="CZC39" s="48"/>
      <c r="CZD39" s="48"/>
      <c r="CZE39" s="48"/>
      <c r="CZF39" s="48"/>
      <c r="CZG39" s="48"/>
      <c r="CZH39" s="48"/>
      <c r="CZI39" s="48"/>
      <c r="CZJ39" s="48"/>
      <c r="CZK39" s="48"/>
      <c r="CZL39" s="48"/>
      <c r="CZM39" s="48"/>
      <c r="CZN39" s="48"/>
      <c r="CZO39" s="48"/>
      <c r="CZP39" s="48"/>
      <c r="CZQ39" s="48"/>
      <c r="CZR39" s="48"/>
      <c r="CZS39" s="48"/>
      <c r="CZT39" s="48"/>
      <c r="CZU39" s="45"/>
      <c r="CZV39" s="46"/>
      <c r="CZW39" s="46"/>
      <c r="CZX39" s="47"/>
      <c r="CZY39" s="48"/>
      <c r="CZZ39" s="48"/>
      <c r="DAA39" s="48"/>
      <c r="DAB39" s="48"/>
      <c r="DAC39" s="48"/>
      <c r="DAD39" s="48"/>
      <c r="DAE39" s="48"/>
      <c r="DAF39" s="48"/>
      <c r="DAG39" s="48"/>
      <c r="DAH39" s="48"/>
      <c r="DAI39" s="48"/>
      <c r="DAJ39" s="48"/>
      <c r="DAK39" s="48"/>
      <c r="DAL39" s="48"/>
      <c r="DAM39" s="48"/>
      <c r="DAN39" s="48"/>
      <c r="DAO39" s="48"/>
      <c r="DAP39" s="48"/>
      <c r="DAQ39" s="45"/>
      <c r="DAR39" s="46"/>
      <c r="DAS39" s="46"/>
      <c r="DAT39" s="47"/>
      <c r="DAU39" s="48"/>
      <c r="DAV39" s="48"/>
      <c r="DAW39" s="48"/>
      <c r="DAX39" s="48"/>
      <c r="DAY39" s="48"/>
      <c r="DAZ39" s="48"/>
      <c r="DBA39" s="48"/>
      <c r="DBB39" s="48"/>
      <c r="DBC39" s="48"/>
      <c r="DBD39" s="48"/>
      <c r="DBE39" s="48"/>
      <c r="DBF39" s="48"/>
      <c r="DBG39" s="48"/>
      <c r="DBH39" s="48"/>
      <c r="DBI39" s="48"/>
      <c r="DBJ39" s="48"/>
      <c r="DBK39" s="48"/>
      <c r="DBL39" s="48"/>
      <c r="DBM39" s="45"/>
      <c r="DBN39" s="46"/>
      <c r="DBO39" s="46"/>
      <c r="DBP39" s="47"/>
      <c r="DBQ39" s="48"/>
      <c r="DBR39" s="48"/>
      <c r="DBS39" s="48"/>
      <c r="DBT39" s="48"/>
      <c r="DBU39" s="48"/>
      <c r="DBV39" s="48"/>
      <c r="DBW39" s="48"/>
      <c r="DBX39" s="48"/>
      <c r="DBY39" s="48"/>
      <c r="DBZ39" s="48"/>
      <c r="DCA39" s="48"/>
      <c r="DCB39" s="48"/>
      <c r="DCC39" s="48"/>
      <c r="DCD39" s="48"/>
      <c r="DCE39" s="48"/>
      <c r="DCF39" s="48"/>
      <c r="DCG39" s="48"/>
      <c r="DCH39" s="48"/>
      <c r="DCI39" s="45"/>
      <c r="DCJ39" s="46"/>
      <c r="DCK39" s="46"/>
      <c r="DCL39" s="47"/>
      <c r="DCM39" s="48"/>
      <c r="DCN39" s="48"/>
      <c r="DCO39" s="48"/>
      <c r="DCP39" s="48"/>
      <c r="DCQ39" s="48"/>
      <c r="DCR39" s="48"/>
      <c r="DCS39" s="48"/>
      <c r="DCT39" s="48"/>
      <c r="DCU39" s="48"/>
      <c r="DCV39" s="48"/>
      <c r="DCW39" s="48"/>
      <c r="DCX39" s="48"/>
      <c r="DCY39" s="48"/>
      <c r="DCZ39" s="48"/>
      <c r="DDA39" s="48"/>
      <c r="DDB39" s="48"/>
      <c r="DDC39" s="48"/>
      <c r="DDD39" s="48"/>
      <c r="DDE39" s="45"/>
      <c r="DDF39" s="46"/>
      <c r="DDG39" s="46"/>
      <c r="DDH39" s="47"/>
      <c r="DDI39" s="48"/>
      <c r="DDJ39" s="48"/>
      <c r="DDK39" s="48"/>
      <c r="DDL39" s="48"/>
      <c r="DDM39" s="48"/>
      <c r="DDN39" s="48"/>
      <c r="DDO39" s="48"/>
      <c r="DDP39" s="48"/>
      <c r="DDQ39" s="48"/>
      <c r="DDR39" s="48"/>
      <c r="DDS39" s="48"/>
      <c r="DDT39" s="48"/>
      <c r="DDU39" s="48"/>
      <c r="DDV39" s="48"/>
      <c r="DDW39" s="48"/>
      <c r="DDX39" s="48"/>
      <c r="DDY39" s="48"/>
      <c r="DDZ39" s="48"/>
      <c r="DEA39" s="45"/>
      <c r="DEB39" s="46"/>
      <c r="DEC39" s="46"/>
      <c r="DED39" s="47"/>
      <c r="DEE39" s="48"/>
      <c r="DEF39" s="48"/>
      <c r="DEG39" s="48"/>
      <c r="DEH39" s="48"/>
      <c r="DEI39" s="48"/>
      <c r="DEJ39" s="48"/>
      <c r="DEK39" s="48"/>
      <c r="DEL39" s="48"/>
      <c r="DEM39" s="48"/>
      <c r="DEN39" s="48"/>
      <c r="DEO39" s="48"/>
      <c r="DEP39" s="48"/>
      <c r="DEQ39" s="48"/>
      <c r="DER39" s="48"/>
      <c r="DES39" s="48"/>
      <c r="DET39" s="48"/>
      <c r="DEU39" s="48"/>
      <c r="DEV39" s="48"/>
      <c r="DEW39" s="45"/>
      <c r="DEX39" s="46"/>
      <c r="DEY39" s="46"/>
      <c r="DEZ39" s="47"/>
      <c r="DFA39" s="48"/>
      <c r="DFB39" s="48"/>
      <c r="DFC39" s="48"/>
      <c r="DFD39" s="48"/>
      <c r="DFE39" s="48"/>
      <c r="DFF39" s="48"/>
      <c r="DFG39" s="48"/>
      <c r="DFH39" s="48"/>
      <c r="DFI39" s="48"/>
      <c r="DFJ39" s="48"/>
      <c r="DFK39" s="48"/>
      <c r="DFL39" s="48"/>
      <c r="DFM39" s="48"/>
      <c r="DFN39" s="48"/>
      <c r="DFO39" s="48"/>
      <c r="DFP39" s="48"/>
      <c r="DFQ39" s="48"/>
      <c r="DFR39" s="48"/>
      <c r="DFS39" s="45"/>
      <c r="DFT39" s="46"/>
      <c r="DFU39" s="46"/>
      <c r="DFV39" s="47"/>
      <c r="DFW39" s="48"/>
      <c r="DFX39" s="48"/>
      <c r="DFY39" s="48"/>
      <c r="DFZ39" s="48"/>
      <c r="DGA39" s="48"/>
      <c r="DGB39" s="48"/>
      <c r="DGC39" s="48"/>
      <c r="DGD39" s="48"/>
      <c r="DGE39" s="48"/>
      <c r="DGF39" s="48"/>
      <c r="DGG39" s="48"/>
      <c r="DGH39" s="48"/>
      <c r="DGI39" s="48"/>
      <c r="DGJ39" s="48"/>
      <c r="DGK39" s="48"/>
      <c r="DGL39" s="48"/>
      <c r="DGM39" s="48"/>
      <c r="DGN39" s="48"/>
      <c r="DGO39" s="45"/>
      <c r="DGP39" s="46"/>
      <c r="DGQ39" s="46"/>
      <c r="DGR39" s="47"/>
      <c r="DGS39" s="48"/>
      <c r="DGT39" s="48"/>
      <c r="DGU39" s="48"/>
      <c r="DGV39" s="48"/>
      <c r="DGW39" s="48"/>
      <c r="DGX39" s="48"/>
      <c r="DGY39" s="48"/>
      <c r="DGZ39" s="48"/>
      <c r="DHA39" s="48"/>
      <c r="DHB39" s="48"/>
      <c r="DHC39" s="48"/>
      <c r="DHD39" s="48"/>
      <c r="DHE39" s="48"/>
      <c r="DHF39" s="48"/>
      <c r="DHG39" s="48"/>
      <c r="DHH39" s="48"/>
      <c r="DHI39" s="48"/>
      <c r="DHJ39" s="48"/>
      <c r="DHK39" s="45"/>
      <c r="DHL39" s="46"/>
      <c r="DHM39" s="46"/>
      <c r="DHN39" s="47"/>
      <c r="DHO39" s="48"/>
      <c r="DHP39" s="48"/>
      <c r="DHQ39" s="48"/>
      <c r="DHR39" s="48"/>
      <c r="DHS39" s="48"/>
      <c r="DHT39" s="48"/>
      <c r="DHU39" s="48"/>
      <c r="DHV39" s="48"/>
      <c r="DHW39" s="48"/>
      <c r="DHX39" s="48"/>
      <c r="DHY39" s="48"/>
      <c r="DHZ39" s="48"/>
      <c r="DIA39" s="48"/>
      <c r="DIB39" s="48"/>
      <c r="DIC39" s="48"/>
      <c r="DID39" s="48"/>
      <c r="DIE39" s="48"/>
      <c r="DIF39" s="48"/>
      <c r="DIG39" s="45"/>
      <c r="DIH39" s="46"/>
      <c r="DII39" s="46"/>
      <c r="DIJ39" s="47"/>
      <c r="DIK39" s="48"/>
      <c r="DIL39" s="48"/>
      <c r="DIM39" s="48"/>
      <c r="DIN39" s="48"/>
      <c r="DIO39" s="48"/>
      <c r="DIP39" s="48"/>
      <c r="DIQ39" s="48"/>
      <c r="DIR39" s="48"/>
      <c r="DIS39" s="48"/>
      <c r="DIT39" s="48"/>
      <c r="DIU39" s="48"/>
      <c r="DIV39" s="48"/>
      <c r="DIW39" s="48"/>
      <c r="DIX39" s="48"/>
      <c r="DIY39" s="48"/>
      <c r="DIZ39" s="48"/>
      <c r="DJA39" s="48"/>
      <c r="DJB39" s="48"/>
      <c r="DJC39" s="45"/>
      <c r="DJD39" s="46"/>
      <c r="DJE39" s="46"/>
      <c r="DJF39" s="47"/>
      <c r="DJG39" s="48"/>
      <c r="DJH39" s="48"/>
      <c r="DJI39" s="48"/>
      <c r="DJJ39" s="48"/>
      <c r="DJK39" s="48"/>
      <c r="DJL39" s="48"/>
      <c r="DJM39" s="48"/>
      <c r="DJN39" s="48"/>
      <c r="DJO39" s="48"/>
      <c r="DJP39" s="48"/>
      <c r="DJQ39" s="48"/>
      <c r="DJR39" s="48"/>
      <c r="DJS39" s="48"/>
      <c r="DJT39" s="48"/>
      <c r="DJU39" s="48"/>
      <c r="DJV39" s="48"/>
      <c r="DJW39" s="48"/>
      <c r="DJX39" s="48"/>
      <c r="DJY39" s="45"/>
      <c r="DJZ39" s="46"/>
      <c r="DKA39" s="46"/>
      <c r="DKB39" s="47"/>
      <c r="DKC39" s="48"/>
      <c r="DKD39" s="48"/>
      <c r="DKE39" s="48"/>
      <c r="DKF39" s="48"/>
      <c r="DKG39" s="48"/>
      <c r="DKH39" s="48"/>
      <c r="DKI39" s="48"/>
      <c r="DKJ39" s="48"/>
      <c r="DKK39" s="48"/>
      <c r="DKL39" s="48"/>
      <c r="DKM39" s="48"/>
      <c r="DKN39" s="48"/>
      <c r="DKO39" s="48"/>
      <c r="DKP39" s="48"/>
      <c r="DKQ39" s="48"/>
      <c r="DKR39" s="48"/>
      <c r="DKS39" s="48"/>
      <c r="DKT39" s="48"/>
      <c r="DKU39" s="45"/>
      <c r="DKV39" s="46"/>
      <c r="DKW39" s="46"/>
      <c r="DKX39" s="47"/>
      <c r="DKY39" s="48"/>
      <c r="DKZ39" s="48"/>
      <c r="DLA39" s="48"/>
      <c r="DLB39" s="48"/>
      <c r="DLC39" s="48"/>
      <c r="DLD39" s="48"/>
      <c r="DLE39" s="48"/>
      <c r="DLF39" s="48"/>
      <c r="DLG39" s="48"/>
      <c r="DLH39" s="48"/>
      <c r="DLI39" s="48"/>
      <c r="DLJ39" s="48"/>
      <c r="DLK39" s="48"/>
      <c r="DLL39" s="48"/>
      <c r="DLM39" s="48"/>
      <c r="DLN39" s="48"/>
      <c r="DLO39" s="48"/>
      <c r="DLP39" s="48"/>
      <c r="DLQ39" s="45"/>
      <c r="DLR39" s="46"/>
      <c r="DLS39" s="46"/>
      <c r="DLT39" s="47"/>
      <c r="DLU39" s="48"/>
      <c r="DLV39" s="48"/>
      <c r="DLW39" s="48"/>
      <c r="DLX39" s="48"/>
      <c r="DLY39" s="48"/>
      <c r="DLZ39" s="48"/>
      <c r="DMA39" s="48"/>
      <c r="DMB39" s="48"/>
      <c r="DMC39" s="48"/>
      <c r="DMD39" s="48"/>
      <c r="DME39" s="48"/>
      <c r="DMF39" s="48"/>
      <c r="DMG39" s="48"/>
      <c r="DMH39" s="48"/>
      <c r="DMI39" s="48"/>
      <c r="DMJ39" s="48"/>
      <c r="DMK39" s="48"/>
      <c r="DML39" s="48"/>
      <c r="DMM39" s="45"/>
      <c r="DMN39" s="46"/>
      <c r="DMO39" s="46"/>
      <c r="DMP39" s="47"/>
      <c r="DMQ39" s="48"/>
      <c r="DMR39" s="48"/>
      <c r="DMS39" s="48"/>
      <c r="DMT39" s="48"/>
      <c r="DMU39" s="48"/>
      <c r="DMV39" s="48"/>
      <c r="DMW39" s="48"/>
      <c r="DMX39" s="48"/>
      <c r="DMY39" s="48"/>
      <c r="DMZ39" s="48"/>
      <c r="DNA39" s="48"/>
      <c r="DNB39" s="48"/>
      <c r="DNC39" s="48"/>
      <c r="DND39" s="48"/>
      <c r="DNE39" s="48"/>
      <c r="DNF39" s="48"/>
      <c r="DNG39" s="48"/>
      <c r="DNH39" s="48"/>
      <c r="DNI39" s="45"/>
      <c r="DNJ39" s="46"/>
      <c r="DNK39" s="46"/>
      <c r="DNL39" s="47"/>
      <c r="DNM39" s="48"/>
      <c r="DNN39" s="48"/>
      <c r="DNO39" s="48"/>
      <c r="DNP39" s="48"/>
      <c r="DNQ39" s="48"/>
      <c r="DNR39" s="48"/>
      <c r="DNS39" s="48"/>
      <c r="DNT39" s="48"/>
      <c r="DNU39" s="48"/>
      <c r="DNV39" s="48"/>
      <c r="DNW39" s="48"/>
      <c r="DNX39" s="48"/>
      <c r="DNY39" s="48"/>
      <c r="DNZ39" s="48"/>
      <c r="DOA39" s="48"/>
      <c r="DOB39" s="48"/>
      <c r="DOC39" s="48"/>
      <c r="DOD39" s="48"/>
      <c r="DOE39" s="45"/>
      <c r="DOF39" s="46"/>
      <c r="DOG39" s="46"/>
      <c r="DOH39" s="47"/>
      <c r="DOI39" s="48"/>
      <c r="DOJ39" s="48"/>
      <c r="DOK39" s="48"/>
      <c r="DOL39" s="48"/>
      <c r="DOM39" s="48"/>
      <c r="DON39" s="48"/>
      <c r="DOO39" s="48"/>
      <c r="DOP39" s="48"/>
      <c r="DOQ39" s="48"/>
      <c r="DOR39" s="48"/>
      <c r="DOS39" s="48"/>
      <c r="DOT39" s="48"/>
      <c r="DOU39" s="48"/>
      <c r="DOV39" s="48"/>
      <c r="DOW39" s="48"/>
      <c r="DOX39" s="48"/>
      <c r="DOY39" s="48"/>
      <c r="DOZ39" s="48"/>
      <c r="DPA39" s="45"/>
      <c r="DPB39" s="46"/>
      <c r="DPC39" s="46"/>
      <c r="DPD39" s="47"/>
      <c r="DPE39" s="48"/>
      <c r="DPF39" s="48"/>
      <c r="DPG39" s="48"/>
      <c r="DPH39" s="48"/>
      <c r="DPI39" s="48"/>
      <c r="DPJ39" s="48"/>
      <c r="DPK39" s="48"/>
      <c r="DPL39" s="48"/>
      <c r="DPM39" s="48"/>
      <c r="DPN39" s="48"/>
      <c r="DPO39" s="48"/>
      <c r="DPP39" s="48"/>
      <c r="DPQ39" s="48"/>
      <c r="DPR39" s="48"/>
      <c r="DPS39" s="48"/>
      <c r="DPT39" s="48"/>
      <c r="DPU39" s="48"/>
      <c r="DPV39" s="48"/>
      <c r="DPW39" s="45"/>
      <c r="DPX39" s="46"/>
      <c r="DPY39" s="46"/>
      <c r="DPZ39" s="47"/>
      <c r="DQA39" s="48"/>
      <c r="DQB39" s="48"/>
      <c r="DQC39" s="48"/>
      <c r="DQD39" s="48"/>
      <c r="DQE39" s="48"/>
      <c r="DQF39" s="48"/>
      <c r="DQG39" s="48"/>
      <c r="DQH39" s="48"/>
      <c r="DQI39" s="48"/>
      <c r="DQJ39" s="48"/>
      <c r="DQK39" s="48"/>
      <c r="DQL39" s="48"/>
      <c r="DQM39" s="48"/>
      <c r="DQN39" s="48"/>
      <c r="DQO39" s="48"/>
      <c r="DQP39" s="48"/>
      <c r="DQQ39" s="48"/>
      <c r="DQR39" s="48"/>
      <c r="DQS39" s="45"/>
      <c r="DQT39" s="46"/>
      <c r="DQU39" s="46"/>
      <c r="DQV39" s="47"/>
      <c r="DQW39" s="48"/>
      <c r="DQX39" s="48"/>
      <c r="DQY39" s="48"/>
      <c r="DQZ39" s="48"/>
      <c r="DRA39" s="48"/>
      <c r="DRB39" s="48"/>
      <c r="DRC39" s="48"/>
      <c r="DRD39" s="48"/>
      <c r="DRE39" s="48"/>
      <c r="DRF39" s="48"/>
      <c r="DRG39" s="48"/>
      <c r="DRH39" s="48"/>
      <c r="DRI39" s="48"/>
      <c r="DRJ39" s="48"/>
      <c r="DRK39" s="48"/>
      <c r="DRL39" s="48"/>
      <c r="DRM39" s="48"/>
      <c r="DRN39" s="48"/>
      <c r="DRO39" s="45"/>
      <c r="DRP39" s="46"/>
      <c r="DRQ39" s="46"/>
      <c r="DRR39" s="47"/>
      <c r="DRS39" s="48"/>
      <c r="DRT39" s="48"/>
      <c r="DRU39" s="48"/>
      <c r="DRV39" s="48"/>
      <c r="DRW39" s="48"/>
      <c r="DRX39" s="48"/>
      <c r="DRY39" s="48"/>
      <c r="DRZ39" s="48"/>
      <c r="DSA39" s="48"/>
      <c r="DSB39" s="48"/>
      <c r="DSC39" s="48"/>
      <c r="DSD39" s="48"/>
      <c r="DSE39" s="48"/>
      <c r="DSF39" s="48"/>
      <c r="DSG39" s="48"/>
      <c r="DSH39" s="48"/>
      <c r="DSI39" s="48"/>
      <c r="DSJ39" s="48"/>
      <c r="DSK39" s="45"/>
      <c r="DSL39" s="46"/>
      <c r="DSM39" s="46"/>
      <c r="DSN39" s="47"/>
      <c r="DSO39" s="48"/>
      <c r="DSP39" s="48"/>
      <c r="DSQ39" s="48"/>
      <c r="DSR39" s="48"/>
      <c r="DSS39" s="48"/>
      <c r="DST39" s="48"/>
      <c r="DSU39" s="48"/>
      <c r="DSV39" s="48"/>
      <c r="DSW39" s="48"/>
      <c r="DSX39" s="48"/>
      <c r="DSY39" s="48"/>
      <c r="DSZ39" s="48"/>
      <c r="DTA39" s="48"/>
      <c r="DTB39" s="48"/>
      <c r="DTC39" s="48"/>
      <c r="DTD39" s="48"/>
      <c r="DTE39" s="48"/>
      <c r="DTF39" s="48"/>
      <c r="DTG39" s="45"/>
      <c r="DTH39" s="46"/>
      <c r="DTI39" s="46"/>
      <c r="DTJ39" s="47"/>
      <c r="DTK39" s="48"/>
      <c r="DTL39" s="48"/>
      <c r="DTM39" s="48"/>
      <c r="DTN39" s="48"/>
      <c r="DTO39" s="48"/>
      <c r="DTP39" s="48"/>
      <c r="DTQ39" s="48"/>
      <c r="DTR39" s="48"/>
      <c r="DTS39" s="48"/>
      <c r="DTT39" s="48"/>
      <c r="DTU39" s="48"/>
      <c r="DTV39" s="48"/>
      <c r="DTW39" s="48"/>
      <c r="DTX39" s="48"/>
      <c r="DTY39" s="48"/>
      <c r="DTZ39" s="48"/>
      <c r="DUA39" s="48"/>
      <c r="DUB39" s="48"/>
      <c r="DUC39" s="45"/>
      <c r="DUD39" s="46"/>
      <c r="DUE39" s="46"/>
      <c r="DUF39" s="47"/>
      <c r="DUG39" s="48"/>
      <c r="DUH39" s="48"/>
      <c r="DUI39" s="48"/>
      <c r="DUJ39" s="48"/>
      <c r="DUK39" s="48"/>
      <c r="DUL39" s="48"/>
      <c r="DUM39" s="48"/>
      <c r="DUN39" s="48"/>
      <c r="DUO39" s="48"/>
      <c r="DUP39" s="48"/>
      <c r="DUQ39" s="48"/>
      <c r="DUR39" s="48"/>
      <c r="DUS39" s="48"/>
      <c r="DUT39" s="48"/>
      <c r="DUU39" s="48"/>
      <c r="DUV39" s="48"/>
      <c r="DUW39" s="48"/>
      <c r="DUX39" s="48"/>
      <c r="DUY39" s="45"/>
      <c r="DUZ39" s="46"/>
      <c r="DVA39" s="46"/>
      <c r="DVB39" s="47"/>
      <c r="DVC39" s="48"/>
      <c r="DVD39" s="48"/>
      <c r="DVE39" s="48"/>
      <c r="DVF39" s="48"/>
      <c r="DVG39" s="48"/>
      <c r="DVH39" s="48"/>
      <c r="DVI39" s="48"/>
      <c r="DVJ39" s="48"/>
      <c r="DVK39" s="48"/>
      <c r="DVL39" s="48"/>
      <c r="DVM39" s="48"/>
      <c r="DVN39" s="48"/>
      <c r="DVO39" s="48"/>
      <c r="DVP39" s="48"/>
      <c r="DVQ39" s="48"/>
      <c r="DVR39" s="48"/>
      <c r="DVS39" s="48"/>
      <c r="DVT39" s="48"/>
      <c r="DVU39" s="45"/>
      <c r="DVV39" s="46"/>
      <c r="DVW39" s="46"/>
      <c r="DVX39" s="47"/>
      <c r="DVY39" s="48"/>
      <c r="DVZ39" s="48"/>
      <c r="DWA39" s="48"/>
      <c r="DWB39" s="48"/>
      <c r="DWC39" s="48"/>
      <c r="DWD39" s="48"/>
      <c r="DWE39" s="48"/>
      <c r="DWF39" s="48"/>
      <c r="DWG39" s="48"/>
      <c r="DWH39" s="48"/>
      <c r="DWI39" s="48"/>
      <c r="DWJ39" s="48"/>
      <c r="DWK39" s="48"/>
      <c r="DWL39" s="48"/>
      <c r="DWM39" s="48"/>
      <c r="DWN39" s="48"/>
      <c r="DWO39" s="48"/>
      <c r="DWP39" s="48"/>
      <c r="DWQ39" s="45"/>
      <c r="DWR39" s="46"/>
      <c r="DWS39" s="46"/>
      <c r="DWT39" s="47"/>
      <c r="DWU39" s="48"/>
      <c r="DWV39" s="48"/>
      <c r="DWW39" s="48"/>
      <c r="DWX39" s="48"/>
      <c r="DWY39" s="48"/>
      <c r="DWZ39" s="48"/>
      <c r="DXA39" s="48"/>
      <c r="DXB39" s="48"/>
      <c r="DXC39" s="48"/>
      <c r="DXD39" s="48"/>
      <c r="DXE39" s="48"/>
      <c r="DXF39" s="48"/>
      <c r="DXG39" s="48"/>
      <c r="DXH39" s="48"/>
      <c r="DXI39" s="48"/>
      <c r="DXJ39" s="48"/>
      <c r="DXK39" s="48"/>
      <c r="DXL39" s="48"/>
      <c r="DXM39" s="45"/>
      <c r="DXN39" s="46"/>
      <c r="DXO39" s="46"/>
      <c r="DXP39" s="47"/>
      <c r="DXQ39" s="48"/>
      <c r="DXR39" s="48"/>
      <c r="DXS39" s="48"/>
      <c r="DXT39" s="48"/>
      <c r="DXU39" s="48"/>
      <c r="DXV39" s="48"/>
      <c r="DXW39" s="48"/>
      <c r="DXX39" s="48"/>
      <c r="DXY39" s="48"/>
      <c r="DXZ39" s="48"/>
      <c r="DYA39" s="48"/>
      <c r="DYB39" s="48"/>
      <c r="DYC39" s="48"/>
      <c r="DYD39" s="48"/>
      <c r="DYE39" s="48"/>
      <c r="DYF39" s="48"/>
      <c r="DYG39" s="48"/>
      <c r="DYH39" s="48"/>
      <c r="DYI39" s="45"/>
      <c r="DYJ39" s="46"/>
      <c r="DYK39" s="46"/>
      <c r="DYL39" s="47"/>
      <c r="DYM39" s="48"/>
      <c r="DYN39" s="48"/>
      <c r="DYO39" s="48"/>
      <c r="DYP39" s="48"/>
      <c r="DYQ39" s="48"/>
      <c r="DYR39" s="48"/>
      <c r="DYS39" s="48"/>
      <c r="DYT39" s="48"/>
      <c r="DYU39" s="48"/>
      <c r="DYV39" s="48"/>
      <c r="DYW39" s="48"/>
      <c r="DYX39" s="48"/>
      <c r="DYY39" s="48"/>
      <c r="DYZ39" s="48"/>
      <c r="DZA39" s="48"/>
      <c r="DZB39" s="48"/>
      <c r="DZC39" s="48"/>
      <c r="DZD39" s="48"/>
      <c r="DZE39" s="45"/>
      <c r="DZF39" s="46"/>
      <c r="DZG39" s="46"/>
      <c r="DZH39" s="47"/>
      <c r="DZI39" s="48"/>
      <c r="DZJ39" s="48"/>
      <c r="DZK39" s="48"/>
      <c r="DZL39" s="48"/>
      <c r="DZM39" s="48"/>
      <c r="DZN39" s="48"/>
      <c r="DZO39" s="48"/>
      <c r="DZP39" s="48"/>
      <c r="DZQ39" s="48"/>
      <c r="DZR39" s="48"/>
      <c r="DZS39" s="48"/>
      <c r="DZT39" s="48"/>
      <c r="DZU39" s="48"/>
      <c r="DZV39" s="48"/>
      <c r="DZW39" s="48"/>
      <c r="DZX39" s="48"/>
      <c r="DZY39" s="48"/>
      <c r="DZZ39" s="48"/>
      <c r="EAA39" s="45"/>
      <c r="EAB39" s="46"/>
      <c r="EAC39" s="46"/>
      <c r="EAD39" s="47"/>
      <c r="EAE39" s="48"/>
      <c r="EAF39" s="48"/>
      <c r="EAG39" s="48"/>
      <c r="EAH39" s="48"/>
      <c r="EAI39" s="48"/>
      <c r="EAJ39" s="48"/>
      <c r="EAK39" s="48"/>
      <c r="EAL39" s="48"/>
      <c r="EAM39" s="48"/>
      <c r="EAN39" s="48"/>
      <c r="EAO39" s="48"/>
      <c r="EAP39" s="48"/>
      <c r="EAQ39" s="48"/>
      <c r="EAR39" s="48"/>
      <c r="EAS39" s="48"/>
      <c r="EAT39" s="48"/>
      <c r="EAU39" s="48"/>
      <c r="EAV39" s="48"/>
      <c r="EAW39" s="45"/>
      <c r="EAX39" s="46"/>
      <c r="EAY39" s="46"/>
      <c r="EAZ39" s="47"/>
      <c r="EBA39" s="48"/>
      <c r="EBB39" s="48"/>
      <c r="EBC39" s="48"/>
      <c r="EBD39" s="48"/>
      <c r="EBE39" s="48"/>
      <c r="EBF39" s="48"/>
      <c r="EBG39" s="48"/>
      <c r="EBH39" s="48"/>
      <c r="EBI39" s="48"/>
      <c r="EBJ39" s="48"/>
      <c r="EBK39" s="48"/>
      <c r="EBL39" s="48"/>
      <c r="EBM39" s="48"/>
      <c r="EBN39" s="48"/>
      <c r="EBO39" s="48"/>
      <c r="EBP39" s="48"/>
      <c r="EBQ39" s="48"/>
      <c r="EBR39" s="48"/>
      <c r="EBS39" s="45"/>
      <c r="EBT39" s="46"/>
      <c r="EBU39" s="46"/>
      <c r="EBV39" s="47"/>
      <c r="EBW39" s="48"/>
      <c r="EBX39" s="48"/>
      <c r="EBY39" s="48"/>
      <c r="EBZ39" s="48"/>
      <c r="ECA39" s="48"/>
      <c r="ECB39" s="48"/>
      <c r="ECC39" s="48"/>
      <c r="ECD39" s="48"/>
      <c r="ECE39" s="48"/>
      <c r="ECF39" s="48"/>
      <c r="ECG39" s="48"/>
      <c r="ECH39" s="48"/>
      <c r="ECI39" s="48"/>
      <c r="ECJ39" s="48"/>
      <c r="ECK39" s="48"/>
      <c r="ECL39" s="48"/>
      <c r="ECM39" s="48"/>
      <c r="ECN39" s="48"/>
      <c r="ECO39" s="45"/>
      <c r="ECP39" s="46"/>
      <c r="ECQ39" s="46"/>
      <c r="ECR39" s="47"/>
      <c r="ECS39" s="48"/>
      <c r="ECT39" s="48"/>
      <c r="ECU39" s="48"/>
      <c r="ECV39" s="48"/>
      <c r="ECW39" s="48"/>
      <c r="ECX39" s="48"/>
      <c r="ECY39" s="48"/>
      <c r="ECZ39" s="48"/>
      <c r="EDA39" s="48"/>
      <c r="EDB39" s="48"/>
      <c r="EDC39" s="48"/>
      <c r="EDD39" s="48"/>
      <c r="EDE39" s="48"/>
      <c r="EDF39" s="48"/>
      <c r="EDG39" s="48"/>
      <c r="EDH39" s="48"/>
      <c r="EDI39" s="48"/>
      <c r="EDJ39" s="48"/>
      <c r="EDK39" s="45"/>
      <c r="EDL39" s="46"/>
      <c r="EDM39" s="46"/>
      <c r="EDN39" s="47"/>
      <c r="EDO39" s="48"/>
      <c r="EDP39" s="48"/>
      <c r="EDQ39" s="48"/>
      <c r="EDR39" s="48"/>
      <c r="EDS39" s="48"/>
      <c r="EDT39" s="48"/>
      <c r="EDU39" s="48"/>
      <c r="EDV39" s="48"/>
      <c r="EDW39" s="48"/>
      <c r="EDX39" s="48"/>
      <c r="EDY39" s="48"/>
      <c r="EDZ39" s="48"/>
      <c r="EEA39" s="48"/>
      <c r="EEB39" s="48"/>
      <c r="EEC39" s="48"/>
      <c r="EED39" s="48"/>
      <c r="EEE39" s="48"/>
      <c r="EEF39" s="48"/>
      <c r="EEG39" s="45"/>
      <c r="EEH39" s="46"/>
      <c r="EEI39" s="46"/>
      <c r="EEJ39" s="47"/>
      <c r="EEK39" s="48"/>
      <c r="EEL39" s="48"/>
      <c r="EEM39" s="48"/>
      <c r="EEN39" s="48"/>
      <c r="EEO39" s="48"/>
      <c r="EEP39" s="48"/>
      <c r="EEQ39" s="48"/>
      <c r="EER39" s="48"/>
      <c r="EES39" s="48"/>
      <c r="EET39" s="48"/>
      <c r="EEU39" s="48"/>
      <c r="EEV39" s="48"/>
      <c r="EEW39" s="48"/>
      <c r="EEX39" s="48"/>
      <c r="EEY39" s="48"/>
      <c r="EEZ39" s="48"/>
      <c r="EFA39" s="48"/>
      <c r="EFB39" s="48"/>
      <c r="EFC39" s="45"/>
      <c r="EFD39" s="46"/>
      <c r="EFE39" s="46"/>
      <c r="EFF39" s="47"/>
      <c r="EFG39" s="48"/>
      <c r="EFH39" s="48"/>
      <c r="EFI39" s="48"/>
      <c r="EFJ39" s="48"/>
      <c r="EFK39" s="48"/>
      <c r="EFL39" s="48"/>
      <c r="EFM39" s="48"/>
      <c r="EFN39" s="48"/>
      <c r="EFO39" s="48"/>
      <c r="EFP39" s="48"/>
      <c r="EFQ39" s="48"/>
      <c r="EFR39" s="48"/>
      <c r="EFS39" s="48"/>
      <c r="EFT39" s="48"/>
      <c r="EFU39" s="48"/>
      <c r="EFV39" s="48"/>
      <c r="EFW39" s="48"/>
      <c r="EFX39" s="48"/>
      <c r="EFY39" s="45"/>
      <c r="EFZ39" s="46"/>
      <c r="EGA39" s="46"/>
      <c r="EGB39" s="47"/>
      <c r="EGC39" s="48"/>
      <c r="EGD39" s="48"/>
      <c r="EGE39" s="48"/>
      <c r="EGF39" s="48"/>
      <c r="EGG39" s="48"/>
      <c r="EGH39" s="48"/>
      <c r="EGI39" s="48"/>
      <c r="EGJ39" s="48"/>
      <c r="EGK39" s="48"/>
      <c r="EGL39" s="48"/>
      <c r="EGM39" s="48"/>
      <c r="EGN39" s="48"/>
      <c r="EGO39" s="48"/>
      <c r="EGP39" s="48"/>
      <c r="EGQ39" s="48"/>
      <c r="EGR39" s="48"/>
      <c r="EGS39" s="48"/>
      <c r="EGT39" s="48"/>
      <c r="EGU39" s="45"/>
      <c r="EGV39" s="46"/>
      <c r="EGW39" s="46"/>
      <c r="EGX39" s="47"/>
      <c r="EGY39" s="48"/>
      <c r="EGZ39" s="48"/>
      <c r="EHA39" s="48"/>
      <c r="EHB39" s="48"/>
      <c r="EHC39" s="48"/>
      <c r="EHD39" s="48"/>
      <c r="EHE39" s="48"/>
      <c r="EHF39" s="48"/>
      <c r="EHG39" s="48"/>
      <c r="EHH39" s="48"/>
      <c r="EHI39" s="48"/>
      <c r="EHJ39" s="48"/>
      <c r="EHK39" s="48"/>
      <c r="EHL39" s="48"/>
      <c r="EHM39" s="48"/>
      <c r="EHN39" s="48"/>
      <c r="EHO39" s="48"/>
      <c r="EHP39" s="48"/>
      <c r="EHQ39" s="45"/>
      <c r="EHR39" s="46"/>
      <c r="EHS39" s="46"/>
      <c r="EHT39" s="47"/>
      <c r="EHU39" s="48"/>
      <c r="EHV39" s="48"/>
      <c r="EHW39" s="48"/>
      <c r="EHX39" s="48"/>
      <c r="EHY39" s="48"/>
      <c r="EHZ39" s="48"/>
      <c r="EIA39" s="48"/>
      <c r="EIB39" s="48"/>
      <c r="EIC39" s="48"/>
      <c r="EID39" s="48"/>
      <c r="EIE39" s="48"/>
      <c r="EIF39" s="48"/>
      <c r="EIG39" s="48"/>
      <c r="EIH39" s="48"/>
      <c r="EII39" s="48"/>
      <c r="EIJ39" s="48"/>
      <c r="EIK39" s="48"/>
      <c r="EIL39" s="48"/>
      <c r="EIM39" s="45"/>
      <c r="EIN39" s="46"/>
      <c r="EIO39" s="46"/>
      <c r="EIP39" s="47"/>
      <c r="EIQ39" s="48"/>
      <c r="EIR39" s="48"/>
      <c r="EIS39" s="48"/>
      <c r="EIT39" s="48"/>
      <c r="EIU39" s="48"/>
      <c r="EIV39" s="48"/>
      <c r="EIW39" s="48"/>
      <c r="EIX39" s="48"/>
      <c r="EIY39" s="48"/>
      <c r="EIZ39" s="48"/>
      <c r="EJA39" s="48"/>
      <c r="EJB39" s="48"/>
      <c r="EJC39" s="48"/>
      <c r="EJD39" s="48"/>
      <c r="EJE39" s="48"/>
      <c r="EJF39" s="48"/>
      <c r="EJG39" s="48"/>
      <c r="EJH39" s="48"/>
      <c r="EJI39" s="45"/>
      <c r="EJJ39" s="46"/>
      <c r="EJK39" s="46"/>
      <c r="EJL39" s="47"/>
      <c r="EJM39" s="48"/>
      <c r="EJN39" s="48"/>
      <c r="EJO39" s="48"/>
      <c r="EJP39" s="48"/>
      <c r="EJQ39" s="48"/>
      <c r="EJR39" s="48"/>
      <c r="EJS39" s="48"/>
      <c r="EJT39" s="48"/>
      <c r="EJU39" s="48"/>
      <c r="EJV39" s="48"/>
      <c r="EJW39" s="48"/>
      <c r="EJX39" s="48"/>
      <c r="EJY39" s="48"/>
      <c r="EJZ39" s="48"/>
      <c r="EKA39" s="48"/>
      <c r="EKB39" s="48"/>
      <c r="EKC39" s="48"/>
      <c r="EKD39" s="48"/>
      <c r="EKE39" s="45"/>
      <c r="EKF39" s="46"/>
      <c r="EKG39" s="46"/>
      <c r="EKH39" s="47"/>
      <c r="EKI39" s="48"/>
      <c r="EKJ39" s="48"/>
      <c r="EKK39" s="48"/>
      <c r="EKL39" s="48"/>
      <c r="EKM39" s="48"/>
      <c r="EKN39" s="48"/>
      <c r="EKO39" s="48"/>
      <c r="EKP39" s="48"/>
      <c r="EKQ39" s="48"/>
      <c r="EKR39" s="48"/>
      <c r="EKS39" s="48"/>
      <c r="EKT39" s="48"/>
      <c r="EKU39" s="48"/>
      <c r="EKV39" s="48"/>
      <c r="EKW39" s="48"/>
      <c r="EKX39" s="48"/>
      <c r="EKY39" s="48"/>
      <c r="EKZ39" s="48"/>
      <c r="ELA39" s="45"/>
      <c r="ELB39" s="46"/>
      <c r="ELC39" s="46"/>
      <c r="ELD39" s="47"/>
      <c r="ELE39" s="48"/>
      <c r="ELF39" s="48"/>
      <c r="ELG39" s="48"/>
      <c r="ELH39" s="48"/>
      <c r="ELI39" s="48"/>
      <c r="ELJ39" s="48"/>
      <c r="ELK39" s="48"/>
      <c r="ELL39" s="48"/>
      <c r="ELM39" s="48"/>
      <c r="ELN39" s="48"/>
      <c r="ELO39" s="48"/>
      <c r="ELP39" s="48"/>
      <c r="ELQ39" s="48"/>
      <c r="ELR39" s="48"/>
      <c r="ELS39" s="48"/>
      <c r="ELT39" s="48"/>
      <c r="ELU39" s="48"/>
      <c r="ELV39" s="48"/>
      <c r="ELW39" s="45"/>
      <c r="ELX39" s="46"/>
      <c r="ELY39" s="46"/>
      <c r="ELZ39" s="47"/>
      <c r="EMA39" s="48"/>
      <c r="EMB39" s="48"/>
      <c r="EMC39" s="48"/>
      <c r="EMD39" s="48"/>
      <c r="EME39" s="48"/>
      <c r="EMF39" s="48"/>
      <c r="EMG39" s="48"/>
      <c r="EMH39" s="48"/>
      <c r="EMI39" s="48"/>
      <c r="EMJ39" s="48"/>
      <c r="EMK39" s="48"/>
      <c r="EML39" s="48"/>
      <c r="EMM39" s="48"/>
      <c r="EMN39" s="48"/>
      <c r="EMO39" s="48"/>
      <c r="EMP39" s="48"/>
      <c r="EMQ39" s="48"/>
      <c r="EMR39" s="48"/>
      <c r="EMS39" s="45"/>
      <c r="EMT39" s="46"/>
      <c r="EMU39" s="46"/>
      <c r="EMV39" s="47"/>
      <c r="EMW39" s="48"/>
      <c r="EMX39" s="48"/>
      <c r="EMY39" s="48"/>
      <c r="EMZ39" s="48"/>
      <c r="ENA39" s="48"/>
      <c r="ENB39" s="48"/>
      <c r="ENC39" s="48"/>
      <c r="END39" s="48"/>
      <c r="ENE39" s="48"/>
      <c r="ENF39" s="48"/>
      <c r="ENG39" s="48"/>
      <c r="ENH39" s="48"/>
      <c r="ENI39" s="48"/>
      <c r="ENJ39" s="48"/>
      <c r="ENK39" s="48"/>
      <c r="ENL39" s="48"/>
      <c r="ENM39" s="48"/>
      <c r="ENN39" s="48"/>
      <c r="ENO39" s="45"/>
      <c r="ENP39" s="46"/>
      <c r="ENQ39" s="46"/>
      <c r="ENR39" s="47"/>
      <c r="ENS39" s="48"/>
      <c r="ENT39" s="48"/>
      <c r="ENU39" s="48"/>
      <c r="ENV39" s="48"/>
      <c r="ENW39" s="48"/>
      <c r="ENX39" s="48"/>
      <c r="ENY39" s="48"/>
      <c r="ENZ39" s="48"/>
      <c r="EOA39" s="48"/>
      <c r="EOB39" s="48"/>
      <c r="EOC39" s="48"/>
      <c r="EOD39" s="48"/>
      <c r="EOE39" s="48"/>
      <c r="EOF39" s="48"/>
      <c r="EOG39" s="48"/>
      <c r="EOH39" s="48"/>
      <c r="EOI39" s="48"/>
      <c r="EOJ39" s="48"/>
      <c r="EOK39" s="45"/>
      <c r="EOL39" s="46"/>
      <c r="EOM39" s="46"/>
      <c r="EON39" s="47"/>
      <c r="EOO39" s="48"/>
      <c r="EOP39" s="48"/>
      <c r="EOQ39" s="48"/>
      <c r="EOR39" s="48"/>
      <c r="EOS39" s="48"/>
      <c r="EOT39" s="48"/>
      <c r="EOU39" s="48"/>
      <c r="EOV39" s="48"/>
      <c r="EOW39" s="48"/>
      <c r="EOX39" s="48"/>
      <c r="EOY39" s="48"/>
      <c r="EOZ39" s="48"/>
      <c r="EPA39" s="48"/>
      <c r="EPB39" s="48"/>
      <c r="EPC39" s="48"/>
      <c r="EPD39" s="48"/>
      <c r="EPE39" s="48"/>
      <c r="EPF39" s="48"/>
      <c r="EPG39" s="45"/>
      <c r="EPH39" s="46"/>
      <c r="EPI39" s="46"/>
      <c r="EPJ39" s="47"/>
      <c r="EPK39" s="48"/>
      <c r="EPL39" s="48"/>
      <c r="EPM39" s="48"/>
      <c r="EPN39" s="48"/>
      <c r="EPO39" s="48"/>
      <c r="EPP39" s="48"/>
      <c r="EPQ39" s="48"/>
      <c r="EPR39" s="48"/>
      <c r="EPS39" s="48"/>
      <c r="EPT39" s="48"/>
      <c r="EPU39" s="48"/>
      <c r="EPV39" s="48"/>
      <c r="EPW39" s="48"/>
      <c r="EPX39" s="48"/>
      <c r="EPY39" s="48"/>
      <c r="EPZ39" s="48"/>
      <c r="EQA39" s="48"/>
      <c r="EQB39" s="48"/>
      <c r="EQC39" s="45"/>
      <c r="EQD39" s="46"/>
      <c r="EQE39" s="46"/>
      <c r="EQF39" s="47"/>
      <c r="EQG39" s="48"/>
      <c r="EQH39" s="48"/>
      <c r="EQI39" s="48"/>
      <c r="EQJ39" s="48"/>
      <c r="EQK39" s="48"/>
      <c r="EQL39" s="48"/>
      <c r="EQM39" s="48"/>
      <c r="EQN39" s="48"/>
      <c r="EQO39" s="48"/>
      <c r="EQP39" s="48"/>
      <c r="EQQ39" s="48"/>
      <c r="EQR39" s="48"/>
      <c r="EQS39" s="48"/>
      <c r="EQT39" s="48"/>
      <c r="EQU39" s="48"/>
      <c r="EQV39" s="48"/>
      <c r="EQW39" s="48"/>
      <c r="EQX39" s="48"/>
      <c r="EQY39" s="45"/>
      <c r="EQZ39" s="46"/>
      <c r="ERA39" s="46"/>
      <c r="ERB39" s="47"/>
      <c r="ERC39" s="48"/>
      <c r="ERD39" s="48"/>
      <c r="ERE39" s="48"/>
      <c r="ERF39" s="48"/>
      <c r="ERG39" s="48"/>
      <c r="ERH39" s="48"/>
      <c r="ERI39" s="48"/>
      <c r="ERJ39" s="48"/>
      <c r="ERK39" s="48"/>
      <c r="ERL39" s="48"/>
      <c r="ERM39" s="48"/>
      <c r="ERN39" s="48"/>
      <c r="ERO39" s="48"/>
      <c r="ERP39" s="48"/>
      <c r="ERQ39" s="48"/>
      <c r="ERR39" s="48"/>
      <c r="ERS39" s="48"/>
      <c r="ERT39" s="48"/>
      <c r="ERU39" s="45"/>
      <c r="ERV39" s="46"/>
      <c r="ERW39" s="46"/>
      <c r="ERX39" s="47"/>
      <c r="ERY39" s="48"/>
      <c r="ERZ39" s="48"/>
      <c r="ESA39" s="48"/>
      <c r="ESB39" s="48"/>
      <c r="ESC39" s="48"/>
      <c r="ESD39" s="48"/>
      <c r="ESE39" s="48"/>
      <c r="ESF39" s="48"/>
      <c r="ESG39" s="48"/>
      <c r="ESH39" s="48"/>
      <c r="ESI39" s="48"/>
      <c r="ESJ39" s="48"/>
      <c r="ESK39" s="48"/>
      <c r="ESL39" s="48"/>
      <c r="ESM39" s="48"/>
      <c r="ESN39" s="48"/>
      <c r="ESO39" s="48"/>
      <c r="ESP39" s="48"/>
      <c r="ESQ39" s="45"/>
      <c r="ESR39" s="46"/>
      <c r="ESS39" s="46"/>
      <c r="EST39" s="47"/>
      <c r="ESU39" s="48"/>
      <c r="ESV39" s="48"/>
      <c r="ESW39" s="48"/>
      <c r="ESX39" s="48"/>
      <c r="ESY39" s="48"/>
      <c r="ESZ39" s="48"/>
      <c r="ETA39" s="48"/>
      <c r="ETB39" s="48"/>
      <c r="ETC39" s="48"/>
      <c r="ETD39" s="48"/>
      <c r="ETE39" s="48"/>
      <c r="ETF39" s="48"/>
      <c r="ETG39" s="48"/>
      <c r="ETH39" s="48"/>
      <c r="ETI39" s="48"/>
      <c r="ETJ39" s="48"/>
      <c r="ETK39" s="48"/>
      <c r="ETL39" s="48"/>
      <c r="ETM39" s="45"/>
      <c r="ETN39" s="46"/>
      <c r="ETO39" s="46"/>
      <c r="ETP39" s="47"/>
      <c r="ETQ39" s="48"/>
      <c r="ETR39" s="48"/>
      <c r="ETS39" s="48"/>
      <c r="ETT39" s="48"/>
      <c r="ETU39" s="48"/>
      <c r="ETV39" s="48"/>
      <c r="ETW39" s="48"/>
      <c r="ETX39" s="48"/>
      <c r="ETY39" s="48"/>
      <c r="ETZ39" s="48"/>
      <c r="EUA39" s="48"/>
      <c r="EUB39" s="48"/>
      <c r="EUC39" s="48"/>
      <c r="EUD39" s="48"/>
      <c r="EUE39" s="48"/>
      <c r="EUF39" s="48"/>
      <c r="EUG39" s="48"/>
      <c r="EUH39" s="48"/>
      <c r="EUI39" s="45"/>
      <c r="EUJ39" s="46"/>
      <c r="EUK39" s="46"/>
      <c r="EUL39" s="47"/>
      <c r="EUM39" s="48"/>
      <c r="EUN39" s="48"/>
      <c r="EUO39" s="48"/>
      <c r="EUP39" s="48"/>
      <c r="EUQ39" s="48"/>
      <c r="EUR39" s="48"/>
      <c r="EUS39" s="48"/>
      <c r="EUT39" s="48"/>
      <c r="EUU39" s="48"/>
      <c r="EUV39" s="48"/>
      <c r="EUW39" s="48"/>
      <c r="EUX39" s="48"/>
      <c r="EUY39" s="48"/>
      <c r="EUZ39" s="48"/>
      <c r="EVA39" s="48"/>
      <c r="EVB39" s="48"/>
      <c r="EVC39" s="48"/>
      <c r="EVD39" s="48"/>
      <c r="EVE39" s="45"/>
      <c r="EVF39" s="46"/>
      <c r="EVG39" s="46"/>
      <c r="EVH39" s="47"/>
      <c r="EVI39" s="48"/>
      <c r="EVJ39" s="48"/>
      <c r="EVK39" s="48"/>
      <c r="EVL39" s="48"/>
      <c r="EVM39" s="48"/>
      <c r="EVN39" s="48"/>
      <c r="EVO39" s="48"/>
      <c r="EVP39" s="48"/>
      <c r="EVQ39" s="48"/>
      <c r="EVR39" s="48"/>
      <c r="EVS39" s="48"/>
      <c r="EVT39" s="48"/>
      <c r="EVU39" s="48"/>
      <c r="EVV39" s="48"/>
      <c r="EVW39" s="48"/>
      <c r="EVX39" s="48"/>
      <c r="EVY39" s="48"/>
      <c r="EVZ39" s="48"/>
      <c r="EWA39" s="45"/>
      <c r="EWB39" s="46"/>
      <c r="EWC39" s="46"/>
      <c r="EWD39" s="47"/>
      <c r="EWE39" s="48"/>
      <c r="EWF39" s="48"/>
      <c r="EWG39" s="48"/>
      <c r="EWH39" s="48"/>
      <c r="EWI39" s="48"/>
      <c r="EWJ39" s="48"/>
      <c r="EWK39" s="48"/>
      <c r="EWL39" s="48"/>
      <c r="EWM39" s="48"/>
      <c r="EWN39" s="48"/>
      <c r="EWO39" s="48"/>
      <c r="EWP39" s="48"/>
      <c r="EWQ39" s="48"/>
      <c r="EWR39" s="48"/>
      <c r="EWS39" s="48"/>
      <c r="EWT39" s="48"/>
      <c r="EWU39" s="48"/>
      <c r="EWV39" s="48"/>
      <c r="EWW39" s="45"/>
      <c r="EWX39" s="46"/>
      <c r="EWY39" s="46"/>
      <c r="EWZ39" s="47"/>
      <c r="EXA39" s="48"/>
      <c r="EXB39" s="48"/>
      <c r="EXC39" s="48"/>
      <c r="EXD39" s="48"/>
      <c r="EXE39" s="48"/>
      <c r="EXF39" s="48"/>
      <c r="EXG39" s="48"/>
      <c r="EXH39" s="48"/>
      <c r="EXI39" s="48"/>
      <c r="EXJ39" s="48"/>
      <c r="EXK39" s="48"/>
      <c r="EXL39" s="48"/>
      <c r="EXM39" s="48"/>
      <c r="EXN39" s="48"/>
      <c r="EXO39" s="48"/>
      <c r="EXP39" s="48"/>
      <c r="EXQ39" s="48"/>
      <c r="EXR39" s="48"/>
      <c r="EXS39" s="45"/>
      <c r="EXT39" s="46"/>
      <c r="EXU39" s="46"/>
      <c r="EXV39" s="47"/>
      <c r="EXW39" s="48"/>
      <c r="EXX39" s="48"/>
      <c r="EXY39" s="48"/>
      <c r="EXZ39" s="48"/>
      <c r="EYA39" s="48"/>
      <c r="EYB39" s="48"/>
      <c r="EYC39" s="48"/>
      <c r="EYD39" s="48"/>
      <c r="EYE39" s="48"/>
      <c r="EYF39" s="48"/>
      <c r="EYG39" s="48"/>
      <c r="EYH39" s="48"/>
      <c r="EYI39" s="48"/>
      <c r="EYJ39" s="48"/>
      <c r="EYK39" s="48"/>
      <c r="EYL39" s="48"/>
      <c r="EYM39" s="48"/>
      <c r="EYN39" s="48"/>
      <c r="EYO39" s="45"/>
      <c r="EYP39" s="46"/>
      <c r="EYQ39" s="46"/>
      <c r="EYR39" s="47"/>
      <c r="EYS39" s="48"/>
      <c r="EYT39" s="48"/>
      <c r="EYU39" s="48"/>
      <c r="EYV39" s="48"/>
      <c r="EYW39" s="48"/>
      <c r="EYX39" s="48"/>
      <c r="EYY39" s="48"/>
      <c r="EYZ39" s="48"/>
      <c r="EZA39" s="48"/>
      <c r="EZB39" s="48"/>
      <c r="EZC39" s="48"/>
      <c r="EZD39" s="48"/>
      <c r="EZE39" s="48"/>
      <c r="EZF39" s="48"/>
      <c r="EZG39" s="48"/>
      <c r="EZH39" s="48"/>
      <c r="EZI39" s="48"/>
      <c r="EZJ39" s="48"/>
      <c r="EZK39" s="45"/>
      <c r="EZL39" s="46"/>
      <c r="EZM39" s="46"/>
      <c r="EZN39" s="47"/>
      <c r="EZO39" s="48"/>
      <c r="EZP39" s="48"/>
      <c r="EZQ39" s="48"/>
      <c r="EZR39" s="48"/>
      <c r="EZS39" s="48"/>
      <c r="EZT39" s="48"/>
      <c r="EZU39" s="48"/>
      <c r="EZV39" s="48"/>
      <c r="EZW39" s="48"/>
      <c r="EZX39" s="48"/>
      <c r="EZY39" s="48"/>
      <c r="EZZ39" s="48"/>
      <c r="FAA39" s="48"/>
      <c r="FAB39" s="48"/>
      <c r="FAC39" s="48"/>
      <c r="FAD39" s="48"/>
      <c r="FAE39" s="48"/>
      <c r="FAF39" s="48"/>
      <c r="FAG39" s="45"/>
      <c r="FAH39" s="46"/>
      <c r="FAI39" s="46"/>
      <c r="FAJ39" s="47"/>
      <c r="FAK39" s="48"/>
      <c r="FAL39" s="48"/>
      <c r="FAM39" s="48"/>
      <c r="FAN39" s="48"/>
      <c r="FAO39" s="48"/>
      <c r="FAP39" s="48"/>
      <c r="FAQ39" s="48"/>
      <c r="FAR39" s="48"/>
      <c r="FAS39" s="48"/>
      <c r="FAT39" s="48"/>
      <c r="FAU39" s="48"/>
      <c r="FAV39" s="48"/>
      <c r="FAW39" s="48"/>
      <c r="FAX39" s="48"/>
      <c r="FAY39" s="48"/>
      <c r="FAZ39" s="48"/>
      <c r="FBA39" s="48"/>
      <c r="FBB39" s="48"/>
      <c r="FBC39" s="45"/>
      <c r="FBD39" s="46"/>
      <c r="FBE39" s="46"/>
      <c r="FBF39" s="47"/>
      <c r="FBG39" s="48"/>
      <c r="FBH39" s="48"/>
      <c r="FBI39" s="48"/>
      <c r="FBJ39" s="48"/>
      <c r="FBK39" s="48"/>
      <c r="FBL39" s="48"/>
      <c r="FBM39" s="48"/>
      <c r="FBN39" s="48"/>
      <c r="FBO39" s="48"/>
      <c r="FBP39" s="48"/>
      <c r="FBQ39" s="48"/>
      <c r="FBR39" s="48"/>
      <c r="FBS39" s="48"/>
      <c r="FBT39" s="48"/>
      <c r="FBU39" s="48"/>
      <c r="FBV39" s="48"/>
      <c r="FBW39" s="48"/>
      <c r="FBX39" s="48"/>
      <c r="FBY39" s="45"/>
      <c r="FBZ39" s="46"/>
      <c r="FCA39" s="46"/>
      <c r="FCB39" s="47"/>
      <c r="FCC39" s="48"/>
      <c r="FCD39" s="48"/>
      <c r="FCE39" s="48"/>
      <c r="FCF39" s="48"/>
      <c r="FCG39" s="48"/>
      <c r="FCH39" s="48"/>
      <c r="FCI39" s="48"/>
      <c r="FCJ39" s="48"/>
      <c r="FCK39" s="48"/>
      <c r="FCL39" s="48"/>
      <c r="FCM39" s="48"/>
      <c r="FCN39" s="48"/>
      <c r="FCO39" s="48"/>
      <c r="FCP39" s="48"/>
      <c r="FCQ39" s="48"/>
      <c r="FCR39" s="48"/>
      <c r="FCS39" s="48"/>
      <c r="FCT39" s="48"/>
      <c r="FCU39" s="45"/>
      <c r="FCV39" s="46"/>
      <c r="FCW39" s="46"/>
      <c r="FCX39" s="47"/>
      <c r="FCY39" s="48"/>
      <c r="FCZ39" s="48"/>
      <c r="FDA39" s="48"/>
      <c r="FDB39" s="48"/>
      <c r="FDC39" s="48"/>
      <c r="FDD39" s="48"/>
      <c r="FDE39" s="48"/>
      <c r="FDF39" s="48"/>
      <c r="FDG39" s="48"/>
      <c r="FDH39" s="48"/>
      <c r="FDI39" s="48"/>
      <c r="FDJ39" s="48"/>
      <c r="FDK39" s="48"/>
      <c r="FDL39" s="48"/>
      <c r="FDM39" s="48"/>
      <c r="FDN39" s="48"/>
      <c r="FDO39" s="48"/>
      <c r="FDP39" s="48"/>
      <c r="FDQ39" s="45"/>
      <c r="FDR39" s="46"/>
      <c r="FDS39" s="46"/>
      <c r="FDT39" s="47"/>
      <c r="FDU39" s="48"/>
      <c r="FDV39" s="48"/>
      <c r="FDW39" s="48"/>
      <c r="FDX39" s="48"/>
      <c r="FDY39" s="48"/>
      <c r="FDZ39" s="48"/>
      <c r="FEA39" s="48"/>
      <c r="FEB39" s="48"/>
      <c r="FEC39" s="48"/>
      <c r="FED39" s="48"/>
      <c r="FEE39" s="48"/>
      <c r="FEF39" s="48"/>
      <c r="FEG39" s="48"/>
      <c r="FEH39" s="48"/>
      <c r="FEI39" s="48"/>
      <c r="FEJ39" s="48"/>
      <c r="FEK39" s="48"/>
      <c r="FEL39" s="48"/>
      <c r="FEM39" s="45"/>
      <c r="FEN39" s="46"/>
      <c r="FEO39" s="46"/>
      <c r="FEP39" s="47"/>
      <c r="FEQ39" s="48"/>
      <c r="FER39" s="48"/>
      <c r="FES39" s="48"/>
      <c r="FET39" s="48"/>
      <c r="FEU39" s="48"/>
      <c r="FEV39" s="48"/>
      <c r="FEW39" s="48"/>
      <c r="FEX39" s="48"/>
      <c r="FEY39" s="48"/>
      <c r="FEZ39" s="48"/>
      <c r="FFA39" s="48"/>
      <c r="FFB39" s="48"/>
      <c r="FFC39" s="48"/>
      <c r="FFD39" s="48"/>
      <c r="FFE39" s="48"/>
      <c r="FFF39" s="48"/>
      <c r="FFG39" s="48"/>
      <c r="FFH39" s="48"/>
      <c r="FFI39" s="45"/>
      <c r="FFJ39" s="46"/>
      <c r="FFK39" s="46"/>
      <c r="FFL39" s="47"/>
      <c r="FFM39" s="48"/>
      <c r="FFN39" s="48"/>
      <c r="FFO39" s="48"/>
      <c r="FFP39" s="48"/>
      <c r="FFQ39" s="48"/>
      <c r="FFR39" s="48"/>
      <c r="FFS39" s="48"/>
      <c r="FFT39" s="48"/>
      <c r="FFU39" s="48"/>
      <c r="FFV39" s="48"/>
      <c r="FFW39" s="48"/>
      <c r="FFX39" s="48"/>
      <c r="FFY39" s="48"/>
      <c r="FFZ39" s="48"/>
      <c r="FGA39" s="48"/>
      <c r="FGB39" s="48"/>
      <c r="FGC39" s="48"/>
      <c r="FGD39" s="48"/>
      <c r="FGE39" s="45"/>
      <c r="FGF39" s="46"/>
      <c r="FGG39" s="46"/>
      <c r="FGH39" s="47"/>
      <c r="FGI39" s="48"/>
      <c r="FGJ39" s="48"/>
      <c r="FGK39" s="48"/>
      <c r="FGL39" s="48"/>
      <c r="FGM39" s="48"/>
      <c r="FGN39" s="48"/>
      <c r="FGO39" s="48"/>
      <c r="FGP39" s="48"/>
      <c r="FGQ39" s="48"/>
      <c r="FGR39" s="48"/>
      <c r="FGS39" s="48"/>
      <c r="FGT39" s="48"/>
      <c r="FGU39" s="48"/>
      <c r="FGV39" s="48"/>
      <c r="FGW39" s="48"/>
      <c r="FGX39" s="48"/>
      <c r="FGY39" s="48"/>
      <c r="FGZ39" s="48"/>
      <c r="FHA39" s="45"/>
      <c r="FHB39" s="46"/>
      <c r="FHC39" s="46"/>
      <c r="FHD39" s="47"/>
      <c r="FHE39" s="48"/>
      <c r="FHF39" s="48"/>
      <c r="FHG39" s="48"/>
      <c r="FHH39" s="48"/>
      <c r="FHI39" s="48"/>
      <c r="FHJ39" s="48"/>
      <c r="FHK39" s="48"/>
      <c r="FHL39" s="48"/>
      <c r="FHM39" s="48"/>
      <c r="FHN39" s="48"/>
      <c r="FHO39" s="48"/>
      <c r="FHP39" s="48"/>
      <c r="FHQ39" s="48"/>
      <c r="FHR39" s="48"/>
      <c r="FHS39" s="48"/>
      <c r="FHT39" s="48"/>
      <c r="FHU39" s="48"/>
      <c r="FHV39" s="48"/>
      <c r="FHW39" s="45"/>
      <c r="FHX39" s="46"/>
      <c r="FHY39" s="46"/>
      <c r="FHZ39" s="47"/>
      <c r="FIA39" s="48"/>
      <c r="FIB39" s="48"/>
      <c r="FIC39" s="48"/>
      <c r="FID39" s="48"/>
      <c r="FIE39" s="48"/>
      <c r="FIF39" s="48"/>
      <c r="FIG39" s="48"/>
      <c r="FIH39" s="48"/>
      <c r="FII39" s="48"/>
      <c r="FIJ39" s="48"/>
      <c r="FIK39" s="48"/>
      <c r="FIL39" s="48"/>
      <c r="FIM39" s="48"/>
      <c r="FIN39" s="48"/>
      <c r="FIO39" s="48"/>
      <c r="FIP39" s="48"/>
      <c r="FIQ39" s="48"/>
      <c r="FIR39" s="48"/>
      <c r="FIS39" s="45"/>
      <c r="FIT39" s="46"/>
      <c r="FIU39" s="46"/>
      <c r="FIV39" s="47"/>
      <c r="FIW39" s="48"/>
      <c r="FIX39" s="48"/>
      <c r="FIY39" s="48"/>
      <c r="FIZ39" s="48"/>
      <c r="FJA39" s="48"/>
      <c r="FJB39" s="48"/>
      <c r="FJC39" s="48"/>
      <c r="FJD39" s="48"/>
      <c r="FJE39" s="48"/>
      <c r="FJF39" s="48"/>
      <c r="FJG39" s="48"/>
      <c r="FJH39" s="48"/>
      <c r="FJI39" s="48"/>
      <c r="FJJ39" s="48"/>
      <c r="FJK39" s="48"/>
      <c r="FJL39" s="48"/>
      <c r="FJM39" s="48"/>
      <c r="FJN39" s="48"/>
      <c r="FJO39" s="45"/>
      <c r="FJP39" s="46"/>
      <c r="FJQ39" s="46"/>
      <c r="FJR39" s="47"/>
      <c r="FJS39" s="48"/>
      <c r="FJT39" s="48"/>
      <c r="FJU39" s="48"/>
      <c r="FJV39" s="48"/>
      <c r="FJW39" s="48"/>
      <c r="FJX39" s="48"/>
      <c r="FJY39" s="48"/>
      <c r="FJZ39" s="48"/>
      <c r="FKA39" s="48"/>
      <c r="FKB39" s="48"/>
      <c r="FKC39" s="48"/>
      <c r="FKD39" s="48"/>
      <c r="FKE39" s="48"/>
      <c r="FKF39" s="48"/>
      <c r="FKG39" s="48"/>
      <c r="FKH39" s="48"/>
      <c r="FKI39" s="48"/>
      <c r="FKJ39" s="48"/>
      <c r="FKK39" s="45"/>
      <c r="FKL39" s="46"/>
      <c r="FKM39" s="46"/>
      <c r="FKN39" s="47"/>
      <c r="FKO39" s="48"/>
      <c r="FKP39" s="48"/>
      <c r="FKQ39" s="48"/>
      <c r="FKR39" s="48"/>
      <c r="FKS39" s="48"/>
      <c r="FKT39" s="48"/>
      <c r="FKU39" s="48"/>
      <c r="FKV39" s="48"/>
      <c r="FKW39" s="48"/>
      <c r="FKX39" s="48"/>
      <c r="FKY39" s="48"/>
      <c r="FKZ39" s="48"/>
      <c r="FLA39" s="48"/>
      <c r="FLB39" s="48"/>
      <c r="FLC39" s="48"/>
      <c r="FLD39" s="48"/>
      <c r="FLE39" s="48"/>
      <c r="FLF39" s="48"/>
      <c r="FLG39" s="45"/>
      <c r="FLH39" s="46"/>
      <c r="FLI39" s="46"/>
      <c r="FLJ39" s="47"/>
      <c r="FLK39" s="48"/>
      <c r="FLL39" s="48"/>
      <c r="FLM39" s="48"/>
      <c r="FLN39" s="48"/>
      <c r="FLO39" s="48"/>
      <c r="FLP39" s="48"/>
      <c r="FLQ39" s="48"/>
      <c r="FLR39" s="48"/>
      <c r="FLS39" s="48"/>
      <c r="FLT39" s="48"/>
      <c r="FLU39" s="48"/>
      <c r="FLV39" s="48"/>
      <c r="FLW39" s="48"/>
      <c r="FLX39" s="48"/>
      <c r="FLY39" s="48"/>
      <c r="FLZ39" s="48"/>
      <c r="FMA39" s="48"/>
      <c r="FMB39" s="48"/>
      <c r="FMC39" s="45"/>
      <c r="FMD39" s="46"/>
      <c r="FME39" s="46"/>
      <c r="FMF39" s="47"/>
      <c r="FMG39" s="48"/>
      <c r="FMH39" s="48"/>
      <c r="FMI39" s="48"/>
      <c r="FMJ39" s="48"/>
      <c r="FMK39" s="48"/>
      <c r="FML39" s="48"/>
      <c r="FMM39" s="48"/>
      <c r="FMN39" s="48"/>
      <c r="FMO39" s="48"/>
      <c r="FMP39" s="48"/>
      <c r="FMQ39" s="48"/>
      <c r="FMR39" s="48"/>
      <c r="FMS39" s="48"/>
      <c r="FMT39" s="48"/>
      <c r="FMU39" s="48"/>
      <c r="FMV39" s="48"/>
      <c r="FMW39" s="48"/>
      <c r="FMX39" s="48"/>
      <c r="FMY39" s="45"/>
      <c r="FMZ39" s="46"/>
      <c r="FNA39" s="46"/>
      <c r="FNB39" s="47"/>
      <c r="FNC39" s="48"/>
      <c r="FND39" s="48"/>
      <c r="FNE39" s="48"/>
      <c r="FNF39" s="48"/>
      <c r="FNG39" s="48"/>
      <c r="FNH39" s="48"/>
      <c r="FNI39" s="48"/>
      <c r="FNJ39" s="48"/>
      <c r="FNK39" s="48"/>
      <c r="FNL39" s="48"/>
      <c r="FNM39" s="48"/>
      <c r="FNN39" s="48"/>
      <c r="FNO39" s="48"/>
      <c r="FNP39" s="48"/>
      <c r="FNQ39" s="48"/>
      <c r="FNR39" s="48"/>
      <c r="FNS39" s="48"/>
      <c r="FNT39" s="48"/>
      <c r="FNU39" s="45"/>
      <c r="FNV39" s="46"/>
      <c r="FNW39" s="46"/>
      <c r="FNX39" s="47"/>
      <c r="FNY39" s="48"/>
      <c r="FNZ39" s="48"/>
      <c r="FOA39" s="48"/>
      <c r="FOB39" s="48"/>
      <c r="FOC39" s="48"/>
      <c r="FOD39" s="48"/>
      <c r="FOE39" s="48"/>
      <c r="FOF39" s="48"/>
      <c r="FOG39" s="48"/>
      <c r="FOH39" s="48"/>
      <c r="FOI39" s="48"/>
      <c r="FOJ39" s="48"/>
      <c r="FOK39" s="48"/>
      <c r="FOL39" s="48"/>
      <c r="FOM39" s="48"/>
      <c r="FON39" s="48"/>
      <c r="FOO39" s="48"/>
      <c r="FOP39" s="48"/>
      <c r="FOQ39" s="45"/>
      <c r="FOR39" s="46"/>
      <c r="FOS39" s="46"/>
      <c r="FOT39" s="47"/>
      <c r="FOU39" s="48"/>
      <c r="FOV39" s="48"/>
      <c r="FOW39" s="48"/>
      <c r="FOX39" s="48"/>
      <c r="FOY39" s="48"/>
      <c r="FOZ39" s="48"/>
      <c r="FPA39" s="48"/>
      <c r="FPB39" s="48"/>
      <c r="FPC39" s="48"/>
      <c r="FPD39" s="48"/>
      <c r="FPE39" s="48"/>
      <c r="FPF39" s="48"/>
      <c r="FPG39" s="48"/>
      <c r="FPH39" s="48"/>
      <c r="FPI39" s="48"/>
      <c r="FPJ39" s="48"/>
      <c r="FPK39" s="48"/>
      <c r="FPL39" s="48"/>
      <c r="FPM39" s="45"/>
      <c r="FPN39" s="46"/>
      <c r="FPO39" s="46"/>
      <c r="FPP39" s="47"/>
      <c r="FPQ39" s="48"/>
      <c r="FPR39" s="48"/>
      <c r="FPS39" s="48"/>
      <c r="FPT39" s="48"/>
      <c r="FPU39" s="48"/>
      <c r="FPV39" s="48"/>
      <c r="FPW39" s="48"/>
      <c r="FPX39" s="48"/>
      <c r="FPY39" s="48"/>
      <c r="FPZ39" s="48"/>
      <c r="FQA39" s="48"/>
      <c r="FQB39" s="48"/>
      <c r="FQC39" s="48"/>
      <c r="FQD39" s="48"/>
      <c r="FQE39" s="48"/>
      <c r="FQF39" s="48"/>
      <c r="FQG39" s="48"/>
      <c r="FQH39" s="48"/>
      <c r="FQI39" s="45"/>
      <c r="FQJ39" s="46"/>
      <c r="FQK39" s="46"/>
      <c r="FQL39" s="47"/>
      <c r="FQM39" s="48"/>
      <c r="FQN39" s="48"/>
      <c r="FQO39" s="48"/>
      <c r="FQP39" s="48"/>
      <c r="FQQ39" s="48"/>
      <c r="FQR39" s="48"/>
      <c r="FQS39" s="48"/>
      <c r="FQT39" s="48"/>
      <c r="FQU39" s="48"/>
      <c r="FQV39" s="48"/>
      <c r="FQW39" s="48"/>
      <c r="FQX39" s="48"/>
      <c r="FQY39" s="48"/>
      <c r="FQZ39" s="48"/>
      <c r="FRA39" s="48"/>
      <c r="FRB39" s="48"/>
      <c r="FRC39" s="48"/>
      <c r="FRD39" s="48"/>
      <c r="FRE39" s="45"/>
      <c r="FRF39" s="46"/>
      <c r="FRG39" s="46"/>
      <c r="FRH39" s="47"/>
      <c r="FRI39" s="48"/>
      <c r="FRJ39" s="48"/>
      <c r="FRK39" s="48"/>
      <c r="FRL39" s="48"/>
      <c r="FRM39" s="48"/>
      <c r="FRN39" s="48"/>
      <c r="FRO39" s="48"/>
      <c r="FRP39" s="48"/>
      <c r="FRQ39" s="48"/>
      <c r="FRR39" s="48"/>
      <c r="FRS39" s="48"/>
      <c r="FRT39" s="48"/>
      <c r="FRU39" s="48"/>
      <c r="FRV39" s="48"/>
      <c r="FRW39" s="48"/>
      <c r="FRX39" s="48"/>
      <c r="FRY39" s="48"/>
      <c r="FRZ39" s="48"/>
      <c r="FSA39" s="45"/>
      <c r="FSB39" s="46"/>
      <c r="FSC39" s="46"/>
      <c r="FSD39" s="47"/>
      <c r="FSE39" s="48"/>
      <c r="FSF39" s="48"/>
      <c r="FSG39" s="48"/>
      <c r="FSH39" s="48"/>
      <c r="FSI39" s="48"/>
      <c r="FSJ39" s="48"/>
      <c r="FSK39" s="48"/>
      <c r="FSL39" s="48"/>
      <c r="FSM39" s="48"/>
      <c r="FSN39" s="48"/>
      <c r="FSO39" s="48"/>
      <c r="FSP39" s="48"/>
      <c r="FSQ39" s="48"/>
      <c r="FSR39" s="48"/>
      <c r="FSS39" s="48"/>
      <c r="FST39" s="48"/>
      <c r="FSU39" s="48"/>
      <c r="FSV39" s="48"/>
      <c r="FSW39" s="45"/>
      <c r="FSX39" s="46"/>
      <c r="FSY39" s="46"/>
      <c r="FSZ39" s="47"/>
      <c r="FTA39" s="48"/>
      <c r="FTB39" s="48"/>
      <c r="FTC39" s="48"/>
      <c r="FTD39" s="48"/>
      <c r="FTE39" s="48"/>
      <c r="FTF39" s="48"/>
      <c r="FTG39" s="48"/>
      <c r="FTH39" s="48"/>
      <c r="FTI39" s="48"/>
      <c r="FTJ39" s="48"/>
      <c r="FTK39" s="48"/>
      <c r="FTL39" s="48"/>
      <c r="FTM39" s="48"/>
      <c r="FTN39" s="48"/>
      <c r="FTO39" s="48"/>
      <c r="FTP39" s="48"/>
      <c r="FTQ39" s="48"/>
      <c r="FTR39" s="48"/>
      <c r="FTS39" s="45"/>
      <c r="FTT39" s="46"/>
      <c r="FTU39" s="46"/>
      <c r="FTV39" s="47"/>
      <c r="FTW39" s="48"/>
      <c r="FTX39" s="48"/>
      <c r="FTY39" s="48"/>
      <c r="FTZ39" s="48"/>
      <c r="FUA39" s="48"/>
      <c r="FUB39" s="48"/>
      <c r="FUC39" s="48"/>
      <c r="FUD39" s="48"/>
      <c r="FUE39" s="48"/>
      <c r="FUF39" s="48"/>
      <c r="FUG39" s="48"/>
      <c r="FUH39" s="48"/>
      <c r="FUI39" s="48"/>
      <c r="FUJ39" s="48"/>
      <c r="FUK39" s="48"/>
      <c r="FUL39" s="48"/>
      <c r="FUM39" s="48"/>
      <c r="FUN39" s="48"/>
      <c r="FUO39" s="45"/>
      <c r="FUP39" s="46"/>
      <c r="FUQ39" s="46"/>
      <c r="FUR39" s="47"/>
      <c r="FUS39" s="48"/>
      <c r="FUT39" s="48"/>
      <c r="FUU39" s="48"/>
      <c r="FUV39" s="48"/>
      <c r="FUW39" s="48"/>
      <c r="FUX39" s="48"/>
      <c r="FUY39" s="48"/>
      <c r="FUZ39" s="48"/>
      <c r="FVA39" s="48"/>
      <c r="FVB39" s="48"/>
      <c r="FVC39" s="48"/>
      <c r="FVD39" s="48"/>
      <c r="FVE39" s="48"/>
      <c r="FVF39" s="48"/>
      <c r="FVG39" s="48"/>
      <c r="FVH39" s="48"/>
      <c r="FVI39" s="48"/>
      <c r="FVJ39" s="48"/>
      <c r="FVK39" s="45"/>
      <c r="FVL39" s="46"/>
      <c r="FVM39" s="46"/>
      <c r="FVN39" s="47"/>
      <c r="FVO39" s="48"/>
      <c r="FVP39" s="48"/>
      <c r="FVQ39" s="48"/>
      <c r="FVR39" s="48"/>
      <c r="FVS39" s="48"/>
      <c r="FVT39" s="48"/>
      <c r="FVU39" s="48"/>
      <c r="FVV39" s="48"/>
      <c r="FVW39" s="48"/>
      <c r="FVX39" s="48"/>
      <c r="FVY39" s="48"/>
      <c r="FVZ39" s="48"/>
      <c r="FWA39" s="48"/>
      <c r="FWB39" s="48"/>
      <c r="FWC39" s="48"/>
      <c r="FWD39" s="48"/>
      <c r="FWE39" s="48"/>
      <c r="FWF39" s="48"/>
      <c r="FWG39" s="45"/>
      <c r="FWH39" s="46"/>
      <c r="FWI39" s="46"/>
      <c r="FWJ39" s="47"/>
      <c r="FWK39" s="48"/>
      <c r="FWL39" s="48"/>
      <c r="FWM39" s="48"/>
      <c r="FWN39" s="48"/>
      <c r="FWO39" s="48"/>
      <c r="FWP39" s="48"/>
      <c r="FWQ39" s="48"/>
      <c r="FWR39" s="48"/>
      <c r="FWS39" s="48"/>
      <c r="FWT39" s="48"/>
      <c r="FWU39" s="48"/>
      <c r="FWV39" s="48"/>
      <c r="FWW39" s="48"/>
      <c r="FWX39" s="48"/>
      <c r="FWY39" s="48"/>
      <c r="FWZ39" s="48"/>
      <c r="FXA39" s="48"/>
      <c r="FXB39" s="48"/>
      <c r="FXC39" s="45"/>
      <c r="FXD39" s="46"/>
      <c r="FXE39" s="46"/>
      <c r="FXF39" s="47"/>
      <c r="FXG39" s="48"/>
      <c r="FXH39" s="48"/>
      <c r="FXI39" s="48"/>
      <c r="FXJ39" s="48"/>
      <c r="FXK39" s="48"/>
      <c r="FXL39" s="48"/>
      <c r="FXM39" s="48"/>
      <c r="FXN39" s="48"/>
      <c r="FXO39" s="48"/>
      <c r="FXP39" s="48"/>
      <c r="FXQ39" s="48"/>
      <c r="FXR39" s="48"/>
      <c r="FXS39" s="48"/>
      <c r="FXT39" s="48"/>
      <c r="FXU39" s="48"/>
      <c r="FXV39" s="48"/>
      <c r="FXW39" s="48"/>
      <c r="FXX39" s="48"/>
      <c r="FXY39" s="45"/>
      <c r="FXZ39" s="46"/>
      <c r="FYA39" s="46"/>
      <c r="FYB39" s="47"/>
      <c r="FYC39" s="48"/>
      <c r="FYD39" s="48"/>
      <c r="FYE39" s="48"/>
      <c r="FYF39" s="48"/>
      <c r="FYG39" s="48"/>
      <c r="FYH39" s="48"/>
      <c r="FYI39" s="48"/>
      <c r="FYJ39" s="48"/>
      <c r="FYK39" s="48"/>
      <c r="FYL39" s="48"/>
      <c r="FYM39" s="48"/>
      <c r="FYN39" s="48"/>
      <c r="FYO39" s="48"/>
      <c r="FYP39" s="48"/>
      <c r="FYQ39" s="48"/>
      <c r="FYR39" s="48"/>
      <c r="FYS39" s="48"/>
      <c r="FYT39" s="48"/>
      <c r="FYU39" s="45"/>
      <c r="FYV39" s="46"/>
      <c r="FYW39" s="46"/>
      <c r="FYX39" s="47"/>
      <c r="FYY39" s="48"/>
      <c r="FYZ39" s="48"/>
      <c r="FZA39" s="48"/>
      <c r="FZB39" s="48"/>
      <c r="FZC39" s="48"/>
      <c r="FZD39" s="48"/>
      <c r="FZE39" s="48"/>
      <c r="FZF39" s="48"/>
      <c r="FZG39" s="48"/>
      <c r="FZH39" s="48"/>
      <c r="FZI39" s="48"/>
      <c r="FZJ39" s="48"/>
      <c r="FZK39" s="48"/>
      <c r="FZL39" s="48"/>
      <c r="FZM39" s="48"/>
      <c r="FZN39" s="48"/>
      <c r="FZO39" s="48"/>
      <c r="FZP39" s="48"/>
      <c r="FZQ39" s="45"/>
      <c r="FZR39" s="46"/>
      <c r="FZS39" s="46"/>
      <c r="FZT39" s="47"/>
      <c r="FZU39" s="48"/>
      <c r="FZV39" s="48"/>
      <c r="FZW39" s="48"/>
      <c r="FZX39" s="48"/>
      <c r="FZY39" s="48"/>
      <c r="FZZ39" s="48"/>
      <c r="GAA39" s="48"/>
      <c r="GAB39" s="48"/>
      <c r="GAC39" s="48"/>
      <c r="GAD39" s="48"/>
      <c r="GAE39" s="48"/>
      <c r="GAF39" s="48"/>
      <c r="GAG39" s="48"/>
      <c r="GAH39" s="48"/>
      <c r="GAI39" s="48"/>
      <c r="GAJ39" s="48"/>
      <c r="GAK39" s="48"/>
      <c r="GAL39" s="48"/>
      <c r="GAM39" s="45"/>
      <c r="GAN39" s="46"/>
      <c r="GAO39" s="46"/>
      <c r="GAP39" s="47"/>
      <c r="GAQ39" s="48"/>
      <c r="GAR39" s="48"/>
      <c r="GAS39" s="48"/>
      <c r="GAT39" s="48"/>
      <c r="GAU39" s="48"/>
      <c r="GAV39" s="48"/>
      <c r="GAW39" s="48"/>
      <c r="GAX39" s="48"/>
      <c r="GAY39" s="48"/>
      <c r="GAZ39" s="48"/>
      <c r="GBA39" s="48"/>
      <c r="GBB39" s="48"/>
      <c r="GBC39" s="48"/>
      <c r="GBD39" s="48"/>
      <c r="GBE39" s="48"/>
      <c r="GBF39" s="48"/>
      <c r="GBG39" s="48"/>
      <c r="GBH39" s="48"/>
      <c r="GBI39" s="45"/>
      <c r="GBJ39" s="46"/>
      <c r="GBK39" s="46"/>
      <c r="GBL39" s="47"/>
      <c r="GBM39" s="48"/>
      <c r="GBN39" s="48"/>
      <c r="GBO39" s="48"/>
      <c r="GBP39" s="48"/>
      <c r="GBQ39" s="48"/>
      <c r="GBR39" s="48"/>
      <c r="GBS39" s="48"/>
      <c r="GBT39" s="48"/>
      <c r="GBU39" s="48"/>
      <c r="GBV39" s="48"/>
      <c r="GBW39" s="48"/>
      <c r="GBX39" s="48"/>
      <c r="GBY39" s="48"/>
      <c r="GBZ39" s="48"/>
      <c r="GCA39" s="48"/>
      <c r="GCB39" s="48"/>
      <c r="GCC39" s="48"/>
      <c r="GCD39" s="48"/>
      <c r="GCE39" s="45"/>
      <c r="GCF39" s="46"/>
      <c r="GCG39" s="46"/>
      <c r="GCH39" s="47"/>
      <c r="GCI39" s="48"/>
      <c r="GCJ39" s="48"/>
      <c r="GCK39" s="48"/>
      <c r="GCL39" s="48"/>
      <c r="GCM39" s="48"/>
      <c r="GCN39" s="48"/>
      <c r="GCO39" s="48"/>
      <c r="GCP39" s="48"/>
      <c r="GCQ39" s="48"/>
      <c r="GCR39" s="48"/>
      <c r="GCS39" s="48"/>
      <c r="GCT39" s="48"/>
      <c r="GCU39" s="48"/>
      <c r="GCV39" s="48"/>
      <c r="GCW39" s="48"/>
      <c r="GCX39" s="48"/>
      <c r="GCY39" s="48"/>
      <c r="GCZ39" s="48"/>
      <c r="GDA39" s="45"/>
      <c r="GDB39" s="46"/>
      <c r="GDC39" s="46"/>
      <c r="GDD39" s="47"/>
      <c r="GDE39" s="48"/>
      <c r="GDF39" s="48"/>
      <c r="GDG39" s="48"/>
      <c r="GDH39" s="48"/>
      <c r="GDI39" s="48"/>
      <c r="GDJ39" s="48"/>
      <c r="GDK39" s="48"/>
      <c r="GDL39" s="48"/>
      <c r="GDM39" s="48"/>
      <c r="GDN39" s="48"/>
      <c r="GDO39" s="48"/>
      <c r="GDP39" s="48"/>
      <c r="GDQ39" s="48"/>
      <c r="GDR39" s="48"/>
      <c r="GDS39" s="48"/>
      <c r="GDT39" s="48"/>
      <c r="GDU39" s="48"/>
      <c r="GDV39" s="48"/>
      <c r="GDW39" s="45"/>
      <c r="GDX39" s="46"/>
      <c r="GDY39" s="46"/>
      <c r="GDZ39" s="47"/>
      <c r="GEA39" s="48"/>
      <c r="GEB39" s="48"/>
      <c r="GEC39" s="48"/>
      <c r="GED39" s="48"/>
      <c r="GEE39" s="48"/>
      <c r="GEF39" s="48"/>
      <c r="GEG39" s="48"/>
      <c r="GEH39" s="48"/>
      <c r="GEI39" s="48"/>
      <c r="GEJ39" s="48"/>
      <c r="GEK39" s="48"/>
      <c r="GEL39" s="48"/>
      <c r="GEM39" s="48"/>
      <c r="GEN39" s="48"/>
      <c r="GEO39" s="48"/>
      <c r="GEP39" s="48"/>
      <c r="GEQ39" s="48"/>
      <c r="GER39" s="48"/>
      <c r="GES39" s="45"/>
      <c r="GET39" s="46"/>
      <c r="GEU39" s="46"/>
      <c r="GEV39" s="47"/>
      <c r="GEW39" s="48"/>
      <c r="GEX39" s="48"/>
      <c r="GEY39" s="48"/>
      <c r="GEZ39" s="48"/>
      <c r="GFA39" s="48"/>
      <c r="GFB39" s="48"/>
      <c r="GFC39" s="48"/>
      <c r="GFD39" s="48"/>
      <c r="GFE39" s="48"/>
      <c r="GFF39" s="48"/>
      <c r="GFG39" s="48"/>
      <c r="GFH39" s="48"/>
      <c r="GFI39" s="48"/>
      <c r="GFJ39" s="48"/>
      <c r="GFK39" s="48"/>
      <c r="GFL39" s="48"/>
      <c r="GFM39" s="48"/>
      <c r="GFN39" s="48"/>
      <c r="GFO39" s="45"/>
      <c r="GFP39" s="46"/>
      <c r="GFQ39" s="46"/>
      <c r="GFR39" s="47"/>
      <c r="GFS39" s="48"/>
      <c r="GFT39" s="48"/>
      <c r="GFU39" s="48"/>
      <c r="GFV39" s="48"/>
      <c r="GFW39" s="48"/>
      <c r="GFX39" s="48"/>
      <c r="GFY39" s="48"/>
      <c r="GFZ39" s="48"/>
      <c r="GGA39" s="48"/>
      <c r="GGB39" s="48"/>
      <c r="GGC39" s="48"/>
      <c r="GGD39" s="48"/>
      <c r="GGE39" s="48"/>
      <c r="GGF39" s="48"/>
      <c r="GGG39" s="48"/>
      <c r="GGH39" s="48"/>
      <c r="GGI39" s="48"/>
      <c r="GGJ39" s="48"/>
      <c r="GGK39" s="45"/>
      <c r="GGL39" s="46"/>
      <c r="GGM39" s="46"/>
      <c r="GGN39" s="47"/>
      <c r="GGO39" s="48"/>
      <c r="GGP39" s="48"/>
      <c r="GGQ39" s="48"/>
      <c r="GGR39" s="48"/>
      <c r="GGS39" s="48"/>
      <c r="GGT39" s="48"/>
      <c r="GGU39" s="48"/>
      <c r="GGV39" s="48"/>
      <c r="GGW39" s="48"/>
      <c r="GGX39" s="48"/>
      <c r="GGY39" s="48"/>
      <c r="GGZ39" s="48"/>
      <c r="GHA39" s="48"/>
      <c r="GHB39" s="48"/>
      <c r="GHC39" s="48"/>
      <c r="GHD39" s="48"/>
      <c r="GHE39" s="48"/>
      <c r="GHF39" s="48"/>
      <c r="GHG39" s="45"/>
      <c r="GHH39" s="46"/>
      <c r="GHI39" s="46"/>
      <c r="GHJ39" s="47"/>
      <c r="GHK39" s="48"/>
      <c r="GHL39" s="48"/>
      <c r="GHM39" s="48"/>
      <c r="GHN39" s="48"/>
      <c r="GHO39" s="48"/>
      <c r="GHP39" s="48"/>
      <c r="GHQ39" s="48"/>
      <c r="GHR39" s="48"/>
      <c r="GHS39" s="48"/>
      <c r="GHT39" s="48"/>
      <c r="GHU39" s="48"/>
      <c r="GHV39" s="48"/>
      <c r="GHW39" s="48"/>
      <c r="GHX39" s="48"/>
      <c r="GHY39" s="48"/>
      <c r="GHZ39" s="48"/>
      <c r="GIA39" s="48"/>
      <c r="GIB39" s="48"/>
      <c r="GIC39" s="45"/>
      <c r="GID39" s="46"/>
      <c r="GIE39" s="46"/>
      <c r="GIF39" s="47"/>
      <c r="GIG39" s="48"/>
      <c r="GIH39" s="48"/>
      <c r="GII39" s="48"/>
      <c r="GIJ39" s="48"/>
      <c r="GIK39" s="48"/>
      <c r="GIL39" s="48"/>
      <c r="GIM39" s="48"/>
      <c r="GIN39" s="48"/>
      <c r="GIO39" s="48"/>
      <c r="GIP39" s="48"/>
      <c r="GIQ39" s="48"/>
      <c r="GIR39" s="48"/>
      <c r="GIS39" s="48"/>
      <c r="GIT39" s="48"/>
      <c r="GIU39" s="48"/>
      <c r="GIV39" s="48"/>
      <c r="GIW39" s="48"/>
      <c r="GIX39" s="48"/>
      <c r="GIY39" s="45"/>
      <c r="GIZ39" s="46"/>
      <c r="GJA39" s="46"/>
      <c r="GJB39" s="47"/>
      <c r="GJC39" s="48"/>
      <c r="GJD39" s="48"/>
      <c r="GJE39" s="48"/>
      <c r="GJF39" s="48"/>
      <c r="GJG39" s="48"/>
      <c r="GJH39" s="48"/>
      <c r="GJI39" s="48"/>
      <c r="GJJ39" s="48"/>
      <c r="GJK39" s="48"/>
      <c r="GJL39" s="48"/>
      <c r="GJM39" s="48"/>
      <c r="GJN39" s="48"/>
      <c r="GJO39" s="48"/>
      <c r="GJP39" s="48"/>
      <c r="GJQ39" s="48"/>
      <c r="GJR39" s="48"/>
      <c r="GJS39" s="48"/>
      <c r="GJT39" s="48"/>
      <c r="GJU39" s="45"/>
      <c r="GJV39" s="46"/>
      <c r="GJW39" s="46"/>
      <c r="GJX39" s="47"/>
      <c r="GJY39" s="48"/>
      <c r="GJZ39" s="48"/>
      <c r="GKA39" s="48"/>
      <c r="GKB39" s="48"/>
      <c r="GKC39" s="48"/>
      <c r="GKD39" s="48"/>
      <c r="GKE39" s="48"/>
      <c r="GKF39" s="48"/>
      <c r="GKG39" s="48"/>
      <c r="GKH39" s="48"/>
      <c r="GKI39" s="48"/>
      <c r="GKJ39" s="48"/>
      <c r="GKK39" s="48"/>
      <c r="GKL39" s="48"/>
      <c r="GKM39" s="48"/>
      <c r="GKN39" s="48"/>
      <c r="GKO39" s="48"/>
      <c r="GKP39" s="48"/>
      <c r="GKQ39" s="45"/>
      <c r="GKR39" s="46"/>
      <c r="GKS39" s="46"/>
      <c r="GKT39" s="47"/>
      <c r="GKU39" s="48"/>
      <c r="GKV39" s="48"/>
      <c r="GKW39" s="48"/>
      <c r="GKX39" s="48"/>
      <c r="GKY39" s="48"/>
      <c r="GKZ39" s="48"/>
      <c r="GLA39" s="48"/>
      <c r="GLB39" s="48"/>
      <c r="GLC39" s="48"/>
      <c r="GLD39" s="48"/>
      <c r="GLE39" s="48"/>
      <c r="GLF39" s="48"/>
      <c r="GLG39" s="48"/>
      <c r="GLH39" s="48"/>
      <c r="GLI39" s="48"/>
      <c r="GLJ39" s="48"/>
      <c r="GLK39" s="48"/>
      <c r="GLL39" s="48"/>
      <c r="GLM39" s="45"/>
      <c r="GLN39" s="46"/>
      <c r="GLO39" s="46"/>
      <c r="GLP39" s="47"/>
      <c r="GLQ39" s="48"/>
      <c r="GLR39" s="48"/>
      <c r="GLS39" s="48"/>
      <c r="GLT39" s="48"/>
      <c r="GLU39" s="48"/>
      <c r="GLV39" s="48"/>
      <c r="GLW39" s="48"/>
      <c r="GLX39" s="48"/>
      <c r="GLY39" s="48"/>
      <c r="GLZ39" s="48"/>
      <c r="GMA39" s="48"/>
      <c r="GMB39" s="48"/>
      <c r="GMC39" s="48"/>
      <c r="GMD39" s="48"/>
      <c r="GME39" s="48"/>
      <c r="GMF39" s="48"/>
      <c r="GMG39" s="48"/>
      <c r="GMH39" s="48"/>
      <c r="GMI39" s="45"/>
      <c r="GMJ39" s="46"/>
      <c r="GMK39" s="46"/>
      <c r="GML39" s="47"/>
      <c r="GMM39" s="48"/>
      <c r="GMN39" s="48"/>
      <c r="GMO39" s="48"/>
      <c r="GMP39" s="48"/>
      <c r="GMQ39" s="48"/>
      <c r="GMR39" s="48"/>
      <c r="GMS39" s="48"/>
      <c r="GMT39" s="48"/>
      <c r="GMU39" s="48"/>
      <c r="GMV39" s="48"/>
      <c r="GMW39" s="48"/>
      <c r="GMX39" s="48"/>
      <c r="GMY39" s="48"/>
      <c r="GMZ39" s="48"/>
      <c r="GNA39" s="48"/>
      <c r="GNB39" s="48"/>
      <c r="GNC39" s="48"/>
      <c r="GND39" s="48"/>
      <c r="GNE39" s="45"/>
      <c r="GNF39" s="46"/>
      <c r="GNG39" s="46"/>
      <c r="GNH39" s="47"/>
      <c r="GNI39" s="48"/>
      <c r="GNJ39" s="48"/>
      <c r="GNK39" s="48"/>
      <c r="GNL39" s="48"/>
      <c r="GNM39" s="48"/>
      <c r="GNN39" s="48"/>
      <c r="GNO39" s="48"/>
      <c r="GNP39" s="48"/>
      <c r="GNQ39" s="48"/>
      <c r="GNR39" s="48"/>
      <c r="GNS39" s="48"/>
      <c r="GNT39" s="48"/>
      <c r="GNU39" s="48"/>
      <c r="GNV39" s="48"/>
      <c r="GNW39" s="48"/>
      <c r="GNX39" s="48"/>
      <c r="GNY39" s="48"/>
      <c r="GNZ39" s="48"/>
      <c r="GOA39" s="45"/>
      <c r="GOB39" s="46"/>
      <c r="GOC39" s="46"/>
      <c r="GOD39" s="47"/>
      <c r="GOE39" s="48"/>
      <c r="GOF39" s="48"/>
      <c r="GOG39" s="48"/>
      <c r="GOH39" s="48"/>
      <c r="GOI39" s="48"/>
      <c r="GOJ39" s="48"/>
      <c r="GOK39" s="48"/>
      <c r="GOL39" s="48"/>
      <c r="GOM39" s="48"/>
      <c r="GON39" s="48"/>
      <c r="GOO39" s="48"/>
      <c r="GOP39" s="48"/>
      <c r="GOQ39" s="48"/>
      <c r="GOR39" s="48"/>
      <c r="GOS39" s="48"/>
      <c r="GOT39" s="48"/>
      <c r="GOU39" s="48"/>
      <c r="GOV39" s="48"/>
      <c r="GOW39" s="45"/>
      <c r="GOX39" s="46"/>
      <c r="GOY39" s="46"/>
      <c r="GOZ39" s="47"/>
      <c r="GPA39" s="48"/>
      <c r="GPB39" s="48"/>
      <c r="GPC39" s="48"/>
      <c r="GPD39" s="48"/>
      <c r="GPE39" s="48"/>
      <c r="GPF39" s="48"/>
      <c r="GPG39" s="48"/>
      <c r="GPH39" s="48"/>
      <c r="GPI39" s="48"/>
      <c r="GPJ39" s="48"/>
      <c r="GPK39" s="48"/>
      <c r="GPL39" s="48"/>
      <c r="GPM39" s="48"/>
      <c r="GPN39" s="48"/>
      <c r="GPO39" s="48"/>
      <c r="GPP39" s="48"/>
      <c r="GPQ39" s="48"/>
      <c r="GPR39" s="48"/>
      <c r="GPS39" s="45"/>
      <c r="GPT39" s="46"/>
      <c r="GPU39" s="46"/>
      <c r="GPV39" s="47"/>
      <c r="GPW39" s="48"/>
      <c r="GPX39" s="48"/>
      <c r="GPY39" s="48"/>
      <c r="GPZ39" s="48"/>
      <c r="GQA39" s="48"/>
      <c r="GQB39" s="48"/>
      <c r="GQC39" s="48"/>
      <c r="GQD39" s="48"/>
      <c r="GQE39" s="48"/>
      <c r="GQF39" s="48"/>
      <c r="GQG39" s="48"/>
      <c r="GQH39" s="48"/>
      <c r="GQI39" s="48"/>
      <c r="GQJ39" s="48"/>
      <c r="GQK39" s="48"/>
      <c r="GQL39" s="48"/>
      <c r="GQM39" s="48"/>
      <c r="GQN39" s="48"/>
      <c r="GQO39" s="45"/>
      <c r="GQP39" s="46"/>
      <c r="GQQ39" s="46"/>
      <c r="GQR39" s="47"/>
      <c r="GQS39" s="48"/>
      <c r="GQT39" s="48"/>
      <c r="GQU39" s="48"/>
      <c r="GQV39" s="48"/>
      <c r="GQW39" s="48"/>
      <c r="GQX39" s="48"/>
      <c r="GQY39" s="48"/>
      <c r="GQZ39" s="48"/>
      <c r="GRA39" s="48"/>
      <c r="GRB39" s="48"/>
      <c r="GRC39" s="48"/>
      <c r="GRD39" s="48"/>
      <c r="GRE39" s="48"/>
      <c r="GRF39" s="48"/>
      <c r="GRG39" s="48"/>
      <c r="GRH39" s="48"/>
      <c r="GRI39" s="48"/>
      <c r="GRJ39" s="48"/>
      <c r="GRK39" s="45"/>
      <c r="GRL39" s="46"/>
      <c r="GRM39" s="46"/>
      <c r="GRN39" s="47"/>
      <c r="GRO39" s="48"/>
      <c r="GRP39" s="48"/>
      <c r="GRQ39" s="48"/>
      <c r="GRR39" s="48"/>
      <c r="GRS39" s="48"/>
      <c r="GRT39" s="48"/>
      <c r="GRU39" s="48"/>
      <c r="GRV39" s="48"/>
      <c r="GRW39" s="48"/>
      <c r="GRX39" s="48"/>
      <c r="GRY39" s="48"/>
      <c r="GRZ39" s="48"/>
      <c r="GSA39" s="48"/>
      <c r="GSB39" s="48"/>
      <c r="GSC39" s="48"/>
      <c r="GSD39" s="48"/>
      <c r="GSE39" s="48"/>
      <c r="GSF39" s="48"/>
      <c r="GSG39" s="45"/>
      <c r="GSH39" s="46"/>
      <c r="GSI39" s="46"/>
      <c r="GSJ39" s="47"/>
      <c r="GSK39" s="48"/>
      <c r="GSL39" s="48"/>
      <c r="GSM39" s="48"/>
      <c r="GSN39" s="48"/>
      <c r="GSO39" s="48"/>
      <c r="GSP39" s="48"/>
      <c r="GSQ39" s="48"/>
      <c r="GSR39" s="48"/>
      <c r="GSS39" s="48"/>
      <c r="GST39" s="48"/>
      <c r="GSU39" s="48"/>
      <c r="GSV39" s="48"/>
      <c r="GSW39" s="48"/>
      <c r="GSX39" s="48"/>
      <c r="GSY39" s="48"/>
      <c r="GSZ39" s="48"/>
      <c r="GTA39" s="48"/>
      <c r="GTB39" s="48"/>
      <c r="GTC39" s="45"/>
      <c r="GTD39" s="46"/>
      <c r="GTE39" s="46"/>
      <c r="GTF39" s="47"/>
      <c r="GTG39" s="48"/>
      <c r="GTH39" s="48"/>
      <c r="GTI39" s="48"/>
      <c r="GTJ39" s="48"/>
      <c r="GTK39" s="48"/>
      <c r="GTL39" s="48"/>
      <c r="GTM39" s="48"/>
      <c r="GTN39" s="48"/>
      <c r="GTO39" s="48"/>
      <c r="GTP39" s="48"/>
      <c r="GTQ39" s="48"/>
      <c r="GTR39" s="48"/>
      <c r="GTS39" s="48"/>
      <c r="GTT39" s="48"/>
      <c r="GTU39" s="48"/>
      <c r="GTV39" s="48"/>
      <c r="GTW39" s="48"/>
      <c r="GTX39" s="48"/>
      <c r="GTY39" s="45"/>
      <c r="GTZ39" s="46"/>
      <c r="GUA39" s="46"/>
      <c r="GUB39" s="47"/>
      <c r="GUC39" s="48"/>
      <c r="GUD39" s="48"/>
      <c r="GUE39" s="48"/>
      <c r="GUF39" s="48"/>
      <c r="GUG39" s="48"/>
      <c r="GUH39" s="48"/>
      <c r="GUI39" s="48"/>
      <c r="GUJ39" s="48"/>
      <c r="GUK39" s="48"/>
      <c r="GUL39" s="48"/>
      <c r="GUM39" s="48"/>
      <c r="GUN39" s="48"/>
      <c r="GUO39" s="48"/>
      <c r="GUP39" s="48"/>
      <c r="GUQ39" s="48"/>
      <c r="GUR39" s="48"/>
      <c r="GUS39" s="48"/>
      <c r="GUT39" s="48"/>
      <c r="GUU39" s="45"/>
      <c r="GUV39" s="46"/>
      <c r="GUW39" s="46"/>
      <c r="GUX39" s="47"/>
      <c r="GUY39" s="48"/>
      <c r="GUZ39" s="48"/>
      <c r="GVA39" s="48"/>
      <c r="GVB39" s="48"/>
      <c r="GVC39" s="48"/>
      <c r="GVD39" s="48"/>
      <c r="GVE39" s="48"/>
      <c r="GVF39" s="48"/>
      <c r="GVG39" s="48"/>
      <c r="GVH39" s="48"/>
      <c r="GVI39" s="48"/>
      <c r="GVJ39" s="48"/>
      <c r="GVK39" s="48"/>
      <c r="GVL39" s="48"/>
      <c r="GVM39" s="48"/>
      <c r="GVN39" s="48"/>
      <c r="GVO39" s="48"/>
      <c r="GVP39" s="48"/>
      <c r="GVQ39" s="45"/>
      <c r="GVR39" s="46"/>
      <c r="GVS39" s="46"/>
      <c r="GVT39" s="47"/>
      <c r="GVU39" s="48"/>
      <c r="GVV39" s="48"/>
      <c r="GVW39" s="48"/>
      <c r="GVX39" s="48"/>
      <c r="GVY39" s="48"/>
      <c r="GVZ39" s="48"/>
      <c r="GWA39" s="48"/>
      <c r="GWB39" s="48"/>
      <c r="GWC39" s="48"/>
      <c r="GWD39" s="48"/>
      <c r="GWE39" s="48"/>
      <c r="GWF39" s="48"/>
      <c r="GWG39" s="48"/>
      <c r="GWH39" s="48"/>
      <c r="GWI39" s="48"/>
      <c r="GWJ39" s="48"/>
      <c r="GWK39" s="48"/>
      <c r="GWL39" s="48"/>
      <c r="GWM39" s="45"/>
      <c r="GWN39" s="46"/>
      <c r="GWO39" s="46"/>
      <c r="GWP39" s="47"/>
      <c r="GWQ39" s="48"/>
      <c r="GWR39" s="48"/>
      <c r="GWS39" s="48"/>
      <c r="GWT39" s="48"/>
      <c r="GWU39" s="48"/>
      <c r="GWV39" s="48"/>
      <c r="GWW39" s="48"/>
      <c r="GWX39" s="48"/>
      <c r="GWY39" s="48"/>
      <c r="GWZ39" s="48"/>
      <c r="GXA39" s="48"/>
      <c r="GXB39" s="48"/>
      <c r="GXC39" s="48"/>
      <c r="GXD39" s="48"/>
      <c r="GXE39" s="48"/>
      <c r="GXF39" s="48"/>
      <c r="GXG39" s="48"/>
      <c r="GXH39" s="48"/>
      <c r="GXI39" s="45"/>
      <c r="GXJ39" s="46"/>
      <c r="GXK39" s="46"/>
      <c r="GXL39" s="47"/>
      <c r="GXM39" s="48"/>
      <c r="GXN39" s="48"/>
      <c r="GXO39" s="48"/>
      <c r="GXP39" s="48"/>
      <c r="GXQ39" s="48"/>
      <c r="GXR39" s="48"/>
      <c r="GXS39" s="48"/>
      <c r="GXT39" s="48"/>
      <c r="GXU39" s="48"/>
      <c r="GXV39" s="48"/>
      <c r="GXW39" s="48"/>
      <c r="GXX39" s="48"/>
      <c r="GXY39" s="48"/>
      <c r="GXZ39" s="48"/>
      <c r="GYA39" s="48"/>
      <c r="GYB39" s="48"/>
      <c r="GYC39" s="48"/>
      <c r="GYD39" s="48"/>
      <c r="GYE39" s="45"/>
      <c r="GYF39" s="46"/>
      <c r="GYG39" s="46"/>
      <c r="GYH39" s="47"/>
      <c r="GYI39" s="48"/>
      <c r="GYJ39" s="48"/>
      <c r="GYK39" s="48"/>
      <c r="GYL39" s="48"/>
      <c r="GYM39" s="48"/>
      <c r="GYN39" s="48"/>
      <c r="GYO39" s="48"/>
      <c r="GYP39" s="48"/>
      <c r="GYQ39" s="48"/>
      <c r="GYR39" s="48"/>
      <c r="GYS39" s="48"/>
      <c r="GYT39" s="48"/>
      <c r="GYU39" s="48"/>
      <c r="GYV39" s="48"/>
      <c r="GYW39" s="48"/>
      <c r="GYX39" s="48"/>
      <c r="GYY39" s="48"/>
      <c r="GYZ39" s="48"/>
      <c r="GZA39" s="45"/>
      <c r="GZB39" s="46"/>
      <c r="GZC39" s="46"/>
      <c r="GZD39" s="47"/>
      <c r="GZE39" s="48"/>
      <c r="GZF39" s="48"/>
      <c r="GZG39" s="48"/>
      <c r="GZH39" s="48"/>
      <c r="GZI39" s="48"/>
      <c r="GZJ39" s="48"/>
      <c r="GZK39" s="48"/>
      <c r="GZL39" s="48"/>
      <c r="GZM39" s="48"/>
      <c r="GZN39" s="48"/>
      <c r="GZO39" s="48"/>
      <c r="GZP39" s="48"/>
      <c r="GZQ39" s="48"/>
      <c r="GZR39" s="48"/>
      <c r="GZS39" s="48"/>
      <c r="GZT39" s="48"/>
      <c r="GZU39" s="48"/>
      <c r="GZV39" s="48"/>
      <c r="GZW39" s="45"/>
      <c r="GZX39" s="46"/>
      <c r="GZY39" s="46"/>
      <c r="GZZ39" s="47"/>
      <c r="HAA39" s="48"/>
      <c r="HAB39" s="48"/>
      <c r="HAC39" s="48"/>
      <c r="HAD39" s="48"/>
      <c r="HAE39" s="48"/>
      <c r="HAF39" s="48"/>
      <c r="HAG39" s="48"/>
      <c r="HAH39" s="48"/>
      <c r="HAI39" s="48"/>
      <c r="HAJ39" s="48"/>
      <c r="HAK39" s="48"/>
      <c r="HAL39" s="48"/>
      <c r="HAM39" s="48"/>
      <c r="HAN39" s="48"/>
      <c r="HAO39" s="48"/>
      <c r="HAP39" s="48"/>
      <c r="HAQ39" s="48"/>
      <c r="HAR39" s="48"/>
      <c r="HAS39" s="45"/>
      <c r="HAT39" s="46"/>
      <c r="HAU39" s="46"/>
      <c r="HAV39" s="47"/>
      <c r="HAW39" s="48"/>
      <c r="HAX39" s="48"/>
      <c r="HAY39" s="48"/>
      <c r="HAZ39" s="48"/>
      <c r="HBA39" s="48"/>
      <c r="HBB39" s="48"/>
      <c r="HBC39" s="48"/>
      <c r="HBD39" s="48"/>
      <c r="HBE39" s="48"/>
      <c r="HBF39" s="48"/>
      <c r="HBG39" s="48"/>
      <c r="HBH39" s="48"/>
      <c r="HBI39" s="48"/>
      <c r="HBJ39" s="48"/>
      <c r="HBK39" s="48"/>
      <c r="HBL39" s="48"/>
      <c r="HBM39" s="48"/>
      <c r="HBN39" s="48"/>
      <c r="HBO39" s="45"/>
      <c r="HBP39" s="46"/>
      <c r="HBQ39" s="46"/>
      <c r="HBR39" s="47"/>
      <c r="HBS39" s="48"/>
      <c r="HBT39" s="48"/>
      <c r="HBU39" s="48"/>
      <c r="HBV39" s="48"/>
      <c r="HBW39" s="48"/>
      <c r="HBX39" s="48"/>
      <c r="HBY39" s="48"/>
      <c r="HBZ39" s="48"/>
      <c r="HCA39" s="48"/>
      <c r="HCB39" s="48"/>
      <c r="HCC39" s="48"/>
      <c r="HCD39" s="48"/>
      <c r="HCE39" s="48"/>
      <c r="HCF39" s="48"/>
      <c r="HCG39" s="48"/>
      <c r="HCH39" s="48"/>
      <c r="HCI39" s="48"/>
      <c r="HCJ39" s="48"/>
      <c r="HCK39" s="45"/>
      <c r="HCL39" s="46"/>
      <c r="HCM39" s="46"/>
      <c r="HCN39" s="47"/>
      <c r="HCO39" s="48"/>
      <c r="HCP39" s="48"/>
      <c r="HCQ39" s="48"/>
      <c r="HCR39" s="48"/>
      <c r="HCS39" s="48"/>
      <c r="HCT39" s="48"/>
      <c r="HCU39" s="48"/>
      <c r="HCV39" s="48"/>
      <c r="HCW39" s="48"/>
      <c r="HCX39" s="48"/>
      <c r="HCY39" s="48"/>
      <c r="HCZ39" s="48"/>
      <c r="HDA39" s="48"/>
      <c r="HDB39" s="48"/>
      <c r="HDC39" s="48"/>
      <c r="HDD39" s="48"/>
      <c r="HDE39" s="48"/>
      <c r="HDF39" s="48"/>
      <c r="HDG39" s="45"/>
      <c r="HDH39" s="46"/>
      <c r="HDI39" s="46"/>
      <c r="HDJ39" s="47"/>
      <c r="HDK39" s="48"/>
      <c r="HDL39" s="48"/>
      <c r="HDM39" s="48"/>
      <c r="HDN39" s="48"/>
      <c r="HDO39" s="48"/>
      <c r="HDP39" s="48"/>
      <c r="HDQ39" s="48"/>
      <c r="HDR39" s="48"/>
      <c r="HDS39" s="48"/>
      <c r="HDT39" s="48"/>
      <c r="HDU39" s="48"/>
      <c r="HDV39" s="48"/>
      <c r="HDW39" s="48"/>
      <c r="HDX39" s="48"/>
      <c r="HDY39" s="48"/>
      <c r="HDZ39" s="48"/>
      <c r="HEA39" s="48"/>
      <c r="HEB39" s="48"/>
      <c r="HEC39" s="45"/>
      <c r="HED39" s="46"/>
      <c r="HEE39" s="46"/>
      <c r="HEF39" s="47"/>
      <c r="HEG39" s="48"/>
      <c r="HEH39" s="48"/>
      <c r="HEI39" s="48"/>
      <c r="HEJ39" s="48"/>
      <c r="HEK39" s="48"/>
      <c r="HEL39" s="48"/>
      <c r="HEM39" s="48"/>
      <c r="HEN39" s="48"/>
      <c r="HEO39" s="48"/>
      <c r="HEP39" s="48"/>
      <c r="HEQ39" s="48"/>
      <c r="HER39" s="48"/>
      <c r="HES39" s="48"/>
      <c r="HET39" s="48"/>
      <c r="HEU39" s="48"/>
      <c r="HEV39" s="48"/>
      <c r="HEW39" s="48"/>
      <c r="HEX39" s="48"/>
      <c r="HEY39" s="45"/>
      <c r="HEZ39" s="46"/>
      <c r="HFA39" s="46"/>
      <c r="HFB39" s="47"/>
      <c r="HFC39" s="48"/>
      <c r="HFD39" s="48"/>
      <c r="HFE39" s="48"/>
      <c r="HFF39" s="48"/>
      <c r="HFG39" s="48"/>
      <c r="HFH39" s="48"/>
      <c r="HFI39" s="48"/>
      <c r="HFJ39" s="48"/>
      <c r="HFK39" s="48"/>
      <c r="HFL39" s="48"/>
      <c r="HFM39" s="48"/>
      <c r="HFN39" s="48"/>
      <c r="HFO39" s="48"/>
      <c r="HFP39" s="48"/>
      <c r="HFQ39" s="48"/>
      <c r="HFR39" s="48"/>
      <c r="HFS39" s="48"/>
      <c r="HFT39" s="48"/>
      <c r="HFU39" s="45"/>
      <c r="HFV39" s="46"/>
      <c r="HFW39" s="46"/>
      <c r="HFX39" s="47"/>
      <c r="HFY39" s="48"/>
      <c r="HFZ39" s="48"/>
      <c r="HGA39" s="48"/>
      <c r="HGB39" s="48"/>
      <c r="HGC39" s="48"/>
      <c r="HGD39" s="48"/>
      <c r="HGE39" s="48"/>
      <c r="HGF39" s="48"/>
      <c r="HGG39" s="48"/>
      <c r="HGH39" s="48"/>
      <c r="HGI39" s="48"/>
      <c r="HGJ39" s="48"/>
      <c r="HGK39" s="48"/>
      <c r="HGL39" s="48"/>
      <c r="HGM39" s="48"/>
      <c r="HGN39" s="48"/>
      <c r="HGO39" s="48"/>
      <c r="HGP39" s="48"/>
      <c r="HGQ39" s="45"/>
      <c r="HGR39" s="46"/>
      <c r="HGS39" s="46"/>
      <c r="HGT39" s="47"/>
      <c r="HGU39" s="48"/>
      <c r="HGV39" s="48"/>
      <c r="HGW39" s="48"/>
      <c r="HGX39" s="48"/>
      <c r="HGY39" s="48"/>
      <c r="HGZ39" s="48"/>
      <c r="HHA39" s="48"/>
      <c r="HHB39" s="48"/>
      <c r="HHC39" s="48"/>
      <c r="HHD39" s="48"/>
      <c r="HHE39" s="48"/>
      <c r="HHF39" s="48"/>
      <c r="HHG39" s="48"/>
      <c r="HHH39" s="48"/>
      <c r="HHI39" s="48"/>
      <c r="HHJ39" s="48"/>
      <c r="HHK39" s="48"/>
      <c r="HHL39" s="48"/>
      <c r="HHM39" s="45"/>
      <c r="HHN39" s="46"/>
      <c r="HHO39" s="46"/>
      <c r="HHP39" s="47"/>
      <c r="HHQ39" s="48"/>
      <c r="HHR39" s="48"/>
      <c r="HHS39" s="48"/>
      <c r="HHT39" s="48"/>
      <c r="HHU39" s="48"/>
      <c r="HHV39" s="48"/>
      <c r="HHW39" s="48"/>
      <c r="HHX39" s="48"/>
      <c r="HHY39" s="48"/>
      <c r="HHZ39" s="48"/>
      <c r="HIA39" s="48"/>
      <c r="HIB39" s="48"/>
      <c r="HIC39" s="48"/>
      <c r="HID39" s="48"/>
      <c r="HIE39" s="48"/>
      <c r="HIF39" s="48"/>
      <c r="HIG39" s="48"/>
      <c r="HIH39" s="48"/>
      <c r="HII39" s="45"/>
      <c r="HIJ39" s="46"/>
      <c r="HIK39" s="46"/>
      <c r="HIL39" s="47"/>
      <c r="HIM39" s="48"/>
      <c r="HIN39" s="48"/>
      <c r="HIO39" s="48"/>
      <c r="HIP39" s="48"/>
      <c r="HIQ39" s="48"/>
      <c r="HIR39" s="48"/>
      <c r="HIS39" s="48"/>
      <c r="HIT39" s="48"/>
      <c r="HIU39" s="48"/>
      <c r="HIV39" s="48"/>
      <c r="HIW39" s="48"/>
      <c r="HIX39" s="48"/>
      <c r="HIY39" s="48"/>
      <c r="HIZ39" s="48"/>
      <c r="HJA39" s="48"/>
      <c r="HJB39" s="48"/>
      <c r="HJC39" s="48"/>
      <c r="HJD39" s="48"/>
      <c r="HJE39" s="45"/>
      <c r="HJF39" s="46"/>
      <c r="HJG39" s="46"/>
      <c r="HJH39" s="47"/>
      <c r="HJI39" s="48"/>
      <c r="HJJ39" s="48"/>
      <c r="HJK39" s="48"/>
      <c r="HJL39" s="48"/>
      <c r="HJM39" s="48"/>
      <c r="HJN39" s="48"/>
      <c r="HJO39" s="48"/>
      <c r="HJP39" s="48"/>
      <c r="HJQ39" s="48"/>
      <c r="HJR39" s="48"/>
      <c r="HJS39" s="48"/>
      <c r="HJT39" s="48"/>
      <c r="HJU39" s="48"/>
      <c r="HJV39" s="48"/>
      <c r="HJW39" s="48"/>
      <c r="HJX39" s="48"/>
      <c r="HJY39" s="48"/>
      <c r="HJZ39" s="48"/>
      <c r="HKA39" s="45"/>
      <c r="HKB39" s="46"/>
      <c r="HKC39" s="46"/>
      <c r="HKD39" s="47"/>
      <c r="HKE39" s="48"/>
      <c r="HKF39" s="48"/>
      <c r="HKG39" s="48"/>
      <c r="HKH39" s="48"/>
      <c r="HKI39" s="48"/>
      <c r="HKJ39" s="48"/>
      <c r="HKK39" s="48"/>
      <c r="HKL39" s="48"/>
      <c r="HKM39" s="48"/>
      <c r="HKN39" s="48"/>
      <c r="HKO39" s="48"/>
      <c r="HKP39" s="48"/>
      <c r="HKQ39" s="48"/>
      <c r="HKR39" s="48"/>
      <c r="HKS39" s="48"/>
      <c r="HKT39" s="48"/>
      <c r="HKU39" s="48"/>
      <c r="HKV39" s="48"/>
      <c r="HKW39" s="45"/>
      <c r="HKX39" s="46"/>
      <c r="HKY39" s="46"/>
      <c r="HKZ39" s="47"/>
      <c r="HLA39" s="48"/>
      <c r="HLB39" s="48"/>
      <c r="HLC39" s="48"/>
      <c r="HLD39" s="48"/>
      <c r="HLE39" s="48"/>
      <c r="HLF39" s="48"/>
      <c r="HLG39" s="48"/>
      <c r="HLH39" s="48"/>
      <c r="HLI39" s="48"/>
      <c r="HLJ39" s="48"/>
      <c r="HLK39" s="48"/>
      <c r="HLL39" s="48"/>
      <c r="HLM39" s="48"/>
      <c r="HLN39" s="48"/>
      <c r="HLO39" s="48"/>
      <c r="HLP39" s="48"/>
      <c r="HLQ39" s="48"/>
      <c r="HLR39" s="48"/>
      <c r="HLS39" s="45"/>
      <c r="HLT39" s="46"/>
      <c r="HLU39" s="46"/>
      <c r="HLV39" s="47"/>
      <c r="HLW39" s="48"/>
      <c r="HLX39" s="48"/>
      <c r="HLY39" s="48"/>
      <c r="HLZ39" s="48"/>
      <c r="HMA39" s="48"/>
      <c r="HMB39" s="48"/>
      <c r="HMC39" s="48"/>
      <c r="HMD39" s="48"/>
      <c r="HME39" s="48"/>
      <c r="HMF39" s="48"/>
      <c r="HMG39" s="48"/>
      <c r="HMH39" s="48"/>
      <c r="HMI39" s="48"/>
      <c r="HMJ39" s="48"/>
      <c r="HMK39" s="48"/>
      <c r="HML39" s="48"/>
      <c r="HMM39" s="48"/>
      <c r="HMN39" s="48"/>
      <c r="HMO39" s="45"/>
      <c r="HMP39" s="46"/>
      <c r="HMQ39" s="46"/>
      <c r="HMR39" s="47"/>
      <c r="HMS39" s="48"/>
      <c r="HMT39" s="48"/>
      <c r="HMU39" s="48"/>
      <c r="HMV39" s="48"/>
      <c r="HMW39" s="48"/>
      <c r="HMX39" s="48"/>
      <c r="HMY39" s="48"/>
      <c r="HMZ39" s="48"/>
      <c r="HNA39" s="48"/>
      <c r="HNB39" s="48"/>
      <c r="HNC39" s="48"/>
      <c r="HND39" s="48"/>
      <c r="HNE39" s="48"/>
      <c r="HNF39" s="48"/>
      <c r="HNG39" s="48"/>
      <c r="HNH39" s="48"/>
      <c r="HNI39" s="48"/>
      <c r="HNJ39" s="48"/>
      <c r="HNK39" s="45"/>
      <c r="HNL39" s="46"/>
      <c r="HNM39" s="46"/>
      <c r="HNN39" s="47"/>
      <c r="HNO39" s="48"/>
      <c r="HNP39" s="48"/>
      <c r="HNQ39" s="48"/>
      <c r="HNR39" s="48"/>
      <c r="HNS39" s="48"/>
      <c r="HNT39" s="48"/>
      <c r="HNU39" s="48"/>
      <c r="HNV39" s="48"/>
      <c r="HNW39" s="48"/>
      <c r="HNX39" s="48"/>
      <c r="HNY39" s="48"/>
      <c r="HNZ39" s="48"/>
      <c r="HOA39" s="48"/>
      <c r="HOB39" s="48"/>
      <c r="HOC39" s="48"/>
      <c r="HOD39" s="48"/>
      <c r="HOE39" s="48"/>
      <c r="HOF39" s="48"/>
      <c r="HOG39" s="45"/>
      <c r="HOH39" s="46"/>
      <c r="HOI39" s="46"/>
      <c r="HOJ39" s="47"/>
      <c r="HOK39" s="48"/>
      <c r="HOL39" s="48"/>
      <c r="HOM39" s="48"/>
      <c r="HON39" s="48"/>
      <c r="HOO39" s="48"/>
      <c r="HOP39" s="48"/>
      <c r="HOQ39" s="48"/>
      <c r="HOR39" s="48"/>
      <c r="HOS39" s="48"/>
      <c r="HOT39" s="48"/>
      <c r="HOU39" s="48"/>
      <c r="HOV39" s="48"/>
      <c r="HOW39" s="48"/>
      <c r="HOX39" s="48"/>
      <c r="HOY39" s="48"/>
      <c r="HOZ39" s="48"/>
      <c r="HPA39" s="48"/>
      <c r="HPB39" s="48"/>
      <c r="HPC39" s="45"/>
      <c r="HPD39" s="46"/>
      <c r="HPE39" s="46"/>
      <c r="HPF39" s="47"/>
      <c r="HPG39" s="48"/>
      <c r="HPH39" s="48"/>
      <c r="HPI39" s="48"/>
      <c r="HPJ39" s="48"/>
      <c r="HPK39" s="48"/>
      <c r="HPL39" s="48"/>
      <c r="HPM39" s="48"/>
      <c r="HPN39" s="48"/>
      <c r="HPO39" s="48"/>
      <c r="HPP39" s="48"/>
      <c r="HPQ39" s="48"/>
      <c r="HPR39" s="48"/>
      <c r="HPS39" s="48"/>
      <c r="HPT39" s="48"/>
      <c r="HPU39" s="48"/>
      <c r="HPV39" s="48"/>
      <c r="HPW39" s="48"/>
      <c r="HPX39" s="48"/>
      <c r="HPY39" s="45"/>
      <c r="HPZ39" s="46"/>
      <c r="HQA39" s="46"/>
      <c r="HQB39" s="47"/>
      <c r="HQC39" s="48"/>
      <c r="HQD39" s="48"/>
      <c r="HQE39" s="48"/>
      <c r="HQF39" s="48"/>
      <c r="HQG39" s="48"/>
      <c r="HQH39" s="48"/>
      <c r="HQI39" s="48"/>
      <c r="HQJ39" s="48"/>
      <c r="HQK39" s="48"/>
      <c r="HQL39" s="48"/>
      <c r="HQM39" s="48"/>
      <c r="HQN39" s="48"/>
      <c r="HQO39" s="48"/>
      <c r="HQP39" s="48"/>
      <c r="HQQ39" s="48"/>
      <c r="HQR39" s="48"/>
      <c r="HQS39" s="48"/>
      <c r="HQT39" s="48"/>
      <c r="HQU39" s="45"/>
      <c r="HQV39" s="46"/>
      <c r="HQW39" s="46"/>
      <c r="HQX39" s="47"/>
      <c r="HQY39" s="48"/>
      <c r="HQZ39" s="48"/>
      <c r="HRA39" s="48"/>
      <c r="HRB39" s="48"/>
      <c r="HRC39" s="48"/>
      <c r="HRD39" s="48"/>
      <c r="HRE39" s="48"/>
      <c r="HRF39" s="48"/>
      <c r="HRG39" s="48"/>
      <c r="HRH39" s="48"/>
      <c r="HRI39" s="48"/>
      <c r="HRJ39" s="48"/>
      <c r="HRK39" s="48"/>
      <c r="HRL39" s="48"/>
      <c r="HRM39" s="48"/>
      <c r="HRN39" s="48"/>
      <c r="HRO39" s="48"/>
      <c r="HRP39" s="48"/>
      <c r="HRQ39" s="45"/>
      <c r="HRR39" s="46"/>
      <c r="HRS39" s="46"/>
      <c r="HRT39" s="47"/>
      <c r="HRU39" s="48"/>
      <c r="HRV39" s="48"/>
      <c r="HRW39" s="48"/>
      <c r="HRX39" s="48"/>
      <c r="HRY39" s="48"/>
      <c r="HRZ39" s="48"/>
      <c r="HSA39" s="48"/>
      <c r="HSB39" s="48"/>
      <c r="HSC39" s="48"/>
      <c r="HSD39" s="48"/>
      <c r="HSE39" s="48"/>
      <c r="HSF39" s="48"/>
      <c r="HSG39" s="48"/>
      <c r="HSH39" s="48"/>
      <c r="HSI39" s="48"/>
      <c r="HSJ39" s="48"/>
      <c r="HSK39" s="48"/>
      <c r="HSL39" s="48"/>
      <c r="HSM39" s="45"/>
      <c r="HSN39" s="46"/>
      <c r="HSO39" s="46"/>
      <c r="HSP39" s="47"/>
      <c r="HSQ39" s="48"/>
      <c r="HSR39" s="48"/>
      <c r="HSS39" s="48"/>
      <c r="HST39" s="48"/>
      <c r="HSU39" s="48"/>
      <c r="HSV39" s="48"/>
      <c r="HSW39" s="48"/>
      <c r="HSX39" s="48"/>
      <c r="HSY39" s="48"/>
      <c r="HSZ39" s="48"/>
      <c r="HTA39" s="48"/>
      <c r="HTB39" s="48"/>
      <c r="HTC39" s="48"/>
      <c r="HTD39" s="48"/>
      <c r="HTE39" s="48"/>
      <c r="HTF39" s="48"/>
      <c r="HTG39" s="48"/>
      <c r="HTH39" s="48"/>
      <c r="HTI39" s="45"/>
      <c r="HTJ39" s="46"/>
      <c r="HTK39" s="46"/>
      <c r="HTL39" s="47"/>
      <c r="HTM39" s="48"/>
      <c r="HTN39" s="48"/>
      <c r="HTO39" s="48"/>
      <c r="HTP39" s="48"/>
      <c r="HTQ39" s="48"/>
      <c r="HTR39" s="48"/>
      <c r="HTS39" s="48"/>
      <c r="HTT39" s="48"/>
      <c r="HTU39" s="48"/>
      <c r="HTV39" s="48"/>
      <c r="HTW39" s="48"/>
      <c r="HTX39" s="48"/>
      <c r="HTY39" s="48"/>
      <c r="HTZ39" s="48"/>
      <c r="HUA39" s="48"/>
      <c r="HUB39" s="48"/>
      <c r="HUC39" s="48"/>
      <c r="HUD39" s="48"/>
      <c r="HUE39" s="45"/>
      <c r="HUF39" s="46"/>
      <c r="HUG39" s="46"/>
      <c r="HUH39" s="47"/>
      <c r="HUI39" s="48"/>
      <c r="HUJ39" s="48"/>
      <c r="HUK39" s="48"/>
      <c r="HUL39" s="48"/>
      <c r="HUM39" s="48"/>
      <c r="HUN39" s="48"/>
      <c r="HUO39" s="48"/>
      <c r="HUP39" s="48"/>
      <c r="HUQ39" s="48"/>
      <c r="HUR39" s="48"/>
      <c r="HUS39" s="48"/>
      <c r="HUT39" s="48"/>
      <c r="HUU39" s="48"/>
      <c r="HUV39" s="48"/>
      <c r="HUW39" s="48"/>
      <c r="HUX39" s="48"/>
      <c r="HUY39" s="48"/>
      <c r="HUZ39" s="48"/>
      <c r="HVA39" s="45"/>
      <c r="HVB39" s="46"/>
      <c r="HVC39" s="46"/>
      <c r="HVD39" s="47"/>
      <c r="HVE39" s="48"/>
      <c r="HVF39" s="48"/>
      <c r="HVG39" s="48"/>
      <c r="HVH39" s="48"/>
      <c r="HVI39" s="48"/>
      <c r="HVJ39" s="48"/>
      <c r="HVK39" s="48"/>
      <c r="HVL39" s="48"/>
      <c r="HVM39" s="48"/>
      <c r="HVN39" s="48"/>
      <c r="HVO39" s="48"/>
      <c r="HVP39" s="48"/>
      <c r="HVQ39" s="48"/>
      <c r="HVR39" s="48"/>
      <c r="HVS39" s="48"/>
      <c r="HVT39" s="48"/>
      <c r="HVU39" s="48"/>
      <c r="HVV39" s="48"/>
      <c r="HVW39" s="45"/>
      <c r="HVX39" s="46"/>
      <c r="HVY39" s="46"/>
      <c r="HVZ39" s="47"/>
      <c r="HWA39" s="48"/>
      <c r="HWB39" s="48"/>
      <c r="HWC39" s="48"/>
      <c r="HWD39" s="48"/>
      <c r="HWE39" s="48"/>
      <c r="HWF39" s="48"/>
      <c r="HWG39" s="48"/>
      <c r="HWH39" s="48"/>
      <c r="HWI39" s="48"/>
      <c r="HWJ39" s="48"/>
      <c r="HWK39" s="48"/>
      <c r="HWL39" s="48"/>
      <c r="HWM39" s="48"/>
      <c r="HWN39" s="48"/>
      <c r="HWO39" s="48"/>
      <c r="HWP39" s="48"/>
      <c r="HWQ39" s="48"/>
      <c r="HWR39" s="48"/>
      <c r="HWS39" s="45"/>
      <c r="HWT39" s="46"/>
      <c r="HWU39" s="46"/>
      <c r="HWV39" s="47"/>
      <c r="HWW39" s="48"/>
      <c r="HWX39" s="48"/>
      <c r="HWY39" s="48"/>
      <c r="HWZ39" s="48"/>
      <c r="HXA39" s="48"/>
      <c r="HXB39" s="48"/>
      <c r="HXC39" s="48"/>
      <c r="HXD39" s="48"/>
      <c r="HXE39" s="48"/>
      <c r="HXF39" s="48"/>
      <c r="HXG39" s="48"/>
      <c r="HXH39" s="48"/>
      <c r="HXI39" s="48"/>
      <c r="HXJ39" s="48"/>
      <c r="HXK39" s="48"/>
      <c r="HXL39" s="48"/>
      <c r="HXM39" s="48"/>
      <c r="HXN39" s="48"/>
      <c r="HXO39" s="45"/>
      <c r="HXP39" s="46"/>
      <c r="HXQ39" s="46"/>
      <c r="HXR39" s="47"/>
      <c r="HXS39" s="48"/>
      <c r="HXT39" s="48"/>
      <c r="HXU39" s="48"/>
      <c r="HXV39" s="48"/>
      <c r="HXW39" s="48"/>
      <c r="HXX39" s="48"/>
      <c r="HXY39" s="48"/>
      <c r="HXZ39" s="48"/>
      <c r="HYA39" s="48"/>
      <c r="HYB39" s="48"/>
      <c r="HYC39" s="48"/>
      <c r="HYD39" s="48"/>
      <c r="HYE39" s="48"/>
      <c r="HYF39" s="48"/>
      <c r="HYG39" s="48"/>
      <c r="HYH39" s="48"/>
      <c r="HYI39" s="48"/>
      <c r="HYJ39" s="48"/>
      <c r="HYK39" s="45"/>
      <c r="HYL39" s="46"/>
      <c r="HYM39" s="46"/>
      <c r="HYN39" s="47"/>
      <c r="HYO39" s="48"/>
      <c r="HYP39" s="48"/>
      <c r="HYQ39" s="48"/>
      <c r="HYR39" s="48"/>
      <c r="HYS39" s="48"/>
      <c r="HYT39" s="48"/>
      <c r="HYU39" s="48"/>
      <c r="HYV39" s="48"/>
      <c r="HYW39" s="48"/>
      <c r="HYX39" s="48"/>
      <c r="HYY39" s="48"/>
      <c r="HYZ39" s="48"/>
      <c r="HZA39" s="48"/>
      <c r="HZB39" s="48"/>
      <c r="HZC39" s="48"/>
      <c r="HZD39" s="48"/>
      <c r="HZE39" s="48"/>
      <c r="HZF39" s="48"/>
      <c r="HZG39" s="45"/>
      <c r="HZH39" s="46"/>
      <c r="HZI39" s="46"/>
      <c r="HZJ39" s="47"/>
      <c r="HZK39" s="48"/>
      <c r="HZL39" s="48"/>
      <c r="HZM39" s="48"/>
      <c r="HZN39" s="48"/>
      <c r="HZO39" s="48"/>
      <c r="HZP39" s="48"/>
      <c r="HZQ39" s="48"/>
      <c r="HZR39" s="48"/>
      <c r="HZS39" s="48"/>
      <c r="HZT39" s="48"/>
      <c r="HZU39" s="48"/>
      <c r="HZV39" s="48"/>
      <c r="HZW39" s="48"/>
      <c r="HZX39" s="48"/>
      <c r="HZY39" s="48"/>
      <c r="HZZ39" s="48"/>
      <c r="IAA39" s="48"/>
      <c r="IAB39" s="48"/>
      <c r="IAC39" s="45"/>
      <c r="IAD39" s="46"/>
      <c r="IAE39" s="46"/>
      <c r="IAF39" s="47"/>
      <c r="IAG39" s="48"/>
      <c r="IAH39" s="48"/>
      <c r="IAI39" s="48"/>
      <c r="IAJ39" s="48"/>
      <c r="IAK39" s="48"/>
      <c r="IAL39" s="48"/>
      <c r="IAM39" s="48"/>
      <c r="IAN39" s="48"/>
      <c r="IAO39" s="48"/>
      <c r="IAP39" s="48"/>
      <c r="IAQ39" s="48"/>
      <c r="IAR39" s="48"/>
      <c r="IAS39" s="48"/>
      <c r="IAT39" s="48"/>
      <c r="IAU39" s="48"/>
      <c r="IAV39" s="48"/>
      <c r="IAW39" s="48"/>
      <c r="IAX39" s="48"/>
      <c r="IAY39" s="45"/>
      <c r="IAZ39" s="46"/>
      <c r="IBA39" s="46"/>
      <c r="IBB39" s="47"/>
      <c r="IBC39" s="48"/>
      <c r="IBD39" s="48"/>
      <c r="IBE39" s="48"/>
      <c r="IBF39" s="48"/>
      <c r="IBG39" s="48"/>
      <c r="IBH39" s="48"/>
      <c r="IBI39" s="48"/>
      <c r="IBJ39" s="48"/>
      <c r="IBK39" s="48"/>
      <c r="IBL39" s="48"/>
      <c r="IBM39" s="48"/>
      <c r="IBN39" s="48"/>
      <c r="IBO39" s="48"/>
      <c r="IBP39" s="48"/>
      <c r="IBQ39" s="48"/>
      <c r="IBR39" s="48"/>
      <c r="IBS39" s="48"/>
      <c r="IBT39" s="48"/>
      <c r="IBU39" s="45"/>
      <c r="IBV39" s="46"/>
      <c r="IBW39" s="46"/>
      <c r="IBX39" s="47"/>
      <c r="IBY39" s="48"/>
      <c r="IBZ39" s="48"/>
      <c r="ICA39" s="48"/>
      <c r="ICB39" s="48"/>
      <c r="ICC39" s="48"/>
      <c r="ICD39" s="48"/>
      <c r="ICE39" s="48"/>
      <c r="ICF39" s="48"/>
      <c r="ICG39" s="48"/>
      <c r="ICH39" s="48"/>
      <c r="ICI39" s="48"/>
      <c r="ICJ39" s="48"/>
      <c r="ICK39" s="48"/>
      <c r="ICL39" s="48"/>
      <c r="ICM39" s="48"/>
      <c r="ICN39" s="48"/>
      <c r="ICO39" s="48"/>
      <c r="ICP39" s="48"/>
      <c r="ICQ39" s="45"/>
      <c r="ICR39" s="46"/>
      <c r="ICS39" s="46"/>
      <c r="ICT39" s="47"/>
      <c r="ICU39" s="48"/>
      <c r="ICV39" s="48"/>
      <c r="ICW39" s="48"/>
      <c r="ICX39" s="48"/>
      <c r="ICY39" s="48"/>
      <c r="ICZ39" s="48"/>
      <c r="IDA39" s="48"/>
      <c r="IDB39" s="48"/>
      <c r="IDC39" s="48"/>
      <c r="IDD39" s="48"/>
      <c r="IDE39" s="48"/>
      <c r="IDF39" s="48"/>
      <c r="IDG39" s="48"/>
      <c r="IDH39" s="48"/>
      <c r="IDI39" s="48"/>
      <c r="IDJ39" s="48"/>
      <c r="IDK39" s="48"/>
      <c r="IDL39" s="48"/>
      <c r="IDM39" s="45"/>
      <c r="IDN39" s="46"/>
      <c r="IDO39" s="46"/>
      <c r="IDP39" s="47"/>
      <c r="IDQ39" s="48"/>
      <c r="IDR39" s="48"/>
      <c r="IDS39" s="48"/>
      <c r="IDT39" s="48"/>
      <c r="IDU39" s="48"/>
      <c r="IDV39" s="48"/>
      <c r="IDW39" s="48"/>
      <c r="IDX39" s="48"/>
      <c r="IDY39" s="48"/>
      <c r="IDZ39" s="48"/>
      <c r="IEA39" s="48"/>
      <c r="IEB39" s="48"/>
      <c r="IEC39" s="48"/>
      <c r="IED39" s="48"/>
      <c r="IEE39" s="48"/>
      <c r="IEF39" s="48"/>
      <c r="IEG39" s="48"/>
      <c r="IEH39" s="48"/>
      <c r="IEI39" s="45"/>
      <c r="IEJ39" s="46"/>
      <c r="IEK39" s="46"/>
      <c r="IEL39" s="47"/>
      <c r="IEM39" s="48"/>
      <c r="IEN39" s="48"/>
      <c r="IEO39" s="48"/>
      <c r="IEP39" s="48"/>
      <c r="IEQ39" s="48"/>
      <c r="IER39" s="48"/>
      <c r="IES39" s="48"/>
      <c r="IET39" s="48"/>
      <c r="IEU39" s="48"/>
      <c r="IEV39" s="48"/>
      <c r="IEW39" s="48"/>
      <c r="IEX39" s="48"/>
      <c r="IEY39" s="48"/>
      <c r="IEZ39" s="48"/>
      <c r="IFA39" s="48"/>
      <c r="IFB39" s="48"/>
      <c r="IFC39" s="48"/>
      <c r="IFD39" s="48"/>
      <c r="IFE39" s="45"/>
      <c r="IFF39" s="46"/>
      <c r="IFG39" s="46"/>
      <c r="IFH39" s="47"/>
      <c r="IFI39" s="48"/>
      <c r="IFJ39" s="48"/>
      <c r="IFK39" s="48"/>
      <c r="IFL39" s="48"/>
      <c r="IFM39" s="48"/>
      <c r="IFN39" s="48"/>
      <c r="IFO39" s="48"/>
      <c r="IFP39" s="48"/>
      <c r="IFQ39" s="48"/>
      <c r="IFR39" s="48"/>
      <c r="IFS39" s="48"/>
      <c r="IFT39" s="48"/>
      <c r="IFU39" s="48"/>
      <c r="IFV39" s="48"/>
      <c r="IFW39" s="48"/>
      <c r="IFX39" s="48"/>
      <c r="IFY39" s="48"/>
      <c r="IFZ39" s="48"/>
      <c r="IGA39" s="45"/>
      <c r="IGB39" s="46"/>
      <c r="IGC39" s="46"/>
      <c r="IGD39" s="47"/>
      <c r="IGE39" s="48"/>
      <c r="IGF39" s="48"/>
      <c r="IGG39" s="48"/>
      <c r="IGH39" s="48"/>
      <c r="IGI39" s="48"/>
      <c r="IGJ39" s="48"/>
      <c r="IGK39" s="48"/>
      <c r="IGL39" s="48"/>
      <c r="IGM39" s="48"/>
      <c r="IGN39" s="48"/>
      <c r="IGO39" s="48"/>
      <c r="IGP39" s="48"/>
      <c r="IGQ39" s="48"/>
      <c r="IGR39" s="48"/>
      <c r="IGS39" s="48"/>
      <c r="IGT39" s="48"/>
      <c r="IGU39" s="48"/>
      <c r="IGV39" s="48"/>
      <c r="IGW39" s="45"/>
      <c r="IGX39" s="46"/>
      <c r="IGY39" s="46"/>
      <c r="IGZ39" s="47"/>
      <c r="IHA39" s="48"/>
      <c r="IHB39" s="48"/>
      <c r="IHC39" s="48"/>
      <c r="IHD39" s="48"/>
      <c r="IHE39" s="48"/>
      <c r="IHF39" s="48"/>
      <c r="IHG39" s="48"/>
      <c r="IHH39" s="48"/>
      <c r="IHI39" s="48"/>
      <c r="IHJ39" s="48"/>
      <c r="IHK39" s="48"/>
      <c r="IHL39" s="48"/>
      <c r="IHM39" s="48"/>
      <c r="IHN39" s="48"/>
      <c r="IHO39" s="48"/>
      <c r="IHP39" s="48"/>
      <c r="IHQ39" s="48"/>
      <c r="IHR39" s="48"/>
      <c r="IHS39" s="45"/>
      <c r="IHT39" s="46"/>
      <c r="IHU39" s="46"/>
      <c r="IHV39" s="47"/>
      <c r="IHW39" s="48"/>
      <c r="IHX39" s="48"/>
      <c r="IHY39" s="48"/>
      <c r="IHZ39" s="48"/>
      <c r="IIA39" s="48"/>
      <c r="IIB39" s="48"/>
      <c r="IIC39" s="48"/>
      <c r="IID39" s="48"/>
      <c r="IIE39" s="48"/>
      <c r="IIF39" s="48"/>
      <c r="IIG39" s="48"/>
      <c r="IIH39" s="48"/>
      <c r="III39" s="48"/>
      <c r="IIJ39" s="48"/>
      <c r="IIK39" s="48"/>
      <c r="IIL39" s="48"/>
      <c r="IIM39" s="48"/>
      <c r="IIN39" s="48"/>
      <c r="IIO39" s="45"/>
      <c r="IIP39" s="46"/>
      <c r="IIQ39" s="46"/>
      <c r="IIR39" s="47"/>
      <c r="IIS39" s="48"/>
      <c r="IIT39" s="48"/>
      <c r="IIU39" s="48"/>
      <c r="IIV39" s="48"/>
      <c r="IIW39" s="48"/>
      <c r="IIX39" s="48"/>
      <c r="IIY39" s="48"/>
      <c r="IIZ39" s="48"/>
      <c r="IJA39" s="48"/>
      <c r="IJB39" s="48"/>
      <c r="IJC39" s="48"/>
      <c r="IJD39" s="48"/>
      <c r="IJE39" s="48"/>
      <c r="IJF39" s="48"/>
      <c r="IJG39" s="48"/>
      <c r="IJH39" s="48"/>
      <c r="IJI39" s="48"/>
      <c r="IJJ39" s="48"/>
      <c r="IJK39" s="45"/>
      <c r="IJL39" s="46"/>
      <c r="IJM39" s="46"/>
      <c r="IJN39" s="47"/>
      <c r="IJO39" s="48"/>
      <c r="IJP39" s="48"/>
      <c r="IJQ39" s="48"/>
      <c r="IJR39" s="48"/>
      <c r="IJS39" s="48"/>
      <c r="IJT39" s="48"/>
      <c r="IJU39" s="48"/>
      <c r="IJV39" s="48"/>
      <c r="IJW39" s="48"/>
      <c r="IJX39" s="48"/>
      <c r="IJY39" s="48"/>
      <c r="IJZ39" s="48"/>
      <c r="IKA39" s="48"/>
      <c r="IKB39" s="48"/>
      <c r="IKC39" s="48"/>
      <c r="IKD39" s="48"/>
      <c r="IKE39" s="48"/>
      <c r="IKF39" s="48"/>
      <c r="IKG39" s="45"/>
      <c r="IKH39" s="46"/>
      <c r="IKI39" s="46"/>
      <c r="IKJ39" s="47"/>
      <c r="IKK39" s="48"/>
      <c r="IKL39" s="48"/>
      <c r="IKM39" s="48"/>
      <c r="IKN39" s="48"/>
      <c r="IKO39" s="48"/>
      <c r="IKP39" s="48"/>
      <c r="IKQ39" s="48"/>
      <c r="IKR39" s="48"/>
      <c r="IKS39" s="48"/>
      <c r="IKT39" s="48"/>
      <c r="IKU39" s="48"/>
      <c r="IKV39" s="48"/>
      <c r="IKW39" s="48"/>
      <c r="IKX39" s="48"/>
      <c r="IKY39" s="48"/>
      <c r="IKZ39" s="48"/>
      <c r="ILA39" s="48"/>
      <c r="ILB39" s="48"/>
      <c r="ILC39" s="45"/>
      <c r="ILD39" s="46"/>
      <c r="ILE39" s="46"/>
      <c r="ILF39" s="47"/>
      <c r="ILG39" s="48"/>
      <c r="ILH39" s="48"/>
      <c r="ILI39" s="48"/>
      <c r="ILJ39" s="48"/>
      <c r="ILK39" s="48"/>
      <c r="ILL39" s="48"/>
      <c r="ILM39" s="48"/>
      <c r="ILN39" s="48"/>
      <c r="ILO39" s="48"/>
      <c r="ILP39" s="48"/>
      <c r="ILQ39" s="48"/>
      <c r="ILR39" s="48"/>
      <c r="ILS39" s="48"/>
      <c r="ILT39" s="48"/>
      <c r="ILU39" s="48"/>
      <c r="ILV39" s="48"/>
      <c r="ILW39" s="48"/>
      <c r="ILX39" s="48"/>
      <c r="ILY39" s="45"/>
      <c r="ILZ39" s="46"/>
      <c r="IMA39" s="46"/>
      <c r="IMB39" s="47"/>
      <c r="IMC39" s="48"/>
      <c r="IMD39" s="48"/>
      <c r="IME39" s="48"/>
      <c r="IMF39" s="48"/>
      <c r="IMG39" s="48"/>
      <c r="IMH39" s="48"/>
      <c r="IMI39" s="48"/>
      <c r="IMJ39" s="48"/>
      <c r="IMK39" s="48"/>
      <c r="IML39" s="48"/>
      <c r="IMM39" s="48"/>
      <c r="IMN39" s="48"/>
      <c r="IMO39" s="48"/>
      <c r="IMP39" s="48"/>
      <c r="IMQ39" s="48"/>
      <c r="IMR39" s="48"/>
      <c r="IMS39" s="48"/>
      <c r="IMT39" s="48"/>
      <c r="IMU39" s="45"/>
      <c r="IMV39" s="46"/>
      <c r="IMW39" s="46"/>
      <c r="IMX39" s="47"/>
      <c r="IMY39" s="48"/>
      <c r="IMZ39" s="48"/>
      <c r="INA39" s="48"/>
      <c r="INB39" s="48"/>
      <c r="INC39" s="48"/>
      <c r="IND39" s="48"/>
      <c r="INE39" s="48"/>
      <c r="INF39" s="48"/>
      <c r="ING39" s="48"/>
      <c r="INH39" s="48"/>
      <c r="INI39" s="48"/>
      <c r="INJ39" s="48"/>
      <c r="INK39" s="48"/>
      <c r="INL39" s="48"/>
      <c r="INM39" s="48"/>
      <c r="INN39" s="48"/>
      <c r="INO39" s="48"/>
      <c r="INP39" s="48"/>
      <c r="INQ39" s="45"/>
      <c r="INR39" s="46"/>
      <c r="INS39" s="46"/>
      <c r="INT39" s="47"/>
      <c r="INU39" s="48"/>
      <c r="INV39" s="48"/>
      <c r="INW39" s="48"/>
      <c r="INX39" s="48"/>
      <c r="INY39" s="48"/>
      <c r="INZ39" s="48"/>
      <c r="IOA39" s="48"/>
      <c r="IOB39" s="48"/>
      <c r="IOC39" s="48"/>
      <c r="IOD39" s="48"/>
      <c r="IOE39" s="48"/>
      <c r="IOF39" s="48"/>
      <c r="IOG39" s="48"/>
      <c r="IOH39" s="48"/>
      <c r="IOI39" s="48"/>
      <c r="IOJ39" s="48"/>
      <c r="IOK39" s="48"/>
      <c r="IOL39" s="48"/>
      <c r="IOM39" s="45"/>
      <c r="ION39" s="46"/>
      <c r="IOO39" s="46"/>
      <c r="IOP39" s="47"/>
      <c r="IOQ39" s="48"/>
      <c r="IOR39" s="48"/>
      <c r="IOS39" s="48"/>
      <c r="IOT39" s="48"/>
      <c r="IOU39" s="48"/>
      <c r="IOV39" s="48"/>
      <c r="IOW39" s="48"/>
      <c r="IOX39" s="48"/>
      <c r="IOY39" s="48"/>
      <c r="IOZ39" s="48"/>
      <c r="IPA39" s="48"/>
      <c r="IPB39" s="48"/>
      <c r="IPC39" s="48"/>
      <c r="IPD39" s="48"/>
      <c r="IPE39" s="48"/>
      <c r="IPF39" s="48"/>
      <c r="IPG39" s="48"/>
      <c r="IPH39" s="48"/>
      <c r="IPI39" s="45"/>
      <c r="IPJ39" s="46"/>
      <c r="IPK39" s="46"/>
      <c r="IPL39" s="47"/>
      <c r="IPM39" s="48"/>
      <c r="IPN39" s="48"/>
      <c r="IPO39" s="48"/>
      <c r="IPP39" s="48"/>
      <c r="IPQ39" s="48"/>
      <c r="IPR39" s="48"/>
      <c r="IPS39" s="48"/>
      <c r="IPT39" s="48"/>
      <c r="IPU39" s="48"/>
      <c r="IPV39" s="48"/>
      <c r="IPW39" s="48"/>
      <c r="IPX39" s="48"/>
      <c r="IPY39" s="48"/>
      <c r="IPZ39" s="48"/>
      <c r="IQA39" s="48"/>
      <c r="IQB39" s="48"/>
      <c r="IQC39" s="48"/>
      <c r="IQD39" s="48"/>
      <c r="IQE39" s="45"/>
      <c r="IQF39" s="46"/>
      <c r="IQG39" s="46"/>
      <c r="IQH39" s="47"/>
      <c r="IQI39" s="48"/>
      <c r="IQJ39" s="48"/>
      <c r="IQK39" s="48"/>
      <c r="IQL39" s="48"/>
      <c r="IQM39" s="48"/>
      <c r="IQN39" s="48"/>
      <c r="IQO39" s="48"/>
      <c r="IQP39" s="48"/>
      <c r="IQQ39" s="48"/>
      <c r="IQR39" s="48"/>
      <c r="IQS39" s="48"/>
      <c r="IQT39" s="48"/>
      <c r="IQU39" s="48"/>
      <c r="IQV39" s="48"/>
      <c r="IQW39" s="48"/>
      <c r="IQX39" s="48"/>
      <c r="IQY39" s="48"/>
      <c r="IQZ39" s="48"/>
      <c r="IRA39" s="45"/>
      <c r="IRB39" s="46"/>
      <c r="IRC39" s="46"/>
      <c r="IRD39" s="47"/>
      <c r="IRE39" s="48"/>
      <c r="IRF39" s="48"/>
      <c r="IRG39" s="48"/>
      <c r="IRH39" s="48"/>
      <c r="IRI39" s="48"/>
      <c r="IRJ39" s="48"/>
      <c r="IRK39" s="48"/>
      <c r="IRL39" s="48"/>
      <c r="IRM39" s="48"/>
      <c r="IRN39" s="48"/>
      <c r="IRO39" s="48"/>
      <c r="IRP39" s="48"/>
      <c r="IRQ39" s="48"/>
      <c r="IRR39" s="48"/>
      <c r="IRS39" s="48"/>
      <c r="IRT39" s="48"/>
      <c r="IRU39" s="48"/>
      <c r="IRV39" s="48"/>
      <c r="IRW39" s="45"/>
      <c r="IRX39" s="46"/>
      <c r="IRY39" s="46"/>
      <c r="IRZ39" s="47"/>
      <c r="ISA39" s="48"/>
      <c r="ISB39" s="48"/>
      <c r="ISC39" s="48"/>
      <c r="ISD39" s="48"/>
      <c r="ISE39" s="48"/>
      <c r="ISF39" s="48"/>
      <c r="ISG39" s="48"/>
      <c r="ISH39" s="48"/>
      <c r="ISI39" s="48"/>
      <c r="ISJ39" s="48"/>
      <c r="ISK39" s="48"/>
      <c r="ISL39" s="48"/>
      <c r="ISM39" s="48"/>
      <c r="ISN39" s="48"/>
      <c r="ISO39" s="48"/>
      <c r="ISP39" s="48"/>
      <c r="ISQ39" s="48"/>
      <c r="ISR39" s="48"/>
      <c r="ISS39" s="45"/>
      <c r="IST39" s="46"/>
      <c r="ISU39" s="46"/>
      <c r="ISV39" s="47"/>
      <c r="ISW39" s="48"/>
      <c r="ISX39" s="48"/>
      <c r="ISY39" s="48"/>
      <c r="ISZ39" s="48"/>
      <c r="ITA39" s="48"/>
      <c r="ITB39" s="48"/>
      <c r="ITC39" s="48"/>
      <c r="ITD39" s="48"/>
      <c r="ITE39" s="48"/>
      <c r="ITF39" s="48"/>
      <c r="ITG39" s="48"/>
      <c r="ITH39" s="48"/>
      <c r="ITI39" s="48"/>
      <c r="ITJ39" s="48"/>
      <c r="ITK39" s="48"/>
      <c r="ITL39" s="48"/>
      <c r="ITM39" s="48"/>
      <c r="ITN39" s="48"/>
      <c r="ITO39" s="45"/>
      <c r="ITP39" s="46"/>
      <c r="ITQ39" s="46"/>
      <c r="ITR39" s="47"/>
      <c r="ITS39" s="48"/>
      <c r="ITT39" s="48"/>
      <c r="ITU39" s="48"/>
      <c r="ITV39" s="48"/>
      <c r="ITW39" s="48"/>
      <c r="ITX39" s="48"/>
      <c r="ITY39" s="48"/>
      <c r="ITZ39" s="48"/>
      <c r="IUA39" s="48"/>
      <c r="IUB39" s="48"/>
      <c r="IUC39" s="48"/>
      <c r="IUD39" s="48"/>
      <c r="IUE39" s="48"/>
      <c r="IUF39" s="48"/>
      <c r="IUG39" s="48"/>
      <c r="IUH39" s="48"/>
      <c r="IUI39" s="48"/>
      <c r="IUJ39" s="48"/>
      <c r="IUK39" s="45"/>
      <c r="IUL39" s="46"/>
      <c r="IUM39" s="46"/>
      <c r="IUN39" s="47"/>
      <c r="IUO39" s="48"/>
      <c r="IUP39" s="48"/>
      <c r="IUQ39" s="48"/>
      <c r="IUR39" s="48"/>
      <c r="IUS39" s="48"/>
      <c r="IUT39" s="48"/>
      <c r="IUU39" s="48"/>
      <c r="IUV39" s="48"/>
      <c r="IUW39" s="48"/>
      <c r="IUX39" s="48"/>
      <c r="IUY39" s="48"/>
      <c r="IUZ39" s="48"/>
      <c r="IVA39" s="48"/>
      <c r="IVB39" s="48"/>
      <c r="IVC39" s="48"/>
      <c r="IVD39" s="48"/>
      <c r="IVE39" s="48"/>
      <c r="IVF39" s="48"/>
      <c r="IVG39" s="45"/>
      <c r="IVH39" s="46"/>
      <c r="IVI39" s="46"/>
      <c r="IVJ39" s="47"/>
      <c r="IVK39" s="48"/>
      <c r="IVL39" s="48"/>
      <c r="IVM39" s="48"/>
      <c r="IVN39" s="48"/>
      <c r="IVO39" s="48"/>
      <c r="IVP39" s="48"/>
      <c r="IVQ39" s="48"/>
      <c r="IVR39" s="48"/>
      <c r="IVS39" s="48"/>
      <c r="IVT39" s="48"/>
      <c r="IVU39" s="48"/>
      <c r="IVV39" s="48"/>
      <c r="IVW39" s="48"/>
      <c r="IVX39" s="48"/>
      <c r="IVY39" s="48"/>
      <c r="IVZ39" s="48"/>
      <c r="IWA39" s="48"/>
      <c r="IWB39" s="48"/>
      <c r="IWC39" s="45"/>
      <c r="IWD39" s="46"/>
      <c r="IWE39" s="46"/>
      <c r="IWF39" s="47"/>
      <c r="IWG39" s="48"/>
      <c r="IWH39" s="48"/>
      <c r="IWI39" s="48"/>
      <c r="IWJ39" s="48"/>
      <c r="IWK39" s="48"/>
      <c r="IWL39" s="48"/>
      <c r="IWM39" s="48"/>
      <c r="IWN39" s="48"/>
      <c r="IWO39" s="48"/>
      <c r="IWP39" s="48"/>
      <c r="IWQ39" s="48"/>
      <c r="IWR39" s="48"/>
      <c r="IWS39" s="48"/>
      <c r="IWT39" s="48"/>
      <c r="IWU39" s="48"/>
      <c r="IWV39" s="48"/>
      <c r="IWW39" s="48"/>
      <c r="IWX39" s="48"/>
      <c r="IWY39" s="45"/>
      <c r="IWZ39" s="46"/>
      <c r="IXA39" s="46"/>
      <c r="IXB39" s="47"/>
      <c r="IXC39" s="48"/>
      <c r="IXD39" s="48"/>
      <c r="IXE39" s="48"/>
      <c r="IXF39" s="48"/>
      <c r="IXG39" s="48"/>
      <c r="IXH39" s="48"/>
      <c r="IXI39" s="48"/>
      <c r="IXJ39" s="48"/>
      <c r="IXK39" s="48"/>
      <c r="IXL39" s="48"/>
      <c r="IXM39" s="48"/>
      <c r="IXN39" s="48"/>
      <c r="IXO39" s="48"/>
      <c r="IXP39" s="48"/>
      <c r="IXQ39" s="48"/>
      <c r="IXR39" s="48"/>
      <c r="IXS39" s="48"/>
      <c r="IXT39" s="48"/>
      <c r="IXU39" s="45"/>
      <c r="IXV39" s="46"/>
      <c r="IXW39" s="46"/>
      <c r="IXX39" s="47"/>
      <c r="IXY39" s="48"/>
      <c r="IXZ39" s="48"/>
      <c r="IYA39" s="48"/>
      <c r="IYB39" s="48"/>
      <c r="IYC39" s="48"/>
      <c r="IYD39" s="48"/>
      <c r="IYE39" s="48"/>
      <c r="IYF39" s="48"/>
      <c r="IYG39" s="48"/>
      <c r="IYH39" s="48"/>
      <c r="IYI39" s="48"/>
      <c r="IYJ39" s="48"/>
      <c r="IYK39" s="48"/>
      <c r="IYL39" s="48"/>
      <c r="IYM39" s="48"/>
      <c r="IYN39" s="48"/>
      <c r="IYO39" s="48"/>
      <c r="IYP39" s="48"/>
      <c r="IYQ39" s="45"/>
      <c r="IYR39" s="46"/>
      <c r="IYS39" s="46"/>
      <c r="IYT39" s="47"/>
      <c r="IYU39" s="48"/>
      <c r="IYV39" s="48"/>
      <c r="IYW39" s="48"/>
      <c r="IYX39" s="48"/>
      <c r="IYY39" s="48"/>
      <c r="IYZ39" s="48"/>
      <c r="IZA39" s="48"/>
      <c r="IZB39" s="48"/>
      <c r="IZC39" s="48"/>
      <c r="IZD39" s="48"/>
      <c r="IZE39" s="48"/>
      <c r="IZF39" s="48"/>
      <c r="IZG39" s="48"/>
      <c r="IZH39" s="48"/>
      <c r="IZI39" s="48"/>
      <c r="IZJ39" s="48"/>
      <c r="IZK39" s="48"/>
      <c r="IZL39" s="48"/>
      <c r="IZM39" s="45"/>
      <c r="IZN39" s="46"/>
      <c r="IZO39" s="46"/>
      <c r="IZP39" s="47"/>
      <c r="IZQ39" s="48"/>
      <c r="IZR39" s="48"/>
      <c r="IZS39" s="48"/>
      <c r="IZT39" s="48"/>
      <c r="IZU39" s="48"/>
      <c r="IZV39" s="48"/>
      <c r="IZW39" s="48"/>
      <c r="IZX39" s="48"/>
      <c r="IZY39" s="48"/>
      <c r="IZZ39" s="48"/>
      <c r="JAA39" s="48"/>
      <c r="JAB39" s="48"/>
      <c r="JAC39" s="48"/>
      <c r="JAD39" s="48"/>
      <c r="JAE39" s="48"/>
      <c r="JAF39" s="48"/>
      <c r="JAG39" s="48"/>
      <c r="JAH39" s="48"/>
      <c r="JAI39" s="45"/>
      <c r="JAJ39" s="46"/>
      <c r="JAK39" s="46"/>
      <c r="JAL39" s="47"/>
      <c r="JAM39" s="48"/>
      <c r="JAN39" s="48"/>
      <c r="JAO39" s="48"/>
      <c r="JAP39" s="48"/>
      <c r="JAQ39" s="48"/>
      <c r="JAR39" s="48"/>
      <c r="JAS39" s="48"/>
      <c r="JAT39" s="48"/>
      <c r="JAU39" s="48"/>
      <c r="JAV39" s="48"/>
      <c r="JAW39" s="48"/>
      <c r="JAX39" s="48"/>
      <c r="JAY39" s="48"/>
      <c r="JAZ39" s="48"/>
      <c r="JBA39" s="48"/>
      <c r="JBB39" s="48"/>
      <c r="JBC39" s="48"/>
      <c r="JBD39" s="48"/>
      <c r="JBE39" s="45"/>
      <c r="JBF39" s="46"/>
      <c r="JBG39" s="46"/>
      <c r="JBH39" s="47"/>
      <c r="JBI39" s="48"/>
      <c r="JBJ39" s="48"/>
      <c r="JBK39" s="48"/>
      <c r="JBL39" s="48"/>
      <c r="JBM39" s="48"/>
      <c r="JBN39" s="48"/>
      <c r="JBO39" s="48"/>
      <c r="JBP39" s="48"/>
      <c r="JBQ39" s="48"/>
      <c r="JBR39" s="48"/>
      <c r="JBS39" s="48"/>
      <c r="JBT39" s="48"/>
      <c r="JBU39" s="48"/>
      <c r="JBV39" s="48"/>
      <c r="JBW39" s="48"/>
      <c r="JBX39" s="48"/>
      <c r="JBY39" s="48"/>
      <c r="JBZ39" s="48"/>
      <c r="JCA39" s="45"/>
      <c r="JCB39" s="46"/>
      <c r="JCC39" s="46"/>
      <c r="JCD39" s="47"/>
      <c r="JCE39" s="48"/>
      <c r="JCF39" s="48"/>
      <c r="JCG39" s="48"/>
      <c r="JCH39" s="48"/>
      <c r="JCI39" s="48"/>
      <c r="JCJ39" s="48"/>
      <c r="JCK39" s="48"/>
      <c r="JCL39" s="48"/>
      <c r="JCM39" s="48"/>
      <c r="JCN39" s="48"/>
      <c r="JCO39" s="48"/>
      <c r="JCP39" s="48"/>
      <c r="JCQ39" s="48"/>
      <c r="JCR39" s="48"/>
      <c r="JCS39" s="48"/>
      <c r="JCT39" s="48"/>
      <c r="JCU39" s="48"/>
      <c r="JCV39" s="48"/>
      <c r="JCW39" s="45"/>
      <c r="JCX39" s="46"/>
      <c r="JCY39" s="46"/>
      <c r="JCZ39" s="47"/>
      <c r="JDA39" s="48"/>
      <c r="JDB39" s="48"/>
      <c r="JDC39" s="48"/>
      <c r="JDD39" s="48"/>
      <c r="JDE39" s="48"/>
      <c r="JDF39" s="48"/>
      <c r="JDG39" s="48"/>
      <c r="JDH39" s="48"/>
      <c r="JDI39" s="48"/>
      <c r="JDJ39" s="48"/>
      <c r="JDK39" s="48"/>
      <c r="JDL39" s="48"/>
      <c r="JDM39" s="48"/>
      <c r="JDN39" s="48"/>
      <c r="JDO39" s="48"/>
      <c r="JDP39" s="48"/>
      <c r="JDQ39" s="48"/>
      <c r="JDR39" s="48"/>
      <c r="JDS39" s="45"/>
      <c r="JDT39" s="46"/>
      <c r="JDU39" s="46"/>
      <c r="JDV39" s="47"/>
      <c r="JDW39" s="48"/>
      <c r="JDX39" s="48"/>
      <c r="JDY39" s="48"/>
      <c r="JDZ39" s="48"/>
      <c r="JEA39" s="48"/>
      <c r="JEB39" s="48"/>
      <c r="JEC39" s="48"/>
      <c r="JED39" s="48"/>
      <c r="JEE39" s="48"/>
      <c r="JEF39" s="48"/>
      <c r="JEG39" s="48"/>
      <c r="JEH39" s="48"/>
      <c r="JEI39" s="48"/>
      <c r="JEJ39" s="48"/>
      <c r="JEK39" s="48"/>
      <c r="JEL39" s="48"/>
      <c r="JEM39" s="48"/>
      <c r="JEN39" s="48"/>
      <c r="JEO39" s="45"/>
      <c r="JEP39" s="46"/>
      <c r="JEQ39" s="46"/>
      <c r="JER39" s="47"/>
      <c r="JES39" s="48"/>
      <c r="JET39" s="48"/>
      <c r="JEU39" s="48"/>
      <c r="JEV39" s="48"/>
      <c r="JEW39" s="48"/>
      <c r="JEX39" s="48"/>
      <c r="JEY39" s="48"/>
      <c r="JEZ39" s="48"/>
      <c r="JFA39" s="48"/>
      <c r="JFB39" s="48"/>
      <c r="JFC39" s="48"/>
      <c r="JFD39" s="48"/>
      <c r="JFE39" s="48"/>
      <c r="JFF39" s="48"/>
      <c r="JFG39" s="48"/>
      <c r="JFH39" s="48"/>
      <c r="JFI39" s="48"/>
      <c r="JFJ39" s="48"/>
      <c r="JFK39" s="45"/>
      <c r="JFL39" s="46"/>
      <c r="JFM39" s="46"/>
      <c r="JFN39" s="47"/>
      <c r="JFO39" s="48"/>
      <c r="JFP39" s="48"/>
      <c r="JFQ39" s="48"/>
      <c r="JFR39" s="48"/>
      <c r="JFS39" s="48"/>
      <c r="JFT39" s="48"/>
      <c r="JFU39" s="48"/>
      <c r="JFV39" s="48"/>
      <c r="JFW39" s="48"/>
      <c r="JFX39" s="48"/>
      <c r="JFY39" s="48"/>
      <c r="JFZ39" s="48"/>
      <c r="JGA39" s="48"/>
      <c r="JGB39" s="48"/>
      <c r="JGC39" s="48"/>
      <c r="JGD39" s="48"/>
      <c r="JGE39" s="48"/>
      <c r="JGF39" s="48"/>
      <c r="JGG39" s="45"/>
      <c r="JGH39" s="46"/>
      <c r="JGI39" s="46"/>
      <c r="JGJ39" s="47"/>
      <c r="JGK39" s="48"/>
      <c r="JGL39" s="48"/>
      <c r="JGM39" s="48"/>
      <c r="JGN39" s="48"/>
      <c r="JGO39" s="48"/>
      <c r="JGP39" s="48"/>
      <c r="JGQ39" s="48"/>
      <c r="JGR39" s="48"/>
      <c r="JGS39" s="48"/>
      <c r="JGT39" s="48"/>
      <c r="JGU39" s="48"/>
      <c r="JGV39" s="48"/>
      <c r="JGW39" s="48"/>
      <c r="JGX39" s="48"/>
      <c r="JGY39" s="48"/>
      <c r="JGZ39" s="48"/>
      <c r="JHA39" s="48"/>
      <c r="JHB39" s="48"/>
      <c r="JHC39" s="45"/>
      <c r="JHD39" s="46"/>
      <c r="JHE39" s="46"/>
      <c r="JHF39" s="47"/>
      <c r="JHG39" s="48"/>
      <c r="JHH39" s="48"/>
      <c r="JHI39" s="48"/>
      <c r="JHJ39" s="48"/>
      <c r="JHK39" s="48"/>
      <c r="JHL39" s="48"/>
      <c r="JHM39" s="48"/>
      <c r="JHN39" s="48"/>
      <c r="JHO39" s="48"/>
      <c r="JHP39" s="48"/>
      <c r="JHQ39" s="48"/>
      <c r="JHR39" s="48"/>
      <c r="JHS39" s="48"/>
      <c r="JHT39" s="48"/>
      <c r="JHU39" s="48"/>
      <c r="JHV39" s="48"/>
      <c r="JHW39" s="48"/>
      <c r="JHX39" s="48"/>
      <c r="JHY39" s="45"/>
      <c r="JHZ39" s="46"/>
      <c r="JIA39" s="46"/>
      <c r="JIB39" s="47"/>
      <c r="JIC39" s="48"/>
      <c r="JID39" s="48"/>
      <c r="JIE39" s="48"/>
      <c r="JIF39" s="48"/>
      <c r="JIG39" s="48"/>
      <c r="JIH39" s="48"/>
      <c r="JII39" s="48"/>
      <c r="JIJ39" s="48"/>
      <c r="JIK39" s="48"/>
      <c r="JIL39" s="48"/>
      <c r="JIM39" s="48"/>
      <c r="JIN39" s="48"/>
      <c r="JIO39" s="48"/>
      <c r="JIP39" s="48"/>
      <c r="JIQ39" s="48"/>
      <c r="JIR39" s="48"/>
      <c r="JIS39" s="48"/>
      <c r="JIT39" s="48"/>
      <c r="JIU39" s="45"/>
      <c r="JIV39" s="46"/>
      <c r="JIW39" s="46"/>
      <c r="JIX39" s="47"/>
      <c r="JIY39" s="48"/>
      <c r="JIZ39" s="48"/>
      <c r="JJA39" s="48"/>
      <c r="JJB39" s="48"/>
      <c r="JJC39" s="48"/>
      <c r="JJD39" s="48"/>
      <c r="JJE39" s="48"/>
      <c r="JJF39" s="48"/>
      <c r="JJG39" s="48"/>
      <c r="JJH39" s="48"/>
      <c r="JJI39" s="48"/>
      <c r="JJJ39" s="48"/>
      <c r="JJK39" s="48"/>
      <c r="JJL39" s="48"/>
      <c r="JJM39" s="48"/>
      <c r="JJN39" s="48"/>
      <c r="JJO39" s="48"/>
      <c r="JJP39" s="48"/>
      <c r="JJQ39" s="45"/>
      <c r="JJR39" s="46"/>
      <c r="JJS39" s="46"/>
      <c r="JJT39" s="47"/>
      <c r="JJU39" s="48"/>
      <c r="JJV39" s="48"/>
      <c r="JJW39" s="48"/>
      <c r="JJX39" s="48"/>
      <c r="JJY39" s="48"/>
      <c r="JJZ39" s="48"/>
      <c r="JKA39" s="48"/>
      <c r="JKB39" s="48"/>
      <c r="JKC39" s="48"/>
      <c r="JKD39" s="48"/>
      <c r="JKE39" s="48"/>
      <c r="JKF39" s="48"/>
      <c r="JKG39" s="48"/>
      <c r="JKH39" s="48"/>
      <c r="JKI39" s="48"/>
      <c r="JKJ39" s="48"/>
      <c r="JKK39" s="48"/>
      <c r="JKL39" s="48"/>
      <c r="JKM39" s="45"/>
      <c r="JKN39" s="46"/>
      <c r="JKO39" s="46"/>
      <c r="JKP39" s="47"/>
      <c r="JKQ39" s="48"/>
      <c r="JKR39" s="48"/>
      <c r="JKS39" s="48"/>
      <c r="JKT39" s="48"/>
      <c r="JKU39" s="48"/>
      <c r="JKV39" s="48"/>
      <c r="JKW39" s="48"/>
      <c r="JKX39" s="48"/>
      <c r="JKY39" s="48"/>
      <c r="JKZ39" s="48"/>
      <c r="JLA39" s="48"/>
      <c r="JLB39" s="48"/>
      <c r="JLC39" s="48"/>
      <c r="JLD39" s="48"/>
      <c r="JLE39" s="48"/>
      <c r="JLF39" s="48"/>
      <c r="JLG39" s="48"/>
      <c r="JLH39" s="48"/>
      <c r="JLI39" s="45"/>
      <c r="JLJ39" s="46"/>
      <c r="JLK39" s="46"/>
      <c r="JLL39" s="47"/>
      <c r="JLM39" s="48"/>
      <c r="JLN39" s="48"/>
      <c r="JLO39" s="48"/>
      <c r="JLP39" s="48"/>
      <c r="JLQ39" s="48"/>
      <c r="JLR39" s="48"/>
      <c r="JLS39" s="48"/>
      <c r="JLT39" s="48"/>
      <c r="JLU39" s="48"/>
      <c r="JLV39" s="48"/>
      <c r="JLW39" s="48"/>
      <c r="JLX39" s="48"/>
      <c r="JLY39" s="48"/>
      <c r="JLZ39" s="48"/>
      <c r="JMA39" s="48"/>
      <c r="JMB39" s="48"/>
      <c r="JMC39" s="48"/>
      <c r="JMD39" s="48"/>
      <c r="JME39" s="45"/>
      <c r="JMF39" s="46"/>
      <c r="JMG39" s="46"/>
      <c r="JMH39" s="47"/>
      <c r="JMI39" s="48"/>
      <c r="JMJ39" s="48"/>
      <c r="JMK39" s="48"/>
      <c r="JML39" s="48"/>
      <c r="JMM39" s="48"/>
      <c r="JMN39" s="48"/>
      <c r="JMO39" s="48"/>
      <c r="JMP39" s="48"/>
      <c r="JMQ39" s="48"/>
      <c r="JMR39" s="48"/>
      <c r="JMS39" s="48"/>
      <c r="JMT39" s="48"/>
      <c r="JMU39" s="48"/>
      <c r="JMV39" s="48"/>
      <c r="JMW39" s="48"/>
      <c r="JMX39" s="48"/>
      <c r="JMY39" s="48"/>
      <c r="JMZ39" s="48"/>
      <c r="JNA39" s="45"/>
      <c r="JNB39" s="46"/>
      <c r="JNC39" s="46"/>
      <c r="JND39" s="47"/>
      <c r="JNE39" s="48"/>
      <c r="JNF39" s="48"/>
      <c r="JNG39" s="48"/>
      <c r="JNH39" s="48"/>
      <c r="JNI39" s="48"/>
      <c r="JNJ39" s="48"/>
      <c r="JNK39" s="48"/>
      <c r="JNL39" s="48"/>
      <c r="JNM39" s="48"/>
      <c r="JNN39" s="48"/>
      <c r="JNO39" s="48"/>
      <c r="JNP39" s="48"/>
      <c r="JNQ39" s="48"/>
      <c r="JNR39" s="48"/>
      <c r="JNS39" s="48"/>
      <c r="JNT39" s="48"/>
      <c r="JNU39" s="48"/>
      <c r="JNV39" s="48"/>
      <c r="JNW39" s="45"/>
      <c r="JNX39" s="46"/>
      <c r="JNY39" s="46"/>
      <c r="JNZ39" s="47"/>
      <c r="JOA39" s="48"/>
      <c r="JOB39" s="48"/>
      <c r="JOC39" s="48"/>
      <c r="JOD39" s="48"/>
      <c r="JOE39" s="48"/>
      <c r="JOF39" s="48"/>
      <c r="JOG39" s="48"/>
      <c r="JOH39" s="48"/>
      <c r="JOI39" s="48"/>
      <c r="JOJ39" s="48"/>
      <c r="JOK39" s="48"/>
      <c r="JOL39" s="48"/>
      <c r="JOM39" s="48"/>
      <c r="JON39" s="48"/>
      <c r="JOO39" s="48"/>
      <c r="JOP39" s="48"/>
      <c r="JOQ39" s="48"/>
      <c r="JOR39" s="48"/>
      <c r="JOS39" s="45"/>
      <c r="JOT39" s="46"/>
      <c r="JOU39" s="46"/>
      <c r="JOV39" s="47"/>
      <c r="JOW39" s="48"/>
      <c r="JOX39" s="48"/>
      <c r="JOY39" s="48"/>
      <c r="JOZ39" s="48"/>
      <c r="JPA39" s="48"/>
      <c r="JPB39" s="48"/>
      <c r="JPC39" s="48"/>
      <c r="JPD39" s="48"/>
      <c r="JPE39" s="48"/>
      <c r="JPF39" s="48"/>
      <c r="JPG39" s="48"/>
      <c r="JPH39" s="48"/>
      <c r="JPI39" s="48"/>
      <c r="JPJ39" s="48"/>
      <c r="JPK39" s="48"/>
      <c r="JPL39" s="48"/>
      <c r="JPM39" s="48"/>
      <c r="JPN39" s="48"/>
      <c r="JPO39" s="45"/>
      <c r="JPP39" s="46"/>
      <c r="JPQ39" s="46"/>
      <c r="JPR39" s="47"/>
      <c r="JPS39" s="48"/>
      <c r="JPT39" s="48"/>
      <c r="JPU39" s="48"/>
      <c r="JPV39" s="48"/>
      <c r="JPW39" s="48"/>
      <c r="JPX39" s="48"/>
      <c r="JPY39" s="48"/>
      <c r="JPZ39" s="48"/>
      <c r="JQA39" s="48"/>
      <c r="JQB39" s="48"/>
      <c r="JQC39" s="48"/>
      <c r="JQD39" s="48"/>
      <c r="JQE39" s="48"/>
      <c r="JQF39" s="48"/>
      <c r="JQG39" s="48"/>
      <c r="JQH39" s="48"/>
      <c r="JQI39" s="48"/>
      <c r="JQJ39" s="48"/>
      <c r="JQK39" s="45"/>
      <c r="JQL39" s="46"/>
      <c r="JQM39" s="46"/>
      <c r="JQN39" s="47"/>
      <c r="JQO39" s="48"/>
      <c r="JQP39" s="48"/>
      <c r="JQQ39" s="48"/>
      <c r="JQR39" s="48"/>
      <c r="JQS39" s="48"/>
      <c r="JQT39" s="48"/>
      <c r="JQU39" s="48"/>
      <c r="JQV39" s="48"/>
      <c r="JQW39" s="48"/>
      <c r="JQX39" s="48"/>
      <c r="JQY39" s="48"/>
      <c r="JQZ39" s="48"/>
      <c r="JRA39" s="48"/>
      <c r="JRB39" s="48"/>
      <c r="JRC39" s="48"/>
      <c r="JRD39" s="48"/>
      <c r="JRE39" s="48"/>
      <c r="JRF39" s="48"/>
      <c r="JRG39" s="45"/>
      <c r="JRH39" s="46"/>
      <c r="JRI39" s="46"/>
      <c r="JRJ39" s="47"/>
      <c r="JRK39" s="48"/>
      <c r="JRL39" s="48"/>
      <c r="JRM39" s="48"/>
      <c r="JRN39" s="48"/>
      <c r="JRO39" s="48"/>
      <c r="JRP39" s="48"/>
      <c r="JRQ39" s="48"/>
      <c r="JRR39" s="48"/>
      <c r="JRS39" s="48"/>
      <c r="JRT39" s="48"/>
      <c r="JRU39" s="48"/>
      <c r="JRV39" s="48"/>
      <c r="JRW39" s="48"/>
      <c r="JRX39" s="48"/>
      <c r="JRY39" s="48"/>
      <c r="JRZ39" s="48"/>
      <c r="JSA39" s="48"/>
      <c r="JSB39" s="48"/>
      <c r="JSC39" s="45"/>
      <c r="JSD39" s="46"/>
      <c r="JSE39" s="46"/>
      <c r="JSF39" s="47"/>
      <c r="JSG39" s="48"/>
      <c r="JSH39" s="48"/>
      <c r="JSI39" s="48"/>
      <c r="JSJ39" s="48"/>
      <c r="JSK39" s="48"/>
      <c r="JSL39" s="48"/>
      <c r="JSM39" s="48"/>
      <c r="JSN39" s="48"/>
      <c r="JSO39" s="48"/>
      <c r="JSP39" s="48"/>
      <c r="JSQ39" s="48"/>
      <c r="JSR39" s="48"/>
      <c r="JSS39" s="48"/>
      <c r="JST39" s="48"/>
      <c r="JSU39" s="48"/>
      <c r="JSV39" s="48"/>
      <c r="JSW39" s="48"/>
      <c r="JSX39" s="48"/>
      <c r="JSY39" s="45"/>
      <c r="JSZ39" s="46"/>
      <c r="JTA39" s="46"/>
      <c r="JTB39" s="47"/>
      <c r="JTC39" s="48"/>
      <c r="JTD39" s="48"/>
      <c r="JTE39" s="48"/>
      <c r="JTF39" s="48"/>
      <c r="JTG39" s="48"/>
      <c r="JTH39" s="48"/>
      <c r="JTI39" s="48"/>
      <c r="JTJ39" s="48"/>
      <c r="JTK39" s="48"/>
      <c r="JTL39" s="48"/>
      <c r="JTM39" s="48"/>
      <c r="JTN39" s="48"/>
      <c r="JTO39" s="48"/>
      <c r="JTP39" s="48"/>
      <c r="JTQ39" s="48"/>
      <c r="JTR39" s="48"/>
      <c r="JTS39" s="48"/>
      <c r="JTT39" s="48"/>
      <c r="JTU39" s="45"/>
      <c r="JTV39" s="46"/>
      <c r="JTW39" s="46"/>
      <c r="JTX39" s="47"/>
      <c r="JTY39" s="48"/>
      <c r="JTZ39" s="48"/>
      <c r="JUA39" s="48"/>
      <c r="JUB39" s="48"/>
      <c r="JUC39" s="48"/>
      <c r="JUD39" s="48"/>
      <c r="JUE39" s="48"/>
      <c r="JUF39" s="48"/>
      <c r="JUG39" s="48"/>
      <c r="JUH39" s="48"/>
      <c r="JUI39" s="48"/>
      <c r="JUJ39" s="48"/>
      <c r="JUK39" s="48"/>
      <c r="JUL39" s="48"/>
      <c r="JUM39" s="48"/>
      <c r="JUN39" s="48"/>
      <c r="JUO39" s="48"/>
      <c r="JUP39" s="48"/>
      <c r="JUQ39" s="45"/>
      <c r="JUR39" s="46"/>
      <c r="JUS39" s="46"/>
      <c r="JUT39" s="47"/>
      <c r="JUU39" s="48"/>
      <c r="JUV39" s="48"/>
      <c r="JUW39" s="48"/>
      <c r="JUX39" s="48"/>
      <c r="JUY39" s="48"/>
      <c r="JUZ39" s="48"/>
      <c r="JVA39" s="48"/>
      <c r="JVB39" s="48"/>
      <c r="JVC39" s="48"/>
      <c r="JVD39" s="48"/>
      <c r="JVE39" s="48"/>
      <c r="JVF39" s="48"/>
      <c r="JVG39" s="48"/>
      <c r="JVH39" s="48"/>
      <c r="JVI39" s="48"/>
      <c r="JVJ39" s="48"/>
      <c r="JVK39" s="48"/>
      <c r="JVL39" s="48"/>
      <c r="JVM39" s="45"/>
      <c r="JVN39" s="46"/>
      <c r="JVO39" s="46"/>
      <c r="JVP39" s="47"/>
      <c r="JVQ39" s="48"/>
      <c r="JVR39" s="48"/>
      <c r="JVS39" s="48"/>
      <c r="JVT39" s="48"/>
      <c r="JVU39" s="48"/>
      <c r="JVV39" s="48"/>
      <c r="JVW39" s="48"/>
      <c r="JVX39" s="48"/>
      <c r="JVY39" s="48"/>
      <c r="JVZ39" s="48"/>
      <c r="JWA39" s="48"/>
      <c r="JWB39" s="48"/>
      <c r="JWC39" s="48"/>
      <c r="JWD39" s="48"/>
      <c r="JWE39" s="48"/>
      <c r="JWF39" s="48"/>
      <c r="JWG39" s="48"/>
      <c r="JWH39" s="48"/>
      <c r="JWI39" s="45"/>
      <c r="JWJ39" s="46"/>
      <c r="JWK39" s="46"/>
      <c r="JWL39" s="47"/>
      <c r="JWM39" s="48"/>
      <c r="JWN39" s="48"/>
      <c r="JWO39" s="48"/>
      <c r="JWP39" s="48"/>
      <c r="JWQ39" s="48"/>
      <c r="JWR39" s="48"/>
      <c r="JWS39" s="48"/>
      <c r="JWT39" s="48"/>
      <c r="JWU39" s="48"/>
      <c r="JWV39" s="48"/>
      <c r="JWW39" s="48"/>
      <c r="JWX39" s="48"/>
      <c r="JWY39" s="48"/>
      <c r="JWZ39" s="48"/>
      <c r="JXA39" s="48"/>
      <c r="JXB39" s="48"/>
      <c r="JXC39" s="48"/>
      <c r="JXD39" s="48"/>
      <c r="JXE39" s="45"/>
      <c r="JXF39" s="46"/>
      <c r="JXG39" s="46"/>
      <c r="JXH39" s="47"/>
      <c r="JXI39" s="48"/>
      <c r="JXJ39" s="48"/>
      <c r="JXK39" s="48"/>
      <c r="JXL39" s="48"/>
      <c r="JXM39" s="48"/>
      <c r="JXN39" s="48"/>
      <c r="JXO39" s="48"/>
      <c r="JXP39" s="48"/>
      <c r="JXQ39" s="48"/>
      <c r="JXR39" s="48"/>
      <c r="JXS39" s="48"/>
      <c r="JXT39" s="48"/>
      <c r="JXU39" s="48"/>
      <c r="JXV39" s="48"/>
      <c r="JXW39" s="48"/>
      <c r="JXX39" s="48"/>
      <c r="JXY39" s="48"/>
      <c r="JXZ39" s="48"/>
      <c r="JYA39" s="45"/>
      <c r="JYB39" s="46"/>
      <c r="JYC39" s="46"/>
      <c r="JYD39" s="47"/>
      <c r="JYE39" s="48"/>
      <c r="JYF39" s="48"/>
      <c r="JYG39" s="48"/>
      <c r="JYH39" s="48"/>
      <c r="JYI39" s="48"/>
      <c r="JYJ39" s="48"/>
      <c r="JYK39" s="48"/>
      <c r="JYL39" s="48"/>
      <c r="JYM39" s="48"/>
      <c r="JYN39" s="48"/>
      <c r="JYO39" s="48"/>
      <c r="JYP39" s="48"/>
      <c r="JYQ39" s="48"/>
      <c r="JYR39" s="48"/>
      <c r="JYS39" s="48"/>
      <c r="JYT39" s="48"/>
      <c r="JYU39" s="48"/>
      <c r="JYV39" s="48"/>
      <c r="JYW39" s="45"/>
      <c r="JYX39" s="46"/>
      <c r="JYY39" s="46"/>
      <c r="JYZ39" s="47"/>
      <c r="JZA39" s="48"/>
      <c r="JZB39" s="48"/>
      <c r="JZC39" s="48"/>
      <c r="JZD39" s="48"/>
      <c r="JZE39" s="48"/>
      <c r="JZF39" s="48"/>
      <c r="JZG39" s="48"/>
      <c r="JZH39" s="48"/>
      <c r="JZI39" s="48"/>
      <c r="JZJ39" s="48"/>
      <c r="JZK39" s="48"/>
      <c r="JZL39" s="48"/>
      <c r="JZM39" s="48"/>
      <c r="JZN39" s="48"/>
      <c r="JZO39" s="48"/>
      <c r="JZP39" s="48"/>
      <c r="JZQ39" s="48"/>
      <c r="JZR39" s="48"/>
      <c r="JZS39" s="45"/>
      <c r="JZT39" s="46"/>
      <c r="JZU39" s="46"/>
      <c r="JZV39" s="47"/>
      <c r="JZW39" s="48"/>
      <c r="JZX39" s="48"/>
      <c r="JZY39" s="48"/>
      <c r="JZZ39" s="48"/>
      <c r="KAA39" s="48"/>
      <c r="KAB39" s="48"/>
      <c r="KAC39" s="48"/>
      <c r="KAD39" s="48"/>
      <c r="KAE39" s="48"/>
      <c r="KAF39" s="48"/>
      <c r="KAG39" s="48"/>
      <c r="KAH39" s="48"/>
      <c r="KAI39" s="48"/>
      <c r="KAJ39" s="48"/>
      <c r="KAK39" s="48"/>
      <c r="KAL39" s="48"/>
      <c r="KAM39" s="48"/>
      <c r="KAN39" s="48"/>
      <c r="KAO39" s="45"/>
      <c r="KAP39" s="46"/>
      <c r="KAQ39" s="46"/>
      <c r="KAR39" s="47"/>
      <c r="KAS39" s="48"/>
      <c r="KAT39" s="48"/>
      <c r="KAU39" s="48"/>
      <c r="KAV39" s="48"/>
      <c r="KAW39" s="48"/>
      <c r="KAX39" s="48"/>
      <c r="KAY39" s="48"/>
      <c r="KAZ39" s="48"/>
      <c r="KBA39" s="48"/>
      <c r="KBB39" s="48"/>
      <c r="KBC39" s="48"/>
      <c r="KBD39" s="48"/>
      <c r="KBE39" s="48"/>
      <c r="KBF39" s="48"/>
      <c r="KBG39" s="48"/>
      <c r="KBH39" s="48"/>
      <c r="KBI39" s="48"/>
      <c r="KBJ39" s="48"/>
      <c r="KBK39" s="45"/>
      <c r="KBL39" s="46"/>
      <c r="KBM39" s="46"/>
      <c r="KBN39" s="47"/>
      <c r="KBO39" s="48"/>
      <c r="KBP39" s="48"/>
      <c r="KBQ39" s="48"/>
      <c r="KBR39" s="48"/>
      <c r="KBS39" s="48"/>
      <c r="KBT39" s="48"/>
      <c r="KBU39" s="48"/>
      <c r="KBV39" s="48"/>
      <c r="KBW39" s="48"/>
      <c r="KBX39" s="48"/>
      <c r="KBY39" s="48"/>
      <c r="KBZ39" s="48"/>
      <c r="KCA39" s="48"/>
      <c r="KCB39" s="48"/>
      <c r="KCC39" s="48"/>
      <c r="KCD39" s="48"/>
      <c r="KCE39" s="48"/>
      <c r="KCF39" s="48"/>
      <c r="KCG39" s="45"/>
      <c r="KCH39" s="46"/>
      <c r="KCI39" s="46"/>
      <c r="KCJ39" s="47"/>
      <c r="KCK39" s="48"/>
      <c r="KCL39" s="48"/>
      <c r="KCM39" s="48"/>
      <c r="KCN39" s="48"/>
      <c r="KCO39" s="48"/>
      <c r="KCP39" s="48"/>
      <c r="KCQ39" s="48"/>
      <c r="KCR39" s="48"/>
      <c r="KCS39" s="48"/>
      <c r="KCT39" s="48"/>
      <c r="KCU39" s="48"/>
      <c r="KCV39" s="48"/>
      <c r="KCW39" s="48"/>
      <c r="KCX39" s="48"/>
      <c r="KCY39" s="48"/>
      <c r="KCZ39" s="48"/>
      <c r="KDA39" s="48"/>
      <c r="KDB39" s="48"/>
      <c r="KDC39" s="45"/>
      <c r="KDD39" s="46"/>
      <c r="KDE39" s="46"/>
      <c r="KDF39" s="47"/>
      <c r="KDG39" s="48"/>
      <c r="KDH39" s="48"/>
      <c r="KDI39" s="48"/>
      <c r="KDJ39" s="48"/>
      <c r="KDK39" s="48"/>
      <c r="KDL39" s="48"/>
      <c r="KDM39" s="48"/>
      <c r="KDN39" s="48"/>
      <c r="KDO39" s="48"/>
      <c r="KDP39" s="48"/>
      <c r="KDQ39" s="48"/>
      <c r="KDR39" s="48"/>
      <c r="KDS39" s="48"/>
      <c r="KDT39" s="48"/>
      <c r="KDU39" s="48"/>
      <c r="KDV39" s="48"/>
      <c r="KDW39" s="48"/>
      <c r="KDX39" s="48"/>
      <c r="KDY39" s="45"/>
      <c r="KDZ39" s="46"/>
      <c r="KEA39" s="46"/>
      <c r="KEB39" s="47"/>
      <c r="KEC39" s="48"/>
      <c r="KED39" s="48"/>
      <c r="KEE39" s="48"/>
      <c r="KEF39" s="48"/>
      <c r="KEG39" s="48"/>
      <c r="KEH39" s="48"/>
      <c r="KEI39" s="48"/>
      <c r="KEJ39" s="48"/>
      <c r="KEK39" s="48"/>
      <c r="KEL39" s="48"/>
      <c r="KEM39" s="48"/>
      <c r="KEN39" s="48"/>
      <c r="KEO39" s="48"/>
      <c r="KEP39" s="48"/>
      <c r="KEQ39" s="48"/>
      <c r="KER39" s="48"/>
      <c r="KES39" s="48"/>
      <c r="KET39" s="48"/>
      <c r="KEU39" s="45"/>
      <c r="KEV39" s="46"/>
      <c r="KEW39" s="46"/>
      <c r="KEX39" s="47"/>
      <c r="KEY39" s="48"/>
      <c r="KEZ39" s="48"/>
      <c r="KFA39" s="48"/>
      <c r="KFB39" s="48"/>
      <c r="KFC39" s="48"/>
      <c r="KFD39" s="48"/>
      <c r="KFE39" s="48"/>
      <c r="KFF39" s="48"/>
      <c r="KFG39" s="48"/>
      <c r="KFH39" s="48"/>
      <c r="KFI39" s="48"/>
      <c r="KFJ39" s="48"/>
      <c r="KFK39" s="48"/>
      <c r="KFL39" s="48"/>
      <c r="KFM39" s="48"/>
      <c r="KFN39" s="48"/>
      <c r="KFO39" s="48"/>
      <c r="KFP39" s="48"/>
      <c r="KFQ39" s="45"/>
      <c r="KFR39" s="46"/>
      <c r="KFS39" s="46"/>
      <c r="KFT39" s="47"/>
      <c r="KFU39" s="48"/>
      <c r="KFV39" s="48"/>
      <c r="KFW39" s="48"/>
      <c r="KFX39" s="48"/>
      <c r="KFY39" s="48"/>
      <c r="KFZ39" s="48"/>
      <c r="KGA39" s="48"/>
      <c r="KGB39" s="48"/>
      <c r="KGC39" s="48"/>
      <c r="KGD39" s="48"/>
      <c r="KGE39" s="48"/>
      <c r="KGF39" s="48"/>
      <c r="KGG39" s="48"/>
      <c r="KGH39" s="48"/>
      <c r="KGI39" s="48"/>
      <c r="KGJ39" s="48"/>
      <c r="KGK39" s="48"/>
      <c r="KGL39" s="48"/>
      <c r="KGM39" s="45"/>
      <c r="KGN39" s="46"/>
      <c r="KGO39" s="46"/>
      <c r="KGP39" s="47"/>
      <c r="KGQ39" s="48"/>
      <c r="KGR39" s="48"/>
      <c r="KGS39" s="48"/>
      <c r="KGT39" s="48"/>
      <c r="KGU39" s="48"/>
      <c r="KGV39" s="48"/>
      <c r="KGW39" s="48"/>
      <c r="KGX39" s="48"/>
      <c r="KGY39" s="48"/>
      <c r="KGZ39" s="48"/>
      <c r="KHA39" s="48"/>
      <c r="KHB39" s="48"/>
      <c r="KHC39" s="48"/>
      <c r="KHD39" s="48"/>
      <c r="KHE39" s="48"/>
      <c r="KHF39" s="48"/>
      <c r="KHG39" s="48"/>
      <c r="KHH39" s="48"/>
      <c r="KHI39" s="45"/>
      <c r="KHJ39" s="46"/>
      <c r="KHK39" s="46"/>
      <c r="KHL39" s="47"/>
      <c r="KHM39" s="48"/>
      <c r="KHN39" s="48"/>
      <c r="KHO39" s="48"/>
      <c r="KHP39" s="48"/>
      <c r="KHQ39" s="48"/>
      <c r="KHR39" s="48"/>
      <c r="KHS39" s="48"/>
      <c r="KHT39" s="48"/>
      <c r="KHU39" s="48"/>
      <c r="KHV39" s="48"/>
      <c r="KHW39" s="48"/>
      <c r="KHX39" s="48"/>
      <c r="KHY39" s="48"/>
      <c r="KHZ39" s="48"/>
      <c r="KIA39" s="48"/>
      <c r="KIB39" s="48"/>
      <c r="KIC39" s="48"/>
      <c r="KID39" s="48"/>
      <c r="KIE39" s="45"/>
      <c r="KIF39" s="46"/>
      <c r="KIG39" s="46"/>
      <c r="KIH39" s="47"/>
      <c r="KII39" s="48"/>
      <c r="KIJ39" s="48"/>
      <c r="KIK39" s="48"/>
      <c r="KIL39" s="48"/>
      <c r="KIM39" s="48"/>
      <c r="KIN39" s="48"/>
      <c r="KIO39" s="48"/>
      <c r="KIP39" s="48"/>
      <c r="KIQ39" s="48"/>
      <c r="KIR39" s="48"/>
      <c r="KIS39" s="48"/>
      <c r="KIT39" s="48"/>
      <c r="KIU39" s="48"/>
      <c r="KIV39" s="48"/>
      <c r="KIW39" s="48"/>
      <c r="KIX39" s="48"/>
      <c r="KIY39" s="48"/>
      <c r="KIZ39" s="48"/>
      <c r="KJA39" s="45"/>
      <c r="KJB39" s="46"/>
      <c r="KJC39" s="46"/>
      <c r="KJD39" s="47"/>
      <c r="KJE39" s="48"/>
      <c r="KJF39" s="48"/>
      <c r="KJG39" s="48"/>
      <c r="KJH39" s="48"/>
      <c r="KJI39" s="48"/>
      <c r="KJJ39" s="48"/>
      <c r="KJK39" s="48"/>
      <c r="KJL39" s="48"/>
      <c r="KJM39" s="48"/>
      <c r="KJN39" s="48"/>
      <c r="KJO39" s="48"/>
      <c r="KJP39" s="48"/>
      <c r="KJQ39" s="48"/>
      <c r="KJR39" s="48"/>
      <c r="KJS39" s="48"/>
      <c r="KJT39" s="48"/>
      <c r="KJU39" s="48"/>
      <c r="KJV39" s="48"/>
      <c r="KJW39" s="45"/>
      <c r="KJX39" s="46"/>
      <c r="KJY39" s="46"/>
      <c r="KJZ39" s="47"/>
      <c r="KKA39" s="48"/>
      <c r="KKB39" s="48"/>
      <c r="KKC39" s="48"/>
      <c r="KKD39" s="48"/>
      <c r="KKE39" s="48"/>
      <c r="KKF39" s="48"/>
      <c r="KKG39" s="48"/>
      <c r="KKH39" s="48"/>
      <c r="KKI39" s="48"/>
      <c r="KKJ39" s="48"/>
      <c r="KKK39" s="48"/>
      <c r="KKL39" s="48"/>
      <c r="KKM39" s="48"/>
      <c r="KKN39" s="48"/>
      <c r="KKO39" s="48"/>
      <c r="KKP39" s="48"/>
      <c r="KKQ39" s="48"/>
      <c r="KKR39" s="48"/>
      <c r="KKS39" s="45"/>
      <c r="KKT39" s="46"/>
      <c r="KKU39" s="46"/>
      <c r="KKV39" s="47"/>
      <c r="KKW39" s="48"/>
      <c r="KKX39" s="48"/>
      <c r="KKY39" s="48"/>
      <c r="KKZ39" s="48"/>
      <c r="KLA39" s="48"/>
      <c r="KLB39" s="48"/>
      <c r="KLC39" s="48"/>
      <c r="KLD39" s="48"/>
      <c r="KLE39" s="48"/>
      <c r="KLF39" s="48"/>
      <c r="KLG39" s="48"/>
      <c r="KLH39" s="48"/>
      <c r="KLI39" s="48"/>
      <c r="KLJ39" s="48"/>
      <c r="KLK39" s="48"/>
      <c r="KLL39" s="48"/>
      <c r="KLM39" s="48"/>
      <c r="KLN39" s="48"/>
      <c r="KLO39" s="45"/>
      <c r="KLP39" s="46"/>
      <c r="KLQ39" s="46"/>
      <c r="KLR39" s="47"/>
      <c r="KLS39" s="48"/>
      <c r="KLT39" s="48"/>
      <c r="KLU39" s="48"/>
      <c r="KLV39" s="48"/>
      <c r="KLW39" s="48"/>
      <c r="KLX39" s="48"/>
      <c r="KLY39" s="48"/>
      <c r="KLZ39" s="48"/>
      <c r="KMA39" s="48"/>
      <c r="KMB39" s="48"/>
      <c r="KMC39" s="48"/>
      <c r="KMD39" s="48"/>
      <c r="KME39" s="48"/>
      <c r="KMF39" s="48"/>
      <c r="KMG39" s="48"/>
      <c r="KMH39" s="48"/>
      <c r="KMI39" s="48"/>
      <c r="KMJ39" s="48"/>
      <c r="KMK39" s="45"/>
      <c r="KML39" s="46"/>
      <c r="KMM39" s="46"/>
      <c r="KMN39" s="47"/>
      <c r="KMO39" s="48"/>
      <c r="KMP39" s="48"/>
      <c r="KMQ39" s="48"/>
      <c r="KMR39" s="48"/>
      <c r="KMS39" s="48"/>
      <c r="KMT39" s="48"/>
      <c r="KMU39" s="48"/>
      <c r="KMV39" s="48"/>
      <c r="KMW39" s="48"/>
      <c r="KMX39" s="48"/>
      <c r="KMY39" s="48"/>
      <c r="KMZ39" s="48"/>
      <c r="KNA39" s="48"/>
      <c r="KNB39" s="48"/>
      <c r="KNC39" s="48"/>
      <c r="KND39" s="48"/>
      <c r="KNE39" s="48"/>
      <c r="KNF39" s="48"/>
      <c r="KNG39" s="45"/>
      <c r="KNH39" s="46"/>
      <c r="KNI39" s="46"/>
      <c r="KNJ39" s="47"/>
      <c r="KNK39" s="48"/>
      <c r="KNL39" s="48"/>
      <c r="KNM39" s="48"/>
      <c r="KNN39" s="48"/>
      <c r="KNO39" s="48"/>
      <c r="KNP39" s="48"/>
      <c r="KNQ39" s="48"/>
      <c r="KNR39" s="48"/>
      <c r="KNS39" s="48"/>
      <c r="KNT39" s="48"/>
      <c r="KNU39" s="48"/>
      <c r="KNV39" s="48"/>
      <c r="KNW39" s="48"/>
      <c r="KNX39" s="48"/>
      <c r="KNY39" s="48"/>
      <c r="KNZ39" s="48"/>
      <c r="KOA39" s="48"/>
      <c r="KOB39" s="48"/>
      <c r="KOC39" s="45"/>
      <c r="KOD39" s="46"/>
      <c r="KOE39" s="46"/>
      <c r="KOF39" s="47"/>
      <c r="KOG39" s="48"/>
      <c r="KOH39" s="48"/>
      <c r="KOI39" s="48"/>
      <c r="KOJ39" s="48"/>
      <c r="KOK39" s="48"/>
      <c r="KOL39" s="48"/>
      <c r="KOM39" s="48"/>
      <c r="KON39" s="48"/>
      <c r="KOO39" s="48"/>
      <c r="KOP39" s="48"/>
      <c r="KOQ39" s="48"/>
      <c r="KOR39" s="48"/>
      <c r="KOS39" s="48"/>
      <c r="KOT39" s="48"/>
      <c r="KOU39" s="48"/>
      <c r="KOV39" s="48"/>
      <c r="KOW39" s="48"/>
      <c r="KOX39" s="48"/>
      <c r="KOY39" s="45"/>
      <c r="KOZ39" s="46"/>
      <c r="KPA39" s="46"/>
      <c r="KPB39" s="47"/>
      <c r="KPC39" s="48"/>
      <c r="KPD39" s="48"/>
      <c r="KPE39" s="48"/>
      <c r="KPF39" s="48"/>
      <c r="KPG39" s="48"/>
      <c r="KPH39" s="48"/>
      <c r="KPI39" s="48"/>
      <c r="KPJ39" s="48"/>
      <c r="KPK39" s="48"/>
      <c r="KPL39" s="48"/>
      <c r="KPM39" s="48"/>
      <c r="KPN39" s="48"/>
      <c r="KPO39" s="48"/>
      <c r="KPP39" s="48"/>
      <c r="KPQ39" s="48"/>
      <c r="KPR39" s="48"/>
      <c r="KPS39" s="48"/>
      <c r="KPT39" s="48"/>
      <c r="KPU39" s="45"/>
      <c r="KPV39" s="46"/>
      <c r="KPW39" s="46"/>
      <c r="KPX39" s="47"/>
      <c r="KPY39" s="48"/>
      <c r="KPZ39" s="48"/>
      <c r="KQA39" s="48"/>
      <c r="KQB39" s="48"/>
      <c r="KQC39" s="48"/>
      <c r="KQD39" s="48"/>
      <c r="KQE39" s="48"/>
      <c r="KQF39" s="48"/>
      <c r="KQG39" s="48"/>
      <c r="KQH39" s="48"/>
      <c r="KQI39" s="48"/>
      <c r="KQJ39" s="48"/>
      <c r="KQK39" s="48"/>
      <c r="KQL39" s="48"/>
      <c r="KQM39" s="48"/>
      <c r="KQN39" s="48"/>
      <c r="KQO39" s="48"/>
      <c r="KQP39" s="48"/>
      <c r="KQQ39" s="45"/>
      <c r="KQR39" s="46"/>
      <c r="KQS39" s="46"/>
      <c r="KQT39" s="47"/>
      <c r="KQU39" s="48"/>
      <c r="KQV39" s="48"/>
      <c r="KQW39" s="48"/>
      <c r="KQX39" s="48"/>
      <c r="KQY39" s="48"/>
      <c r="KQZ39" s="48"/>
      <c r="KRA39" s="48"/>
      <c r="KRB39" s="48"/>
      <c r="KRC39" s="48"/>
      <c r="KRD39" s="48"/>
      <c r="KRE39" s="48"/>
      <c r="KRF39" s="48"/>
      <c r="KRG39" s="48"/>
      <c r="KRH39" s="48"/>
      <c r="KRI39" s="48"/>
      <c r="KRJ39" s="48"/>
      <c r="KRK39" s="48"/>
      <c r="KRL39" s="48"/>
      <c r="KRM39" s="45"/>
      <c r="KRN39" s="46"/>
      <c r="KRO39" s="46"/>
      <c r="KRP39" s="47"/>
      <c r="KRQ39" s="48"/>
      <c r="KRR39" s="48"/>
      <c r="KRS39" s="48"/>
      <c r="KRT39" s="48"/>
      <c r="KRU39" s="48"/>
      <c r="KRV39" s="48"/>
      <c r="KRW39" s="48"/>
      <c r="KRX39" s="48"/>
      <c r="KRY39" s="48"/>
      <c r="KRZ39" s="48"/>
      <c r="KSA39" s="48"/>
      <c r="KSB39" s="48"/>
      <c r="KSC39" s="48"/>
      <c r="KSD39" s="48"/>
      <c r="KSE39" s="48"/>
      <c r="KSF39" s="48"/>
      <c r="KSG39" s="48"/>
      <c r="KSH39" s="48"/>
      <c r="KSI39" s="45"/>
      <c r="KSJ39" s="46"/>
      <c r="KSK39" s="46"/>
      <c r="KSL39" s="47"/>
      <c r="KSM39" s="48"/>
      <c r="KSN39" s="48"/>
      <c r="KSO39" s="48"/>
      <c r="KSP39" s="48"/>
      <c r="KSQ39" s="48"/>
      <c r="KSR39" s="48"/>
      <c r="KSS39" s="48"/>
      <c r="KST39" s="48"/>
      <c r="KSU39" s="48"/>
      <c r="KSV39" s="48"/>
      <c r="KSW39" s="48"/>
      <c r="KSX39" s="48"/>
      <c r="KSY39" s="48"/>
      <c r="KSZ39" s="48"/>
      <c r="KTA39" s="48"/>
      <c r="KTB39" s="48"/>
      <c r="KTC39" s="48"/>
      <c r="KTD39" s="48"/>
      <c r="KTE39" s="45"/>
      <c r="KTF39" s="46"/>
      <c r="KTG39" s="46"/>
      <c r="KTH39" s="47"/>
      <c r="KTI39" s="48"/>
      <c r="KTJ39" s="48"/>
      <c r="KTK39" s="48"/>
      <c r="KTL39" s="48"/>
      <c r="KTM39" s="48"/>
      <c r="KTN39" s="48"/>
      <c r="KTO39" s="48"/>
      <c r="KTP39" s="48"/>
      <c r="KTQ39" s="48"/>
      <c r="KTR39" s="48"/>
      <c r="KTS39" s="48"/>
      <c r="KTT39" s="48"/>
      <c r="KTU39" s="48"/>
      <c r="KTV39" s="48"/>
      <c r="KTW39" s="48"/>
      <c r="KTX39" s="48"/>
      <c r="KTY39" s="48"/>
      <c r="KTZ39" s="48"/>
      <c r="KUA39" s="45"/>
      <c r="KUB39" s="46"/>
      <c r="KUC39" s="46"/>
      <c r="KUD39" s="47"/>
      <c r="KUE39" s="48"/>
      <c r="KUF39" s="48"/>
      <c r="KUG39" s="48"/>
      <c r="KUH39" s="48"/>
      <c r="KUI39" s="48"/>
      <c r="KUJ39" s="48"/>
      <c r="KUK39" s="48"/>
      <c r="KUL39" s="48"/>
      <c r="KUM39" s="48"/>
      <c r="KUN39" s="48"/>
      <c r="KUO39" s="48"/>
      <c r="KUP39" s="48"/>
      <c r="KUQ39" s="48"/>
      <c r="KUR39" s="48"/>
      <c r="KUS39" s="48"/>
      <c r="KUT39" s="48"/>
      <c r="KUU39" s="48"/>
      <c r="KUV39" s="48"/>
      <c r="KUW39" s="45"/>
      <c r="KUX39" s="46"/>
      <c r="KUY39" s="46"/>
      <c r="KUZ39" s="47"/>
      <c r="KVA39" s="48"/>
      <c r="KVB39" s="48"/>
      <c r="KVC39" s="48"/>
      <c r="KVD39" s="48"/>
      <c r="KVE39" s="48"/>
      <c r="KVF39" s="48"/>
      <c r="KVG39" s="48"/>
      <c r="KVH39" s="48"/>
      <c r="KVI39" s="48"/>
      <c r="KVJ39" s="48"/>
      <c r="KVK39" s="48"/>
      <c r="KVL39" s="48"/>
      <c r="KVM39" s="48"/>
      <c r="KVN39" s="48"/>
      <c r="KVO39" s="48"/>
      <c r="KVP39" s="48"/>
      <c r="KVQ39" s="48"/>
      <c r="KVR39" s="48"/>
      <c r="KVS39" s="45"/>
      <c r="KVT39" s="46"/>
      <c r="KVU39" s="46"/>
      <c r="KVV39" s="47"/>
      <c r="KVW39" s="48"/>
      <c r="KVX39" s="48"/>
      <c r="KVY39" s="48"/>
      <c r="KVZ39" s="48"/>
      <c r="KWA39" s="48"/>
      <c r="KWB39" s="48"/>
      <c r="KWC39" s="48"/>
      <c r="KWD39" s="48"/>
      <c r="KWE39" s="48"/>
      <c r="KWF39" s="48"/>
      <c r="KWG39" s="48"/>
      <c r="KWH39" s="48"/>
      <c r="KWI39" s="48"/>
      <c r="KWJ39" s="48"/>
      <c r="KWK39" s="48"/>
      <c r="KWL39" s="48"/>
      <c r="KWM39" s="48"/>
      <c r="KWN39" s="48"/>
      <c r="KWO39" s="45"/>
      <c r="KWP39" s="46"/>
      <c r="KWQ39" s="46"/>
      <c r="KWR39" s="47"/>
      <c r="KWS39" s="48"/>
      <c r="KWT39" s="48"/>
      <c r="KWU39" s="48"/>
      <c r="KWV39" s="48"/>
      <c r="KWW39" s="48"/>
      <c r="KWX39" s="48"/>
      <c r="KWY39" s="48"/>
      <c r="KWZ39" s="48"/>
      <c r="KXA39" s="48"/>
      <c r="KXB39" s="48"/>
      <c r="KXC39" s="48"/>
      <c r="KXD39" s="48"/>
      <c r="KXE39" s="48"/>
      <c r="KXF39" s="48"/>
      <c r="KXG39" s="48"/>
      <c r="KXH39" s="48"/>
      <c r="KXI39" s="48"/>
      <c r="KXJ39" s="48"/>
      <c r="KXK39" s="45"/>
      <c r="KXL39" s="46"/>
      <c r="KXM39" s="46"/>
      <c r="KXN39" s="47"/>
      <c r="KXO39" s="48"/>
      <c r="KXP39" s="48"/>
      <c r="KXQ39" s="48"/>
      <c r="KXR39" s="48"/>
      <c r="KXS39" s="48"/>
      <c r="KXT39" s="48"/>
      <c r="KXU39" s="48"/>
      <c r="KXV39" s="48"/>
      <c r="KXW39" s="48"/>
      <c r="KXX39" s="48"/>
      <c r="KXY39" s="48"/>
      <c r="KXZ39" s="48"/>
      <c r="KYA39" s="48"/>
      <c r="KYB39" s="48"/>
      <c r="KYC39" s="48"/>
      <c r="KYD39" s="48"/>
      <c r="KYE39" s="48"/>
      <c r="KYF39" s="48"/>
      <c r="KYG39" s="45"/>
      <c r="KYH39" s="46"/>
      <c r="KYI39" s="46"/>
      <c r="KYJ39" s="47"/>
      <c r="KYK39" s="48"/>
      <c r="KYL39" s="48"/>
      <c r="KYM39" s="48"/>
      <c r="KYN39" s="48"/>
      <c r="KYO39" s="48"/>
      <c r="KYP39" s="48"/>
      <c r="KYQ39" s="48"/>
      <c r="KYR39" s="48"/>
      <c r="KYS39" s="48"/>
      <c r="KYT39" s="48"/>
      <c r="KYU39" s="48"/>
      <c r="KYV39" s="48"/>
      <c r="KYW39" s="48"/>
      <c r="KYX39" s="48"/>
      <c r="KYY39" s="48"/>
      <c r="KYZ39" s="48"/>
      <c r="KZA39" s="48"/>
      <c r="KZB39" s="48"/>
      <c r="KZC39" s="45"/>
      <c r="KZD39" s="46"/>
      <c r="KZE39" s="46"/>
      <c r="KZF39" s="47"/>
      <c r="KZG39" s="48"/>
      <c r="KZH39" s="48"/>
      <c r="KZI39" s="48"/>
      <c r="KZJ39" s="48"/>
      <c r="KZK39" s="48"/>
      <c r="KZL39" s="48"/>
      <c r="KZM39" s="48"/>
      <c r="KZN39" s="48"/>
      <c r="KZO39" s="48"/>
      <c r="KZP39" s="48"/>
      <c r="KZQ39" s="48"/>
      <c r="KZR39" s="48"/>
      <c r="KZS39" s="48"/>
      <c r="KZT39" s="48"/>
      <c r="KZU39" s="48"/>
      <c r="KZV39" s="48"/>
      <c r="KZW39" s="48"/>
      <c r="KZX39" s="48"/>
      <c r="KZY39" s="45"/>
      <c r="KZZ39" s="46"/>
      <c r="LAA39" s="46"/>
      <c r="LAB39" s="47"/>
      <c r="LAC39" s="48"/>
      <c r="LAD39" s="48"/>
      <c r="LAE39" s="48"/>
      <c r="LAF39" s="48"/>
      <c r="LAG39" s="48"/>
      <c r="LAH39" s="48"/>
      <c r="LAI39" s="48"/>
      <c r="LAJ39" s="48"/>
      <c r="LAK39" s="48"/>
      <c r="LAL39" s="48"/>
      <c r="LAM39" s="48"/>
      <c r="LAN39" s="48"/>
      <c r="LAO39" s="48"/>
      <c r="LAP39" s="48"/>
      <c r="LAQ39" s="48"/>
      <c r="LAR39" s="48"/>
      <c r="LAS39" s="48"/>
      <c r="LAT39" s="48"/>
      <c r="LAU39" s="45"/>
      <c r="LAV39" s="46"/>
      <c r="LAW39" s="46"/>
      <c r="LAX39" s="47"/>
      <c r="LAY39" s="48"/>
      <c r="LAZ39" s="48"/>
      <c r="LBA39" s="48"/>
      <c r="LBB39" s="48"/>
      <c r="LBC39" s="48"/>
      <c r="LBD39" s="48"/>
      <c r="LBE39" s="48"/>
      <c r="LBF39" s="48"/>
      <c r="LBG39" s="48"/>
      <c r="LBH39" s="48"/>
      <c r="LBI39" s="48"/>
      <c r="LBJ39" s="48"/>
      <c r="LBK39" s="48"/>
      <c r="LBL39" s="48"/>
      <c r="LBM39" s="48"/>
      <c r="LBN39" s="48"/>
      <c r="LBO39" s="48"/>
      <c r="LBP39" s="48"/>
      <c r="LBQ39" s="45"/>
      <c r="LBR39" s="46"/>
      <c r="LBS39" s="46"/>
      <c r="LBT39" s="47"/>
      <c r="LBU39" s="48"/>
      <c r="LBV39" s="48"/>
      <c r="LBW39" s="48"/>
      <c r="LBX39" s="48"/>
      <c r="LBY39" s="48"/>
      <c r="LBZ39" s="48"/>
      <c r="LCA39" s="48"/>
      <c r="LCB39" s="48"/>
      <c r="LCC39" s="48"/>
      <c r="LCD39" s="48"/>
      <c r="LCE39" s="48"/>
      <c r="LCF39" s="48"/>
      <c r="LCG39" s="48"/>
      <c r="LCH39" s="48"/>
      <c r="LCI39" s="48"/>
      <c r="LCJ39" s="48"/>
      <c r="LCK39" s="48"/>
      <c r="LCL39" s="48"/>
      <c r="LCM39" s="45"/>
      <c r="LCN39" s="46"/>
      <c r="LCO39" s="46"/>
      <c r="LCP39" s="47"/>
      <c r="LCQ39" s="48"/>
      <c r="LCR39" s="48"/>
      <c r="LCS39" s="48"/>
      <c r="LCT39" s="48"/>
      <c r="LCU39" s="48"/>
      <c r="LCV39" s="48"/>
      <c r="LCW39" s="48"/>
      <c r="LCX39" s="48"/>
      <c r="LCY39" s="48"/>
      <c r="LCZ39" s="48"/>
      <c r="LDA39" s="48"/>
      <c r="LDB39" s="48"/>
      <c r="LDC39" s="48"/>
      <c r="LDD39" s="48"/>
      <c r="LDE39" s="48"/>
      <c r="LDF39" s="48"/>
      <c r="LDG39" s="48"/>
      <c r="LDH39" s="48"/>
      <c r="LDI39" s="45"/>
      <c r="LDJ39" s="46"/>
      <c r="LDK39" s="46"/>
      <c r="LDL39" s="47"/>
      <c r="LDM39" s="48"/>
      <c r="LDN39" s="48"/>
      <c r="LDO39" s="48"/>
      <c r="LDP39" s="48"/>
      <c r="LDQ39" s="48"/>
      <c r="LDR39" s="48"/>
      <c r="LDS39" s="48"/>
      <c r="LDT39" s="48"/>
      <c r="LDU39" s="48"/>
      <c r="LDV39" s="48"/>
      <c r="LDW39" s="48"/>
      <c r="LDX39" s="48"/>
      <c r="LDY39" s="48"/>
      <c r="LDZ39" s="48"/>
      <c r="LEA39" s="48"/>
      <c r="LEB39" s="48"/>
      <c r="LEC39" s="48"/>
      <c r="LED39" s="48"/>
      <c r="LEE39" s="45"/>
      <c r="LEF39" s="46"/>
      <c r="LEG39" s="46"/>
      <c r="LEH39" s="47"/>
      <c r="LEI39" s="48"/>
      <c r="LEJ39" s="48"/>
      <c r="LEK39" s="48"/>
      <c r="LEL39" s="48"/>
      <c r="LEM39" s="48"/>
      <c r="LEN39" s="48"/>
      <c r="LEO39" s="48"/>
      <c r="LEP39" s="48"/>
      <c r="LEQ39" s="48"/>
      <c r="LER39" s="48"/>
      <c r="LES39" s="48"/>
      <c r="LET39" s="48"/>
      <c r="LEU39" s="48"/>
      <c r="LEV39" s="48"/>
      <c r="LEW39" s="48"/>
      <c r="LEX39" s="48"/>
      <c r="LEY39" s="48"/>
      <c r="LEZ39" s="48"/>
      <c r="LFA39" s="45"/>
      <c r="LFB39" s="46"/>
      <c r="LFC39" s="46"/>
      <c r="LFD39" s="47"/>
      <c r="LFE39" s="48"/>
      <c r="LFF39" s="48"/>
      <c r="LFG39" s="48"/>
      <c r="LFH39" s="48"/>
      <c r="LFI39" s="48"/>
      <c r="LFJ39" s="48"/>
      <c r="LFK39" s="48"/>
      <c r="LFL39" s="48"/>
      <c r="LFM39" s="48"/>
      <c r="LFN39" s="48"/>
      <c r="LFO39" s="48"/>
      <c r="LFP39" s="48"/>
      <c r="LFQ39" s="48"/>
      <c r="LFR39" s="48"/>
      <c r="LFS39" s="48"/>
      <c r="LFT39" s="48"/>
      <c r="LFU39" s="48"/>
      <c r="LFV39" s="48"/>
      <c r="LFW39" s="45"/>
      <c r="LFX39" s="46"/>
      <c r="LFY39" s="46"/>
      <c r="LFZ39" s="47"/>
      <c r="LGA39" s="48"/>
      <c r="LGB39" s="48"/>
      <c r="LGC39" s="48"/>
      <c r="LGD39" s="48"/>
      <c r="LGE39" s="48"/>
      <c r="LGF39" s="48"/>
      <c r="LGG39" s="48"/>
      <c r="LGH39" s="48"/>
      <c r="LGI39" s="48"/>
      <c r="LGJ39" s="48"/>
      <c r="LGK39" s="48"/>
      <c r="LGL39" s="48"/>
      <c r="LGM39" s="48"/>
      <c r="LGN39" s="48"/>
      <c r="LGO39" s="48"/>
      <c r="LGP39" s="48"/>
      <c r="LGQ39" s="48"/>
      <c r="LGR39" s="48"/>
      <c r="LGS39" s="45"/>
      <c r="LGT39" s="46"/>
      <c r="LGU39" s="46"/>
      <c r="LGV39" s="47"/>
      <c r="LGW39" s="48"/>
      <c r="LGX39" s="48"/>
      <c r="LGY39" s="48"/>
      <c r="LGZ39" s="48"/>
      <c r="LHA39" s="48"/>
      <c r="LHB39" s="48"/>
      <c r="LHC39" s="48"/>
      <c r="LHD39" s="48"/>
      <c r="LHE39" s="48"/>
      <c r="LHF39" s="48"/>
      <c r="LHG39" s="48"/>
      <c r="LHH39" s="48"/>
      <c r="LHI39" s="48"/>
      <c r="LHJ39" s="48"/>
      <c r="LHK39" s="48"/>
      <c r="LHL39" s="48"/>
      <c r="LHM39" s="48"/>
      <c r="LHN39" s="48"/>
      <c r="LHO39" s="45"/>
      <c r="LHP39" s="46"/>
      <c r="LHQ39" s="46"/>
      <c r="LHR39" s="47"/>
      <c r="LHS39" s="48"/>
      <c r="LHT39" s="48"/>
      <c r="LHU39" s="48"/>
      <c r="LHV39" s="48"/>
      <c r="LHW39" s="48"/>
      <c r="LHX39" s="48"/>
      <c r="LHY39" s="48"/>
      <c r="LHZ39" s="48"/>
      <c r="LIA39" s="48"/>
      <c r="LIB39" s="48"/>
      <c r="LIC39" s="48"/>
      <c r="LID39" s="48"/>
      <c r="LIE39" s="48"/>
      <c r="LIF39" s="48"/>
      <c r="LIG39" s="48"/>
      <c r="LIH39" s="48"/>
      <c r="LII39" s="48"/>
      <c r="LIJ39" s="48"/>
      <c r="LIK39" s="45"/>
      <c r="LIL39" s="46"/>
      <c r="LIM39" s="46"/>
      <c r="LIN39" s="47"/>
      <c r="LIO39" s="48"/>
      <c r="LIP39" s="48"/>
      <c r="LIQ39" s="48"/>
      <c r="LIR39" s="48"/>
      <c r="LIS39" s="48"/>
      <c r="LIT39" s="48"/>
      <c r="LIU39" s="48"/>
      <c r="LIV39" s="48"/>
      <c r="LIW39" s="48"/>
      <c r="LIX39" s="48"/>
      <c r="LIY39" s="48"/>
      <c r="LIZ39" s="48"/>
      <c r="LJA39" s="48"/>
      <c r="LJB39" s="48"/>
      <c r="LJC39" s="48"/>
      <c r="LJD39" s="48"/>
      <c r="LJE39" s="48"/>
      <c r="LJF39" s="48"/>
      <c r="LJG39" s="45"/>
      <c r="LJH39" s="46"/>
      <c r="LJI39" s="46"/>
      <c r="LJJ39" s="47"/>
      <c r="LJK39" s="48"/>
      <c r="LJL39" s="48"/>
      <c r="LJM39" s="48"/>
      <c r="LJN39" s="48"/>
      <c r="LJO39" s="48"/>
      <c r="LJP39" s="48"/>
      <c r="LJQ39" s="48"/>
      <c r="LJR39" s="48"/>
      <c r="LJS39" s="48"/>
      <c r="LJT39" s="48"/>
      <c r="LJU39" s="48"/>
      <c r="LJV39" s="48"/>
      <c r="LJW39" s="48"/>
      <c r="LJX39" s="48"/>
      <c r="LJY39" s="48"/>
      <c r="LJZ39" s="48"/>
      <c r="LKA39" s="48"/>
      <c r="LKB39" s="48"/>
      <c r="LKC39" s="45"/>
      <c r="LKD39" s="46"/>
      <c r="LKE39" s="46"/>
      <c r="LKF39" s="47"/>
      <c r="LKG39" s="48"/>
      <c r="LKH39" s="48"/>
      <c r="LKI39" s="48"/>
      <c r="LKJ39" s="48"/>
      <c r="LKK39" s="48"/>
      <c r="LKL39" s="48"/>
      <c r="LKM39" s="48"/>
      <c r="LKN39" s="48"/>
      <c r="LKO39" s="48"/>
      <c r="LKP39" s="48"/>
      <c r="LKQ39" s="48"/>
      <c r="LKR39" s="48"/>
      <c r="LKS39" s="48"/>
      <c r="LKT39" s="48"/>
      <c r="LKU39" s="48"/>
      <c r="LKV39" s="48"/>
      <c r="LKW39" s="48"/>
      <c r="LKX39" s="48"/>
      <c r="LKY39" s="45"/>
      <c r="LKZ39" s="46"/>
      <c r="LLA39" s="46"/>
      <c r="LLB39" s="47"/>
      <c r="LLC39" s="48"/>
      <c r="LLD39" s="48"/>
      <c r="LLE39" s="48"/>
      <c r="LLF39" s="48"/>
      <c r="LLG39" s="48"/>
      <c r="LLH39" s="48"/>
      <c r="LLI39" s="48"/>
      <c r="LLJ39" s="48"/>
      <c r="LLK39" s="48"/>
      <c r="LLL39" s="48"/>
      <c r="LLM39" s="48"/>
      <c r="LLN39" s="48"/>
      <c r="LLO39" s="48"/>
      <c r="LLP39" s="48"/>
      <c r="LLQ39" s="48"/>
      <c r="LLR39" s="48"/>
      <c r="LLS39" s="48"/>
      <c r="LLT39" s="48"/>
      <c r="LLU39" s="45"/>
      <c r="LLV39" s="46"/>
      <c r="LLW39" s="46"/>
      <c r="LLX39" s="47"/>
      <c r="LLY39" s="48"/>
      <c r="LLZ39" s="48"/>
      <c r="LMA39" s="48"/>
      <c r="LMB39" s="48"/>
      <c r="LMC39" s="48"/>
      <c r="LMD39" s="48"/>
      <c r="LME39" s="48"/>
      <c r="LMF39" s="48"/>
      <c r="LMG39" s="48"/>
      <c r="LMH39" s="48"/>
      <c r="LMI39" s="48"/>
      <c r="LMJ39" s="48"/>
      <c r="LMK39" s="48"/>
      <c r="LML39" s="48"/>
      <c r="LMM39" s="48"/>
      <c r="LMN39" s="48"/>
      <c r="LMO39" s="48"/>
      <c r="LMP39" s="48"/>
      <c r="LMQ39" s="45"/>
      <c r="LMR39" s="46"/>
      <c r="LMS39" s="46"/>
      <c r="LMT39" s="47"/>
      <c r="LMU39" s="48"/>
      <c r="LMV39" s="48"/>
      <c r="LMW39" s="48"/>
      <c r="LMX39" s="48"/>
      <c r="LMY39" s="48"/>
      <c r="LMZ39" s="48"/>
      <c r="LNA39" s="48"/>
      <c r="LNB39" s="48"/>
      <c r="LNC39" s="48"/>
      <c r="LND39" s="48"/>
      <c r="LNE39" s="48"/>
      <c r="LNF39" s="48"/>
      <c r="LNG39" s="48"/>
      <c r="LNH39" s="48"/>
      <c r="LNI39" s="48"/>
      <c r="LNJ39" s="48"/>
      <c r="LNK39" s="48"/>
      <c r="LNL39" s="48"/>
      <c r="LNM39" s="45"/>
      <c r="LNN39" s="46"/>
      <c r="LNO39" s="46"/>
      <c r="LNP39" s="47"/>
      <c r="LNQ39" s="48"/>
      <c r="LNR39" s="48"/>
      <c r="LNS39" s="48"/>
      <c r="LNT39" s="48"/>
      <c r="LNU39" s="48"/>
      <c r="LNV39" s="48"/>
      <c r="LNW39" s="48"/>
      <c r="LNX39" s="48"/>
      <c r="LNY39" s="48"/>
      <c r="LNZ39" s="48"/>
      <c r="LOA39" s="48"/>
      <c r="LOB39" s="48"/>
      <c r="LOC39" s="48"/>
      <c r="LOD39" s="48"/>
      <c r="LOE39" s="48"/>
      <c r="LOF39" s="48"/>
      <c r="LOG39" s="48"/>
      <c r="LOH39" s="48"/>
      <c r="LOI39" s="45"/>
      <c r="LOJ39" s="46"/>
      <c r="LOK39" s="46"/>
      <c r="LOL39" s="47"/>
      <c r="LOM39" s="48"/>
      <c r="LON39" s="48"/>
      <c r="LOO39" s="48"/>
      <c r="LOP39" s="48"/>
      <c r="LOQ39" s="48"/>
      <c r="LOR39" s="48"/>
      <c r="LOS39" s="48"/>
      <c r="LOT39" s="48"/>
      <c r="LOU39" s="48"/>
      <c r="LOV39" s="48"/>
      <c r="LOW39" s="48"/>
      <c r="LOX39" s="48"/>
      <c r="LOY39" s="48"/>
      <c r="LOZ39" s="48"/>
      <c r="LPA39" s="48"/>
      <c r="LPB39" s="48"/>
      <c r="LPC39" s="48"/>
      <c r="LPD39" s="48"/>
      <c r="LPE39" s="45"/>
      <c r="LPF39" s="46"/>
      <c r="LPG39" s="46"/>
      <c r="LPH39" s="47"/>
      <c r="LPI39" s="48"/>
      <c r="LPJ39" s="48"/>
      <c r="LPK39" s="48"/>
      <c r="LPL39" s="48"/>
      <c r="LPM39" s="48"/>
      <c r="LPN39" s="48"/>
      <c r="LPO39" s="48"/>
      <c r="LPP39" s="48"/>
      <c r="LPQ39" s="48"/>
      <c r="LPR39" s="48"/>
      <c r="LPS39" s="48"/>
      <c r="LPT39" s="48"/>
      <c r="LPU39" s="48"/>
      <c r="LPV39" s="48"/>
      <c r="LPW39" s="48"/>
      <c r="LPX39" s="48"/>
      <c r="LPY39" s="48"/>
      <c r="LPZ39" s="48"/>
      <c r="LQA39" s="45"/>
      <c r="LQB39" s="46"/>
      <c r="LQC39" s="46"/>
      <c r="LQD39" s="47"/>
      <c r="LQE39" s="48"/>
      <c r="LQF39" s="48"/>
      <c r="LQG39" s="48"/>
      <c r="LQH39" s="48"/>
      <c r="LQI39" s="48"/>
      <c r="LQJ39" s="48"/>
      <c r="LQK39" s="48"/>
      <c r="LQL39" s="48"/>
      <c r="LQM39" s="48"/>
      <c r="LQN39" s="48"/>
      <c r="LQO39" s="48"/>
      <c r="LQP39" s="48"/>
      <c r="LQQ39" s="48"/>
      <c r="LQR39" s="48"/>
      <c r="LQS39" s="48"/>
      <c r="LQT39" s="48"/>
      <c r="LQU39" s="48"/>
      <c r="LQV39" s="48"/>
      <c r="LQW39" s="45"/>
      <c r="LQX39" s="46"/>
      <c r="LQY39" s="46"/>
      <c r="LQZ39" s="47"/>
      <c r="LRA39" s="48"/>
      <c r="LRB39" s="48"/>
      <c r="LRC39" s="48"/>
      <c r="LRD39" s="48"/>
      <c r="LRE39" s="48"/>
      <c r="LRF39" s="48"/>
      <c r="LRG39" s="48"/>
      <c r="LRH39" s="48"/>
      <c r="LRI39" s="48"/>
      <c r="LRJ39" s="48"/>
      <c r="LRK39" s="48"/>
      <c r="LRL39" s="48"/>
      <c r="LRM39" s="48"/>
      <c r="LRN39" s="48"/>
      <c r="LRO39" s="48"/>
      <c r="LRP39" s="48"/>
      <c r="LRQ39" s="48"/>
      <c r="LRR39" s="48"/>
      <c r="LRS39" s="45"/>
      <c r="LRT39" s="46"/>
      <c r="LRU39" s="46"/>
      <c r="LRV39" s="47"/>
      <c r="LRW39" s="48"/>
      <c r="LRX39" s="48"/>
      <c r="LRY39" s="48"/>
      <c r="LRZ39" s="48"/>
      <c r="LSA39" s="48"/>
      <c r="LSB39" s="48"/>
      <c r="LSC39" s="48"/>
      <c r="LSD39" s="48"/>
      <c r="LSE39" s="48"/>
      <c r="LSF39" s="48"/>
      <c r="LSG39" s="48"/>
      <c r="LSH39" s="48"/>
      <c r="LSI39" s="48"/>
      <c r="LSJ39" s="48"/>
      <c r="LSK39" s="48"/>
      <c r="LSL39" s="48"/>
      <c r="LSM39" s="48"/>
      <c r="LSN39" s="48"/>
      <c r="LSO39" s="45"/>
      <c r="LSP39" s="46"/>
      <c r="LSQ39" s="46"/>
      <c r="LSR39" s="47"/>
      <c r="LSS39" s="48"/>
      <c r="LST39" s="48"/>
      <c r="LSU39" s="48"/>
      <c r="LSV39" s="48"/>
      <c r="LSW39" s="48"/>
      <c r="LSX39" s="48"/>
      <c r="LSY39" s="48"/>
      <c r="LSZ39" s="48"/>
      <c r="LTA39" s="48"/>
      <c r="LTB39" s="48"/>
      <c r="LTC39" s="48"/>
      <c r="LTD39" s="48"/>
      <c r="LTE39" s="48"/>
      <c r="LTF39" s="48"/>
      <c r="LTG39" s="48"/>
      <c r="LTH39" s="48"/>
      <c r="LTI39" s="48"/>
      <c r="LTJ39" s="48"/>
      <c r="LTK39" s="45"/>
      <c r="LTL39" s="46"/>
      <c r="LTM39" s="46"/>
      <c r="LTN39" s="47"/>
      <c r="LTO39" s="48"/>
      <c r="LTP39" s="48"/>
      <c r="LTQ39" s="48"/>
      <c r="LTR39" s="48"/>
      <c r="LTS39" s="48"/>
      <c r="LTT39" s="48"/>
      <c r="LTU39" s="48"/>
      <c r="LTV39" s="48"/>
      <c r="LTW39" s="48"/>
      <c r="LTX39" s="48"/>
      <c r="LTY39" s="48"/>
      <c r="LTZ39" s="48"/>
      <c r="LUA39" s="48"/>
      <c r="LUB39" s="48"/>
      <c r="LUC39" s="48"/>
      <c r="LUD39" s="48"/>
      <c r="LUE39" s="48"/>
      <c r="LUF39" s="48"/>
      <c r="LUG39" s="45"/>
      <c r="LUH39" s="46"/>
      <c r="LUI39" s="46"/>
      <c r="LUJ39" s="47"/>
      <c r="LUK39" s="48"/>
      <c r="LUL39" s="48"/>
      <c r="LUM39" s="48"/>
      <c r="LUN39" s="48"/>
      <c r="LUO39" s="48"/>
      <c r="LUP39" s="48"/>
      <c r="LUQ39" s="48"/>
      <c r="LUR39" s="48"/>
      <c r="LUS39" s="48"/>
      <c r="LUT39" s="48"/>
      <c r="LUU39" s="48"/>
      <c r="LUV39" s="48"/>
      <c r="LUW39" s="48"/>
      <c r="LUX39" s="48"/>
      <c r="LUY39" s="48"/>
      <c r="LUZ39" s="48"/>
      <c r="LVA39" s="48"/>
      <c r="LVB39" s="48"/>
      <c r="LVC39" s="45"/>
      <c r="LVD39" s="46"/>
      <c r="LVE39" s="46"/>
      <c r="LVF39" s="47"/>
      <c r="LVG39" s="48"/>
      <c r="LVH39" s="48"/>
      <c r="LVI39" s="48"/>
      <c r="LVJ39" s="48"/>
      <c r="LVK39" s="48"/>
      <c r="LVL39" s="48"/>
      <c r="LVM39" s="48"/>
      <c r="LVN39" s="48"/>
      <c r="LVO39" s="48"/>
      <c r="LVP39" s="48"/>
      <c r="LVQ39" s="48"/>
      <c r="LVR39" s="48"/>
      <c r="LVS39" s="48"/>
      <c r="LVT39" s="48"/>
      <c r="LVU39" s="48"/>
      <c r="LVV39" s="48"/>
      <c r="LVW39" s="48"/>
      <c r="LVX39" s="48"/>
      <c r="LVY39" s="45"/>
      <c r="LVZ39" s="46"/>
      <c r="LWA39" s="46"/>
      <c r="LWB39" s="47"/>
      <c r="LWC39" s="48"/>
      <c r="LWD39" s="48"/>
      <c r="LWE39" s="48"/>
      <c r="LWF39" s="48"/>
      <c r="LWG39" s="48"/>
      <c r="LWH39" s="48"/>
      <c r="LWI39" s="48"/>
      <c r="LWJ39" s="48"/>
      <c r="LWK39" s="48"/>
      <c r="LWL39" s="48"/>
      <c r="LWM39" s="48"/>
      <c r="LWN39" s="48"/>
      <c r="LWO39" s="48"/>
      <c r="LWP39" s="48"/>
      <c r="LWQ39" s="48"/>
      <c r="LWR39" s="48"/>
      <c r="LWS39" s="48"/>
      <c r="LWT39" s="48"/>
      <c r="LWU39" s="45"/>
      <c r="LWV39" s="46"/>
      <c r="LWW39" s="46"/>
      <c r="LWX39" s="47"/>
      <c r="LWY39" s="48"/>
      <c r="LWZ39" s="48"/>
      <c r="LXA39" s="48"/>
      <c r="LXB39" s="48"/>
      <c r="LXC39" s="48"/>
      <c r="LXD39" s="48"/>
      <c r="LXE39" s="48"/>
      <c r="LXF39" s="48"/>
      <c r="LXG39" s="48"/>
      <c r="LXH39" s="48"/>
      <c r="LXI39" s="48"/>
      <c r="LXJ39" s="48"/>
      <c r="LXK39" s="48"/>
      <c r="LXL39" s="48"/>
      <c r="LXM39" s="48"/>
      <c r="LXN39" s="48"/>
      <c r="LXO39" s="48"/>
      <c r="LXP39" s="48"/>
      <c r="LXQ39" s="45"/>
      <c r="LXR39" s="46"/>
      <c r="LXS39" s="46"/>
      <c r="LXT39" s="47"/>
      <c r="LXU39" s="48"/>
      <c r="LXV39" s="48"/>
      <c r="LXW39" s="48"/>
      <c r="LXX39" s="48"/>
      <c r="LXY39" s="48"/>
      <c r="LXZ39" s="48"/>
      <c r="LYA39" s="48"/>
      <c r="LYB39" s="48"/>
      <c r="LYC39" s="48"/>
      <c r="LYD39" s="48"/>
      <c r="LYE39" s="48"/>
      <c r="LYF39" s="48"/>
      <c r="LYG39" s="48"/>
      <c r="LYH39" s="48"/>
      <c r="LYI39" s="48"/>
      <c r="LYJ39" s="48"/>
      <c r="LYK39" s="48"/>
      <c r="LYL39" s="48"/>
      <c r="LYM39" s="45"/>
      <c r="LYN39" s="46"/>
      <c r="LYO39" s="46"/>
      <c r="LYP39" s="47"/>
      <c r="LYQ39" s="48"/>
      <c r="LYR39" s="48"/>
      <c r="LYS39" s="48"/>
      <c r="LYT39" s="48"/>
      <c r="LYU39" s="48"/>
      <c r="LYV39" s="48"/>
      <c r="LYW39" s="48"/>
      <c r="LYX39" s="48"/>
      <c r="LYY39" s="48"/>
      <c r="LYZ39" s="48"/>
      <c r="LZA39" s="48"/>
      <c r="LZB39" s="48"/>
      <c r="LZC39" s="48"/>
      <c r="LZD39" s="48"/>
      <c r="LZE39" s="48"/>
      <c r="LZF39" s="48"/>
      <c r="LZG39" s="48"/>
      <c r="LZH39" s="48"/>
      <c r="LZI39" s="45"/>
      <c r="LZJ39" s="46"/>
      <c r="LZK39" s="46"/>
      <c r="LZL39" s="47"/>
      <c r="LZM39" s="48"/>
      <c r="LZN39" s="48"/>
      <c r="LZO39" s="48"/>
      <c r="LZP39" s="48"/>
      <c r="LZQ39" s="48"/>
      <c r="LZR39" s="48"/>
      <c r="LZS39" s="48"/>
      <c r="LZT39" s="48"/>
      <c r="LZU39" s="48"/>
      <c r="LZV39" s="48"/>
      <c r="LZW39" s="48"/>
      <c r="LZX39" s="48"/>
      <c r="LZY39" s="48"/>
      <c r="LZZ39" s="48"/>
      <c r="MAA39" s="48"/>
      <c r="MAB39" s="48"/>
      <c r="MAC39" s="48"/>
      <c r="MAD39" s="48"/>
      <c r="MAE39" s="45"/>
      <c r="MAF39" s="46"/>
      <c r="MAG39" s="46"/>
      <c r="MAH39" s="47"/>
      <c r="MAI39" s="48"/>
      <c r="MAJ39" s="48"/>
      <c r="MAK39" s="48"/>
      <c r="MAL39" s="48"/>
      <c r="MAM39" s="48"/>
      <c r="MAN39" s="48"/>
      <c r="MAO39" s="48"/>
      <c r="MAP39" s="48"/>
      <c r="MAQ39" s="48"/>
      <c r="MAR39" s="48"/>
      <c r="MAS39" s="48"/>
      <c r="MAT39" s="48"/>
      <c r="MAU39" s="48"/>
      <c r="MAV39" s="48"/>
      <c r="MAW39" s="48"/>
      <c r="MAX39" s="48"/>
      <c r="MAY39" s="48"/>
      <c r="MAZ39" s="48"/>
      <c r="MBA39" s="45"/>
      <c r="MBB39" s="46"/>
      <c r="MBC39" s="46"/>
      <c r="MBD39" s="47"/>
      <c r="MBE39" s="48"/>
      <c r="MBF39" s="48"/>
      <c r="MBG39" s="48"/>
      <c r="MBH39" s="48"/>
      <c r="MBI39" s="48"/>
      <c r="MBJ39" s="48"/>
      <c r="MBK39" s="48"/>
      <c r="MBL39" s="48"/>
      <c r="MBM39" s="48"/>
      <c r="MBN39" s="48"/>
      <c r="MBO39" s="48"/>
      <c r="MBP39" s="48"/>
      <c r="MBQ39" s="48"/>
      <c r="MBR39" s="48"/>
      <c r="MBS39" s="48"/>
      <c r="MBT39" s="48"/>
      <c r="MBU39" s="48"/>
      <c r="MBV39" s="48"/>
      <c r="MBW39" s="45"/>
      <c r="MBX39" s="46"/>
      <c r="MBY39" s="46"/>
      <c r="MBZ39" s="47"/>
      <c r="MCA39" s="48"/>
      <c r="MCB39" s="48"/>
      <c r="MCC39" s="48"/>
      <c r="MCD39" s="48"/>
      <c r="MCE39" s="48"/>
      <c r="MCF39" s="48"/>
      <c r="MCG39" s="48"/>
      <c r="MCH39" s="48"/>
      <c r="MCI39" s="48"/>
      <c r="MCJ39" s="48"/>
      <c r="MCK39" s="48"/>
      <c r="MCL39" s="48"/>
      <c r="MCM39" s="48"/>
      <c r="MCN39" s="48"/>
      <c r="MCO39" s="48"/>
      <c r="MCP39" s="48"/>
      <c r="MCQ39" s="48"/>
      <c r="MCR39" s="48"/>
      <c r="MCS39" s="45"/>
      <c r="MCT39" s="46"/>
      <c r="MCU39" s="46"/>
      <c r="MCV39" s="47"/>
      <c r="MCW39" s="48"/>
      <c r="MCX39" s="48"/>
      <c r="MCY39" s="48"/>
      <c r="MCZ39" s="48"/>
      <c r="MDA39" s="48"/>
      <c r="MDB39" s="48"/>
      <c r="MDC39" s="48"/>
      <c r="MDD39" s="48"/>
      <c r="MDE39" s="48"/>
      <c r="MDF39" s="48"/>
      <c r="MDG39" s="48"/>
      <c r="MDH39" s="48"/>
      <c r="MDI39" s="48"/>
      <c r="MDJ39" s="48"/>
      <c r="MDK39" s="48"/>
      <c r="MDL39" s="48"/>
      <c r="MDM39" s="48"/>
      <c r="MDN39" s="48"/>
      <c r="MDO39" s="45"/>
      <c r="MDP39" s="46"/>
      <c r="MDQ39" s="46"/>
      <c r="MDR39" s="47"/>
      <c r="MDS39" s="48"/>
      <c r="MDT39" s="48"/>
      <c r="MDU39" s="48"/>
      <c r="MDV39" s="48"/>
      <c r="MDW39" s="48"/>
      <c r="MDX39" s="48"/>
      <c r="MDY39" s="48"/>
      <c r="MDZ39" s="48"/>
      <c r="MEA39" s="48"/>
      <c r="MEB39" s="48"/>
      <c r="MEC39" s="48"/>
      <c r="MED39" s="48"/>
      <c r="MEE39" s="48"/>
      <c r="MEF39" s="48"/>
      <c r="MEG39" s="48"/>
      <c r="MEH39" s="48"/>
      <c r="MEI39" s="48"/>
      <c r="MEJ39" s="48"/>
      <c r="MEK39" s="45"/>
      <c r="MEL39" s="46"/>
      <c r="MEM39" s="46"/>
      <c r="MEN39" s="47"/>
      <c r="MEO39" s="48"/>
      <c r="MEP39" s="48"/>
      <c r="MEQ39" s="48"/>
      <c r="MER39" s="48"/>
      <c r="MES39" s="48"/>
      <c r="MET39" s="48"/>
      <c r="MEU39" s="48"/>
      <c r="MEV39" s="48"/>
      <c r="MEW39" s="48"/>
      <c r="MEX39" s="48"/>
      <c r="MEY39" s="48"/>
      <c r="MEZ39" s="48"/>
      <c r="MFA39" s="48"/>
      <c r="MFB39" s="48"/>
      <c r="MFC39" s="48"/>
      <c r="MFD39" s="48"/>
      <c r="MFE39" s="48"/>
      <c r="MFF39" s="48"/>
      <c r="MFG39" s="45"/>
      <c r="MFH39" s="46"/>
      <c r="MFI39" s="46"/>
      <c r="MFJ39" s="47"/>
      <c r="MFK39" s="48"/>
      <c r="MFL39" s="48"/>
      <c r="MFM39" s="48"/>
      <c r="MFN39" s="48"/>
      <c r="MFO39" s="48"/>
      <c r="MFP39" s="48"/>
      <c r="MFQ39" s="48"/>
      <c r="MFR39" s="48"/>
      <c r="MFS39" s="48"/>
      <c r="MFT39" s="48"/>
      <c r="MFU39" s="48"/>
      <c r="MFV39" s="48"/>
      <c r="MFW39" s="48"/>
      <c r="MFX39" s="48"/>
      <c r="MFY39" s="48"/>
      <c r="MFZ39" s="48"/>
      <c r="MGA39" s="48"/>
      <c r="MGB39" s="48"/>
      <c r="MGC39" s="45"/>
      <c r="MGD39" s="46"/>
      <c r="MGE39" s="46"/>
      <c r="MGF39" s="47"/>
      <c r="MGG39" s="48"/>
      <c r="MGH39" s="48"/>
      <c r="MGI39" s="48"/>
      <c r="MGJ39" s="48"/>
      <c r="MGK39" s="48"/>
      <c r="MGL39" s="48"/>
      <c r="MGM39" s="48"/>
      <c r="MGN39" s="48"/>
      <c r="MGO39" s="48"/>
      <c r="MGP39" s="48"/>
      <c r="MGQ39" s="48"/>
      <c r="MGR39" s="48"/>
      <c r="MGS39" s="48"/>
      <c r="MGT39" s="48"/>
      <c r="MGU39" s="48"/>
      <c r="MGV39" s="48"/>
      <c r="MGW39" s="48"/>
      <c r="MGX39" s="48"/>
      <c r="MGY39" s="45"/>
      <c r="MGZ39" s="46"/>
      <c r="MHA39" s="46"/>
      <c r="MHB39" s="47"/>
      <c r="MHC39" s="48"/>
      <c r="MHD39" s="48"/>
      <c r="MHE39" s="48"/>
      <c r="MHF39" s="48"/>
      <c r="MHG39" s="48"/>
      <c r="MHH39" s="48"/>
      <c r="MHI39" s="48"/>
      <c r="MHJ39" s="48"/>
      <c r="MHK39" s="48"/>
      <c r="MHL39" s="48"/>
      <c r="MHM39" s="48"/>
      <c r="MHN39" s="48"/>
      <c r="MHO39" s="48"/>
      <c r="MHP39" s="48"/>
      <c r="MHQ39" s="48"/>
      <c r="MHR39" s="48"/>
      <c r="MHS39" s="48"/>
      <c r="MHT39" s="48"/>
      <c r="MHU39" s="45"/>
      <c r="MHV39" s="46"/>
      <c r="MHW39" s="46"/>
      <c r="MHX39" s="47"/>
      <c r="MHY39" s="48"/>
      <c r="MHZ39" s="48"/>
      <c r="MIA39" s="48"/>
      <c r="MIB39" s="48"/>
      <c r="MIC39" s="48"/>
      <c r="MID39" s="48"/>
      <c r="MIE39" s="48"/>
      <c r="MIF39" s="48"/>
      <c r="MIG39" s="48"/>
      <c r="MIH39" s="48"/>
      <c r="MII39" s="48"/>
      <c r="MIJ39" s="48"/>
      <c r="MIK39" s="48"/>
      <c r="MIL39" s="48"/>
      <c r="MIM39" s="48"/>
      <c r="MIN39" s="48"/>
      <c r="MIO39" s="48"/>
      <c r="MIP39" s="48"/>
      <c r="MIQ39" s="45"/>
      <c r="MIR39" s="46"/>
      <c r="MIS39" s="46"/>
      <c r="MIT39" s="47"/>
      <c r="MIU39" s="48"/>
      <c r="MIV39" s="48"/>
      <c r="MIW39" s="48"/>
      <c r="MIX39" s="48"/>
      <c r="MIY39" s="48"/>
      <c r="MIZ39" s="48"/>
      <c r="MJA39" s="48"/>
      <c r="MJB39" s="48"/>
      <c r="MJC39" s="48"/>
      <c r="MJD39" s="48"/>
      <c r="MJE39" s="48"/>
      <c r="MJF39" s="48"/>
      <c r="MJG39" s="48"/>
      <c r="MJH39" s="48"/>
      <c r="MJI39" s="48"/>
      <c r="MJJ39" s="48"/>
      <c r="MJK39" s="48"/>
      <c r="MJL39" s="48"/>
      <c r="MJM39" s="45"/>
      <c r="MJN39" s="46"/>
      <c r="MJO39" s="46"/>
      <c r="MJP39" s="47"/>
      <c r="MJQ39" s="48"/>
      <c r="MJR39" s="48"/>
      <c r="MJS39" s="48"/>
      <c r="MJT39" s="48"/>
      <c r="MJU39" s="48"/>
      <c r="MJV39" s="48"/>
      <c r="MJW39" s="48"/>
      <c r="MJX39" s="48"/>
      <c r="MJY39" s="48"/>
      <c r="MJZ39" s="48"/>
      <c r="MKA39" s="48"/>
      <c r="MKB39" s="48"/>
      <c r="MKC39" s="48"/>
      <c r="MKD39" s="48"/>
      <c r="MKE39" s="48"/>
      <c r="MKF39" s="48"/>
      <c r="MKG39" s="48"/>
      <c r="MKH39" s="48"/>
      <c r="MKI39" s="45"/>
      <c r="MKJ39" s="46"/>
      <c r="MKK39" s="46"/>
      <c r="MKL39" s="47"/>
      <c r="MKM39" s="48"/>
      <c r="MKN39" s="48"/>
      <c r="MKO39" s="48"/>
      <c r="MKP39" s="48"/>
      <c r="MKQ39" s="48"/>
      <c r="MKR39" s="48"/>
      <c r="MKS39" s="48"/>
      <c r="MKT39" s="48"/>
      <c r="MKU39" s="48"/>
      <c r="MKV39" s="48"/>
      <c r="MKW39" s="48"/>
      <c r="MKX39" s="48"/>
      <c r="MKY39" s="48"/>
      <c r="MKZ39" s="48"/>
      <c r="MLA39" s="48"/>
      <c r="MLB39" s="48"/>
      <c r="MLC39" s="48"/>
      <c r="MLD39" s="48"/>
      <c r="MLE39" s="45"/>
      <c r="MLF39" s="46"/>
      <c r="MLG39" s="46"/>
      <c r="MLH39" s="47"/>
      <c r="MLI39" s="48"/>
      <c r="MLJ39" s="48"/>
      <c r="MLK39" s="48"/>
      <c r="MLL39" s="48"/>
      <c r="MLM39" s="48"/>
      <c r="MLN39" s="48"/>
      <c r="MLO39" s="48"/>
      <c r="MLP39" s="48"/>
      <c r="MLQ39" s="48"/>
      <c r="MLR39" s="48"/>
      <c r="MLS39" s="48"/>
      <c r="MLT39" s="48"/>
      <c r="MLU39" s="48"/>
      <c r="MLV39" s="48"/>
      <c r="MLW39" s="48"/>
      <c r="MLX39" s="48"/>
      <c r="MLY39" s="48"/>
      <c r="MLZ39" s="48"/>
      <c r="MMA39" s="45"/>
      <c r="MMB39" s="46"/>
      <c r="MMC39" s="46"/>
      <c r="MMD39" s="47"/>
      <c r="MME39" s="48"/>
      <c r="MMF39" s="48"/>
      <c r="MMG39" s="48"/>
      <c r="MMH39" s="48"/>
      <c r="MMI39" s="48"/>
      <c r="MMJ39" s="48"/>
      <c r="MMK39" s="48"/>
      <c r="MML39" s="48"/>
      <c r="MMM39" s="48"/>
      <c r="MMN39" s="48"/>
      <c r="MMO39" s="48"/>
      <c r="MMP39" s="48"/>
      <c r="MMQ39" s="48"/>
      <c r="MMR39" s="48"/>
      <c r="MMS39" s="48"/>
      <c r="MMT39" s="48"/>
      <c r="MMU39" s="48"/>
      <c r="MMV39" s="48"/>
      <c r="MMW39" s="45"/>
      <c r="MMX39" s="46"/>
      <c r="MMY39" s="46"/>
      <c r="MMZ39" s="47"/>
      <c r="MNA39" s="48"/>
      <c r="MNB39" s="48"/>
      <c r="MNC39" s="48"/>
      <c r="MND39" s="48"/>
      <c r="MNE39" s="48"/>
      <c r="MNF39" s="48"/>
      <c r="MNG39" s="48"/>
      <c r="MNH39" s="48"/>
      <c r="MNI39" s="48"/>
      <c r="MNJ39" s="48"/>
      <c r="MNK39" s="48"/>
      <c r="MNL39" s="48"/>
      <c r="MNM39" s="48"/>
      <c r="MNN39" s="48"/>
      <c r="MNO39" s="48"/>
      <c r="MNP39" s="48"/>
      <c r="MNQ39" s="48"/>
      <c r="MNR39" s="48"/>
      <c r="MNS39" s="45"/>
      <c r="MNT39" s="46"/>
      <c r="MNU39" s="46"/>
      <c r="MNV39" s="47"/>
      <c r="MNW39" s="48"/>
      <c r="MNX39" s="48"/>
      <c r="MNY39" s="48"/>
      <c r="MNZ39" s="48"/>
      <c r="MOA39" s="48"/>
      <c r="MOB39" s="48"/>
      <c r="MOC39" s="48"/>
      <c r="MOD39" s="48"/>
      <c r="MOE39" s="48"/>
      <c r="MOF39" s="48"/>
      <c r="MOG39" s="48"/>
      <c r="MOH39" s="48"/>
      <c r="MOI39" s="48"/>
      <c r="MOJ39" s="48"/>
      <c r="MOK39" s="48"/>
      <c r="MOL39" s="48"/>
      <c r="MOM39" s="48"/>
      <c r="MON39" s="48"/>
      <c r="MOO39" s="45"/>
      <c r="MOP39" s="46"/>
      <c r="MOQ39" s="46"/>
      <c r="MOR39" s="47"/>
      <c r="MOS39" s="48"/>
      <c r="MOT39" s="48"/>
      <c r="MOU39" s="48"/>
      <c r="MOV39" s="48"/>
      <c r="MOW39" s="48"/>
      <c r="MOX39" s="48"/>
      <c r="MOY39" s="48"/>
      <c r="MOZ39" s="48"/>
      <c r="MPA39" s="48"/>
      <c r="MPB39" s="48"/>
      <c r="MPC39" s="48"/>
      <c r="MPD39" s="48"/>
      <c r="MPE39" s="48"/>
      <c r="MPF39" s="48"/>
      <c r="MPG39" s="48"/>
      <c r="MPH39" s="48"/>
      <c r="MPI39" s="48"/>
      <c r="MPJ39" s="48"/>
      <c r="MPK39" s="45"/>
      <c r="MPL39" s="46"/>
      <c r="MPM39" s="46"/>
      <c r="MPN39" s="47"/>
      <c r="MPO39" s="48"/>
      <c r="MPP39" s="48"/>
      <c r="MPQ39" s="48"/>
      <c r="MPR39" s="48"/>
      <c r="MPS39" s="48"/>
      <c r="MPT39" s="48"/>
      <c r="MPU39" s="48"/>
      <c r="MPV39" s="48"/>
      <c r="MPW39" s="48"/>
      <c r="MPX39" s="48"/>
      <c r="MPY39" s="48"/>
      <c r="MPZ39" s="48"/>
      <c r="MQA39" s="48"/>
      <c r="MQB39" s="48"/>
      <c r="MQC39" s="48"/>
      <c r="MQD39" s="48"/>
      <c r="MQE39" s="48"/>
      <c r="MQF39" s="48"/>
      <c r="MQG39" s="45"/>
      <c r="MQH39" s="46"/>
      <c r="MQI39" s="46"/>
      <c r="MQJ39" s="47"/>
      <c r="MQK39" s="48"/>
      <c r="MQL39" s="48"/>
      <c r="MQM39" s="48"/>
      <c r="MQN39" s="48"/>
      <c r="MQO39" s="48"/>
      <c r="MQP39" s="48"/>
      <c r="MQQ39" s="48"/>
      <c r="MQR39" s="48"/>
      <c r="MQS39" s="48"/>
      <c r="MQT39" s="48"/>
      <c r="MQU39" s="48"/>
      <c r="MQV39" s="48"/>
      <c r="MQW39" s="48"/>
      <c r="MQX39" s="48"/>
      <c r="MQY39" s="48"/>
      <c r="MQZ39" s="48"/>
      <c r="MRA39" s="48"/>
      <c r="MRB39" s="48"/>
      <c r="MRC39" s="45"/>
      <c r="MRD39" s="46"/>
      <c r="MRE39" s="46"/>
      <c r="MRF39" s="47"/>
      <c r="MRG39" s="48"/>
      <c r="MRH39" s="48"/>
      <c r="MRI39" s="48"/>
      <c r="MRJ39" s="48"/>
      <c r="MRK39" s="48"/>
      <c r="MRL39" s="48"/>
      <c r="MRM39" s="48"/>
      <c r="MRN39" s="48"/>
      <c r="MRO39" s="48"/>
      <c r="MRP39" s="48"/>
      <c r="MRQ39" s="48"/>
      <c r="MRR39" s="48"/>
      <c r="MRS39" s="48"/>
      <c r="MRT39" s="48"/>
      <c r="MRU39" s="48"/>
      <c r="MRV39" s="48"/>
      <c r="MRW39" s="48"/>
      <c r="MRX39" s="48"/>
      <c r="MRY39" s="45"/>
      <c r="MRZ39" s="46"/>
      <c r="MSA39" s="46"/>
      <c r="MSB39" s="47"/>
      <c r="MSC39" s="48"/>
      <c r="MSD39" s="48"/>
      <c r="MSE39" s="48"/>
      <c r="MSF39" s="48"/>
      <c r="MSG39" s="48"/>
      <c r="MSH39" s="48"/>
      <c r="MSI39" s="48"/>
      <c r="MSJ39" s="48"/>
      <c r="MSK39" s="48"/>
      <c r="MSL39" s="48"/>
      <c r="MSM39" s="48"/>
      <c r="MSN39" s="48"/>
      <c r="MSO39" s="48"/>
      <c r="MSP39" s="48"/>
      <c r="MSQ39" s="48"/>
      <c r="MSR39" s="48"/>
      <c r="MSS39" s="48"/>
      <c r="MST39" s="48"/>
      <c r="MSU39" s="45"/>
      <c r="MSV39" s="46"/>
      <c r="MSW39" s="46"/>
      <c r="MSX39" s="47"/>
      <c r="MSY39" s="48"/>
      <c r="MSZ39" s="48"/>
      <c r="MTA39" s="48"/>
      <c r="MTB39" s="48"/>
      <c r="MTC39" s="48"/>
      <c r="MTD39" s="48"/>
      <c r="MTE39" s="48"/>
      <c r="MTF39" s="48"/>
      <c r="MTG39" s="48"/>
      <c r="MTH39" s="48"/>
      <c r="MTI39" s="48"/>
      <c r="MTJ39" s="48"/>
      <c r="MTK39" s="48"/>
      <c r="MTL39" s="48"/>
      <c r="MTM39" s="48"/>
      <c r="MTN39" s="48"/>
      <c r="MTO39" s="48"/>
      <c r="MTP39" s="48"/>
      <c r="MTQ39" s="45"/>
      <c r="MTR39" s="46"/>
      <c r="MTS39" s="46"/>
      <c r="MTT39" s="47"/>
      <c r="MTU39" s="48"/>
      <c r="MTV39" s="48"/>
      <c r="MTW39" s="48"/>
      <c r="MTX39" s="48"/>
      <c r="MTY39" s="48"/>
      <c r="MTZ39" s="48"/>
      <c r="MUA39" s="48"/>
      <c r="MUB39" s="48"/>
      <c r="MUC39" s="48"/>
      <c r="MUD39" s="48"/>
      <c r="MUE39" s="48"/>
      <c r="MUF39" s="48"/>
      <c r="MUG39" s="48"/>
      <c r="MUH39" s="48"/>
      <c r="MUI39" s="48"/>
      <c r="MUJ39" s="48"/>
      <c r="MUK39" s="48"/>
      <c r="MUL39" s="48"/>
      <c r="MUM39" s="45"/>
      <c r="MUN39" s="46"/>
      <c r="MUO39" s="46"/>
      <c r="MUP39" s="47"/>
      <c r="MUQ39" s="48"/>
      <c r="MUR39" s="48"/>
      <c r="MUS39" s="48"/>
      <c r="MUT39" s="48"/>
      <c r="MUU39" s="48"/>
      <c r="MUV39" s="48"/>
      <c r="MUW39" s="48"/>
      <c r="MUX39" s="48"/>
      <c r="MUY39" s="48"/>
      <c r="MUZ39" s="48"/>
      <c r="MVA39" s="48"/>
      <c r="MVB39" s="48"/>
      <c r="MVC39" s="48"/>
      <c r="MVD39" s="48"/>
      <c r="MVE39" s="48"/>
      <c r="MVF39" s="48"/>
      <c r="MVG39" s="48"/>
      <c r="MVH39" s="48"/>
      <c r="MVI39" s="45"/>
      <c r="MVJ39" s="46"/>
      <c r="MVK39" s="46"/>
      <c r="MVL39" s="47"/>
      <c r="MVM39" s="48"/>
      <c r="MVN39" s="48"/>
      <c r="MVO39" s="48"/>
      <c r="MVP39" s="48"/>
      <c r="MVQ39" s="48"/>
      <c r="MVR39" s="48"/>
      <c r="MVS39" s="48"/>
      <c r="MVT39" s="48"/>
      <c r="MVU39" s="48"/>
      <c r="MVV39" s="48"/>
      <c r="MVW39" s="48"/>
      <c r="MVX39" s="48"/>
      <c r="MVY39" s="48"/>
      <c r="MVZ39" s="48"/>
      <c r="MWA39" s="48"/>
      <c r="MWB39" s="48"/>
      <c r="MWC39" s="48"/>
      <c r="MWD39" s="48"/>
      <c r="MWE39" s="45"/>
      <c r="MWF39" s="46"/>
      <c r="MWG39" s="46"/>
      <c r="MWH39" s="47"/>
      <c r="MWI39" s="48"/>
      <c r="MWJ39" s="48"/>
      <c r="MWK39" s="48"/>
      <c r="MWL39" s="48"/>
      <c r="MWM39" s="48"/>
      <c r="MWN39" s="48"/>
      <c r="MWO39" s="48"/>
      <c r="MWP39" s="48"/>
      <c r="MWQ39" s="48"/>
      <c r="MWR39" s="48"/>
      <c r="MWS39" s="48"/>
      <c r="MWT39" s="48"/>
      <c r="MWU39" s="48"/>
      <c r="MWV39" s="48"/>
      <c r="MWW39" s="48"/>
      <c r="MWX39" s="48"/>
      <c r="MWY39" s="48"/>
      <c r="MWZ39" s="48"/>
      <c r="MXA39" s="45"/>
      <c r="MXB39" s="46"/>
      <c r="MXC39" s="46"/>
      <c r="MXD39" s="47"/>
      <c r="MXE39" s="48"/>
      <c r="MXF39" s="48"/>
      <c r="MXG39" s="48"/>
      <c r="MXH39" s="48"/>
      <c r="MXI39" s="48"/>
      <c r="MXJ39" s="48"/>
      <c r="MXK39" s="48"/>
      <c r="MXL39" s="48"/>
      <c r="MXM39" s="48"/>
      <c r="MXN39" s="48"/>
      <c r="MXO39" s="48"/>
      <c r="MXP39" s="48"/>
      <c r="MXQ39" s="48"/>
      <c r="MXR39" s="48"/>
      <c r="MXS39" s="48"/>
      <c r="MXT39" s="48"/>
      <c r="MXU39" s="48"/>
      <c r="MXV39" s="48"/>
      <c r="MXW39" s="45"/>
      <c r="MXX39" s="46"/>
      <c r="MXY39" s="46"/>
      <c r="MXZ39" s="47"/>
      <c r="MYA39" s="48"/>
      <c r="MYB39" s="48"/>
      <c r="MYC39" s="48"/>
      <c r="MYD39" s="48"/>
      <c r="MYE39" s="48"/>
      <c r="MYF39" s="48"/>
      <c r="MYG39" s="48"/>
      <c r="MYH39" s="48"/>
      <c r="MYI39" s="48"/>
      <c r="MYJ39" s="48"/>
      <c r="MYK39" s="48"/>
      <c r="MYL39" s="48"/>
      <c r="MYM39" s="48"/>
      <c r="MYN39" s="48"/>
      <c r="MYO39" s="48"/>
      <c r="MYP39" s="48"/>
      <c r="MYQ39" s="48"/>
      <c r="MYR39" s="48"/>
      <c r="MYS39" s="45"/>
      <c r="MYT39" s="46"/>
      <c r="MYU39" s="46"/>
      <c r="MYV39" s="47"/>
      <c r="MYW39" s="48"/>
      <c r="MYX39" s="48"/>
      <c r="MYY39" s="48"/>
      <c r="MYZ39" s="48"/>
      <c r="MZA39" s="48"/>
      <c r="MZB39" s="48"/>
      <c r="MZC39" s="48"/>
      <c r="MZD39" s="48"/>
      <c r="MZE39" s="48"/>
      <c r="MZF39" s="48"/>
      <c r="MZG39" s="48"/>
      <c r="MZH39" s="48"/>
      <c r="MZI39" s="48"/>
      <c r="MZJ39" s="48"/>
      <c r="MZK39" s="48"/>
      <c r="MZL39" s="48"/>
      <c r="MZM39" s="48"/>
      <c r="MZN39" s="48"/>
      <c r="MZO39" s="45"/>
      <c r="MZP39" s="46"/>
      <c r="MZQ39" s="46"/>
      <c r="MZR39" s="47"/>
      <c r="MZS39" s="48"/>
      <c r="MZT39" s="48"/>
      <c r="MZU39" s="48"/>
      <c r="MZV39" s="48"/>
      <c r="MZW39" s="48"/>
      <c r="MZX39" s="48"/>
      <c r="MZY39" s="48"/>
      <c r="MZZ39" s="48"/>
      <c r="NAA39" s="48"/>
      <c r="NAB39" s="48"/>
      <c r="NAC39" s="48"/>
      <c r="NAD39" s="48"/>
      <c r="NAE39" s="48"/>
      <c r="NAF39" s="48"/>
      <c r="NAG39" s="48"/>
      <c r="NAH39" s="48"/>
      <c r="NAI39" s="48"/>
      <c r="NAJ39" s="48"/>
      <c r="NAK39" s="45"/>
      <c r="NAL39" s="46"/>
      <c r="NAM39" s="46"/>
      <c r="NAN39" s="47"/>
      <c r="NAO39" s="48"/>
      <c r="NAP39" s="48"/>
      <c r="NAQ39" s="48"/>
      <c r="NAR39" s="48"/>
      <c r="NAS39" s="48"/>
      <c r="NAT39" s="48"/>
      <c r="NAU39" s="48"/>
      <c r="NAV39" s="48"/>
      <c r="NAW39" s="48"/>
      <c r="NAX39" s="48"/>
      <c r="NAY39" s="48"/>
      <c r="NAZ39" s="48"/>
      <c r="NBA39" s="48"/>
      <c r="NBB39" s="48"/>
      <c r="NBC39" s="48"/>
      <c r="NBD39" s="48"/>
      <c r="NBE39" s="48"/>
      <c r="NBF39" s="48"/>
      <c r="NBG39" s="45"/>
      <c r="NBH39" s="46"/>
      <c r="NBI39" s="46"/>
      <c r="NBJ39" s="47"/>
      <c r="NBK39" s="48"/>
      <c r="NBL39" s="48"/>
      <c r="NBM39" s="48"/>
      <c r="NBN39" s="48"/>
      <c r="NBO39" s="48"/>
      <c r="NBP39" s="48"/>
      <c r="NBQ39" s="48"/>
      <c r="NBR39" s="48"/>
      <c r="NBS39" s="48"/>
      <c r="NBT39" s="48"/>
      <c r="NBU39" s="48"/>
      <c r="NBV39" s="48"/>
      <c r="NBW39" s="48"/>
      <c r="NBX39" s="48"/>
      <c r="NBY39" s="48"/>
      <c r="NBZ39" s="48"/>
      <c r="NCA39" s="48"/>
      <c r="NCB39" s="48"/>
      <c r="NCC39" s="45"/>
      <c r="NCD39" s="46"/>
      <c r="NCE39" s="46"/>
      <c r="NCF39" s="47"/>
      <c r="NCG39" s="48"/>
      <c r="NCH39" s="48"/>
      <c r="NCI39" s="48"/>
      <c r="NCJ39" s="48"/>
      <c r="NCK39" s="48"/>
      <c r="NCL39" s="48"/>
      <c r="NCM39" s="48"/>
      <c r="NCN39" s="48"/>
      <c r="NCO39" s="48"/>
      <c r="NCP39" s="48"/>
      <c r="NCQ39" s="48"/>
      <c r="NCR39" s="48"/>
      <c r="NCS39" s="48"/>
      <c r="NCT39" s="48"/>
      <c r="NCU39" s="48"/>
      <c r="NCV39" s="48"/>
      <c r="NCW39" s="48"/>
      <c r="NCX39" s="48"/>
      <c r="NCY39" s="45"/>
      <c r="NCZ39" s="46"/>
      <c r="NDA39" s="46"/>
      <c r="NDB39" s="47"/>
      <c r="NDC39" s="48"/>
      <c r="NDD39" s="48"/>
      <c r="NDE39" s="48"/>
      <c r="NDF39" s="48"/>
      <c r="NDG39" s="48"/>
      <c r="NDH39" s="48"/>
      <c r="NDI39" s="48"/>
      <c r="NDJ39" s="48"/>
      <c r="NDK39" s="48"/>
      <c r="NDL39" s="48"/>
      <c r="NDM39" s="48"/>
      <c r="NDN39" s="48"/>
      <c r="NDO39" s="48"/>
      <c r="NDP39" s="48"/>
      <c r="NDQ39" s="48"/>
      <c r="NDR39" s="48"/>
      <c r="NDS39" s="48"/>
      <c r="NDT39" s="48"/>
      <c r="NDU39" s="45"/>
      <c r="NDV39" s="46"/>
      <c r="NDW39" s="46"/>
      <c r="NDX39" s="47"/>
      <c r="NDY39" s="48"/>
      <c r="NDZ39" s="48"/>
      <c r="NEA39" s="48"/>
      <c r="NEB39" s="48"/>
      <c r="NEC39" s="48"/>
      <c r="NED39" s="48"/>
      <c r="NEE39" s="48"/>
      <c r="NEF39" s="48"/>
      <c r="NEG39" s="48"/>
      <c r="NEH39" s="48"/>
      <c r="NEI39" s="48"/>
      <c r="NEJ39" s="48"/>
      <c r="NEK39" s="48"/>
      <c r="NEL39" s="48"/>
      <c r="NEM39" s="48"/>
      <c r="NEN39" s="48"/>
      <c r="NEO39" s="48"/>
      <c r="NEP39" s="48"/>
      <c r="NEQ39" s="45"/>
      <c r="NER39" s="46"/>
      <c r="NES39" s="46"/>
      <c r="NET39" s="47"/>
      <c r="NEU39" s="48"/>
      <c r="NEV39" s="48"/>
      <c r="NEW39" s="48"/>
      <c r="NEX39" s="48"/>
      <c r="NEY39" s="48"/>
      <c r="NEZ39" s="48"/>
      <c r="NFA39" s="48"/>
      <c r="NFB39" s="48"/>
      <c r="NFC39" s="48"/>
      <c r="NFD39" s="48"/>
      <c r="NFE39" s="48"/>
      <c r="NFF39" s="48"/>
      <c r="NFG39" s="48"/>
      <c r="NFH39" s="48"/>
      <c r="NFI39" s="48"/>
      <c r="NFJ39" s="48"/>
      <c r="NFK39" s="48"/>
      <c r="NFL39" s="48"/>
      <c r="NFM39" s="45"/>
      <c r="NFN39" s="46"/>
      <c r="NFO39" s="46"/>
      <c r="NFP39" s="47"/>
      <c r="NFQ39" s="48"/>
      <c r="NFR39" s="48"/>
      <c r="NFS39" s="48"/>
      <c r="NFT39" s="48"/>
      <c r="NFU39" s="48"/>
      <c r="NFV39" s="48"/>
      <c r="NFW39" s="48"/>
      <c r="NFX39" s="48"/>
      <c r="NFY39" s="48"/>
      <c r="NFZ39" s="48"/>
      <c r="NGA39" s="48"/>
      <c r="NGB39" s="48"/>
      <c r="NGC39" s="48"/>
      <c r="NGD39" s="48"/>
      <c r="NGE39" s="48"/>
      <c r="NGF39" s="48"/>
      <c r="NGG39" s="48"/>
      <c r="NGH39" s="48"/>
      <c r="NGI39" s="45"/>
      <c r="NGJ39" s="46"/>
      <c r="NGK39" s="46"/>
      <c r="NGL39" s="47"/>
      <c r="NGM39" s="48"/>
      <c r="NGN39" s="48"/>
      <c r="NGO39" s="48"/>
      <c r="NGP39" s="48"/>
      <c r="NGQ39" s="48"/>
      <c r="NGR39" s="48"/>
      <c r="NGS39" s="48"/>
      <c r="NGT39" s="48"/>
      <c r="NGU39" s="48"/>
      <c r="NGV39" s="48"/>
      <c r="NGW39" s="48"/>
      <c r="NGX39" s="48"/>
      <c r="NGY39" s="48"/>
      <c r="NGZ39" s="48"/>
      <c r="NHA39" s="48"/>
      <c r="NHB39" s="48"/>
      <c r="NHC39" s="48"/>
      <c r="NHD39" s="48"/>
      <c r="NHE39" s="45"/>
      <c r="NHF39" s="46"/>
      <c r="NHG39" s="46"/>
      <c r="NHH39" s="47"/>
      <c r="NHI39" s="48"/>
      <c r="NHJ39" s="48"/>
      <c r="NHK39" s="48"/>
      <c r="NHL39" s="48"/>
      <c r="NHM39" s="48"/>
      <c r="NHN39" s="48"/>
      <c r="NHO39" s="48"/>
      <c r="NHP39" s="48"/>
      <c r="NHQ39" s="48"/>
      <c r="NHR39" s="48"/>
      <c r="NHS39" s="48"/>
      <c r="NHT39" s="48"/>
      <c r="NHU39" s="48"/>
      <c r="NHV39" s="48"/>
      <c r="NHW39" s="48"/>
      <c r="NHX39" s="48"/>
      <c r="NHY39" s="48"/>
      <c r="NHZ39" s="48"/>
      <c r="NIA39" s="45"/>
      <c r="NIB39" s="46"/>
      <c r="NIC39" s="46"/>
      <c r="NID39" s="47"/>
      <c r="NIE39" s="48"/>
      <c r="NIF39" s="48"/>
      <c r="NIG39" s="48"/>
      <c r="NIH39" s="48"/>
      <c r="NII39" s="48"/>
      <c r="NIJ39" s="48"/>
      <c r="NIK39" s="48"/>
      <c r="NIL39" s="48"/>
      <c r="NIM39" s="48"/>
      <c r="NIN39" s="48"/>
      <c r="NIO39" s="48"/>
      <c r="NIP39" s="48"/>
      <c r="NIQ39" s="48"/>
      <c r="NIR39" s="48"/>
      <c r="NIS39" s="48"/>
      <c r="NIT39" s="48"/>
      <c r="NIU39" s="48"/>
      <c r="NIV39" s="48"/>
      <c r="NIW39" s="45"/>
      <c r="NIX39" s="46"/>
      <c r="NIY39" s="46"/>
      <c r="NIZ39" s="47"/>
      <c r="NJA39" s="48"/>
      <c r="NJB39" s="48"/>
      <c r="NJC39" s="48"/>
      <c r="NJD39" s="48"/>
      <c r="NJE39" s="48"/>
      <c r="NJF39" s="48"/>
      <c r="NJG39" s="48"/>
      <c r="NJH39" s="48"/>
      <c r="NJI39" s="48"/>
      <c r="NJJ39" s="48"/>
      <c r="NJK39" s="48"/>
      <c r="NJL39" s="48"/>
      <c r="NJM39" s="48"/>
      <c r="NJN39" s="48"/>
      <c r="NJO39" s="48"/>
      <c r="NJP39" s="48"/>
      <c r="NJQ39" s="48"/>
      <c r="NJR39" s="48"/>
      <c r="NJS39" s="45"/>
      <c r="NJT39" s="46"/>
      <c r="NJU39" s="46"/>
      <c r="NJV39" s="47"/>
      <c r="NJW39" s="48"/>
      <c r="NJX39" s="48"/>
      <c r="NJY39" s="48"/>
      <c r="NJZ39" s="48"/>
      <c r="NKA39" s="48"/>
      <c r="NKB39" s="48"/>
      <c r="NKC39" s="48"/>
      <c r="NKD39" s="48"/>
      <c r="NKE39" s="48"/>
      <c r="NKF39" s="48"/>
      <c r="NKG39" s="48"/>
      <c r="NKH39" s="48"/>
      <c r="NKI39" s="48"/>
      <c r="NKJ39" s="48"/>
      <c r="NKK39" s="48"/>
      <c r="NKL39" s="48"/>
      <c r="NKM39" s="48"/>
      <c r="NKN39" s="48"/>
      <c r="NKO39" s="45"/>
      <c r="NKP39" s="46"/>
      <c r="NKQ39" s="46"/>
      <c r="NKR39" s="47"/>
      <c r="NKS39" s="48"/>
      <c r="NKT39" s="48"/>
      <c r="NKU39" s="48"/>
      <c r="NKV39" s="48"/>
      <c r="NKW39" s="48"/>
      <c r="NKX39" s="48"/>
      <c r="NKY39" s="48"/>
      <c r="NKZ39" s="48"/>
      <c r="NLA39" s="48"/>
      <c r="NLB39" s="48"/>
      <c r="NLC39" s="48"/>
      <c r="NLD39" s="48"/>
      <c r="NLE39" s="48"/>
      <c r="NLF39" s="48"/>
      <c r="NLG39" s="48"/>
      <c r="NLH39" s="48"/>
      <c r="NLI39" s="48"/>
      <c r="NLJ39" s="48"/>
      <c r="NLK39" s="45"/>
      <c r="NLL39" s="46"/>
      <c r="NLM39" s="46"/>
      <c r="NLN39" s="47"/>
      <c r="NLO39" s="48"/>
      <c r="NLP39" s="48"/>
      <c r="NLQ39" s="48"/>
      <c r="NLR39" s="48"/>
      <c r="NLS39" s="48"/>
      <c r="NLT39" s="48"/>
      <c r="NLU39" s="48"/>
      <c r="NLV39" s="48"/>
      <c r="NLW39" s="48"/>
      <c r="NLX39" s="48"/>
      <c r="NLY39" s="48"/>
      <c r="NLZ39" s="48"/>
      <c r="NMA39" s="48"/>
      <c r="NMB39" s="48"/>
      <c r="NMC39" s="48"/>
      <c r="NMD39" s="48"/>
      <c r="NME39" s="48"/>
      <c r="NMF39" s="48"/>
      <c r="NMG39" s="45"/>
      <c r="NMH39" s="46"/>
      <c r="NMI39" s="46"/>
      <c r="NMJ39" s="47"/>
      <c r="NMK39" s="48"/>
      <c r="NML39" s="48"/>
      <c r="NMM39" s="48"/>
      <c r="NMN39" s="48"/>
      <c r="NMO39" s="48"/>
      <c r="NMP39" s="48"/>
      <c r="NMQ39" s="48"/>
      <c r="NMR39" s="48"/>
      <c r="NMS39" s="48"/>
      <c r="NMT39" s="48"/>
      <c r="NMU39" s="48"/>
      <c r="NMV39" s="48"/>
      <c r="NMW39" s="48"/>
      <c r="NMX39" s="48"/>
      <c r="NMY39" s="48"/>
      <c r="NMZ39" s="48"/>
      <c r="NNA39" s="48"/>
      <c r="NNB39" s="48"/>
      <c r="NNC39" s="45"/>
      <c r="NND39" s="46"/>
      <c r="NNE39" s="46"/>
      <c r="NNF39" s="47"/>
      <c r="NNG39" s="48"/>
      <c r="NNH39" s="48"/>
      <c r="NNI39" s="48"/>
      <c r="NNJ39" s="48"/>
      <c r="NNK39" s="48"/>
      <c r="NNL39" s="48"/>
      <c r="NNM39" s="48"/>
      <c r="NNN39" s="48"/>
      <c r="NNO39" s="48"/>
      <c r="NNP39" s="48"/>
      <c r="NNQ39" s="48"/>
      <c r="NNR39" s="48"/>
      <c r="NNS39" s="48"/>
      <c r="NNT39" s="48"/>
      <c r="NNU39" s="48"/>
      <c r="NNV39" s="48"/>
      <c r="NNW39" s="48"/>
      <c r="NNX39" s="48"/>
      <c r="NNY39" s="45"/>
      <c r="NNZ39" s="46"/>
      <c r="NOA39" s="46"/>
      <c r="NOB39" s="47"/>
      <c r="NOC39" s="48"/>
      <c r="NOD39" s="48"/>
      <c r="NOE39" s="48"/>
      <c r="NOF39" s="48"/>
      <c r="NOG39" s="48"/>
      <c r="NOH39" s="48"/>
      <c r="NOI39" s="48"/>
      <c r="NOJ39" s="48"/>
      <c r="NOK39" s="48"/>
      <c r="NOL39" s="48"/>
      <c r="NOM39" s="48"/>
      <c r="NON39" s="48"/>
      <c r="NOO39" s="48"/>
      <c r="NOP39" s="48"/>
      <c r="NOQ39" s="48"/>
      <c r="NOR39" s="48"/>
      <c r="NOS39" s="48"/>
      <c r="NOT39" s="48"/>
      <c r="NOU39" s="45"/>
      <c r="NOV39" s="46"/>
      <c r="NOW39" s="46"/>
      <c r="NOX39" s="47"/>
      <c r="NOY39" s="48"/>
      <c r="NOZ39" s="48"/>
      <c r="NPA39" s="48"/>
      <c r="NPB39" s="48"/>
      <c r="NPC39" s="48"/>
      <c r="NPD39" s="48"/>
      <c r="NPE39" s="48"/>
      <c r="NPF39" s="48"/>
      <c r="NPG39" s="48"/>
      <c r="NPH39" s="48"/>
      <c r="NPI39" s="48"/>
      <c r="NPJ39" s="48"/>
      <c r="NPK39" s="48"/>
      <c r="NPL39" s="48"/>
      <c r="NPM39" s="48"/>
      <c r="NPN39" s="48"/>
      <c r="NPO39" s="48"/>
      <c r="NPP39" s="48"/>
      <c r="NPQ39" s="45"/>
      <c r="NPR39" s="46"/>
      <c r="NPS39" s="46"/>
      <c r="NPT39" s="47"/>
      <c r="NPU39" s="48"/>
      <c r="NPV39" s="48"/>
      <c r="NPW39" s="48"/>
      <c r="NPX39" s="48"/>
      <c r="NPY39" s="48"/>
      <c r="NPZ39" s="48"/>
      <c r="NQA39" s="48"/>
      <c r="NQB39" s="48"/>
      <c r="NQC39" s="48"/>
      <c r="NQD39" s="48"/>
      <c r="NQE39" s="48"/>
      <c r="NQF39" s="48"/>
      <c r="NQG39" s="48"/>
      <c r="NQH39" s="48"/>
      <c r="NQI39" s="48"/>
      <c r="NQJ39" s="48"/>
      <c r="NQK39" s="48"/>
      <c r="NQL39" s="48"/>
      <c r="NQM39" s="45"/>
      <c r="NQN39" s="46"/>
      <c r="NQO39" s="46"/>
      <c r="NQP39" s="47"/>
      <c r="NQQ39" s="48"/>
      <c r="NQR39" s="48"/>
      <c r="NQS39" s="48"/>
      <c r="NQT39" s="48"/>
      <c r="NQU39" s="48"/>
      <c r="NQV39" s="48"/>
      <c r="NQW39" s="48"/>
      <c r="NQX39" s="48"/>
      <c r="NQY39" s="48"/>
      <c r="NQZ39" s="48"/>
      <c r="NRA39" s="48"/>
      <c r="NRB39" s="48"/>
      <c r="NRC39" s="48"/>
      <c r="NRD39" s="48"/>
      <c r="NRE39" s="48"/>
      <c r="NRF39" s="48"/>
      <c r="NRG39" s="48"/>
      <c r="NRH39" s="48"/>
      <c r="NRI39" s="45"/>
      <c r="NRJ39" s="46"/>
      <c r="NRK39" s="46"/>
      <c r="NRL39" s="47"/>
      <c r="NRM39" s="48"/>
      <c r="NRN39" s="48"/>
      <c r="NRO39" s="48"/>
      <c r="NRP39" s="48"/>
      <c r="NRQ39" s="48"/>
      <c r="NRR39" s="48"/>
      <c r="NRS39" s="48"/>
      <c r="NRT39" s="48"/>
      <c r="NRU39" s="48"/>
      <c r="NRV39" s="48"/>
      <c r="NRW39" s="48"/>
      <c r="NRX39" s="48"/>
      <c r="NRY39" s="48"/>
      <c r="NRZ39" s="48"/>
      <c r="NSA39" s="48"/>
      <c r="NSB39" s="48"/>
      <c r="NSC39" s="48"/>
      <c r="NSD39" s="48"/>
      <c r="NSE39" s="45"/>
      <c r="NSF39" s="46"/>
      <c r="NSG39" s="46"/>
      <c r="NSH39" s="47"/>
      <c r="NSI39" s="48"/>
      <c r="NSJ39" s="48"/>
      <c r="NSK39" s="48"/>
      <c r="NSL39" s="48"/>
      <c r="NSM39" s="48"/>
      <c r="NSN39" s="48"/>
      <c r="NSO39" s="48"/>
      <c r="NSP39" s="48"/>
      <c r="NSQ39" s="48"/>
      <c r="NSR39" s="48"/>
      <c r="NSS39" s="48"/>
      <c r="NST39" s="48"/>
      <c r="NSU39" s="48"/>
      <c r="NSV39" s="48"/>
      <c r="NSW39" s="48"/>
      <c r="NSX39" s="48"/>
      <c r="NSY39" s="48"/>
      <c r="NSZ39" s="48"/>
      <c r="NTA39" s="45"/>
      <c r="NTB39" s="46"/>
      <c r="NTC39" s="46"/>
      <c r="NTD39" s="47"/>
      <c r="NTE39" s="48"/>
      <c r="NTF39" s="48"/>
      <c r="NTG39" s="48"/>
      <c r="NTH39" s="48"/>
      <c r="NTI39" s="48"/>
      <c r="NTJ39" s="48"/>
      <c r="NTK39" s="48"/>
      <c r="NTL39" s="48"/>
      <c r="NTM39" s="48"/>
      <c r="NTN39" s="48"/>
      <c r="NTO39" s="48"/>
      <c r="NTP39" s="48"/>
      <c r="NTQ39" s="48"/>
      <c r="NTR39" s="48"/>
      <c r="NTS39" s="48"/>
      <c r="NTT39" s="48"/>
      <c r="NTU39" s="48"/>
      <c r="NTV39" s="48"/>
      <c r="NTW39" s="45"/>
      <c r="NTX39" s="46"/>
      <c r="NTY39" s="46"/>
      <c r="NTZ39" s="47"/>
      <c r="NUA39" s="48"/>
      <c r="NUB39" s="48"/>
      <c r="NUC39" s="48"/>
      <c r="NUD39" s="48"/>
      <c r="NUE39" s="48"/>
      <c r="NUF39" s="48"/>
      <c r="NUG39" s="48"/>
      <c r="NUH39" s="48"/>
      <c r="NUI39" s="48"/>
      <c r="NUJ39" s="48"/>
      <c r="NUK39" s="48"/>
      <c r="NUL39" s="48"/>
      <c r="NUM39" s="48"/>
      <c r="NUN39" s="48"/>
      <c r="NUO39" s="48"/>
      <c r="NUP39" s="48"/>
      <c r="NUQ39" s="48"/>
      <c r="NUR39" s="48"/>
      <c r="NUS39" s="45"/>
      <c r="NUT39" s="46"/>
      <c r="NUU39" s="46"/>
      <c r="NUV39" s="47"/>
      <c r="NUW39" s="48"/>
      <c r="NUX39" s="48"/>
      <c r="NUY39" s="48"/>
      <c r="NUZ39" s="48"/>
      <c r="NVA39" s="48"/>
      <c r="NVB39" s="48"/>
      <c r="NVC39" s="48"/>
      <c r="NVD39" s="48"/>
      <c r="NVE39" s="48"/>
      <c r="NVF39" s="48"/>
      <c r="NVG39" s="48"/>
      <c r="NVH39" s="48"/>
      <c r="NVI39" s="48"/>
      <c r="NVJ39" s="48"/>
      <c r="NVK39" s="48"/>
      <c r="NVL39" s="48"/>
      <c r="NVM39" s="48"/>
      <c r="NVN39" s="48"/>
      <c r="NVO39" s="45"/>
      <c r="NVP39" s="46"/>
      <c r="NVQ39" s="46"/>
      <c r="NVR39" s="47"/>
      <c r="NVS39" s="48"/>
      <c r="NVT39" s="48"/>
      <c r="NVU39" s="48"/>
      <c r="NVV39" s="48"/>
      <c r="NVW39" s="48"/>
      <c r="NVX39" s="48"/>
      <c r="NVY39" s="48"/>
      <c r="NVZ39" s="48"/>
      <c r="NWA39" s="48"/>
      <c r="NWB39" s="48"/>
      <c r="NWC39" s="48"/>
      <c r="NWD39" s="48"/>
      <c r="NWE39" s="48"/>
      <c r="NWF39" s="48"/>
      <c r="NWG39" s="48"/>
      <c r="NWH39" s="48"/>
      <c r="NWI39" s="48"/>
      <c r="NWJ39" s="48"/>
      <c r="NWK39" s="45"/>
      <c r="NWL39" s="46"/>
      <c r="NWM39" s="46"/>
      <c r="NWN39" s="47"/>
      <c r="NWO39" s="48"/>
      <c r="NWP39" s="48"/>
      <c r="NWQ39" s="48"/>
      <c r="NWR39" s="48"/>
      <c r="NWS39" s="48"/>
      <c r="NWT39" s="48"/>
      <c r="NWU39" s="48"/>
      <c r="NWV39" s="48"/>
      <c r="NWW39" s="48"/>
      <c r="NWX39" s="48"/>
      <c r="NWY39" s="48"/>
      <c r="NWZ39" s="48"/>
      <c r="NXA39" s="48"/>
      <c r="NXB39" s="48"/>
      <c r="NXC39" s="48"/>
      <c r="NXD39" s="48"/>
      <c r="NXE39" s="48"/>
      <c r="NXF39" s="48"/>
      <c r="NXG39" s="45"/>
      <c r="NXH39" s="46"/>
      <c r="NXI39" s="46"/>
      <c r="NXJ39" s="47"/>
      <c r="NXK39" s="48"/>
      <c r="NXL39" s="48"/>
      <c r="NXM39" s="48"/>
      <c r="NXN39" s="48"/>
      <c r="NXO39" s="48"/>
      <c r="NXP39" s="48"/>
      <c r="NXQ39" s="48"/>
      <c r="NXR39" s="48"/>
      <c r="NXS39" s="48"/>
      <c r="NXT39" s="48"/>
      <c r="NXU39" s="48"/>
      <c r="NXV39" s="48"/>
      <c r="NXW39" s="48"/>
      <c r="NXX39" s="48"/>
      <c r="NXY39" s="48"/>
      <c r="NXZ39" s="48"/>
      <c r="NYA39" s="48"/>
      <c r="NYB39" s="48"/>
      <c r="NYC39" s="45"/>
      <c r="NYD39" s="46"/>
      <c r="NYE39" s="46"/>
      <c r="NYF39" s="47"/>
      <c r="NYG39" s="48"/>
      <c r="NYH39" s="48"/>
      <c r="NYI39" s="48"/>
      <c r="NYJ39" s="48"/>
      <c r="NYK39" s="48"/>
      <c r="NYL39" s="48"/>
      <c r="NYM39" s="48"/>
      <c r="NYN39" s="48"/>
      <c r="NYO39" s="48"/>
      <c r="NYP39" s="48"/>
      <c r="NYQ39" s="48"/>
      <c r="NYR39" s="48"/>
      <c r="NYS39" s="48"/>
      <c r="NYT39" s="48"/>
      <c r="NYU39" s="48"/>
      <c r="NYV39" s="48"/>
      <c r="NYW39" s="48"/>
      <c r="NYX39" s="48"/>
      <c r="NYY39" s="45"/>
      <c r="NYZ39" s="46"/>
      <c r="NZA39" s="46"/>
      <c r="NZB39" s="47"/>
      <c r="NZC39" s="48"/>
      <c r="NZD39" s="48"/>
      <c r="NZE39" s="48"/>
      <c r="NZF39" s="48"/>
      <c r="NZG39" s="48"/>
      <c r="NZH39" s="48"/>
      <c r="NZI39" s="48"/>
      <c r="NZJ39" s="48"/>
      <c r="NZK39" s="48"/>
      <c r="NZL39" s="48"/>
      <c r="NZM39" s="48"/>
      <c r="NZN39" s="48"/>
      <c r="NZO39" s="48"/>
      <c r="NZP39" s="48"/>
      <c r="NZQ39" s="48"/>
      <c r="NZR39" s="48"/>
      <c r="NZS39" s="48"/>
      <c r="NZT39" s="48"/>
      <c r="NZU39" s="45"/>
      <c r="NZV39" s="46"/>
      <c r="NZW39" s="46"/>
      <c r="NZX39" s="47"/>
      <c r="NZY39" s="48"/>
      <c r="NZZ39" s="48"/>
      <c r="OAA39" s="48"/>
      <c r="OAB39" s="48"/>
      <c r="OAC39" s="48"/>
      <c r="OAD39" s="48"/>
      <c r="OAE39" s="48"/>
      <c r="OAF39" s="48"/>
      <c r="OAG39" s="48"/>
      <c r="OAH39" s="48"/>
      <c r="OAI39" s="48"/>
      <c r="OAJ39" s="48"/>
      <c r="OAK39" s="48"/>
      <c r="OAL39" s="48"/>
      <c r="OAM39" s="48"/>
      <c r="OAN39" s="48"/>
      <c r="OAO39" s="48"/>
      <c r="OAP39" s="48"/>
      <c r="OAQ39" s="45"/>
      <c r="OAR39" s="46"/>
      <c r="OAS39" s="46"/>
      <c r="OAT39" s="47"/>
      <c r="OAU39" s="48"/>
      <c r="OAV39" s="48"/>
      <c r="OAW39" s="48"/>
      <c r="OAX39" s="48"/>
      <c r="OAY39" s="48"/>
      <c r="OAZ39" s="48"/>
      <c r="OBA39" s="48"/>
      <c r="OBB39" s="48"/>
      <c r="OBC39" s="48"/>
      <c r="OBD39" s="48"/>
      <c r="OBE39" s="48"/>
      <c r="OBF39" s="48"/>
      <c r="OBG39" s="48"/>
      <c r="OBH39" s="48"/>
      <c r="OBI39" s="48"/>
      <c r="OBJ39" s="48"/>
      <c r="OBK39" s="48"/>
      <c r="OBL39" s="48"/>
      <c r="OBM39" s="45"/>
      <c r="OBN39" s="46"/>
      <c r="OBO39" s="46"/>
      <c r="OBP39" s="47"/>
      <c r="OBQ39" s="48"/>
      <c r="OBR39" s="48"/>
      <c r="OBS39" s="48"/>
      <c r="OBT39" s="48"/>
      <c r="OBU39" s="48"/>
      <c r="OBV39" s="48"/>
      <c r="OBW39" s="48"/>
      <c r="OBX39" s="48"/>
      <c r="OBY39" s="48"/>
      <c r="OBZ39" s="48"/>
      <c r="OCA39" s="48"/>
      <c r="OCB39" s="48"/>
      <c r="OCC39" s="48"/>
      <c r="OCD39" s="48"/>
      <c r="OCE39" s="48"/>
      <c r="OCF39" s="48"/>
      <c r="OCG39" s="48"/>
      <c r="OCH39" s="48"/>
      <c r="OCI39" s="45"/>
      <c r="OCJ39" s="46"/>
      <c r="OCK39" s="46"/>
      <c r="OCL39" s="47"/>
      <c r="OCM39" s="48"/>
      <c r="OCN39" s="48"/>
      <c r="OCO39" s="48"/>
      <c r="OCP39" s="48"/>
      <c r="OCQ39" s="48"/>
      <c r="OCR39" s="48"/>
      <c r="OCS39" s="48"/>
      <c r="OCT39" s="48"/>
      <c r="OCU39" s="48"/>
      <c r="OCV39" s="48"/>
      <c r="OCW39" s="48"/>
      <c r="OCX39" s="48"/>
      <c r="OCY39" s="48"/>
      <c r="OCZ39" s="48"/>
      <c r="ODA39" s="48"/>
      <c r="ODB39" s="48"/>
      <c r="ODC39" s="48"/>
      <c r="ODD39" s="48"/>
      <c r="ODE39" s="45"/>
      <c r="ODF39" s="46"/>
      <c r="ODG39" s="46"/>
      <c r="ODH39" s="47"/>
      <c r="ODI39" s="48"/>
      <c r="ODJ39" s="48"/>
      <c r="ODK39" s="48"/>
      <c r="ODL39" s="48"/>
      <c r="ODM39" s="48"/>
      <c r="ODN39" s="48"/>
      <c r="ODO39" s="48"/>
      <c r="ODP39" s="48"/>
      <c r="ODQ39" s="48"/>
      <c r="ODR39" s="48"/>
      <c r="ODS39" s="48"/>
      <c r="ODT39" s="48"/>
      <c r="ODU39" s="48"/>
      <c r="ODV39" s="48"/>
      <c r="ODW39" s="48"/>
      <c r="ODX39" s="48"/>
      <c r="ODY39" s="48"/>
      <c r="ODZ39" s="48"/>
      <c r="OEA39" s="45"/>
      <c r="OEB39" s="46"/>
      <c r="OEC39" s="46"/>
      <c r="OED39" s="47"/>
      <c r="OEE39" s="48"/>
      <c r="OEF39" s="48"/>
      <c r="OEG39" s="48"/>
      <c r="OEH39" s="48"/>
      <c r="OEI39" s="48"/>
      <c r="OEJ39" s="48"/>
      <c r="OEK39" s="48"/>
      <c r="OEL39" s="48"/>
      <c r="OEM39" s="48"/>
      <c r="OEN39" s="48"/>
      <c r="OEO39" s="48"/>
      <c r="OEP39" s="48"/>
      <c r="OEQ39" s="48"/>
      <c r="OER39" s="48"/>
      <c r="OES39" s="48"/>
      <c r="OET39" s="48"/>
      <c r="OEU39" s="48"/>
      <c r="OEV39" s="48"/>
      <c r="OEW39" s="45"/>
      <c r="OEX39" s="46"/>
      <c r="OEY39" s="46"/>
      <c r="OEZ39" s="47"/>
      <c r="OFA39" s="48"/>
      <c r="OFB39" s="48"/>
      <c r="OFC39" s="48"/>
      <c r="OFD39" s="48"/>
      <c r="OFE39" s="48"/>
      <c r="OFF39" s="48"/>
      <c r="OFG39" s="48"/>
      <c r="OFH39" s="48"/>
      <c r="OFI39" s="48"/>
      <c r="OFJ39" s="48"/>
      <c r="OFK39" s="48"/>
      <c r="OFL39" s="48"/>
      <c r="OFM39" s="48"/>
      <c r="OFN39" s="48"/>
      <c r="OFO39" s="48"/>
      <c r="OFP39" s="48"/>
      <c r="OFQ39" s="48"/>
      <c r="OFR39" s="48"/>
      <c r="OFS39" s="45"/>
      <c r="OFT39" s="46"/>
      <c r="OFU39" s="46"/>
      <c r="OFV39" s="47"/>
      <c r="OFW39" s="48"/>
      <c r="OFX39" s="48"/>
      <c r="OFY39" s="48"/>
      <c r="OFZ39" s="48"/>
      <c r="OGA39" s="48"/>
      <c r="OGB39" s="48"/>
      <c r="OGC39" s="48"/>
      <c r="OGD39" s="48"/>
      <c r="OGE39" s="48"/>
      <c r="OGF39" s="48"/>
      <c r="OGG39" s="48"/>
      <c r="OGH39" s="48"/>
      <c r="OGI39" s="48"/>
      <c r="OGJ39" s="48"/>
      <c r="OGK39" s="48"/>
      <c r="OGL39" s="48"/>
      <c r="OGM39" s="48"/>
      <c r="OGN39" s="48"/>
      <c r="OGO39" s="45"/>
      <c r="OGP39" s="46"/>
      <c r="OGQ39" s="46"/>
      <c r="OGR39" s="47"/>
      <c r="OGS39" s="48"/>
      <c r="OGT39" s="48"/>
      <c r="OGU39" s="48"/>
      <c r="OGV39" s="48"/>
      <c r="OGW39" s="48"/>
      <c r="OGX39" s="48"/>
      <c r="OGY39" s="48"/>
      <c r="OGZ39" s="48"/>
      <c r="OHA39" s="48"/>
      <c r="OHB39" s="48"/>
      <c r="OHC39" s="48"/>
      <c r="OHD39" s="48"/>
      <c r="OHE39" s="48"/>
      <c r="OHF39" s="48"/>
      <c r="OHG39" s="48"/>
      <c r="OHH39" s="48"/>
      <c r="OHI39" s="48"/>
      <c r="OHJ39" s="48"/>
      <c r="OHK39" s="45"/>
      <c r="OHL39" s="46"/>
      <c r="OHM39" s="46"/>
      <c r="OHN39" s="47"/>
      <c r="OHO39" s="48"/>
      <c r="OHP39" s="48"/>
      <c r="OHQ39" s="48"/>
      <c r="OHR39" s="48"/>
      <c r="OHS39" s="48"/>
      <c r="OHT39" s="48"/>
      <c r="OHU39" s="48"/>
      <c r="OHV39" s="48"/>
      <c r="OHW39" s="48"/>
      <c r="OHX39" s="48"/>
      <c r="OHY39" s="48"/>
      <c r="OHZ39" s="48"/>
      <c r="OIA39" s="48"/>
      <c r="OIB39" s="48"/>
      <c r="OIC39" s="48"/>
      <c r="OID39" s="48"/>
      <c r="OIE39" s="48"/>
      <c r="OIF39" s="48"/>
      <c r="OIG39" s="45"/>
      <c r="OIH39" s="46"/>
      <c r="OII39" s="46"/>
      <c r="OIJ39" s="47"/>
      <c r="OIK39" s="48"/>
      <c r="OIL39" s="48"/>
      <c r="OIM39" s="48"/>
      <c r="OIN39" s="48"/>
      <c r="OIO39" s="48"/>
      <c r="OIP39" s="48"/>
      <c r="OIQ39" s="48"/>
      <c r="OIR39" s="48"/>
      <c r="OIS39" s="48"/>
      <c r="OIT39" s="48"/>
      <c r="OIU39" s="48"/>
      <c r="OIV39" s="48"/>
      <c r="OIW39" s="48"/>
      <c r="OIX39" s="48"/>
      <c r="OIY39" s="48"/>
      <c r="OIZ39" s="48"/>
      <c r="OJA39" s="48"/>
      <c r="OJB39" s="48"/>
      <c r="OJC39" s="45"/>
      <c r="OJD39" s="46"/>
      <c r="OJE39" s="46"/>
      <c r="OJF39" s="47"/>
      <c r="OJG39" s="48"/>
      <c r="OJH39" s="48"/>
      <c r="OJI39" s="48"/>
      <c r="OJJ39" s="48"/>
      <c r="OJK39" s="48"/>
      <c r="OJL39" s="48"/>
      <c r="OJM39" s="48"/>
      <c r="OJN39" s="48"/>
      <c r="OJO39" s="48"/>
      <c r="OJP39" s="48"/>
      <c r="OJQ39" s="48"/>
      <c r="OJR39" s="48"/>
      <c r="OJS39" s="48"/>
      <c r="OJT39" s="48"/>
      <c r="OJU39" s="48"/>
      <c r="OJV39" s="48"/>
      <c r="OJW39" s="48"/>
      <c r="OJX39" s="48"/>
      <c r="OJY39" s="45"/>
      <c r="OJZ39" s="46"/>
      <c r="OKA39" s="46"/>
      <c r="OKB39" s="47"/>
      <c r="OKC39" s="48"/>
      <c r="OKD39" s="48"/>
      <c r="OKE39" s="48"/>
      <c r="OKF39" s="48"/>
      <c r="OKG39" s="48"/>
      <c r="OKH39" s="48"/>
      <c r="OKI39" s="48"/>
      <c r="OKJ39" s="48"/>
      <c r="OKK39" s="48"/>
      <c r="OKL39" s="48"/>
      <c r="OKM39" s="48"/>
      <c r="OKN39" s="48"/>
      <c r="OKO39" s="48"/>
      <c r="OKP39" s="48"/>
      <c r="OKQ39" s="48"/>
      <c r="OKR39" s="48"/>
      <c r="OKS39" s="48"/>
      <c r="OKT39" s="48"/>
      <c r="OKU39" s="45"/>
      <c r="OKV39" s="46"/>
      <c r="OKW39" s="46"/>
      <c r="OKX39" s="47"/>
      <c r="OKY39" s="48"/>
      <c r="OKZ39" s="48"/>
      <c r="OLA39" s="48"/>
      <c r="OLB39" s="48"/>
      <c r="OLC39" s="48"/>
      <c r="OLD39" s="48"/>
      <c r="OLE39" s="48"/>
      <c r="OLF39" s="48"/>
      <c r="OLG39" s="48"/>
      <c r="OLH39" s="48"/>
      <c r="OLI39" s="48"/>
      <c r="OLJ39" s="48"/>
      <c r="OLK39" s="48"/>
      <c r="OLL39" s="48"/>
      <c r="OLM39" s="48"/>
      <c r="OLN39" s="48"/>
      <c r="OLO39" s="48"/>
      <c r="OLP39" s="48"/>
      <c r="OLQ39" s="45"/>
      <c r="OLR39" s="46"/>
      <c r="OLS39" s="46"/>
      <c r="OLT39" s="47"/>
      <c r="OLU39" s="48"/>
      <c r="OLV39" s="48"/>
      <c r="OLW39" s="48"/>
      <c r="OLX39" s="48"/>
      <c r="OLY39" s="48"/>
      <c r="OLZ39" s="48"/>
      <c r="OMA39" s="48"/>
      <c r="OMB39" s="48"/>
      <c r="OMC39" s="48"/>
      <c r="OMD39" s="48"/>
      <c r="OME39" s="48"/>
      <c r="OMF39" s="48"/>
      <c r="OMG39" s="48"/>
      <c r="OMH39" s="48"/>
      <c r="OMI39" s="48"/>
      <c r="OMJ39" s="48"/>
      <c r="OMK39" s="48"/>
      <c r="OML39" s="48"/>
      <c r="OMM39" s="45"/>
      <c r="OMN39" s="46"/>
      <c r="OMO39" s="46"/>
      <c r="OMP39" s="47"/>
      <c r="OMQ39" s="48"/>
      <c r="OMR39" s="48"/>
      <c r="OMS39" s="48"/>
      <c r="OMT39" s="48"/>
      <c r="OMU39" s="48"/>
      <c r="OMV39" s="48"/>
      <c r="OMW39" s="48"/>
      <c r="OMX39" s="48"/>
      <c r="OMY39" s="48"/>
      <c r="OMZ39" s="48"/>
      <c r="ONA39" s="48"/>
      <c r="ONB39" s="48"/>
      <c r="ONC39" s="48"/>
      <c r="OND39" s="48"/>
      <c r="ONE39" s="48"/>
      <c r="ONF39" s="48"/>
      <c r="ONG39" s="48"/>
      <c r="ONH39" s="48"/>
      <c r="ONI39" s="45"/>
      <c r="ONJ39" s="46"/>
      <c r="ONK39" s="46"/>
      <c r="ONL39" s="47"/>
      <c r="ONM39" s="48"/>
      <c r="ONN39" s="48"/>
      <c r="ONO39" s="48"/>
      <c r="ONP39" s="48"/>
      <c r="ONQ39" s="48"/>
      <c r="ONR39" s="48"/>
      <c r="ONS39" s="48"/>
      <c r="ONT39" s="48"/>
      <c r="ONU39" s="48"/>
      <c r="ONV39" s="48"/>
      <c r="ONW39" s="48"/>
      <c r="ONX39" s="48"/>
      <c r="ONY39" s="48"/>
      <c r="ONZ39" s="48"/>
      <c r="OOA39" s="48"/>
      <c r="OOB39" s="48"/>
      <c r="OOC39" s="48"/>
      <c r="OOD39" s="48"/>
      <c r="OOE39" s="45"/>
      <c r="OOF39" s="46"/>
      <c r="OOG39" s="46"/>
      <c r="OOH39" s="47"/>
      <c r="OOI39" s="48"/>
      <c r="OOJ39" s="48"/>
      <c r="OOK39" s="48"/>
      <c r="OOL39" s="48"/>
      <c r="OOM39" s="48"/>
      <c r="OON39" s="48"/>
      <c r="OOO39" s="48"/>
      <c r="OOP39" s="48"/>
      <c r="OOQ39" s="48"/>
      <c r="OOR39" s="48"/>
      <c r="OOS39" s="48"/>
      <c r="OOT39" s="48"/>
      <c r="OOU39" s="48"/>
      <c r="OOV39" s="48"/>
      <c r="OOW39" s="48"/>
      <c r="OOX39" s="48"/>
      <c r="OOY39" s="48"/>
      <c r="OOZ39" s="48"/>
      <c r="OPA39" s="45"/>
      <c r="OPB39" s="46"/>
      <c r="OPC39" s="46"/>
      <c r="OPD39" s="47"/>
      <c r="OPE39" s="48"/>
      <c r="OPF39" s="48"/>
      <c r="OPG39" s="48"/>
      <c r="OPH39" s="48"/>
      <c r="OPI39" s="48"/>
      <c r="OPJ39" s="48"/>
      <c r="OPK39" s="48"/>
      <c r="OPL39" s="48"/>
      <c r="OPM39" s="48"/>
      <c r="OPN39" s="48"/>
      <c r="OPO39" s="48"/>
      <c r="OPP39" s="48"/>
      <c r="OPQ39" s="48"/>
      <c r="OPR39" s="48"/>
      <c r="OPS39" s="48"/>
      <c r="OPT39" s="48"/>
      <c r="OPU39" s="48"/>
      <c r="OPV39" s="48"/>
      <c r="OPW39" s="45"/>
      <c r="OPX39" s="46"/>
      <c r="OPY39" s="46"/>
      <c r="OPZ39" s="47"/>
      <c r="OQA39" s="48"/>
      <c r="OQB39" s="48"/>
      <c r="OQC39" s="48"/>
      <c r="OQD39" s="48"/>
      <c r="OQE39" s="48"/>
      <c r="OQF39" s="48"/>
      <c r="OQG39" s="48"/>
      <c r="OQH39" s="48"/>
      <c r="OQI39" s="48"/>
      <c r="OQJ39" s="48"/>
      <c r="OQK39" s="48"/>
      <c r="OQL39" s="48"/>
      <c r="OQM39" s="48"/>
      <c r="OQN39" s="48"/>
      <c r="OQO39" s="48"/>
      <c r="OQP39" s="48"/>
      <c r="OQQ39" s="48"/>
      <c r="OQR39" s="48"/>
      <c r="OQS39" s="45"/>
      <c r="OQT39" s="46"/>
      <c r="OQU39" s="46"/>
      <c r="OQV39" s="47"/>
      <c r="OQW39" s="48"/>
      <c r="OQX39" s="48"/>
      <c r="OQY39" s="48"/>
      <c r="OQZ39" s="48"/>
      <c r="ORA39" s="48"/>
      <c r="ORB39" s="48"/>
      <c r="ORC39" s="48"/>
      <c r="ORD39" s="48"/>
      <c r="ORE39" s="48"/>
      <c r="ORF39" s="48"/>
      <c r="ORG39" s="48"/>
      <c r="ORH39" s="48"/>
      <c r="ORI39" s="48"/>
      <c r="ORJ39" s="48"/>
      <c r="ORK39" s="48"/>
      <c r="ORL39" s="48"/>
      <c r="ORM39" s="48"/>
      <c r="ORN39" s="48"/>
      <c r="ORO39" s="45"/>
      <c r="ORP39" s="46"/>
      <c r="ORQ39" s="46"/>
      <c r="ORR39" s="47"/>
      <c r="ORS39" s="48"/>
      <c r="ORT39" s="48"/>
      <c r="ORU39" s="48"/>
      <c r="ORV39" s="48"/>
      <c r="ORW39" s="48"/>
      <c r="ORX39" s="48"/>
      <c r="ORY39" s="48"/>
      <c r="ORZ39" s="48"/>
      <c r="OSA39" s="48"/>
      <c r="OSB39" s="48"/>
      <c r="OSC39" s="48"/>
      <c r="OSD39" s="48"/>
      <c r="OSE39" s="48"/>
      <c r="OSF39" s="48"/>
      <c r="OSG39" s="48"/>
      <c r="OSH39" s="48"/>
      <c r="OSI39" s="48"/>
      <c r="OSJ39" s="48"/>
      <c r="OSK39" s="45"/>
      <c r="OSL39" s="46"/>
      <c r="OSM39" s="46"/>
      <c r="OSN39" s="47"/>
      <c r="OSO39" s="48"/>
      <c r="OSP39" s="48"/>
      <c r="OSQ39" s="48"/>
      <c r="OSR39" s="48"/>
      <c r="OSS39" s="48"/>
      <c r="OST39" s="48"/>
      <c r="OSU39" s="48"/>
      <c r="OSV39" s="48"/>
      <c r="OSW39" s="48"/>
      <c r="OSX39" s="48"/>
      <c r="OSY39" s="48"/>
      <c r="OSZ39" s="48"/>
      <c r="OTA39" s="48"/>
      <c r="OTB39" s="48"/>
      <c r="OTC39" s="48"/>
      <c r="OTD39" s="48"/>
      <c r="OTE39" s="48"/>
      <c r="OTF39" s="48"/>
      <c r="OTG39" s="45"/>
      <c r="OTH39" s="46"/>
      <c r="OTI39" s="46"/>
      <c r="OTJ39" s="47"/>
      <c r="OTK39" s="48"/>
      <c r="OTL39" s="48"/>
      <c r="OTM39" s="48"/>
      <c r="OTN39" s="48"/>
      <c r="OTO39" s="48"/>
      <c r="OTP39" s="48"/>
      <c r="OTQ39" s="48"/>
      <c r="OTR39" s="48"/>
      <c r="OTS39" s="48"/>
      <c r="OTT39" s="48"/>
      <c r="OTU39" s="48"/>
      <c r="OTV39" s="48"/>
      <c r="OTW39" s="48"/>
      <c r="OTX39" s="48"/>
      <c r="OTY39" s="48"/>
      <c r="OTZ39" s="48"/>
      <c r="OUA39" s="48"/>
      <c r="OUB39" s="48"/>
      <c r="OUC39" s="45"/>
      <c r="OUD39" s="46"/>
      <c r="OUE39" s="46"/>
      <c r="OUF39" s="47"/>
      <c r="OUG39" s="48"/>
      <c r="OUH39" s="48"/>
      <c r="OUI39" s="48"/>
      <c r="OUJ39" s="48"/>
      <c r="OUK39" s="48"/>
      <c r="OUL39" s="48"/>
      <c r="OUM39" s="48"/>
      <c r="OUN39" s="48"/>
      <c r="OUO39" s="48"/>
      <c r="OUP39" s="48"/>
      <c r="OUQ39" s="48"/>
      <c r="OUR39" s="48"/>
      <c r="OUS39" s="48"/>
      <c r="OUT39" s="48"/>
      <c r="OUU39" s="48"/>
      <c r="OUV39" s="48"/>
      <c r="OUW39" s="48"/>
      <c r="OUX39" s="48"/>
      <c r="OUY39" s="45"/>
      <c r="OUZ39" s="46"/>
      <c r="OVA39" s="46"/>
      <c r="OVB39" s="47"/>
      <c r="OVC39" s="48"/>
      <c r="OVD39" s="48"/>
      <c r="OVE39" s="48"/>
      <c r="OVF39" s="48"/>
      <c r="OVG39" s="48"/>
      <c r="OVH39" s="48"/>
      <c r="OVI39" s="48"/>
      <c r="OVJ39" s="48"/>
      <c r="OVK39" s="48"/>
      <c r="OVL39" s="48"/>
      <c r="OVM39" s="48"/>
      <c r="OVN39" s="48"/>
      <c r="OVO39" s="48"/>
      <c r="OVP39" s="48"/>
      <c r="OVQ39" s="48"/>
      <c r="OVR39" s="48"/>
      <c r="OVS39" s="48"/>
      <c r="OVT39" s="48"/>
      <c r="OVU39" s="45"/>
      <c r="OVV39" s="46"/>
      <c r="OVW39" s="46"/>
      <c r="OVX39" s="47"/>
      <c r="OVY39" s="48"/>
      <c r="OVZ39" s="48"/>
      <c r="OWA39" s="48"/>
      <c r="OWB39" s="48"/>
      <c r="OWC39" s="48"/>
      <c r="OWD39" s="48"/>
      <c r="OWE39" s="48"/>
      <c r="OWF39" s="48"/>
      <c r="OWG39" s="48"/>
      <c r="OWH39" s="48"/>
      <c r="OWI39" s="48"/>
      <c r="OWJ39" s="48"/>
      <c r="OWK39" s="48"/>
      <c r="OWL39" s="48"/>
      <c r="OWM39" s="48"/>
      <c r="OWN39" s="48"/>
      <c r="OWO39" s="48"/>
      <c r="OWP39" s="48"/>
      <c r="OWQ39" s="45"/>
      <c r="OWR39" s="46"/>
      <c r="OWS39" s="46"/>
      <c r="OWT39" s="47"/>
      <c r="OWU39" s="48"/>
      <c r="OWV39" s="48"/>
      <c r="OWW39" s="48"/>
      <c r="OWX39" s="48"/>
      <c r="OWY39" s="48"/>
      <c r="OWZ39" s="48"/>
      <c r="OXA39" s="48"/>
      <c r="OXB39" s="48"/>
      <c r="OXC39" s="48"/>
      <c r="OXD39" s="48"/>
      <c r="OXE39" s="48"/>
      <c r="OXF39" s="48"/>
      <c r="OXG39" s="48"/>
      <c r="OXH39" s="48"/>
      <c r="OXI39" s="48"/>
      <c r="OXJ39" s="48"/>
      <c r="OXK39" s="48"/>
      <c r="OXL39" s="48"/>
      <c r="OXM39" s="45"/>
      <c r="OXN39" s="46"/>
      <c r="OXO39" s="46"/>
      <c r="OXP39" s="47"/>
      <c r="OXQ39" s="48"/>
      <c r="OXR39" s="48"/>
      <c r="OXS39" s="48"/>
      <c r="OXT39" s="48"/>
      <c r="OXU39" s="48"/>
      <c r="OXV39" s="48"/>
      <c r="OXW39" s="48"/>
      <c r="OXX39" s="48"/>
      <c r="OXY39" s="48"/>
      <c r="OXZ39" s="48"/>
      <c r="OYA39" s="48"/>
      <c r="OYB39" s="48"/>
      <c r="OYC39" s="48"/>
      <c r="OYD39" s="48"/>
      <c r="OYE39" s="48"/>
      <c r="OYF39" s="48"/>
      <c r="OYG39" s="48"/>
      <c r="OYH39" s="48"/>
      <c r="OYI39" s="45"/>
      <c r="OYJ39" s="46"/>
      <c r="OYK39" s="46"/>
      <c r="OYL39" s="47"/>
      <c r="OYM39" s="48"/>
      <c r="OYN39" s="48"/>
      <c r="OYO39" s="48"/>
      <c r="OYP39" s="48"/>
      <c r="OYQ39" s="48"/>
      <c r="OYR39" s="48"/>
      <c r="OYS39" s="48"/>
      <c r="OYT39" s="48"/>
      <c r="OYU39" s="48"/>
      <c r="OYV39" s="48"/>
      <c r="OYW39" s="48"/>
      <c r="OYX39" s="48"/>
      <c r="OYY39" s="48"/>
      <c r="OYZ39" s="48"/>
      <c r="OZA39" s="48"/>
      <c r="OZB39" s="48"/>
      <c r="OZC39" s="48"/>
      <c r="OZD39" s="48"/>
      <c r="OZE39" s="45"/>
      <c r="OZF39" s="46"/>
      <c r="OZG39" s="46"/>
      <c r="OZH39" s="47"/>
      <c r="OZI39" s="48"/>
      <c r="OZJ39" s="48"/>
      <c r="OZK39" s="48"/>
      <c r="OZL39" s="48"/>
      <c r="OZM39" s="48"/>
      <c r="OZN39" s="48"/>
      <c r="OZO39" s="48"/>
      <c r="OZP39" s="48"/>
      <c r="OZQ39" s="48"/>
      <c r="OZR39" s="48"/>
      <c r="OZS39" s="48"/>
      <c r="OZT39" s="48"/>
      <c r="OZU39" s="48"/>
      <c r="OZV39" s="48"/>
      <c r="OZW39" s="48"/>
      <c r="OZX39" s="48"/>
      <c r="OZY39" s="48"/>
      <c r="OZZ39" s="48"/>
      <c r="PAA39" s="45"/>
      <c r="PAB39" s="46"/>
      <c r="PAC39" s="46"/>
      <c r="PAD39" s="47"/>
      <c r="PAE39" s="48"/>
      <c r="PAF39" s="48"/>
      <c r="PAG39" s="48"/>
      <c r="PAH39" s="48"/>
      <c r="PAI39" s="48"/>
      <c r="PAJ39" s="48"/>
      <c r="PAK39" s="48"/>
      <c r="PAL39" s="48"/>
      <c r="PAM39" s="48"/>
      <c r="PAN39" s="48"/>
      <c r="PAO39" s="48"/>
      <c r="PAP39" s="48"/>
      <c r="PAQ39" s="48"/>
      <c r="PAR39" s="48"/>
      <c r="PAS39" s="48"/>
      <c r="PAT39" s="48"/>
      <c r="PAU39" s="48"/>
      <c r="PAV39" s="48"/>
      <c r="PAW39" s="45"/>
      <c r="PAX39" s="46"/>
      <c r="PAY39" s="46"/>
      <c r="PAZ39" s="47"/>
      <c r="PBA39" s="48"/>
      <c r="PBB39" s="48"/>
      <c r="PBC39" s="48"/>
      <c r="PBD39" s="48"/>
      <c r="PBE39" s="48"/>
      <c r="PBF39" s="48"/>
      <c r="PBG39" s="48"/>
      <c r="PBH39" s="48"/>
      <c r="PBI39" s="48"/>
      <c r="PBJ39" s="48"/>
      <c r="PBK39" s="48"/>
      <c r="PBL39" s="48"/>
      <c r="PBM39" s="48"/>
      <c r="PBN39" s="48"/>
      <c r="PBO39" s="48"/>
      <c r="PBP39" s="48"/>
      <c r="PBQ39" s="48"/>
      <c r="PBR39" s="48"/>
      <c r="PBS39" s="45"/>
      <c r="PBT39" s="46"/>
      <c r="PBU39" s="46"/>
      <c r="PBV39" s="47"/>
      <c r="PBW39" s="48"/>
      <c r="PBX39" s="48"/>
      <c r="PBY39" s="48"/>
      <c r="PBZ39" s="48"/>
      <c r="PCA39" s="48"/>
      <c r="PCB39" s="48"/>
      <c r="PCC39" s="48"/>
      <c r="PCD39" s="48"/>
      <c r="PCE39" s="48"/>
      <c r="PCF39" s="48"/>
      <c r="PCG39" s="48"/>
      <c r="PCH39" s="48"/>
      <c r="PCI39" s="48"/>
      <c r="PCJ39" s="48"/>
      <c r="PCK39" s="48"/>
      <c r="PCL39" s="48"/>
      <c r="PCM39" s="48"/>
      <c r="PCN39" s="48"/>
      <c r="PCO39" s="45"/>
      <c r="PCP39" s="46"/>
      <c r="PCQ39" s="46"/>
      <c r="PCR39" s="47"/>
      <c r="PCS39" s="48"/>
      <c r="PCT39" s="48"/>
      <c r="PCU39" s="48"/>
      <c r="PCV39" s="48"/>
      <c r="PCW39" s="48"/>
      <c r="PCX39" s="48"/>
      <c r="PCY39" s="48"/>
      <c r="PCZ39" s="48"/>
      <c r="PDA39" s="48"/>
      <c r="PDB39" s="48"/>
      <c r="PDC39" s="48"/>
      <c r="PDD39" s="48"/>
      <c r="PDE39" s="48"/>
      <c r="PDF39" s="48"/>
      <c r="PDG39" s="48"/>
      <c r="PDH39" s="48"/>
      <c r="PDI39" s="48"/>
      <c r="PDJ39" s="48"/>
      <c r="PDK39" s="45"/>
      <c r="PDL39" s="46"/>
      <c r="PDM39" s="46"/>
      <c r="PDN39" s="47"/>
      <c r="PDO39" s="48"/>
      <c r="PDP39" s="48"/>
      <c r="PDQ39" s="48"/>
      <c r="PDR39" s="48"/>
      <c r="PDS39" s="48"/>
      <c r="PDT39" s="48"/>
      <c r="PDU39" s="48"/>
      <c r="PDV39" s="48"/>
      <c r="PDW39" s="48"/>
      <c r="PDX39" s="48"/>
      <c r="PDY39" s="48"/>
      <c r="PDZ39" s="48"/>
      <c r="PEA39" s="48"/>
      <c r="PEB39" s="48"/>
      <c r="PEC39" s="48"/>
      <c r="PED39" s="48"/>
      <c r="PEE39" s="48"/>
      <c r="PEF39" s="48"/>
      <c r="PEG39" s="45"/>
      <c r="PEH39" s="46"/>
      <c r="PEI39" s="46"/>
      <c r="PEJ39" s="47"/>
      <c r="PEK39" s="48"/>
      <c r="PEL39" s="48"/>
      <c r="PEM39" s="48"/>
      <c r="PEN39" s="48"/>
      <c r="PEO39" s="48"/>
      <c r="PEP39" s="48"/>
      <c r="PEQ39" s="48"/>
      <c r="PER39" s="48"/>
      <c r="PES39" s="48"/>
      <c r="PET39" s="48"/>
      <c r="PEU39" s="48"/>
      <c r="PEV39" s="48"/>
      <c r="PEW39" s="48"/>
      <c r="PEX39" s="48"/>
      <c r="PEY39" s="48"/>
      <c r="PEZ39" s="48"/>
      <c r="PFA39" s="48"/>
      <c r="PFB39" s="48"/>
      <c r="PFC39" s="45"/>
      <c r="PFD39" s="46"/>
      <c r="PFE39" s="46"/>
      <c r="PFF39" s="47"/>
      <c r="PFG39" s="48"/>
      <c r="PFH39" s="48"/>
      <c r="PFI39" s="48"/>
      <c r="PFJ39" s="48"/>
      <c r="PFK39" s="48"/>
      <c r="PFL39" s="48"/>
      <c r="PFM39" s="48"/>
      <c r="PFN39" s="48"/>
      <c r="PFO39" s="48"/>
      <c r="PFP39" s="48"/>
      <c r="PFQ39" s="48"/>
      <c r="PFR39" s="48"/>
      <c r="PFS39" s="48"/>
      <c r="PFT39" s="48"/>
      <c r="PFU39" s="48"/>
      <c r="PFV39" s="48"/>
      <c r="PFW39" s="48"/>
      <c r="PFX39" s="48"/>
      <c r="PFY39" s="45"/>
      <c r="PFZ39" s="46"/>
      <c r="PGA39" s="46"/>
      <c r="PGB39" s="47"/>
      <c r="PGC39" s="48"/>
      <c r="PGD39" s="48"/>
      <c r="PGE39" s="48"/>
      <c r="PGF39" s="48"/>
      <c r="PGG39" s="48"/>
      <c r="PGH39" s="48"/>
      <c r="PGI39" s="48"/>
      <c r="PGJ39" s="48"/>
      <c r="PGK39" s="48"/>
      <c r="PGL39" s="48"/>
      <c r="PGM39" s="48"/>
      <c r="PGN39" s="48"/>
      <c r="PGO39" s="48"/>
      <c r="PGP39" s="48"/>
      <c r="PGQ39" s="48"/>
      <c r="PGR39" s="48"/>
      <c r="PGS39" s="48"/>
      <c r="PGT39" s="48"/>
      <c r="PGU39" s="45"/>
      <c r="PGV39" s="46"/>
      <c r="PGW39" s="46"/>
      <c r="PGX39" s="47"/>
      <c r="PGY39" s="48"/>
      <c r="PGZ39" s="48"/>
      <c r="PHA39" s="48"/>
      <c r="PHB39" s="48"/>
      <c r="PHC39" s="48"/>
      <c r="PHD39" s="48"/>
      <c r="PHE39" s="48"/>
      <c r="PHF39" s="48"/>
      <c r="PHG39" s="48"/>
      <c r="PHH39" s="48"/>
      <c r="PHI39" s="48"/>
      <c r="PHJ39" s="48"/>
      <c r="PHK39" s="48"/>
      <c r="PHL39" s="48"/>
      <c r="PHM39" s="48"/>
      <c r="PHN39" s="48"/>
      <c r="PHO39" s="48"/>
      <c r="PHP39" s="48"/>
      <c r="PHQ39" s="45"/>
      <c r="PHR39" s="46"/>
      <c r="PHS39" s="46"/>
      <c r="PHT39" s="47"/>
      <c r="PHU39" s="48"/>
      <c r="PHV39" s="48"/>
      <c r="PHW39" s="48"/>
      <c r="PHX39" s="48"/>
      <c r="PHY39" s="48"/>
      <c r="PHZ39" s="48"/>
      <c r="PIA39" s="48"/>
      <c r="PIB39" s="48"/>
      <c r="PIC39" s="48"/>
      <c r="PID39" s="48"/>
      <c r="PIE39" s="48"/>
      <c r="PIF39" s="48"/>
      <c r="PIG39" s="48"/>
      <c r="PIH39" s="48"/>
      <c r="PII39" s="48"/>
      <c r="PIJ39" s="48"/>
      <c r="PIK39" s="48"/>
      <c r="PIL39" s="48"/>
      <c r="PIM39" s="45"/>
      <c r="PIN39" s="46"/>
      <c r="PIO39" s="46"/>
      <c r="PIP39" s="47"/>
      <c r="PIQ39" s="48"/>
      <c r="PIR39" s="48"/>
      <c r="PIS39" s="48"/>
      <c r="PIT39" s="48"/>
      <c r="PIU39" s="48"/>
      <c r="PIV39" s="48"/>
      <c r="PIW39" s="48"/>
      <c r="PIX39" s="48"/>
      <c r="PIY39" s="48"/>
      <c r="PIZ39" s="48"/>
      <c r="PJA39" s="48"/>
      <c r="PJB39" s="48"/>
      <c r="PJC39" s="48"/>
      <c r="PJD39" s="48"/>
      <c r="PJE39" s="48"/>
      <c r="PJF39" s="48"/>
      <c r="PJG39" s="48"/>
      <c r="PJH39" s="48"/>
      <c r="PJI39" s="45"/>
      <c r="PJJ39" s="46"/>
      <c r="PJK39" s="46"/>
      <c r="PJL39" s="47"/>
      <c r="PJM39" s="48"/>
      <c r="PJN39" s="48"/>
      <c r="PJO39" s="48"/>
      <c r="PJP39" s="48"/>
      <c r="PJQ39" s="48"/>
      <c r="PJR39" s="48"/>
      <c r="PJS39" s="48"/>
      <c r="PJT39" s="48"/>
      <c r="PJU39" s="48"/>
      <c r="PJV39" s="48"/>
      <c r="PJW39" s="48"/>
      <c r="PJX39" s="48"/>
      <c r="PJY39" s="48"/>
      <c r="PJZ39" s="48"/>
      <c r="PKA39" s="48"/>
      <c r="PKB39" s="48"/>
      <c r="PKC39" s="48"/>
      <c r="PKD39" s="48"/>
      <c r="PKE39" s="45"/>
      <c r="PKF39" s="46"/>
      <c r="PKG39" s="46"/>
      <c r="PKH39" s="47"/>
      <c r="PKI39" s="48"/>
      <c r="PKJ39" s="48"/>
      <c r="PKK39" s="48"/>
      <c r="PKL39" s="48"/>
      <c r="PKM39" s="48"/>
      <c r="PKN39" s="48"/>
      <c r="PKO39" s="48"/>
      <c r="PKP39" s="48"/>
      <c r="PKQ39" s="48"/>
      <c r="PKR39" s="48"/>
      <c r="PKS39" s="48"/>
      <c r="PKT39" s="48"/>
      <c r="PKU39" s="48"/>
      <c r="PKV39" s="48"/>
      <c r="PKW39" s="48"/>
      <c r="PKX39" s="48"/>
      <c r="PKY39" s="48"/>
      <c r="PKZ39" s="48"/>
      <c r="PLA39" s="45"/>
      <c r="PLB39" s="46"/>
      <c r="PLC39" s="46"/>
      <c r="PLD39" s="47"/>
      <c r="PLE39" s="48"/>
      <c r="PLF39" s="48"/>
      <c r="PLG39" s="48"/>
      <c r="PLH39" s="48"/>
      <c r="PLI39" s="48"/>
      <c r="PLJ39" s="48"/>
      <c r="PLK39" s="48"/>
      <c r="PLL39" s="48"/>
      <c r="PLM39" s="48"/>
      <c r="PLN39" s="48"/>
      <c r="PLO39" s="48"/>
      <c r="PLP39" s="48"/>
      <c r="PLQ39" s="48"/>
      <c r="PLR39" s="48"/>
      <c r="PLS39" s="48"/>
      <c r="PLT39" s="48"/>
      <c r="PLU39" s="48"/>
      <c r="PLV39" s="48"/>
      <c r="PLW39" s="45"/>
      <c r="PLX39" s="46"/>
      <c r="PLY39" s="46"/>
      <c r="PLZ39" s="47"/>
      <c r="PMA39" s="48"/>
      <c r="PMB39" s="48"/>
      <c r="PMC39" s="48"/>
      <c r="PMD39" s="48"/>
      <c r="PME39" s="48"/>
      <c r="PMF39" s="48"/>
      <c r="PMG39" s="48"/>
      <c r="PMH39" s="48"/>
      <c r="PMI39" s="48"/>
      <c r="PMJ39" s="48"/>
      <c r="PMK39" s="48"/>
      <c r="PML39" s="48"/>
      <c r="PMM39" s="48"/>
      <c r="PMN39" s="48"/>
      <c r="PMO39" s="48"/>
      <c r="PMP39" s="48"/>
      <c r="PMQ39" s="48"/>
      <c r="PMR39" s="48"/>
      <c r="PMS39" s="45"/>
      <c r="PMT39" s="46"/>
      <c r="PMU39" s="46"/>
      <c r="PMV39" s="47"/>
      <c r="PMW39" s="48"/>
      <c r="PMX39" s="48"/>
      <c r="PMY39" s="48"/>
      <c r="PMZ39" s="48"/>
      <c r="PNA39" s="48"/>
      <c r="PNB39" s="48"/>
      <c r="PNC39" s="48"/>
      <c r="PND39" s="48"/>
      <c r="PNE39" s="48"/>
      <c r="PNF39" s="48"/>
      <c r="PNG39" s="48"/>
      <c r="PNH39" s="48"/>
      <c r="PNI39" s="48"/>
      <c r="PNJ39" s="48"/>
      <c r="PNK39" s="48"/>
      <c r="PNL39" s="48"/>
      <c r="PNM39" s="48"/>
      <c r="PNN39" s="48"/>
      <c r="PNO39" s="45"/>
      <c r="PNP39" s="46"/>
      <c r="PNQ39" s="46"/>
      <c r="PNR39" s="47"/>
      <c r="PNS39" s="48"/>
      <c r="PNT39" s="48"/>
      <c r="PNU39" s="48"/>
      <c r="PNV39" s="48"/>
      <c r="PNW39" s="48"/>
      <c r="PNX39" s="48"/>
      <c r="PNY39" s="48"/>
      <c r="PNZ39" s="48"/>
      <c r="POA39" s="48"/>
      <c r="POB39" s="48"/>
      <c r="POC39" s="48"/>
      <c r="POD39" s="48"/>
      <c r="POE39" s="48"/>
      <c r="POF39" s="48"/>
      <c r="POG39" s="48"/>
      <c r="POH39" s="48"/>
      <c r="POI39" s="48"/>
      <c r="POJ39" s="48"/>
      <c r="POK39" s="45"/>
      <c r="POL39" s="46"/>
      <c r="POM39" s="46"/>
      <c r="PON39" s="47"/>
      <c r="POO39" s="48"/>
      <c r="POP39" s="48"/>
      <c r="POQ39" s="48"/>
      <c r="POR39" s="48"/>
      <c r="POS39" s="48"/>
      <c r="POT39" s="48"/>
      <c r="POU39" s="48"/>
      <c r="POV39" s="48"/>
      <c r="POW39" s="48"/>
      <c r="POX39" s="48"/>
      <c r="POY39" s="48"/>
      <c r="POZ39" s="48"/>
      <c r="PPA39" s="48"/>
      <c r="PPB39" s="48"/>
      <c r="PPC39" s="48"/>
      <c r="PPD39" s="48"/>
      <c r="PPE39" s="48"/>
      <c r="PPF39" s="48"/>
      <c r="PPG39" s="45"/>
      <c r="PPH39" s="46"/>
      <c r="PPI39" s="46"/>
      <c r="PPJ39" s="47"/>
      <c r="PPK39" s="48"/>
      <c r="PPL39" s="48"/>
      <c r="PPM39" s="48"/>
      <c r="PPN39" s="48"/>
      <c r="PPO39" s="48"/>
      <c r="PPP39" s="48"/>
      <c r="PPQ39" s="48"/>
      <c r="PPR39" s="48"/>
      <c r="PPS39" s="48"/>
      <c r="PPT39" s="48"/>
      <c r="PPU39" s="48"/>
      <c r="PPV39" s="48"/>
      <c r="PPW39" s="48"/>
      <c r="PPX39" s="48"/>
      <c r="PPY39" s="48"/>
      <c r="PPZ39" s="48"/>
      <c r="PQA39" s="48"/>
      <c r="PQB39" s="48"/>
      <c r="PQC39" s="45"/>
      <c r="PQD39" s="46"/>
      <c r="PQE39" s="46"/>
      <c r="PQF39" s="47"/>
      <c r="PQG39" s="48"/>
      <c r="PQH39" s="48"/>
      <c r="PQI39" s="48"/>
      <c r="PQJ39" s="48"/>
      <c r="PQK39" s="48"/>
      <c r="PQL39" s="48"/>
      <c r="PQM39" s="48"/>
      <c r="PQN39" s="48"/>
      <c r="PQO39" s="48"/>
      <c r="PQP39" s="48"/>
      <c r="PQQ39" s="48"/>
      <c r="PQR39" s="48"/>
      <c r="PQS39" s="48"/>
      <c r="PQT39" s="48"/>
      <c r="PQU39" s="48"/>
      <c r="PQV39" s="48"/>
      <c r="PQW39" s="48"/>
      <c r="PQX39" s="48"/>
      <c r="PQY39" s="45"/>
      <c r="PQZ39" s="46"/>
      <c r="PRA39" s="46"/>
      <c r="PRB39" s="47"/>
      <c r="PRC39" s="48"/>
      <c r="PRD39" s="48"/>
      <c r="PRE39" s="48"/>
      <c r="PRF39" s="48"/>
      <c r="PRG39" s="48"/>
      <c r="PRH39" s="48"/>
      <c r="PRI39" s="48"/>
      <c r="PRJ39" s="48"/>
      <c r="PRK39" s="48"/>
      <c r="PRL39" s="48"/>
      <c r="PRM39" s="48"/>
      <c r="PRN39" s="48"/>
      <c r="PRO39" s="48"/>
      <c r="PRP39" s="48"/>
      <c r="PRQ39" s="48"/>
      <c r="PRR39" s="48"/>
      <c r="PRS39" s="48"/>
      <c r="PRT39" s="48"/>
      <c r="PRU39" s="45"/>
      <c r="PRV39" s="46"/>
      <c r="PRW39" s="46"/>
      <c r="PRX39" s="47"/>
      <c r="PRY39" s="48"/>
      <c r="PRZ39" s="48"/>
      <c r="PSA39" s="48"/>
      <c r="PSB39" s="48"/>
      <c r="PSC39" s="48"/>
      <c r="PSD39" s="48"/>
      <c r="PSE39" s="48"/>
      <c r="PSF39" s="48"/>
      <c r="PSG39" s="48"/>
      <c r="PSH39" s="48"/>
      <c r="PSI39" s="48"/>
      <c r="PSJ39" s="48"/>
      <c r="PSK39" s="48"/>
      <c r="PSL39" s="48"/>
      <c r="PSM39" s="48"/>
      <c r="PSN39" s="48"/>
      <c r="PSO39" s="48"/>
      <c r="PSP39" s="48"/>
      <c r="PSQ39" s="45"/>
      <c r="PSR39" s="46"/>
      <c r="PSS39" s="46"/>
      <c r="PST39" s="47"/>
      <c r="PSU39" s="48"/>
      <c r="PSV39" s="48"/>
      <c r="PSW39" s="48"/>
      <c r="PSX39" s="48"/>
      <c r="PSY39" s="48"/>
      <c r="PSZ39" s="48"/>
      <c r="PTA39" s="48"/>
      <c r="PTB39" s="48"/>
      <c r="PTC39" s="48"/>
      <c r="PTD39" s="48"/>
      <c r="PTE39" s="48"/>
      <c r="PTF39" s="48"/>
      <c r="PTG39" s="48"/>
      <c r="PTH39" s="48"/>
      <c r="PTI39" s="48"/>
      <c r="PTJ39" s="48"/>
      <c r="PTK39" s="48"/>
      <c r="PTL39" s="48"/>
      <c r="PTM39" s="45"/>
      <c r="PTN39" s="46"/>
      <c r="PTO39" s="46"/>
      <c r="PTP39" s="47"/>
      <c r="PTQ39" s="48"/>
      <c r="PTR39" s="48"/>
      <c r="PTS39" s="48"/>
      <c r="PTT39" s="48"/>
      <c r="PTU39" s="48"/>
      <c r="PTV39" s="48"/>
      <c r="PTW39" s="48"/>
      <c r="PTX39" s="48"/>
      <c r="PTY39" s="48"/>
      <c r="PTZ39" s="48"/>
      <c r="PUA39" s="48"/>
      <c r="PUB39" s="48"/>
      <c r="PUC39" s="48"/>
      <c r="PUD39" s="48"/>
      <c r="PUE39" s="48"/>
      <c r="PUF39" s="48"/>
      <c r="PUG39" s="48"/>
      <c r="PUH39" s="48"/>
      <c r="PUI39" s="45"/>
      <c r="PUJ39" s="46"/>
      <c r="PUK39" s="46"/>
      <c r="PUL39" s="47"/>
      <c r="PUM39" s="48"/>
      <c r="PUN39" s="48"/>
      <c r="PUO39" s="48"/>
      <c r="PUP39" s="48"/>
      <c r="PUQ39" s="48"/>
      <c r="PUR39" s="48"/>
      <c r="PUS39" s="48"/>
      <c r="PUT39" s="48"/>
      <c r="PUU39" s="48"/>
      <c r="PUV39" s="48"/>
      <c r="PUW39" s="48"/>
      <c r="PUX39" s="48"/>
      <c r="PUY39" s="48"/>
      <c r="PUZ39" s="48"/>
      <c r="PVA39" s="48"/>
      <c r="PVB39" s="48"/>
      <c r="PVC39" s="48"/>
      <c r="PVD39" s="48"/>
      <c r="PVE39" s="45"/>
      <c r="PVF39" s="46"/>
      <c r="PVG39" s="46"/>
      <c r="PVH39" s="47"/>
      <c r="PVI39" s="48"/>
      <c r="PVJ39" s="48"/>
      <c r="PVK39" s="48"/>
      <c r="PVL39" s="48"/>
      <c r="PVM39" s="48"/>
      <c r="PVN39" s="48"/>
      <c r="PVO39" s="48"/>
      <c r="PVP39" s="48"/>
      <c r="PVQ39" s="48"/>
      <c r="PVR39" s="48"/>
      <c r="PVS39" s="48"/>
      <c r="PVT39" s="48"/>
      <c r="PVU39" s="48"/>
      <c r="PVV39" s="48"/>
      <c r="PVW39" s="48"/>
      <c r="PVX39" s="48"/>
      <c r="PVY39" s="48"/>
      <c r="PVZ39" s="48"/>
      <c r="PWA39" s="45"/>
      <c r="PWB39" s="46"/>
      <c r="PWC39" s="46"/>
      <c r="PWD39" s="47"/>
      <c r="PWE39" s="48"/>
      <c r="PWF39" s="48"/>
      <c r="PWG39" s="48"/>
      <c r="PWH39" s="48"/>
      <c r="PWI39" s="48"/>
      <c r="PWJ39" s="48"/>
      <c r="PWK39" s="48"/>
      <c r="PWL39" s="48"/>
      <c r="PWM39" s="48"/>
      <c r="PWN39" s="48"/>
      <c r="PWO39" s="48"/>
      <c r="PWP39" s="48"/>
      <c r="PWQ39" s="48"/>
      <c r="PWR39" s="48"/>
      <c r="PWS39" s="48"/>
      <c r="PWT39" s="48"/>
      <c r="PWU39" s="48"/>
      <c r="PWV39" s="48"/>
      <c r="PWW39" s="45"/>
      <c r="PWX39" s="46"/>
      <c r="PWY39" s="46"/>
      <c r="PWZ39" s="47"/>
      <c r="PXA39" s="48"/>
      <c r="PXB39" s="48"/>
      <c r="PXC39" s="48"/>
      <c r="PXD39" s="48"/>
      <c r="PXE39" s="48"/>
      <c r="PXF39" s="48"/>
      <c r="PXG39" s="48"/>
      <c r="PXH39" s="48"/>
      <c r="PXI39" s="48"/>
      <c r="PXJ39" s="48"/>
      <c r="PXK39" s="48"/>
      <c r="PXL39" s="48"/>
      <c r="PXM39" s="48"/>
      <c r="PXN39" s="48"/>
      <c r="PXO39" s="48"/>
      <c r="PXP39" s="48"/>
      <c r="PXQ39" s="48"/>
      <c r="PXR39" s="48"/>
      <c r="PXS39" s="45"/>
      <c r="PXT39" s="46"/>
      <c r="PXU39" s="46"/>
      <c r="PXV39" s="47"/>
      <c r="PXW39" s="48"/>
      <c r="PXX39" s="48"/>
      <c r="PXY39" s="48"/>
      <c r="PXZ39" s="48"/>
      <c r="PYA39" s="48"/>
      <c r="PYB39" s="48"/>
      <c r="PYC39" s="48"/>
      <c r="PYD39" s="48"/>
      <c r="PYE39" s="48"/>
      <c r="PYF39" s="48"/>
      <c r="PYG39" s="48"/>
      <c r="PYH39" s="48"/>
      <c r="PYI39" s="48"/>
      <c r="PYJ39" s="48"/>
      <c r="PYK39" s="48"/>
      <c r="PYL39" s="48"/>
      <c r="PYM39" s="48"/>
      <c r="PYN39" s="48"/>
      <c r="PYO39" s="45"/>
      <c r="PYP39" s="46"/>
      <c r="PYQ39" s="46"/>
      <c r="PYR39" s="47"/>
      <c r="PYS39" s="48"/>
      <c r="PYT39" s="48"/>
      <c r="PYU39" s="48"/>
      <c r="PYV39" s="48"/>
      <c r="PYW39" s="48"/>
      <c r="PYX39" s="48"/>
      <c r="PYY39" s="48"/>
      <c r="PYZ39" s="48"/>
      <c r="PZA39" s="48"/>
      <c r="PZB39" s="48"/>
      <c r="PZC39" s="48"/>
      <c r="PZD39" s="48"/>
      <c r="PZE39" s="48"/>
      <c r="PZF39" s="48"/>
      <c r="PZG39" s="48"/>
      <c r="PZH39" s="48"/>
      <c r="PZI39" s="48"/>
      <c r="PZJ39" s="48"/>
      <c r="PZK39" s="45"/>
      <c r="PZL39" s="46"/>
      <c r="PZM39" s="46"/>
      <c r="PZN39" s="47"/>
      <c r="PZO39" s="48"/>
      <c r="PZP39" s="48"/>
      <c r="PZQ39" s="48"/>
      <c r="PZR39" s="48"/>
      <c r="PZS39" s="48"/>
      <c r="PZT39" s="48"/>
      <c r="PZU39" s="48"/>
      <c r="PZV39" s="48"/>
      <c r="PZW39" s="48"/>
      <c r="PZX39" s="48"/>
      <c r="PZY39" s="48"/>
      <c r="PZZ39" s="48"/>
      <c r="QAA39" s="48"/>
      <c r="QAB39" s="48"/>
      <c r="QAC39" s="48"/>
      <c r="QAD39" s="48"/>
      <c r="QAE39" s="48"/>
      <c r="QAF39" s="48"/>
      <c r="QAG39" s="45"/>
      <c r="QAH39" s="46"/>
      <c r="QAI39" s="46"/>
      <c r="QAJ39" s="47"/>
      <c r="QAK39" s="48"/>
      <c r="QAL39" s="48"/>
      <c r="QAM39" s="48"/>
      <c r="QAN39" s="48"/>
      <c r="QAO39" s="48"/>
      <c r="QAP39" s="48"/>
      <c r="QAQ39" s="48"/>
      <c r="QAR39" s="48"/>
      <c r="QAS39" s="48"/>
      <c r="QAT39" s="48"/>
      <c r="QAU39" s="48"/>
      <c r="QAV39" s="48"/>
      <c r="QAW39" s="48"/>
      <c r="QAX39" s="48"/>
      <c r="QAY39" s="48"/>
      <c r="QAZ39" s="48"/>
      <c r="QBA39" s="48"/>
      <c r="QBB39" s="48"/>
      <c r="QBC39" s="45"/>
      <c r="QBD39" s="46"/>
      <c r="QBE39" s="46"/>
      <c r="QBF39" s="47"/>
      <c r="QBG39" s="48"/>
      <c r="QBH39" s="48"/>
      <c r="QBI39" s="48"/>
      <c r="QBJ39" s="48"/>
      <c r="QBK39" s="48"/>
      <c r="QBL39" s="48"/>
      <c r="QBM39" s="48"/>
      <c r="QBN39" s="48"/>
      <c r="QBO39" s="48"/>
      <c r="QBP39" s="48"/>
      <c r="QBQ39" s="48"/>
      <c r="QBR39" s="48"/>
      <c r="QBS39" s="48"/>
      <c r="QBT39" s="48"/>
      <c r="QBU39" s="48"/>
      <c r="QBV39" s="48"/>
      <c r="QBW39" s="48"/>
      <c r="QBX39" s="48"/>
      <c r="QBY39" s="45"/>
      <c r="QBZ39" s="46"/>
      <c r="QCA39" s="46"/>
      <c r="QCB39" s="47"/>
      <c r="QCC39" s="48"/>
      <c r="QCD39" s="48"/>
      <c r="QCE39" s="48"/>
      <c r="QCF39" s="48"/>
      <c r="QCG39" s="48"/>
      <c r="QCH39" s="48"/>
      <c r="QCI39" s="48"/>
      <c r="QCJ39" s="48"/>
      <c r="QCK39" s="48"/>
      <c r="QCL39" s="48"/>
      <c r="QCM39" s="48"/>
      <c r="QCN39" s="48"/>
      <c r="QCO39" s="48"/>
      <c r="QCP39" s="48"/>
      <c r="QCQ39" s="48"/>
      <c r="QCR39" s="48"/>
      <c r="QCS39" s="48"/>
      <c r="QCT39" s="48"/>
      <c r="QCU39" s="45"/>
      <c r="QCV39" s="46"/>
      <c r="QCW39" s="46"/>
      <c r="QCX39" s="47"/>
      <c r="QCY39" s="48"/>
      <c r="QCZ39" s="48"/>
      <c r="QDA39" s="48"/>
      <c r="QDB39" s="48"/>
      <c r="QDC39" s="48"/>
      <c r="QDD39" s="48"/>
      <c r="QDE39" s="48"/>
      <c r="QDF39" s="48"/>
      <c r="QDG39" s="48"/>
      <c r="QDH39" s="48"/>
      <c r="QDI39" s="48"/>
      <c r="QDJ39" s="48"/>
      <c r="QDK39" s="48"/>
      <c r="QDL39" s="48"/>
      <c r="QDM39" s="48"/>
      <c r="QDN39" s="48"/>
      <c r="QDO39" s="48"/>
      <c r="QDP39" s="48"/>
      <c r="QDQ39" s="45"/>
      <c r="QDR39" s="46"/>
      <c r="QDS39" s="46"/>
      <c r="QDT39" s="47"/>
      <c r="QDU39" s="48"/>
      <c r="QDV39" s="48"/>
      <c r="QDW39" s="48"/>
      <c r="QDX39" s="48"/>
      <c r="QDY39" s="48"/>
      <c r="QDZ39" s="48"/>
      <c r="QEA39" s="48"/>
      <c r="QEB39" s="48"/>
      <c r="QEC39" s="48"/>
      <c r="QED39" s="48"/>
      <c r="QEE39" s="48"/>
      <c r="QEF39" s="48"/>
      <c r="QEG39" s="48"/>
      <c r="QEH39" s="48"/>
      <c r="QEI39" s="48"/>
      <c r="QEJ39" s="48"/>
      <c r="QEK39" s="48"/>
      <c r="QEL39" s="48"/>
      <c r="QEM39" s="45"/>
      <c r="QEN39" s="46"/>
      <c r="QEO39" s="46"/>
      <c r="QEP39" s="47"/>
      <c r="QEQ39" s="48"/>
      <c r="QER39" s="48"/>
      <c r="QES39" s="48"/>
      <c r="QET39" s="48"/>
      <c r="QEU39" s="48"/>
      <c r="QEV39" s="48"/>
      <c r="QEW39" s="48"/>
      <c r="QEX39" s="48"/>
      <c r="QEY39" s="48"/>
      <c r="QEZ39" s="48"/>
      <c r="QFA39" s="48"/>
      <c r="QFB39" s="48"/>
      <c r="QFC39" s="48"/>
      <c r="QFD39" s="48"/>
      <c r="QFE39" s="48"/>
      <c r="QFF39" s="48"/>
      <c r="QFG39" s="48"/>
      <c r="QFH39" s="48"/>
      <c r="QFI39" s="45"/>
      <c r="QFJ39" s="46"/>
      <c r="QFK39" s="46"/>
      <c r="QFL39" s="47"/>
      <c r="QFM39" s="48"/>
      <c r="QFN39" s="48"/>
      <c r="QFO39" s="48"/>
      <c r="QFP39" s="48"/>
      <c r="QFQ39" s="48"/>
      <c r="QFR39" s="48"/>
      <c r="QFS39" s="48"/>
      <c r="QFT39" s="48"/>
      <c r="QFU39" s="48"/>
      <c r="QFV39" s="48"/>
      <c r="QFW39" s="48"/>
      <c r="QFX39" s="48"/>
      <c r="QFY39" s="48"/>
      <c r="QFZ39" s="48"/>
      <c r="QGA39" s="48"/>
      <c r="QGB39" s="48"/>
      <c r="QGC39" s="48"/>
      <c r="QGD39" s="48"/>
      <c r="QGE39" s="45"/>
      <c r="QGF39" s="46"/>
      <c r="QGG39" s="46"/>
      <c r="QGH39" s="47"/>
      <c r="QGI39" s="48"/>
      <c r="QGJ39" s="48"/>
      <c r="QGK39" s="48"/>
      <c r="QGL39" s="48"/>
      <c r="QGM39" s="48"/>
      <c r="QGN39" s="48"/>
      <c r="QGO39" s="48"/>
      <c r="QGP39" s="48"/>
      <c r="QGQ39" s="48"/>
      <c r="QGR39" s="48"/>
      <c r="QGS39" s="48"/>
      <c r="QGT39" s="48"/>
      <c r="QGU39" s="48"/>
      <c r="QGV39" s="48"/>
      <c r="QGW39" s="48"/>
      <c r="QGX39" s="48"/>
      <c r="QGY39" s="48"/>
      <c r="QGZ39" s="48"/>
      <c r="QHA39" s="45"/>
      <c r="QHB39" s="46"/>
      <c r="QHC39" s="46"/>
      <c r="QHD39" s="47"/>
      <c r="QHE39" s="48"/>
      <c r="QHF39" s="48"/>
      <c r="QHG39" s="48"/>
      <c r="QHH39" s="48"/>
      <c r="QHI39" s="48"/>
      <c r="QHJ39" s="48"/>
      <c r="QHK39" s="48"/>
      <c r="QHL39" s="48"/>
      <c r="QHM39" s="48"/>
      <c r="QHN39" s="48"/>
      <c r="QHO39" s="48"/>
      <c r="QHP39" s="48"/>
      <c r="QHQ39" s="48"/>
      <c r="QHR39" s="48"/>
      <c r="QHS39" s="48"/>
      <c r="QHT39" s="48"/>
      <c r="QHU39" s="48"/>
      <c r="QHV39" s="48"/>
      <c r="QHW39" s="45"/>
      <c r="QHX39" s="46"/>
      <c r="QHY39" s="46"/>
      <c r="QHZ39" s="47"/>
      <c r="QIA39" s="48"/>
      <c r="QIB39" s="48"/>
      <c r="QIC39" s="48"/>
      <c r="QID39" s="48"/>
      <c r="QIE39" s="48"/>
      <c r="QIF39" s="48"/>
      <c r="QIG39" s="48"/>
      <c r="QIH39" s="48"/>
      <c r="QII39" s="48"/>
      <c r="QIJ39" s="48"/>
      <c r="QIK39" s="48"/>
      <c r="QIL39" s="48"/>
      <c r="QIM39" s="48"/>
      <c r="QIN39" s="48"/>
      <c r="QIO39" s="48"/>
      <c r="QIP39" s="48"/>
      <c r="QIQ39" s="48"/>
      <c r="QIR39" s="48"/>
      <c r="QIS39" s="45"/>
      <c r="QIT39" s="46"/>
      <c r="QIU39" s="46"/>
      <c r="QIV39" s="47"/>
      <c r="QIW39" s="48"/>
      <c r="QIX39" s="48"/>
      <c r="QIY39" s="48"/>
      <c r="QIZ39" s="48"/>
      <c r="QJA39" s="48"/>
      <c r="QJB39" s="48"/>
      <c r="QJC39" s="48"/>
      <c r="QJD39" s="48"/>
      <c r="QJE39" s="48"/>
      <c r="QJF39" s="48"/>
      <c r="QJG39" s="48"/>
      <c r="QJH39" s="48"/>
      <c r="QJI39" s="48"/>
      <c r="QJJ39" s="48"/>
      <c r="QJK39" s="48"/>
      <c r="QJL39" s="48"/>
      <c r="QJM39" s="48"/>
      <c r="QJN39" s="48"/>
      <c r="QJO39" s="45"/>
      <c r="QJP39" s="46"/>
      <c r="QJQ39" s="46"/>
      <c r="QJR39" s="47"/>
      <c r="QJS39" s="48"/>
      <c r="QJT39" s="48"/>
      <c r="QJU39" s="48"/>
      <c r="QJV39" s="48"/>
      <c r="QJW39" s="48"/>
      <c r="QJX39" s="48"/>
      <c r="QJY39" s="48"/>
      <c r="QJZ39" s="48"/>
      <c r="QKA39" s="48"/>
      <c r="QKB39" s="48"/>
      <c r="QKC39" s="48"/>
      <c r="QKD39" s="48"/>
      <c r="QKE39" s="48"/>
      <c r="QKF39" s="48"/>
      <c r="QKG39" s="48"/>
      <c r="QKH39" s="48"/>
      <c r="QKI39" s="48"/>
      <c r="QKJ39" s="48"/>
      <c r="QKK39" s="45"/>
      <c r="QKL39" s="46"/>
      <c r="QKM39" s="46"/>
      <c r="QKN39" s="47"/>
      <c r="QKO39" s="48"/>
      <c r="QKP39" s="48"/>
      <c r="QKQ39" s="48"/>
      <c r="QKR39" s="48"/>
      <c r="QKS39" s="48"/>
      <c r="QKT39" s="48"/>
      <c r="QKU39" s="48"/>
      <c r="QKV39" s="48"/>
      <c r="QKW39" s="48"/>
      <c r="QKX39" s="48"/>
      <c r="QKY39" s="48"/>
      <c r="QKZ39" s="48"/>
      <c r="QLA39" s="48"/>
      <c r="QLB39" s="48"/>
      <c r="QLC39" s="48"/>
      <c r="QLD39" s="48"/>
      <c r="QLE39" s="48"/>
      <c r="QLF39" s="48"/>
      <c r="QLG39" s="45"/>
      <c r="QLH39" s="46"/>
      <c r="QLI39" s="46"/>
      <c r="QLJ39" s="47"/>
      <c r="QLK39" s="48"/>
      <c r="QLL39" s="48"/>
      <c r="QLM39" s="48"/>
      <c r="QLN39" s="48"/>
      <c r="QLO39" s="48"/>
      <c r="QLP39" s="48"/>
      <c r="QLQ39" s="48"/>
      <c r="QLR39" s="48"/>
      <c r="QLS39" s="48"/>
      <c r="QLT39" s="48"/>
      <c r="QLU39" s="48"/>
      <c r="QLV39" s="48"/>
      <c r="QLW39" s="48"/>
      <c r="QLX39" s="48"/>
      <c r="QLY39" s="48"/>
      <c r="QLZ39" s="48"/>
      <c r="QMA39" s="48"/>
      <c r="QMB39" s="48"/>
      <c r="QMC39" s="45"/>
      <c r="QMD39" s="46"/>
      <c r="QME39" s="46"/>
      <c r="QMF39" s="47"/>
      <c r="QMG39" s="48"/>
      <c r="QMH39" s="48"/>
      <c r="QMI39" s="48"/>
      <c r="QMJ39" s="48"/>
      <c r="QMK39" s="48"/>
      <c r="QML39" s="48"/>
      <c r="QMM39" s="48"/>
      <c r="QMN39" s="48"/>
      <c r="QMO39" s="48"/>
      <c r="QMP39" s="48"/>
      <c r="QMQ39" s="48"/>
      <c r="QMR39" s="48"/>
      <c r="QMS39" s="48"/>
      <c r="QMT39" s="48"/>
      <c r="QMU39" s="48"/>
      <c r="QMV39" s="48"/>
      <c r="QMW39" s="48"/>
      <c r="QMX39" s="48"/>
      <c r="QMY39" s="45"/>
      <c r="QMZ39" s="46"/>
      <c r="QNA39" s="46"/>
      <c r="QNB39" s="47"/>
      <c r="QNC39" s="48"/>
      <c r="QND39" s="48"/>
      <c r="QNE39" s="48"/>
      <c r="QNF39" s="48"/>
      <c r="QNG39" s="48"/>
      <c r="QNH39" s="48"/>
      <c r="QNI39" s="48"/>
      <c r="QNJ39" s="48"/>
      <c r="QNK39" s="48"/>
      <c r="QNL39" s="48"/>
      <c r="QNM39" s="48"/>
      <c r="QNN39" s="48"/>
      <c r="QNO39" s="48"/>
      <c r="QNP39" s="48"/>
      <c r="QNQ39" s="48"/>
      <c r="QNR39" s="48"/>
      <c r="QNS39" s="48"/>
      <c r="QNT39" s="48"/>
      <c r="QNU39" s="45"/>
      <c r="QNV39" s="46"/>
      <c r="QNW39" s="46"/>
      <c r="QNX39" s="47"/>
      <c r="QNY39" s="48"/>
      <c r="QNZ39" s="48"/>
      <c r="QOA39" s="48"/>
      <c r="QOB39" s="48"/>
      <c r="QOC39" s="48"/>
      <c r="QOD39" s="48"/>
      <c r="QOE39" s="48"/>
      <c r="QOF39" s="48"/>
      <c r="QOG39" s="48"/>
      <c r="QOH39" s="48"/>
      <c r="QOI39" s="48"/>
      <c r="QOJ39" s="48"/>
      <c r="QOK39" s="48"/>
      <c r="QOL39" s="48"/>
      <c r="QOM39" s="48"/>
      <c r="QON39" s="48"/>
      <c r="QOO39" s="48"/>
      <c r="QOP39" s="48"/>
      <c r="QOQ39" s="45"/>
      <c r="QOR39" s="46"/>
      <c r="QOS39" s="46"/>
      <c r="QOT39" s="47"/>
      <c r="QOU39" s="48"/>
      <c r="QOV39" s="48"/>
      <c r="QOW39" s="48"/>
      <c r="QOX39" s="48"/>
      <c r="QOY39" s="48"/>
      <c r="QOZ39" s="48"/>
      <c r="QPA39" s="48"/>
      <c r="QPB39" s="48"/>
      <c r="QPC39" s="48"/>
      <c r="QPD39" s="48"/>
      <c r="QPE39" s="48"/>
      <c r="QPF39" s="48"/>
      <c r="QPG39" s="48"/>
      <c r="QPH39" s="48"/>
      <c r="QPI39" s="48"/>
      <c r="QPJ39" s="48"/>
      <c r="QPK39" s="48"/>
      <c r="QPL39" s="48"/>
      <c r="QPM39" s="45"/>
      <c r="QPN39" s="46"/>
      <c r="QPO39" s="46"/>
      <c r="QPP39" s="47"/>
      <c r="QPQ39" s="48"/>
      <c r="QPR39" s="48"/>
      <c r="QPS39" s="48"/>
      <c r="QPT39" s="48"/>
      <c r="QPU39" s="48"/>
      <c r="QPV39" s="48"/>
      <c r="QPW39" s="48"/>
      <c r="QPX39" s="48"/>
      <c r="QPY39" s="48"/>
      <c r="QPZ39" s="48"/>
      <c r="QQA39" s="48"/>
      <c r="QQB39" s="48"/>
      <c r="QQC39" s="48"/>
      <c r="QQD39" s="48"/>
      <c r="QQE39" s="48"/>
      <c r="QQF39" s="48"/>
      <c r="QQG39" s="48"/>
      <c r="QQH39" s="48"/>
      <c r="QQI39" s="45"/>
      <c r="QQJ39" s="46"/>
      <c r="QQK39" s="46"/>
      <c r="QQL39" s="47"/>
      <c r="QQM39" s="48"/>
      <c r="QQN39" s="48"/>
      <c r="QQO39" s="48"/>
      <c r="QQP39" s="48"/>
      <c r="QQQ39" s="48"/>
      <c r="QQR39" s="48"/>
      <c r="QQS39" s="48"/>
      <c r="QQT39" s="48"/>
      <c r="QQU39" s="48"/>
      <c r="QQV39" s="48"/>
      <c r="QQW39" s="48"/>
      <c r="QQX39" s="48"/>
      <c r="QQY39" s="48"/>
      <c r="QQZ39" s="48"/>
      <c r="QRA39" s="48"/>
      <c r="QRB39" s="48"/>
      <c r="QRC39" s="48"/>
      <c r="QRD39" s="48"/>
      <c r="QRE39" s="45"/>
      <c r="QRF39" s="46"/>
      <c r="QRG39" s="46"/>
      <c r="QRH39" s="47"/>
      <c r="QRI39" s="48"/>
      <c r="QRJ39" s="48"/>
      <c r="QRK39" s="48"/>
      <c r="QRL39" s="48"/>
      <c r="QRM39" s="48"/>
      <c r="QRN39" s="48"/>
      <c r="QRO39" s="48"/>
      <c r="QRP39" s="48"/>
      <c r="QRQ39" s="48"/>
      <c r="QRR39" s="48"/>
      <c r="QRS39" s="48"/>
      <c r="QRT39" s="48"/>
      <c r="QRU39" s="48"/>
      <c r="QRV39" s="48"/>
      <c r="QRW39" s="48"/>
      <c r="QRX39" s="48"/>
      <c r="QRY39" s="48"/>
      <c r="QRZ39" s="48"/>
      <c r="QSA39" s="45"/>
      <c r="QSB39" s="46"/>
      <c r="QSC39" s="46"/>
      <c r="QSD39" s="47"/>
      <c r="QSE39" s="48"/>
      <c r="QSF39" s="48"/>
      <c r="QSG39" s="48"/>
      <c r="QSH39" s="48"/>
      <c r="QSI39" s="48"/>
      <c r="QSJ39" s="48"/>
      <c r="QSK39" s="48"/>
      <c r="QSL39" s="48"/>
      <c r="QSM39" s="48"/>
      <c r="QSN39" s="48"/>
      <c r="QSO39" s="48"/>
      <c r="QSP39" s="48"/>
      <c r="QSQ39" s="48"/>
      <c r="QSR39" s="48"/>
      <c r="QSS39" s="48"/>
      <c r="QST39" s="48"/>
      <c r="QSU39" s="48"/>
      <c r="QSV39" s="48"/>
      <c r="QSW39" s="45"/>
      <c r="QSX39" s="46"/>
      <c r="QSY39" s="46"/>
      <c r="QSZ39" s="47"/>
      <c r="QTA39" s="48"/>
      <c r="QTB39" s="48"/>
      <c r="QTC39" s="48"/>
      <c r="QTD39" s="48"/>
      <c r="QTE39" s="48"/>
      <c r="QTF39" s="48"/>
      <c r="QTG39" s="48"/>
      <c r="QTH39" s="48"/>
      <c r="QTI39" s="48"/>
      <c r="QTJ39" s="48"/>
      <c r="QTK39" s="48"/>
      <c r="QTL39" s="48"/>
      <c r="QTM39" s="48"/>
      <c r="QTN39" s="48"/>
      <c r="QTO39" s="48"/>
      <c r="QTP39" s="48"/>
      <c r="QTQ39" s="48"/>
      <c r="QTR39" s="48"/>
      <c r="QTS39" s="45"/>
      <c r="QTT39" s="46"/>
      <c r="QTU39" s="46"/>
      <c r="QTV39" s="47"/>
      <c r="QTW39" s="48"/>
      <c r="QTX39" s="48"/>
      <c r="QTY39" s="48"/>
      <c r="QTZ39" s="48"/>
      <c r="QUA39" s="48"/>
      <c r="QUB39" s="48"/>
      <c r="QUC39" s="48"/>
      <c r="QUD39" s="48"/>
      <c r="QUE39" s="48"/>
      <c r="QUF39" s="48"/>
      <c r="QUG39" s="48"/>
      <c r="QUH39" s="48"/>
      <c r="QUI39" s="48"/>
      <c r="QUJ39" s="48"/>
      <c r="QUK39" s="48"/>
      <c r="QUL39" s="48"/>
      <c r="QUM39" s="48"/>
      <c r="QUN39" s="48"/>
      <c r="QUO39" s="45"/>
      <c r="QUP39" s="46"/>
      <c r="QUQ39" s="46"/>
      <c r="QUR39" s="47"/>
      <c r="QUS39" s="48"/>
      <c r="QUT39" s="48"/>
      <c r="QUU39" s="48"/>
      <c r="QUV39" s="48"/>
      <c r="QUW39" s="48"/>
      <c r="QUX39" s="48"/>
      <c r="QUY39" s="48"/>
      <c r="QUZ39" s="48"/>
      <c r="QVA39" s="48"/>
      <c r="QVB39" s="48"/>
      <c r="QVC39" s="48"/>
      <c r="QVD39" s="48"/>
      <c r="QVE39" s="48"/>
      <c r="QVF39" s="48"/>
      <c r="QVG39" s="48"/>
      <c r="QVH39" s="48"/>
      <c r="QVI39" s="48"/>
      <c r="QVJ39" s="48"/>
      <c r="QVK39" s="45"/>
      <c r="QVL39" s="46"/>
      <c r="QVM39" s="46"/>
      <c r="QVN39" s="47"/>
      <c r="QVO39" s="48"/>
      <c r="QVP39" s="48"/>
      <c r="QVQ39" s="48"/>
      <c r="QVR39" s="48"/>
      <c r="QVS39" s="48"/>
      <c r="QVT39" s="48"/>
      <c r="QVU39" s="48"/>
      <c r="QVV39" s="48"/>
      <c r="QVW39" s="48"/>
      <c r="QVX39" s="48"/>
      <c r="QVY39" s="48"/>
      <c r="QVZ39" s="48"/>
      <c r="QWA39" s="48"/>
      <c r="QWB39" s="48"/>
      <c r="QWC39" s="48"/>
      <c r="QWD39" s="48"/>
      <c r="QWE39" s="48"/>
      <c r="QWF39" s="48"/>
      <c r="QWG39" s="45"/>
      <c r="QWH39" s="46"/>
      <c r="QWI39" s="46"/>
      <c r="QWJ39" s="47"/>
      <c r="QWK39" s="48"/>
      <c r="QWL39" s="48"/>
      <c r="QWM39" s="48"/>
      <c r="QWN39" s="48"/>
      <c r="QWO39" s="48"/>
      <c r="QWP39" s="48"/>
      <c r="QWQ39" s="48"/>
      <c r="QWR39" s="48"/>
      <c r="QWS39" s="48"/>
      <c r="QWT39" s="48"/>
      <c r="QWU39" s="48"/>
      <c r="QWV39" s="48"/>
      <c r="QWW39" s="48"/>
      <c r="QWX39" s="48"/>
      <c r="QWY39" s="48"/>
      <c r="QWZ39" s="48"/>
      <c r="QXA39" s="48"/>
      <c r="QXB39" s="48"/>
      <c r="QXC39" s="45"/>
      <c r="QXD39" s="46"/>
      <c r="QXE39" s="46"/>
      <c r="QXF39" s="47"/>
      <c r="QXG39" s="48"/>
      <c r="QXH39" s="48"/>
      <c r="QXI39" s="48"/>
      <c r="QXJ39" s="48"/>
      <c r="QXK39" s="48"/>
      <c r="QXL39" s="48"/>
      <c r="QXM39" s="48"/>
      <c r="QXN39" s="48"/>
      <c r="QXO39" s="48"/>
      <c r="QXP39" s="48"/>
      <c r="QXQ39" s="48"/>
      <c r="QXR39" s="48"/>
      <c r="QXS39" s="48"/>
      <c r="QXT39" s="48"/>
      <c r="QXU39" s="48"/>
      <c r="QXV39" s="48"/>
      <c r="QXW39" s="48"/>
      <c r="QXX39" s="48"/>
      <c r="QXY39" s="45"/>
      <c r="QXZ39" s="46"/>
      <c r="QYA39" s="46"/>
      <c r="QYB39" s="47"/>
      <c r="QYC39" s="48"/>
      <c r="QYD39" s="48"/>
      <c r="QYE39" s="48"/>
      <c r="QYF39" s="48"/>
      <c r="QYG39" s="48"/>
      <c r="QYH39" s="48"/>
      <c r="QYI39" s="48"/>
      <c r="QYJ39" s="48"/>
      <c r="QYK39" s="48"/>
      <c r="QYL39" s="48"/>
      <c r="QYM39" s="48"/>
      <c r="QYN39" s="48"/>
      <c r="QYO39" s="48"/>
      <c r="QYP39" s="48"/>
      <c r="QYQ39" s="48"/>
      <c r="QYR39" s="48"/>
      <c r="QYS39" s="48"/>
      <c r="QYT39" s="48"/>
      <c r="QYU39" s="45"/>
      <c r="QYV39" s="46"/>
      <c r="QYW39" s="46"/>
      <c r="QYX39" s="47"/>
      <c r="QYY39" s="48"/>
      <c r="QYZ39" s="48"/>
      <c r="QZA39" s="48"/>
      <c r="QZB39" s="48"/>
      <c r="QZC39" s="48"/>
      <c r="QZD39" s="48"/>
      <c r="QZE39" s="48"/>
      <c r="QZF39" s="48"/>
      <c r="QZG39" s="48"/>
      <c r="QZH39" s="48"/>
      <c r="QZI39" s="48"/>
      <c r="QZJ39" s="48"/>
      <c r="QZK39" s="48"/>
      <c r="QZL39" s="48"/>
      <c r="QZM39" s="48"/>
      <c r="QZN39" s="48"/>
      <c r="QZO39" s="48"/>
      <c r="QZP39" s="48"/>
      <c r="QZQ39" s="45"/>
      <c r="QZR39" s="46"/>
      <c r="QZS39" s="46"/>
      <c r="QZT39" s="47"/>
      <c r="QZU39" s="48"/>
      <c r="QZV39" s="48"/>
      <c r="QZW39" s="48"/>
      <c r="QZX39" s="48"/>
      <c r="QZY39" s="48"/>
      <c r="QZZ39" s="48"/>
      <c r="RAA39" s="48"/>
      <c r="RAB39" s="48"/>
      <c r="RAC39" s="48"/>
      <c r="RAD39" s="48"/>
      <c r="RAE39" s="48"/>
      <c r="RAF39" s="48"/>
      <c r="RAG39" s="48"/>
      <c r="RAH39" s="48"/>
      <c r="RAI39" s="48"/>
      <c r="RAJ39" s="48"/>
      <c r="RAK39" s="48"/>
      <c r="RAL39" s="48"/>
      <c r="RAM39" s="45"/>
      <c r="RAN39" s="46"/>
      <c r="RAO39" s="46"/>
      <c r="RAP39" s="47"/>
      <c r="RAQ39" s="48"/>
      <c r="RAR39" s="48"/>
      <c r="RAS39" s="48"/>
      <c r="RAT39" s="48"/>
      <c r="RAU39" s="48"/>
      <c r="RAV39" s="48"/>
      <c r="RAW39" s="48"/>
      <c r="RAX39" s="48"/>
      <c r="RAY39" s="48"/>
      <c r="RAZ39" s="48"/>
      <c r="RBA39" s="48"/>
      <c r="RBB39" s="48"/>
      <c r="RBC39" s="48"/>
      <c r="RBD39" s="48"/>
      <c r="RBE39" s="48"/>
      <c r="RBF39" s="48"/>
      <c r="RBG39" s="48"/>
      <c r="RBH39" s="48"/>
      <c r="RBI39" s="45"/>
      <c r="RBJ39" s="46"/>
      <c r="RBK39" s="46"/>
      <c r="RBL39" s="47"/>
      <c r="RBM39" s="48"/>
      <c r="RBN39" s="48"/>
      <c r="RBO39" s="48"/>
      <c r="RBP39" s="48"/>
      <c r="RBQ39" s="48"/>
      <c r="RBR39" s="48"/>
      <c r="RBS39" s="48"/>
      <c r="RBT39" s="48"/>
      <c r="RBU39" s="48"/>
      <c r="RBV39" s="48"/>
      <c r="RBW39" s="48"/>
      <c r="RBX39" s="48"/>
      <c r="RBY39" s="48"/>
      <c r="RBZ39" s="48"/>
      <c r="RCA39" s="48"/>
      <c r="RCB39" s="48"/>
      <c r="RCC39" s="48"/>
      <c r="RCD39" s="48"/>
      <c r="RCE39" s="45"/>
      <c r="RCF39" s="46"/>
      <c r="RCG39" s="46"/>
      <c r="RCH39" s="47"/>
      <c r="RCI39" s="48"/>
      <c r="RCJ39" s="48"/>
      <c r="RCK39" s="48"/>
      <c r="RCL39" s="48"/>
      <c r="RCM39" s="48"/>
      <c r="RCN39" s="48"/>
      <c r="RCO39" s="48"/>
      <c r="RCP39" s="48"/>
      <c r="RCQ39" s="48"/>
      <c r="RCR39" s="48"/>
      <c r="RCS39" s="48"/>
      <c r="RCT39" s="48"/>
      <c r="RCU39" s="48"/>
      <c r="RCV39" s="48"/>
      <c r="RCW39" s="48"/>
      <c r="RCX39" s="48"/>
      <c r="RCY39" s="48"/>
      <c r="RCZ39" s="48"/>
      <c r="RDA39" s="45"/>
      <c r="RDB39" s="46"/>
      <c r="RDC39" s="46"/>
      <c r="RDD39" s="47"/>
      <c r="RDE39" s="48"/>
      <c r="RDF39" s="48"/>
      <c r="RDG39" s="48"/>
      <c r="RDH39" s="48"/>
      <c r="RDI39" s="48"/>
      <c r="RDJ39" s="48"/>
      <c r="RDK39" s="48"/>
      <c r="RDL39" s="48"/>
      <c r="RDM39" s="48"/>
      <c r="RDN39" s="48"/>
      <c r="RDO39" s="48"/>
      <c r="RDP39" s="48"/>
      <c r="RDQ39" s="48"/>
      <c r="RDR39" s="48"/>
      <c r="RDS39" s="48"/>
      <c r="RDT39" s="48"/>
      <c r="RDU39" s="48"/>
      <c r="RDV39" s="48"/>
      <c r="RDW39" s="45"/>
      <c r="RDX39" s="46"/>
      <c r="RDY39" s="46"/>
      <c r="RDZ39" s="47"/>
      <c r="REA39" s="48"/>
      <c r="REB39" s="48"/>
      <c r="REC39" s="48"/>
      <c r="RED39" s="48"/>
      <c r="REE39" s="48"/>
      <c r="REF39" s="48"/>
      <c r="REG39" s="48"/>
      <c r="REH39" s="48"/>
      <c r="REI39" s="48"/>
      <c r="REJ39" s="48"/>
      <c r="REK39" s="48"/>
      <c r="REL39" s="48"/>
      <c r="REM39" s="48"/>
      <c r="REN39" s="48"/>
      <c r="REO39" s="48"/>
      <c r="REP39" s="48"/>
      <c r="REQ39" s="48"/>
      <c r="RER39" s="48"/>
      <c r="RES39" s="45"/>
      <c r="RET39" s="46"/>
      <c r="REU39" s="46"/>
      <c r="REV39" s="47"/>
      <c r="REW39" s="48"/>
      <c r="REX39" s="48"/>
      <c r="REY39" s="48"/>
      <c r="REZ39" s="48"/>
      <c r="RFA39" s="48"/>
      <c r="RFB39" s="48"/>
      <c r="RFC39" s="48"/>
      <c r="RFD39" s="48"/>
      <c r="RFE39" s="48"/>
      <c r="RFF39" s="48"/>
      <c r="RFG39" s="48"/>
      <c r="RFH39" s="48"/>
      <c r="RFI39" s="48"/>
      <c r="RFJ39" s="48"/>
      <c r="RFK39" s="48"/>
      <c r="RFL39" s="48"/>
      <c r="RFM39" s="48"/>
      <c r="RFN39" s="48"/>
      <c r="RFO39" s="45"/>
      <c r="RFP39" s="46"/>
      <c r="RFQ39" s="46"/>
      <c r="RFR39" s="47"/>
      <c r="RFS39" s="48"/>
      <c r="RFT39" s="48"/>
      <c r="RFU39" s="48"/>
      <c r="RFV39" s="48"/>
      <c r="RFW39" s="48"/>
      <c r="RFX39" s="48"/>
      <c r="RFY39" s="48"/>
      <c r="RFZ39" s="48"/>
      <c r="RGA39" s="48"/>
      <c r="RGB39" s="48"/>
      <c r="RGC39" s="48"/>
      <c r="RGD39" s="48"/>
      <c r="RGE39" s="48"/>
      <c r="RGF39" s="48"/>
      <c r="RGG39" s="48"/>
      <c r="RGH39" s="48"/>
      <c r="RGI39" s="48"/>
      <c r="RGJ39" s="48"/>
      <c r="RGK39" s="45"/>
      <c r="RGL39" s="46"/>
      <c r="RGM39" s="46"/>
      <c r="RGN39" s="47"/>
      <c r="RGO39" s="48"/>
      <c r="RGP39" s="48"/>
      <c r="RGQ39" s="48"/>
      <c r="RGR39" s="48"/>
      <c r="RGS39" s="48"/>
      <c r="RGT39" s="48"/>
      <c r="RGU39" s="48"/>
      <c r="RGV39" s="48"/>
      <c r="RGW39" s="48"/>
      <c r="RGX39" s="48"/>
      <c r="RGY39" s="48"/>
      <c r="RGZ39" s="48"/>
      <c r="RHA39" s="48"/>
      <c r="RHB39" s="48"/>
      <c r="RHC39" s="48"/>
      <c r="RHD39" s="48"/>
      <c r="RHE39" s="48"/>
      <c r="RHF39" s="48"/>
      <c r="RHG39" s="45"/>
      <c r="RHH39" s="46"/>
      <c r="RHI39" s="46"/>
      <c r="RHJ39" s="47"/>
      <c r="RHK39" s="48"/>
      <c r="RHL39" s="48"/>
      <c r="RHM39" s="48"/>
      <c r="RHN39" s="48"/>
      <c r="RHO39" s="48"/>
      <c r="RHP39" s="48"/>
      <c r="RHQ39" s="48"/>
      <c r="RHR39" s="48"/>
      <c r="RHS39" s="48"/>
      <c r="RHT39" s="48"/>
      <c r="RHU39" s="48"/>
      <c r="RHV39" s="48"/>
      <c r="RHW39" s="48"/>
      <c r="RHX39" s="48"/>
      <c r="RHY39" s="48"/>
      <c r="RHZ39" s="48"/>
      <c r="RIA39" s="48"/>
      <c r="RIB39" s="48"/>
      <c r="RIC39" s="45"/>
      <c r="RID39" s="46"/>
      <c r="RIE39" s="46"/>
      <c r="RIF39" s="47"/>
      <c r="RIG39" s="48"/>
      <c r="RIH39" s="48"/>
      <c r="RII39" s="48"/>
      <c r="RIJ39" s="48"/>
      <c r="RIK39" s="48"/>
      <c r="RIL39" s="48"/>
      <c r="RIM39" s="48"/>
      <c r="RIN39" s="48"/>
      <c r="RIO39" s="48"/>
      <c r="RIP39" s="48"/>
      <c r="RIQ39" s="48"/>
      <c r="RIR39" s="48"/>
      <c r="RIS39" s="48"/>
      <c r="RIT39" s="48"/>
      <c r="RIU39" s="48"/>
      <c r="RIV39" s="48"/>
      <c r="RIW39" s="48"/>
      <c r="RIX39" s="48"/>
      <c r="RIY39" s="45"/>
      <c r="RIZ39" s="46"/>
      <c r="RJA39" s="46"/>
      <c r="RJB39" s="47"/>
      <c r="RJC39" s="48"/>
      <c r="RJD39" s="48"/>
      <c r="RJE39" s="48"/>
      <c r="RJF39" s="48"/>
      <c r="RJG39" s="48"/>
      <c r="RJH39" s="48"/>
      <c r="RJI39" s="48"/>
      <c r="RJJ39" s="48"/>
      <c r="RJK39" s="48"/>
      <c r="RJL39" s="48"/>
      <c r="RJM39" s="48"/>
      <c r="RJN39" s="48"/>
      <c r="RJO39" s="48"/>
      <c r="RJP39" s="48"/>
      <c r="RJQ39" s="48"/>
      <c r="RJR39" s="48"/>
      <c r="RJS39" s="48"/>
      <c r="RJT39" s="48"/>
      <c r="RJU39" s="45"/>
      <c r="RJV39" s="46"/>
      <c r="RJW39" s="46"/>
      <c r="RJX39" s="47"/>
      <c r="RJY39" s="48"/>
      <c r="RJZ39" s="48"/>
      <c r="RKA39" s="48"/>
      <c r="RKB39" s="48"/>
      <c r="RKC39" s="48"/>
      <c r="RKD39" s="48"/>
      <c r="RKE39" s="48"/>
      <c r="RKF39" s="48"/>
      <c r="RKG39" s="48"/>
      <c r="RKH39" s="48"/>
      <c r="RKI39" s="48"/>
      <c r="RKJ39" s="48"/>
      <c r="RKK39" s="48"/>
      <c r="RKL39" s="48"/>
      <c r="RKM39" s="48"/>
      <c r="RKN39" s="48"/>
      <c r="RKO39" s="48"/>
      <c r="RKP39" s="48"/>
      <c r="RKQ39" s="45"/>
      <c r="RKR39" s="46"/>
      <c r="RKS39" s="46"/>
      <c r="RKT39" s="47"/>
      <c r="RKU39" s="48"/>
      <c r="RKV39" s="48"/>
      <c r="RKW39" s="48"/>
      <c r="RKX39" s="48"/>
      <c r="RKY39" s="48"/>
      <c r="RKZ39" s="48"/>
      <c r="RLA39" s="48"/>
      <c r="RLB39" s="48"/>
      <c r="RLC39" s="48"/>
      <c r="RLD39" s="48"/>
      <c r="RLE39" s="48"/>
      <c r="RLF39" s="48"/>
      <c r="RLG39" s="48"/>
      <c r="RLH39" s="48"/>
      <c r="RLI39" s="48"/>
      <c r="RLJ39" s="48"/>
      <c r="RLK39" s="48"/>
      <c r="RLL39" s="48"/>
      <c r="RLM39" s="45"/>
      <c r="RLN39" s="46"/>
      <c r="RLO39" s="46"/>
      <c r="RLP39" s="47"/>
      <c r="RLQ39" s="48"/>
      <c r="RLR39" s="48"/>
      <c r="RLS39" s="48"/>
      <c r="RLT39" s="48"/>
      <c r="RLU39" s="48"/>
      <c r="RLV39" s="48"/>
      <c r="RLW39" s="48"/>
      <c r="RLX39" s="48"/>
      <c r="RLY39" s="48"/>
      <c r="RLZ39" s="48"/>
      <c r="RMA39" s="48"/>
      <c r="RMB39" s="48"/>
      <c r="RMC39" s="48"/>
      <c r="RMD39" s="48"/>
      <c r="RME39" s="48"/>
      <c r="RMF39" s="48"/>
      <c r="RMG39" s="48"/>
      <c r="RMH39" s="48"/>
      <c r="RMI39" s="45"/>
      <c r="RMJ39" s="46"/>
      <c r="RMK39" s="46"/>
      <c r="RML39" s="47"/>
      <c r="RMM39" s="48"/>
      <c r="RMN39" s="48"/>
      <c r="RMO39" s="48"/>
      <c r="RMP39" s="48"/>
      <c r="RMQ39" s="48"/>
      <c r="RMR39" s="48"/>
      <c r="RMS39" s="48"/>
      <c r="RMT39" s="48"/>
      <c r="RMU39" s="48"/>
      <c r="RMV39" s="48"/>
      <c r="RMW39" s="48"/>
      <c r="RMX39" s="48"/>
      <c r="RMY39" s="48"/>
      <c r="RMZ39" s="48"/>
      <c r="RNA39" s="48"/>
      <c r="RNB39" s="48"/>
      <c r="RNC39" s="48"/>
      <c r="RND39" s="48"/>
      <c r="RNE39" s="45"/>
      <c r="RNF39" s="46"/>
      <c r="RNG39" s="46"/>
      <c r="RNH39" s="47"/>
      <c r="RNI39" s="48"/>
      <c r="RNJ39" s="48"/>
      <c r="RNK39" s="48"/>
      <c r="RNL39" s="48"/>
      <c r="RNM39" s="48"/>
      <c r="RNN39" s="48"/>
      <c r="RNO39" s="48"/>
      <c r="RNP39" s="48"/>
      <c r="RNQ39" s="48"/>
      <c r="RNR39" s="48"/>
      <c r="RNS39" s="48"/>
      <c r="RNT39" s="48"/>
      <c r="RNU39" s="48"/>
      <c r="RNV39" s="48"/>
      <c r="RNW39" s="48"/>
      <c r="RNX39" s="48"/>
      <c r="RNY39" s="48"/>
      <c r="RNZ39" s="48"/>
      <c r="ROA39" s="45"/>
      <c r="ROB39" s="46"/>
      <c r="ROC39" s="46"/>
      <c r="ROD39" s="47"/>
      <c r="ROE39" s="48"/>
      <c r="ROF39" s="48"/>
      <c r="ROG39" s="48"/>
      <c r="ROH39" s="48"/>
      <c r="ROI39" s="48"/>
      <c r="ROJ39" s="48"/>
      <c r="ROK39" s="48"/>
      <c r="ROL39" s="48"/>
      <c r="ROM39" s="48"/>
      <c r="RON39" s="48"/>
      <c r="ROO39" s="48"/>
      <c r="ROP39" s="48"/>
      <c r="ROQ39" s="48"/>
      <c r="ROR39" s="48"/>
      <c r="ROS39" s="48"/>
      <c r="ROT39" s="48"/>
      <c r="ROU39" s="48"/>
      <c r="ROV39" s="48"/>
      <c r="ROW39" s="45"/>
      <c r="ROX39" s="46"/>
      <c r="ROY39" s="46"/>
      <c r="ROZ39" s="47"/>
      <c r="RPA39" s="48"/>
      <c r="RPB39" s="48"/>
      <c r="RPC39" s="48"/>
      <c r="RPD39" s="48"/>
      <c r="RPE39" s="48"/>
      <c r="RPF39" s="48"/>
      <c r="RPG39" s="48"/>
      <c r="RPH39" s="48"/>
      <c r="RPI39" s="48"/>
      <c r="RPJ39" s="48"/>
      <c r="RPK39" s="48"/>
      <c r="RPL39" s="48"/>
      <c r="RPM39" s="48"/>
      <c r="RPN39" s="48"/>
      <c r="RPO39" s="48"/>
      <c r="RPP39" s="48"/>
      <c r="RPQ39" s="48"/>
      <c r="RPR39" s="48"/>
      <c r="RPS39" s="45"/>
      <c r="RPT39" s="46"/>
      <c r="RPU39" s="46"/>
      <c r="RPV39" s="47"/>
      <c r="RPW39" s="48"/>
      <c r="RPX39" s="48"/>
      <c r="RPY39" s="48"/>
      <c r="RPZ39" s="48"/>
      <c r="RQA39" s="48"/>
      <c r="RQB39" s="48"/>
      <c r="RQC39" s="48"/>
      <c r="RQD39" s="48"/>
      <c r="RQE39" s="48"/>
      <c r="RQF39" s="48"/>
      <c r="RQG39" s="48"/>
      <c r="RQH39" s="48"/>
      <c r="RQI39" s="48"/>
      <c r="RQJ39" s="48"/>
      <c r="RQK39" s="48"/>
      <c r="RQL39" s="48"/>
      <c r="RQM39" s="48"/>
      <c r="RQN39" s="48"/>
      <c r="RQO39" s="45"/>
      <c r="RQP39" s="46"/>
      <c r="RQQ39" s="46"/>
      <c r="RQR39" s="47"/>
      <c r="RQS39" s="48"/>
      <c r="RQT39" s="48"/>
      <c r="RQU39" s="48"/>
      <c r="RQV39" s="48"/>
      <c r="RQW39" s="48"/>
      <c r="RQX39" s="48"/>
      <c r="RQY39" s="48"/>
      <c r="RQZ39" s="48"/>
      <c r="RRA39" s="48"/>
      <c r="RRB39" s="48"/>
      <c r="RRC39" s="48"/>
      <c r="RRD39" s="48"/>
      <c r="RRE39" s="48"/>
      <c r="RRF39" s="48"/>
      <c r="RRG39" s="48"/>
      <c r="RRH39" s="48"/>
      <c r="RRI39" s="48"/>
      <c r="RRJ39" s="48"/>
      <c r="RRK39" s="45"/>
      <c r="RRL39" s="46"/>
      <c r="RRM39" s="46"/>
      <c r="RRN39" s="47"/>
      <c r="RRO39" s="48"/>
      <c r="RRP39" s="48"/>
      <c r="RRQ39" s="48"/>
      <c r="RRR39" s="48"/>
      <c r="RRS39" s="48"/>
      <c r="RRT39" s="48"/>
      <c r="RRU39" s="48"/>
      <c r="RRV39" s="48"/>
      <c r="RRW39" s="48"/>
      <c r="RRX39" s="48"/>
      <c r="RRY39" s="48"/>
      <c r="RRZ39" s="48"/>
      <c r="RSA39" s="48"/>
      <c r="RSB39" s="48"/>
      <c r="RSC39" s="48"/>
      <c r="RSD39" s="48"/>
      <c r="RSE39" s="48"/>
      <c r="RSF39" s="48"/>
      <c r="RSG39" s="45"/>
      <c r="RSH39" s="46"/>
      <c r="RSI39" s="46"/>
      <c r="RSJ39" s="47"/>
      <c r="RSK39" s="48"/>
      <c r="RSL39" s="48"/>
      <c r="RSM39" s="48"/>
      <c r="RSN39" s="48"/>
      <c r="RSO39" s="48"/>
      <c r="RSP39" s="48"/>
      <c r="RSQ39" s="48"/>
      <c r="RSR39" s="48"/>
      <c r="RSS39" s="48"/>
      <c r="RST39" s="48"/>
      <c r="RSU39" s="48"/>
      <c r="RSV39" s="48"/>
      <c r="RSW39" s="48"/>
      <c r="RSX39" s="48"/>
      <c r="RSY39" s="48"/>
      <c r="RSZ39" s="48"/>
      <c r="RTA39" s="48"/>
      <c r="RTB39" s="48"/>
      <c r="RTC39" s="45"/>
      <c r="RTD39" s="46"/>
      <c r="RTE39" s="46"/>
      <c r="RTF39" s="47"/>
      <c r="RTG39" s="48"/>
      <c r="RTH39" s="48"/>
      <c r="RTI39" s="48"/>
      <c r="RTJ39" s="48"/>
      <c r="RTK39" s="48"/>
      <c r="RTL39" s="48"/>
      <c r="RTM39" s="48"/>
      <c r="RTN39" s="48"/>
      <c r="RTO39" s="48"/>
      <c r="RTP39" s="48"/>
      <c r="RTQ39" s="48"/>
      <c r="RTR39" s="48"/>
      <c r="RTS39" s="48"/>
      <c r="RTT39" s="48"/>
      <c r="RTU39" s="48"/>
      <c r="RTV39" s="48"/>
      <c r="RTW39" s="48"/>
      <c r="RTX39" s="48"/>
      <c r="RTY39" s="45"/>
      <c r="RTZ39" s="46"/>
      <c r="RUA39" s="46"/>
      <c r="RUB39" s="47"/>
      <c r="RUC39" s="48"/>
      <c r="RUD39" s="48"/>
      <c r="RUE39" s="48"/>
      <c r="RUF39" s="48"/>
      <c r="RUG39" s="48"/>
      <c r="RUH39" s="48"/>
      <c r="RUI39" s="48"/>
      <c r="RUJ39" s="48"/>
      <c r="RUK39" s="48"/>
      <c r="RUL39" s="48"/>
      <c r="RUM39" s="48"/>
      <c r="RUN39" s="48"/>
      <c r="RUO39" s="48"/>
      <c r="RUP39" s="48"/>
      <c r="RUQ39" s="48"/>
      <c r="RUR39" s="48"/>
      <c r="RUS39" s="48"/>
      <c r="RUT39" s="48"/>
      <c r="RUU39" s="45"/>
      <c r="RUV39" s="46"/>
      <c r="RUW39" s="46"/>
      <c r="RUX39" s="47"/>
      <c r="RUY39" s="48"/>
      <c r="RUZ39" s="48"/>
      <c r="RVA39" s="48"/>
      <c r="RVB39" s="48"/>
      <c r="RVC39" s="48"/>
      <c r="RVD39" s="48"/>
      <c r="RVE39" s="48"/>
      <c r="RVF39" s="48"/>
      <c r="RVG39" s="48"/>
      <c r="RVH39" s="48"/>
      <c r="RVI39" s="48"/>
      <c r="RVJ39" s="48"/>
      <c r="RVK39" s="48"/>
      <c r="RVL39" s="48"/>
      <c r="RVM39" s="48"/>
      <c r="RVN39" s="48"/>
      <c r="RVO39" s="48"/>
      <c r="RVP39" s="48"/>
      <c r="RVQ39" s="45"/>
      <c r="RVR39" s="46"/>
      <c r="RVS39" s="46"/>
      <c r="RVT39" s="47"/>
      <c r="RVU39" s="48"/>
      <c r="RVV39" s="48"/>
      <c r="RVW39" s="48"/>
      <c r="RVX39" s="48"/>
      <c r="RVY39" s="48"/>
      <c r="RVZ39" s="48"/>
      <c r="RWA39" s="48"/>
      <c r="RWB39" s="48"/>
      <c r="RWC39" s="48"/>
      <c r="RWD39" s="48"/>
      <c r="RWE39" s="48"/>
      <c r="RWF39" s="48"/>
      <c r="RWG39" s="48"/>
      <c r="RWH39" s="48"/>
      <c r="RWI39" s="48"/>
      <c r="RWJ39" s="48"/>
      <c r="RWK39" s="48"/>
      <c r="RWL39" s="48"/>
      <c r="RWM39" s="45"/>
      <c r="RWN39" s="46"/>
      <c r="RWO39" s="46"/>
      <c r="RWP39" s="47"/>
      <c r="RWQ39" s="48"/>
      <c r="RWR39" s="48"/>
      <c r="RWS39" s="48"/>
      <c r="RWT39" s="48"/>
      <c r="RWU39" s="48"/>
      <c r="RWV39" s="48"/>
      <c r="RWW39" s="48"/>
      <c r="RWX39" s="48"/>
      <c r="RWY39" s="48"/>
      <c r="RWZ39" s="48"/>
      <c r="RXA39" s="48"/>
      <c r="RXB39" s="48"/>
      <c r="RXC39" s="48"/>
      <c r="RXD39" s="48"/>
      <c r="RXE39" s="48"/>
      <c r="RXF39" s="48"/>
      <c r="RXG39" s="48"/>
      <c r="RXH39" s="48"/>
      <c r="RXI39" s="45"/>
      <c r="RXJ39" s="46"/>
      <c r="RXK39" s="46"/>
      <c r="RXL39" s="47"/>
      <c r="RXM39" s="48"/>
      <c r="RXN39" s="48"/>
      <c r="RXO39" s="48"/>
      <c r="RXP39" s="48"/>
      <c r="RXQ39" s="48"/>
      <c r="RXR39" s="48"/>
      <c r="RXS39" s="48"/>
      <c r="RXT39" s="48"/>
      <c r="RXU39" s="48"/>
      <c r="RXV39" s="48"/>
      <c r="RXW39" s="48"/>
      <c r="RXX39" s="48"/>
      <c r="RXY39" s="48"/>
      <c r="RXZ39" s="48"/>
      <c r="RYA39" s="48"/>
      <c r="RYB39" s="48"/>
      <c r="RYC39" s="48"/>
      <c r="RYD39" s="48"/>
      <c r="RYE39" s="45"/>
      <c r="RYF39" s="46"/>
      <c r="RYG39" s="46"/>
      <c r="RYH39" s="47"/>
      <c r="RYI39" s="48"/>
      <c r="RYJ39" s="48"/>
      <c r="RYK39" s="48"/>
      <c r="RYL39" s="48"/>
      <c r="RYM39" s="48"/>
      <c r="RYN39" s="48"/>
      <c r="RYO39" s="48"/>
      <c r="RYP39" s="48"/>
      <c r="RYQ39" s="48"/>
      <c r="RYR39" s="48"/>
      <c r="RYS39" s="48"/>
      <c r="RYT39" s="48"/>
      <c r="RYU39" s="48"/>
      <c r="RYV39" s="48"/>
      <c r="RYW39" s="48"/>
      <c r="RYX39" s="48"/>
      <c r="RYY39" s="48"/>
      <c r="RYZ39" s="48"/>
      <c r="RZA39" s="45"/>
      <c r="RZB39" s="46"/>
      <c r="RZC39" s="46"/>
      <c r="RZD39" s="47"/>
      <c r="RZE39" s="48"/>
      <c r="RZF39" s="48"/>
      <c r="RZG39" s="48"/>
      <c r="RZH39" s="48"/>
      <c r="RZI39" s="48"/>
      <c r="RZJ39" s="48"/>
      <c r="RZK39" s="48"/>
      <c r="RZL39" s="48"/>
      <c r="RZM39" s="48"/>
      <c r="RZN39" s="48"/>
      <c r="RZO39" s="48"/>
      <c r="RZP39" s="48"/>
      <c r="RZQ39" s="48"/>
      <c r="RZR39" s="48"/>
      <c r="RZS39" s="48"/>
      <c r="RZT39" s="48"/>
      <c r="RZU39" s="48"/>
      <c r="RZV39" s="48"/>
      <c r="RZW39" s="45"/>
      <c r="RZX39" s="46"/>
      <c r="RZY39" s="46"/>
      <c r="RZZ39" s="47"/>
      <c r="SAA39" s="48"/>
      <c r="SAB39" s="48"/>
      <c r="SAC39" s="48"/>
      <c r="SAD39" s="48"/>
      <c r="SAE39" s="48"/>
      <c r="SAF39" s="48"/>
      <c r="SAG39" s="48"/>
      <c r="SAH39" s="48"/>
      <c r="SAI39" s="48"/>
      <c r="SAJ39" s="48"/>
      <c r="SAK39" s="48"/>
      <c r="SAL39" s="48"/>
      <c r="SAM39" s="48"/>
      <c r="SAN39" s="48"/>
      <c r="SAO39" s="48"/>
      <c r="SAP39" s="48"/>
      <c r="SAQ39" s="48"/>
      <c r="SAR39" s="48"/>
      <c r="SAS39" s="45"/>
      <c r="SAT39" s="46"/>
      <c r="SAU39" s="46"/>
      <c r="SAV39" s="47"/>
      <c r="SAW39" s="48"/>
      <c r="SAX39" s="48"/>
      <c r="SAY39" s="48"/>
      <c r="SAZ39" s="48"/>
      <c r="SBA39" s="48"/>
      <c r="SBB39" s="48"/>
      <c r="SBC39" s="48"/>
      <c r="SBD39" s="48"/>
      <c r="SBE39" s="48"/>
      <c r="SBF39" s="48"/>
      <c r="SBG39" s="48"/>
      <c r="SBH39" s="48"/>
      <c r="SBI39" s="48"/>
      <c r="SBJ39" s="48"/>
      <c r="SBK39" s="48"/>
      <c r="SBL39" s="48"/>
      <c r="SBM39" s="48"/>
      <c r="SBN39" s="48"/>
      <c r="SBO39" s="45"/>
      <c r="SBP39" s="46"/>
      <c r="SBQ39" s="46"/>
      <c r="SBR39" s="47"/>
      <c r="SBS39" s="48"/>
      <c r="SBT39" s="48"/>
      <c r="SBU39" s="48"/>
      <c r="SBV39" s="48"/>
      <c r="SBW39" s="48"/>
      <c r="SBX39" s="48"/>
      <c r="SBY39" s="48"/>
      <c r="SBZ39" s="48"/>
      <c r="SCA39" s="48"/>
      <c r="SCB39" s="48"/>
      <c r="SCC39" s="48"/>
      <c r="SCD39" s="48"/>
      <c r="SCE39" s="48"/>
      <c r="SCF39" s="48"/>
      <c r="SCG39" s="48"/>
      <c r="SCH39" s="48"/>
      <c r="SCI39" s="48"/>
      <c r="SCJ39" s="48"/>
      <c r="SCK39" s="45"/>
      <c r="SCL39" s="46"/>
      <c r="SCM39" s="46"/>
      <c r="SCN39" s="47"/>
      <c r="SCO39" s="48"/>
      <c r="SCP39" s="48"/>
      <c r="SCQ39" s="48"/>
      <c r="SCR39" s="48"/>
      <c r="SCS39" s="48"/>
      <c r="SCT39" s="48"/>
      <c r="SCU39" s="48"/>
      <c r="SCV39" s="48"/>
      <c r="SCW39" s="48"/>
      <c r="SCX39" s="48"/>
      <c r="SCY39" s="48"/>
      <c r="SCZ39" s="48"/>
      <c r="SDA39" s="48"/>
      <c r="SDB39" s="48"/>
      <c r="SDC39" s="48"/>
      <c r="SDD39" s="48"/>
      <c r="SDE39" s="48"/>
      <c r="SDF39" s="48"/>
      <c r="SDG39" s="45"/>
      <c r="SDH39" s="46"/>
      <c r="SDI39" s="46"/>
      <c r="SDJ39" s="47"/>
      <c r="SDK39" s="48"/>
      <c r="SDL39" s="48"/>
      <c r="SDM39" s="48"/>
      <c r="SDN39" s="48"/>
      <c r="SDO39" s="48"/>
      <c r="SDP39" s="48"/>
      <c r="SDQ39" s="48"/>
      <c r="SDR39" s="48"/>
      <c r="SDS39" s="48"/>
      <c r="SDT39" s="48"/>
      <c r="SDU39" s="48"/>
      <c r="SDV39" s="48"/>
      <c r="SDW39" s="48"/>
      <c r="SDX39" s="48"/>
      <c r="SDY39" s="48"/>
      <c r="SDZ39" s="48"/>
      <c r="SEA39" s="48"/>
      <c r="SEB39" s="48"/>
      <c r="SEC39" s="45"/>
      <c r="SED39" s="46"/>
      <c r="SEE39" s="46"/>
      <c r="SEF39" s="47"/>
      <c r="SEG39" s="48"/>
      <c r="SEH39" s="48"/>
      <c r="SEI39" s="48"/>
      <c r="SEJ39" s="48"/>
      <c r="SEK39" s="48"/>
      <c r="SEL39" s="48"/>
      <c r="SEM39" s="48"/>
      <c r="SEN39" s="48"/>
      <c r="SEO39" s="48"/>
      <c r="SEP39" s="48"/>
      <c r="SEQ39" s="48"/>
      <c r="SER39" s="48"/>
      <c r="SES39" s="48"/>
      <c r="SET39" s="48"/>
      <c r="SEU39" s="48"/>
      <c r="SEV39" s="48"/>
      <c r="SEW39" s="48"/>
      <c r="SEX39" s="48"/>
      <c r="SEY39" s="45"/>
      <c r="SEZ39" s="46"/>
      <c r="SFA39" s="46"/>
      <c r="SFB39" s="47"/>
      <c r="SFC39" s="48"/>
      <c r="SFD39" s="48"/>
      <c r="SFE39" s="48"/>
      <c r="SFF39" s="48"/>
      <c r="SFG39" s="48"/>
      <c r="SFH39" s="48"/>
      <c r="SFI39" s="48"/>
      <c r="SFJ39" s="48"/>
      <c r="SFK39" s="48"/>
      <c r="SFL39" s="48"/>
      <c r="SFM39" s="48"/>
      <c r="SFN39" s="48"/>
      <c r="SFO39" s="48"/>
      <c r="SFP39" s="48"/>
      <c r="SFQ39" s="48"/>
      <c r="SFR39" s="48"/>
      <c r="SFS39" s="48"/>
      <c r="SFT39" s="48"/>
      <c r="SFU39" s="45"/>
      <c r="SFV39" s="46"/>
      <c r="SFW39" s="46"/>
      <c r="SFX39" s="47"/>
      <c r="SFY39" s="48"/>
      <c r="SFZ39" s="48"/>
      <c r="SGA39" s="48"/>
      <c r="SGB39" s="48"/>
      <c r="SGC39" s="48"/>
      <c r="SGD39" s="48"/>
      <c r="SGE39" s="48"/>
      <c r="SGF39" s="48"/>
      <c r="SGG39" s="48"/>
      <c r="SGH39" s="48"/>
      <c r="SGI39" s="48"/>
      <c r="SGJ39" s="48"/>
      <c r="SGK39" s="48"/>
      <c r="SGL39" s="48"/>
      <c r="SGM39" s="48"/>
      <c r="SGN39" s="48"/>
      <c r="SGO39" s="48"/>
      <c r="SGP39" s="48"/>
      <c r="SGQ39" s="45"/>
      <c r="SGR39" s="46"/>
      <c r="SGS39" s="46"/>
      <c r="SGT39" s="47"/>
      <c r="SGU39" s="48"/>
      <c r="SGV39" s="48"/>
      <c r="SGW39" s="48"/>
      <c r="SGX39" s="48"/>
      <c r="SGY39" s="48"/>
      <c r="SGZ39" s="48"/>
      <c r="SHA39" s="48"/>
      <c r="SHB39" s="48"/>
      <c r="SHC39" s="48"/>
      <c r="SHD39" s="48"/>
      <c r="SHE39" s="48"/>
      <c r="SHF39" s="48"/>
      <c r="SHG39" s="48"/>
      <c r="SHH39" s="48"/>
      <c r="SHI39" s="48"/>
      <c r="SHJ39" s="48"/>
      <c r="SHK39" s="48"/>
      <c r="SHL39" s="48"/>
      <c r="SHM39" s="45"/>
      <c r="SHN39" s="46"/>
      <c r="SHO39" s="46"/>
      <c r="SHP39" s="47"/>
      <c r="SHQ39" s="48"/>
      <c r="SHR39" s="48"/>
      <c r="SHS39" s="48"/>
      <c r="SHT39" s="48"/>
      <c r="SHU39" s="48"/>
      <c r="SHV39" s="48"/>
      <c r="SHW39" s="48"/>
      <c r="SHX39" s="48"/>
      <c r="SHY39" s="48"/>
      <c r="SHZ39" s="48"/>
      <c r="SIA39" s="48"/>
      <c r="SIB39" s="48"/>
      <c r="SIC39" s="48"/>
      <c r="SID39" s="48"/>
      <c r="SIE39" s="48"/>
      <c r="SIF39" s="48"/>
      <c r="SIG39" s="48"/>
      <c r="SIH39" s="48"/>
      <c r="SII39" s="45"/>
      <c r="SIJ39" s="46"/>
      <c r="SIK39" s="46"/>
      <c r="SIL39" s="47"/>
      <c r="SIM39" s="48"/>
      <c r="SIN39" s="48"/>
      <c r="SIO39" s="48"/>
      <c r="SIP39" s="48"/>
      <c r="SIQ39" s="48"/>
      <c r="SIR39" s="48"/>
      <c r="SIS39" s="48"/>
      <c r="SIT39" s="48"/>
      <c r="SIU39" s="48"/>
      <c r="SIV39" s="48"/>
      <c r="SIW39" s="48"/>
      <c r="SIX39" s="48"/>
      <c r="SIY39" s="48"/>
      <c r="SIZ39" s="48"/>
      <c r="SJA39" s="48"/>
      <c r="SJB39" s="48"/>
      <c r="SJC39" s="48"/>
      <c r="SJD39" s="48"/>
      <c r="SJE39" s="45"/>
      <c r="SJF39" s="46"/>
      <c r="SJG39" s="46"/>
      <c r="SJH39" s="47"/>
      <c r="SJI39" s="48"/>
      <c r="SJJ39" s="48"/>
      <c r="SJK39" s="48"/>
      <c r="SJL39" s="48"/>
      <c r="SJM39" s="48"/>
      <c r="SJN39" s="48"/>
      <c r="SJO39" s="48"/>
      <c r="SJP39" s="48"/>
      <c r="SJQ39" s="48"/>
      <c r="SJR39" s="48"/>
      <c r="SJS39" s="48"/>
      <c r="SJT39" s="48"/>
      <c r="SJU39" s="48"/>
      <c r="SJV39" s="48"/>
      <c r="SJW39" s="48"/>
      <c r="SJX39" s="48"/>
      <c r="SJY39" s="48"/>
      <c r="SJZ39" s="48"/>
      <c r="SKA39" s="45"/>
      <c r="SKB39" s="46"/>
      <c r="SKC39" s="46"/>
      <c r="SKD39" s="47"/>
      <c r="SKE39" s="48"/>
      <c r="SKF39" s="48"/>
      <c r="SKG39" s="48"/>
      <c r="SKH39" s="48"/>
      <c r="SKI39" s="48"/>
      <c r="SKJ39" s="48"/>
      <c r="SKK39" s="48"/>
      <c r="SKL39" s="48"/>
      <c r="SKM39" s="48"/>
      <c r="SKN39" s="48"/>
      <c r="SKO39" s="48"/>
      <c r="SKP39" s="48"/>
      <c r="SKQ39" s="48"/>
      <c r="SKR39" s="48"/>
      <c r="SKS39" s="48"/>
      <c r="SKT39" s="48"/>
      <c r="SKU39" s="48"/>
      <c r="SKV39" s="48"/>
      <c r="SKW39" s="45"/>
      <c r="SKX39" s="46"/>
      <c r="SKY39" s="46"/>
      <c r="SKZ39" s="47"/>
      <c r="SLA39" s="48"/>
      <c r="SLB39" s="48"/>
      <c r="SLC39" s="48"/>
      <c r="SLD39" s="48"/>
      <c r="SLE39" s="48"/>
      <c r="SLF39" s="48"/>
      <c r="SLG39" s="48"/>
      <c r="SLH39" s="48"/>
      <c r="SLI39" s="48"/>
      <c r="SLJ39" s="48"/>
      <c r="SLK39" s="48"/>
      <c r="SLL39" s="48"/>
      <c r="SLM39" s="48"/>
      <c r="SLN39" s="48"/>
      <c r="SLO39" s="48"/>
      <c r="SLP39" s="48"/>
      <c r="SLQ39" s="48"/>
      <c r="SLR39" s="48"/>
      <c r="SLS39" s="45"/>
      <c r="SLT39" s="46"/>
      <c r="SLU39" s="46"/>
      <c r="SLV39" s="47"/>
      <c r="SLW39" s="48"/>
      <c r="SLX39" s="48"/>
      <c r="SLY39" s="48"/>
      <c r="SLZ39" s="48"/>
      <c r="SMA39" s="48"/>
      <c r="SMB39" s="48"/>
      <c r="SMC39" s="48"/>
      <c r="SMD39" s="48"/>
      <c r="SME39" s="48"/>
      <c r="SMF39" s="48"/>
      <c r="SMG39" s="48"/>
      <c r="SMH39" s="48"/>
      <c r="SMI39" s="48"/>
      <c r="SMJ39" s="48"/>
      <c r="SMK39" s="48"/>
      <c r="SML39" s="48"/>
      <c r="SMM39" s="48"/>
      <c r="SMN39" s="48"/>
      <c r="SMO39" s="45"/>
      <c r="SMP39" s="46"/>
      <c r="SMQ39" s="46"/>
      <c r="SMR39" s="47"/>
      <c r="SMS39" s="48"/>
      <c r="SMT39" s="48"/>
      <c r="SMU39" s="48"/>
      <c r="SMV39" s="48"/>
      <c r="SMW39" s="48"/>
      <c r="SMX39" s="48"/>
      <c r="SMY39" s="48"/>
      <c r="SMZ39" s="48"/>
      <c r="SNA39" s="48"/>
      <c r="SNB39" s="48"/>
      <c r="SNC39" s="48"/>
      <c r="SND39" s="48"/>
      <c r="SNE39" s="48"/>
      <c r="SNF39" s="48"/>
      <c r="SNG39" s="48"/>
      <c r="SNH39" s="48"/>
      <c r="SNI39" s="48"/>
      <c r="SNJ39" s="48"/>
      <c r="SNK39" s="45"/>
      <c r="SNL39" s="46"/>
      <c r="SNM39" s="46"/>
      <c r="SNN39" s="47"/>
      <c r="SNO39" s="48"/>
      <c r="SNP39" s="48"/>
      <c r="SNQ39" s="48"/>
      <c r="SNR39" s="48"/>
      <c r="SNS39" s="48"/>
      <c r="SNT39" s="48"/>
      <c r="SNU39" s="48"/>
      <c r="SNV39" s="48"/>
      <c r="SNW39" s="48"/>
      <c r="SNX39" s="48"/>
      <c r="SNY39" s="48"/>
      <c r="SNZ39" s="48"/>
      <c r="SOA39" s="48"/>
      <c r="SOB39" s="48"/>
      <c r="SOC39" s="48"/>
      <c r="SOD39" s="48"/>
      <c r="SOE39" s="48"/>
      <c r="SOF39" s="48"/>
      <c r="SOG39" s="45"/>
      <c r="SOH39" s="46"/>
      <c r="SOI39" s="46"/>
      <c r="SOJ39" s="47"/>
      <c r="SOK39" s="48"/>
      <c r="SOL39" s="48"/>
      <c r="SOM39" s="48"/>
      <c r="SON39" s="48"/>
      <c r="SOO39" s="48"/>
      <c r="SOP39" s="48"/>
      <c r="SOQ39" s="48"/>
      <c r="SOR39" s="48"/>
      <c r="SOS39" s="48"/>
      <c r="SOT39" s="48"/>
      <c r="SOU39" s="48"/>
      <c r="SOV39" s="48"/>
      <c r="SOW39" s="48"/>
      <c r="SOX39" s="48"/>
      <c r="SOY39" s="48"/>
      <c r="SOZ39" s="48"/>
      <c r="SPA39" s="48"/>
      <c r="SPB39" s="48"/>
      <c r="SPC39" s="45"/>
      <c r="SPD39" s="46"/>
      <c r="SPE39" s="46"/>
      <c r="SPF39" s="47"/>
      <c r="SPG39" s="48"/>
      <c r="SPH39" s="48"/>
      <c r="SPI39" s="48"/>
      <c r="SPJ39" s="48"/>
      <c r="SPK39" s="48"/>
      <c r="SPL39" s="48"/>
      <c r="SPM39" s="48"/>
      <c r="SPN39" s="48"/>
      <c r="SPO39" s="48"/>
      <c r="SPP39" s="48"/>
      <c r="SPQ39" s="48"/>
      <c r="SPR39" s="48"/>
      <c r="SPS39" s="48"/>
      <c r="SPT39" s="48"/>
      <c r="SPU39" s="48"/>
      <c r="SPV39" s="48"/>
      <c r="SPW39" s="48"/>
      <c r="SPX39" s="48"/>
      <c r="SPY39" s="45"/>
      <c r="SPZ39" s="46"/>
      <c r="SQA39" s="46"/>
      <c r="SQB39" s="47"/>
      <c r="SQC39" s="48"/>
      <c r="SQD39" s="48"/>
      <c r="SQE39" s="48"/>
      <c r="SQF39" s="48"/>
      <c r="SQG39" s="48"/>
      <c r="SQH39" s="48"/>
      <c r="SQI39" s="48"/>
      <c r="SQJ39" s="48"/>
      <c r="SQK39" s="48"/>
      <c r="SQL39" s="48"/>
      <c r="SQM39" s="48"/>
      <c r="SQN39" s="48"/>
      <c r="SQO39" s="48"/>
      <c r="SQP39" s="48"/>
      <c r="SQQ39" s="48"/>
      <c r="SQR39" s="48"/>
      <c r="SQS39" s="48"/>
      <c r="SQT39" s="48"/>
      <c r="SQU39" s="45"/>
      <c r="SQV39" s="46"/>
      <c r="SQW39" s="46"/>
      <c r="SQX39" s="47"/>
      <c r="SQY39" s="48"/>
      <c r="SQZ39" s="48"/>
      <c r="SRA39" s="48"/>
      <c r="SRB39" s="48"/>
      <c r="SRC39" s="48"/>
      <c r="SRD39" s="48"/>
      <c r="SRE39" s="48"/>
      <c r="SRF39" s="48"/>
      <c r="SRG39" s="48"/>
      <c r="SRH39" s="48"/>
      <c r="SRI39" s="48"/>
      <c r="SRJ39" s="48"/>
      <c r="SRK39" s="48"/>
      <c r="SRL39" s="48"/>
      <c r="SRM39" s="48"/>
      <c r="SRN39" s="48"/>
      <c r="SRO39" s="48"/>
      <c r="SRP39" s="48"/>
      <c r="SRQ39" s="45"/>
      <c r="SRR39" s="46"/>
      <c r="SRS39" s="46"/>
      <c r="SRT39" s="47"/>
      <c r="SRU39" s="48"/>
      <c r="SRV39" s="48"/>
      <c r="SRW39" s="48"/>
      <c r="SRX39" s="48"/>
      <c r="SRY39" s="48"/>
      <c r="SRZ39" s="48"/>
      <c r="SSA39" s="48"/>
      <c r="SSB39" s="48"/>
      <c r="SSC39" s="48"/>
      <c r="SSD39" s="48"/>
      <c r="SSE39" s="48"/>
      <c r="SSF39" s="48"/>
      <c r="SSG39" s="48"/>
      <c r="SSH39" s="48"/>
      <c r="SSI39" s="48"/>
      <c r="SSJ39" s="48"/>
      <c r="SSK39" s="48"/>
      <c r="SSL39" s="48"/>
      <c r="SSM39" s="45"/>
      <c r="SSN39" s="46"/>
      <c r="SSO39" s="46"/>
      <c r="SSP39" s="47"/>
      <c r="SSQ39" s="48"/>
      <c r="SSR39" s="48"/>
      <c r="SSS39" s="48"/>
      <c r="SST39" s="48"/>
      <c r="SSU39" s="48"/>
      <c r="SSV39" s="48"/>
      <c r="SSW39" s="48"/>
      <c r="SSX39" s="48"/>
      <c r="SSY39" s="48"/>
      <c r="SSZ39" s="48"/>
      <c r="STA39" s="48"/>
      <c r="STB39" s="48"/>
      <c r="STC39" s="48"/>
      <c r="STD39" s="48"/>
      <c r="STE39" s="48"/>
      <c r="STF39" s="48"/>
      <c r="STG39" s="48"/>
      <c r="STH39" s="48"/>
      <c r="STI39" s="45"/>
      <c r="STJ39" s="46"/>
      <c r="STK39" s="46"/>
      <c r="STL39" s="47"/>
      <c r="STM39" s="48"/>
      <c r="STN39" s="48"/>
      <c r="STO39" s="48"/>
      <c r="STP39" s="48"/>
      <c r="STQ39" s="48"/>
      <c r="STR39" s="48"/>
      <c r="STS39" s="48"/>
      <c r="STT39" s="48"/>
      <c r="STU39" s="48"/>
      <c r="STV39" s="48"/>
      <c r="STW39" s="48"/>
      <c r="STX39" s="48"/>
      <c r="STY39" s="48"/>
      <c r="STZ39" s="48"/>
      <c r="SUA39" s="48"/>
      <c r="SUB39" s="48"/>
      <c r="SUC39" s="48"/>
      <c r="SUD39" s="48"/>
      <c r="SUE39" s="45"/>
      <c r="SUF39" s="46"/>
      <c r="SUG39" s="46"/>
      <c r="SUH39" s="47"/>
      <c r="SUI39" s="48"/>
      <c r="SUJ39" s="48"/>
      <c r="SUK39" s="48"/>
      <c r="SUL39" s="48"/>
      <c r="SUM39" s="48"/>
      <c r="SUN39" s="48"/>
      <c r="SUO39" s="48"/>
      <c r="SUP39" s="48"/>
      <c r="SUQ39" s="48"/>
      <c r="SUR39" s="48"/>
      <c r="SUS39" s="48"/>
      <c r="SUT39" s="48"/>
      <c r="SUU39" s="48"/>
      <c r="SUV39" s="48"/>
      <c r="SUW39" s="48"/>
      <c r="SUX39" s="48"/>
      <c r="SUY39" s="48"/>
      <c r="SUZ39" s="48"/>
      <c r="SVA39" s="45"/>
      <c r="SVB39" s="46"/>
      <c r="SVC39" s="46"/>
      <c r="SVD39" s="47"/>
      <c r="SVE39" s="48"/>
      <c r="SVF39" s="48"/>
      <c r="SVG39" s="48"/>
      <c r="SVH39" s="48"/>
      <c r="SVI39" s="48"/>
      <c r="SVJ39" s="48"/>
      <c r="SVK39" s="48"/>
      <c r="SVL39" s="48"/>
      <c r="SVM39" s="48"/>
      <c r="SVN39" s="48"/>
      <c r="SVO39" s="48"/>
      <c r="SVP39" s="48"/>
      <c r="SVQ39" s="48"/>
      <c r="SVR39" s="48"/>
      <c r="SVS39" s="48"/>
      <c r="SVT39" s="48"/>
      <c r="SVU39" s="48"/>
      <c r="SVV39" s="48"/>
      <c r="SVW39" s="45"/>
      <c r="SVX39" s="46"/>
      <c r="SVY39" s="46"/>
      <c r="SVZ39" s="47"/>
      <c r="SWA39" s="48"/>
      <c r="SWB39" s="48"/>
      <c r="SWC39" s="48"/>
      <c r="SWD39" s="48"/>
      <c r="SWE39" s="48"/>
      <c r="SWF39" s="48"/>
      <c r="SWG39" s="48"/>
      <c r="SWH39" s="48"/>
      <c r="SWI39" s="48"/>
      <c r="SWJ39" s="48"/>
      <c r="SWK39" s="48"/>
      <c r="SWL39" s="48"/>
      <c r="SWM39" s="48"/>
      <c r="SWN39" s="48"/>
      <c r="SWO39" s="48"/>
      <c r="SWP39" s="48"/>
      <c r="SWQ39" s="48"/>
      <c r="SWR39" s="48"/>
      <c r="SWS39" s="45"/>
      <c r="SWT39" s="46"/>
      <c r="SWU39" s="46"/>
      <c r="SWV39" s="47"/>
      <c r="SWW39" s="48"/>
      <c r="SWX39" s="48"/>
      <c r="SWY39" s="48"/>
      <c r="SWZ39" s="48"/>
      <c r="SXA39" s="48"/>
      <c r="SXB39" s="48"/>
      <c r="SXC39" s="48"/>
      <c r="SXD39" s="48"/>
      <c r="SXE39" s="48"/>
      <c r="SXF39" s="48"/>
      <c r="SXG39" s="48"/>
      <c r="SXH39" s="48"/>
      <c r="SXI39" s="48"/>
      <c r="SXJ39" s="48"/>
      <c r="SXK39" s="48"/>
      <c r="SXL39" s="48"/>
      <c r="SXM39" s="48"/>
      <c r="SXN39" s="48"/>
      <c r="SXO39" s="45"/>
      <c r="SXP39" s="46"/>
      <c r="SXQ39" s="46"/>
      <c r="SXR39" s="47"/>
      <c r="SXS39" s="48"/>
      <c r="SXT39" s="48"/>
      <c r="SXU39" s="48"/>
      <c r="SXV39" s="48"/>
      <c r="SXW39" s="48"/>
      <c r="SXX39" s="48"/>
      <c r="SXY39" s="48"/>
      <c r="SXZ39" s="48"/>
      <c r="SYA39" s="48"/>
      <c r="SYB39" s="48"/>
      <c r="SYC39" s="48"/>
      <c r="SYD39" s="48"/>
      <c r="SYE39" s="48"/>
      <c r="SYF39" s="48"/>
      <c r="SYG39" s="48"/>
      <c r="SYH39" s="48"/>
      <c r="SYI39" s="48"/>
      <c r="SYJ39" s="48"/>
      <c r="SYK39" s="45"/>
      <c r="SYL39" s="46"/>
      <c r="SYM39" s="46"/>
      <c r="SYN39" s="47"/>
      <c r="SYO39" s="48"/>
      <c r="SYP39" s="48"/>
      <c r="SYQ39" s="48"/>
      <c r="SYR39" s="48"/>
      <c r="SYS39" s="48"/>
      <c r="SYT39" s="48"/>
      <c r="SYU39" s="48"/>
      <c r="SYV39" s="48"/>
      <c r="SYW39" s="48"/>
      <c r="SYX39" s="48"/>
      <c r="SYY39" s="48"/>
      <c r="SYZ39" s="48"/>
      <c r="SZA39" s="48"/>
      <c r="SZB39" s="48"/>
      <c r="SZC39" s="48"/>
      <c r="SZD39" s="48"/>
      <c r="SZE39" s="48"/>
      <c r="SZF39" s="48"/>
      <c r="SZG39" s="45"/>
      <c r="SZH39" s="46"/>
      <c r="SZI39" s="46"/>
      <c r="SZJ39" s="47"/>
      <c r="SZK39" s="48"/>
      <c r="SZL39" s="48"/>
      <c r="SZM39" s="48"/>
      <c r="SZN39" s="48"/>
      <c r="SZO39" s="48"/>
      <c r="SZP39" s="48"/>
      <c r="SZQ39" s="48"/>
      <c r="SZR39" s="48"/>
      <c r="SZS39" s="48"/>
      <c r="SZT39" s="48"/>
      <c r="SZU39" s="48"/>
      <c r="SZV39" s="48"/>
      <c r="SZW39" s="48"/>
      <c r="SZX39" s="48"/>
      <c r="SZY39" s="48"/>
      <c r="SZZ39" s="48"/>
      <c r="TAA39" s="48"/>
      <c r="TAB39" s="48"/>
      <c r="TAC39" s="45"/>
      <c r="TAD39" s="46"/>
      <c r="TAE39" s="46"/>
      <c r="TAF39" s="47"/>
      <c r="TAG39" s="48"/>
      <c r="TAH39" s="48"/>
      <c r="TAI39" s="48"/>
      <c r="TAJ39" s="48"/>
      <c r="TAK39" s="48"/>
      <c r="TAL39" s="48"/>
      <c r="TAM39" s="48"/>
      <c r="TAN39" s="48"/>
      <c r="TAO39" s="48"/>
      <c r="TAP39" s="48"/>
      <c r="TAQ39" s="48"/>
      <c r="TAR39" s="48"/>
      <c r="TAS39" s="48"/>
      <c r="TAT39" s="48"/>
      <c r="TAU39" s="48"/>
      <c r="TAV39" s="48"/>
      <c r="TAW39" s="48"/>
      <c r="TAX39" s="48"/>
      <c r="TAY39" s="45"/>
      <c r="TAZ39" s="46"/>
      <c r="TBA39" s="46"/>
      <c r="TBB39" s="47"/>
      <c r="TBC39" s="48"/>
      <c r="TBD39" s="48"/>
      <c r="TBE39" s="48"/>
      <c r="TBF39" s="48"/>
      <c r="TBG39" s="48"/>
      <c r="TBH39" s="48"/>
      <c r="TBI39" s="48"/>
      <c r="TBJ39" s="48"/>
      <c r="TBK39" s="48"/>
      <c r="TBL39" s="48"/>
      <c r="TBM39" s="48"/>
      <c r="TBN39" s="48"/>
      <c r="TBO39" s="48"/>
      <c r="TBP39" s="48"/>
      <c r="TBQ39" s="48"/>
      <c r="TBR39" s="48"/>
      <c r="TBS39" s="48"/>
      <c r="TBT39" s="48"/>
      <c r="TBU39" s="45"/>
      <c r="TBV39" s="46"/>
      <c r="TBW39" s="46"/>
      <c r="TBX39" s="47"/>
      <c r="TBY39" s="48"/>
      <c r="TBZ39" s="48"/>
      <c r="TCA39" s="48"/>
      <c r="TCB39" s="48"/>
      <c r="TCC39" s="48"/>
      <c r="TCD39" s="48"/>
      <c r="TCE39" s="48"/>
      <c r="TCF39" s="48"/>
      <c r="TCG39" s="48"/>
      <c r="TCH39" s="48"/>
      <c r="TCI39" s="48"/>
      <c r="TCJ39" s="48"/>
      <c r="TCK39" s="48"/>
      <c r="TCL39" s="48"/>
      <c r="TCM39" s="48"/>
      <c r="TCN39" s="48"/>
      <c r="TCO39" s="48"/>
      <c r="TCP39" s="48"/>
      <c r="TCQ39" s="45"/>
      <c r="TCR39" s="46"/>
      <c r="TCS39" s="46"/>
      <c r="TCT39" s="47"/>
      <c r="TCU39" s="48"/>
      <c r="TCV39" s="48"/>
      <c r="TCW39" s="48"/>
      <c r="TCX39" s="48"/>
      <c r="TCY39" s="48"/>
      <c r="TCZ39" s="48"/>
      <c r="TDA39" s="48"/>
      <c r="TDB39" s="48"/>
      <c r="TDC39" s="48"/>
      <c r="TDD39" s="48"/>
      <c r="TDE39" s="48"/>
      <c r="TDF39" s="48"/>
      <c r="TDG39" s="48"/>
      <c r="TDH39" s="48"/>
      <c r="TDI39" s="48"/>
      <c r="TDJ39" s="48"/>
      <c r="TDK39" s="48"/>
      <c r="TDL39" s="48"/>
      <c r="TDM39" s="45"/>
      <c r="TDN39" s="46"/>
      <c r="TDO39" s="46"/>
      <c r="TDP39" s="47"/>
      <c r="TDQ39" s="48"/>
      <c r="TDR39" s="48"/>
      <c r="TDS39" s="48"/>
      <c r="TDT39" s="48"/>
      <c r="TDU39" s="48"/>
      <c r="TDV39" s="48"/>
      <c r="TDW39" s="48"/>
      <c r="TDX39" s="48"/>
      <c r="TDY39" s="48"/>
      <c r="TDZ39" s="48"/>
      <c r="TEA39" s="48"/>
      <c r="TEB39" s="48"/>
      <c r="TEC39" s="48"/>
      <c r="TED39" s="48"/>
      <c r="TEE39" s="48"/>
      <c r="TEF39" s="48"/>
      <c r="TEG39" s="48"/>
      <c r="TEH39" s="48"/>
      <c r="TEI39" s="45"/>
      <c r="TEJ39" s="46"/>
      <c r="TEK39" s="46"/>
      <c r="TEL39" s="47"/>
      <c r="TEM39" s="48"/>
      <c r="TEN39" s="48"/>
      <c r="TEO39" s="48"/>
      <c r="TEP39" s="48"/>
      <c r="TEQ39" s="48"/>
      <c r="TER39" s="48"/>
      <c r="TES39" s="48"/>
      <c r="TET39" s="48"/>
      <c r="TEU39" s="48"/>
      <c r="TEV39" s="48"/>
      <c r="TEW39" s="48"/>
      <c r="TEX39" s="48"/>
      <c r="TEY39" s="48"/>
      <c r="TEZ39" s="48"/>
      <c r="TFA39" s="48"/>
      <c r="TFB39" s="48"/>
      <c r="TFC39" s="48"/>
      <c r="TFD39" s="48"/>
      <c r="TFE39" s="45"/>
      <c r="TFF39" s="46"/>
      <c r="TFG39" s="46"/>
      <c r="TFH39" s="47"/>
      <c r="TFI39" s="48"/>
      <c r="TFJ39" s="48"/>
      <c r="TFK39" s="48"/>
      <c r="TFL39" s="48"/>
      <c r="TFM39" s="48"/>
      <c r="TFN39" s="48"/>
      <c r="TFO39" s="48"/>
      <c r="TFP39" s="48"/>
      <c r="TFQ39" s="48"/>
      <c r="TFR39" s="48"/>
      <c r="TFS39" s="48"/>
      <c r="TFT39" s="48"/>
      <c r="TFU39" s="48"/>
      <c r="TFV39" s="48"/>
      <c r="TFW39" s="48"/>
      <c r="TFX39" s="48"/>
      <c r="TFY39" s="48"/>
      <c r="TFZ39" s="48"/>
      <c r="TGA39" s="45"/>
      <c r="TGB39" s="46"/>
      <c r="TGC39" s="46"/>
      <c r="TGD39" s="47"/>
      <c r="TGE39" s="48"/>
      <c r="TGF39" s="48"/>
      <c r="TGG39" s="48"/>
      <c r="TGH39" s="48"/>
      <c r="TGI39" s="48"/>
      <c r="TGJ39" s="48"/>
      <c r="TGK39" s="48"/>
      <c r="TGL39" s="48"/>
      <c r="TGM39" s="48"/>
      <c r="TGN39" s="48"/>
      <c r="TGO39" s="48"/>
      <c r="TGP39" s="48"/>
      <c r="TGQ39" s="48"/>
      <c r="TGR39" s="48"/>
      <c r="TGS39" s="48"/>
      <c r="TGT39" s="48"/>
      <c r="TGU39" s="48"/>
      <c r="TGV39" s="48"/>
      <c r="TGW39" s="45"/>
      <c r="TGX39" s="46"/>
      <c r="TGY39" s="46"/>
      <c r="TGZ39" s="47"/>
      <c r="THA39" s="48"/>
      <c r="THB39" s="48"/>
      <c r="THC39" s="48"/>
      <c r="THD39" s="48"/>
      <c r="THE39" s="48"/>
      <c r="THF39" s="48"/>
      <c r="THG39" s="48"/>
      <c r="THH39" s="48"/>
      <c r="THI39" s="48"/>
      <c r="THJ39" s="48"/>
      <c r="THK39" s="48"/>
      <c r="THL39" s="48"/>
      <c r="THM39" s="48"/>
      <c r="THN39" s="48"/>
      <c r="THO39" s="48"/>
      <c r="THP39" s="48"/>
      <c r="THQ39" s="48"/>
      <c r="THR39" s="48"/>
      <c r="THS39" s="45"/>
      <c r="THT39" s="46"/>
      <c r="THU39" s="46"/>
      <c r="THV39" s="47"/>
      <c r="THW39" s="48"/>
      <c r="THX39" s="48"/>
      <c r="THY39" s="48"/>
      <c r="THZ39" s="48"/>
      <c r="TIA39" s="48"/>
      <c r="TIB39" s="48"/>
      <c r="TIC39" s="48"/>
      <c r="TID39" s="48"/>
      <c r="TIE39" s="48"/>
      <c r="TIF39" s="48"/>
      <c r="TIG39" s="48"/>
      <c r="TIH39" s="48"/>
      <c r="TII39" s="48"/>
      <c r="TIJ39" s="48"/>
      <c r="TIK39" s="48"/>
      <c r="TIL39" s="48"/>
      <c r="TIM39" s="48"/>
      <c r="TIN39" s="48"/>
      <c r="TIO39" s="45"/>
      <c r="TIP39" s="46"/>
      <c r="TIQ39" s="46"/>
      <c r="TIR39" s="47"/>
      <c r="TIS39" s="48"/>
      <c r="TIT39" s="48"/>
      <c r="TIU39" s="48"/>
      <c r="TIV39" s="48"/>
      <c r="TIW39" s="48"/>
      <c r="TIX39" s="48"/>
      <c r="TIY39" s="48"/>
      <c r="TIZ39" s="48"/>
      <c r="TJA39" s="48"/>
      <c r="TJB39" s="48"/>
      <c r="TJC39" s="48"/>
      <c r="TJD39" s="48"/>
      <c r="TJE39" s="48"/>
      <c r="TJF39" s="48"/>
      <c r="TJG39" s="48"/>
      <c r="TJH39" s="48"/>
      <c r="TJI39" s="48"/>
      <c r="TJJ39" s="48"/>
      <c r="TJK39" s="45"/>
      <c r="TJL39" s="46"/>
      <c r="TJM39" s="46"/>
      <c r="TJN39" s="47"/>
      <c r="TJO39" s="48"/>
      <c r="TJP39" s="48"/>
      <c r="TJQ39" s="48"/>
      <c r="TJR39" s="48"/>
      <c r="TJS39" s="48"/>
      <c r="TJT39" s="48"/>
      <c r="TJU39" s="48"/>
      <c r="TJV39" s="48"/>
      <c r="TJW39" s="48"/>
      <c r="TJX39" s="48"/>
      <c r="TJY39" s="48"/>
      <c r="TJZ39" s="48"/>
      <c r="TKA39" s="48"/>
      <c r="TKB39" s="48"/>
      <c r="TKC39" s="48"/>
      <c r="TKD39" s="48"/>
      <c r="TKE39" s="48"/>
      <c r="TKF39" s="48"/>
      <c r="TKG39" s="45"/>
      <c r="TKH39" s="46"/>
      <c r="TKI39" s="46"/>
      <c r="TKJ39" s="47"/>
      <c r="TKK39" s="48"/>
      <c r="TKL39" s="48"/>
      <c r="TKM39" s="48"/>
      <c r="TKN39" s="48"/>
      <c r="TKO39" s="48"/>
      <c r="TKP39" s="48"/>
      <c r="TKQ39" s="48"/>
      <c r="TKR39" s="48"/>
      <c r="TKS39" s="48"/>
      <c r="TKT39" s="48"/>
      <c r="TKU39" s="48"/>
      <c r="TKV39" s="48"/>
      <c r="TKW39" s="48"/>
      <c r="TKX39" s="48"/>
      <c r="TKY39" s="48"/>
      <c r="TKZ39" s="48"/>
      <c r="TLA39" s="48"/>
      <c r="TLB39" s="48"/>
      <c r="TLC39" s="45"/>
      <c r="TLD39" s="46"/>
      <c r="TLE39" s="46"/>
      <c r="TLF39" s="47"/>
      <c r="TLG39" s="48"/>
      <c r="TLH39" s="48"/>
      <c r="TLI39" s="48"/>
      <c r="TLJ39" s="48"/>
      <c r="TLK39" s="48"/>
      <c r="TLL39" s="48"/>
      <c r="TLM39" s="48"/>
      <c r="TLN39" s="48"/>
      <c r="TLO39" s="48"/>
      <c r="TLP39" s="48"/>
      <c r="TLQ39" s="48"/>
      <c r="TLR39" s="48"/>
      <c r="TLS39" s="48"/>
      <c r="TLT39" s="48"/>
      <c r="TLU39" s="48"/>
      <c r="TLV39" s="48"/>
      <c r="TLW39" s="48"/>
      <c r="TLX39" s="48"/>
      <c r="TLY39" s="45"/>
      <c r="TLZ39" s="46"/>
      <c r="TMA39" s="46"/>
      <c r="TMB39" s="47"/>
      <c r="TMC39" s="48"/>
      <c r="TMD39" s="48"/>
      <c r="TME39" s="48"/>
      <c r="TMF39" s="48"/>
      <c r="TMG39" s="48"/>
      <c r="TMH39" s="48"/>
      <c r="TMI39" s="48"/>
      <c r="TMJ39" s="48"/>
      <c r="TMK39" s="48"/>
      <c r="TML39" s="48"/>
      <c r="TMM39" s="48"/>
      <c r="TMN39" s="48"/>
      <c r="TMO39" s="48"/>
      <c r="TMP39" s="48"/>
      <c r="TMQ39" s="48"/>
      <c r="TMR39" s="48"/>
      <c r="TMS39" s="48"/>
      <c r="TMT39" s="48"/>
      <c r="TMU39" s="45"/>
      <c r="TMV39" s="46"/>
      <c r="TMW39" s="46"/>
      <c r="TMX39" s="47"/>
      <c r="TMY39" s="48"/>
      <c r="TMZ39" s="48"/>
      <c r="TNA39" s="48"/>
      <c r="TNB39" s="48"/>
      <c r="TNC39" s="48"/>
      <c r="TND39" s="48"/>
      <c r="TNE39" s="48"/>
      <c r="TNF39" s="48"/>
      <c r="TNG39" s="48"/>
      <c r="TNH39" s="48"/>
      <c r="TNI39" s="48"/>
      <c r="TNJ39" s="48"/>
      <c r="TNK39" s="48"/>
      <c r="TNL39" s="48"/>
      <c r="TNM39" s="48"/>
      <c r="TNN39" s="48"/>
      <c r="TNO39" s="48"/>
      <c r="TNP39" s="48"/>
      <c r="TNQ39" s="45"/>
      <c r="TNR39" s="46"/>
      <c r="TNS39" s="46"/>
      <c r="TNT39" s="47"/>
      <c r="TNU39" s="48"/>
      <c r="TNV39" s="48"/>
      <c r="TNW39" s="48"/>
      <c r="TNX39" s="48"/>
      <c r="TNY39" s="48"/>
      <c r="TNZ39" s="48"/>
      <c r="TOA39" s="48"/>
      <c r="TOB39" s="48"/>
      <c r="TOC39" s="48"/>
      <c r="TOD39" s="48"/>
      <c r="TOE39" s="48"/>
      <c r="TOF39" s="48"/>
      <c r="TOG39" s="48"/>
      <c r="TOH39" s="48"/>
      <c r="TOI39" s="48"/>
      <c r="TOJ39" s="48"/>
      <c r="TOK39" s="48"/>
      <c r="TOL39" s="48"/>
      <c r="TOM39" s="45"/>
      <c r="TON39" s="46"/>
      <c r="TOO39" s="46"/>
      <c r="TOP39" s="47"/>
      <c r="TOQ39" s="48"/>
      <c r="TOR39" s="48"/>
      <c r="TOS39" s="48"/>
      <c r="TOT39" s="48"/>
      <c r="TOU39" s="48"/>
      <c r="TOV39" s="48"/>
      <c r="TOW39" s="48"/>
      <c r="TOX39" s="48"/>
      <c r="TOY39" s="48"/>
      <c r="TOZ39" s="48"/>
      <c r="TPA39" s="48"/>
      <c r="TPB39" s="48"/>
      <c r="TPC39" s="48"/>
      <c r="TPD39" s="48"/>
      <c r="TPE39" s="48"/>
      <c r="TPF39" s="48"/>
      <c r="TPG39" s="48"/>
      <c r="TPH39" s="48"/>
      <c r="TPI39" s="45"/>
      <c r="TPJ39" s="46"/>
      <c r="TPK39" s="46"/>
      <c r="TPL39" s="47"/>
      <c r="TPM39" s="48"/>
      <c r="TPN39" s="48"/>
      <c r="TPO39" s="48"/>
      <c r="TPP39" s="48"/>
      <c r="TPQ39" s="48"/>
      <c r="TPR39" s="48"/>
      <c r="TPS39" s="48"/>
      <c r="TPT39" s="48"/>
      <c r="TPU39" s="48"/>
      <c r="TPV39" s="48"/>
      <c r="TPW39" s="48"/>
      <c r="TPX39" s="48"/>
      <c r="TPY39" s="48"/>
      <c r="TPZ39" s="48"/>
      <c r="TQA39" s="48"/>
      <c r="TQB39" s="48"/>
      <c r="TQC39" s="48"/>
      <c r="TQD39" s="48"/>
      <c r="TQE39" s="45"/>
      <c r="TQF39" s="46"/>
      <c r="TQG39" s="46"/>
      <c r="TQH39" s="47"/>
      <c r="TQI39" s="48"/>
      <c r="TQJ39" s="48"/>
      <c r="TQK39" s="48"/>
      <c r="TQL39" s="48"/>
      <c r="TQM39" s="48"/>
      <c r="TQN39" s="48"/>
      <c r="TQO39" s="48"/>
      <c r="TQP39" s="48"/>
      <c r="TQQ39" s="48"/>
      <c r="TQR39" s="48"/>
      <c r="TQS39" s="48"/>
      <c r="TQT39" s="48"/>
      <c r="TQU39" s="48"/>
      <c r="TQV39" s="48"/>
      <c r="TQW39" s="48"/>
      <c r="TQX39" s="48"/>
      <c r="TQY39" s="48"/>
      <c r="TQZ39" s="48"/>
      <c r="TRA39" s="45"/>
      <c r="TRB39" s="46"/>
      <c r="TRC39" s="46"/>
      <c r="TRD39" s="47"/>
      <c r="TRE39" s="48"/>
      <c r="TRF39" s="48"/>
      <c r="TRG39" s="48"/>
      <c r="TRH39" s="48"/>
      <c r="TRI39" s="48"/>
      <c r="TRJ39" s="48"/>
      <c r="TRK39" s="48"/>
      <c r="TRL39" s="48"/>
      <c r="TRM39" s="48"/>
      <c r="TRN39" s="48"/>
      <c r="TRO39" s="48"/>
      <c r="TRP39" s="48"/>
      <c r="TRQ39" s="48"/>
      <c r="TRR39" s="48"/>
      <c r="TRS39" s="48"/>
      <c r="TRT39" s="48"/>
      <c r="TRU39" s="48"/>
      <c r="TRV39" s="48"/>
      <c r="TRW39" s="45"/>
      <c r="TRX39" s="46"/>
      <c r="TRY39" s="46"/>
      <c r="TRZ39" s="47"/>
      <c r="TSA39" s="48"/>
      <c r="TSB39" s="48"/>
      <c r="TSC39" s="48"/>
      <c r="TSD39" s="48"/>
      <c r="TSE39" s="48"/>
      <c r="TSF39" s="48"/>
      <c r="TSG39" s="48"/>
      <c r="TSH39" s="48"/>
      <c r="TSI39" s="48"/>
      <c r="TSJ39" s="48"/>
      <c r="TSK39" s="48"/>
      <c r="TSL39" s="48"/>
      <c r="TSM39" s="48"/>
      <c r="TSN39" s="48"/>
      <c r="TSO39" s="48"/>
      <c r="TSP39" s="48"/>
      <c r="TSQ39" s="48"/>
      <c r="TSR39" s="48"/>
      <c r="TSS39" s="45"/>
      <c r="TST39" s="46"/>
      <c r="TSU39" s="46"/>
      <c r="TSV39" s="47"/>
      <c r="TSW39" s="48"/>
      <c r="TSX39" s="48"/>
      <c r="TSY39" s="48"/>
      <c r="TSZ39" s="48"/>
      <c r="TTA39" s="48"/>
      <c r="TTB39" s="48"/>
      <c r="TTC39" s="48"/>
      <c r="TTD39" s="48"/>
      <c r="TTE39" s="48"/>
      <c r="TTF39" s="48"/>
      <c r="TTG39" s="48"/>
      <c r="TTH39" s="48"/>
      <c r="TTI39" s="48"/>
      <c r="TTJ39" s="48"/>
      <c r="TTK39" s="48"/>
      <c r="TTL39" s="48"/>
      <c r="TTM39" s="48"/>
      <c r="TTN39" s="48"/>
      <c r="TTO39" s="45"/>
      <c r="TTP39" s="46"/>
      <c r="TTQ39" s="46"/>
      <c r="TTR39" s="47"/>
      <c r="TTS39" s="48"/>
      <c r="TTT39" s="48"/>
      <c r="TTU39" s="48"/>
      <c r="TTV39" s="48"/>
      <c r="TTW39" s="48"/>
      <c r="TTX39" s="48"/>
      <c r="TTY39" s="48"/>
      <c r="TTZ39" s="48"/>
      <c r="TUA39" s="48"/>
      <c r="TUB39" s="48"/>
      <c r="TUC39" s="48"/>
      <c r="TUD39" s="48"/>
      <c r="TUE39" s="48"/>
      <c r="TUF39" s="48"/>
      <c r="TUG39" s="48"/>
      <c r="TUH39" s="48"/>
      <c r="TUI39" s="48"/>
      <c r="TUJ39" s="48"/>
      <c r="TUK39" s="45"/>
      <c r="TUL39" s="46"/>
      <c r="TUM39" s="46"/>
      <c r="TUN39" s="47"/>
      <c r="TUO39" s="48"/>
      <c r="TUP39" s="48"/>
      <c r="TUQ39" s="48"/>
      <c r="TUR39" s="48"/>
      <c r="TUS39" s="48"/>
      <c r="TUT39" s="48"/>
      <c r="TUU39" s="48"/>
      <c r="TUV39" s="48"/>
      <c r="TUW39" s="48"/>
      <c r="TUX39" s="48"/>
      <c r="TUY39" s="48"/>
      <c r="TUZ39" s="48"/>
      <c r="TVA39" s="48"/>
      <c r="TVB39" s="48"/>
      <c r="TVC39" s="48"/>
      <c r="TVD39" s="48"/>
      <c r="TVE39" s="48"/>
      <c r="TVF39" s="48"/>
      <c r="TVG39" s="45"/>
      <c r="TVH39" s="46"/>
      <c r="TVI39" s="46"/>
      <c r="TVJ39" s="47"/>
      <c r="TVK39" s="48"/>
      <c r="TVL39" s="48"/>
      <c r="TVM39" s="48"/>
      <c r="TVN39" s="48"/>
      <c r="TVO39" s="48"/>
      <c r="TVP39" s="48"/>
      <c r="TVQ39" s="48"/>
      <c r="TVR39" s="48"/>
      <c r="TVS39" s="48"/>
      <c r="TVT39" s="48"/>
      <c r="TVU39" s="48"/>
      <c r="TVV39" s="48"/>
      <c r="TVW39" s="48"/>
      <c r="TVX39" s="48"/>
      <c r="TVY39" s="48"/>
      <c r="TVZ39" s="48"/>
      <c r="TWA39" s="48"/>
      <c r="TWB39" s="48"/>
      <c r="TWC39" s="45"/>
      <c r="TWD39" s="46"/>
      <c r="TWE39" s="46"/>
      <c r="TWF39" s="47"/>
      <c r="TWG39" s="48"/>
      <c r="TWH39" s="48"/>
      <c r="TWI39" s="48"/>
      <c r="TWJ39" s="48"/>
      <c r="TWK39" s="48"/>
      <c r="TWL39" s="48"/>
      <c r="TWM39" s="48"/>
      <c r="TWN39" s="48"/>
      <c r="TWO39" s="48"/>
      <c r="TWP39" s="48"/>
      <c r="TWQ39" s="48"/>
      <c r="TWR39" s="48"/>
      <c r="TWS39" s="48"/>
      <c r="TWT39" s="48"/>
      <c r="TWU39" s="48"/>
      <c r="TWV39" s="48"/>
      <c r="TWW39" s="48"/>
      <c r="TWX39" s="48"/>
      <c r="TWY39" s="45"/>
      <c r="TWZ39" s="46"/>
      <c r="TXA39" s="46"/>
      <c r="TXB39" s="47"/>
      <c r="TXC39" s="48"/>
      <c r="TXD39" s="48"/>
      <c r="TXE39" s="48"/>
      <c r="TXF39" s="48"/>
      <c r="TXG39" s="48"/>
      <c r="TXH39" s="48"/>
      <c r="TXI39" s="48"/>
      <c r="TXJ39" s="48"/>
      <c r="TXK39" s="48"/>
      <c r="TXL39" s="48"/>
      <c r="TXM39" s="48"/>
      <c r="TXN39" s="48"/>
      <c r="TXO39" s="48"/>
      <c r="TXP39" s="48"/>
      <c r="TXQ39" s="48"/>
      <c r="TXR39" s="48"/>
      <c r="TXS39" s="48"/>
      <c r="TXT39" s="48"/>
      <c r="TXU39" s="45"/>
      <c r="TXV39" s="46"/>
      <c r="TXW39" s="46"/>
      <c r="TXX39" s="47"/>
      <c r="TXY39" s="48"/>
      <c r="TXZ39" s="48"/>
      <c r="TYA39" s="48"/>
      <c r="TYB39" s="48"/>
      <c r="TYC39" s="48"/>
      <c r="TYD39" s="48"/>
      <c r="TYE39" s="48"/>
      <c r="TYF39" s="48"/>
      <c r="TYG39" s="48"/>
      <c r="TYH39" s="48"/>
      <c r="TYI39" s="48"/>
      <c r="TYJ39" s="48"/>
      <c r="TYK39" s="48"/>
      <c r="TYL39" s="48"/>
      <c r="TYM39" s="48"/>
      <c r="TYN39" s="48"/>
      <c r="TYO39" s="48"/>
      <c r="TYP39" s="48"/>
      <c r="TYQ39" s="45"/>
      <c r="TYR39" s="46"/>
      <c r="TYS39" s="46"/>
      <c r="TYT39" s="47"/>
      <c r="TYU39" s="48"/>
      <c r="TYV39" s="48"/>
      <c r="TYW39" s="48"/>
      <c r="TYX39" s="48"/>
      <c r="TYY39" s="48"/>
      <c r="TYZ39" s="48"/>
      <c r="TZA39" s="48"/>
      <c r="TZB39" s="48"/>
      <c r="TZC39" s="48"/>
      <c r="TZD39" s="48"/>
      <c r="TZE39" s="48"/>
      <c r="TZF39" s="48"/>
      <c r="TZG39" s="48"/>
      <c r="TZH39" s="48"/>
      <c r="TZI39" s="48"/>
      <c r="TZJ39" s="48"/>
      <c r="TZK39" s="48"/>
      <c r="TZL39" s="48"/>
      <c r="TZM39" s="45"/>
      <c r="TZN39" s="46"/>
      <c r="TZO39" s="46"/>
      <c r="TZP39" s="47"/>
      <c r="TZQ39" s="48"/>
      <c r="TZR39" s="48"/>
      <c r="TZS39" s="48"/>
      <c r="TZT39" s="48"/>
      <c r="TZU39" s="48"/>
      <c r="TZV39" s="48"/>
      <c r="TZW39" s="48"/>
      <c r="TZX39" s="48"/>
      <c r="TZY39" s="48"/>
      <c r="TZZ39" s="48"/>
      <c r="UAA39" s="48"/>
      <c r="UAB39" s="48"/>
      <c r="UAC39" s="48"/>
      <c r="UAD39" s="48"/>
      <c r="UAE39" s="48"/>
      <c r="UAF39" s="48"/>
      <c r="UAG39" s="48"/>
      <c r="UAH39" s="48"/>
      <c r="UAI39" s="45"/>
      <c r="UAJ39" s="46"/>
      <c r="UAK39" s="46"/>
      <c r="UAL39" s="47"/>
      <c r="UAM39" s="48"/>
      <c r="UAN39" s="48"/>
      <c r="UAO39" s="48"/>
      <c r="UAP39" s="48"/>
      <c r="UAQ39" s="48"/>
      <c r="UAR39" s="48"/>
      <c r="UAS39" s="48"/>
      <c r="UAT39" s="48"/>
      <c r="UAU39" s="48"/>
      <c r="UAV39" s="48"/>
      <c r="UAW39" s="48"/>
      <c r="UAX39" s="48"/>
      <c r="UAY39" s="48"/>
      <c r="UAZ39" s="48"/>
      <c r="UBA39" s="48"/>
      <c r="UBB39" s="48"/>
      <c r="UBC39" s="48"/>
      <c r="UBD39" s="48"/>
      <c r="UBE39" s="45"/>
      <c r="UBF39" s="46"/>
      <c r="UBG39" s="46"/>
      <c r="UBH39" s="47"/>
      <c r="UBI39" s="48"/>
      <c r="UBJ39" s="48"/>
      <c r="UBK39" s="48"/>
      <c r="UBL39" s="48"/>
      <c r="UBM39" s="48"/>
      <c r="UBN39" s="48"/>
      <c r="UBO39" s="48"/>
      <c r="UBP39" s="48"/>
      <c r="UBQ39" s="48"/>
      <c r="UBR39" s="48"/>
      <c r="UBS39" s="48"/>
      <c r="UBT39" s="48"/>
      <c r="UBU39" s="48"/>
      <c r="UBV39" s="48"/>
      <c r="UBW39" s="48"/>
      <c r="UBX39" s="48"/>
      <c r="UBY39" s="48"/>
      <c r="UBZ39" s="48"/>
      <c r="UCA39" s="45"/>
      <c r="UCB39" s="46"/>
      <c r="UCC39" s="46"/>
      <c r="UCD39" s="47"/>
      <c r="UCE39" s="48"/>
      <c r="UCF39" s="48"/>
      <c r="UCG39" s="48"/>
      <c r="UCH39" s="48"/>
      <c r="UCI39" s="48"/>
      <c r="UCJ39" s="48"/>
      <c r="UCK39" s="48"/>
      <c r="UCL39" s="48"/>
      <c r="UCM39" s="48"/>
      <c r="UCN39" s="48"/>
      <c r="UCO39" s="48"/>
      <c r="UCP39" s="48"/>
      <c r="UCQ39" s="48"/>
      <c r="UCR39" s="48"/>
      <c r="UCS39" s="48"/>
      <c r="UCT39" s="48"/>
      <c r="UCU39" s="48"/>
      <c r="UCV39" s="48"/>
      <c r="UCW39" s="45"/>
      <c r="UCX39" s="46"/>
      <c r="UCY39" s="46"/>
      <c r="UCZ39" s="47"/>
      <c r="UDA39" s="48"/>
      <c r="UDB39" s="48"/>
      <c r="UDC39" s="48"/>
      <c r="UDD39" s="48"/>
      <c r="UDE39" s="48"/>
      <c r="UDF39" s="48"/>
      <c r="UDG39" s="48"/>
      <c r="UDH39" s="48"/>
      <c r="UDI39" s="48"/>
      <c r="UDJ39" s="48"/>
      <c r="UDK39" s="48"/>
      <c r="UDL39" s="48"/>
      <c r="UDM39" s="48"/>
      <c r="UDN39" s="48"/>
      <c r="UDO39" s="48"/>
      <c r="UDP39" s="48"/>
      <c r="UDQ39" s="48"/>
      <c r="UDR39" s="48"/>
      <c r="UDS39" s="45"/>
      <c r="UDT39" s="46"/>
      <c r="UDU39" s="46"/>
      <c r="UDV39" s="47"/>
      <c r="UDW39" s="48"/>
      <c r="UDX39" s="48"/>
      <c r="UDY39" s="48"/>
      <c r="UDZ39" s="48"/>
      <c r="UEA39" s="48"/>
      <c r="UEB39" s="48"/>
      <c r="UEC39" s="48"/>
      <c r="UED39" s="48"/>
      <c r="UEE39" s="48"/>
      <c r="UEF39" s="48"/>
      <c r="UEG39" s="48"/>
      <c r="UEH39" s="48"/>
      <c r="UEI39" s="48"/>
      <c r="UEJ39" s="48"/>
      <c r="UEK39" s="48"/>
      <c r="UEL39" s="48"/>
      <c r="UEM39" s="48"/>
      <c r="UEN39" s="48"/>
      <c r="UEO39" s="45"/>
      <c r="UEP39" s="46"/>
      <c r="UEQ39" s="46"/>
      <c r="UER39" s="47"/>
      <c r="UES39" s="48"/>
      <c r="UET39" s="48"/>
      <c r="UEU39" s="48"/>
      <c r="UEV39" s="48"/>
      <c r="UEW39" s="48"/>
      <c r="UEX39" s="48"/>
      <c r="UEY39" s="48"/>
      <c r="UEZ39" s="48"/>
      <c r="UFA39" s="48"/>
      <c r="UFB39" s="48"/>
      <c r="UFC39" s="48"/>
      <c r="UFD39" s="48"/>
      <c r="UFE39" s="48"/>
      <c r="UFF39" s="48"/>
      <c r="UFG39" s="48"/>
      <c r="UFH39" s="48"/>
      <c r="UFI39" s="48"/>
      <c r="UFJ39" s="48"/>
      <c r="UFK39" s="45"/>
      <c r="UFL39" s="46"/>
      <c r="UFM39" s="46"/>
      <c r="UFN39" s="47"/>
      <c r="UFO39" s="48"/>
      <c r="UFP39" s="48"/>
      <c r="UFQ39" s="48"/>
      <c r="UFR39" s="48"/>
      <c r="UFS39" s="48"/>
      <c r="UFT39" s="48"/>
      <c r="UFU39" s="48"/>
      <c r="UFV39" s="48"/>
      <c r="UFW39" s="48"/>
      <c r="UFX39" s="48"/>
      <c r="UFY39" s="48"/>
      <c r="UFZ39" s="48"/>
      <c r="UGA39" s="48"/>
      <c r="UGB39" s="48"/>
      <c r="UGC39" s="48"/>
      <c r="UGD39" s="48"/>
      <c r="UGE39" s="48"/>
      <c r="UGF39" s="48"/>
      <c r="UGG39" s="45"/>
      <c r="UGH39" s="46"/>
      <c r="UGI39" s="46"/>
      <c r="UGJ39" s="47"/>
      <c r="UGK39" s="48"/>
      <c r="UGL39" s="48"/>
      <c r="UGM39" s="48"/>
      <c r="UGN39" s="48"/>
      <c r="UGO39" s="48"/>
      <c r="UGP39" s="48"/>
      <c r="UGQ39" s="48"/>
      <c r="UGR39" s="48"/>
      <c r="UGS39" s="48"/>
      <c r="UGT39" s="48"/>
      <c r="UGU39" s="48"/>
      <c r="UGV39" s="48"/>
      <c r="UGW39" s="48"/>
      <c r="UGX39" s="48"/>
      <c r="UGY39" s="48"/>
      <c r="UGZ39" s="48"/>
      <c r="UHA39" s="48"/>
      <c r="UHB39" s="48"/>
      <c r="UHC39" s="45"/>
      <c r="UHD39" s="46"/>
      <c r="UHE39" s="46"/>
      <c r="UHF39" s="47"/>
      <c r="UHG39" s="48"/>
      <c r="UHH39" s="48"/>
      <c r="UHI39" s="48"/>
      <c r="UHJ39" s="48"/>
      <c r="UHK39" s="48"/>
      <c r="UHL39" s="48"/>
      <c r="UHM39" s="48"/>
      <c r="UHN39" s="48"/>
      <c r="UHO39" s="48"/>
      <c r="UHP39" s="48"/>
      <c r="UHQ39" s="48"/>
      <c r="UHR39" s="48"/>
      <c r="UHS39" s="48"/>
      <c r="UHT39" s="48"/>
      <c r="UHU39" s="48"/>
      <c r="UHV39" s="48"/>
      <c r="UHW39" s="48"/>
      <c r="UHX39" s="48"/>
      <c r="UHY39" s="45"/>
      <c r="UHZ39" s="46"/>
      <c r="UIA39" s="46"/>
      <c r="UIB39" s="47"/>
      <c r="UIC39" s="48"/>
      <c r="UID39" s="48"/>
      <c r="UIE39" s="48"/>
      <c r="UIF39" s="48"/>
      <c r="UIG39" s="48"/>
      <c r="UIH39" s="48"/>
      <c r="UII39" s="48"/>
      <c r="UIJ39" s="48"/>
      <c r="UIK39" s="48"/>
      <c r="UIL39" s="48"/>
      <c r="UIM39" s="48"/>
      <c r="UIN39" s="48"/>
      <c r="UIO39" s="48"/>
      <c r="UIP39" s="48"/>
      <c r="UIQ39" s="48"/>
      <c r="UIR39" s="48"/>
      <c r="UIS39" s="48"/>
      <c r="UIT39" s="48"/>
      <c r="UIU39" s="45"/>
      <c r="UIV39" s="46"/>
      <c r="UIW39" s="46"/>
      <c r="UIX39" s="47"/>
      <c r="UIY39" s="48"/>
      <c r="UIZ39" s="48"/>
      <c r="UJA39" s="48"/>
      <c r="UJB39" s="48"/>
      <c r="UJC39" s="48"/>
      <c r="UJD39" s="48"/>
      <c r="UJE39" s="48"/>
      <c r="UJF39" s="48"/>
      <c r="UJG39" s="48"/>
      <c r="UJH39" s="48"/>
      <c r="UJI39" s="48"/>
      <c r="UJJ39" s="48"/>
      <c r="UJK39" s="48"/>
      <c r="UJL39" s="48"/>
      <c r="UJM39" s="48"/>
      <c r="UJN39" s="48"/>
      <c r="UJO39" s="48"/>
      <c r="UJP39" s="48"/>
      <c r="UJQ39" s="45"/>
      <c r="UJR39" s="46"/>
      <c r="UJS39" s="46"/>
      <c r="UJT39" s="47"/>
      <c r="UJU39" s="48"/>
      <c r="UJV39" s="48"/>
      <c r="UJW39" s="48"/>
      <c r="UJX39" s="48"/>
      <c r="UJY39" s="48"/>
      <c r="UJZ39" s="48"/>
      <c r="UKA39" s="48"/>
      <c r="UKB39" s="48"/>
      <c r="UKC39" s="48"/>
      <c r="UKD39" s="48"/>
      <c r="UKE39" s="48"/>
      <c r="UKF39" s="48"/>
      <c r="UKG39" s="48"/>
      <c r="UKH39" s="48"/>
      <c r="UKI39" s="48"/>
      <c r="UKJ39" s="48"/>
      <c r="UKK39" s="48"/>
      <c r="UKL39" s="48"/>
      <c r="UKM39" s="45"/>
      <c r="UKN39" s="46"/>
      <c r="UKO39" s="46"/>
      <c r="UKP39" s="47"/>
      <c r="UKQ39" s="48"/>
      <c r="UKR39" s="48"/>
      <c r="UKS39" s="48"/>
      <c r="UKT39" s="48"/>
      <c r="UKU39" s="48"/>
      <c r="UKV39" s="48"/>
      <c r="UKW39" s="48"/>
      <c r="UKX39" s="48"/>
      <c r="UKY39" s="48"/>
      <c r="UKZ39" s="48"/>
      <c r="ULA39" s="48"/>
      <c r="ULB39" s="48"/>
      <c r="ULC39" s="48"/>
      <c r="ULD39" s="48"/>
      <c r="ULE39" s="48"/>
      <c r="ULF39" s="48"/>
      <c r="ULG39" s="48"/>
      <c r="ULH39" s="48"/>
      <c r="ULI39" s="45"/>
      <c r="ULJ39" s="46"/>
      <c r="ULK39" s="46"/>
      <c r="ULL39" s="47"/>
      <c r="ULM39" s="48"/>
      <c r="ULN39" s="48"/>
      <c r="ULO39" s="48"/>
      <c r="ULP39" s="48"/>
      <c r="ULQ39" s="48"/>
      <c r="ULR39" s="48"/>
      <c r="ULS39" s="48"/>
      <c r="ULT39" s="48"/>
      <c r="ULU39" s="48"/>
      <c r="ULV39" s="48"/>
      <c r="ULW39" s="48"/>
      <c r="ULX39" s="48"/>
      <c r="ULY39" s="48"/>
      <c r="ULZ39" s="48"/>
      <c r="UMA39" s="48"/>
      <c r="UMB39" s="48"/>
      <c r="UMC39" s="48"/>
      <c r="UMD39" s="48"/>
      <c r="UME39" s="45"/>
      <c r="UMF39" s="46"/>
      <c r="UMG39" s="46"/>
      <c r="UMH39" s="47"/>
      <c r="UMI39" s="48"/>
      <c r="UMJ39" s="48"/>
      <c r="UMK39" s="48"/>
      <c r="UML39" s="48"/>
      <c r="UMM39" s="48"/>
      <c r="UMN39" s="48"/>
      <c r="UMO39" s="48"/>
      <c r="UMP39" s="48"/>
      <c r="UMQ39" s="48"/>
      <c r="UMR39" s="48"/>
      <c r="UMS39" s="48"/>
      <c r="UMT39" s="48"/>
      <c r="UMU39" s="48"/>
      <c r="UMV39" s="48"/>
      <c r="UMW39" s="48"/>
      <c r="UMX39" s="48"/>
      <c r="UMY39" s="48"/>
      <c r="UMZ39" s="48"/>
      <c r="UNA39" s="45"/>
      <c r="UNB39" s="46"/>
      <c r="UNC39" s="46"/>
      <c r="UND39" s="47"/>
      <c r="UNE39" s="48"/>
      <c r="UNF39" s="48"/>
      <c r="UNG39" s="48"/>
      <c r="UNH39" s="48"/>
      <c r="UNI39" s="48"/>
      <c r="UNJ39" s="48"/>
      <c r="UNK39" s="48"/>
      <c r="UNL39" s="48"/>
      <c r="UNM39" s="48"/>
      <c r="UNN39" s="48"/>
      <c r="UNO39" s="48"/>
      <c r="UNP39" s="48"/>
      <c r="UNQ39" s="48"/>
      <c r="UNR39" s="48"/>
      <c r="UNS39" s="48"/>
      <c r="UNT39" s="48"/>
      <c r="UNU39" s="48"/>
      <c r="UNV39" s="48"/>
      <c r="UNW39" s="45"/>
      <c r="UNX39" s="46"/>
      <c r="UNY39" s="46"/>
      <c r="UNZ39" s="47"/>
      <c r="UOA39" s="48"/>
      <c r="UOB39" s="48"/>
      <c r="UOC39" s="48"/>
      <c r="UOD39" s="48"/>
      <c r="UOE39" s="48"/>
      <c r="UOF39" s="48"/>
      <c r="UOG39" s="48"/>
      <c r="UOH39" s="48"/>
      <c r="UOI39" s="48"/>
      <c r="UOJ39" s="48"/>
      <c r="UOK39" s="48"/>
      <c r="UOL39" s="48"/>
      <c r="UOM39" s="48"/>
      <c r="UON39" s="48"/>
      <c r="UOO39" s="48"/>
      <c r="UOP39" s="48"/>
      <c r="UOQ39" s="48"/>
      <c r="UOR39" s="48"/>
      <c r="UOS39" s="45"/>
      <c r="UOT39" s="46"/>
      <c r="UOU39" s="46"/>
      <c r="UOV39" s="47"/>
      <c r="UOW39" s="48"/>
      <c r="UOX39" s="48"/>
      <c r="UOY39" s="48"/>
      <c r="UOZ39" s="48"/>
      <c r="UPA39" s="48"/>
      <c r="UPB39" s="48"/>
      <c r="UPC39" s="48"/>
      <c r="UPD39" s="48"/>
      <c r="UPE39" s="48"/>
      <c r="UPF39" s="48"/>
      <c r="UPG39" s="48"/>
      <c r="UPH39" s="48"/>
      <c r="UPI39" s="48"/>
      <c r="UPJ39" s="48"/>
      <c r="UPK39" s="48"/>
      <c r="UPL39" s="48"/>
      <c r="UPM39" s="48"/>
      <c r="UPN39" s="48"/>
      <c r="UPO39" s="45"/>
      <c r="UPP39" s="46"/>
      <c r="UPQ39" s="46"/>
      <c r="UPR39" s="47"/>
      <c r="UPS39" s="48"/>
      <c r="UPT39" s="48"/>
      <c r="UPU39" s="48"/>
      <c r="UPV39" s="48"/>
      <c r="UPW39" s="48"/>
      <c r="UPX39" s="48"/>
      <c r="UPY39" s="48"/>
      <c r="UPZ39" s="48"/>
      <c r="UQA39" s="48"/>
      <c r="UQB39" s="48"/>
      <c r="UQC39" s="48"/>
      <c r="UQD39" s="48"/>
      <c r="UQE39" s="48"/>
      <c r="UQF39" s="48"/>
      <c r="UQG39" s="48"/>
      <c r="UQH39" s="48"/>
      <c r="UQI39" s="48"/>
      <c r="UQJ39" s="48"/>
      <c r="UQK39" s="45"/>
      <c r="UQL39" s="46"/>
      <c r="UQM39" s="46"/>
      <c r="UQN39" s="47"/>
      <c r="UQO39" s="48"/>
      <c r="UQP39" s="48"/>
      <c r="UQQ39" s="48"/>
      <c r="UQR39" s="48"/>
      <c r="UQS39" s="48"/>
      <c r="UQT39" s="48"/>
      <c r="UQU39" s="48"/>
      <c r="UQV39" s="48"/>
      <c r="UQW39" s="48"/>
      <c r="UQX39" s="48"/>
      <c r="UQY39" s="48"/>
      <c r="UQZ39" s="48"/>
      <c r="URA39" s="48"/>
      <c r="URB39" s="48"/>
      <c r="URC39" s="48"/>
      <c r="URD39" s="48"/>
      <c r="URE39" s="48"/>
      <c r="URF39" s="48"/>
      <c r="URG39" s="45"/>
      <c r="URH39" s="46"/>
      <c r="URI39" s="46"/>
      <c r="URJ39" s="47"/>
      <c r="URK39" s="48"/>
      <c r="URL39" s="48"/>
      <c r="URM39" s="48"/>
      <c r="URN39" s="48"/>
      <c r="URO39" s="48"/>
      <c r="URP39" s="48"/>
      <c r="URQ39" s="48"/>
      <c r="URR39" s="48"/>
      <c r="URS39" s="48"/>
      <c r="URT39" s="48"/>
      <c r="URU39" s="48"/>
      <c r="URV39" s="48"/>
      <c r="URW39" s="48"/>
      <c r="URX39" s="48"/>
      <c r="URY39" s="48"/>
      <c r="URZ39" s="48"/>
      <c r="USA39" s="48"/>
      <c r="USB39" s="48"/>
      <c r="USC39" s="45"/>
      <c r="USD39" s="46"/>
      <c r="USE39" s="46"/>
      <c r="USF39" s="47"/>
      <c r="USG39" s="48"/>
      <c r="USH39" s="48"/>
      <c r="USI39" s="48"/>
      <c r="USJ39" s="48"/>
      <c r="USK39" s="48"/>
      <c r="USL39" s="48"/>
      <c r="USM39" s="48"/>
      <c r="USN39" s="48"/>
      <c r="USO39" s="48"/>
      <c r="USP39" s="48"/>
      <c r="USQ39" s="48"/>
      <c r="USR39" s="48"/>
      <c r="USS39" s="48"/>
      <c r="UST39" s="48"/>
      <c r="USU39" s="48"/>
      <c r="USV39" s="48"/>
      <c r="USW39" s="48"/>
      <c r="USX39" s="48"/>
      <c r="USY39" s="45"/>
      <c r="USZ39" s="46"/>
      <c r="UTA39" s="46"/>
      <c r="UTB39" s="47"/>
      <c r="UTC39" s="48"/>
      <c r="UTD39" s="48"/>
      <c r="UTE39" s="48"/>
      <c r="UTF39" s="48"/>
      <c r="UTG39" s="48"/>
      <c r="UTH39" s="48"/>
      <c r="UTI39" s="48"/>
      <c r="UTJ39" s="48"/>
      <c r="UTK39" s="48"/>
      <c r="UTL39" s="48"/>
      <c r="UTM39" s="48"/>
      <c r="UTN39" s="48"/>
      <c r="UTO39" s="48"/>
      <c r="UTP39" s="48"/>
      <c r="UTQ39" s="48"/>
      <c r="UTR39" s="48"/>
      <c r="UTS39" s="48"/>
      <c r="UTT39" s="48"/>
      <c r="UTU39" s="45"/>
      <c r="UTV39" s="46"/>
      <c r="UTW39" s="46"/>
      <c r="UTX39" s="47"/>
      <c r="UTY39" s="48"/>
      <c r="UTZ39" s="48"/>
      <c r="UUA39" s="48"/>
      <c r="UUB39" s="48"/>
      <c r="UUC39" s="48"/>
      <c r="UUD39" s="48"/>
      <c r="UUE39" s="48"/>
      <c r="UUF39" s="48"/>
      <c r="UUG39" s="48"/>
      <c r="UUH39" s="48"/>
      <c r="UUI39" s="48"/>
      <c r="UUJ39" s="48"/>
      <c r="UUK39" s="48"/>
      <c r="UUL39" s="48"/>
      <c r="UUM39" s="48"/>
      <c r="UUN39" s="48"/>
      <c r="UUO39" s="48"/>
      <c r="UUP39" s="48"/>
      <c r="UUQ39" s="45"/>
      <c r="UUR39" s="46"/>
      <c r="UUS39" s="46"/>
      <c r="UUT39" s="47"/>
      <c r="UUU39" s="48"/>
      <c r="UUV39" s="48"/>
      <c r="UUW39" s="48"/>
      <c r="UUX39" s="48"/>
      <c r="UUY39" s="48"/>
      <c r="UUZ39" s="48"/>
      <c r="UVA39" s="48"/>
      <c r="UVB39" s="48"/>
      <c r="UVC39" s="48"/>
      <c r="UVD39" s="48"/>
      <c r="UVE39" s="48"/>
      <c r="UVF39" s="48"/>
      <c r="UVG39" s="48"/>
      <c r="UVH39" s="48"/>
      <c r="UVI39" s="48"/>
      <c r="UVJ39" s="48"/>
      <c r="UVK39" s="48"/>
      <c r="UVL39" s="48"/>
      <c r="UVM39" s="45"/>
      <c r="UVN39" s="46"/>
      <c r="UVO39" s="46"/>
      <c r="UVP39" s="47"/>
      <c r="UVQ39" s="48"/>
      <c r="UVR39" s="48"/>
      <c r="UVS39" s="48"/>
      <c r="UVT39" s="48"/>
      <c r="UVU39" s="48"/>
      <c r="UVV39" s="48"/>
      <c r="UVW39" s="48"/>
      <c r="UVX39" s="48"/>
      <c r="UVY39" s="48"/>
      <c r="UVZ39" s="48"/>
      <c r="UWA39" s="48"/>
      <c r="UWB39" s="48"/>
      <c r="UWC39" s="48"/>
      <c r="UWD39" s="48"/>
      <c r="UWE39" s="48"/>
      <c r="UWF39" s="48"/>
      <c r="UWG39" s="48"/>
      <c r="UWH39" s="48"/>
      <c r="UWI39" s="45"/>
      <c r="UWJ39" s="46"/>
      <c r="UWK39" s="46"/>
      <c r="UWL39" s="47"/>
      <c r="UWM39" s="48"/>
      <c r="UWN39" s="48"/>
      <c r="UWO39" s="48"/>
      <c r="UWP39" s="48"/>
      <c r="UWQ39" s="48"/>
      <c r="UWR39" s="48"/>
      <c r="UWS39" s="48"/>
      <c r="UWT39" s="48"/>
      <c r="UWU39" s="48"/>
      <c r="UWV39" s="48"/>
      <c r="UWW39" s="48"/>
      <c r="UWX39" s="48"/>
      <c r="UWY39" s="48"/>
      <c r="UWZ39" s="48"/>
      <c r="UXA39" s="48"/>
      <c r="UXB39" s="48"/>
      <c r="UXC39" s="48"/>
      <c r="UXD39" s="48"/>
      <c r="UXE39" s="45"/>
      <c r="UXF39" s="46"/>
      <c r="UXG39" s="46"/>
      <c r="UXH39" s="47"/>
      <c r="UXI39" s="48"/>
      <c r="UXJ39" s="48"/>
      <c r="UXK39" s="48"/>
      <c r="UXL39" s="48"/>
      <c r="UXM39" s="48"/>
      <c r="UXN39" s="48"/>
      <c r="UXO39" s="48"/>
      <c r="UXP39" s="48"/>
      <c r="UXQ39" s="48"/>
      <c r="UXR39" s="48"/>
      <c r="UXS39" s="48"/>
      <c r="UXT39" s="48"/>
      <c r="UXU39" s="48"/>
      <c r="UXV39" s="48"/>
      <c r="UXW39" s="48"/>
      <c r="UXX39" s="48"/>
      <c r="UXY39" s="48"/>
      <c r="UXZ39" s="48"/>
      <c r="UYA39" s="45"/>
      <c r="UYB39" s="46"/>
      <c r="UYC39" s="46"/>
      <c r="UYD39" s="47"/>
      <c r="UYE39" s="48"/>
      <c r="UYF39" s="48"/>
      <c r="UYG39" s="48"/>
      <c r="UYH39" s="48"/>
      <c r="UYI39" s="48"/>
      <c r="UYJ39" s="48"/>
      <c r="UYK39" s="48"/>
      <c r="UYL39" s="48"/>
      <c r="UYM39" s="48"/>
      <c r="UYN39" s="48"/>
      <c r="UYO39" s="48"/>
      <c r="UYP39" s="48"/>
      <c r="UYQ39" s="48"/>
      <c r="UYR39" s="48"/>
      <c r="UYS39" s="48"/>
      <c r="UYT39" s="48"/>
      <c r="UYU39" s="48"/>
      <c r="UYV39" s="48"/>
      <c r="UYW39" s="45"/>
      <c r="UYX39" s="46"/>
      <c r="UYY39" s="46"/>
      <c r="UYZ39" s="47"/>
      <c r="UZA39" s="48"/>
      <c r="UZB39" s="48"/>
      <c r="UZC39" s="48"/>
      <c r="UZD39" s="48"/>
      <c r="UZE39" s="48"/>
      <c r="UZF39" s="48"/>
      <c r="UZG39" s="48"/>
      <c r="UZH39" s="48"/>
      <c r="UZI39" s="48"/>
      <c r="UZJ39" s="48"/>
      <c r="UZK39" s="48"/>
      <c r="UZL39" s="48"/>
      <c r="UZM39" s="48"/>
      <c r="UZN39" s="48"/>
      <c r="UZO39" s="48"/>
      <c r="UZP39" s="48"/>
      <c r="UZQ39" s="48"/>
      <c r="UZR39" s="48"/>
      <c r="UZS39" s="45"/>
      <c r="UZT39" s="46"/>
      <c r="UZU39" s="46"/>
      <c r="UZV39" s="47"/>
      <c r="UZW39" s="48"/>
      <c r="UZX39" s="48"/>
      <c r="UZY39" s="48"/>
      <c r="UZZ39" s="48"/>
      <c r="VAA39" s="48"/>
      <c r="VAB39" s="48"/>
      <c r="VAC39" s="48"/>
      <c r="VAD39" s="48"/>
      <c r="VAE39" s="48"/>
      <c r="VAF39" s="48"/>
      <c r="VAG39" s="48"/>
      <c r="VAH39" s="48"/>
      <c r="VAI39" s="48"/>
      <c r="VAJ39" s="48"/>
      <c r="VAK39" s="48"/>
      <c r="VAL39" s="48"/>
      <c r="VAM39" s="48"/>
      <c r="VAN39" s="48"/>
      <c r="VAO39" s="45"/>
      <c r="VAP39" s="46"/>
      <c r="VAQ39" s="46"/>
      <c r="VAR39" s="47"/>
      <c r="VAS39" s="48"/>
      <c r="VAT39" s="48"/>
      <c r="VAU39" s="48"/>
      <c r="VAV39" s="48"/>
      <c r="VAW39" s="48"/>
      <c r="VAX39" s="48"/>
      <c r="VAY39" s="48"/>
      <c r="VAZ39" s="48"/>
      <c r="VBA39" s="48"/>
      <c r="VBB39" s="48"/>
      <c r="VBC39" s="48"/>
      <c r="VBD39" s="48"/>
      <c r="VBE39" s="48"/>
      <c r="VBF39" s="48"/>
      <c r="VBG39" s="48"/>
      <c r="VBH39" s="48"/>
      <c r="VBI39" s="48"/>
      <c r="VBJ39" s="48"/>
      <c r="VBK39" s="45"/>
      <c r="VBL39" s="46"/>
      <c r="VBM39" s="46"/>
      <c r="VBN39" s="47"/>
      <c r="VBO39" s="48"/>
      <c r="VBP39" s="48"/>
      <c r="VBQ39" s="48"/>
      <c r="VBR39" s="48"/>
      <c r="VBS39" s="48"/>
      <c r="VBT39" s="48"/>
      <c r="VBU39" s="48"/>
      <c r="VBV39" s="48"/>
      <c r="VBW39" s="48"/>
      <c r="VBX39" s="48"/>
      <c r="VBY39" s="48"/>
      <c r="VBZ39" s="48"/>
      <c r="VCA39" s="48"/>
      <c r="VCB39" s="48"/>
      <c r="VCC39" s="48"/>
      <c r="VCD39" s="48"/>
      <c r="VCE39" s="48"/>
      <c r="VCF39" s="48"/>
      <c r="VCG39" s="45"/>
      <c r="VCH39" s="46"/>
      <c r="VCI39" s="46"/>
      <c r="VCJ39" s="47"/>
      <c r="VCK39" s="48"/>
      <c r="VCL39" s="48"/>
      <c r="VCM39" s="48"/>
      <c r="VCN39" s="48"/>
      <c r="VCO39" s="48"/>
      <c r="VCP39" s="48"/>
      <c r="VCQ39" s="48"/>
      <c r="VCR39" s="48"/>
      <c r="VCS39" s="48"/>
      <c r="VCT39" s="48"/>
      <c r="VCU39" s="48"/>
      <c r="VCV39" s="48"/>
      <c r="VCW39" s="48"/>
      <c r="VCX39" s="48"/>
      <c r="VCY39" s="48"/>
      <c r="VCZ39" s="48"/>
      <c r="VDA39" s="48"/>
      <c r="VDB39" s="48"/>
      <c r="VDC39" s="45"/>
      <c r="VDD39" s="46"/>
      <c r="VDE39" s="46"/>
      <c r="VDF39" s="47"/>
      <c r="VDG39" s="48"/>
      <c r="VDH39" s="48"/>
      <c r="VDI39" s="48"/>
      <c r="VDJ39" s="48"/>
      <c r="VDK39" s="48"/>
      <c r="VDL39" s="48"/>
      <c r="VDM39" s="48"/>
      <c r="VDN39" s="48"/>
      <c r="VDO39" s="48"/>
      <c r="VDP39" s="48"/>
      <c r="VDQ39" s="48"/>
      <c r="VDR39" s="48"/>
      <c r="VDS39" s="48"/>
      <c r="VDT39" s="48"/>
      <c r="VDU39" s="48"/>
      <c r="VDV39" s="48"/>
      <c r="VDW39" s="48"/>
      <c r="VDX39" s="48"/>
      <c r="VDY39" s="45"/>
      <c r="VDZ39" s="46"/>
      <c r="VEA39" s="46"/>
      <c r="VEB39" s="47"/>
      <c r="VEC39" s="48"/>
      <c r="VED39" s="48"/>
      <c r="VEE39" s="48"/>
      <c r="VEF39" s="48"/>
      <c r="VEG39" s="48"/>
      <c r="VEH39" s="48"/>
      <c r="VEI39" s="48"/>
      <c r="VEJ39" s="48"/>
      <c r="VEK39" s="48"/>
      <c r="VEL39" s="48"/>
      <c r="VEM39" s="48"/>
      <c r="VEN39" s="48"/>
      <c r="VEO39" s="48"/>
      <c r="VEP39" s="48"/>
      <c r="VEQ39" s="48"/>
      <c r="VER39" s="48"/>
      <c r="VES39" s="48"/>
      <c r="VET39" s="48"/>
      <c r="VEU39" s="45"/>
      <c r="VEV39" s="46"/>
      <c r="VEW39" s="46"/>
      <c r="VEX39" s="47"/>
      <c r="VEY39" s="48"/>
      <c r="VEZ39" s="48"/>
      <c r="VFA39" s="48"/>
      <c r="VFB39" s="48"/>
      <c r="VFC39" s="48"/>
      <c r="VFD39" s="48"/>
      <c r="VFE39" s="48"/>
      <c r="VFF39" s="48"/>
      <c r="VFG39" s="48"/>
      <c r="VFH39" s="48"/>
      <c r="VFI39" s="48"/>
      <c r="VFJ39" s="48"/>
      <c r="VFK39" s="48"/>
      <c r="VFL39" s="48"/>
      <c r="VFM39" s="48"/>
      <c r="VFN39" s="48"/>
      <c r="VFO39" s="48"/>
      <c r="VFP39" s="48"/>
      <c r="VFQ39" s="45"/>
      <c r="VFR39" s="46"/>
      <c r="VFS39" s="46"/>
      <c r="VFT39" s="47"/>
      <c r="VFU39" s="48"/>
      <c r="VFV39" s="48"/>
      <c r="VFW39" s="48"/>
      <c r="VFX39" s="48"/>
      <c r="VFY39" s="48"/>
      <c r="VFZ39" s="48"/>
      <c r="VGA39" s="48"/>
      <c r="VGB39" s="48"/>
      <c r="VGC39" s="48"/>
      <c r="VGD39" s="48"/>
      <c r="VGE39" s="48"/>
      <c r="VGF39" s="48"/>
      <c r="VGG39" s="48"/>
      <c r="VGH39" s="48"/>
      <c r="VGI39" s="48"/>
      <c r="VGJ39" s="48"/>
      <c r="VGK39" s="48"/>
      <c r="VGL39" s="48"/>
      <c r="VGM39" s="45"/>
      <c r="VGN39" s="46"/>
      <c r="VGO39" s="46"/>
      <c r="VGP39" s="47"/>
      <c r="VGQ39" s="48"/>
      <c r="VGR39" s="48"/>
      <c r="VGS39" s="48"/>
      <c r="VGT39" s="48"/>
      <c r="VGU39" s="48"/>
      <c r="VGV39" s="48"/>
      <c r="VGW39" s="48"/>
      <c r="VGX39" s="48"/>
      <c r="VGY39" s="48"/>
      <c r="VGZ39" s="48"/>
      <c r="VHA39" s="48"/>
      <c r="VHB39" s="48"/>
      <c r="VHC39" s="48"/>
      <c r="VHD39" s="48"/>
      <c r="VHE39" s="48"/>
      <c r="VHF39" s="48"/>
      <c r="VHG39" s="48"/>
      <c r="VHH39" s="48"/>
      <c r="VHI39" s="45"/>
      <c r="VHJ39" s="46"/>
      <c r="VHK39" s="46"/>
      <c r="VHL39" s="47"/>
      <c r="VHM39" s="48"/>
      <c r="VHN39" s="48"/>
      <c r="VHO39" s="48"/>
      <c r="VHP39" s="48"/>
      <c r="VHQ39" s="48"/>
      <c r="VHR39" s="48"/>
      <c r="VHS39" s="48"/>
      <c r="VHT39" s="48"/>
      <c r="VHU39" s="48"/>
      <c r="VHV39" s="48"/>
      <c r="VHW39" s="48"/>
      <c r="VHX39" s="48"/>
      <c r="VHY39" s="48"/>
      <c r="VHZ39" s="48"/>
      <c r="VIA39" s="48"/>
      <c r="VIB39" s="48"/>
      <c r="VIC39" s="48"/>
      <c r="VID39" s="48"/>
      <c r="VIE39" s="45"/>
      <c r="VIF39" s="46"/>
      <c r="VIG39" s="46"/>
      <c r="VIH39" s="47"/>
      <c r="VII39" s="48"/>
      <c r="VIJ39" s="48"/>
      <c r="VIK39" s="48"/>
      <c r="VIL39" s="48"/>
      <c r="VIM39" s="48"/>
      <c r="VIN39" s="48"/>
      <c r="VIO39" s="48"/>
      <c r="VIP39" s="48"/>
      <c r="VIQ39" s="48"/>
      <c r="VIR39" s="48"/>
      <c r="VIS39" s="48"/>
      <c r="VIT39" s="48"/>
      <c r="VIU39" s="48"/>
      <c r="VIV39" s="48"/>
      <c r="VIW39" s="48"/>
      <c r="VIX39" s="48"/>
      <c r="VIY39" s="48"/>
      <c r="VIZ39" s="48"/>
      <c r="VJA39" s="45"/>
      <c r="VJB39" s="46"/>
      <c r="VJC39" s="46"/>
      <c r="VJD39" s="47"/>
      <c r="VJE39" s="48"/>
      <c r="VJF39" s="48"/>
      <c r="VJG39" s="48"/>
      <c r="VJH39" s="48"/>
      <c r="VJI39" s="48"/>
      <c r="VJJ39" s="48"/>
      <c r="VJK39" s="48"/>
      <c r="VJL39" s="48"/>
      <c r="VJM39" s="48"/>
      <c r="VJN39" s="48"/>
      <c r="VJO39" s="48"/>
      <c r="VJP39" s="48"/>
      <c r="VJQ39" s="48"/>
      <c r="VJR39" s="48"/>
      <c r="VJS39" s="48"/>
      <c r="VJT39" s="48"/>
      <c r="VJU39" s="48"/>
      <c r="VJV39" s="48"/>
      <c r="VJW39" s="45"/>
      <c r="VJX39" s="46"/>
      <c r="VJY39" s="46"/>
      <c r="VJZ39" s="47"/>
      <c r="VKA39" s="48"/>
      <c r="VKB39" s="48"/>
      <c r="VKC39" s="48"/>
      <c r="VKD39" s="48"/>
      <c r="VKE39" s="48"/>
      <c r="VKF39" s="48"/>
      <c r="VKG39" s="48"/>
      <c r="VKH39" s="48"/>
      <c r="VKI39" s="48"/>
      <c r="VKJ39" s="48"/>
      <c r="VKK39" s="48"/>
      <c r="VKL39" s="48"/>
      <c r="VKM39" s="48"/>
      <c r="VKN39" s="48"/>
      <c r="VKO39" s="48"/>
      <c r="VKP39" s="48"/>
      <c r="VKQ39" s="48"/>
      <c r="VKR39" s="48"/>
      <c r="VKS39" s="45"/>
      <c r="VKT39" s="46"/>
      <c r="VKU39" s="46"/>
      <c r="VKV39" s="47"/>
      <c r="VKW39" s="48"/>
      <c r="VKX39" s="48"/>
      <c r="VKY39" s="48"/>
      <c r="VKZ39" s="48"/>
      <c r="VLA39" s="48"/>
      <c r="VLB39" s="48"/>
      <c r="VLC39" s="48"/>
      <c r="VLD39" s="48"/>
      <c r="VLE39" s="48"/>
      <c r="VLF39" s="48"/>
      <c r="VLG39" s="48"/>
      <c r="VLH39" s="48"/>
      <c r="VLI39" s="48"/>
      <c r="VLJ39" s="48"/>
      <c r="VLK39" s="48"/>
      <c r="VLL39" s="48"/>
      <c r="VLM39" s="48"/>
      <c r="VLN39" s="48"/>
      <c r="VLO39" s="45"/>
      <c r="VLP39" s="46"/>
      <c r="VLQ39" s="46"/>
      <c r="VLR39" s="47"/>
      <c r="VLS39" s="48"/>
      <c r="VLT39" s="48"/>
      <c r="VLU39" s="48"/>
      <c r="VLV39" s="48"/>
      <c r="VLW39" s="48"/>
      <c r="VLX39" s="48"/>
      <c r="VLY39" s="48"/>
      <c r="VLZ39" s="48"/>
      <c r="VMA39" s="48"/>
      <c r="VMB39" s="48"/>
      <c r="VMC39" s="48"/>
      <c r="VMD39" s="48"/>
      <c r="VME39" s="48"/>
      <c r="VMF39" s="48"/>
      <c r="VMG39" s="48"/>
      <c r="VMH39" s="48"/>
      <c r="VMI39" s="48"/>
      <c r="VMJ39" s="48"/>
      <c r="VMK39" s="45"/>
      <c r="VML39" s="46"/>
      <c r="VMM39" s="46"/>
      <c r="VMN39" s="47"/>
      <c r="VMO39" s="48"/>
      <c r="VMP39" s="48"/>
      <c r="VMQ39" s="48"/>
      <c r="VMR39" s="48"/>
      <c r="VMS39" s="48"/>
      <c r="VMT39" s="48"/>
      <c r="VMU39" s="48"/>
      <c r="VMV39" s="48"/>
      <c r="VMW39" s="48"/>
      <c r="VMX39" s="48"/>
      <c r="VMY39" s="48"/>
      <c r="VMZ39" s="48"/>
      <c r="VNA39" s="48"/>
      <c r="VNB39" s="48"/>
      <c r="VNC39" s="48"/>
      <c r="VND39" s="48"/>
      <c r="VNE39" s="48"/>
      <c r="VNF39" s="48"/>
      <c r="VNG39" s="45"/>
      <c r="VNH39" s="46"/>
      <c r="VNI39" s="46"/>
      <c r="VNJ39" s="47"/>
      <c r="VNK39" s="48"/>
      <c r="VNL39" s="48"/>
      <c r="VNM39" s="48"/>
      <c r="VNN39" s="48"/>
      <c r="VNO39" s="48"/>
      <c r="VNP39" s="48"/>
      <c r="VNQ39" s="48"/>
      <c r="VNR39" s="48"/>
      <c r="VNS39" s="48"/>
      <c r="VNT39" s="48"/>
      <c r="VNU39" s="48"/>
      <c r="VNV39" s="48"/>
      <c r="VNW39" s="48"/>
      <c r="VNX39" s="48"/>
      <c r="VNY39" s="48"/>
      <c r="VNZ39" s="48"/>
      <c r="VOA39" s="48"/>
      <c r="VOB39" s="48"/>
      <c r="VOC39" s="45"/>
      <c r="VOD39" s="46"/>
      <c r="VOE39" s="46"/>
      <c r="VOF39" s="47"/>
      <c r="VOG39" s="48"/>
      <c r="VOH39" s="48"/>
      <c r="VOI39" s="48"/>
      <c r="VOJ39" s="48"/>
      <c r="VOK39" s="48"/>
      <c r="VOL39" s="48"/>
      <c r="VOM39" s="48"/>
      <c r="VON39" s="48"/>
      <c r="VOO39" s="48"/>
      <c r="VOP39" s="48"/>
      <c r="VOQ39" s="48"/>
      <c r="VOR39" s="48"/>
      <c r="VOS39" s="48"/>
      <c r="VOT39" s="48"/>
      <c r="VOU39" s="48"/>
      <c r="VOV39" s="48"/>
      <c r="VOW39" s="48"/>
      <c r="VOX39" s="48"/>
      <c r="VOY39" s="45"/>
      <c r="VOZ39" s="46"/>
      <c r="VPA39" s="46"/>
      <c r="VPB39" s="47"/>
      <c r="VPC39" s="48"/>
      <c r="VPD39" s="48"/>
      <c r="VPE39" s="48"/>
      <c r="VPF39" s="48"/>
      <c r="VPG39" s="48"/>
      <c r="VPH39" s="48"/>
      <c r="VPI39" s="48"/>
      <c r="VPJ39" s="48"/>
      <c r="VPK39" s="48"/>
      <c r="VPL39" s="48"/>
      <c r="VPM39" s="48"/>
      <c r="VPN39" s="48"/>
      <c r="VPO39" s="48"/>
      <c r="VPP39" s="48"/>
      <c r="VPQ39" s="48"/>
      <c r="VPR39" s="48"/>
      <c r="VPS39" s="48"/>
      <c r="VPT39" s="48"/>
      <c r="VPU39" s="45"/>
      <c r="VPV39" s="46"/>
      <c r="VPW39" s="46"/>
      <c r="VPX39" s="47"/>
      <c r="VPY39" s="48"/>
      <c r="VPZ39" s="48"/>
      <c r="VQA39" s="48"/>
      <c r="VQB39" s="48"/>
      <c r="VQC39" s="48"/>
      <c r="VQD39" s="48"/>
      <c r="VQE39" s="48"/>
      <c r="VQF39" s="48"/>
      <c r="VQG39" s="48"/>
      <c r="VQH39" s="48"/>
      <c r="VQI39" s="48"/>
      <c r="VQJ39" s="48"/>
      <c r="VQK39" s="48"/>
      <c r="VQL39" s="48"/>
      <c r="VQM39" s="48"/>
      <c r="VQN39" s="48"/>
      <c r="VQO39" s="48"/>
      <c r="VQP39" s="48"/>
      <c r="VQQ39" s="45"/>
      <c r="VQR39" s="46"/>
      <c r="VQS39" s="46"/>
      <c r="VQT39" s="47"/>
      <c r="VQU39" s="48"/>
      <c r="VQV39" s="48"/>
      <c r="VQW39" s="48"/>
      <c r="VQX39" s="48"/>
      <c r="VQY39" s="48"/>
      <c r="VQZ39" s="48"/>
      <c r="VRA39" s="48"/>
      <c r="VRB39" s="48"/>
      <c r="VRC39" s="48"/>
      <c r="VRD39" s="48"/>
      <c r="VRE39" s="48"/>
      <c r="VRF39" s="48"/>
      <c r="VRG39" s="48"/>
      <c r="VRH39" s="48"/>
      <c r="VRI39" s="48"/>
      <c r="VRJ39" s="48"/>
      <c r="VRK39" s="48"/>
      <c r="VRL39" s="48"/>
      <c r="VRM39" s="45"/>
      <c r="VRN39" s="46"/>
      <c r="VRO39" s="46"/>
      <c r="VRP39" s="47"/>
      <c r="VRQ39" s="48"/>
      <c r="VRR39" s="48"/>
      <c r="VRS39" s="48"/>
      <c r="VRT39" s="48"/>
      <c r="VRU39" s="48"/>
      <c r="VRV39" s="48"/>
      <c r="VRW39" s="48"/>
      <c r="VRX39" s="48"/>
      <c r="VRY39" s="48"/>
      <c r="VRZ39" s="48"/>
      <c r="VSA39" s="48"/>
      <c r="VSB39" s="48"/>
      <c r="VSC39" s="48"/>
      <c r="VSD39" s="48"/>
      <c r="VSE39" s="48"/>
      <c r="VSF39" s="48"/>
      <c r="VSG39" s="48"/>
      <c r="VSH39" s="48"/>
      <c r="VSI39" s="45"/>
      <c r="VSJ39" s="46"/>
      <c r="VSK39" s="46"/>
      <c r="VSL39" s="47"/>
      <c r="VSM39" s="48"/>
      <c r="VSN39" s="48"/>
      <c r="VSO39" s="48"/>
      <c r="VSP39" s="48"/>
      <c r="VSQ39" s="48"/>
      <c r="VSR39" s="48"/>
      <c r="VSS39" s="48"/>
      <c r="VST39" s="48"/>
      <c r="VSU39" s="48"/>
      <c r="VSV39" s="48"/>
      <c r="VSW39" s="48"/>
      <c r="VSX39" s="48"/>
      <c r="VSY39" s="48"/>
      <c r="VSZ39" s="48"/>
      <c r="VTA39" s="48"/>
      <c r="VTB39" s="48"/>
      <c r="VTC39" s="48"/>
      <c r="VTD39" s="48"/>
      <c r="VTE39" s="45"/>
      <c r="VTF39" s="46"/>
      <c r="VTG39" s="46"/>
      <c r="VTH39" s="47"/>
      <c r="VTI39" s="48"/>
      <c r="VTJ39" s="48"/>
      <c r="VTK39" s="48"/>
      <c r="VTL39" s="48"/>
      <c r="VTM39" s="48"/>
      <c r="VTN39" s="48"/>
      <c r="VTO39" s="48"/>
      <c r="VTP39" s="48"/>
      <c r="VTQ39" s="48"/>
      <c r="VTR39" s="48"/>
      <c r="VTS39" s="48"/>
      <c r="VTT39" s="48"/>
      <c r="VTU39" s="48"/>
      <c r="VTV39" s="48"/>
      <c r="VTW39" s="48"/>
      <c r="VTX39" s="48"/>
      <c r="VTY39" s="48"/>
      <c r="VTZ39" s="48"/>
      <c r="VUA39" s="45"/>
      <c r="VUB39" s="46"/>
      <c r="VUC39" s="46"/>
      <c r="VUD39" s="47"/>
      <c r="VUE39" s="48"/>
      <c r="VUF39" s="48"/>
      <c r="VUG39" s="48"/>
      <c r="VUH39" s="48"/>
      <c r="VUI39" s="48"/>
      <c r="VUJ39" s="48"/>
      <c r="VUK39" s="48"/>
      <c r="VUL39" s="48"/>
      <c r="VUM39" s="48"/>
      <c r="VUN39" s="48"/>
      <c r="VUO39" s="48"/>
      <c r="VUP39" s="48"/>
      <c r="VUQ39" s="48"/>
      <c r="VUR39" s="48"/>
      <c r="VUS39" s="48"/>
      <c r="VUT39" s="48"/>
      <c r="VUU39" s="48"/>
      <c r="VUV39" s="48"/>
      <c r="VUW39" s="45"/>
      <c r="VUX39" s="46"/>
      <c r="VUY39" s="46"/>
      <c r="VUZ39" s="47"/>
      <c r="VVA39" s="48"/>
      <c r="VVB39" s="48"/>
      <c r="VVC39" s="48"/>
      <c r="VVD39" s="48"/>
      <c r="VVE39" s="48"/>
      <c r="VVF39" s="48"/>
      <c r="VVG39" s="48"/>
      <c r="VVH39" s="48"/>
      <c r="VVI39" s="48"/>
      <c r="VVJ39" s="48"/>
      <c r="VVK39" s="48"/>
      <c r="VVL39" s="48"/>
      <c r="VVM39" s="48"/>
      <c r="VVN39" s="48"/>
      <c r="VVO39" s="48"/>
      <c r="VVP39" s="48"/>
      <c r="VVQ39" s="48"/>
      <c r="VVR39" s="48"/>
      <c r="VVS39" s="45"/>
      <c r="VVT39" s="46"/>
      <c r="VVU39" s="46"/>
      <c r="VVV39" s="47"/>
      <c r="VVW39" s="48"/>
      <c r="VVX39" s="48"/>
      <c r="VVY39" s="48"/>
      <c r="VVZ39" s="48"/>
      <c r="VWA39" s="48"/>
      <c r="VWB39" s="48"/>
      <c r="VWC39" s="48"/>
      <c r="VWD39" s="48"/>
      <c r="VWE39" s="48"/>
      <c r="VWF39" s="48"/>
      <c r="VWG39" s="48"/>
      <c r="VWH39" s="48"/>
      <c r="VWI39" s="48"/>
      <c r="VWJ39" s="48"/>
      <c r="VWK39" s="48"/>
      <c r="VWL39" s="48"/>
      <c r="VWM39" s="48"/>
      <c r="VWN39" s="48"/>
      <c r="VWO39" s="45"/>
      <c r="VWP39" s="46"/>
      <c r="VWQ39" s="46"/>
      <c r="VWR39" s="47"/>
      <c r="VWS39" s="48"/>
      <c r="VWT39" s="48"/>
      <c r="VWU39" s="48"/>
      <c r="VWV39" s="48"/>
      <c r="VWW39" s="48"/>
      <c r="VWX39" s="48"/>
      <c r="VWY39" s="48"/>
      <c r="VWZ39" s="48"/>
      <c r="VXA39" s="48"/>
      <c r="VXB39" s="48"/>
      <c r="VXC39" s="48"/>
      <c r="VXD39" s="48"/>
      <c r="VXE39" s="48"/>
      <c r="VXF39" s="48"/>
      <c r="VXG39" s="48"/>
      <c r="VXH39" s="48"/>
      <c r="VXI39" s="48"/>
      <c r="VXJ39" s="48"/>
      <c r="VXK39" s="45"/>
      <c r="VXL39" s="46"/>
      <c r="VXM39" s="46"/>
      <c r="VXN39" s="47"/>
      <c r="VXO39" s="48"/>
      <c r="VXP39" s="48"/>
      <c r="VXQ39" s="48"/>
      <c r="VXR39" s="48"/>
      <c r="VXS39" s="48"/>
      <c r="VXT39" s="48"/>
      <c r="VXU39" s="48"/>
      <c r="VXV39" s="48"/>
      <c r="VXW39" s="48"/>
      <c r="VXX39" s="48"/>
      <c r="VXY39" s="48"/>
      <c r="VXZ39" s="48"/>
      <c r="VYA39" s="48"/>
      <c r="VYB39" s="48"/>
      <c r="VYC39" s="48"/>
      <c r="VYD39" s="48"/>
      <c r="VYE39" s="48"/>
      <c r="VYF39" s="48"/>
      <c r="VYG39" s="45"/>
      <c r="VYH39" s="46"/>
      <c r="VYI39" s="46"/>
      <c r="VYJ39" s="47"/>
      <c r="VYK39" s="48"/>
      <c r="VYL39" s="48"/>
      <c r="VYM39" s="48"/>
      <c r="VYN39" s="48"/>
      <c r="VYO39" s="48"/>
      <c r="VYP39" s="48"/>
      <c r="VYQ39" s="48"/>
      <c r="VYR39" s="48"/>
      <c r="VYS39" s="48"/>
      <c r="VYT39" s="48"/>
      <c r="VYU39" s="48"/>
      <c r="VYV39" s="48"/>
      <c r="VYW39" s="48"/>
      <c r="VYX39" s="48"/>
      <c r="VYY39" s="48"/>
      <c r="VYZ39" s="48"/>
      <c r="VZA39" s="48"/>
      <c r="VZB39" s="48"/>
      <c r="VZC39" s="45"/>
      <c r="VZD39" s="46"/>
      <c r="VZE39" s="46"/>
      <c r="VZF39" s="47"/>
      <c r="VZG39" s="48"/>
      <c r="VZH39" s="48"/>
      <c r="VZI39" s="48"/>
      <c r="VZJ39" s="48"/>
      <c r="VZK39" s="48"/>
      <c r="VZL39" s="48"/>
      <c r="VZM39" s="48"/>
      <c r="VZN39" s="48"/>
      <c r="VZO39" s="48"/>
      <c r="VZP39" s="48"/>
      <c r="VZQ39" s="48"/>
      <c r="VZR39" s="48"/>
      <c r="VZS39" s="48"/>
      <c r="VZT39" s="48"/>
      <c r="VZU39" s="48"/>
      <c r="VZV39" s="48"/>
      <c r="VZW39" s="48"/>
      <c r="VZX39" s="48"/>
      <c r="VZY39" s="45"/>
      <c r="VZZ39" s="46"/>
      <c r="WAA39" s="46"/>
      <c r="WAB39" s="47"/>
      <c r="WAC39" s="48"/>
      <c r="WAD39" s="48"/>
      <c r="WAE39" s="48"/>
      <c r="WAF39" s="48"/>
      <c r="WAG39" s="48"/>
      <c r="WAH39" s="48"/>
      <c r="WAI39" s="48"/>
      <c r="WAJ39" s="48"/>
      <c r="WAK39" s="48"/>
      <c r="WAL39" s="48"/>
      <c r="WAM39" s="48"/>
      <c r="WAN39" s="48"/>
      <c r="WAO39" s="48"/>
      <c r="WAP39" s="48"/>
      <c r="WAQ39" s="48"/>
      <c r="WAR39" s="48"/>
      <c r="WAS39" s="48"/>
      <c r="WAT39" s="48"/>
      <c r="WAU39" s="45"/>
      <c r="WAV39" s="46"/>
      <c r="WAW39" s="46"/>
      <c r="WAX39" s="47"/>
      <c r="WAY39" s="48"/>
      <c r="WAZ39" s="48"/>
      <c r="WBA39" s="48"/>
      <c r="WBB39" s="48"/>
      <c r="WBC39" s="48"/>
      <c r="WBD39" s="48"/>
      <c r="WBE39" s="48"/>
      <c r="WBF39" s="48"/>
      <c r="WBG39" s="48"/>
      <c r="WBH39" s="48"/>
      <c r="WBI39" s="48"/>
      <c r="WBJ39" s="48"/>
      <c r="WBK39" s="48"/>
      <c r="WBL39" s="48"/>
      <c r="WBM39" s="48"/>
      <c r="WBN39" s="48"/>
      <c r="WBO39" s="48"/>
      <c r="WBP39" s="48"/>
      <c r="WBQ39" s="45"/>
      <c r="WBR39" s="46"/>
      <c r="WBS39" s="46"/>
      <c r="WBT39" s="47"/>
      <c r="WBU39" s="48"/>
      <c r="WBV39" s="48"/>
      <c r="WBW39" s="48"/>
      <c r="WBX39" s="48"/>
      <c r="WBY39" s="48"/>
      <c r="WBZ39" s="48"/>
      <c r="WCA39" s="48"/>
      <c r="WCB39" s="48"/>
      <c r="WCC39" s="48"/>
      <c r="WCD39" s="48"/>
      <c r="WCE39" s="48"/>
      <c r="WCF39" s="48"/>
      <c r="WCG39" s="48"/>
      <c r="WCH39" s="48"/>
      <c r="WCI39" s="48"/>
      <c r="WCJ39" s="48"/>
      <c r="WCK39" s="48"/>
      <c r="WCL39" s="48"/>
      <c r="WCM39" s="45"/>
      <c r="WCN39" s="46"/>
      <c r="WCO39" s="46"/>
      <c r="WCP39" s="47"/>
      <c r="WCQ39" s="48"/>
      <c r="WCR39" s="48"/>
      <c r="WCS39" s="48"/>
      <c r="WCT39" s="48"/>
      <c r="WCU39" s="48"/>
      <c r="WCV39" s="48"/>
      <c r="WCW39" s="48"/>
      <c r="WCX39" s="48"/>
      <c r="WCY39" s="48"/>
      <c r="WCZ39" s="48"/>
      <c r="WDA39" s="48"/>
      <c r="WDB39" s="48"/>
      <c r="WDC39" s="48"/>
      <c r="WDD39" s="48"/>
      <c r="WDE39" s="48"/>
      <c r="WDF39" s="48"/>
      <c r="WDG39" s="48"/>
      <c r="WDH39" s="48"/>
      <c r="WDI39" s="45"/>
      <c r="WDJ39" s="46"/>
      <c r="WDK39" s="46"/>
      <c r="WDL39" s="47"/>
      <c r="WDM39" s="48"/>
      <c r="WDN39" s="48"/>
      <c r="WDO39" s="48"/>
      <c r="WDP39" s="48"/>
      <c r="WDQ39" s="48"/>
      <c r="WDR39" s="48"/>
      <c r="WDS39" s="48"/>
      <c r="WDT39" s="48"/>
      <c r="WDU39" s="48"/>
      <c r="WDV39" s="48"/>
      <c r="WDW39" s="48"/>
      <c r="WDX39" s="48"/>
      <c r="WDY39" s="48"/>
      <c r="WDZ39" s="48"/>
      <c r="WEA39" s="48"/>
      <c r="WEB39" s="48"/>
      <c r="WEC39" s="48"/>
      <c r="WED39" s="48"/>
      <c r="WEE39" s="45"/>
      <c r="WEF39" s="46"/>
      <c r="WEG39" s="46"/>
      <c r="WEH39" s="47"/>
      <c r="WEI39" s="48"/>
      <c r="WEJ39" s="48"/>
      <c r="WEK39" s="48"/>
      <c r="WEL39" s="48"/>
      <c r="WEM39" s="48"/>
      <c r="WEN39" s="48"/>
      <c r="WEO39" s="48"/>
      <c r="WEP39" s="48"/>
      <c r="WEQ39" s="48"/>
      <c r="WER39" s="48"/>
      <c r="WES39" s="48"/>
      <c r="WET39" s="48"/>
      <c r="WEU39" s="48"/>
      <c r="WEV39" s="48"/>
      <c r="WEW39" s="48"/>
      <c r="WEX39" s="48"/>
      <c r="WEY39" s="48"/>
      <c r="WEZ39" s="48"/>
      <c r="WFA39" s="45"/>
      <c r="WFB39" s="46"/>
      <c r="WFC39" s="46"/>
      <c r="WFD39" s="47"/>
      <c r="WFE39" s="48"/>
      <c r="WFF39" s="48"/>
      <c r="WFG39" s="48"/>
      <c r="WFH39" s="48"/>
      <c r="WFI39" s="48"/>
      <c r="WFJ39" s="48"/>
      <c r="WFK39" s="48"/>
      <c r="WFL39" s="48"/>
      <c r="WFM39" s="48"/>
      <c r="WFN39" s="48"/>
      <c r="WFO39" s="48"/>
      <c r="WFP39" s="48"/>
      <c r="WFQ39" s="48"/>
      <c r="WFR39" s="48"/>
      <c r="WFS39" s="48"/>
      <c r="WFT39" s="48"/>
      <c r="WFU39" s="48"/>
      <c r="WFV39" s="48"/>
      <c r="WFW39" s="45"/>
      <c r="WFX39" s="46"/>
      <c r="WFY39" s="46"/>
      <c r="WFZ39" s="47"/>
      <c r="WGA39" s="48"/>
      <c r="WGB39" s="48"/>
      <c r="WGC39" s="48"/>
      <c r="WGD39" s="48"/>
      <c r="WGE39" s="48"/>
      <c r="WGF39" s="48"/>
      <c r="WGG39" s="48"/>
      <c r="WGH39" s="48"/>
      <c r="WGI39" s="48"/>
      <c r="WGJ39" s="48"/>
      <c r="WGK39" s="48"/>
      <c r="WGL39" s="48"/>
      <c r="WGM39" s="48"/>
      <c r="WGN39" s="48"/>
      <c r="WGO39" s="48"/>
      <c r="WGP39" s="48"/>
      <c r="WGQ39" s="48"/>
      <c r="WGR39" s="48"/>
      <c r="WGS39" s="45"/>
      <c r="WGT39" s="46"/>
      <c r="WGU39" s="46"/>
      <c r="WGV39" s="47"/>
      <c r="WGW39" s="48"/>
      <c r="WGX39" s="48"/>
      <c r="WGY39" s="48"/>
      <c r="WGZ39" s="48"/>
      <c r="WHA39" s="48"/>
      <c r="WHB39" s="48"/>
      <c r="WHC39" s="48"/>
      <c r="WHD39" s="48"/>
      <c r="WHE39" s="48"/>
      <c r="WHF39" s="48"/>
      <c r="WHG39" s="48"/>
      <c r="WHH39" s="48"/>
      <c r="WHI39" s="48"/>
      <c r="WHJ39" s="48"/>
      <c r="WHK39" s="48"/>
      <c r="WHL39" s="48"/>
      <c r="WHM39" s="48"/>
      <c r="WHN39" s="48"/>
      <c r="WHO39" s="45"/>
      <c r="WHP39" s="46"/>
      <c r="WHQ39" s="46"/>
      <c r="WHR39" s="47"/>
      <c r="WHS39" s="48"/>
      <c r="WHT39" s="48"/>
      <c r="WHU39" s="48"/>
      <c r="WHV39" s="48"/>
      <c r="WHW39" s="48"/>
      <c r="WHX39" s="48"/>
      <c r="WHY39" s="48"/>
      <c r="WHZ39" s="48"/>
      <c r="WIA39" s="48"/>
      <c r="WIB39" s="48"/>
      <c r="WIC39" s="48"/>
      <c r="WID39" s="48"/>
      <c r="WIE39" s="48"/>
      <c r="WIF39" s="48"/>
      <c r="WIG39" s="48"/>
      <c r="WIH39" s="48"/>
      <c r="WII39" s="48"/>
      <c r="WIJ39" s="48"/>
      <c r="WIK39" s="45"/>
      <c r="WIL39" s="46"/>
      <c r="WIM39" s="46"/>
      <c r="WIN39" s="47"/>
      <c r="WIO39" s="48"/>
      <c r="WIP39" s="48"/>
      <c r="WIQ39" s="48"/>
      <c r="WIR39" s="48"/>
      <c r="WIS39" s="48"/>
      <c r="WIT39" s="48"/>
      <c r="WIU39" s="48"/>
      <c r="WIV39" s="48"/>
      <c r="WIW39" s="48"/>
      <c r="WIX39" s="48"/>
      <c r="WIY39" s="48"/>
      <c r="WIZ39" s="48"/>
      <c r="WJA39" s="48"/>
      <c r="WJB39" s="48"/>
      <c r="WJC39" s="48"/>
      <c r="WJD39" s="48"/>
      <c r="WJE39" s="48"/>
      <c r="WJF39" s="48"/>
      <c r="WJG39" s="45"/>
      <c r="WJH39" s="46"/>
      <c r="WJI39" s="46"/>
      <c r="WJJ39" s="47"/>
      <c r="WJK39" s="48"/>
      <c r="WJL39" s="48"/>
      <c r="WJM39" s="48"/>
      <c r="WJN39" s="48"/>
      <c r="WJO39" s="48"/>
      <c r="WJP39" s="48"/>
      <c r="WJQ39" s="48"/>
      <c r="WJR39" s="48"/>
      <c r="WJS39" s="48"/>
      <c r="WJT39" s="48"/>
      <c r="WJU39" s="48"/>
      <c r="WJV39" s="48"/>
      <c r="WJW39" s="48"/>
      <c r="WJX39" s="48"/>
      <c r="WJY39" s="48"/>
      <c r="WJZ39" s="48"/>
      <c r="WKA39" s="48"/>
      <c r="WKB39" s="48"/>
      <c r="WKC39" s="45"/>
      <c r="WKD39" s="46"/>
      <c r="WKE39" s="46"/>
      <c r="WKF39" s="47"/>
      <c r="WKG39" s="48"/>
      <c r="WKH39" s="48"/>
      <c r="WKI39" s="48"/>
      <c r="WKJ39" s="48"/>
      <c r="WKK39" s="48"/>
      <c r="WKL39" s="48"/>
      <c r="WKM39" s="48"/>
      <c r="WKN39" s="48"/>
      <c r="WKO39" s="48"/>
      <c r="WKP39" s="48"/>
      <c r="WKQ39" s="48"/>
      <c r="WKR39" s="48"/>
      <c r="WKS39" s="48"/>
      <c r="WKT39" s="48"/>
      <c r="WKU39" s="48"/>
      <c r="WKV39" s="48"/>
      <c r="WKW39" s="48"/>
      <c r="WKX39" s="48"/>
      <c r="WKY39" s="45"/>
      <c r="WKZ39" s="46"/>
      <c r="WLA39" s="46"/>
      <c r="WLB39" s="47"/>
      <c r="WLC39" s="48"/>
      <c r="WLD39" s="48"/>
      <c r="WLE39" s="48"/>
      <c r="WLF39" s="48"/>
      <c r="WLG39" s="48"/>
      <c r="WLH39" s="48"/>
      <c r="WLI39" s="48"/>
      <c r="WLJ39" s="48"/>
      <c r="WLK39" s="48"/>
      <c r="WLL39" s="48"/>
      <c r="WLM39" s="48"/>
      <c r="WLN39" s="48"/>
      <c r="WLO39" s="48"/>
      <c r="WLP39" s="48"/>
      <c r="WLQ39" s="48"/>
      <c r="WLR39" s="48"/>
      <c r="WLS39" s="48"/>
      <c r="WLT39" s="48"/>
      <c r="WLU39" s="45"/>
      <c r="WLV39" s="46"/>
      <c r="WLW39" s="46"/>
      <c r="WLX39" s="47"/>
      <c r="WLY39" s="48"/>
      <c r="WLZ39" s="48"/>
      <c r="WMA39" s="48"/>
      <c r="WMB39" s="48"/>
      <c r="WMC39" s="48"/>
      <c r="WMD39" s="48"/>
      <c r="WME39" s="48"/>
      <c r="WMF39" s="48"/>
      <c r="WMG39" s="48"/>
      <c r="WMH39" s="48"/>
      <c r="WMI39" s="48"/>
      <c r="WMJ39" s="48"/>
      <c r="WMK39" s="48"/>
      <c r="WML39" s="48"/>
      <c r="WMM39" s="48"/>
      <c r="WMN39" s="48"/>
      <c r="WMO39" s="48"/>
      <c r="WMP39" s="48"/>
      <c r="WMQ39" s="45"/>
      <c r="WMR39" s="46"/>
      <c r="WMS39" s="46"/>
      <c r="WMT39" s="47"/>
      <c r="WMU39" s="48"/>
      <c r="WMV39" s="48"/>
      <c r="WMW39" s="48"/>
      <c r="WMX39" s="48"/>
      <c r="WMY39" s="48"/>
      <c r="WMZ39" s="48"/>
      <c r="WNA39" s="48"/>
      <c r="WNB39" s="48"/>
      <c r="WNC39" s="48"/>
      <c r="WND39" s="48"/>
      <c r="WNE39" s="48"/>
      <c r="WNF39" s="48"/>
      <c r="WNG39" s="48"/>
      <c r="WNH39" s="48"/>
      <c r="WNI39" s="48"/>
      <c r="WNJ39" s="48"/>
      <c r="WNK39" s="48"/>
      <c r="WNL39" s="48"/>
      <c r="WNM39" s="45"/>
      <c r="WNN39" s="46"/>
      <c r="WNO39" s="46"/>
      <c r="WNP39" s="47"/>
      <c r="WNQ39" s="48"/>
      <c r="WNR39" s="48"/>
      <c r="WNS39" s="48"/>
      <c r="WNT39" s="48"/>
      <c r="WNU39" s="48"/>
      <c r="WNV39" s="48"/>
      <c r="WNW39" s="48"/>
      <c r="WNX39" s="48"/>
      <c r="WNY39" s="48"/>
      <c r="WNZ39" s="48"/>
      <c r="WOA39" s="48"/>
      <c r="WOB39" s="48"/>
      <c r="WOC39" s="48"/>
      <c r="WOD39" s="48"/>
      <c r="WOE39" s="48"/>
      <c r="WOF39" s="48"/>
      <c r="WOG39" s="48"/>
      <c r="WOH39" s="48"/>
      <c r="WOI39" s="45"/>
      <c r="WOJ39" s="46"/>
      <c r="WOK39" s="46"/>
      <c r="WOL39" s="47"/>
      <c r="WOM39" s="48"/>
      <c r="WON39" s="48"/>
      <c r="WOO39" s="48"/>
      <c r="WOP39" s="48"/>
      <c r="WOQ39" s="48"/>
      <c r="WOR39" s="48"/>
      <c r="WOS39" s="48"/>
      <c r="WOT39" s="48"/>
      <c r="WOU39" s="48"/>
      <c r="WOV39" s="48"/>
      <c r="WOW39" s="48"/>
      <c r="WOX39" s="48"/>
      <c r="WOY39" s="48"/>
      <c r="WOZ39" s="48"/>
      <c r="WPA39" s="48"/>
      <c r="WPB39" s="48"/>
      <c r="WPC39" s="48"/>
      <c r="WPD39" s="48"/>
      <c r="WPE39" s="45"/>
      <c r="WPF39" s="46"/>
      <c r="WPG39" s="46"/>
      <c r="WPH39" s="47"/>
      <c r="WPI39" s="48"/>
      <c r="WPJ39" s="48"/>
      <c r="WPK39" s="48"/>
      <c r="WPL39" s="48"/>
      <c r="WPM39" s="48"/>
      <c r="WPN39" s="48"/>
      <c r="WPO39" s="48"/>
      <c r="WPP39" s="48"/>
      <c r="WPQ39" s="48"/>
      <c r="WPR39" s="48"/>
      <c r="WPS39" s="48"/>
      <c r="WPT39" s="48"/>
      <c r="WPU39" s="48"/>
      <c r="WPV39" s="48"/>
      <c r="WPW39" s="48"/>
      <c r="WPX39" s="48"/>
      <c r="WPY39" s="48"/>
      <c r="WPZ39" s="48"/>
      <c r="WQA39" s="45"/>
      <c r="WQB39" s="46"/>
      <c r="WQC39" s="46"/>
      <c r="WQD39" s="47"/>
      <c r="WQE39" s="48"/>
      <c r="WQF39" s="48"/>
      <c r="WQG39" s="48"/>
      <c r="WQH39" s="48"/>
      <c r="WQI39" s="48"/>
      <c r="WQJ39" s="48"/>
      <c r="WQK39" s="48"/>
      <c r="WQL39" s="48"/>
      <c r="WQM39" s="48"/>
      <c r="WQN39" s="48"/>
      <c r="WQO39" s="48"/>
      <c r="WQP39" s="48"/>
      <c r="WQQ39" s="48"/>
      <c r="WQR39" s="48"/>
      <c r="WQS39" s="48"/>
      <c r="WQT39" s="48"/>
      <c r="WQU39" s="48"/>
      <c r="WQV39" s="48"/>
      <c r="WQW39" s="45"/>
      <c r="WQX39" s="46"/>
      <c r="WQY39" s="46"/>
      <c r="WQZ39" s="47"/>
      <c r="WRA39" s="48"/>
      <c r="WRB39" s="48"/>
      <c r="WRC39" s="48"/>
      <c r="WRD39" s="48"/>
      <c r="WRE39" s="48"/>
      <c r="WRF39" s="48"/>
      <c r="WRG39" s="48"/>
      <c r="WRH39" s="48"/>
      <c r="WRI39" s="48"/>
      <c r="WRJ39" s="48"/>
      <c r="WRK39" s="48"/>
      <c r="WRL39" s="48"/>
      <c r="WRM39" s="48"/>
      <c r="WRN39" s="48"/>
      <c r="WRO39" s="48"/>
      <c r="WRP39" s="48"/>
      <c r="WRQ39" s="48"/>
      <c r="WRR39" s="48"/>
      <c r="WRS39" s="45"/>
      <c r="WRT39" s="46"/>
      <c r="WRU39" s="46"/>
      <c r="WRV39" s="47"/>
      <c r="WRW39" s="48"/>
      <c r="WRX39" s="48"/>
      <c r="WRY39" s="48"/>
      <c r="WRZ39" s="48"/>
      <c r="WSA39" s="48"/>
      <c r="WSB39" s="48"/>
      <c r="WSC39" s="48"/>
      <c r="WSD39" s="48"/>
      <c r="WSE39" s="48"/>
      <c r="WSF39" s="48"/>
      <c r="WSG39" s="48"/>
      <c r="WSH39" s="48"/>
      <c r="WSI39" s="48"/>
      <c r="WSJ39" s="48"/>
      <c r="WSK39" s="48"/>
      <c r="WSL39" s="48"/>
      <c r="WSM39" s="48"/>
      <c r="WSN39" s="48"/>
      <c r="WSO39" s="45"/>
      <c r="WSP39" s="46"/>
      <c r="WSQ39" s="46"/>
      <c r="WSR39" s="47"/>
      <c r="WSS39" s="48"/>
      <c r="WST39" s="48"/>
      <c r="WSU39" s="48"/>
      <c r="WSV39" s="48"/>
      <c r="WSW39" s="48"/>
      <c r="WSX39" s="48"/>
      <c r="WSY39" s="48"/>
      <c r="WSZ39" s="48"/>
      <c r="WTA39" s="48"/>
      <c r="WTB39" s="48"/>
      <c r="WTC39" s="48"/>
      <c r="WTD39" s="48"/>
      <c r="WTE39" s="48"/>
      <c r="WTF39" s="48"/>
      <c r="WTG39" s="48"/>
      <c r="WTH39" s="48"/>
      <c r="WTI39" s="48"/>
      <c r="WTJ39" s="48"/>
      <c r="WTK39" s="45"/>
      <c r="WTL39" s="46"/>
      <c r="WTM39" s="46"/>
      <c r="WTN39" s="47"/>
      <c r="WTO39" s="48"/>
      <c r="WTP39" s="48"/>
      <c r="WTQ39" s="48"/>
      <c r="WTR39" s="48"/>
      <c r="WTS39" s="48"/>
      <c r="WTT39" s="48"/>
      <c r="WTU39" s="48"/>
      <c r="WTV39" s="48"/>
      <c r="WTW39" s="48"/>
      <c r="WTX39" s="48"/>
      <c r="WTY39" s="48"/>
      <c r="WTZ39" s="48"/>
      <c r="WUA39" s="48"/>
      <c r="WUB39" s="48"/>
      <c r="WUC39" s="48"/>
      <c r="WUD39" s="48"/>
      <c r="WUE39" s="48"/>
      <c r="WUF39" s="48"/>
      <c r="WUG39" s="45"/>
      <c r="WUH39" s="46"/>
      <c r="WUI39" s="46"/>
      <c r="WUJ39" s="47"/>
      <c r="WUK39" s="48"/>
      <c r="WUL39" s="48"/>
      <c r="WUM39" s="48"/>
      <c r="WUN39" s="48"/>
      <c r="WUO39" s="48"/>
      <c r="WUP39" s="48"/>
      <c r="WUQ39" s="48"/>
      <c r="WUR39" s="48"/>
      <c r="WUS39" s="48"/>
      <c r="WUT39" s="48"/>
      <c r="WUU39" s="48"/>
      <c r="WUV39" s="48"/>
      <c r="WUW39" s="48"/>
      <c r="WUX39" s="48"/>
      <c r="WUY39" s="48"/>
      <c r="WUZ39" s="48"/>
      <c r="WVA39" s="48"/>
      <c r="WVB39" s="48"/>
      <c r="WVC39" s="45"/>
      <c r="WVD39" s="46"/>
      <c r="WVE39" s="46"/>
      <c r="WVF39" s="47"/>
      <c r="WVG39" s="48"/>
      <c r="WVH39" s="48"/>
      <c r="WVI39" s="48"/>
      <c r="WVJ39" s="48"/>
      <c r="WVK39" s="48"/>
      <c r="WVL39" s="48"/>
      <c r="WVM39" s="48"/>
      <c r="WVN39" s="48"/>
      <c r="WVO39" s="48"/>
      <c r="WVP39" s="48"/>
      <c r="WVQ39" s="48"/>
      <c r="WVR39" s="48"/>
      <c r="WVS39" s="48"/>
      <c r="WVT39" s="48"/>
      <c r="WVU39" s="48"/>
      <c r="WVV39" s="48"/>
      <c r="WVW39" s="48"/>
      <c r="WVX39" s="48"/>
      <c r="WVY39" s="45"/>
      <c r="WVZ39" s="46"/>
      <c r="WWA39" s="46"/>
      <c r="WWB39" s="47"/>
      <c r="WWC39" s="48"/>
      <c r="WWD39" s="48"/>
      <c r="WWE39" s="48"/>
      <c r="WWF39" s="48"/>
      <c r="WWG39" s="48"/>
      <c r="WWH39" s="48"/>
      <c r="WWI39" s="48"/>
      <c r="WWJ39" s="48"/>
      <c r="WWK39" s="48"/>
      <c r="WWL39" s="48"/>
      <c r="WWM39" s="48"/>
      <c r="WWN39" s="48"/>
      <c r="WWO39" s="48"/>
      <c r="WWP39" s="48"/>
      <c r="WWQ39" s="48"/>
      <c r="WWR39" s="48"/>
      <c r="WWS39" s="48"/>
      <c r="WWT39" s="48"/>
      <c r="WWU39" s="45"/>
      <c r="WWV39" s="46"/>
      <c r="WWW39" s="46"/>
      <c r="WWX39" s="47"/>
      <c r="WWY39" s="48"/>
      <c r="WWZ39" s="48"/>
      <c r="WXA39" s="48"/>
      <c r="WXB39" s="48"/>
      <c r="WXC39" s="48"/>
      <c r="WXD39" s="48"/>
      <c r="WXE39" s="48"/>
      <c r="WXF39" s="48"/>
      <c r="WXG39" s="48"/>
      <c r="WXH39" s="48"/>
      <c r="WXI39" s="48"/>
      <c r="WXJ39" s="48"/>
      <c r="WXK39" s="48"/>
      <c r="WXL39" s="48"/>
      <c r="WXM39" s="48"/>
      <c r="WXN39" s="48"/>
      <c r="WXO39" s="48"/>
      <c r="WXP39" s="48"/>
      <c r="WXQ39" s="45"/>
      <c r="WXR39" s="46"/>
      <c r="WXS39" s="46"/>
      <c r="WXT39" s="47"/>
      <c r="WXU39" s="48"/>
      <c r="WXV39" s="48"/>
      <c r="WXW39" s="48"/>
      <c r="WXX39" s="48"/>
      <c r="WXY39" s="48"/>
      <c r="WXZ39" s="48"/>
      <c r="WYA39" s="48"/>
      <c r="WYB39" s="48"/>
      <c r="WYC39" s="48"/>
      <c r="WYD39" s="48"/>
      <c r="WYE39" s="48"/>
      <c r="WYF39" s="48"/>
      <c r="WYG39" s="48"/>
      <c r="WYH39" s="48"/>
      <c r="WYI39" s="48"/>
      <c r="WYJ39" s="48"/>
      <c r="WYK39" s="48"/>
      <c r="WYL39" s="48"/>
      <c r="WYM39" s="45"/>
      <c r="WYN39" s="46"/>
      <c r="WYO39" s="46"/>
      <c r="WYP39" s="47"/>
      <c r="WYQ39" s="48"/>
      <c r="WYR39" s="48"/>
      <c r="WYS39" s="48"/>
      <c r="WYT39" s="48"/>
      <c r="WYU39" s="48"/>
      <c r="WYV39" s="48"/>
      <c r="WYW39" s="48"/>
      <c r="WYX39" s="48"/>
      <c r="WYY39" s="48"/>
      <c r="WYZ39" s="48"/>
      <c r="WZA39" s="48"/>
      <c r="WZB39" s="48"/>
      <c r="WZC39" s="48"/>
      <c r="WZD39" s="48"/>
      <c r="WZE39" s="48"/>
      <c r="WZF39" s="48"/>
      <c r="WZG39" s="48"/>
      <c r="WZH39" s="48"/>
      <c r="WZI39" s="45"/>
      <c r="WZJ39" s="46"/>
      <c r="WZK39" s="46"/>
      <c r="WZL39" s="47"/>
      <c r="WZM39" s="48"/>
      <c r="WZN39" s="48"/>
      <c r="WZO39" s="48"/>
      <c r="WZP39" s="48"/>
      <c r="WZQ39" s="48"/>
      <c r="WZR39" s="48"/>
      <c r="WZS39" s="48"/>
      <c r="WZT39" s="48"/>
      <c r="WZU39" s="48"/>
      <c r="WZV39" s="48"/>
      <c r="WZW39" s="48"/>
      <c r="WZX39" s="48"/>
      <c r="WZY39" s="48"/>
      <c r="WZZ39" s="48"/>
      <c r="XAA39" s="48"/>
      <c r="XAB39" s="48"/>
      <c r="XAC39" s="48"/>
      <c r="XAD39" s="48"/>
      <c r="XAE39" s="45"/>
      <c r="XAF39" s="46"/>
      <c r="XAG39" s="46"/>
      <c r="XAH39" s="47"/>
      <c r="XAI39" s="48"/>
      <c r="XAJ39" s="48"/>
      <c r="XAK39" s="48"/>
      <c r="XAL39" s="48"/>
      <c r="XAM39" s="48"/>
      <c r="XAN39" s="48"/>
      <c r="XAO39" s="48"/>
      <c r="XAP39" s="48"/>
      <c r="XAQ39" s="48"/>
      <c r="XAR39" s="48"/>
      <c r="XAS39" s="48"/>
      <c r="XAT39" s="48"/>
      <c r="XAU39" s="48"/>
      <c r="XAV39" s="48"/>
      <c r="XAW39" s="48"/>
      <c r="XAX39" s="48"/>
      <c r="XAY39" s="48"/>
      <c r="XAZ39" s="48"/>
      <c r="XBA39" s="45"/>
      <c r="XBB39" s="46"/>
      <c r="XBC39" s="46"/>
      <c r="XBD39" s="47"/>
      <c r="XBE39" s="48"/>
      <c r="XBF39" s="48"/>
      <c r="XBG39" s="48"/>
      <c r="XBH39" s="48"/>
      <c r="XBI39" s="48"/>
      <c r="XBJ39" s="48"/>
      <c r="XBK39" s="48"/>
      <c r="XBL39" s="48"/>
      <c r="XBM39" s="48"/>
      <c r="XBN39" s="48"/>
      <c r="XBO39" s="48"/>
      <c r="XBP39" s="48"/>
      <c r="XBQ39" s="48"/>
      <c r="XBR39" s="48"/>
      <c r="XBS39" s="48"/>
      <c r="XBT39" s="48"/>
      <c r="XBU39" s="48"/>
      <c r="XBV39" s="48"/>
      <c r="XBW39" s="45"/>
      <c r="XBX39" s="46"/>
      <c r="XBY39" s="46"/>
      <c r="XBZ39" s="47"/>
      <c r="XCA39" s="48"/>
      <c r="XCB39" s="48"/>
      <c r="XCC39" s="48"/>
      <c r="XCD39" s="48"/>
      <c r="XCE39" s="48"/>
      <c r="XCF39" s="48"/>
      <c r="XCG39" s="48"/>
      <c r="XCH39" s="48"/>
      <c r="XCI39" s="48"/>
      <c r="XCJ39" s="48"/>
      <c r="XCK39" s="48"/>
      <c r="XCL39" s="48"/>
      <c r="XCM39" s="48"/>
      <c r="XCN39" s="48"/>
      <c r="XCO39" s="48"/>
      <c r="XCP39" s="48"/>
      <c r="XCQ39" s="48"/>
      <c r="XCR39" s="48"/>
      <c r="XCS39" s="45"/>
      <c r="XCT39" s="46"/>
      <c r="XCU39" s="46"/>
      <c r="XCV39" s="47"/>
      <c r="XCW39" s="48"/>
      <c r="XCX39" s="48"/>
      <c r="XCY39" s="48"/>
      <c r="XCZ39" s="48"/>
      <c r="XDA39" s="48"/>
      <c r="XDB39" s="48"/>
      <c r="XDC39" s="48"/>
      <c r="XDD39" s="48"/>
      <c r="XDE39" s="48"/>
      <c r="XDF39" s="48"/>
      <c r="XDG39" s="48"/>
      <c r="XDH39" s="48"/>
      <c r="XDI39" s="48"/>
      <c r="XDJ39" s="48"/>
      <c r="XDK39" s="48"/>
      <c r="XDL39" s="48"/>
      <c r="XDM39" s="48"/>
      <c r="XDN39" s="48"/>
      <c r="XDO39" s="45"/>
      <c r="XDP39" s="46"/>
      <c r="XDQ39" s="46"/>
      <c r="XDR39" s="47"/>
      <c r="XDS39" s="48"/>
      <c r="XDT39" s="48"/>
      <c r="XDU39" s="48"/>
      <c r="XDV39" s="48"/>
      <c r="XDW39" s="48"/>
      <c r="XDX39" s="48"/>
      <c r="XDY39" s="48"/>
      <c r="XDZ39" s="48"/>
      <c r="XEA39" s="48"/>
      <c r="XEB39" s="48"/>
      <c r="XEC39" s="48"/>
      <c r="XED39" s="48"/>
      <c r="XEE39" s="48"/>
      <c r="XEF39" s="48"/>
      <c r="XEG39" s="48"/>
      <c r="XEH39" s="48"/>
      <c r="XEI39" s="48"/>
      <c r="XEJ39" s="48"/>
      <c r="XEK39" s="45"/>
      <c r="XEL39" s="46"/>
      <c r="XEM39" s="46"/>
      <c r="XEN39" s="47"/>
      <c r="XEO39" s="48"/>
      <c r="XEP39" s="48"/>
      <c r="XEQ39" s="48"/>
      <c r="XER39" s="48"/>
      <c r="XES39" s="48"/>
      <c r="XET39" s="48"/>
      <c r="XEU39" s="48"/>
      <c r="XEV39" s="48"/>
      <c r="XEW39" s="48"/>
      <c r="XEX39" s="48"/>
      <c r="XEY39" s="48"/>
      <c r="XEZ39" s="48"/>
      <c r="XFA39" s="48"/>
      <c r="XFB39" s="48"/>
      <c r="XFC39" s="48"/>
    </row>
    <row r="40" spans="1:16383" s="50" customFormat="1" x14ac:dyDescent="0.3">
      <c r="A40" s="47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74"/>
      <c r="N40" s="45"/>
      <c r="O40" s="45"/>
      <c r="P40" s="45"/>
      <c r="Q40" s="45"/>
      <c r="R40" s="45"/>
      <c r="S40" s="45"/>
      <c r="T40" s="46" t="str">
        <f t="shared" si="2"/>
        <v/>
      </c>
      <c r="U40" s="46" t="str">
        <f t="shared" si="3"/>
        <v/>
      </c>
      <c r="V40" s="72" t="str">
        <f t="shared" si="4"/>
        <v/>
      </c>
      <c r="W40" s="48"/>
      <c r="X40" s="73" t="str">
        <f t="shared" si="6"/>
        <v/>
      </c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43"/>
      <c r="CY40" s="43"/>
      <c r="CZ40" s="43"/>
      <c r="DA40" s="43"/>
      <c r="DB40" s="43"/>
      <c r="DC40" s="43"/>
      <c r="DD40" s="43"/>
      <c r="DE40" s="43"/>
      <c r="DF40" s="43"/>
      <c r="DG40" s="43"/>
      <c r="DH40" s="43"/>
      <c r="DI40" s="43"/>
      <c r="DJ40" s="43"/>
      <c r="DK40" s="43"/>
      <c r="DL40" s="43"/>
      <c r="DM40" s="43"/>
      <c r="DN40" s="43"/>
      <c r="DO40" s="43"/>
      <c r="DP40" s="43"/>
      <c r="DQ40" s="43"/>
      <c r="DR40" s="43"/>
      <c r="DS40" s="43"/>
      <c r="DT40" s="43"/>
      <c r="DU40" s="43"/>
      <c r="DV40" s="43"/>
      <c r="DW40" s="43"/>
      <c r="DX40" s="43"/>
      <c r="DY40" s="43"/>
      <c r="DZ40" s="43"/>
      <c r="EA40" s="43"/>
      <c r="EB40" s="43"/>
      <c r="EC40" s="43"/>
      <c r="ED40" s="43"/>
      <c r="EE40" s="43"/>
      <c r="EF40" s="43"/>
      <c r="EG40" s="43"/>
      <c r="EH40" s="43"/>
      <c r="EI40" s="43"/>
      <c r="EJ40" s="43"/>
      <c r="EK40" s="43"/>
      <c r="EL40" s="43"/>
      <c r="EM40" s="43"/>
      <c r="EN40" s="43"/>
      <c r="EO40" s="43"/>
      <c r="EP40" s="43"/>
      <c r="EQ40" s="43"/>
      <c r="ER40" s="43"/>
      <c r="ES40" s="43"/>
      <c r="ET40" s="43"/>
      <c r="EU40" s="43"/>
      <c r="EV40" s="43"/>
      <c r="EW40" s="43"/>
      <c r="EX40" s="43"/>
      <c r="EY40" s="43"/>
      <c r="EZ40" s="43"/>
      <c r="FA40" s="43"/>
      <c r="FB40" s="43"/>
      <c r="FC40" s="43"/>
      <c r="FD40" s="43"/>
      <c r="FE40" s="43"/>
      <c r="FF40" s="43"/>
      <c r="FG40" s="43"/>
      <c r="FH40" s="43"/>
      <c r="FI40" s="43"/>
      <c r="FJ40" s="43"/>
      <c r="FK40" s="43"/>
      <c r="FL40" s="43"/>
      <c r="FM40" s="43"/>
      <c r="FN40" s="43"/>
      <c r="FO40" s="43"/>
      <c r="FP40" s="43"/>
      <c r="FQ40" s="43"/>
      <c r="FR40" s="43"/>
      <c r="FS40" s="43"/>
      <c r="FT40" s="43"/>
      <c r="FU40" s="43"/>
      <c r="FV40" s="43"/>
      <c r="FW40" s="43"/>
      <c r="FX40" s="43"/>
      <c r="FY40" s="43"/>
      <c r="FZ40" s="43"/>
      <c r="GA40" s="43"/>
      <c r="GB40" s="43"/>
      <c r="GC40" s="43"/>
      <c r="GD40" s="43"/>
      <c r="GE40" s="43"/>
      <c r="GF40" s="43"/>
      <c r="GG40" s="43"/>
      <c r="GH40" s="43"/>
      <c r="GI40" s="43"/>
      <c r="GJ40" s="43"/>
      <c r="GK40" s="43"/>
      <c r="GL40" s="43"/>
      <c r="GM40" s="43"/>
      <c r="GN40" s="43"/>
      <c r="GO40" s="43"/>
      <c r="GP40" s="43"/>
      <c r="GQ40" s="43"/>
      <c r="GR40" s="43"/>
      <c r="GS40" s="43"/>
      <c r="GT40" s="43"/>
      <c r="GU40" s="43"/>
      <c r="GV40" s="43"/>
      <c r="GW40" s="43"/>
      <c r="GX40" s="43"/>
      <c r="GY40" s="43"/>
      <c r="GZ40" s="43"/>
      <c r="HA40" s="43"/>
      <c r="HB40" s="43"/>
      <c r="HC40" s="43"/>
      <c r="HD40" s="43"/>
      <c r="HE40" s="43"/>
      <c r="HF40" s="43"/>
      <c r="HG40" s="43"/>
      <c r="HH40" s="43"/>
      <c r="HI40" s="43"/>
      <c r="HJ40" s="43"/>
      <c r="HK40" s="43"/>
      <c r="HL40" s="43"/>
      <c r="HM40" s="43"/>
      <c r="HN40" s="43"/>
      <c r="HO40" s="43"/>
      <c r="HP40" s="43"/>
      <c r="HQ40" s="43"/>
      <c r="HR40" s="43"/>
      <c r="HS40" s="43"/>
      <c r="HT40" s="43"/>
      <c r="HU40" s="43"/>
      <c r="HV40" s="43"/>
      <c r="HW40" s="43"/>
      <c r="HX40" s="43"/>
      <c r="HY40" s="43"/>
      <c r="HZ40" s="43"/>
      <c r="IA40" s="43"/>
      <c r="IB40" s="43"/>
      <c r="IC40" s="43"/>
      <c r="ID40" s="43"/>
      <c r="IE40" s="43"/>
      <c r="IF40" s="43"/>
      <c r="IG40" s="43"/>
      <c r="IH40" s="43"/>
      <c r="II40" s="43"/>
      <c r="IJ40" s="43"/>
      <c r="IK40" s="43"/>
      <c r="IL40" s="43"/>
      <c r="IM40" s="43"/>
      <c r="IN40" s="43"/>
      <c r="IO40" s="43"/>
      <c r="IP40" s="43"/>
      <c r="IQ40" s="43"/>
      <c r="IR40" s="43"/>
      <c r="IS40" s="43"/>
      <c r="IT40" s="43"/>
      <c r="IU40" s="43"/>
      <c r="IV40" s="43"/>
      <c r="IW40" s="43"/>
      <c r="IX40" s="43"/>
      <c r="IY40" s="43"/>
      <c r="IZ40" s="43"/>
      <c r="JA40" s="43"/>
      <c r="JB40" s="43"/>
      <c r="JC40" s="43"/>
      <c r="JD40" s="43"/>
      <c r="JE40" s="43"/>
      <c r="JF40" s="43"/>
      <c r="JG40" s="43"/>
      <c r="JH40" s="43"/>
      <c r="JI40" s="43"/>
      <c r="JJ40" s="43"/>
      <c r="JK40" s="43"/>
      <c r="JL40" s="43"/>
      <c r="JM40" s="43"/>
      <c r="JN40" s="43"/>
      <c r="JO40" s="43"/>
      <c r="JP40" s="43"/>
      <c r="JQ40" s="43"/>
      <c r="JR40" s="43"/>
      <c r="JS40" s="43"/>
      <c r="JT40" s="43"/>
      <c r="JU40" s="43"/>
      <c r="JV40" s="43"/>
      <c r="JW40" s="43"/>
      <c r="JX40" s="43"/>
      <c r="JY40" s="43"/>
      <c r="JZ40" s="43"/>
      <c r="KA40" s="43"/>
      <c r="KB40" s="43"/>
      <c r="KC40" s="43"/>
      <c r="KD40" s="43"/>
      <c r="KE40" s="43"/>
      <c r="KF40" s="43"/>
      <c r="KG40" s="43"/>
      <c r="KH40" s="43"/>
      <c r="KI40" s="43"/>
      <c r="KJ40" s="43"/>
      <c r="KK40" s="43"/>
      <c r="KL40" s="43"/>
      <c r="KM40" s="43"/>
      <c r="KN40" s="43"/>
      <c r="KO40" s="43"/>
      <c r="KP40" s="43"/>
      <c r="KQ40" s="43"/>
      <c r="KR40" s="43"/>
      <c r="KS40" s="43"/>
      <c r="KT40" s="43"/>
      <c r="KU40" s="43"/>
      <c r="KV40" s="43"/>
      <c r="KW40" s="43"/>
      <c r="KX40" s="43"/>
      <c r="KY40" s="43"/>
      <c r="KZ40" s="43"/>
      <c r="LA40" s="43"/>
      <c r="LB40" s="43"/>
      <c r="LC40" s="43"/>
      <c r="LD40" s="43"/>
      <c r="LE40" s="43"/>
      <c r="LF40" s="43"/>
      <c r="LG40" s="43"/>
      <c r="LH40" s="43"/>
      <c r="LI40" s="43"/>
      <c r="LJ40" s="43"/>
      <c r="LK40" s="43"/>
      <c r="LL40" s="43"/>
      <c r="LM40" s="43"/>
      <c r="LN40" s="43"/>
      <c r="LO40" s="43"/>
      <c r="LP40" s="43"/>
      <c r="LQ40" s="43"/>
      <c r="LR40" s="43"/>
      <c r="LS40" s="43"/>
      <c r="LT40" s="43"/>
      <c r="LU40" s="43"/>
      <c r="LV40" s="43"/>
      <c r="LW40" s="43"/>
      <c r="LX40" s="43"/>
      <c r="LY40" s="43"/>
      <c r="LZ40" s="43"/>
      <c r="MA40" s="43"/>
      <c r="MB40" s="43"/>
      <c r="MC40" s="43"/>
      <c r="MD40" s="43"/>
      <c r="ME40" s="43"/>
      <c r="MF40" s="43"/>
      <c r="MG40" s="43"/>
      <c r="MH40" s="43"/>
      <c r="MI40" s="43"/>
      <c r="MJ40" s="43"/>
      <c r="MK40" s="43"/>
      <c r="ML40" s="43"/>
      <c r="MM40" s="43"/>
      <c r="MN40" s="43"/>
      <c r="MO40" s="43"/>
      <c r="MP40" s="43"/>
      <c r="MQ40" s="43"/>
      <c r="MR40" s="43"/>
      <c r="MS40" s="43"/>
      <c r="MT40" s="43"/>
      <c r="MU40" s="43"/>
      <c r="MV40" s="43"/>
      <c r="MW40" s="43"/>
      <c r="MX40" s="43"/>
      <c r="MY40" s="43"/>
      <c r="MZ40" s="43"/>
      <c r="NA40" s="43"/>
      <c r="NB40" s="43"/>
      <c r="NC40" s="43"/>
      <c r="ND40" s="43"/>
      <c r="NE40" s="43"/>
      <c r="NF40" s="43"/>
      <c r="NG40" s="43"/>
      <c r="NH40" s="43"/>
      <c r="NI40" s="43"/>
      <c r="NJ40" s="43"/>
      <c r="NK40" s="43"/>
      <c r="NL40" s="43"/>
      <c r="NM40" s="43"/>
      <c r="NN40" s="43"/>
      <c r="NO40" s="43"/>
      <c r="NP40" s="43"/>
      <c r="NQ40" s="43"/>
      <c r="NR40" s="43"/>
      <c r="NS40" s="43"/>
      <c r="NT40" s="43"/>
      <c r="NU40" s="43"/>
      <c r="NV40" s="43"/>
      <c r="NW40" s="43"/>
      <c r="NX40" s="43"/>
      <c r="NY40" s="43"/>
      <c r="NZ40" s="43"/>
      <c r="OA40" s="43"/>
      <c r="OB40" s="43"/>
      <c r="OC40" s="43"/>
      <c r="OD40" s="43"/>
      <c r="OE40" s="43"/>
      <c r="OF40" s="43"/>
      <c r="OG40" s="43"/>
      <c r="OH40" s="43"/>
      <c r="OI40" s="43"/>
      <c r="OJ40" s="43"/>
      <c r="OK40" s="43"/>
      <c r="OL40" s="43"/>
      <c r="OM40" s="43"/>
      <c r="ON40" s="43"/>
      <c r="OO40" s="43"/>
      <c r="OP40" s="43"/>
      <c r="OQ40" s="43"/>
      <c r="OR40" s="43"/>
      <c r="OS40" s="43"/>
      <c r="OT40" s="43"/>
      <c r="OU40" s="43"/>
      <c r="OV40" s="43"/>
      <c r="OW40" s="43"/>
      <c r="OX40" s="43"/>
      <c r="OY40" s="43"/>
      <c r="OZ40" s="43"/>
      <c r="PA40" s="43"/>
      <c r="PB40" s="43"/>
      <c r="PC40" s="43"/>
      <c r="PD40" s="43"/>
      <c r="PE40" s="43"/>
      <c r="PF40" s="43"/>
      <c r="PG40" s="43"/>
      <c r="PH40" s="43"/>
      <c r="PI40" s="43"/>
      <c r="PJ40" s="43"/>
      <c r="PK40" s="43"/>
      <c r="PL40" s="43"/>
      <c r="PM40" s="43"/>
      <c r="PN40" s="43"/>
      <c r="PO40" s="43"/>
      <c r="PP40" s="43"/>
      <c r="PQ40" s="43"/>
      <c r="PR40" s="43"/>
      <c r="PS40" s="43"/>
      <c r="PT40" s="43"/>
      <c r="PU40" s="43"/>
      <c r="PV40" s="43"/>
      <c r="PW40" s="43"/>
      <c r="PX40" s="43"/>
      <c r="PY40" s="43"/>
      <c r="PZ40" s="43"/>
      <c r="QA40" s="43"/>
      <c r="QB40" s="43"/>
      <c r="QC40" s="43"/>
    </row>
    <row r="41" spans="1:16383" s="50" customFormat="1" x14ac:dyDescent="0.3">
      <c r="A41" s="47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8"/>
      <c r="O41" s="45"/>
      <c r="P41" s="45"/>
      <c r="Q41" s="45"/>
      <c r="R41" s="45"/>
      <c r="S41" s="45"/>
      <c r="T41" s="46" t="str">
        <f t="shared" si="2"/>
        <v/>
      </c>
      <c r="U41" s="46" t="str">
        <f t="shared" si="3"/>
        <v/>
      </c>
      <c r="V41" s="72" t="str">
        <f t="shared" si="4"/>
        <v/>
      </c>
      <c r="W41" s="48"/>
      <c r="X41" s="73" t="str">
        <f t="shared" si="6"/>
        <v/>
      </c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43"/>
      <c r="CY41" s="43"/>
      <c r="CZ41" s="43"/>
      <c r="DA41" s="43"/>
      <c r="DB41" s="43"/>
      <c r="DC41" s="43"/>
      <c r="DD41" s="43"/>
      <c r="DE41" s="43"/>
      <c r="DF41" s="43"/>
      <c r="DG41" s="43"/>
      <c r="DH41" s="43"/>
      <c r="DI41" s="43"/>
      <c r="DJ41" s="43"/>
      <c r="DK41" s="43"/>
      <c r="DL41" s="43"/>
      <c r="DM41" s="43"/>
      <c r="DN41" s="43"/>
      <c r="DO41" s="43"/>
      <c r="DP41" s="43"/>
      <c r="DQ41" s="43"/>
      <c r="DR41" s="43"/>
      <c r="DS41" s="43"/>
      <c r="DT41" s="43"/>
      <c r="DU41" s="43"/>
      <c r="DV41" s="43"/>
      <c r="DW41" s="43"/>
      <c r="DX41" s="43"/>
      <c r="DY41" s="43"/>
      <c r="DZ41" s="43"/>
      <c r="EA41" s="43"/>
      <c r="EB41" s="43"/>
      <c r="EC41" s="43"/>
      <c r="ED41" s="43"/>
      <c r="EE41" s="43"/>
      <c r="EF41" s="43"/>
      <c r="EG41" s="43"/>
      <c r="EH41" s="43"/>
      <c r="EI41" s="43"/>
      <c r="EJ41" s="43"/>
      <c r="EK41" s="43"/>
      <c r="EL41" s="43"/>
      <c r="EM41" s="43"/>
      <c r="EN41" s="43"/>
      <c r="EO41" s="43"/>
      <c r="EP41" s="43"/>
      <c r="EQ41" s="43"/>
      <c r="ER41" s="43"/>
      <c r="ES41" s="43"/>
      <c r="ET41" s="43"/>
      <c r="EU41" s="43"/>
      <c r="EV41" s="43"/>
      <c r="EW41" s="43"/>
      <c r="EX41" s="43"/>
      <c r="EY41" s="43"/>
      <c r="EZ41" s="43"/>
      <c r="FA41" s="43"/>
      <c r="FB41" s="43"/>
      <c r="FC41" s="43"/>
      <c r="FD41" s="43"/>
      <c r="FE41" s="43"/>
      <c r="FF41" s="43"/>
      <c r="FG41" s="43"/>
      <c r="FH41" s="43"/>
      <c r="FI41" s="43"/>
      <c r="FJ41" s="43"/>
      <c r="FK41" s="43"/>
      <c r="FL41" s="43"/>
      <c r="FM41" s="43"/>
      <c r="FN41" s="43"/>
      <c r="FO41" s="43"/>
      <c r="FP41" s="43"/>
      <c r="FQ41" s="43"/>
      <c r="FR41" s="43"/>
      <c r="FS41" s="43"/>
      <c r="FT41" s="43"/>
      <c r="FU41" s="43"/>
      <c r="FV41" s="43"/>
      <c r="FW41" s="43"/>
      <c r="FX41" s="43"/>
      <c r="FY41" s="43"/>
      <c r="FZ41" s="43"/>
      <c r="GA41" s="43"/>
      <c r="GB41" s="43"/>
      <c r="GC41" s="43"/>
      <c r="GD41" s="43"/>
      <c r="GE41" s="43"/>
      <c r="GF41" s="43"/>
      <c r="GG41" s="43"/>
      <c r="GH41" s="43"/>
      <c r="GI41" s="43"/>
      <c r="GJ41" s="43"/>
      <c r="GK41" s="43"/>
      <c r="GL41" s="43"/>
      <c r="GM41" s="43"/>
      <c r="GN41" s="43"/>
      <c r="GO41" s="43"/>
      <c r="GP41" s="43"/>
      <c r="GQ41" s="43"/>
      <c r="GR41" s="43"/>
      <c r="GS41" s="43"/>
      <c r="GT41" s="43"/>
      <c r="GU41" s="43"/>
      <c r="GV41" s="43"/>
      <c r="GW41" s="43"/>
      <c r="GX41" s="43"/>
      <c r="GY41" s="43"/>
      <c r="GZ41" s="43"/>
      <c r="HA41" s="43"/>
      <c r="HB41" s="43"/>
      <c r="HC41" s="43"/>
      <c r="HD41" s="43"/>
      <c r="HE41" s="43"/>
      <c r="HF41" s="43"/>
      <c r="HG41" s="43"/>
      <c r="HH41" s="43"/>
      <c r="HI41" s="43"/>
      <c r="HJ41" s="43"/>
      <c r="HK41" s="43"/>
      <c r="HL41" s="43"/>
      <c r="HM41" s="43"/>
      <c r="HN41" s="43"/>
      <c r="HO41" s="43"/>
      <c r="HP41" s="43"/>
      <c r="HQ41" s="43"/>
      <c r="HR41" s="43"/>
      <c r="HS41" s="43"/>
      <c r="HT41" s="43"/>
      <c r="HU41" s="43"/>
      <c r="HV41" s="43"/>
      <c r="HW41" s="43"/>
      <c r="HX41" s="43"/>
      <c r="HY41" s="43"/>
      <c r="HZ41" s="43"/>
      <c r="IA41" s="43"/>
      <c r="IB41" s="43"/>
      <c r="IC41" s="43"/>
      <c r="ID41" s="43"/>
      <c r="IE41" s="43"/>
      <c r="IF41" s="43"/>
      <c r="IG41" s="43"/>
      <c r="IH41" s="43"/>
      <c r="II41" s="43"/>
      <c r="IJ41" s="43"/>
      <c r="IK41" s="43"/>
      <c r="IL41" s="43"/>
      <c r="IM41" s="43"/>
      <c r="IN41" s="43"/>
      <c r="IO41" s="43"/>
      <c r="IP41" s="43"/>
      <c r="IQ41" s="43"/>
      <c r="IR41" s="43"/>
      <c r="IS41" s="43"/>
      <c r="IT41" s="43"/>
      <c r="IU41" s="43"/>
      <c r="IV41" s="43"/>
      <c r="IW41" s="43"/>
      <c r="IX41" s="43"/>
      <c r="IY41" s="43"/>
      <c r="IZ41" s="43"/>
      <c r="JA41" s="43"/>
      <c r="JB41" s="43"/>
      <c r="JC41" s="43"/>
      <c r="JD41" s="43"/>
      <c r="JE41" s="43"/>
      <c r="JF41" s="43"/>
      <c r="JG41" s="43"/>
      <c r="JH41" s="43"/>
      <c r="JI41" s="43"/>
      <c r="JJ41" s="43"/>
      <c r="JK41" s="43"/>
      <c r="JL41" s="43"/>
      <c r="JM41" s="43"/>
      <c r="JN41" s="43"/>
      <c r="JO41" s="43"/>
      <c r="JP41" s="43"/>
      <c r="JQ41" s="43"/>
      <c r="JR41" s="43"/>
      <c r="JS41" s="43"/>
      <c r="JT41" s="43"/>
      <c r="JU41" s="43"/>
      <c r="JV41" s="43"/>
      <c r="JW41" s="43"/>
      <c r="JX41" s="43"/>
      <c r="JY41" s="43"/>
      <c r="JZ41" s="43"/>
      <c r="KA41" s="43"/>
      <c r="KB41" s="43"/>
      <c r="KC41" s="43"/>
      <c r="KD41" s="43"/>
      <c r="KE41" s="43"/>
      <c r="KF41" s="43"/>
      <c r="KG41" s="43"/>
      <c r="KH41" s="43"/>
      <c r="KI41" s="43"/>
      <c r="KJ41" s="43"/>
      <c r="KK41" s="43"/>
      <c r="KL41" s="43"/>
      <c r="KM41" s="43"/>
      <c r="KN41" s="43"/>
      <c r="KO41" s="43"/>
      <c r="KP41" s="43"/>
      <c r="KQ41" s="43"/>
      <c r="KR41" s="43"/>
      <c r="KS41" s="43"/>
      <c r="KT41" s="43"/>
      <c r="KU41" s="43"/>
      <c r="KV41" s="43"/>
      <c r="KW41" s="43"/>
      <c r="KX41" s="43"/>
      <c r="KY41" s="43"/>
      <c r="KZ41" s="43"/>
      <c r="LA41" s="43"/>
      <c r="LB41" s="43"/>
      <c r="LC41" s="43"/>
      <c r="LD41" s="43"/>
      <c r="LE41" s="43"/>
      <c r="LF41" s="43"/>
      <c r="LG41" s="43"/>
      <c r="LH41" s="43"/>
      <c r="LI41" s="43"/>
      <c r="LJ41" s="43"/>
      <c r="LK41" s="43"/>
      <c r="LL41" s="43"/>
      <c r="LM41" s="43"/>
      <c r="LN41" s="43"/>
      <c r="LO41" s="43"/>
      <c r="LP41" s="43"/>
      <c r="LQ41" s="43"/>
      <c r="LR41" s="43"/>
      <c r="LS41" s="43"/>
      <c r="LT41" s="43"/>
      <c r="LU41" s="43"/>
      <c r="LV41" s="43"/>
      <c r="LW41" s="43"/>
      <c r="LX41" s="43"/>
      <c r="LY41" s="43"/>
      <c r="LZ41" s="43"/>
      <c r="MA41" s="43"/>
      <c r="MB41" s="43"/>
      <c r="MC41" s="43"/>
      <c r="MD41" s="43"/>
      <c r="ME41" s="43"/>
      <c r="MF41" s="43"/>
      <c r="MG41" s="43"/>
      <c r="MH41" s="43"/>
      <c r="MI41" s="43"/>
      <c r="MJ41" s="43"/>
      <c r="MK41" s="43"/>
      <c r="ML41" s="43"/>
      <c r="MM41" s="43"/>
      <c r="MN41" s="43"/>
      <c r="MO41" s="43"/>
      <c r="MP41" s="43"/>
      <c r="MQ41" s="43"/>
      <c r="MR41" s="43"/>
      <c r="MS41" s="43"/>
      <c r="MT41" s="43"/>
      <c r="MU41" s="43"/>
      <c r="MV41" s="43"/>
      <c r="MW41" s="43"/>
      <c r="MX41" s="43"/>
      <c r="MY41" s="43"/>
      <c r="MZ41" s="43"/>
      <c r="NA41" s="43"/>
      <c r="NB41" s="43"/>
      <c r="NC41" s="43"/>
      <c r="ND41" s="43"/>
      <c r="NE41" s="43"/>
      <c r="NF41" s="43"/>
      <c r="NG41" s="43"/>
      <c r="NH41" s="43"/>
      <c r="NI41" s="43"/>
      <c r="NJ41" s="43"/>
      <c r="NK41" s="43"/>
      <c r="NL41" s="43"/>
      <c r="NM41" s="43"/>
      <c r="NN41" s="43"/>
      <c r="NO41" s="43"/>
      <c r="NP41" s="43"/>
      <c r="NQ41" s="43"/>
      <c r="NR41" s="43"/>
      <c r="NS41" s="43"/>
      <c r="NT41" s="43"/>
      <c r="NU41" s="43"/>
      <c r="NV41" s="43"/>
      <c r="NW41" s="43"/>
      <c r="NX41" s="43"/>
      <c r="NY41" s="43"/>
      <c r="NZ41" s="43"/>
      <c r="OA41" s="43"/>
      <c r="OB41" s="43"/>
      <c r="OC41" s="43"/>
      <c r="OD41" s="43"/>
      <c r="OE41" s="43"/>
      <c r="OF41" s="43"/>
      <c r="OG41" s="43"/>
      <c r="OH41" s="43"/>
      <c r="OI41" s="43"/>
      <c r="OJ41" s="43"/>
      <c r="OK41" s="43"/>
      <c r="OL41" s="43"/>
      <c r="OM41" s="43"/>
      <c r="ON41" s="43"/>
      <c r="OO41" s="43"/>
      <c r="OP41" s="43"/>
      <c r="OQ41" s="43"/>
      <c r="OR41" s="43"/>
      <c r="OS41" s="43"/>
      <c r="OT41" s="43"/>
      <c r="OU41" s="43"/>
      <c r="OV41" s="43"/>
      <c r="OW41" s="43"/>
      <c r="OX41" s="43"/>
      <c r="OY41" s="43"/>
      <c r="OZ41" s="43"/>
      <c r="PA41" s="43"/>
      <c r="PB41" s="43"/>
      <c r="PC41" s="43"/>
      <c r="PD41" s="43"/>
      <c r="PE41" s="43"/>
      <c r="PF41" s="43"/>
      <c r="PG41" s="43"/>
      <c r="PH41" s="43"/>
      <c r="PI41" s="43"/>
      <c r="PJ41" s="43"/>
      <c r="PK41" s="43"/>
      <c r="PL41" s="43"/>
      <c r="PM41" s="43"/>
      <c r="PN41" s="43"/>
      <c r="PO41" s="43"/>
      <c r="PP41" s="43"/>
      <c r="PQ41" s="43"/>
      <c r="PR41" s="43"/>
      <c r="PS41" s="43"/>
      <c r="PT41" s="43"/>
      <c r="PU41" s="43"/>
      <c r="PV41" s="43"/>
      <c r="PW41" s="43"/>
      <c r="PX41" s="43"/>
      <c r="PY41" s="43"/>
      <c r="PZ41" s="43"/>
      <c r="QA41" s="43"/>
      <c r="QB41" s="43"/>
      <c r="QC41" s="43"/>
    </row>
    <row r="42" spans="1:16383" s="50" customFormat="1" x14ac:dyDescent="0.3">
      <c r="A42" s="47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6" t="str">
        <f t="shared" si="2"/>
        <v/>
      </c>
      <c r="U42" s="46" t="str">
        <f t="shared" si="3"/>
        <v/>
      </c>
      <c r="V42" s="72" t="str">
        <f t="shared" si="4"/>
        <v/>
      </c>
      <c r="W42" s="49"/>
      <c r="X42" s="73" t="str">
        <f t="shared" si="6"/>
        <v/>
      </c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43"/>
      <c r="CY42" s="43"/>
      <c r="CZ42" s="43"/>
      <c r="DA42" s="43"/>
      <c r="DB42" s="43"/>
      <c r="DC42" s="43"/>
      <c r="DD42" s="43"/>
      <c r="DE42" s="43"/>
      <c r="DF42" s="43"/>
      <c r="DG42" s="43"/>
      <c r="DH42" s="43"/>
      <c r="DI42" s="43"/>
      <c r="DJ42" s="43"/>
      <c r="DK42" s="43"/>
      <c r="DL42" s="43"/>
      <c r="DM42" s="43"/>
      <c r="DN42" s="43"/>
      <c r="DO42" s="43"/>
      <c r="DP42" s="43"/>
      <c r="DQ42" s="43"/>
      <c r="DR42" s="43"/>
      <c r="DS42" s="43"/>
      <c r="DT42" s="43"/>
      <c r="DU42" s="43"/>
      <c r="DV42" s="43"/>
      <c r="DW42" s="43"/>
      <c r="DX42" s="43"/>
      <c r="DY42" s="43"/>
      <c r="DZ42" s="43"/>
      <c r="EA42" s="43"/>
      <c r="EB42" s="43"/>
      <c r="EC42" s="43"/>
      <c r="ED42" s="43"/>
      <c r="EE42" s="43"/>
      <c r="EF42" s="43"/>
      <c r="EG42" s="43"/>
      <c r="EH42" s="43"/>
      <c r="EI42" s="43"/>
      <c r="EJ42" s="43"/>
      <c r="EK42" s="43"/>
      <c r="EL42" s="43"/>
      <c r="EM42" s="43"/>
      <c r="EN42" s="43"/>
      <c r="EO42" s="43"/>
      <c r="EP42" s="43"/>
      <c r="EQ42" s="43"/>
      <c r="ER42" s="43"/>
      <c r="ES42" s="43"/>
      <c r="ET42" s="43"/>
      <c r="EU42" s="43"/>
      <c r="EV42" s="43"/>
      <c r="EW42" s="43"/>
      <c r="EX42" s="43"/>
      <c r="EY42" s="43"/>
      <c r="EZ42" s="43"/>
      <c r="FA42" s="43"/>
      <c r="FB42" s="43"/>
      <c r="FC42" s="43"/>
      <c r="FD42" s="43"/>
      <c r="FE42" s="43"/>
      <c r="FF42" s="43"/>
      <c r="FG42" s="43"/>
      <c r="FH42" s="43"/>
      <c r="FI42" s="43"/>
      <c r="FJ42" s="43"/>
      <c r="FK42" s="43"/>
      <c r="FL42" s="43"/>
      <c r="FM42" s="43"/>
      <c r="FN42" s="43"/>
      <c r="FO42" s="43"/>
      <c r="FP42" s="43"/>
      <c r="FQ42" s="43"/>
      <c r="FR42" s="43"/>
      <c r="FS42" s="43"/>
      <c r="FT42" s="43"/>
      <c r="FU42" s="43"/>
      <c r="FV42" s="43"/>
      <c r="FW42" s="43"/>
      <c r="FX42" s="43"/>
      <c r="FY42" s="43"/>
      <c r="FZ42" s="43"/>
      <c r="GA42" s="43"/>
      <c r="GB42" s="43"/>
      <c r="GC42" s="43"/>
      <c r="GD42" s="43"/>
      <c r="GE42" s="43"/>
      <c r="GF42" s="43"/>
      <c r="GG42" s="43"/>
      <c r="GH42" s="43"/>
      <c r="GI42" s="43"/>
      <c r="GJ42" s="43"/>
      <c r="GK42" s="43"/>
      <c r="GL42" s="43"/>
      <c r="GM42" s="43"/>
      <c r="GN42" s="43"/>
      <c r="GO42" s="43"/>
      <c r="GP42" s="43"/>
      <c r="GQ42" s="43"/>
      <c r="GR42" s="43"/>
      <c r="GS42" s="43"/>
      <c r="GT42" s="43"/>
      <c r="GU42" s="43"/>
      <c r="GV42" s="43"/>
      <c r="GW42" s="43"/>
      <c r="GX42" s="43"/>
      <c r="GY42" s="43"/>
      <c r="GZ42" s="43"/>
      <c r="HA42" s="43"/>
      <c r="HB42" s="43"/>
      <c r="HC42" s="43"/>
      <c r="HD42" s="43"/>
      <c r="HE42" s="43"/>
      <c r="HF42" s="43"/>
      <c r="HG42" s="43"/>
      <c r="HH42" s="43"/>
      <c r="HI42" s="43"/>
      <c r="HJ42" s="43"/>
      <c r="HK42" s="43"/>
      <c r="HL42" s="43"/>
      <c r="HM42" s="43"/>
      <c r="HN42" s="43"/>
      <c r="HO42" s="43"/>
      <c r="HP42" s="43"/>
      <c r="HQ42" s="43"/>
      <c r="HR42" s="43"/>
      <c r="HS42" s="43"/>
      <c r="HT42" s="43"/>
      <c r="HU42" s="43"/>
      <c r="HV42" s="43"/>
      <c r="HW42" s="43"/>
      <c r="HX42" s="43"/>
      <c r="HY42" s="43"/>
      <c r="HZ42" s="43"/>
      <c r="IA42" s="43"/>
      <c r="IB42" s="43"/>
      <c r="IC42" s="43"/>
      <c r="ID42" s="43"/>
      <c r="IE42" s="43"/>
      <c r="IF42" s="43"/>
      <c r="IG42" s="43"/>
      <c r="IH42" s="43"/>
      <c r="II42" s="43"/>
      <c r="IJ42" s="43"/>
      <c r="IK42" s="43"/>
      <c r="IL42" s="43"/>
      <c r="IM42" s="43"/>
      <c r="IN42" s="43"/>
      <c r="IO42" s="43"/>
      <c r="IP42" s="43"/>
      <c r="IQ42" s="43"/>
      <c r="IR42" s="43"/>
      <c r="IS42" s="43"/>
      <c r="IT42" s="43"/>
      <c r="IU42" s="43"/>
      <c r="IV42" s="43"/>
      <c r="IW42" s="43"/>
      <c r="IX42" s="43"/>
      <c r="IY42" s="43"/>
      <c r="IZ42" s="43"/>
      <c r="JA42" s="43"/>
      <c r="JB42" s="43"/>
      <c r="JC42" s="43"/>
      <c r="JD42" s="43"/>
      <c r="JE42" s="43"/>
      <c r="JF42" s="43"/>
      <c r="JG42" s="43"/>
      <c r="JH42" s="43"/>
      <c r="JI42" s="43"/>
      <c r="JJ42" s="43"/>
      <c r="JK42" s="43"/>
      <c r="JL42" s="43"/>
      <c r="JM42" s="43"/>
      <c r="JN42" s="43"/>
      <c r="JO42" s="43"/>
      <c r="JP42" s="43"/>
      <c r="JQ42" s="43"/>
      <c r="JR42" s="43"/>
      <c r="JS42" s="43"/>
      <c r="JT42" s="43"/>
      <c r="JU42" s="43"/>
      <c r="JV42" s="43"/>
      <c r="JW42" s="43"/>
      <c r="JX42" s="43"/>
      <c r="JY42" s="43"/>
      <c r="JZ42" s="43"/>
      <c r="KA42" s="43"/>
      <c r="KB42" s="43"/>
      <c r="KC42" s="43"/>
      <c r="KD42" s="43"/>
      <c r="KE42" s="43"/>
      <c r="KF42" s="43"/>
      <c r="KG42" s="43"/>
      <c r="KH42" s="43"/>
      <c r="KI42" s="43"/>
      <c r="KJ42" s="43"/>
      <c r="KK42" s="43"/>
      <c r="KL42" s="43"/>
      <c r="KM42" s="43"/>
      <c r="KN42" s="43"/>
      <c r="KO42" s="43"/>
      <c r="KP42" s="43"/>
      <c r="KQ42" s="43"/>
      <c r="KR42" s="43"/>
      <c r="KS42" s="43"/>
      <c r="KT42" s="43"/>
      <c r="KU42" s="43"/>
      <c r="KV42" s="43"/>
      <c r="KW42" s="43"/>
      <c r="KX42" s="43"/>
      <c r="KY42" s="43"/>
      <c r="KZ42" s="43"/>
      <c r="LA42" s="43"/>
      <c r="LB42" s="43"/>
      <c r="LC42" s="43"/>
      <c r="LD42" s="43"/>
      <c r="LE42" s="43"/>
      <c r="LF42" s="43"/>
      <c r="LG42" s="43"/>
      <c r="LH42" s="43"/>
      <c r="LI42" s="43"/>
      <c r="LJ42" s="43"/>
      <c r="LK42" s="43"/>
      <c r="LL42" s="43"/>
      <c r="LM42" s="43"/>
      <c r="LN42" s="43"/>
      <c r="LO42" s="43"/>
      <c r="LP42" s="43"/>
      <c r="LQ42" s="43"/>
      <c r="LR42" s="43"/>
      <c r="LS42" s="43"/>
      <c r="LT42" s="43"/>
      <c r="LU42" s="43"/>
      <c r="LV42" s="43"/>
      <c r="LW42" s="43"/>
      <c r="LX42" s="43"/>
      <c r="LY42" s="43"/>
      <c r="LZ42" s="43"/>
      <c r="MA42" s="43"/>
      <c r="MB42" s="43"/>
      <c r="MC42" s="43"/>
      <c r="MD42" s="43"/>
      <c r="ME42" s="43"/>
      <c r="MF42" s="43"/>
      <c r="MG42" s="43"/>
      <c r="MH42" s="43"/>
      <c r="MI42" s="43"/>
      <c r="MJ42" s="43"/>
      <c r="MK42" s="43"/>
      <c r="ML42" s="43"/>
      <c r="MM42" s="43"/>
      <c r="MN42" s="43"/>
      <c r="MO42" s="43"/>
      <c r="MP42" s="43"/>
      <c r="MQ42" s="43"/>
      <c r="MR42" s="43"/>
      <c r="MS42" s="43"/>
      <c r="MT42" s="43"/>
      <c r="MU42" s="43"/>
      <c r="MV42" s="43"/>
      <c r="MW42" s="43"/>
      <c r="MX42" s="43"/>
      <c r="MY42" s="43"/>
      <c r="MZ42" s="43"/>
      <c r="NA42" s="43"/>
      <c r="NB42" s="43"/>
      <c r="NC42" s="43"/>
      <c r="ND42" s="43"/>
      <c r="NE42" s="43"/>
      <c r="NF42" s="43"/>
      <c r="NG42" s="43"/>
      <c r="NH42" s="43"/>
      <c r="NI42" s="43"/>
      <c r="NJ42" s="43"/>
      <c r="NK42" s="43"/>
      <c r="NL42" s="43"/>
      <c r="NM42" s="43"/>
      <c r="NN42" s="43"/>
      <c r="NO42" s="43"/>
      <c r="NP42" s="43"/>
      <c r="NQ42" s="43"/>
      <c r="NR42" s="43"/>
      <c r="NS42" s="43"/>
      <c r="NT42" s="43"/>
      <c r="NU42" s="43"/>
      <c r="NV42" s="43"/>
      <c r="NW42" s="43"/>
      <c r="NX42" s="43"/>
      <c r="NY42" s="43"/>
      <c r="NZ42" s="43"/>
      <c r="OA42" s="43"/>
      <c r="OB42" s="43"/>
      <c r="OC42" s="43"/>
      <c r="OD42" s="43"/>
      <c r="OE42" s="43"/>
      <c r="OF42" s="43"/>
      <c r="OG42" s="43"/>
      <c r="OH42" s="43"/>
      <c r="OI42" s="43"/>
      <c r="OJ42" s="43"/>
      <c r="OK42" s="43"/>
      <c r="OL42" s="43"/>
      <c r="OM42" s="43"/>
      <c r="ON42" s="43"/>
      <c r="OO42" s="43"/>
      <c r="OP42" s="43"/>
      <c r="OQ42" s="43"/>
      <c r="OR42" s="43"/>
      <c r="OS42" s="43"/>
      <c r="OT42" s="43"/>
      <c r="OU42" s="43"/>
      <c r="OV42" s="43"/>
      <c r="OW42" s="43"/>
      <c r="OX42" s="43"/>
      <c r="OY42" s="43"/>
      <c r="OZ42" s="43"/>
      <c r="PA42" s="43"/>
      <c r="PB42" s="43"/>
      <c r="PC42" s="43"/>
      <c r="PD42" s="43"/>
      <c r="PE42" s="43"/>
      <c r="PF42" s="43"/>
      <c r="PG42" s="43"/>
      <c r="PH42" s="43"/>
      <c r="PI42" s="43"/>
      <c r="PJ42" s="43"/>
      <c r="PK42" s="43"/>
      <c r="PL42" s="43"/>
      <c r="PM42" s="43"/>
      <c r="PN42" s="43"/>
      <c r="PO42" s="43"/>
      <c r="PP42" s="43"/>
      <c r="PQ42" s="43"/>
      <c r="PR42" s="43"/>
      <c r="PS42" s="43"/>
      <c r="PT42" s="43"/>
      <c r="PU42" s="43"/>
      <c r="PV42" s="43"/>
      <c r="PW42" s="43"/>
      <c r="PX42" s="43"/>
      <c r="PY42" s="43"/>
      <c r="PZ42" s="43"/>
      <c r="QA42" s="43"/>
      <c r="QB42" s="43"/>
      <c r="QC42" s="43"/>
    </row>
    <row r="43" spans="1:16383" s="50" customFormat="1" x14ac:dyDescent="0.3">
      <c r="A43" s="47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6" t="str">
        <f t="shared" si="2"/>
        <v/>
      </c>
      <c r="U43" s="46" t="str">
        <f t="shared" si="3"/>
        <v/>
      </c>
      <c r="V43" s="72" t="str">
        <f t="shared" si="4"/>
        <v/>
      </c>
      <c r="W43" s="49"/>
      <c r="X43" s="73" t="str">
        <f t="shared" si="6"/>
        <v/>
      </c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43"/>
      <c r="CY43" s="43"/>
      <c r="CZ43" s="43"/>
      <c r="DA43" s="43"/>
      <c r="DB43" s="43"/>
      <c r="DC43" s="43"/>
      <c r="DD43" s="43"/>
      <c r="DE43" s="43"/>
      <c r="DF43" s="43"/>
      <c r="DG43" s="43"/>
      <c r="DH43" s="43"/>
      <c r="DI43" s="43"/>
      <c r="DJ43" s="43"/>
      <c r="DK43" s="43"/>
      <c r="DL43" s="43"/>
      <c r="DM43" s="43"/>
      <c r="DN43" s="43"/>
      <c r="DO43" s="43"/>
      <c r="DP43" s="43"/>
      <c r="DQ43" s="43"/>
      <c r="DR43" s="43"/>
      <c r="DS43" s="43"/>
      <c r="DT43" s="43"/>
      <c r="DU43" s="43"/>
      <c r="DV43" s="43"/>
      <c r="DW43" s="43"/>
      <c r="DX43" s="43"/>
      <c r="DY43" s="43"/>
      <c r="DZ43" s="43"/>
      <c r="EA43" s="43"/>
      <c r="EB43" s="43"/>
      <c r="EC43" s="43"/>
      <c r="ED43" s="43"/>
      <c r="EE43" s="43"/>
      <c r="EF43" s="43"/>
      <c r="EG43" s="43"/>
      <c r="EH43" s="43"/>
      <c r="EI43" s="43"/>
      <c r="EJ43" s="43"/>
      <c r="EK43" s="43"/>
      <c r="EL43" s="43"/>
      <c r="EM43" s="43"/>
      <c r="EN43" s="43"/>
      <c r="EO43" s="43"/>
      <c r="EP43" s="43"/>
      <c r="EQ43" s="43"/>
      <c r="ER43" s="43"/>
      <c r="ES43" s="43"/>
      <c r="ET43" s="43"/>
      <c r="EU43" s="43"/>
      <c r="EV43" s="43"/>
      <c r="EW43" s="43"/>
      <c r="EX43" s="43"/>
      <c r="EY43" s="43"/>
      <c r="EZ43" s="43"/>
      <c r="FA43" s="43"/>
      <c r="FB43" s="43"/>
      <c r="FC43" s="43"/>
      <c r="FD43" s="43"/>
      <c r="FE43" s="43"/>
      <c r="FF43" s="43"/>
      <c r="FG43" s="43"/>
      <c r="FH43" s="43"/>
      <c r="FI43" s="43"/>
      <c r="FJ43" s="43"/>
      <c r="FK43" s="43"/>
      <c r="FL43" s="43"/>
      <c r="FM43" s="43"/>
      <c r="FN43" s="43"/>
      <c r="FO43" s="43"/>
      <c r="FP43" s="43"/>
      <c r="FQ43" s="43"/>
      <c r="FR43" s="43"/>
      <c r="FS43" s="43"/>
      <c r="FT43" s="43"/>
      <c r="FU43" s="43"/>
      <c r="FV43" s="43"/>
      <c r="FW43" s="43"/>
      <c r="FX43" s="43"/>
      <c r="FY43" s="43"/>
      <c r="FZ43" s="43"/>
      <c r="GA43" s="43"/>
      <c r="GB43" s="43"/>
      <c r="GC43" s="43"/>
      <c r="GD43" s="43"/>
      <c r="GE43" s="43"/>
      <c r="GF43" s="43"/>
      <c r="GG43" s="43"/>
      <c r="GH43" s="43"/>
      <c r="GI43" s="43"/>
      <c r="GJ43" s="43"/>
      <c r="GK43" s="43"/>
      <c r="GL43" s="43"/>
      <c r="GM43" s="43"/>
      <c r="GN43" s="43"/>
      <c r="GO43" s="43"/>
      <c r="GP43" s="43"/>
      <c r="GQ43" s="43"/>
      <c r="GR43" s="43"/>
      <c r="GS43" s="43"/>
      <c r="GT43" s="43"/>
      <c r="GU43" s="43"/>
      <c r="GV43" s="43"/>
      <c r="GW43" s="43"/>
      <c r="GX43" s="43"/>
      <c r="GY43" s="43"/>
      <c r="GZ43" s="43"/>
      <c r="HA43" s="43"/>
      <c r="HB43" s="43"/>
      <c r="HC43" s="43"/>
      <c r="HD43" s="43"/>
      <c r="HE43" s="43"/>
      <c r="HF43" s="43"/>
      <c r="HG43" s="43"/>
      <c r="HH43" s="43"/>
      <c r="HI43" s="43"/>
      <c r="HJ43" s="43"/>
      <c r="HK43" s="43"/>
      <c r="HL43" s="43"/>
      <c r="HM43" s="43"/>
      <c r="HN43" s="43"/>
      <c r="HO43" s="43"/>
      <c r="HP43" s="43"/>
      <c r="HQ43" s="43"/>
      <c r="HR43" s="43"/>
      <c r="HS43" s="43"/>
      <c r="HT43" s="43"/>
      <c r="HU43" s="43"/>
      <c r="HV43" s="43"/>
      <c r="HW43" s="43"/>
      <c r="HX43" s="43"/>
      <c r="HY43" s="43"/>
      <c r="HZ43" s="43"/>
      <c r="IA43" s="43"/>
      <c r="IB43" s="43"/>
      <c r="IC43" s="43"/>
      <c r="ID43" s="43"/>
      <c r="IE43" s="43"/>
      <c r="IF43" s="43"/>
      <c r="IG43" s="43"/>
      <c r="IH43" s="43"/>
      <c r="II43" s="43"/>
      <c r="IJ43" s="43"/>
      <c r="IK43" s="43"/>
      <c r="IL43" s="43"/>
      <c r="IM43" s="43"/>
      <c r="IN43" s="43"/>
      <c r="IO43" s="43"/>
      <c r="IP43" s="43"/>
      <c r="IQ43" s="43"/>
      <c r="IR43" s="43"/>
      <c r="IS43" s="43"/>
      <c r="IT43" s="43"/>
      <c r="IU43" s="43"/>
      <c r="IV43" s="43"/>
      <c r="IW43" s="43"/>
      <c r="IX43" s="43"/>
      <c r="IY43" s="43"/>
      <c r="IZ43" s="43"/>
      <c r="JA43" s="43"/>
      <c r="JB43" s="43"/>
      <c r="JC43" s="43"/>
      <c r="JD43" s="43"/>
      <c r="JE43" s="43"/>
      <c r="JF43" s="43"/>
      <c r="JG43" s="43"/>
      <c r="JH43" s="43"/>
      <c r="JI43" s="43"/>
      <c r="JJ43" s="43"/>
      <c r="JK43" s="43"/>
      <c r="JL43" s="43"/>
      <c r="JM43" s="43"/>
      <c r="JN43" s="43"/>
      <c r="JO43" s="43"/>
      <c r="JP43" s="43"/>
      <c r="JQ43" s="43"/>
      <c r="JR43" s="43"/>
      <c r="JS43" s="43"/>
      <c r="JT43" s="43"/>
      <c r="JU43" s="43"/>
      <c r="JV43" s="43"/>
      <c r="JW43" s="43"/>
      <c r="JX43" s="43"/>
      <c r="JY43" s="43"/>
      <c r="JZ43" s="43"/>
      <c r="KA43" s="43"/>
      <c r="KB43" s="43"/>
      <c r="KC43" s="43"/>
      <c r="KD43" s="43"/>
      <c r="KE43" s="43"/>
      <c r="KF43" s="43"/>
      <c r="KG43" s="43"/>
      <c r="KH43" s="43"/>
      <c r="KI43" s="43"/>
      <c r="KJ43" s="43"/>
      <c r="KK43" s="43"/>
      <c r="KL43" s="43"/>
      <c r="KM43" s="43"/>
      <c r="KN43" s="43"/>
      <c r="KO43" s="43"/>
      <c r="KP43" s="43"/>
      <c r="KQ43" s="43"/>
      <c r="KR43" s="43"/>
      <c r="KS43" s="43"/>
      <c r="KT43" s="43"/>
      <c r="KU43" s="43"/>
      <c r="KV43" s="43"/>
      <c r="KW43" s="43"/>
      <c r="KX43" s="43"/>
      <c r="KY43" s="43"/>
      <c r="KZ43" s="43"/>
      <c r="LA43" s="43"/>
      <c r="LB43" s="43"/>
      <c r="LC43" s="43"/>
      <c r="LD43" s="43"/>
      <c r="LE43" s="43"/>
      <c r="LF43" s="43"/>
      <c r="LG43" s="43"/>
      <c r="LH43" s="43"/>
      <c r="LI43" s="43"/>
      <c r="LJ43" s="43"/>
      <c r="LK43" s="43"/>
      <c r="LL43" s="43"/>
      <c r="LM43" s="43"/>
      <c r="LN43" s="43"/>
      <c r="LO43" s="43"/>
      <c r="LP43" s="43"/>
      <c r="LQ43" s="43"/>
      <c r="LR43" s="43"/>
      <c r="LS43" s="43"/>
      <c r="LT43" s="43"/>
      <c r="LU43" s="43"/>
      <c r="LV43" s="43"/>
      <c r="LW43" s="43"/>
      <c r="LX43" s="43"/>
      <c r="LY43" s="43"/>
      <c r="LZ43" s="43"/>
      <c r="MA43" s="43"/>
      <c r="MB43" s="43"/>
      <c r="MC43" s="43"/>
      <c r="MD43" s="43"/>
      <c r="ME43" s="43"/>
      <c r="MF43" s="43"/>
      <c r="MG43" s="43"/>
      <c r="MH43" s="43"/>
      <c r="MI43" s="43"/>
      <c r="MJ43" s="43"/>
      <c r="MK43" s="43"/>
      <c r="ML43" s="43"/>
      <c r="MM43" s="43"/>
      <c r="MN43" s="43"/>
      <c r="MO43" s="43"/>
      <c r="MP43" s="43"/>
      <c r="MQ43" s="43"/>
      <c r="MR43" s="43"/>
      <c r="MS43" s="43"/>
      <c r="MT43" s="43"/>
      <c r="MU43" s="43"/>
      <c r="MV43" s="43"/>
      <c r="MW43" s="43"/>
      <c r="MX43" s="43"/>
      <c r="MY43" s="43"/>
      <c r="MZ43" s="43"/>
      <c r="NA43" s="43"/>
      <c r="NB43" s="43"/>
      <c r="NC43" s="43"/>
      <c r="ND43" s="43"/>
      <c r="NE43" s="43"/>
      <c r="NF43" s="43"/>
      <c r="NG43" s="43"/>
      <c r="NH43" s="43"/>
      <c r="NI43" s="43"/>
      <c r="NJ43" s="43"/>
      <c r="NK43" s="43"/>
      <c r="NL43" s="43"/>
      <c r="NM43" s="43"/>
      <c r="NN43" s="43"/>
      <c r="NO43" s="43"/>
      <c r="NP43" s="43"/>
      <c r="NQ43" s="43"/>
      <c r="NR43" s="43"/>
      <c r="NS43" s="43"/>
      <c r="NT43" s="43"/>
      <c r="NU43" s="43"/>
      <c r="NV43" s="43"/>
      <c r="NW43" s="43"/>
      <c r="NX43" s="43"/>
      <c r="NY43" s="43"/>
      <c r="NZ43" s="43"/>
      <c r="OA43" s="43"/>
      <c r="OB43" s="43"/>
      <c r="OC43" s="43"/>
      <c r="OD43" s="43"/>
      <c r="OE43" s="43"/>
      <c r="OF43" s="43"/>
      <c r="OG43" s="43"/>
      <c r="OH43" s="43"/>
      <c r="OI43" s="43"/>
      <c r="OJ43" s="43"/>
      <c r="OK43" s="43"/>
      <c r="OL43" s="43"/>
      <c r="OM43" s="43"/>
      <c r="ON43" s="43"/>
      <c r="OO43" s="43"/>
      <c r="OP43" s="43"/>
      <c r="OQ43" s="43"/>
      <c r="OR43" s="43"/>
      <c r="OS43" s="43"/>
      <c r="OT43" s="43"/>
      <c r="OU43" s="43"/>
      <c r="OV43" s="43"/>
      <c r="OW43" s="43"/>
      <c r="OX43" s="43"/>
      <c r="OY43" s="43"/>
      <c r="OZ43" s="43"/>
      <c r="PA43" s="43"/>
      <c r="PB43" s="43"/>
      <c r="PC43" s="43"/>
      <c r="PD43" s="43"/>
      <c r="PE43" s="43"/>
      <c r="PF43" s="43"/>
      <c r="PG43" s="43"/>
      <c r="PH43" s="43"/>
      <c r="PI43" s="43"/>
      <c r="PJ43" s="43"/>
      <c r="PK43" s="43"/>
      <c r="PL43" s="43"/>
      <c r="PM43" s="43"/>
      <c r="PN43" s="43"/>
      <c r="PO43" s="43"/>
      <c r="PP43" s="43"/>
      <c r="PQ43" s="43"/>
      <c r="PR43" s="43"/>
      <c r="PS43" s="43"/>
      <c r="PT43" s="43"/>
      <c r="PU43" s="43"/>
      <c r="PV43" s="43"/>
      <c r="PW43" s="43"/>
      <c r="PX43" s="43"/>
      <c r="PY43" s="43"/>
      <c r="PZ43" s="43"/>
      <c r="QA43" s="43"/>
      <c r="QB43" s="43"/>
      <c r="QC43" s="43"/>
    </row>
    <row r="44" spans="1:16383" x14ac:dyDescent="0.3"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6" t="str">
        <f t="shared" si="2"/>
        <v/>
      </c>
      <c r="U44" s="46" t="str">
        <f t="shared" si="3"/>
        <v/>
      </c>
      <c r="V44" s="72" t="str">
        <f t="shared" si="4"/>
        <v/>
      </c>
      <c r="X44" s="73" t="str">
        <f t="shared" si="6"/>
        <v/>
      </c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43"/>
      <c r="CY44" s="43"/>
      <c r="CZ44" s="43"/>
      <c r="DA44" s="43"/>
      <c r="DB44" s="43"/>
      <c r="DC44" s="43"/>
      <c r="DD44" s="43"/>
      <c r="DE44" s="43"/>
      <c r="DF44" s="43"/>
      <c r="DG44" s="43"/>
      <c r="DH44" s="43"/>
      <c r="DI44" s="43"/>
      <c r="DJ44" s="43"/>
      <c r="DK44" s="43"/>
      <c r="DL44" s="43"/>
      <c r="DM44" s="43"/>
      <c r="DN44" s="43"/>
      <c r="DO44" s="43"/>
      <c r="DP44" s="43"/>
      <c r="DQ44" s="43"/>
      <c r="DR44" s="43"/>
      <c r="DS44" s="43"/>
      <c r="DT44" s="43"/>
      <c r="DU44" s="43"/>
      <c r="DV44" s="43"/>
      <c r="DW44" s="43"/>
      <c r="DX44" s="43"/>
      <c r="DY44" s="43"/>
      <c r="DZ44" s="43"/>
      <c r="EA44" s="43"/>
      <c r="EB44" s="43"/>
      <c r="EC44" s="43"/>
      <c r="ED44" s="43"/>
      <c r="EE44" s="43"/>
      <c r="EF44" s="43"/>
      <c r="EG44" s="43"/>
      <c r="EH44" s="43"/>
      <c r="EI44" s="43"/>
      <c r="EJ44" s="43"/>
      <c r="EK44" s="43"/>
      <c r="EL44" s="43"/>
      <c r="EM44" s="43"/>
      <c r="EN44" s="43"/>
      <c r="EO44" s="43"/>
      <c r="EP44" s="43"/>
      <c r="EQ44" s="43"/>
      <c r="ER44" s="43"/>
      <c r="ES44" s="43"/>
      <c r="ET44" s="43"/>
      <c r="EU44" s="43"/>
      <c r="EV44" s="43"/>
      <c r="EW44" s="43"/>
      <c r="EX44" s="43"/>
      <c r="EY44" s="43"/>
      <c r="EZ44" s="43"/>
      <c r="FA44" s="43"/>
      <c r="FB44" s="43"/>
      <c r="FC44" s="43"/>
      <c r="FD44" s="43"/>
      <c r="FE44" s="43"/>
      <c r="FF44" s="43"/>
      <c r="FG44" s="43"/>
      <c r="FH44" s="43"/>
      <c r="FI44" s="43"/>
      <c r="FJ44" s="43"/>
      <c r="FK44" s="43"/>
      <c r="FL44" s="43"/>
      <c r="FM44" s="43"/>
      <c r="FN44" s="43"/>
      <c r="FO44" s="43"/>
      <c r="FP44" s="43"/>
      <c r="FQ44" s="43"/>
      <c r="FR44" s="43"/>
      <c r="FS44" s="43"/>
      <c r="FT44" s="43"/>
      <c r="FU44" s="43"/>
      <c r="FV44" s="43"/>
      <c r="FW44" s="43"/>
      <c r="FX44" s="43"/>
      <c r="FY44" s="43"/>
      <c r="FZ44" s="43"/>
      <c r="GA44" s="43"/>
      <c r="GB44" s="43"/>
      <c r="GC44" s="43"/>
      <c r="GD44" s="43"/>
      <c r="GE44" s="43"/>
      <c r="GF44" s="43"/>
      <c r="GG44" s="43"/>
      <c r="GH44" s="43"/>
      <c r="GI44" s="43"/>
      <c r="GJ44" s="43"/>
      <c r="GK44" s="43"/>
      <c r="GL44" s="43"/>
      <c r="GM44" s="43"/>
      <c r="GN44" s="43"/>
      <c r="GO44" s="43"/>
      <c r="GP44" s="43"/>
      <c r="GQ44" s="43"/>
      <c r="GR44" s="43"/>
      <c r="GS44" s="43"/>
      <c r="GT44" s="43"/>
      <c r="GU44" s="43"/>
      <c r="GV44" s="43"/>
      <c r="GW44" s="43"/>
      <c r="GX44" s="43"/>
      <c r="GY44" s="43"/>
      <c r="GZ44" s="43"/>
      <c r="HA44" s="43"/>
      <c r="HB44" s="43"/>
      <c r="HC44" s="43"/>
      <c r="HD44" s="43"/>
      <c r="HE44" s="43"/>
      <c r="HF44" s="43"/>
      <c r="HG44" s="43"/>
      <c r="HH44" s="43"/>
      <c r="HI44" s="43"/>
      <c r="HJ44" s="43"/>
      <c r="HK44" s="43"/>
      <c r="HL44" s="43"/>
      <c r="HM44" s="43"/>
      <c r="HN44" s="43"/>
      <c r="HO44" s="43"/>
      <c r="HP44" s="43"/>
      <c r="HQ44" s="43"/>
      <c r="HR44" s="43"/>
      <c r="HS44" s="43"/>
      <c r="HT44" s="43"/>
      <c r="HU44" s="43"/>
      <c r="HV44" s="43"/>
      <c r="HW44" s="43"/>
      <c r="HX44" s="43"/>
      <c r="HY44" s="43"/>
      <c r="HZ44" s="43"/>
      <c r="IA44" s="43"/>
      <c r="IB44" s="43"/>
      <c r="IC44" s="43"/>
      <c r="ID44" s="43"/>
      <c r="IE44" s="43"/>
      <c r="IF44" s="43"/>
      <c r="IG44" s="43"/>
      <c r="IH44" s="43"/>
      <c r="II44" s="43"/>
      <c r="IJ44" s="43"/>
      <c r="IK44" s="43"/>
      <c r="IL44" s="43"/>
      <c r="IM44" s="43"/>
      <c r="IN44" s="43"/>
      <c r="IO44" s="43"/>
      <c r="IP44" s="43"/>
      <c r="IQ44" s="43"/>
      <c r="IR44" s="43"/>
      <c r="IS44" s="43"/>
      <c r="IT44" s="43"/>
      <c r="IU44" s="43"/>
      <c r="IV44" s="43"/>
      <c r="IW44" s="43"/>
      <c r="IX44" s="43"/>
      <c r="IY44" s="43"/>
      <c r="IZ44" s="43"/>
      <c r="JA44" s="43"/>
      <c r="JB44" s="43"/>
      <c r="JC44" s="43"/>
      <c r="JD44" s="43"/>
      <c r="JE44" s="43"/>
      <c r="JF44" s="43"/>
      <c r="JG44" s="43"/>
      <c r="JH44" s="43"/>
      <c r="JI44" s="43"/>
      <c r="JJ44" s="43"/>
      <c r="JK44" s="43"/>
      <c r="JL44" s="43"/>
      <c r="JM44" s="43"/>
      <c r="JN44" s="43"/>
      <c r="JO44" s="43"/>
      <c r="JP44" s="43"/>
      <c r="JQ44" s="43"/>
      <c r="JR44" s="43"/>
      <c r="JS44" s="43"/>
      <c r="JT44" s="43"/>
      <c r="JU44" s="43"/>
      <c r="JV44" s="43"/>
      <c r="JW44" s="43"/>
      <c r="JX44" s="43"/>
      <c r="JY44" s="43"/>
      <c r="JZ44" s="43"/>
      <c r="KA44" s="43"/>
      <c r="KB44" s="43"/>
      <c r="KC44" s="43"/>
      <c r="KD44" s="43"/>
      <c r="KE44" s="43"/>
      <c r="KF44" s="43"/>
      <c r="KG44" s="43"/>
      <c r="KH44" s="43"/>
      <c r="KI44" s="43"/>
      <c r="KJ44" s="43"/>
      <c r="KK44" s="43"/>
      <c r="KL44" s="43"/>
      <c r="KM44" s="43"/>
      <c r="KN44" s="43"/>
      <c r="KO44" s="43"/>
      <c r="KP44" s="43"/>
      <c r="KQ44" s="43"/>
      <c r="KR44" s="43"/>
      <c r="KS44" s="43"/>
      <c r="KT44" s="43"/>
      <c r="KU44" s="43"/>
      <c r="KV44" s="43"/>
      <c r="KW44" s="43"/>
      <c r="KX44" s="43"/>
      <c r="KY44" s="43"/>
      <c r="KZ44" s="43"/>
      <c r="LA44" s="43"/>
      <c r="LB44" s="43"/>
      <c r="LC44" s="43"/>
      <c r="LD44" s="43"/>
      <c r="LE44" s="43"/>
      <c r="LF44" s="43"/>
      <c r="LG44" s="43"/>
      <c r="LH44" s="43"/>
      <c r="LI44" s="43"/>
      <c r="LJ44" s="43"/>
      <c r="LK44" s="43"/>
      <c r="LL44" s="43"/>
      <c r="LM44" s="43"/>
      <c r="LN44" s="43"/>
      <c r="LO44" s="43"/>
      <c r="LP44" s="43"/>
      <c r="LQ44" s="43"/>
      <c r="LR44" s="43"/>
      <c r="LS44" s="43"/>
      <c r="LT44" s="43"/>
      <c r="LU44" s="43"/>
      <c r="LV44" s="43"/>
      <c r="LW44" s="43"/>
      <c r="LX44" s="43"/>
      <c r="LY44" s="43"/>
      <c r="LZ44" s="43"/>
      <c r="MA44" s="43"/>
      <c r="MB44" s="43"/>
      <c r="MC44" s="43"/>
      <c r="MD44" s="43"/>
      <c r="ME44" s="43"/>
      <c r="MF44" s="43"/>
      <c r="MG44" s="43"/>
      <c r="MH44" s="43"/>
      <c r="MI44" s="43"/>
      <c r="MJ44" s="43"/>
      <c r="MK44" s="43"/>
      <c r="ML44" s="43"/>
      <c r="MM44" s="43"/>
      <c r="MN44" s="43"/>
      <c r="MO44" s="43"/>
      <c r="MP44" s="43"/>
      <c r="MQ44" s="43"/>
      <c r="MR44" s="43"/>
      <c r="MS44" s="43"/>
      <c r="MT44" s="43"/>
      <c r="MU44" s="43"/>
      <c r="MV44" s="43"/>
      <c r="MW44" s="43"/>
      <c r="MX44" s="43"/>
      <c r="MY44" s="43"/>
      <c r="MZ44" s="43"/>
      <c r="NA44" s="43"/>
      <c r="NB44" s="43"/>
      <c r="NC44" s="43"/>
      <c r="ND44" s="43"/>
      <c r="NE44" s="43"/>
      <c r="NF44" s="43"/>
      <c r="NG44" s="43"/>
      <c r="NH44" s="43"/>
      <c r="NI44" s="43"/>
      <c r="NJ44" s="43"/>
      <c r="NK44" s="43"/>
      <c r="NL44" s="43"/>
      <c r="NM44" s="43"/>
      <c r="NN44" s="43"/>
      <c r="NO44" s="43"/>
      <c r="NP44" s="43"/>
      <c r="NQ44" s="43"/>
      <c r="NR44" s="43"/>
      <c r="NS44" s="43"/>
      <c r="NT44" s="43"/>
      <c r="NU44" s="43"/>
      <c r="NV44" s="43"/>
      <c r="NW44" s="43"/>
      <c r="NX44" s="43"/>
      <c r="NY44" s="43"/>
      <c r="NZ44" s="43"/>
      <c r="OA44" s="43"/>
      <c r="OB44" s="43"/>
      <c r="OC44" s="43"/>
      <c r="OD44" s="43"/>
      <c r="OE44" s="43"/>
      <c r="OF44" s="43"/>
      <c r="OG44" s="43"/>
      <c r="OH44" s="43"/>
      <c r="OI44" s="43"/>
      <c r="OJ44" s="43"/>
      <c r="OK44" s="43"/>
      <c r="OL44" s="43"/>
      <c r="OM44" s="43"/>
      <c r="ON44" s="43"/>
      <c r="OO44" s="43"/>
      <c r="OP44" s="43"/>
      <c r="OQ44" s="43"/>
      <c r="OR44" s="43"/>
      <c r="OS44" s="43"/>
      <c r="OT44" s="43"/>
      <c r="OU44" s="43"/>
      <c r="OV44" s="43"/>
      <c r="OW44" s="43"/>
      <c r="OX44" s="43"/>
      <c r="OY44" s="43"/>
      <c r="OZ44" s="43"/>
      <c r="PA44" s="43"/>
      <c r="PB44" s="43"/>
      <c r="PC44" s="43"/>
      <c r="PD44" s="43"/>
      <c r="PE44" s="43"/>
      <c r="PF44" s="43"/>
      <c r="PG44" s="43"/>
      <c r="PH44" s="43"/>
      <c r="PI44" s="43"/>
      <c r="PJ44" s="43"/>
      <c r="PK44" s="43"/>
      <c r="PL44" s="43"/>
      <c r="PM44" s="43"/>
      <c r="PN44" s="43"/>
      <c r="PO44" s="43"/>
      <c r="PP44" s="43"/>
      <c r="PQ44" s="43"/>
      <c r="PR44" s="43"/>
      <c r="PS44" s="43"/>
      <c r="PT44" s="43"/>
      <c r="PU44" s="43"/>
      <c r="PV44" s="43"/>
      <c r="PW44" s="43"/>
      <c r="PX44" s="43"/>
      <c r="PY44" s="43"/>
      <c r="PZ44" s="43"/>
      <c r="QA44" s="43"/>
      <c r="QB44" s="43"/>
      <c r="QC44" s="43"/>
    </row>
    <row r="45" spans="1:16383" x14ac:dyDescent="0.3"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6" t="str">
        <f t="shared" si="2"/>
        <v/>
      </c>
      <c r="U45" s="46" t="str">
        <f t="shared" si="3"/>
        <v/>
      </c>
      <c r="V45" s="72" t="str">
        <f t="shared" si="4"/>
        <v/>
      </c>
      <c r="X45" s="73" t="str">
        <f t="shared" si="6"/>
        <v/>
      </c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43"/>
      <c r="CY45" s="43"/>
      <c r="CZ45" s="43"/>
      <c r="DA45" s="43"/>
      <c r="DB45" s="43"/>
      <c r="DC45" s="43"/>
      <c r="DD45" s="43"/>
      <c r="DE45" s="43"/>
      <c r="DF45" s="43"/>
      <c r="DG45" s="43"/>
      <c r="DH45" s="43"/>
      <c r="DI45" s="43"/>
      <c r="DJ45" s="43"/>
      <c r="DK45" s="43"/>
      <c r="DL45" s="43"/>
      <c r="DM45" s="43"/>
      <c r="DN45" s="43"/>
      <c r="DO45" s="43"/>
      <c r="DP45" s="43"/>
      <c r="DQ45" s="43"/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3"/>
      <c r="ED45" s="43"/>
      <c r="EE45" s="43"/>
      <c r="EF45" s="43"/>
      <c r="EG45" s="43"/>
      <c r="EH45" s="43"/>
      <c r="EI45" s="43"/>
      <c r="EJ45" s="43"/>
      <c r="EK45" s="43"/>
      <c r="EL45" s="43"/>
      <c r="EM45" s="43"/>
      <c r="EN45" s="43"/>
      <c r="EO45" s="43"/>
      <c r="EP45" s="43"/>
      <c r="EQ45" s="43"/>
      <c r="ER45" s="43"/>
      <c r="ES45" s="43"/>
      <c r="ET45" s="43"/>
      <c r="EU45" s="43"/>
      <c r="EV45" s="43"/>
      <c r="EW45" s="43"/>
      <c r="EX45" s="43"/>
      <c r="EY45" s="43"/>
      <c r="EZ45" s="43"/>
      <c r="FA45" s="43"/>
      <c r="FB45" s="43"/>
      <c r="FC45" s="43"/>
      <c r="FD45" s="43"/>
      <c r="FE45" s="43"/>
      <c r="FF45" s="43"/>
      <c r="FG45" s="43"/>
      <c r="FH45" s="43"/>
      <c r="FI45" s="43"/>
      <c r="FJ45" s="43"/>
      <c r="FK45" s="43"/>
      <c r="FL45" s="43"/>
      <c r="FM45" s="43"/>
      <c r="FN45" s="43"/>
      <c r="FO45" s="43"/>
      <c r="FP45" s="43"/>
      <c r="FQ45" s="43"/>
      <c r="FR45" s="43"/>
      <c r="FS45" s="43"/>
      <c r="FT45" s="43"/>
      <c r="FU45" s="43"/>
      <c r="FV45" s="43"/>
      <c r="FW45" s="43"/>
      <c r="FX45" s="43"/>
      <c r="FY45" s="43"/>
      <c r="FZ45" s="43"/>
      <c r="GA45" s="43"/>
      <c r="GB45" s="43"/>
      <c r="GC45" s="43"/>
      <c r="GD45" s="43"/>
      <c r="GE45" s="43"/>
      <c r="GF45" s="43"/>
      <c r="GG45" s="43"/>
      <c r="GH45" s="43"/>
      <c r="GI45" s="43"/>
      <c r="GJ45" s="43"/>
      <c r="GK45" s="43"/>
      <c r="GL45" s="43"/>
      <c r="GM45" s="43"/>
      <c r="GN45" s="43"/>
      <c r="GO45" s="43"/>
      <c r="GP45" s="43"/>
      <c r="GQ45" s="43"/>
      <c r="GR45" s="43"/>
      <c r="GS45" s="43"/>
      <c r="GT45" s="43"/>
      <c r="GU45" s="43"/>
      <c r="GV45" s="43"/>
      <c r="GW45" s="43"/>
      <c r="GX45" s="43"/>
      <c r="GY45" s="43"/>
      <c r="GZ45" s="43"/>
      <c r="HA45" s="43"/>
      <c r="HB45" s="43"/>
      <c r="HC45" s="43"/>
      <c r="HD45" s="43"/>
      <c r="HE45" s="43"/>
      <c r="HF45" s="43"/>
      <c r="HG45" s="43"/>
      <c r="HH45" s="43"/>
      <c r="HI45" s="43"/>
      <c r="HJ45" s="43"/>
      <c r="HK45" s="43"/>
      <c r="HL45" s="43"/>
      <c r="HM45" s="43"/>
      <c r="HN45" s="43"/>
      <c r="HO45" s="43"/>
      <c r="HP45" s="43"/>
      <c r="HQ45" s="43"/>
      <c r="HR45" s="43"/>
      <c r="HS45" s="43"/>
      <c r="HT45" s="43"/>
      <c r="HU45" s="43"/>
      <c r="HV45" s="43"/>
      <c r="HW45" s="43"/>
      <c r="HX45" s="43"/>
      <c r="HY45" s="43"/>
      <c r="HZ45" s="43"/>
      <c r="IA45" s="43"/>
      <c r="IB45" s="43"/>
      <c r="IC45" s="43"/>
      <c r="ID45" s="43"/>
      <c r="IE45" s="43"/>
      <c r="IF45" s="43"/>
      <c r="IG45" s="43"/>
      <c r="IH45" s="43"/>
      <c r="II45" s="43"/>
      <c r="IJ45" s="43"/>
      <c r="IK45" s="43"/>
      <c r="IL45" s="43"/>
      <c r="IM45" s="43"/>
      <c r="IN45" s="43"/>
      <c r="IO45" s="43"/>
      <c r="IP45" s="43"/>
      <c r="IQ45" s="43"/>
      <c r="IR45" s="43"/>
      <c r="IS45" s="43"/>
      <c r="IT45" s="43"/>
      <c r="IU45" s="43"/>
      <c r="IV45" s="43"/>
      <c r="IW45" s="43"/>
      <c r="IX45" s="43"/>
      <c r="IY45" s="43"/>
      <c r="IZ45" s="43"/>
      <c r="JA45" s="43"/>
      <c r="JB45" s="43"/>
      <c r="JC45" s="43"/>
      <c r="JD45" s="43"/>
      <c r="JE45" s="43"/>
      <c r="JF45" s="43"/>
      <c r="JG45" s="43"/>
      <c r="JH45" s="43"/>
      <c r="JI45" s="43"/>
      <c r="JJ45" s="43"/>
      <c r="JK45" s="43"/>
      <c r="JL45" s="43"/>
      <c r="JM45" s="43"/>
      <c r="JN45" s="43"/>
      <c r="JO45" s="43"/>
      <c r="JP45" s="43"/>
      <c r="JQ45" s="43"/>
      <c r="JR45" s="43"/>
      <c r="JS45" s="43"/>
      <c r="JT45" s="43"/>
      <c r="JU45" s="43"/>
      <c r="JV45" s="43"/>
      <c r="JW45" s="43"/>
      <c r="JX45" s="43"/>
      <c r="JY45" s="43"/>
      <c r="JZ45" s="43"/>
      <c r="KA45" s="43"/>
      <c r="KB45" s="43"/>
      <c r="KC45" s="43"/>
      <c r="KD45" s="43"/>
      <c r="KE45" s="43"/>
      <c r="KF45" s="43"/>
      <c r="KG45" s="43"/>
      <c r="KH45" s="43"/>
      <c r="KI45" s="43"/>
      <c r="KJ45" s="43"/>
      <c r="KK45" s="43"/>
      <c r="KL45" s="43"/>
      <c r="KM45" s="43"/>
      <c r="KN45" s="43"/>
      <c r="KO45" s="43"/>
      <c r="KP45" s="43"/>
      <c r="KQ45" s="43"/>
      <c r="KR45" s="43"/>
      <c r="KS45" s="43"/>
      <c r="KT45" s="43"/>
      <c r="KU45" s="43"/>
      <c r="KV45" s="43"/>
      <c r="KW45" s="43"/>
      <c r="KX45" s="43"/>
      <c r="KY45" s="43"/>
      <c r="KZ45" s="43"/>
      <c r="LA45" s="43"/>
      <c r="LB45" s="43"/>
      <c r="LC45" s="43"/>
      <c r="LD45" s="43"/>
      <c r="LE45" s="43"/>
      <c r="LF45" s="43"/>
      <c r="LG45" s="43"/>
      <c r="LH45" s="43"/>
      <c r="LI45" s="43"/>
      <c r="LJ45" s="43"/>
      <c r="LK45" s="43"/>
      <c r="LL45" s="43"/>
      <c r="LM45" s="43"/>
      <c r="LN45" s="43"/>
      <c r="LO45" s="43"/>
      <c r="LP45" s="43"/>
      <c r="LQ45" s="43"/>
      <c r="LR45" s="43"/>
      <c r="LS45" s="43"/>
      <c r="LT45" s="43"/>
      <c r="LU45" s="43"/>
      <c r="LV45" s="43"/>
      <c r="LW45" s="43"/>
      <c r="LX45" s="43"/>
      <c r="LY45" s="43"/>
      <c r="LZ45" s="43"/>
      <c r="MA45" s="43"/>
      <c r="MB45" s="43"/>
      <c r="MC45" s="43"/>
      <c r="MD45" s="43"/>
      <c r="ME45" s="43"/>
      <c r="MF45" s="43"/>
      <c r="MG45" s="43"/>
      <c r="MH45" s="43"/>
      <c r="MI45" s="43"/>
      <c r="MJ45" s="43"/>
      <c r="MK45" s="43"/>
      <c r="ML45" s="43"/>
      <c r="MM45" s="43"/>
      <c r="MN45" s="43"/>
      <c r="MO45" s="43"/>
      <c r="MP45" s="43"/>
      <c r="MQ45" s="43"/>
      <c r="MR45" s="43"/>
      <c r="MS45" s="43"/>
      <c r="MT45" s="43"/>
      <c r="MU45" s="43"/>
      <c r="MV45" s="43"/>
      <c r="MW45" s="43"/>
      <c r="MX45" s="43"/>
      <c r="MY45" s="43"/>
      <c r="MZ45" s="43"/>
      <c r="NA45" s="43"/>
      <c r="NB45" s="43"/>
      <c r="NC45" s="43"/>
      <c r="ND45" s="43"/>
      <c r="NE45" s="43"/>
      <c r="NF45" s="43"/>
      <c r="NG45" s="43"/>
      <c r="NH45" s="43"/>
      <c r="NI45" s="43"/>
      <c r="NJ45" s="43"/>
      <c r="NK45" s="43"/>
      <c r="NL45" s="43"/>
      <c r="NM45" s="43"/>
      <c r="NN45" s="43"/>
      <c r="NO45" s="43"/>
      <c r="NP45" s="43"/>
      <c r="NQ45" s="43"/>
      <c r="NR45" s="43"/>
      <c r="NS45" s="43"/>
      <c r="NT45" s="43"/>
      <c r="NU45" s="43"/>
      <c r="NV45" s="43"/>
      <c r="NW45" s="43"/>
      <c r="NX45" s="43"/>
      <c r="NY45" s="43"/>
      <c r="NZ45" s="43"/>
      <c r="OA45" s="43"/>
      <c r="OB45" s="43"/>
      <c r="OC45" s="43"/>
      <c r="OD45" s="43"/>
      <c r="OE45" s="43"/>
      <c r="OF45" s="43"/>
      <c r="OG45" s="43"/>
      <c r="OH45" s="43"/>
      <c r="OI45" s="43"/>
      <c r="OJ45" s="43"/>
      <c r="OK45" s="43"/>
      <c r="OL45" s="43"/>
      <c r="OM45" s="43"/>
      <c r="ON45" s="43"/>
      <c r="OO45" s="43"/>
      <c r="OP45" s="43"/>
      <c r="OQ45" s="43"/>
      <c r="OR45" s="43"/>
      <c r="OS45" s="43"/>
      <c r="OT45" s="43"/>
      <c r="OU45" s="43"/>
      <c r="OV45" s="43"/>
      <c r="OW45" s="43"/>
      <c r="OX45" s="43"/>
      <c r="OY45" s="43"/>
      <c r="OZ45" s="43"/>
      <c r="PA45" s="43"/>
      <c r="PB45" s="43"/>
      <c r="PC45" s="43"/>
      <c r="PD45" s="43"/>
      <c r="PE45" s="43"/>
      <c r="PF45" s="43"/>
      <c r="PG45" s="43"/>
      <c r="PH45" s="43"/>
      <c r="PI45" s="43"/>
      <c r="PJ45" s="43"/>
      <c r="PK45" s="43"/>
      <c r="PL45" s="43"/>
      <c r="PM45" s="43"/>
      <c r="PN45" s="43"/>
      <c r="PO45" s="43"/>
      <c r="PP45" s="43"/>
      <c r="PQ45" s="43"/>
      <c r="PR45" s="43"/>
      <c r="PS45" s="43"/>
      <c r="PT45" s="43"/>
      <c r="PU45" s="43"/>
      <c r="PV45" s="43"/>
      <c r="PW45" s="43"/>
      <c r="PX45" s="43"/>
      <c r="PY45" s="43"/>
      <c r="PZ45" s="43"/>
      <c r="QA45" s="43"/>
      <c r="QB45" s="43"/>
      <c r="QC45" s="43"/>
    </row>
    <row r="46" spans="1:16383" x14ac:dyDescent="0.3"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6" t="str">
        <f t="shared" si="2"/>
        <v/>
      </c>
      <c r="U46" s="46" t="str">
        <f t="shared" si="3"/>
        <v/>
      </c>
      <c r="V46" s="72" t="str">
        <f t="shared" si="4"/>
        <v/>
      </c>
      <c r="W46" s="48"/>
      <c r="X46" s="73" t="str">
        <f t="shared" si="6"/>
        <v/>
      </c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43"/>
      <c r="CY46" s="43"/>
      <c r="CZ46" s="43"/>
      <c r="DA46" s="43"/>
      <c r="DB46" s="43"/>
      <c r="DC46" s="43"/>
      <c r="DD46" s="43"/>
      <c r="DE46" s="43"/>
      <c r="DF46" s="43"/>
      <c r="DG46" s="43"/>
      <c r="DH46" s="43"/>
      <c r="DI46" s="43"/>
      <c r="DJ46" s="43"/>
      <c r="DK46" s="43"/>
      <c r="DL46" s="43"/>
      <c r="DM46" s="43"/>
      <c r="DN46" s="43"/>
      <c r="DO46" s="43"/>
      <c r="DP46" s="43"/>
      <c r="DQ46" s="43"/>
      <c r="DR46" s="43"/>
      <c r="DS46" s="43"/>
      <c r="DT46" s="43"/>
      <c r="DU46" s="43"/>
      <c r="DV46" s="43"/>
      <c r="DW46" s="43"/>
      <c r="DX46" s="43"/>
      <c r="DY46" s="43"/>
      <c r="DZ46" s="43"/>
      <c r="EA46" s="43"/>
      <c r="EB46" s="43"/>
      <c r="EC46" s="43"/>
      <c r="ED46" s="43"/>
      <c r="EE46" s="43"/>
      <c r="EF46" s="43"/>
      <c r="EG46" s="43"/>
      <c r="EH46" s="43"/>
      <c r="EI46" s="43"/>
      <c r="EJ46" s="43"/>
      <c r="EK46" s="43"/>
      <c r="EL46" s="43"/>
      <c r="EM46" s="43"/>
      <c r="EN46" s="43"/>
      <c r="EO46" s="43"/>
      <c r="EP46" s="43"/>
      <c r="EQ46" s="43"/>
      <c r="ER46" s="43"/>
      <c r="ES46" s="43"/>
      <c r="ET46" s="43"/>
      <c r="EU46" s="43"/>
      <c r="EV46" s="43"/>
      <c r="EW46" s="43"/>
      <c r="EX46" s="43"/>
      <c r="EY46" s="43"/>
      <c r="EZ46" s="43"/>
      <c r="FA46" s="43"/>
      <c r="FB46" s="43"/>
      <c r="FC46" s="43"/>
      <c r="FD46" s="43"/>
      <c r="FE46" s="43"/>
      <c r="FF46" s="43"/>
      <c r="FG46" s="43"/>
      <c r="FH46" s="43"/>
      <c r="FI46" s="43"/>
      <c r="FJ46" s="43"/>
      <c r="FK46" s="43"/>
      <c r="FL46" s="43"/>
      <c r="FM46" s="43"/>
      <c r="FN46" s="43"/>
      <c r="FO46" s="43"/>
      <c r="FP46" s="43"/>
      <c r="FQ46" s="43"/>
      <c r="FR46" s="43"/>
      <c r="FS46" s="43"/>
      <c r="FT46" s="43"/>
      <c r="FU46" s="43"/>
      <c r="FV46" s="43"/>
      <c r="FW46" s="43"/>
      <c r="FX46" s="43"/>
      <c r="FY46" s="43"/>
      <c r="FZ46" s="43"/>
      <c r="GA46" s="43"/>
      <c r="GB46" s="43"/>
      <c r="GC46" s="43"/>
      <c r="GD46" s="43"/>
      <c r="GE46" s="43"/>
      <c r="GF46" s="43"/>
      <c r="GG46" s="43"/>
      <c r="GH46" s="43"/>
      <c r="GI46" s="43"/>
      <c r="GJ46" s="43"/>
      <c r="GK46" s="43"/>
      <c r="GL46" s="43"/>
      <c r="GM46" s="43"/>
      <c r="GN46" s="43"/>
      <c r="GO46" s="43"/>
      <c r="GP46" s="43"/>
      <c r="GQ46" s="43"/>
      <c r="GR46" s="43"/>
      <c r="GS46" s="43"/>
      <c r="GT46" s="43"/>
      <c r="GU46" s="43"/>
      <c r="GV46" s="43"/>
      <c r="GW46" s="43"/>
      <c r="GX46" s="43"/>
      <c r="GY46" s="43"/>
      <c r="GZ46" s="43"/>
      <c r="HA46" s="43"/>
      <c r="HB46" s="43"/>
      <c r="HC46" s="43"/>
      <c r="HD46" s="43"/>
      <c r="HE46" s="43"/>
      <c r="HF46" s="43"/>
      <c r="HG46" s="43"/>
      <c r="HH46" s="43"/>
      <c r="HI46" s="43"/>
      <c r="HJ46" s="43"/>
      <c r="HK46" s="43"/>
      <c r="HL46" s="43"/>
      <c r="HM46" s="43"/>
      <c r="HN46" s="43"/>
      <c r="HO46" s="43"/>
      <c r="HP46" s="43"/>
      <c r="HQ46" s="43"/>
      <c r="HR46" s="43"/>
      <c r="HS46" s="43"/>
      <c r="HT46" s="43"/>
      <c r="HU46" s="43"/>
      <c r="HV46" s="43"/>
      <c r="HW46" s="43"/>
      <c r="HX46" s="43"/>
      <c r="HY46" s="43"/>
      <c r="HZ46" s="43"/>
      <c r="IA46" s="43"/>
      <c r="IB46" s="43"/>
      <c r="IC46" s="43"/>
      <c r="ID46" s="43"/>
      <c r="IE46" s="43"/>
      <c r="IF46" s="43"/>
      <c r="IG46" s="43"/>
      <c r="IH46" s="43"/>
      <c r="II46" s="43"/>
      <c r="IJ46" s="43"/>
      <c r="IK46" s="43"/>
      <c r="IL46" s="43"/>
      <c r="IM46" s="43"/>
      <c r="IN46" s="43"/>
      <c r="IO46" s="43"/>
      <c r="IP46" s="43"/>
      <c r="IQ46" s="43"/>
      <c r="IR46" s="43"/>
      <c r="IS46" s="43"/>
      <c r="IT46" s="43"/>
      <c r="IU46" s="43"/>
      <c r="IV46" s="43"/>
      <c r="IW46" s="43"/>
      <c r="IX46" s="43"/>
      <c r="IY46" s="43"/>
      <c r="IZ46" s="43"/>
      <c r="JA46" s="43"/>
      <c r="JB46" s="43"/>
      <c r="JC46" s="43"/>
      <c r="JD46" s="43"/>
      <c r="JE46" s="43"/>
      <c r="JF46" s="43"/>
      <c r="JG46" s="43"/>
      <c r="JH46" s="43"/>
      <c r="JI46" s="43"/>
      <c r="JJ46" s="43"/>
      <c r="JK46" s="43"/>
      <c r="JL46" s="43"/>
      <c r="JM46" s="43"/>
      <c r="JN46" s="43"/>
      <c r="JO46" s="43"/>
      <c r="JP46" s="43"/>
      <c r="JQ46" s="43"/>
      <c r="JR46" s="43"/>
      <c r="JS46" s="43"/>
      <c r="JT46" s="43"/>
      <c r="JU46" s="43"/>
      <c r="JV46" s="43"/>
      <c r="JW46" s="43"/>
      <c r="JX46" s="43"/>
      <c r="JY46" s="43"/>
      <c r="JZ46" s="43"/>
      <c r="KA46" s="43"/>
      <c r="KB46" s="43"/>
      <c r="KC46" s="43"/>
      <c r="KD46" s="43"/>
      <c r="KE46" s="43"/>
      <c r="KF46" s="43"/>
      <c r="KG46" s="43"/>
      <c r="KH46" s="43"/>
      <c r="KI46" s="43"/>
      <c r="KJ46" s="43"/>
      <c r="KK46" s="43"/>
      <c r="KL46" s="43"/>
      <c r="KM46" s="43"/>
      <c r="KN46" s="43"/>
      <c r="KO46" s="43"/>
      <c r="KP46" s="43"/>
      <c r="KQ46" s="43"/>
      <c r="KR46" s="43"/>
      <c r="KS46" s="43"/>
      <c r="KT46" s="43"/>
      <c r="KU46" s="43"/>
      <c r="KV46" s="43"/>
      <c r="KW46" s="43"/>
      <c r="KX46" s="43"/>
      <c r="KY46" s="43"/>
      <c r="KZ46" s="43"/>
      <c r="LA46" s="43"/>
      <c r="LB46" s="43"/>
      <c r="LC46" s="43"/>
      <c r="LD46" s="43"/>
      <c r="LE46" s="43"/>
      <c r="LF46" s="43"/>
      <c r="LG46" s="43"/>
      <c r="LH46" s="43"/>
      <c r="LI46" s="43"/>
      <c r="LJ46" s="43"/>
      <c r="LK46" s="43"/>
      <c r="LL46" s="43"/>
      <c r="LM46" s="43"/>
      <c r="LN46" s="43"/>
      <c r="LO46" s="43"/>
      <c r="LP46" s="43"/>
      <c r="LQ46" s="43"/>
      <c r="LR46" s="43"/>
      <c r="LS46" s="43"/>
      <c r="LT46" s="43"/>
      <c r="LU46" s="43"/>
      <c r="LV46" s="43"/>
      <c r="LW46" s="43"/>
      <c r="LX46" s="43"/>
      <c r="LY46" s="43"/>
      <c r="LZ46" s="43"/>
      <c r="MA46" s="43"/>
      <c r="MB46" s="43"/>
      <c r="MC46" s="43"/>
      <c r="MD46" s="43"/>
      <c r="ME46" s="43"/>
      <c r="MF46" s="43"/>
      <c r="MG46" s="43"/>
      <c r="MH46" s="43"/>
      <c r="MI46" s="43"/>
      <c r="MJ46" s="43"/>
      <c r="MK46" s="43"/>
      <c r="ML46" s="43"/>
      <c r="MM46" s="43"/>
      <c r="MN46" s="43"/>
      <c r="MO46" s="43"/>
      <c r="MP46" s="43"/>
      <c r="MQ46" s="43"/>
      <c r="MR46" s="43"/>
      <c r="MS46" s="43"/>
      <c r="MT46" s="43"/>
      <c r="MU46" s="43"/>
      <c r="MV46" s="43"/>
      <c r="MW46" s="43"/>
      <c r="MX46" s="43"/>
      <c r="MY46" s="43"/>
      <c r="MZ46" s="43"/>
      <c r="NA46" s="43"/>
      <c r="NB46" s="43"/>
      <c r="NC46" s="43"/>
      <c r="ND46" s="43"/>
      <c r="NE46" s="43"/>
      <c r="NF46" s="43"/>
      <c r="NG46" s="43"/>
      <c r="NH46" s="43"/>
      <c r="NI46" s="43"/>
      <c r="NJ46" s="43"/>
      <c r="NK46" s="43"/>
      <c r="NL46" s="43"/>
      <c r="NM46" s="43"/>
      <c r="NN46" s="43"/>
      <c r="NO46" s="43"/>
      <c r="NP46" s="43"/>
      <c r="NQ46" s="43"/>
      <c r="NR46" s="43"/>
      <c r="NS46" s="43"/>
      <c r="NT46" s="43"/>
      <c r="NU46" s="43"/>
      <c r="NV46" s="43"/>
      <c r="NW46" s="43"/>
      <c r="NX46" s="43"/>
      <c r="NY46" s="43"/>
      <c r="NZ46" s="43"/>
      <c r="OA46" s="43"/>
      <c r="OB46" s="43"/>
      <c r="OC46" s="43"/>
      <c r="OD46" s="43"/>
      <c r="OE46" s="43"/>
      <c r="OF46" s="43"/>
      <c r="OG46" s="43"/>
      <c r="OH46" s="43"/>
      <c r="OI46" s="43"/>
      <c r="OJ46" s="43"/>
      <c r="OK46" s="43"/>
      <c r="OL46" s="43"/>
      <c r="OM46" s="43"/>
      <c r="ON46" s="43"/>
      <c r="OO46" s="43"/>
      <c r="OP46" s="43"/>
      <c r="OQ46" s="43"/>
      <c r="OR46" s="43"/>
      <c r="OS46" s="43"/>
      <c r="OT46" s="43"/>
      <c r="OU46" s="43"/>
      <c r="OV46" s="43"/>
      <c r="OW46" s="43"/>
      <c r="OX46" s="43"/>
      <c r="OY46" s="43"/>
      <c r="OZ46" s="43"/>
      <c r="PA46" s="43"/>
      <c r="PB46" s="43"/>
      <c r="PC46" s="43"/>
      <c r="PD46" s="43"/>
      <c r="PE46" s="43"/>
      <c r="PF46" s="43"/>
      <c r="PG46" s="43"/>
      <c r="PH46" s="43"/>
      <c r="PI46" s="43"/>
      <c r="PJ46" s="43"/>
      <c r="PK46" s="43"/>
      <c r="PL46" s="43"/>
      <c r="PM46" s="43"/>
      <c r="PN46" s="43"/>
      <c r="PO46" s="43"/>
      <c r="PP46" s="43"/>
      <c r="PQ46" s="43"/>
      <c r="PR46" s="43"/>
      <c r="PS46" s="43"/>
      <c r="PT46" s="43"/>
      <c r="PU46" s="43"/>
      <c r="PV46" s="43"/>
      <c r="PW46" s="43"/>
      <c r="PX46" s="43"/>
      <c r="PY46" s="43"/>
      <c r="PZ46" s="43"/>
      <c r="QA46" s="43"/>
      <c r="QB46" s="43"/>
      <c r="QC46" s="43"/>
    </row>
    <row r="47" spans="1:16383" x14ac:dyDescent="0.3">
      <c r="B47" s="45"/>
      <c r="C47" s="45"/>
      <c r="D47" s="45"/>
      <c r="E47" s="45"/>
      <c r="F47" s="45"/>
      <c r="G47" s="45"/>
      <c r="H47" s="45"/>
      <c r="I47" s="45"/>
      <c r="J47" s="52"/>
      <c r="K47" s="45"/>
      <c r="L47" s="45"/>
      <c r="M47" s="45"/>
      <c r="N47" s="45"/>
      <c r="O47" s="45"/>
      <c r="P47" s="45"/>
      <c r="Q47" s="45"/>
      <c r="R47" s="45"/>
      <c r="S47" s="45"/>
      <c r="T47" s="46" t="str">
        <f t="shared" si="2"/>
        <v/>
      </c>
      <c r="U47" s="46" t="str">
        <f t="shared" si="3"/>
        <v/>
      </c>
      <c r="V47" s="72" t="str">
        <f t="shared" si="4"/>
        <v/>
      </c>
      <c r="W47" s="48"/>
      <c r="X47" s="73" t="str">
        <f t="shared" si="6"/>
        <v/>
      </c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43"/>
      <c r="CY47" s="43"/>
      <c r="CZ47" s="43"/>
      <c r="DA47" s="43"/>
      <c r="DB47" s="43"/>
      <c r="DC47" s="43"/>
      <c r="DD47" s="43"/>
      <c r="DE47" s="43"/>
      <c r="DF47" s="43"/>
      <c r="DG47" s="43"/>
      <c r="DH47" s="43"/>
      <c r="DI47" s="43"/>
      <c r="DJ47" s="43"/>
      <c r="DK47" s="43"/>
      <c r="DL47" s="43"/>
      <c r="DM47" s="43"/>
      <c r="DN47" s="43"/>
      <c r="DO47" s="43"/>
      <c r="DP47" s="43"/>
      <c r="DQ47" s="43"/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43"/>
      <c r="EM47" s="43"/>
      <c r="EN47" s="43"/>
      <c r="EO47" s="43"/>
      <c r="EP47" s="43"/>
      <c r="EQ47" s="43"/>
      <c r="ER47" s="43"/>
      <c r="ES47" s="43"/>
      <c r="ET47" s="43"/>
      <c r="EU47" s="43"/>
      <c r="EV47" s="43"/>
      <c r="EW47" s="43"/>
      <c r="EX47" s="43"/>
      <c r="EY47" s="43"/>
      <c r="EZ47" s="43"/>
      <c r="FA47" s="43"/>
      <c r="FB47" s="43"/>
      <c r="FC47" s="43"/>
      <c r="FD47" s="43"/>
      <c r="FE47" s="43"/>
      <c r="FF47" s="43"/>
      <c r="FG47" s="43"/>
      <c r="FH47" s="43"/>
      <c r="FI47" s="43"/>
      <c r="FJ47" s="43"/>
      <c r="FK47" s="43"/>
      <c r="FL47" s="43"/>
      <c r="FM47" s="43"/>
      <c r="FN47" s="43"/>
      <c r="FO47" s="43"/>
      <c r="FP47" s="43"/>
      <c r="FQ47" s="43"/>
      <c r="FR47" s="43"/>
      <c r="FS47" s="43"/>
      <c r="FT47" s="43"/>
      <c r="FU47" s="43"/>
      <c r="FV47" s="43"/>
      <c r="FW47" s="43"/>
      <c r="FX47" s="43"/>
      <c r="FY47" s="43"/>
      <c r="FZ47" s="43"/>
      <c r="GA47" s="43"/>
      <c r="GB47" s="43"/>
      <c r="GC47" s="43"/>
      <c r="GD47" s="43"/>
      <c r="GE47" s="43"/>
      <c r="GF47" s="43"/>
      <c r="GG47" s="43"/>
      <c r="GH47" s="43"/>
      <c r="GI47" s="43"/>
      <c r="GJ47" s="43"/>
      <c r="GK47" s="43"/>
      <c r="GL47" s="43"/>
      <c r="GM47" s="43"/>
      <c r="GN47" s="43"/>
      <c r="GO47" s="43"/>
      <c r="GP47" s="43"/>
      <c r="GQ47" s="43"/>
      <c r="GR47" s="43"/>
      <c r="GS47" s="43"/>
      <c r="GT47" s="43"/>
      <c r="GU47" s="43"/>
      <c r="GV47" s="43"/>
      <c r="GW47" s="43"/>
      <c r="GX47" s="43"/>
      <c r="GY47" s="43"/>
      <c r="GZ47" s="43"/>
      <c r="HA47" s="43"/>
      <c r="HB47" s="43"/>
      <c r="HC47" s="43"/>
      <c r="HD47" s="43"/>
      <c r="HE47" s="43"/>
      <c r="HF47" s="43"/>
      <c r="HG47" s="43"/>
      <c r="HH47" s="43"/>
      <c r="HI47" s="43"/>
      <c r="HJ47" s="43"/>
      <c r="HK47" s="43"/>
      <c r="HL47" s="43"/>
      <c r="HM47" s="43"/>
      <c r="HN47" s="43"/>
      <c r="HO47" s="43"/>
      <c r="HP47" s="43"/>
      <c r="HQ47" s="43"/>
      <c r="HR47" s="43"/>
      <c r="HS47" s="43"/>
      <c r="HT47" s="43"/>
      <c r="HU47" s="43"/>
      <c r="HV47" s="43"/>
      <c r="HW47" s="43"/>
      <c r="HX47" s="43"/>
      <c r="HY47" s="43"/>
      <c r="HZ47" s="43"/>
      <c r="IA47" s="43"/>
      <c r="IB47" s="43"/>
      <c r="IC47" s="43"/>
      <c r="ID47" s="43"/>
      <c r="IE47" s="43"/>
      <c r="IF47" s="43"/>
      <c r="IG47" s="43"/>
      <c r="IH47" s="43"/>
      <c r="II47" s="43"/>
      <c r="IJ47" s="43"/>
      <c r="IK47" s="43"/>
      <c r="IL47" s="43"/>
      <c r="IM47" s="43"/>
      <c r="IN47" s="43"/>
      <c r="IO47" s="43"/>
      <c r="IP47" s="43"/>
      <c r="IQ47" s="43"/>
      <c r="IR47" s="43"/>
      <c r="IS47" s="43"/>
      <c r="IT47" s="43"/>
      <c r="IU47" s="43"/>
      <c r="IV47" s="43"/>
      <c r="IW47" s="43"/>
      <c r="IX47" s="43"/>
      <c r="IY47" s="43"/>
      <c r="IZ47" s="43"/>
      <c r="JA47" s="43"/>
      <c r="JB47" s="43"/>
      <c r="JC47" s="43"/>
      <c r="JD47" s="43"/>
      <c r="JE47" s="43"/>
      <c r="JF47" s="43"/>
      <c r="JG47" s="43"/>
      <c r="JH47" s="43"/>
      <c r="JI47" s="43"/>
      <c r="JJ47" s="43"/>
      <c r="JK47" s="43"/>
      <c r="JL47" s="43"/>
      <c r="JM47" s="43"/>
      <c r="JN47" s="43"/>
      <c r="JO47" s="43"/>
      <c r="JP47" s="43"/>
      <c r="JQ47" s="43"/>
      <c r="JR47" s="43"/>
      <c r="JS47" s="43"/>
      <c r="JT47" s="43"/>
      <c r="JU47" s="43"/>
      <c r="JV47" s="43"/>
      <c r="JW47" s="43"/>
      <c r="JX47" s="43"/>
      <c r="JY47" s="43"/>
      <c r="JZ47" s="43"/>
      <c r="KA47" s="43"/>
      <c r="KB47" s="43"/>
      <c r="KC47" s="43"/>
      <c r="KD47" s="43"/>
      <c r="KE47" s="43"/>
      <c r="KF47" s="43"/>
      <c r="KG47" s="43"/>
      <c r="KH47" s="43"/>
      <c r="KI47" s="43"/>
      <c r="KJ47" s="43"/>
      <c r="KK47" s="43"/>
      <c r="KL47" s="43"/>
      <c r="KM47" s="43"/>
      <c r="KN47" s="43"/>
      <c r="KO47" s="43"/>
      <c r="KP47" s="43"/>
      <c r="KQ47" s="43"/>
      <c r="KR47" s="43"/>
      <c r="KS47" s="43"/>
      <c r="KT47" s="43"/>
      <c r="KU47" s="43"/>
      <c r="KV47" s="43"/>
      <c r="KW47" s="43"/>
      <c r="KX47" s="43"/>
      <c r="KY47" s="43"/>
      <c r="KZ47" s="43"/>
      <c r="LA47" s="43"/>
      <c r="LB47" s="43"/>
      <c r="LC47" s="43"/>
      <c r="LD47" s="43"/>
      <c r="LE47" s="43"/>
      <c r="LF47" s="43"/>
      <c r="LG47" s="43"/>
      <c r="LH47" s="43"/>
      <c r="LI47" s="43"/>
      <c r="LJ47" s="43"/>
      <c r="LK47" s="43"/>
      <c r="LL47" s="43"/>
      <c r="LM47" s="43"/>
      <c r="LN47" s="43"/>
      <c r="LO47" s="43"/>
      <c r="LP47" s="43"/>
      <c r="LQ47" s="43"/>
      <c r="LR47" s="43"/>
      <c r="LS47" s="43"/>
      <c r="LT47" s="43"/>
      <c r="LU47" s="43"/>
      <c r="LV47" s="43"/>
      <c r="LW47" s="43"/>
      <c r="LX47" s="43"/>
      <c r="LY47" s="43"/>
      <c r="LZ47" s="43"/>
      <c r="MA47" s="43"/>
      <c r="MB47" s="43"/>
      <c r="MC47" s="43"/>
      <c r="MD47" s="43"/>
      <c r="ME47" s="43"/>
      <c r="MF47" s="43"/>
      <c r="MG47" s="43"/>
      <c r="MH47" s="43"/>
      <c r="MI47" s="43"/>
      <c r="MJ47" s="43"/>
      <c r="MK47" s="43"/>
      <c r="ML47" s="43"/>
      <c r="MM47" s="43"/>
      <c r="MN47" s="43"/>
      <c r="MO47" s="43"/>
      <c r="MP47" s="43"/>
      <c r="MQ47" s="43"/>
      <c r="MR47" s="43"/>
      <c r="MS47" s="43"/>
      <c r="MT47" s="43"/>
      <c r="MU47" s="43"/>
      <c r="MV47" s="43"/>
      <c r="MW47" s="43"/>
      <c r="MX47" s="43"/>
      <c r="MY47" s="43"/>
      <c r="MZ47" s="43"/>
      <c r="NA47" s="43"/>
      <c r="NB47" s="43"/>
      <c r="NC47" s="43"/>
      <c r="ND47" s="43"/>
      <c r="NE47" s="43"/>
      <c r="NF47" s="43"/>
      <c r="NG47" s="43"/>
      <c r="NH47" s="43"/>
      <c r="NI47" s="43"/>
      <c r="NJ47" s="43"/>
      <c r="NK47" s="43"/>
      <c r="NL47" s="43"/>
      <c r="NM47" s="43"/>
      <c r="NN47" s="43"/>
      <c r="NO47" s="43"/>
      <c r="NP47" s="43"/>
      <c r="NQ47" s="43"/>
      <c r="NR47" s="43"/>
      <c r="NS47" s="43"/>
      <c r="NT47" s="43"/>
      <c r="NU47" s="43"/>
      <c r="NV47" s="43"/>
      <c r="NW47" s="43"/>
      <c r="NX47" s="43"/>
      <c r="NY47" s="43"/>
      <c r="NZ47" s="43"/>
      <c r="OA47" s="43"/>
      <c r="OB47" s="43"/>
      <c r="OC47" s="43"/>
      <c r="OD47" s="43"/>
      <c r="OE47" s="43"/>
      <c r="OF47" s="43"/>
      <c r="OG47" s="43"/>
      <c r="OH47" s="43"/>
      <c r="OI47" s="43"/>
      <c r="OJ47" s="43"/>
      <c r="OK47" s="43"/>
      <c r="OL47" s="43"/>
      <c r="OM47" s="43"/>
      <c r="ON47" s="43"/>
      <c r="OO47" s="43"/>
      <c r="OP47" s="43"/>
      <c r="OQ47" s="43"/>
      <c r="OR47" s="43"/>
      <c r="OS47" s="43"/>
      <c r="OT47" s="43"/>
      <c r="OU47" s="43"/>
      <c r="OV47" s="43"/>
      <c r="OW47" s="43"/>
      <c r="OX47" s="43"/>
      <c r="OY47" s="43"/>
      <c r="OZ47" s="43"/>
      <c r="PA47" s="43"/>
      <c r="PB47" s="43"/>
      <c r="PC47" s="43"/>
      <c r="PD47" s="43"/>
      <c r="PE47" s="43"/>
      <c r="PF47" s="43"/>
      <c r="PG47" s="43"/>
      <c r="PH47" s="43"/>
      <c r="PI47" s="43"/>
      <c r="PJ47" s="43"/>
      <c r="PK47" s="43"/>
      <c r="PL47" s="43"/>
      <c r="PM47" s="43"/>
      <c r="PN47" s="43"/>
      <c r="PO47" s="43"/>
      <c r="PP47" s="43"/>
      <c r="PQ47" s="43"/>
      <c r="PR47" s="43"/>
      <c r="PS47" s="43"/>
      <c r="PT47" s="43"/>
      <c r="PU47" s="43"/>
      <c r="PV47" s="43"/>
      <c r="PW47" s="43"/>
      <c r="PX47" s="43"/>
      <c r="PY47" s="43"/>
      <c r="PZ47" s="43"/>
      <c r="QA47" s="43"/>
      <c r="QB47" s="43"/>
      <c r="QC47" s="43"/>
    </row>
    <row r="48" spans="1:16383" x14ac:dyDescent="0.3"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6" t="str">
        <f t="shared" si="2"/>
        <v/>
      </c>
      <c r="U48" s="46" t="str">
        <f t="shared" si="3"/>
        <v/>
      </c>
      <c r="V48" s="72" t="str">
        <f t="shared" si="4"/>
        <v/>
      </c>
      <c r="W48" s="48"/>
      <c r="X48" s="73" t="str">
        <f t="shared" si="6"/>
        <v/>
      </c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  <c r="IW48" s="43"/>
      <c r="IX48" s="43"/>
      <c r="IY48" s="43"/>
      <c r="IZ48" s="43"/>
      <c r="JA48" s="43"/>
      <c r="JB48" s="43"/>
      <c r="JC48" s="43"/>
      <c r="JD48" s="43"/>
      <c r="JE48" s="43"/>
      <c r="JF48" s="43"/>
      <c r="JG48" s="43"/>
      <c r="JH48" s="43"/>
      <c r="JI48" s="43"/>
      <c r="JJ48" s="43"/>
      <c r="JK48" s="43"/>
      <c r="JL48" s="43"/>
      <c r="JM48" s="43"/>
      <c r="JN48" s="43"/>
      <c r="JO48" s="43"/>
      <c r="JP48" s="43"/>
      <c r="JQ48" s="43"/>
      <c r="JR48" s="43"/>
      <c r="JS48" s="43"/>
      <c r="JT48" s="43"/>
      <c r="JU48" s="43"/>
      <c r="JV48" s="43"/>
      <c r="JW48" s="43"/>
      <c r="JX48" s="43"/>
      <c r="JY48" s="43"/>
      <c r="JZ48" s="43"/>
      <c r="KA48" s="43"/>
      <c r="KB48" s="43"/>
      <c r="KC48" s="43"/>
      <c r="KD48" s="43"/>
      <c r="KE48" s="43"/>
      <c r="KF48" s="43"/>
      <c r="KG48" s="43"/>
      <c r="KH48" s="43"/>
      <c r="KI48" s="43"/>
      <c r="KJ48" s="43"/>
      <c r="KK48" s="43"/>
      <c r="KL48" s="43"/>
      <c r="KM48" s="43"/>
      <c r="KN48" s="43"/>
      <c r="KO48" s="43"/>
      <c r="KP48" s="43"/>
      <c r="KQ48" s="43"/>
      <c r="KR48" s="43"/>
      <c r="KS48" s="43"/>
      <c r="KT48" s="43"/>
      <c r="KU48" s="43"/>
      <c r="KV48" s="43"/>
      <c r="KW48" s="43"/>
      <c r="KX48" s="43"/>
      <c r="KY48" s="43"/>
      <c r="KZ48" s="43"/>
      <c r="LA48" s="43"/>
      <c r="LB48" s="43"/>
      <c r="LC48" s="43"/>
      <c r="LD48" s="43"/>
      <c r="LE48" s="43"/>
      <c r="LF48" s="43"/>
      <c r="LG48" s="43"/>
      <c r="LH48" s="43"/>
      <c r="LI48" s="43"/>
      <c r="LJ48" s="43"/>
      <c r="LK48" s="43"/>
      <c r="LL48" s="43"/>
      <c r="LM48" s="43"/>
      <c r="LN48" s="43"/>
      <c r="LO48" s="43"/>
      <c r="LP48" s="43"/>
      <c r="LQ48" s="43"/>
      <c r="LR48" s="43"/>
      <c r="LS48" s="43"/>
      <c r="LT48" s="43"/>
      <c r="LU48" s="43"/>
      <c r="LV48" s="43"/>
      <c r="LW48" s="43"/>
      <c r="LX48" s="43"/>
      <c r="LY48" s="43"/>
      <c r="LZ48" s="43"/>
      <c r="MA48" s="43"/>
      <c r="MB48" s="43"/>
      <c r="MC48" s="43"/>
      <c r="MD48" s="43"/>
      <c r="ME48" s="43"/>
      <c r="MF48" s="43"/>
      <c r="MG48" s="43"/>
      <c r="MH48" s="43"/>
      <c r="MI48" s="43"/>
      <c r="MJ48" s="43"/>
      <c r="MK48" s="43"/>
      <c r="ML48" s="43"/>
      <c r="MM48" s="43"/>
      <c r="MN48" s="43"/>
      <c r="MO48" s="43"/>
      <c r="MP48" s="43"/>
      <c r="MQ48" s="43"/>
      <c r="MR48" s="43"/>
      <c r="MS48" s="43"/>
      <c r="MT48" s="43"/>
      <c r="MU48" s="43"/>
      <c r="MV48" s="43"/>
      <c r="MW48" s="43"/>
      <c r="MX48" s="43"/>
      <c r="MY48" s="43"/>
      <c r="MZ48" s="43"/>
      <c r="NA48" s="43"/>
      <c r="NB48" s="43"/>
      <c r="NC48" s="43"/>
      <c r="ND48" s="43"/>
      <c r="NE48" s="43"/>
      <c r="NF48" s="43"/>
      <c r="NG48" s="43"/>
      <c r="NH48" s="43"/>
      <c r="NI48" s="43"/>
      <c r="NJ48" s="43"/>
      <c r="NK48" s="43"/>
      <c r="NL48" s="43"/>
      <c r="NM48" s="43"/>
      <c r="NN48" s="43"/>
      <c r="NO48" s="43"/>
      <c r="NP48" s="43"/>
      <c r="NQ48" s="43"/>
      <c r="NR48" s="43"/>
      <c r="NS48" s="43"/>
      <c r="NT48" s="43"/>
      <c r="NU48" s="43"/>
      <c r="NV48" s="43"/>
      <c r="NW48" s="43"/>
      <c r="NX48" s="43"/>
      <c r="NY48" s="43"/>
      <c r="NZ48" s="43"/>
      <c r="OA48" s="43"/>
      <c r="OB48" s="43"/>
      <c r="OC48" s="43"/>
      <c r="OD48" s="43"/>
      <c r="OE48" s="43"/>
      <c r="OF48" s="43"/>
      <c r="OG48" s="43"/>
      <c r="OH48" s="43"/>
      <c r="OI48" s="43"/>
      <c r="OJ48" s="43"/>
      <c r="OK48" s="43"/>
      <c r="OL48" s="43"/>
      <c r="OM48" s="43"/>
      <c r="ON48" s="43"/>
      <c r="OO48" s="43"/>
      <c r="OP48" s="43"/>
      <c r="OQ48" s="43"/>
      <c r="OR48" s="43"/>
      <c r="OS48" s="43"/>
      <c r="OT48" s="43"/>
      <c r="OU48" s="43"/>
      <c r="OV48" s="43"/>
      <c r="OW48" s="43"/>
      <c r="OX48" s="43"/>
      <c r="OY48" s="43"/>
      <c r="OZ48" s="43"/>
      <c r="PA48" s="43"/>
      <c r="PB48" s="43"/>
      <c r="PC48" s="43"/>
      <c r="PD48" s="43"/>
      <c r="PE48" s="43"/>
      <c r="PF48" s="43"/>
      <c r="PG48" s="43"/>
      <c r="PH48" s="43"/>
      <c r="PI48" s="43"/>
      <c r="PJ48" s="43"/>
      <c r="PK48" s="43"/>
      <c r="PL48" s="43"/>
      <c r="PM48" s="43"/>
      <c r="PN48" s="43"/>
      <c r="PO48" s="43"/>
      <c r="PP48" s="43"/>
      <c r="PQ48" s="43"/>
      <c r="PR48" s="43"/>
      <c r="PS48" s="43"/>
      <c r="PT48" s="43"/>
      <c r="PU48" s="43"/>
      <c r="PV48" s="43"/>
      <c r="PW48" s="43"/>
      <c r="PX48" s="43"/>
      <c r="PY48" s="43"/>
      <c r="PZ48" s="43"/>
      <c r="QA48" s="43"/>
      <c r="QB48" s="43"/>
      <c r="QC48" s="43"/>
    </row>
    <row r="49" spans="2:445" x14ac:dyDescent="0.3"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6" t="str">
        <f t="shared" si="2"/>
        <v/>
      </c>
      <c r="U49" s="46" t="str">
        <f t="shared" si="3"/>
        <v/>
      </c>
      <c r="V49" s="72" t="str">
        <f t="shared" si="4"/>
        <v/>
      </c>
      <c r="W49" s="48"/>
      <c r="X49" s="73" t="str">
        <f t="shared" si="6"/>
        <v/>
      </c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  <c r="IW49" s="43"/>
      <c r="IX49" s="43"/>
      <c r="IY49" s="43"/>
      <c r="IZ49" s="43"/>
      <c r="JA49" s="43"/>
      <c r="JB49" s="43"/>
      <c r="JC49" s="43"/>
      <c r="JD49" s="43"/>
      <c r="JE49" s="43"/>
      <c r="JF49" s="43"/>
      <c r="JG49" s="43"/>
      <c r="JH49" s="43"/>
      <c r="JI49" s="43"/>
      <c r="JJ49" s="43"/>
      <c r="JK49" s="43"/>
      <c r="JL49" s="43"/>
      <c r="JM49" s="43"/>
      <c r="JN49" s="43"/>
      <c r="JO49" s="43"/>
      <c r="JP49" s="43"/>
      <c r="JQ49" s="43"/>
      <c r="JR49" s="43"/>
      <c r="JS49" s="43"/>
      <c r="JT49" s="43"/>
      <c r="JU49" s="43"/>
      <c r="JV49" s="43"/>
      <c r="JW49" s="43"/>
      <c r="JX49" s="43"/>
      <c r="JY49" s="43"/>
      <c r="JZ49" s="43"/>
      <c r="KA49" s="43"/>
      <c r="KB49" s="43"/>
      <c r="KC49" s="43"/>
      <c r="KD49" s="43"/>
      <c r="KE49" s="43"/>
      <c r="KF49" s="43"/>
      <c r="KG49" s="43"/>
      <c r="KH49" s="43"/>
      <c r="KI49" s="43"/>
      <c r="KJ49" s="43"/>
      <c r="KK49" s="43"/>
      <c r="KL49" s="43"/>
      <c r="KM49" s="43"/>
      <c r="KN49" s="43"/>
      <c r="KO49" s="43"/>
      <c r="KP49" s="43"/>
      <c r="KQ49" s="43"/>
      <c r="KR49" s="43"/>
      <c r="KS49" s="43"/>
      <c r="KT49" s="43"/>
      <c r="KU49" s="43"/>
      <c r="KV49" s="43"/>
      <c r="KW49" s="43"/>
      <c r="KX49" s="43"/>
      <c r="KY49" s="43"/>
      <c r="KZ49" s="43"/>
      <c r="LA49" s="43"/>
      <c r="LB49" s="43"/>
      <c r="LC49" s="43"/>
      <c r="LD49" s="43"/>
      <c r="LE49" s="43"/>
      <c r="LF49" s="43"/>
      <c r="LG49" s="43"/>
      <c r="LH49" s="43"/>
      <c r="LI49" s="43"/>
      <c r="LJ49" s="43"/>
      <c r="LK49" s="43"/>
      <c r="LL49" s="43"/>
      <c r="LM49" s="43"/>
      <c r="LN49" s="43"/>
      <c r="LO49" s="43"/>
      <c r="LP49" s="43"/>
      <c r="LQ49" s="43"/>
      <c r="LR49" s="43"/>
      <c r="LS49" s="43"/>
      <c r="LT49" s="43"/>
      <c r="LU49" s="43"/>
      <c r="LV49" s="43"/>
      <c r="LW49" s="43"/>
      <c r="LX49" s="43"/>
      <c r="LY49" s="43"/>
      <c r="LZ49" s="43"/>
      <c r="MA49" s="43"/>
      <c r="MB49" s="43"/>
      <c r="MC49" s="43"/>
      <c r="MD49" s="43"/>
      <c r="ME49" s="43"/>
      <c r="MF49" s="43"/>
      <c r="MG49" s="43"/>
      <c r="MH49" s="43"/>
      <c r="MI49" s="43"/>
      <c r="MJ49" s="43"/>
      <c r="MK49" s="43"/>
      <c r="ML49" s="43"/>
      <c r="MM49" s="43"/>
      <c r="MN49" s="43"/>
      <c r="MO49" s="43"/>
      <c r="MP49" s="43"/>
      <c r="MQ49" s="43"/>
      <c r="MR49" s="43"/>
      <c r="MS49" s="43"/>
      <c r="MT49" s="43"/>
      <c r="MU49" s="43"/>
      <c r="MV49" s="43"/>
      <c r="MW49" s="43"/>
      <c r="MX49" s="43"/>
      <c r="MY49" s="43"/>
      <c r="MZ49" s="43"/>
      <c r="NA49" s="43"/>
      <c r="NB49" s="43"/>
      <c r="NC49" s="43"/>
      <c r="ND49" s="43"/>
      <c r="NE49" s="43"/>
      <c r="NF49" s="43"/>
      <c r="NG49" s="43"/>
      <c r="NH49" s="43"/>
      <c r="NI49" s="43"/>
      <c r="NJ49" s="43"/>
      <c r="NK49" s="43"/>
      <c r="NL49" s="43"/>
      <c r="NM49" s="43"/>
      <c r="NN49" s="43"/>
      <c r="NO49" s="43"/>
      <c r="NP49" s="43"/>
      <c r="NQ49" s="43"/>
      <c r="NR49" s="43"/>
      <c r="NS49" s="43"/>
      <c r="NT49" s="43"/>
      <c r="NU49" s="43"/>
      <c r="NV49" s="43"/>
      <c r="NW49" s="43"/>
      <c r="NX49" s="43"/>
      <c r="NY49" s="43"/>
      <c r="NZ49" s="43"/>
      <c r="OA49" s="43"/>
      <c r="OB49" s="43"/>
      <c r="OC49" s="43"/>
      <c r="OD49" s="43"/>
      <c r="OE49" s="43"/>
      <c r="OF49" s="43"/>
      <c r="OG49" s="43"/>
      <c r="OH49" s="43"/>
      <c r="OI49" s="43"/>
      <c r="OJ49" s="43"/>
      <c r="OK49" s="43"/>
      <c r="OL49" s="43"/>
      <c r="OM49" s="43"/>
      <c r="ON49" s="43"/>
      <c r="OO49" s="43"/>
      <c r="OP49" s="43"/>
      <c r="OQ49" s="43"/>
      <c r="OR49" s="43"/>
      <c r="OS49" s="43"/>
      <c r="OT49" s="43"/>
      <c r="OU49" s="43"/>
      <c r="OV49" s="43"/>
      <c r="OW49" s="43"/>
      <c r="OX49" s="43"/>
      <c r="OY49" s="43"/>
      <c r="OZ49" s="43"/>
      <c r="PA49" s="43"/>
      <c r="PB49" s="43"/>
      <c r="PC49" s="43"/>
      <c r="PD49" s="43"/>
      <c r="PE49" s="43"/>
      <c r="PF49" s="43"/>
      <c r="PG49" s="43"/>
      <c r="PH49" s="43"/>
      <c r="PI49" s="43"/>
      <c r="PJ49" s="43"/>
      <c r="PK49" s="43"/>
      <c r="PL49" s="43"/>
      <c r="PM49" s="43"/>
      <c r="PN49" s="43"/>
      <c r="PO49" s="43"/>
      <c r="PP49" s="43"/>
      <c r="PQ49" s="43"/>
      <c r="PR49" s="43"/>
      <c r="PS49" s="43"/>
      <c r="PT49" s="43"/>
      <c r="PU49" s="43"/>
      <c r="PV49" s="43"/>
      <c r="PW49" s="43"/>
      <c r="PX49" s="43"/>
      <c r="PY49" s="43"/>
      <c r="PZ49" s="43"/>
      <c r="QA49" s="43"/>
      <c r="QB49" s="43"/>
      <c r="QC49" s="43"/>
    </row>
    <row r="50" spans="2:445" x14ac:dyDescent="0.3">
      <c r="B50" s="45"/>
      <c r="C50" s="45"/>
      <c r="D50" s="45"/>
      <c r="E50" s="45"/>
      <c r="F50" s="45"/>
      <c r="G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6" t="str">
        <f t="shared" si="2"/>
        <v/>
      </c>
      <c r="U50" s="46" t="str">
        <f t="shared" si="3"/>
        <v/>
      </c>
      <c r="V50" s="72" t="str">
        <f t="shared" si="4"/>
        <v/>
      </c>
      <c r="W50" s="48"/>
      <c r="X50" s="73" t="str">
        <f t="shared" si="6"/>
        <v/>
      </c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43"/>
      <c r="CY50" s="43"/>
      <c r="CZ50" s="43"/>
      <c r="DA50" s="43"/>
      <c r="DB50" s="43"/>
      <c r="DC50" s="43"/>
      <c r="DD50" s="43"/>
      <c r="DE50" s="43"/>
      <c r="DF50" s="43"/>
      <c r="DG50" s="43"/>
      <c r="DH50" s="43"/>
      <c r="DI50" s="43"/>
      <c r="DJ50" s="43"/>
      <c r="DK50" s="43"/>
      <c r="DL50" s="43"/>
      <c r="DM50" s="43"/>
      <c r="DN50" s="43"/>
      <c r="DO50" s="43"/>
      <c r="DP50" s="43"/>
      <c r="DQ50" s="43"/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43"/>
      <c r="EM50" s="43"/>
      <c r="EN50" s="43"/>
      <c r="EO50" s="43"/>
      <c r="EP50" s="43"/>
      <c r="EQ50" s="43"/>
      <c r="ER50" s="43"/>
      <c r="ES50" s="43"/>
      <c r="ET50" s="43"/>
      <c r="EU50" s="43"/>
      <c r="EV50" s="43"/>
      <c r="EW50" s="43"/>
      <c r="EX50" s="43"/>
      <c r="EY50" s="43"/>
      <c r="EZ50" s="43"/>
      <c r="FA50" s="43"/>
      <c r="FB50" s="43"/>
      <c r="FC50" s="43"/>
      <c r="FD50" s="43"/>
      <c r="FE50" s="43"/>
      <c r="FF50" s="43"/>
      <c r="FG50" s="43"/>
      <c r="FH50" s="43"/>
      <c r="FI50" s="43"/>
      <c r="FJ50" s="43"/>
      <c r="FK50" s="43"/>
      <c r="FL50" s="43"/>
      <c r="FM50" s="43"/>
      <c r="FN50" s="43"/>
      <c r="FO50" s="43"/>
      <c r="FP50" s="43"/>
      <c r="FQ50" s="43"/>
      <c r="FR50" s="43"/>
      <c r="FS50" s="43"/>
      <c r="FT50" s="43"/>
      <c r="FU50" s="43"/>
      <c r="FV50" s="43"/>
      <c r="FW50" s="43"/>
      <c r="FX50" s="43"/>
      <c r="FY50" s="43"/>
      <c r="FZ50" s="43"/>
      <c r="GA50" s="43"/>
      <c r="GB50" s="43"/>
      <c r="GC50" s="43"/>
      <c r="GD50" s="43"/>
      <c r="GE50" s="43"/>
      <c r="GF50" s="43"/>
      <c r="GG50" s="43"/>
      <c r="GH50" s="43"/>
      <c r="GI50" s="43"/>
      <c r="GJ50" s="43"/>
      <c r="GK50" s="43"/>
      <c r="GL50" s="43"/>
      <c r="GM50" s="43"/>
      <c r="GN50" s="43"/>
      <c r="GO50" s="43"/>
      <c r="GP50" s="43"/>
      <c r="GQ50" s="43"/>
      <c r="GR50" s="43"/>
      <c r="GS50" s="43"/>
      <c r="GT50" s="43"/>
      <c r="GU50" s="43"/>
      <c r="GV50" s="43"/>
      <c r="GW50" s="43"/>
      <c r="GX50" s="43"/>
      <c r="GY50" s="43"/>
      <c r="GZ50" s="43"/>
      <c r="HA50" s="43"/>
      <c r="HB50" s="43"/>
      <c r="HC50" s="43"/>
      <c r="HD50" s="43"/>
      <c r="HE50" s="43"/>
      <c r="HF50" s="43"/>
      <c r="HG50" s="43"/>
      <c r="HH50" s="43"/>
      <c r="HI50" s="43"/>
      <c r="HJ50" s="43"/>
      <c r="HK50" s="43"/>
      <c r="HL50" s="43"/>
      <c r="HM50" s="43"/>
      <c r="HN50" s="43"/>
      <c r="HO50" s="43"/>
      <c r="HP50" s="43"/>
      <c r="HQ50" s="43"/>
      <c r="HR50" s="43"/>
      <c r="HS50" s="43"/>
      <c r="HT50" s="43"/>
      <c r="HU50" s="43"/>
      <c r="HV50" s="43"/>
      <c r="HW50" s="43"/>
      <c r="HX50" s="43"/>
      <c r="HY50" s="43"/>
      <c r="HZ50" s="43"/>
      <c r="IA50" s="43"/>
      <c r="IB50" s="43"/>
      <c r="IC50" s="43"/>
      <c r="ID50" s="43"/>
      <c r="IE50" s="43"/>
      <c r="IF50" s="43"/>
      <c r="IG50" s="43"/>
      <c r="IH50" s="43"/>
      <c r="II50" s="43"/>
      <c r="IJ50" s="43"/>
      <c r="IK50" s="43"/>
      <c r="IL50" s="43"/>
      <c r="IM50" s="43"/>
      <c r="IN50" s="43"/>
      <c r="IO50" s="43"/>
      <c r="IP50" s="43"/>
      <c r="IQ50" s="43"/>
      <c r="IR50" s="43"/>
      <c r="IS50" s="43"/>
      <c r="IT50" s="43"/>
      <c r="IU50" s="43"/>
      <c r="IV50" s="43"/>
      <c r="IW50" s="43"/>
      <c r="IX50" s="43"/>
      <c r="IY50" s="43"/>
      <c r="IZ50" s="43"/>
      <c r="JA50" s="43"/>
      <c r="JB50" s="43"/>
      <c r="JC50" s="43"/>
      <c r="JD50" s="43"/>
      <c r="JE50" s="43"/>
      <c r="JF50" s="43"/>
      <c r="JG50" s="43"/>
      <c r="JH50" s="43"/>
      <c r="JI50" s="43"/>
      <c r="JJ50" s="43"/>
      <c r="JK50" s="43"/>
      <c r="JL50" s="43"/>
      <c r="JM50" s="43"/>
      <c r="JN50" s="43"/>
      <c r="JO50" s="43"/>
      <c r="JP50" s="43"/>
      <c r="JQ50" s="43"/>
      <c r="JR50" s="43"/>
      <c r="JS50" s="43"/>
      <c r="JT50" s="43"/>
      <c r="JU50" s="43"/>
      <c r="JV50" s="43"/>
      <c r="JW50" s="43"/>
      <c r="JX50" s="43"/>
      <c r="JY50" s="43"/>
      <c r="JZ50" s="43"/>
      <c r="KA50" s="43"/>
      <c r="KB50" s="43"/>
      <c r="KC50" s="43"/>
      <c r="KD50" s="43"/>
      <c r="KE50" s="43"/>
      <c r="KF50" s="43"/>
      <c r="KG50" s="43"/>
      <c r="KH50" s="43"/>
      <c r="KI50" s="43"/>
      <c r="KJ50" s="43"/>
      <c r="KK50" s="43"/>
      <c r="KL50" s="43"/>
      <c r="KM50" s="43"/>
      <c r="KN50" s="43"/>
      <c r="KO50" s="43"/>
      <c r="KP50" s="43"/>
      <c r="KQ50" s="43"/>
      <c r="KR50" s="43"/>
      <c r="KS50" s="43"/>
      <c r="KT50" s="43"/>
      <c r="KU50" s="43"/>
      <c r="KV50" s="43"/>
      <c r="KW50" s="43"/>
      <c r="KX50" s="43"/>
      <c r="KY50" s="43"/>
      <c r="KZ50" s="43"/>
      <c r="LA50" s="43"/>
      <c r="LB50" s="43"/>
      <c r="LC50" s="43"/>
      <c r="LD50" s="43"/>
      <c r="LE50" s="43"/>
      <c r="LF50" s="43"/>
      <c r="LG50" s="43"/>
      <c r="LH50" s="43"/>
      <c r="LI50" s="43"/>
      <c r="LJ50" s="43"/>
      <c r="LK50" s="43"/>
      <c r="LL50" s="43"/>
      <c r="LM50" s="43"/>
      <c r="LN50" s="43"/>
      <c r="LO50" s="43"/>
      <c r="LP50" s="43"/>
      <c r="LQ50" s="43"/>
      <c r="LR50" s="43"/>
      <c r="LS50" s="43"/>
      <c r="LT50" s="43"/>
      <c r="LU50" s="43"/>
      <c r="LV50" s="43"/>
      <c r="LW50" s="43"/>
      <c r="LX50" s="43"/>
      <c r="LY50" s="43"/>
      <c r="LZ50" s="43"/>
      <c r="MA50" s="43"/>
      <c r="MB50" s="43"/>
      <c r="MC50" s="43"/>
      <c r="MD50" s="43"/>
      <c r="ME50" s="43"/>
      <c r="MF50" s="43"/>
      <c r="MG50" s="43"/>
      <c r="MH50" s="43"/>
      <c r="MI50" s="43"/>
      <c r="MJ50" s="43"/>
      <c r="MK50" s="43"/>
      <c r="ML50" s="43"/>
      <c r="MM50" s="43"/>
      <c r="MN50" s="43"/>
      <c r="MO50" s="43"/>
      <c r="MP50" s="43"/>
      <c r="MQ50" s="43"/>
      <c r="MR50" s="43"/>
      <c r="MS50" s="43"/>
      <c r="MT50" s="43"/>
      <c r="MU50" s="43"/>
      <c r="MV50" s="43"/>
      <c r="MW50" s="43"/>
      <c r="MX50" s="43"/>
      <c r="MY50" s="43"/>
      <c r="MZ50" s="43"/>
      <c r="NA50" s="43"/>
      <c r="NB50" s="43"/>
      <c r="NC50" s="43"/>
      <c r="ND50" s="43"/>
      <c r="NE50" s="43"/>
      <c r="NF50" s="43"/>
      <c r="NG50" s="43"/>
      <c r="NH50" s="43"/>
      <c r="NI50" s="43"/>
      <c r="NJ50" s="43"/>
      <c r="NK50" s="43"/>
      <c r="NL50" s="43"/>
      <c r="NM50" s="43"/>
      <c r="NN50" s="43"/>
      <c r="NO50" s="43"/>
      <c r="NP50" s="43"/>
      <c r="NQ50" s="43"/>
      <c r="NR50" s="43"/>
      <c r="NS50" s="43"/>
      <c r="NT50" s="43"/>
      <c r="NU50" s="43"/>
      <c r="NV50" s="43"/>
      <c r="NW50" s="43"/>
      <c r="NX50" s="43"/>
      <c r="NY50" s="43"/>
      <c r="NZ50" s="43"/>
      <c r="OA50" s="43"/>
      <c r="OB50" s="43"/>
      <c r="OC50" s="43"/>
      <c r="OD50" s="43"/>
      <c r="OE50" s="43"/>
      <c r="OF50" s="43"/>
      <c r="OG50" s="43"/>
      <c r="OH50" s="43"/>
      <c r="OI50" s="43"/>
      <c r="OJ50" s="43"/>
      <c r="OK50" s="43"/>
      <c r="OL50" s="43"/>
      <c r="OM50" s="43"/>
      <c r="ON50" s="43"/>
      <c r="OO50" s="43"/>
      <c r="OP50" s="43"/>
      <c r="OQ50" s="43"/>
      <c r="OR50" s="43"/>
      <c r="OS50" s="43"/>
      <c r="OT50" s="43"/>
      <c r="OU50" s="43"/>
      <c r="OV50" s="43"/>
      <c r="OW50" s="43"/>
      <c r="OX50" s="43"/>
      <c r="OY50" s="43"/>
      <c r="OZ50" s="43"/>
      <c r="PA50" s="43"/>
      <c r="PB50" s="43"/>
      <c r="PC50" s="43"/>
      <c r="PD50" s="43"/>
      <c r="PE50" s="43"/>
      <c r="PF50" s="43"/>
      <c r="PG50" s="43"/>
      <c r="PH50" s="43"/>
      <c r="PI50" s="43"/>
      <c r="PJ50" s="43"/>
      <c r="PK50" s="43"/>
      <c r="PL50" s="43"/>
      <c r="PM50" s="43"/>
      <c r="PN50" s="43"/>
      <c r="PO50" s="43"/>
      <c r="PP50" s="43"/>
      <c r="PQ50" s="43"/>
      <c r="PR50" s="43"/>
      <c r="PS50" s="43"/>
      <c r="PT50" s="43"/>
      <c r="PU50" s="43"/>
      <c r="PV50" s="43"/>
      <c r="PW50" s="43"/>
      <c r="PX50" s="43"/>
      <c r="PY50" s="43"/>
      <c r="PZ50" s="43"/>
      <c r="QA50" s="43"/>
      <c r="QB50" s="43"/>
      <c r="QC50" s="43"/>
    </row>
    <row r="51" spans="2:445" x14ac:dyDescent="0.3"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6" t="str">
        <f t="shared" si="2"/>
        <v/>
      </c>
      <c r="U51" s="46" t="str">
        <f t="shared" si="3"/>
        <v/>
      </c>
      <c r="V51" s="72" t="str">
        <f t="shared" si="4"/>
        <v/>
      </c>
      <c r="W51" s="48"/>
      <c r="X51" s="73" t="str">
        <f t="shared" si="6"/>
        <v/>
      </c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V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  <c r="IW51" s="43"/>
      <c r="IX51" s="43"/>
      <c r="IY51" s="43"/>
      <c r="IZ51" s="43"/>
      <c r="JA51" s="43"/>
      <c r="JB51" s="43"/>
      <c r="JC51" s="43"/>
      <c r="JD51" s="43"/>
      <c r="JE51" s="43"/>
      <c r="JF51" s="43"/>
      <c r="JG51" s="43"/>
      <c r="JH51" s="43"/>
      <c r="JI51" s="43"/>
      <c r="JJ51" s="43"/>
      <c r="JK51" s="43"/>
      <c r="JL51" s="43"/>
      <c r="JM51" s="43"/>
      <c r="JN51" s="43"/>
      <c r="JO51" s="43"/>
      <c r="JP51" s="43"/>
      <c r="JQ51" s="43"/>
      <c r="JR51" s="43"/>
      <c r="JS51" s="43"/>
      <c r="JT51" s="43"/>
      <c r="JU51" s="43"/>
      <c r="JV51" s="43"/>
      <c r="JW51" s="43"/>
      <c r="JX51" s="43"/>
      <c r="JY51" s="43"/>
      <c r="JZ51" s="43"/>
      <c r="KA51" s="43"/>
      <c r="KB51" s="43"/>
      <c r="KC51" s="43"/>
      <c r="KD51" s="43"/>
      <c r="KE51" s="43"/>
      <c r="KF51" s="43"/>
      <c r="KG51" s="43"/>
      <c r="KH51" s="43"/>
      <c r="KI51" s="43"/>
      <c r="KJ51" s="43"/>
      <c r="KK51" s="43"/>
      <c r="KL51" s="43"/>
      <c r="KM51" s="43"/>
      <c r="KN51" s="43"/>
      <c r="KO51" s="43"/>
      <c r="KP51" s="43"/>
      <c r="KQ51" s="43"/>
      <c r="KR51" s="43"/>
      <c r="KS51" s="43"/>
      <c r="KT51" s="43"/>
      <c r="KU51" s="43"/>
      <c r="KV51" s="43"/>
      <c r="KW51" s="43"/>
      <c r="KX51" s="43"/>
      <c r="KY51" s="43"/>
      <c r="KZ51" s="43"/>
      <c r="LA51" s="43"/>
      <c r="LB51" s="43"/>
      <c r="LC51" s="43"/>
      <c r="LD51" s="43"/>
      <c r="LE51" s="43"/>
      <c r="LF51" s="43"/>
      <c r="LG51" s="43"/>
      <c r="LH51" s="43"/>
      <c r="LI51" s="43"/>
      <c r="LJ51" s="43"/>
      <c r="LK51" s="43"/>
      <c r="LL51" s="43"/>
      <c r="LM51" s="43"/>
      <c r="LN51" s="43"/>
      <c r="LO51" s="43"/>
      <c r="LP51" s="43"/>
      <c r="LQ51" s="43"/>
      <c r="LR51" s="43"/>
      <c r="LS51" s="43"/>
      <c r="LT51" s="43"/>
      <c r="LU51" s="43"/>
      <c r="LV51" s="43"/>
      <c r="LW51" s="43"/>
      <c r="LX51" s="43"/>
      <c r="LY51" s="43"/>
      <c r="LZ51" s="43"/>
      <c r="MA51" s="43"/>
      <c r="MB51" s="43"/>
      <c r="MC51" s="43"/>
      <c r="MD51" s="43"/>
      <c r="ME51" s="43"/>
      <c r="MF51" s="43"/>
      <c r="MG51" s="43"/>
      <c r="MH51" s="43"/>
      <c r="MI51" s="43"/>
      <c r="MJ51" s="43"/>
      <c r="MK51" s="43"/>
      <c r="ML51" s="43"/>
      <c r="MM51" s="43"/>
      <c r="MN51" s="43"/>
      <c r="MO51" s="43"/>
      <c r="MP51" s="43"/>
      <c r="MQ51" s="43"/>
      <c r="MR51" s="43"/>
      <c r="MS51" s="43"/>
      <c r="MT51" s="43"/>
      <c r="MU51" s="43"/>
      <c r="MV51" s="43"/>
      <c r="MW51" s="43"/>
      <c r="MX51" s="43"/>
      <c r="MY51" s="43"/>
      <c r="MZ51" s="43"/>
      <c r="NA51" s="43"/>
      <c r="NB51" s="43"/>
      <c r="NC51" s="43"/>
      <c r="ND51" s="43"/>
      <c r="NE51" s="43"/>
      <c r="NF51" s="43"/>
      <c r="NG51" s="43"/>
      <c r="NH51" s="43"/>
      <c r="NI51" s="43"/>
      <c r="NJ51" s="43"/>
      <c r="NK51" s="43"/>
      <c r="NL51" s="43"/>
      <c r="NM51" s="43"/>
      <c r="NN51" s="43"/>
      <c r="NO51" s="43"/>
      <c r="NP51" s="43"/>
      <c r="NQ51" s="43"/>
      <c r="NR51" s="43"/>
      <c r="NS51" s="43"/>
      <c r="NT51" s="43"/>
      <c r="NU51" s="43"/>
      <c r="NV51" s="43"/>
      <c r="NW51" s="43"/>
      <c r="NX51" s="43"/>
      <c r="NY51" s="43"/>
      <c r="NZ51" s="43"/>
      <c r="OA51" s="43"/>
      <c r="OB51" s="43"/>
      <c r="OC51" s="43"/>
      <c r="OD51" s="43"/>
      <c r="OE51" s="43"/>
      <c r="OF51" s="43"/>
      <c r="OG51" s="43"/>
      <c r="OH51" s="43"/>
      <c r="OI51" s="43"/>
      <c r="OJ51" s="43"/>
      <c r="OK51" s="43"/>
      <c r="OL51" s="43"/>
      <c r="OM51" s="43"/>
      <c r="ON51" s="43"/>
      <c r="OO51" s="43"/>
      <c r="OP51" s="43"/>
      <c r="OQ51" s="43"/>
      <c r="OR51" s="43"/>
      <c r="OS51" s="43"/>
      <c r="OT51" s="43"/>
      <c r="OU51" s="43"/>
      <c r="OV51" s="43"/>
      <c r="OW51" s="43"/>
      <c r="OX51" s="43"/>
      <c r="OY51" s="43"/>
      <c r="OZ51" s="43"/>
      <c r="PA51" s="43"/>
      <c r="PB51" s="43"/>
      <c r="PC51" s="43"/>
      <c r="PD51" s="43"/>
      <c r="PE51" s="43"/>
      <c r="PF51" s="43"/>
      <c r="PG51" s="43"/>
      <c r="PH51" s="43"/>
      <c r="PI51" s="43"/>
      <c r="PJ51" s="43"/>
      <c r="PK51" s="43"/>
      <c r="PL51" s="43"/>
      <c r="PM51" s="43"/>
      <c r="PN51" s="43"/>
      <c r="PO51" s="43"/>
      <c r="PP51" s="43"/>
      <c r="PQ51" s="43"/>
      <c r="PR51" s="43"/>
      <c r="PS51" s="43"/>
      <c r="PT51" s="43"/>
      <c r="PU51" s="43"/>
      <c r="PV51" s="43"/>
      <c r="PW51" s="43"/>
      <c r="PX51" s="43"/>
      <c r="PY51" s="43"/>
      <c r="PZ51" s="43"/>
      <c r="QA51" s="43"/>
      <c r="QB51" s="43"/>
      <c r="QC51" s="43"/>
    </row>
    <row r="52" spans="2:445" x14ac:dyDescent="0.3"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6" t="str">
        <f t="shared" si="2"/>
        <v/>
      </c>
      <c r="U52" s="46" t="str">
        <f t="shared" si="3"/>
        <v/>
      </c>
      <c r="V52" s="72" t="str">
        <f t="shared" si="4"/>
        <v/>
      </c>
      <c r="X52" s="73" t="str">
        <f t="shared" si="6"/>
        <v/>
      </c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43"/>
      <c r="CY52" s="43"/>
      <c r="CZ52" s="43"/>
      <c r="DA52" s="43"/>
      <c r="DB52" s="43"/>
      <c r="DC52" s="43"/>
      <c r="DD52" s="43"/>
      <c r="DE52" s="43"/>
      <c r="DF52" s="43"/>
      <c r="DG52" s="43"/>
      <c r="DH52" s="43"/>
      <c r="DI52" s="43"/>
      <c r="DJ52" s="43"/>
      <c r="DK52" s="43"/>
      <c r="DL52" s="43"/>
      <c r="DM52" s="43"/>
      <c r="DN52" s="43"/>
      <c r="DO52" s="43"/>
      <c r="DP52" s="43"/>
      <c r="DQ52" s="43"/>
      <c r="DR52" s="43"/>
      <c r="DS52" s="43"/>
      <c r="DT52" s="43"/>
      <c r="DU52" s="43"/>
      <c r="DV52" s="43"/>
      <c r="DW52" s="43"/>
      <c r="DX52" s="43"/>
      <c r="DY52" s="43"/>
      <c r="DZ52" s="43"/>
      <c r="EA52" s="43"/>
      <c r="EB52" s="43"/>
      <c r="EC52" s="43"/>
      <c r="ED52" s="43"/>
      <c r="EE52" s="43"/>
      <c r="EF52" s="43"/>
      <c r="EG52" s="43"/>
      <c r="EH52" s="43"/>
      <c r="EI52" s="43"/>
      <c r="EJ52" s="43"/>
      <c r="EK52" s="43"/>
      <c r="EL52" s="43"/>
      <c r="EM52" s="43"/>
      <c r="EN52" s="43"/>
      <c r="EO52" s="43"/>
      <c r="EP52" s="43"/>
      <c r="EQ52" s="43"/>
      <c r="ER52" s="43"/>
      <c r="ES52" s="43"/>
      <c r="ET52" s="43"/>
      <c r="EU52" s="43"/>
      <c r="EV52" s="43"/>
      <c r="EW52" s="43"/>
      <c r="EX52" s="43"/>
      <c r="EY52" s="43"/>
      <c r="EZ52" s="43"/>
      <c r="FA52" s="43"/>
      <c r="FB52" s="43"/>
      <c r="FC52" s="43"/>
      <c r="FD52" s="43"/>
      <c r="FE52" s="43"/>
      <c r="FF52" s="43"/>
      <c r="FG52" s="43"/>
      <c r="FH52" s="43"/>
      <c r="FI52" s="43"/>
      <c r="FJ52" s="43"/>
      <c r="FK52" s="43"/>
      <c r="FL52" s="43"/>
      <c r="FM52" s="43"/>
      <c r="FN52" s="43"/>
      <c r="FO52" s="43"/>
      <c r="FP52" s="43"/>
      <c r="FQ52" s="43"/>
      <c r="FR52" s="43"/>
      <c r="FS52" s="43"/>
      <c r="FT52" s="43"/>
      <c r="FU52" s="43"/>
      <c r="FV52" s="43"/>
      <c r="FW52" s="43"/>
      <c r="FX52" s="43"/>
      <c r="FY52" s="43"/>
      <c r="FZ52" s="43"/>
      <c r="GA52" s="43"/>
      <c r="GB52" s="43"/>
      <c r="GC52" s="43"/>
      <c r="GD52" s="43"/>
      <c r="GE52" s="43"/>
      <c r="GF52" s="43"/>
      <c r="GG52" s="43"/>
      <c r="GH52" s="43"/>
      <c r="GI52" s="43"/>
      <c r="GJ52" s="43"/>
      <c r="GK52" s="43"/>
      <c r="GL52" s="43"/>
      <c r="GM52" s="43"/>
      <c r="GN52" s="43"/>
      <c r="GO52" s="43"/>
      <c r="GP52" s="43"/>
      <c r="GQ52" s="43"/>
      <c r="GR52" s="43"/>
      <c r="GS52" s="43"/>
      <c r="GT52" s="43"/>
      <c r="GU52" s="43"/>
      <c r="GV52" s="43"/>
      <c r="GW52" s="43"/>
      <c r="GX52" s="43"/>
      <c r="GY52" s="43"/>
      <c r="GZ52" s="43"/>
      <c r="HA52" s="43"/>
      <c r="HB52" s="43"/>
      <c r="HC52" s="43"/>
      <c r="HD52" s="43"/>
      <c r="HE52" s="43"/>
      <c r="HF52" s="43"/>
      <c r="HG52" s="43"/>
      <c r="HH52" s="43"/>
      <c r="HI52" s="43"/>
      <c r="HJ52" s="43"/>
      <c r="HK52" s="43"/>
      <c r="HL52" s="43"/>
      <c r="HM52" s="43"/>
      <c r="HN52" s="43"/>
      <c r="HO52" s="43"/>
      <c r="HP52" s="43"/>
      <c r="HQ52" s="43"/>
      <c r="HR52" s="43"/>
      <c r="HS52" s="43"/>
      <c r="HT52" s="43"/>
      <c r="HU52" s="43"/>
      <c r="HV52" s="43"/>
      <c r="HW52" s="43"/>
      <c r="HX52" s="43"/>
      <c r="HY52" s="43"/>
      <c r="HZ52" s="43"/>
      <c r="IA52" s="43"/>
      <c r="IB52" s="43"/>
      <c r="IC52" s="43"/>
      <c r="ID52" s="43"/>
      <c r="IE52" s="43"/>
      <c r="IF52" s="43"/>
      <c r="IG52" s="43"/>
      <c r="IH52" s="43"/>
      <c r="II52" s="43"/>
      <c r="IJ52" s="43"/>
      <c r="IK52" s="43"/>
      <c r="IL52" s="43"/>
      <c r="IM52" s="43"/>
      <c r="IN52" s="43"/>
      <c r="IO52" s="43"/>
      <c r="IP52" s="43"/>
      <c r="IQ52" s="43"/>
      <c r="IR52" s="43"/>
      <c r="IS52" s="43"/>
      <c r="IT52" s="43"/>
      <c r="IU52" s="43"/>
      <c r="IV52" s="43"/>
      <c r="IW52" s="43"/>
      <c r="IX52" s="43"/>
      <c r="IY52" s="43"/>
      <c r="IZ52" s="43"/>
      <c r="JA52" s="43"/>
      <c r="JB52" s="43"/>
      <c r="JC52" s="43"/>
      <c r="JD52" s="43"/>
      <c r="JE52" s="43"/>
      <c r="JF52" s="43"/>
      <c r="JG52" s="43"/>
      <c r="JH52" s="43"/>
      <c r="JI52" s="43"/>
      <c r="JJ52" s="43"/>
      <c r="JK52" s="43"/>
      <c r="JL52" s="43"/>
      <c r="JM52" s="43"/>
      <c r="JN52" s="43"/>
      <c r="JO52" s="43"/>
      <c r="JP52" s="43"/>
      <c r="JQ52" s="43"/>
      <c r="JR52" s="43"/>
      <c r="JS52" s="43"/>
      <c r="JT52" s="43"/>
      <c r="JU52" s="43"/>
      <c r="JV52" s="43"/>
      <c r="JW52" s="43"/>
      <c r="JX52" s="43"/>
      <c r="JY52" s="43"/>
      <c r="JZ52" s="43"/>
      <c r="KA52" s="43"/>
      <c r="KB52" s="43"/>
      <c r="KC52" s="43"/>
      <c r="KD52" s="43"/>
      <c r="KE52" s="43"/>
      <c r="KF52" s="43"/>
      <c r="KG52" s="43"/>
      <c r="KH52" s="43"/>
      <c r="KI52" s="43"/>
      <c r="KJ52" s="43"/>
      <c r="KK52" s="43"/>
      <c r="KL52" s="43"/>
      <c r="KM52" s="43"/>
      <c r="KN52" s="43"/>
      <c r="KO52" s="43"/>
      <c r="KP52" s="43"/>
      <c r="KQ52" s="43"/>
      <c r="KR52" s="43"/>
      <c r="KS52" s="43"/>
      <c r="KT52" s="43"/>
      <c r="KU52" s="43"/>
      <c r="KV52" s="43"/>
      <c r="KW52" s="43"/>
      <c r="KX52" s="43"/>
      <c r="KY52" s="43"/>
      <c r="KZ52" s="43"/>
      <c r="LA52" s="43"/>
      <c r="LB52" s="43"/>
      <c r="LC52" s="43"/>
      <c r="LD52" s="43"/>
      <c r="LE52" s="43"/>
      <c r="LF52" s="43"/>
      <c r="LG52" s="43"/>
      <c r="LH52" s="43"/>
      <c r="LI52" s="43"/>
      <c r="LJ52" s="43"/>
      <c r="LK52" s="43"/>
      <c r="LL52" s="43"/>
      <c r="LM52" s="43"/>
      <c r="LN52" s="43"/>
      <c r="LO52" s="43"/>
      <c r="LP52" s="43"/>
      <c r="LQ52" s="43"/>
      <c r="LR52" s="43"/>
      <c r="LS52" s="43"/>
      <c r="LT52" s="43"/>
      <c r="LU52" s="43"/>
      <c r="LV52" s="43"/>
      <c r="LW52" s="43"/>
      <c r="LX52" s="43"/>
      <c r="LY52" s="43"/>
      <c r="LZ52" s="43"/>
      <c r="MA52" s="43"/>
      <c r="MB52" s="43"/>
      <c r="MC52" s="43"/>
      <c r="MD52" s="43"/>
      <c r="ME52" s="43"/>
      <c r="MF52" s="43"/>
      <c r="MG52" s="43"/>
      <c r="MH52" s="43"/>
      <c r="MI52" s="43"/>
      <c r="MJ52" s="43"/>
      <c r="MK52" s="43"/>
      <c r="ML52" s="43"/>
      <c r="MM52" s="43"/>
      <c r="MN52" s="43"/>
      <c r="MO52" s="43"/>
      <c r="MP52" s="43"/>
      <c r="MQ52" s="43"/>
      <c r="MR52" s="43"/>
      <c r="MS52" s="43"/>
      <c r="MT52" s="43"/>
      <c r="MU52" s="43"/>
      <c r="MV52" s="43"/>
      <c r="MW52" s="43"/>
      <c r="MX52" s="43"/>
      <c r="MY52" s="43"/>
      <c r="MZ52" s="43"/>
      <c r="NA52" s="43"/>
      <c r="NB52" s="43"/>
      <c r="NC52" s="43"/>
      <c r="ND52" s="43"/>
      <c r="NE52" s="43"/>
      <c r="NF52" s="43"/>
      <c r="NG52" s="43"/>
      <c r="NH52" s="43"/>
      <c r="NI52" s="43"/>
      <c r="NJ52" s="43"/>
      <c r="NK52" s="43"/>
      <c r="NL52" s="43"/>
      <c r="NM52" s="43"/>
      <c r="NN52" s="43"/>
      <c r="NO52" s="43"/>
      <c r="NP52" s="43"/>
      <c r="NQ52" s="43"/>
      <c r="NR52" s="43"/>
      <c r="NS52" s="43"/>
      <c r="NT52" s="43"/>
      <c r="NU52" s="43"/>
      <c r="NV52" s="43"/>
      <c r="NW52" s="43"/>
      <c r="NX52" s="43"/>
      <c r="NY52" s="43"/>
      <c r="NZ52" s="43"/>
      <c r="OA52" s="43"/>
      <c r="OB52" s="43"/>
      <c r="OC52" s="43"/>
      <c r="OD52" s="43"/>
      <c r="OE52" s="43"/>
      <c r="OF52" s="43"/>
      <c r="OG52" s="43"/>
      <c r="OH52" s="43"/>
      <c r="OI52" s="43"/>
      <c r="OJ52" s="43"/>
      <c r="OK52" s="43"/>
      <c r="OL52" s="43"/>
      <c r="OM52" s="43"/>
      <c r="ON52" s="43"/>
      <c r="OO52" s="43"/>
      <c r="OP52" s="43"/>
      <c r="OQ52" s="43"/>
      <c r="OR52" s="43"/>
      <c r="OS52" s="43"/>
      <c r="OT52" s="43"/>
      <c r="OU52" s="43"/>
      <c r="OV52" s="43"/>
      <c r="OW52" s="43"/>
      <c r="OX52" s="43"/>
      <c r="OY52" s="43"/>
      <c r="OZ52" s="43"/>
      <c r="PA52" s="43"/>
      <c r="PB52" s="43"/>
      <c r="PC52" s="43"/>
      <c r="PD52" s="43"/>
      <c r="PE52" s="43"/>
      <c r="PF52" s="43"/>
      <c r="PG52" s="43"/>
      <c r="PH52" s="43"/>
      <c r="PI52" s="43"/>
      <c r="PJ52" s="43"/>
      <c r="PK52" s="43"/>
      <c r="PL52" s="43"/>
      <c r="PM52" s="43"/>
      <c r="PN52" s="43"/>
      <c r="PO52" s="43"/>
      <c r="PP52" s="43"/>
      <c r="PQ52" s="43"/>
      <c r="PR52" s="43"/>
      <c r="PS52" s="43"/>
      <c r="PT52" s="43"/>
      <c r="PU52" s="43"/>
      <c r="PV52" s="43"/>
      <c r="PW52" s="43"/>
      <c r="PX52" s="43"/>
      <c r="PY52" s="43"/>
      <c r="PZ52" s="43"/>
      <c r="QA52" s="43"/>
      <c r="QB52" s="43"/>
      <c r="QC52" s="43"/>
    </row>
    <row r="53" spans="2:445" x14ac:dyDescent="0.3"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6" t="str">
        <f t="shared" si="2"/>
        <v/>
      </c>
      <c r="U53" s="46" t="str">
        <f t="shared" si="3"/>
        <v/>
      </c>
      <c r="V53" s="72" t="str">
        <f t="shared" si="4"/>
        <v/>
      </c>
      <c r="W53" s="48"/>
      <c r="X53" s="73" t="str">
        <f t="shared" si="6"/>
        <v/>
      </c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43"/>
      <c r="CY53" s="43"/>
      <c r="CZ53" s="43"/>
      <c r="DA53" s="43"/>
      <c r="DB53" s="43"/>
      <c r="DC53" s="43"/>
      <c r="DD53" s="43"/>
      <c r="DE53" s="43"/>
      <c r="DF53" s="43"/>
      <c r="DG53" s="43"/>
      <c r="DH53" s="43"/>
      <c r="DI53" s="43"/>
      <c r="DJ53" s="43"/>
      <c r="DK53" s="43"/>
      <c r="DL53" s="43"/>
      <c r="DM53" s="43"/>
      <c r="DN53" s="43"/>
      <c r="DO53" s="43"/>
      <c r="DP53" s="43"/>
      <c r="DQ53" s="43"/>
      <c r="DR53" s="43"/>
      <c r="DS53" s="43"/>
      <c r="DT53" s="43"/>
      <c r="DU53" s="43"/>
      <c r="DV53" s="43"/>
      <c r="DW53" s="43"/>
      <c r="DX53" s="43"/>
      <c r="DY53" s="43"/>
      <c r="DZ53" s="43"/>
      <c r="EA53" s="43"/>
      <c r="EB53" s="43"/>
      <c r="EC53" s="43"/>
      <c r="ED53" s="43"/>
      <c r="EE53" s="43"/>
      <c r="EF53" s="43"/>
      <c r="EG53" s="43"/>
      <c r="EH53" s="43"/>
      <c r="EI53" s="43"/>
      <c r="EJ53" s="43"/>
      <c r="EK53" s="43"/>
      <c r="EL53" s="43"/>
      <c r="EM53" s="43"/>
      <c r="EN53" s="43"/>
      <c r="EO53" s="43"/>
      <c r="EP53" s="43"/>
      <c r="EQ53" s="43"/>
      <c r="ER53" s="43"/>
      <c r="ES53" s="43"/>
      <c r="ET53" s="43"/>
      <c r="EU53" s="43"/>
      <c r="EV53" s="43"/>
      <c r="EW53" s="43"/>
      <c r="EX53" s="43"/>
      <c r="EY53" s="43"/>
      <c r="EZ53" s="43"/>
      <c r="FA53" s="43"/>
      <c r="FB53" s="43"/>
      <c r="FC53" s="43"/>
      <c r="FD53" s="43"/>
      <c r="FE53" s="43"/>
      <c r="FF53" s="43"/>
      <c r="FG53" s="43"/>
      <c r="FH53" s="43"/>
      <c r="FI53" s="43"/>
      <c r="FJ53" s="43"/>
      <c r="FK53" s="43"/>
      <c r="FL53" s="43"/>
      <c r="FM53" s="43"/>
      <c r="FN53" s="43"/>
      <c r="FO53" s="43"/>
      <c r="FP53" s="43"/>
      <c r="FQ53" s="43"/>
      <c r="FR53" s="43"/>
      <c r="FS53" s="43"/>
      <c r="FT53" s="43"/>
      <c r="FU53" s="43"/>
      <c r="FV53" s="43"/>
      <c r="FW53" s="43"/>
      <c r="FX53" s="43"/>
      <c r="FY53" s="43"/>
      <c r="FZ53" s="43"/>
      <c r="GA53" s="43"/>
      <c r="GB53" s="43"/>
      <c r="GC53" s="43"/>
      <c r="GD53" s="43"/>
      <c r="GE53" s="43"/>
      <c r="GF53" s="43"/>
      <c r="GG53" s="43"/>
      <c r="GH53" s="43"/>
      <c r="GI53" s="43"/>
      <c r="GJ53" s="43"/>
      <c r="GK53" s="43"/>
      <c r="GL53" s="43"/>
      <c r="GM53" s="43"/>
      <c r="GN53" s="43"/>
      <c r="GO53" s="43"/>
      <c r="GP53" s="43"/>
      <c r="GQ53" s="43"/>
      <c r="GR53" s="43"/>
      <c r="GS53" s="43"/>
      <c r="GT53" s="43"/>
      <c r="GU53" s="43"/>
      <c r="GV53" s="43"/>
      <c r="GW53" s="43"/>
      <c r="GX53" s="43"/>
      <c r="GY53" s="43"/>
      <c r="GZ53" s="43"/>
      <c r="HA53" s="43"/>
      <c r="HB53" s="43"/>
      <c r="HC53" s="43"/>
      <c r="HD53" s="43"/>
      <c r="HE53" s="43"/>
      <c r="HF53" s="43"/>
      <c r="HG53" s="43"/>
      <c r="HH53" s="43"/>
      <c r="HI53" s="43"/>
      <c r="HJ53" s="43"/>
      <c r="HK53" s="43"/>
      <c r="HL53" s="43"/>
      <c r="HM53" s="43"/>
      <c r="HN53" s="43"/>
      <c r="HO53" s="43"/>
      <c r="HP53" s="43"/>
      <c r="HQ53" s="43"/>
      <c r="HR53" s="43"/>
      <c r="HS53" s="43"/>
      <c r="HT53" s="43"/>
      <c r="HU53" s="43"/>
      <c r="HV53" s="43"/>
      <c r="HW53" s="43"/>
      <c r="HX53" s="43"/>
      <c r="HY53" s="43"/>
      <c r="HZ53" s="43"/>
      <c r="IA53" s="43"/>
      <c r="IB53" s="43"/>
      <c r="IC53" s="43"/>
      <c r="ID53" s="43"/>
      <c r="IE53" s="43"/>
      <c r="IF53" s="43"/>
      <c r="IG53" s="43"/>
      <c r="IH53" s="43"/>
      <c r="II53" s="43"/>
      <c r="IJ53" s="43"/>
      <c r="IK53" s="43"/>
      <c r="IL53" s="43"/>
      <c r="IM53" s="43"/>
      <c r="IN53" s="43"/>
      <c r="IO53" s="43"/>
      <c r="IP53" s="43"/>
      <c r="IQ53" s="43"/>
      <c r="IR53" s="43"/>
      <c r="IS53" s="43"/>
      <c r="IT53" s="43"/>
      <c r="IU53" s="43"/>
      <c r="IV53" s="43"/>
      <c r="IW53" s="43"/>
      <c r="IX53" s="43"/>
      <c r="IY53" s="43"/>
      <c r="IZ53" s="43"/>
      <c r="JA53" s="43"/>
      <c r="JB53" s="43"/>
      <c r="JC53" s="43"/>
      <c r="JD53" s="43"/>
      <c r="JE53" s="43"/>
      <c r="JF53" s="43"/>
      <c r="JG53" s="43"/>
      <c r="JH53" s="43"/>
      <c r="JI53" s="43"/>
      <c r="JJ53" s="43"/>
      <c r="JK53" s="43"/>
      <c r="JL53" s="43"/>
      <c r="JM53" s="43"/>
      <c r="JN53" s="43"/>
      <c r="JO53" s="43"/>
      <c r="JP53" s="43"/>
      <c r="JQ53" s="43"/>
      <c r="JR53" s="43"/>
      <c r="JS53" s="43"/>
      <c r="JT53" s="43"/>
      <c r="JU53" s="43"/>
      <c r="JV53" s="43"/>
      <c r="JW53" s="43"/>
      <c r="JX53" s="43"/>
      <c r="JY53" s="43"/>
      <c r="JZ53" s="43"/>
      <c r="KA53" s="43"/>
      <c r="KB53" s="43"/>
      <c r="KC53" s="43"/>
      <c r="KD53" s="43"/>
      <c r="KE53" s="43"/>
      <c r="KF53" s="43"/>
      <c r="KG53" s="43"/>
      <c r="KH53" s="43"/>
      <c r="KI53" s="43"/>
      <c r="KJ53" s="43"/>
      <c r="KK53" s="43"/>
      <c r="KL53" s="43"/>
      <c r="KM53" s="43"/>
      <c r="KN53" s="43"/>
      <c r="KO53" s="43"/>
      <c r="KP53" s="43"/>
      <c r="KQ53" s="43"/>
      <c r="KR53" s="43"/>
      <c r="KS53" s="43"/>
      <c r="KT53" s="43"/>
      <c r="KU53" s="43"/>
      <c r="KV53" s="43"/>
      <c r="KW53" s="43"/>
      <c r="KX53" s="43"/>
      <c r="KY53" s="43"/>
      <c r="KZ53" s="43"/>
      <c r="LA53" s="43"/>
      <c r="LB53" s="43"/>
      <c r="LC53" s="43"/>
      <c r="LD53" s="43"/>
      <c r="LE53" s="43"/>
      <c r="LF53" s="43"/>
      <c r="LG53" s="43"/>
      <c r="LH53" s="43"/>
      <c r="LI53" s="43"/>
      <c r="LJ53" s="43"/>
      <c r="LK53" s="43"/>
      <c r="LL53" s="43"/>
      <c r="LM53" s="43"/>
      <c r="LN53" s="43"/>
      <c r="LO53" s="43"/>
      <c r="LP53" s="43"/>
      <c r="LQ53" s="43"/>
      <c r="LR53" s="43"/>
      <c r="LS53" s="43"/>
      <c r="LT53" s="43"/>
      <c r="LU53" s="43"/>
      <c r="LV53" s="43"/>
      <c r="LW53" s="43"/>
      <c r="LX53" s="43"/>
      <c r="LY53" s="43"/>
      <c r="LZ53" s="43"/>
      <c r="MA53" s="43"/>
      <c r="MB53" s="43"/>
      <c r="MC53" s="43"/>
      <c r="MD53" s="43"/>
      <c r="ME53" s="43"/>
      <c r="MF53" s="43"/>
      <c r="MG53" s="43"/>
      <c r="MH53" s="43"/>
      <c r="MI53" s="43"/>
      <c r="MJ53" s="43"/>
      <c r="MK53" s="43"/>
      <c r="ML53" s="43"/>
      <c r="MM53" s="43"/>
      <c r="MN53" s="43"/>
      <c r="MO53" s="43"/>
      <c r="MP53" s="43"/>
      <c r="MQ53" s="43"/>
      <c r="MR53" s="43"/>
      <c r="MS53" s="43"/>
      <c r="MT53" s="43"/>
      <c r="MU53" s="43"/>
      <c r="MV53" s="43"/>
      <c r="MW53" s="43"/>
      <c r="MX53" s="43"/>
      <c r="MY53" s="43"/>
      <c r="MZ53" s="43"/>
      <c r="NA53" s="43"/>
      <c r="NB53" s="43"/>
      <c r="NC53" s="43"/>
      <c r="ND53" s="43"/>
      <c r="NE53" s="43"/>
      <c r="NF53" s="43"/>
      <c r="NG53" s="43"/>
      <c r="NH53" s="43"/>
      <c r="NI53" s="43"/>
      <c r="NJ53" s="43"/>
      <c r="NK53" s="43"/>
      <c r="NL53" s="43"/>
      <c r="NM53" s="43"/>
      <c r="NN53" s="43"/>
      <c r="NO53" s="43"/>
      <c r="NP53" s="43"/>
      <c r="NQ53" s="43"/>
      <c r="NR53" s="43"/>
      <c r="NS53" s="43"/>
      <c r="NT53" s="43"/>
      <c r="NU53" s="43"/>
      <c r="NV53" s="43"/>
      <c r="NW53" s="43"/>
      <c r="NX53" s="43"/>
      <c r="NY53" s="43"/>
      <c r="NZ53" s="43"/>
      <c r="OA53" s="43"/>
      <c r="OB53" s="43"/>
      <c r="OC53" s="43"/>
      <c r="OD53" s="43"/>
      <c r="OE53" s="43"/>
      <c r="OF53" s="43"/>
      <c r="OG53" s="43"/>
      <c r="OH53" s="43"/>
      <c r="OI53" s="43"/>
      <c r="OJ53" s="43"/>
      <c r="OK53" s="43"/>
      <c r="OL53" s="43"/>
      <c r="OM53" s="43"/>
      <c r="ON53" s="43"/>
      <c r="OO53" s="43"/>
      <c r="OP53" s="43"/>
      <c r="OQ53" s="43"/>
      <c r="OR53" s="43"/>
      <c r="OS53" s="43"/>
      <c r="OT53" s="43"/>
      <c r="OU53" s="43"/>
      <c r="OV53" s="43"/>
      <c r="OW53" s="43"/>
      <c r="OX53" s="43"/>
      <c r="OY53" s="43"/>
      <c r="OZ53" s="43"/>
      <c r="PA53" s="43"/>
      <c r="PB53" s="43"/>
      <c r="PC53" s="43"/>
      <c r="PD53" s="43"/>
      <c r="PE53" s="43"/>
      <c r="PF53" s="43"/>
      <c r="PG53" s="43"/>
      <c r="PH53" s="43"/>
      <c r="PI53" s="43"/>
      <c r="PJ53" s="43"/>
      <c r="PK53" s="43"/>
      <c r="PL53" s="43"/>
      <c r="PM53" s="43"/>
      <c r="PN53" s="43"/>
      <c r="PO53" s="43"/>
      <c r="PP53" s="43"/>
      <c r="PQ53" s="43"/>
      <c r="PR53" s="43"/>
      <c r="PS53" s="43"/>
      <c r="PT53" s="43"/>
      <c r="PU53" s="43"/>
      <c r="PV53" s="43"/>
      <c r="PW53" s="43"/>
      <c r="PX53" s="43"/>
      <c r="PY53" s="43"/>
      <c r="PZ53" s="43"/>
      <c r="QA53" s="43"/>
      <c r="QB53" s="43"/>
      <c r="QC53" s="43"/>
    </row>
    <row r="54" spans="2:445" x14ac:dyDescent="0.3">
      <c r="B54" s="45"/>
      <c r="C54" s="45"/>
      <c r="D54" s="45"/>
      <c r="E54" s="45"/>
      <c r="F54" s="45"/>
      <c r="G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6" t="str">
        <f t="shared" si="2"/>
        <v/>
      </c>
      <c r="U54" s="46" t="str">
        <f t="shared" si="3"/>
        <v/>
      </c>
      <c r="V54" s="72" t="str">
        <f t="shared" si="4"/>
        <v/>
      </c>
      <c r="W54" s="48"/>
      <c r="X54" s="73" t="str">
        <f t="shared" si="6"/>
        <v/>
      </c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43"/>
      <c r="CY54" s="43"/>
      <c r="CZ54" s="43"/>
      <c r="DA54" s="43"/>
      <c r="DB54" s="43"/>
      <c r="DC54" s="43"/>
      <c r="DD54" s="43"/>
      <c r="DE54" s="43"/>
      <c r="DF54" s="43"/>
      <c r="DG54" s="43"/>
      <c r="DH54" s="43"/>
      <c r="DI54" s="43"/>
      <c r="DJ54" s="43"/>
      <c r="DK54" s="43"/>
      <c r="DL54" s="43"/>
      <c r="DM54" s="43"/>
      <c r="DN54" s="43"/>
      <c r="DO54" s="43"/>
      <c r="DP54" s="43"/>
      <c r="DQ54" s="43"/>
      <c r="DR54" s="43"/>
      <c r="DS54" s="43"/>
      <c r="DT54" s="43"/>
      <c r="DU54" s="43"/>
      <c r="DV54" s="43"/>
      <c r="DW54" s="43"/>
      <c r="DX54" s="43"/>
      <c r="DY54" s="43"/>
      <c r="DZ54" s="43"/>
      <c r="EA54" s="43"/>
      <c r="EB54" s="43"/>
      <c r="EC54" s="43"/>
      <c r="ED54" s="43"/>
      <c r="EE54" s="43"/>
      <c r="EF54" s="43"/>
      <c r="EG54" s="43"/>
      <c r="EH54" s="43"/>
      <c r="EI54" s="43"/>
      <c r="EJ54" s="43"/>
      <c r="EK54" s="43"/>
      <c r="EL54" s="43"/>
      <c r="EM54" s="43"/>
      <c r="EN54" s="43"/>
      <c r="EO54" s="43"/>
      <c r="EP54" s="43"/>
      <c r="EQ54" s="43"/>
      <c r="ER54" s="43"/>
      <c r="ES54" s="43"/>
      <c r="ET54" s="43"/>
      <c r="EU54" s="43"/>
      <c r="EV54" s="43"/>
      <c r="EW54" s="43"/>
      <c r="EX54" s="43"/>
      <c r="EY54" s="43"/>
      <c r="EZ54" s="43"/>
      <c r="FA54" s="43"/>
      <c r="FB54" s="43"/>
      <c r="FC54" s="43"/>
      <c r="FD54" s="43"/>
      <c r="FE54" s="43"/>
      <c r="FF54" s="43"/>
      <c r="FG54" s="43"/>
      <c r="FH54" s="43"/>
      <c r="FI54" s="43"/>
      <c r="FJ54" s="43"/>
      <c r="FK54" s="43"/>
      <c r="FL54" s="43"/>
      <c r="FM54" s="43"/>
      <c r="FN54" s="43"/>
      <c r="FO54" s="43"/>
      <c r="FP54" s="43"/>
      <c r="FQ54" s="43"/>
      <c r="FR54" s="43"/>
      <c r="FS54" s="43"/>
      <c r="FT54" s="43"/>
      <c r="FU54" s="43"/>
      <c r="FV54" s="43"/>
      <c r="FW54" s="43"/>
      <c r="FX54" s="43"/>
      <c r="FY54" s="43"/>
      <c r="FZ54" s="43"/>
      <c r="GA54" s="43"/>
      <c r="GB54" s="43"/>
      <c r="GC54" s="43"/>
      <c r="GD54" s="43"/>
      <c r="GE54" s="43"/>
      <c r="GF54" s="43"/>
      <c r="GG54" s="43"/>
      <c r="GH54" s="43"/>
      <c r="GI54" s="43"/>
      <c r="GJ54" s="43"/>
      <c r="GK54" s="43"/>
      <c r="GL54" s="43"/>
      <c r="GM54" s="43"/>
      <c r="GN54" s="43"/>
      <c r="GO54" s="43"/>
      <c r="GP54" s="43"/>
      <c r="GQ54" s="43"/>
      <c r="GR54" s="43"/>
      <c r="GS54" s="43"/>
      <c r="GT54" s="43"/>
      <c r="GU54" s="43"/>
      <c r="GV54" s="43"/>
      <c r="GW54" s="43"/>
      <c r="GX54" s="43"/>
      <c r="GY54" s="43"/>
      <c r="GZ54" s="43"/>
      <c r="HA54" s="43"/>
      <c r="HB54" s="43"/>
      <c r="HC54" s="43"/>
      <c r="HD54" s="43"/>
      <c r="HE54" s="43"/>
      <c r="HF54" s="43"/>
      <c r="HG54" s="43"/>
      <c r="HH54" s="43"/>
      <c r="HI54" s="43"/>
      <c r="HJ54" s="43"/>
      <c r="HK54" s="43"/>
      <c r="HL54" s="43"/>
      <c r="HM54" s="43"/>
      <c r="HN54" s="43"/>
      <c r="HO54" s="43"/>
      <c r="HP54" s="43"/>
      <c r="HQ54" s="43"/>
      <c r="HR54" s="43"/>
      <c r="HS54" s="43"/>
      <c r="HT54" s="43"/>
      <c r="HU54" s="43"/>
      <c r="HV54" s="43"/>
      <c r="HW54" s="43"/>
      <c r="HX54" s="43"/>
      <c r="HY54" s="43"/>
      <c r="HZ54" s="43"/>
      <c r="IA54" s="43"/>
      <c r="IB54" s="43"/>
      <c r="IC54" s="43"/>
      <c r="ID54" s="43"/>
      <c r="IE54" s="43"/>
      <c r="IF54" s="43"/>
      <c r="IG54" s="43"/>
      <c r="IH54" s="43"/>
      <c r="II54" s="43"/>
      <c r="IJ54" s="43"/>
      <c r="IK54" s="43"/>
      <c r="IL54" s="43"/>
      <c r="IM54" s="43"/>
      <c r="IN54" s="43"/>
      <c r="IO54" s="43"/>
      <c r="IP54" s="43"/>
      <c r="IQ54" s="43"/>
      <c r="IR54" s="43"/>
      <c r="IS54" s="43"/>
      <c r="IT54" s="43"/>
      <c r="IU54" s="43"/>
      <c r="IV54" s="43"/>
      <c r="IW54" s="43"/>
      <c r="IX54" s="43"/>
      <c r="IY54" s="43"/>
      <c r="IZ54" s="43"/>
      <c r="JA54" s="43"/>
      <c r="JB54" s="43"/>
      <c r="JC54" s="43"/>
      <c r="JD54" s="43"/>
      <c r="JE54" s="43"/>
      <c r="JF54" s="43"/>
      <c r="JG54" s="43"/>
      <c r="JH54" s="43"/>
      <c r="JI54" s="43"/>
      <c r="JJ54" s="43"/>
      <c r="JK54" s="43"/>
      <c r="JL54" s="43"/>
      <c r="JM54" s="43"/>
      <c r="JN54" s="43"/>
      <c r="JO54" s="43"/>
      <c r="JP54" s="43"/>
      <c r="JQ54" s="43"/>
      <c r="JR54" s="43"/>
      <c r="JS54" s="43"/>
      <c r="JT54" s="43"/>
      <c r="JU54" s="43"/>
      <c r="JV54" s="43"/>
      <c r="JW54" s="43"/>
      <c r="JX54" s="43"/>
      <c r="JY54" s="43"/>
      <c r="JZ54" s="43"/>
      <c r="KA54" s="43"/>
      <c r="KB54" s="43"/>
      <c r="KC54" s="43"/>
      <c r="KD54" s="43"/>
      <c r="KE54" s="43"/>
      <c r="KF54" s="43"/>
      <c r="KG54" s="43"/>
      <c r="KH54" s="43"/>
      <c r="KI54" s="43"/>
      <c r="KJ54" s="43"/>
      <c r="KK54" s="43"/>
      <c r="KL54" s="43"/>
      <c r="KM54" s="43"/>
      <c r="KN54" s="43"/>
      <c r="KO54" s="43"/>
      <c r="KP54" s="43"/>
      <c r="KQ54" s="43"/>
      <c r="KR54" s="43"/>
      <c r="KS54" s="43"/>
      <c r="KT54" s="43"/>
      <c r="KU54" s="43"/>
      <c r="KV54" s="43"/>
      <c r="KW54" s="43"/>
      <c r="KX54" s="43"/>
      <c r="KY54" s="43"/>
      <c r="KZ54" s="43"/>
      <c r="LA54" s="43"/>
      <c r="LB54" s="43"/>
      <c r="LC54" s="43"/>
      <c r="LD54" s="43"/>
      <c r="LE54" s="43"/>
      <c r="LF54" s="43"/>
      <c r="LG54" s="43"/>
      <c r="LH54" s="43"/>
      <c r="LI54" s="43"/>
      <c r="LJ54" s="43"/>
      <c r="LK54" s="43"/>
      <c r="LL54" s="43"/>
      <c r="LM54" s="43"/>
      <c r="LN54" s="43"/>
      <c r="LO54" s="43"/>
      <c r="LP54" s="43"/>
      <c r="LQ54" s="43"/>
      <c r="LR54" s="43"/>
      <c r="LS54" s="43"/>
      <c r="LT54" s="43"/>
      <c r="LU54" s="43"/>
      <c r="LV54" s="43"/>
      <c r="LW54" s="43"/>
      <c r="LX54" s="43"/>
      <c r="LY54" s="43"/>
      <c r="LZ54" s="43"/>
      <c r="MA54" s="43"/>
      <c r="MB54" s="43"/>
      <c r="MC54" s="43"/>
      <c r="MD54" s="43"/>
      <c r="ME54" s="43"/>
      <c r="MF54" s="43"/>
      <c r="MG54" s="43"/>
      <c r="MH54" s="43"/>
      <c r="MI54" s="43"/>
      <c r="MJ54" s="43"/>
      <c r="MK54" s="43"/>
      <c r="ML54" s="43"/>
      <c r="MM54" s="43"/>
      <c r="MN54" s="43"/>
      <c r="MO54" s="43"/>
      <c r="MP54" s="43"/>
      <c r="MQ54" s="43"/>
      <c r="MR54" s="43"/>
      <c r="MS54" s="43"/>
      <c r="MT54" s="43"/>
      <c r="MU54" s="43"/>
      <c r="MV54" s="43"/>
      <c r="MW54" s="43"/>
      <c r="MX54" s="43"/>
      <c r="MY54" s="43"/>
      <c r="MZ54" s="43"/>
      <c r="NA54" s="43"/>
      <c r="NB54" s="43"/>
      <c r="NC54" s="43"/>
      <c r="ND54" s="43"/>
      <c r="NE54" s="43"/>
      <c r="NF54" s="43"/>
      <c r="NG54" s="43"/>
      <c r="NH54" s="43"/>
      <c r="NI54" s="43"/>
      <c r="NJ54" s="43"/>
      <c r="NK54" s="43"/>
      <c r="NL54" s="43"/>
      <c r="NM54" s="43"/>
      <c r="NN54" s="43"/>
      <c r="NO54" s="43"/>
      <c r="NP54" s="43"/>
      <c r="NQ54" s="43"/>
      <c r="NR54" s="43"/>
      <c r="NS54" s="43"/>
      <c r="NT54" s="43"/>
      <c r="NU54" s="43"/>
      <c r="NV54" s="43"/>
      <c r="NW54" s="43"/>
      <c r="NX54" s="43"/>
      <c r="NY54" s="43"/>
      <c r="NZ54" s="43"/>
      <c r="OA54" s="43"/>
      <c r="OB54" s="43"/>
      <c r="OC54" s="43"/>
      <c r="OD54" s="43"/>
      <c r="OE54" s="43"/>
      <c r="OF54" s="43"/>
      <c r="OG54" s="43"/>
      <c r="OH54" s="43"/>
      <c r="OI54" s="43"/>
      <c r="OJ54" s="43"/>
      <c r="OK54" s="43"/>
      <c r="OL54" s="43"/>
      <c r="OM54" s="43"/>
      <c r="ON54" s="43"/>
      <c r="OO54" s="43"/>
      <c r="OP54" s="43"/>
      <c r="OQ54" s="43"/>
      <c r="OR54" s="43"/>
      <c r="OS54" s="43"/>
      <c r="OT54" s="43"/>
      <c r="OU54" s="43"/>
      <c r="OV54" s="43"/>
      <c r="OW54" s="43"/>
      <c r="OX54" s="43"/>
      <c r="OY54" s="43"/>
      <c r="OZ54" s="43"/>
      <c r="PA54" s="43"/>
      <c r="PB54" s="43"/>
      <c r="PC54" s="43"/>
      <c r="PD54" s="43"/>
      <c r="PE54" s="43"/>
      <c r="PF54" s="43"/>
      <c r="PG54" s="43"/>
      <c r="PH54" s="43"/>
      <c r="PI54" s="43"/>
      <c r="PJ54" s="43"/>
      <c r="PK54" s="43"/>
      <c r="PL54" s="43"/>
      <c r="PM54" s="43"/>
      <c r="PN54" s="43"/>
      <c r="PO54" s="43"/>
      <c r="PP54" s="43"/>
      <c r="PQ54" s="43"/>
      <c r="PR54" s="43"/>
      <c r="PS54" s="43"/>
      <c r="PT54" s="43"/>
      <c r="PU54" s="43"/>
      <c r="PV54" s="43"/>
      <c r="PW54" s="43"/>
      <c r="PX54" s="43"/>
      <c r="PY54" s="43"/>
      <c r="PZ54" s="43"/>
      <c r="QA54" s="43"/>
      <c r="QB54" s="43"/>
      <c r="QC54" s="43"/>
    </row>
    <row r="55" spans="2:445" x14ac:dyDescent="0.3"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6" t="str">
        <f t="shared" si="2"/>
        <v/>
      </c>
      <c r="U55" s="46" t="str">
        <f t="shared" si="3"/>
        <v/>
      </c>
      <c r="V55" s="72" t="str">
        <f t="shared" si="4"/>
        <v/>
      </c>
      <c r="W55" s="48"/>
      <c r="X55" s="73" t="str">
        <f t="shared" si="6"/>
        <v/>
      </c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  <c r="CZ55" s="43"/>
      <c r="DA55" s="43"/>
      <c r="DB55" s="43"/>
      <c r="DC55" s="43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3"/>
      <c r="DP55" s="43"/>
      <c r="DQ55" s="4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M55" s="43"/>
      <c r="EN55" s="43"/>
      <c r="EO55" s="43"/>
      <c r="EP55" s="43"/>
      <c r="EQ55" s="43"/>
      <c r="ER55" s="43"/>
      <c r="ES55" s="43"/>
      <c r="ET55" s="43"/>
      <c r="EU55" s="43"/>
      <c r="EV55" s="43"/>
      <c r="EW55" s="43"/>
      <c r="EX55" s="43"/>
      <c r="EY55" s="43"/>
      <c r="EZ55" s="43"/>
      <c r="FA55" s="43"/>
      <c r="FB55" s="43"/>
      <c r="FC55" s="43"/>
      <c r="FD55" s="43"/>
      <c r="FE55" s="43"/>
      <c r="FF55" s="43"/>
      <c r="FG55" s="43"/>
      <c r="FH55" s="43"/>
      <c r="FI55" s="43"/>
      <c r="FJ55" s="43"/>
      <c r="FK55" s="43"/>
      <c r="FL55" s="43"/>
      <c r="FM55" s="43"/>
      <c r="FN55" s="43"/>
      <c r="FO55" s="43"/>
      <c r="FP55" s="43"/>
      <c r="FQ55" s="43"/>
      <c r="FR55" s="43"/>
      <c r="FS55" s="43"/>
      <c r="FT55" s="43"/>
      <c r="FU55" s="43"/>
      <c r="FV55" s="43"/>
      <c r="FW55" s="43"/>
      <c r="FX55" s="43"/>
      <c r="FY55" s="43"/>
      <c r="FZ55" s="43"/>
      <c r="GA55" s="43"/>
      <c r="GB55" s="43"/>
      <c r="GC55" s="43"/>
      <c r="GD55" s="43"/>
      <c r="GE55" s="43"/>
      <c r="GF55" s="43"/>
      <c r="GG55" s="43"/>
      <c r="GH55" s="43"/>
      <c r="GI55" s="43"/>
      <c r="GJ55" s="43"/>
      <c r="GK55" s="43"/>
      <c r="GL55" s="43"/>
      <c r="GM55" s="43"/>
      <c r="GN55" s="43"/>
      <c r="GO55" s="43"/>
      <c r="GP55" s="43"/>
      <c r="GQ55" s="43"/>
      <c r="GR55" s="43"/>
      <c r="GS55" s="43"/>
      <c r="GT55" s="43"/>
      <c r="GU55" s="43"/>
      <c r="GV55" s="43"/>
      <c r="GW55" s="43"/>
      <c r="GX55" s="43"/>
      <c r="GY55" s="43"/>
      <c r="GZ55" s="43"/>
      <c r="HA55" s="43"/>
      <c r="HB55" s="43"/>
      <c r="HC55" s="43"/>
      <c r="HD55" s="43"/>
      <c r="HE55" s="43"/>
      <c r="HF55" s="43"/>
      <c r="HG55" s="43"/>
      <c r="HH55" s="43"/>
      <c r="HI55" s="43"/>
      <c r="HJ55" s="43"/>
      <c r="HK55" s="43"/>
      <c r="HL55" s="43"/>
      <c r="HM55" s="43"/>
      <c r="HN55" s="43"/>
      <c r="HO55" s="43"/>
      <c r="HP55" s="43"/>
      <c r="HQ55" s="43"/>
      <c r="HR55" s="43"/>
      <c r="HS55" s="43"/>
      <c r="HT55" s="43"/>
      <c r="HU55" s="43"/>
      <c r="HV55" s="43"/>
      <c r="HW55" s="43"/>
      <c r="HX55" s="43"/>
      <c r="HY55" s="43"/>
      <c r="HZ55" s="43"/>
      <c r="IA55" s="43"/>
      <c r="IB55" s="43"/>
      <c r="IC55" s="43"/>
      <c r="ID55" s="43"/>
      <c r="IE55" s="43"/>
      <c r="IF55" s="43"/>
      <c r="IG55" s="43"/>
      <c r="IH55" s="43"/>
      <c r="II55" s="43"/>
      <c r="IJ55" s="43"/>
      <c r="IK55" s="43"/>
      <c r="IL55" s="43"/>
      <c r="IM55" s="43"/>
      <c r="IN55" s="43"/>
      <c r="IO55" s="43"/>
      <c r="IP55" s="43"/>
      <c r="IQ55" s="43"/>
      <c r="IR55" s="43"/>
      <c r="IS55" s="43"/>
      <c r="IT55" s="43"/>
      <c r="IU55" s="43"/>
      <c r="IV55" s="43"/>
      <c r="IW55" s="43"/>
      <c r="IX55" s="43"/>
      <c r="IY55" s="43"/>
      <c r="IZ55" s="43"/>
      <c r="JA55" s="43"/>
      <c r="JB55" s="43"/>
      <c r="JC55" s="43"/>
      <c r="JD55" s="43"/>
      <c r="JE55" s="43"/>
      <c r="JF55" s="43"/>
      <c r="JG55" s="43"/>
      <c r="JH55" s="43"/>
      <c r="JI55" s="43"/>
      <c r="JJ55" s="43"/>
      <c r="JK55" s="43"/>
      <c r="JL55" s="43"/>
      <c r="JM55" s="43"/>
      <c r="JN55" s="43"/>
      <c r="JO55" s="43"/>
      <c r="JP55" s="43"/>
      <c r="JQ55" s="43"/>
      <c r="JR55" s="43"/>
      <c r="JS55" s="43"/>
      <c r="JT55" s="43"/>
      <c r="JU55" s="43"/>
      <c r="JV55" s="43"/>
      <c r="JW55" s="43"/>
      <c r="JX55" s="43"/>
      <c r="JY55" s="43"/>
      <c r="JZ55" s="43"/>
      <c r="KA55" s="43"/>
      <c r="KB55" s="43"/>
      <c r="KC55" s="43"/>
      <c r="KD55" s="43"/>
      <c r="KE55" s="43"/>
      <c r="KF55" s="43"/>
      <c r="KG55" s="43"/>
      <c r="KH55" s="43"/>
      <c r="KI55" s="43"/>
      <c r="KJ55" s="43"/>
      <c r="KK55" s="43"/>
      <c r="KL55" s="43"/>
      <c r="KM55" s="43"/>
      <c r="KN55" s="43"/>
      <c r="KO55" s="43"/>
      <c r="KP55" s="43"/>
      <c r="KQ55" s="43"/>
      <c r="KR55" s="43"/>
      <c r="KS55" s="43"/>
      <c r="KT55" s="43"/>
      <c r="KU55" s="43"/>
      <c r="KV55" s="43"/>
      <c r="KW55" s="43"/>
      <c r="KX55" s="43"/>
      <c r="KY55" s="43"/>
      <c r="KZ55" s="43"/>
      <c r="LA55" s="43"/>
      <c r="LB55" s="43"/>
      <c r="LC55" s="43"/>
      <c r="LD55" s="43"/>
      <c r="LE55" s="43"/>
      <c r="LF55" s="43"/>
      <c r="LG55" s="43"/>
      <c r="LH55" s="43"/>
      <c r="LI55" s="43"/>
      <c r="LJ55" s="43"/>
      <c r="LK55" s="43"/>
      <c r="LL55" s="43"/>
      <c r="LM55" s="43"/>
      <c r="LN55" s="43"/>
      <c r="LO55" s="43"/>
      <c r="LP55" s="43"/>
      <c r="LQ55" s="43"/>
      <c r="LR55" s="43"/>
      <c r="LS55" s="43"/>
      <c r="LT55" s="43"/>
      <c r="LU55" s="43"/>
      <c r="LV55" s="43"/>
      <c r="LW55" s="43"/>
      <c r="LX55" s="43"/>
      <c r="LY55" s="43"/>
      <c r="LZ55" s="43"/>
      <c r="MA55" s="43"/>
      <c r="MB55" s="43"/>
      <c r="MC55" s="43"/>
      <c r="MD55" s="43"/>
      <c r="ME55" s="43"/>
      <c r="MF55" s="43"/>
      <c r="MG55" s="43"/>
      <c r="MH55" s="43"/>
      <c r="MI55" s="43"/>
      <c r="MJ55" s="43"/>
      <c r="MK55" s="43"/>
      <c r="ML55" s="43"/>
      <c r="MM55" s="43"/>
      <c r="MN55" s="43"/>
      <c r="MO55" s="43"/>
      <c r="MP55" s="43"/>
      <c r="MQ55" s="43"/>
      <c r="MR55" s="43"/>
      <c r="MS55" s="43"/>
      <c r="MT55" s="43"/>
      <c r="MU55" s="43"/>
      <c r="MV55" s="43"/>
      <c r="MW55" s="43"/>
      <c r="MX55" s="43"/>
      <c r="MY55" s="43"/>
      <c r="MZ55" s="43"/>
      <c r="NA55" s="43"/>
      <c r="NB55" s="43"/>
      <c r="NC55" s="43"/>
      <c r="ND55" s="43"/>
      <c r="NE55" s="43"/>
      <c r="NF55" s="43"/>
      <c r="NG55" s="43"/>
      <c r="NH55" s="43"/>
      <c r="NI55" s="43"/>
      <c r="NJ55" s="43"/>
      <c r="NK55" s="43"/>
      <c r="NL55" s="43"/>
      <c r="NM55" s="43"/>
      <c r="NN55" s="43"/>
      <c r="NO55" s="43"/>
      <c r="NP55" s="43"/>
      <c r="NQ55" s="43"/>
      <c r="NR55" s="43"/>
      <c r="NS55" s="43"/>
      <c r="NT55" s="43"/>
      <c r="NU55" s="43"/>
      <c r="NV55" s="43"/>
      <c r="NW55" s="43"/>
      <c r="NX55" s="43"/>
      <c r="NY55" s="43"/>
      <c r="NZ55" s="43"/>
      <c r="OA55" s="43"/>
      <c r="OB55" s="43"/>
      <c r="OC55" s="43"/>
      <c r="OD55" s="43"/>
      <c r="OE55" s="43"/>
      <c r="OF55" s="43"/>
      <c r="OG55" s="43"/>
      <c r="OH55" s="43"/>
      <c r="OI55" s="43"/>
      <c r="OJ55" s="43"/>
      <c r="OK55" s="43"/>
      <c r="OL55" s="43"/>
      <c r="OM55" s="43"/>
      <c r="ON55" s="43"/>
      <c r="OO55" s="43"/>
      <c r="OP55" s="43"/>
      <c r="OQ55" s="43"/>
      <c r="OR55" s="43"/>
      <c r="OS55" s="43"/>
      <c r="OT55" s="43"/>
      <c r="OU55" s="43"/>
      <c r="OV55" s="43"/>
      <c r="OW55" s="43"/>
      <c r="OX55" s="43"/>
      <c r="OY55" s="43"/>
      <c r="OZ55" s="43"/>
      <c r="PA55" s="43"/>
      <c r="PB55" s="43"/>
      <c r="PC55" s="43"/>
      <c r="PD55" s="43"/>
      <c r="PE55" s="43"/>
      <c r="PF55" s="43"/>
      <c r="PG55" s="43"/>
      <c r="PH55" s="43"/>
      <c r="PI55" s="43"/>
      <c r="PJ55" s="43"/>
      <c r="PK55" s="43"/>
      <c r="PL55" s="43"/>
      <c r="PM55" s="43"/>
      <c r="PN55" s="43"/>
      <c r="PO55" s="43"/>
      <c r="PP55" s="43"/>
      <c r="PQ55" s="43"/>
      <c r="PR55" s="43"/>
      <c r="PS55" s="43"/>
      <c r="PT55" s="43"/>
      <c r="PU55" s="43"/>
      <c r="PV55" s="43"/>
      <c r="PW55" s="43"/>
      <c r="PX55" s="43"/>
      <c r="PY55" s="43"/>
      <c r="PZ55" s="43"/>
      <c r="QA55" s="43"/>
      <c r="QB55" s="43"/>
      <c r="QC55" s="43"/>
    </row>
    <row r="56" spans="2:445" x14ac:dyDescent="0.3"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6" t="str">
        <f t="shared" si="2"/>
        <v/>
      </c>
      <c r="U56" s="46" t="str">
        <f t="shared" si="3"/>
        <v/>
      </c>
      <c r="V56" s="72" t="str">
        <f t="shared" si="4"/>
        <v/>
      </c>
      <c r="W56" s="48"/>
      <c r="X56" s="73" t="str">
        <f t="shared" si="6"/>
        <v/>
      </c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43"/>
      <c r="CY56" s="43"/>
      <c r="CZ56" s="43"/>
      <c r="DA56" s="43"/>
      <c r="DB56" s="43"/>
      <c r="DC56" s="43"/>
      <c r="DD56" s="43"/>
      <c r="DE56" s="43"/>
      <c r="DF56" s="43"/>
      <c r="DG56" s="43"/>
      <c r="DH56" s="43"/>
      <c r="DI56" s="43"/>
      <c r="DJ56" s="43"/>
      <c r="DK56" s="43"/>
      <c r="DL56" s="43"/>
      <c r="DM56" s="43"/>
      <c r="DN56" s="43"/>
      <c r="DO56" s="43"/>
      <c r="DP56" s="43"/>
      <c r="DQ56" s="43"/>
      <c r="DR56" s="43"/>
      <c r="DS56" s="43"/>
      <c r="DT56" s="43"/>
      <c r="DU56" s="43"/>
      <c r="DV56" s="43"/>
      <c r="DW56" s="43"/>
      <c r="DX56" s="43"/>
      <c r="DY56" s="43"/>
      <c r="DZ56" s="43"/>
      <c r="EA56" s="43"/>
      <c r="EB56" s="43"/>
      <c r="EC56" s="43"/>
      <c r="ED56" s="43"/>
      <c r="EE56" s="43"/>
      <c r="EF56" s="43"/>
      <c r="EG56" s="43"/>
      <c r="EH56" s="43"/>
      <c r="EI56" s="43"/>
      <c r="EJ56" s="43"/>
      <c r="EK56" s="43"/>
      <c r="EL56" s="43"/>
      <c r="EM56" s="43"/>
      <c r="EN56" s="43"/>
      <c r="EO56" s="43"/>
      <c r="EP56" s="43"/>
      <c r="EQ56" s="43"/>
      <c r="ER56" s="43"/>
      <c r="ES56" s="43"/>
      <c r="ET56" s="43"/>
      <c r="EU56" s="43"/>
      <c r="EV56" s="43"/>
      <c r="EW56" s="43"/>
      <c r="EX56" s="43"/>
      <c r="EY56" s="43"/>
      <c r="EZ56" s="43"/>
      <c r="FA56" s="43"/>
      <c r="FB56" s="43"/>
      <c r="FC56" s="43"/>
      <c r="FD56" s="43"/>
      <c r="FE56" s="43"/>
      <c r="FF56" s="43"/>
      <c r="FG56" s="43"/>
      <c r="FH56" s="43"/>
      <c r="FI56" s="43"/>
      <c r="FJ56" s="43"/>
      <c r="FK56" s="43"/>
      <c r="FL56" s="43"/>
      <c r="FM56" s="43"/>
      <c r="FN56" s="43"/>
      <c r="FO56" s="43"/>
      <c r="FP56" s="43"/>
      <c r="FQ56" s="43"/>
      <c r="FR56" s="43"/>
      <c r="FS56" s="43"/>
      <c r="FT56" s="43"/>
      <c r="FU56" s="43"/>
      <c r="FV56" s="43"/>
      <c r="FW56" s="43"/>
      <c r="FX56" s="43"/>
      <c r="FY56" s="43"/>
      <c r="FZ56" s="43"/>
      <c r="GA56" s="43"/>
      <c r="GB56" s="43"/>
      <c r="GC56" s="43"/>
      <c r="GD56" s="43"/>
      <c r="GE56" s="43"/>
      <c r="GF56" s="43"/>
      <c r="GG56" s="43"/>
      <c r="GH56" s="43"/>
      <c r="GI56" s="43"/>
      <c r="GJ56" s="43"/>
      <c r="GK56" s="43"/>
      <c r="GL56" s="43"/>
      <c r="GM56" s="43"/>
      <c r="GN56" s="43"/>
      <c r="GO56" s="43"/>
      <c r="GP56" s="43"/>
      <c r="GQ56" s="43"/>
      <c r="GR56" s="43"/>
      <c r="GS56" s="43"/>
      <c r="GT56" s="43"/>
      <c r="GU56" s="43"/>
      <c r="GV56" s="43"/>
      <c r="GW56" s="43"/>
      <c r="GX56" s="43"/>
      <c r="GY56" s="43"/>
      <c r="GZ56" s="43"/>
      <c r="HA56" s="43"/>
      <c r="HB56" s="43"/>
      <c r="HC56" s="43"/>
      <c r="HD56" s="43"/>
      <c r="HE56" s="43"/>
      <c r="HF56" s="43"/>
      <c r="HG56" s="43"/>
      <c r="HH56" s="43"/>
      <c r="HI56" s="43"/>
      <c r="HJ56" s="43"/>
      <c r="HK56" s="43"/>
      <c r="HL56" s="43"/>
      <c r="HM56" s="43"/>
      <c r="HN56" s="43"/>
      <c r="HO56" s="43"/>
      <c r="HP56" s="43"/>
      <c r="HQ56" s="43"/>
      <c r="HR56" s="43"/>
      <c r="HS56" s="43"/>
      <c r="HT56" s="43"/>
      <c r="HU56" s="43"/>
      <c r="HV56" s="43"/>
      <c r="HW56" s="43"/>
      <c r="HX56" s="43"/>
      <c r="HY56" s="43"/>
      <c r="HZ56" s="43"/>
      <c r="IA56" s="43"/>
      <c r="IB56" s="43"/>
      <c r="IC56" s="43"/>
      <c r="ID56" s="43"/>
      <c r="IE56" s="43"/>
      <c r="IF56" s="43"/>
      <c r="IG56" s="43"/>
      <c r="IH56" s="43"/>
      <c r="II56" s="43"/>
      <c r="IJ56" s="43"/>
      <c r="IK56" s="43"/>
      <c r="IL56" s="43"/>
      <c r="IM56" s="43"/>
      <c r="IN56" s="43"/>
      <c r="IO56" s="43"/>
      <c r="IP56" s="43"/>
      <c r="IQ56" s="43"/>
      <c r="IR56" s="43"/>
      <c r="IS56" s="43"/>
      <c r="IT56" s="43"/>
      <c r="IU56" s="43"/>
      <c r="IV56" s="43"/>
      <c r="IW56" s="43"/>
      <c r="IX56" s="43"/>
      <c r="IY56" s="43"/>
      <c r="IZ56" s="43"/>
      <c r="JA56" s="43"/>
      <c r="JB56" s="43"/>
      <c r="JC56" s="43"/>
      <c r="JD56" s="43"/>
      <c r="JE56" s="43"/>
      <c r="JF56" s="43"/>
      <c r="JG56" s="43"/>
      <c r="JH56" s="43"/>
      <c r="JI56" s="43"/>
      <c r="JJ56" s="43"/>
      <c r="JK56" s="43"/>
      <c r="JL56" s="43"/>
      <c r="JM56" s="43"/>
      <c r="JN56" s="43"/>
      <c r="JO56" s="43"/>
      <c r="JP56" s="43"/>
      <c r="JQ56" s="43"/>
      <c r="JR56" s="43"/>
      <c r="JS56" s="43"/>
      <c r="JT56" s="43"/>
      <c r="JU56" s="43"/>
      <c r="JV56" s="43"/>
      <c r="JW56" s="43"/>
      <c r="JX56" s="43"/>
      <c r="JY56" s="43"/>
      <c r="JZ56" s="43"/>
      <c r="KA56" s="43"/>
      <c r="KB56" s="43"/>
      <c r="KC56" s="43"/>
      <c r="KD56" s="43"/>
      <c r="KE56" s="43"/>
      <c r="KF56" s="43"/>
      <c r="KG56" s="43"/>
      <c r="KH56" s="43"/>
      <c r="KI56" s="43"/>
      <c r="KJ56" s="43"/>
      <c r="KK56" s="43"/>
      <c r="KL56" s="43"/>
      <c r="KM56" s="43"/>
      <c r="KN56" s="43"/>
      <c r="KO56" s="43"/>
      <c r="KP56" s="43"/>
      <c r="KQ56" s="43"/>
      <c r="KR56" s="43"/>
      <c r="KS56" s="43"/>
      <c r="KT56" s="43"/>
      <c r="KU56" s="43"/>
      <c r="KV56" s="43"/>
      <c r="KW56" s="43"/>
      <c r="KX56" s="43"/>
      <c r="KY56" s="43"/>
      <c r="KZ56" s="43"/>
      <c r="LA56" s="43"/>
      <c r="LB56" s="43"/>
      <c r="LC56" s="43"/>
      <c r="LD56" s="43"/>
      <c r="LE56" s="43"/>
      <c r="LF56" s="43"/>
      <c r="LG56" s="43"/>
      <c r="LH56" s="43"/>
      <c r="LI56" s="43"/>
      <c r="LJ56" s="43"/>
      <c r="LK56" s="43"/>
      <c r="LL56" s="43"/>
      <c r="LM56" s="43"/>
      <c r="LN56" s="43"/>
      <c r="LO56" s="43"/>
      <c r="LP56" s="43"/>
      <c r="LQ56" s="43"/>
      <c r="LR56" s="43"/>
      <c r="LS56" s="43"/>
      <c r="LT56" s="43"/>
      <c r="LU56" s="43"/>
      <c r="LV56" s="43"/>
      <c r="LW56" s="43"/>
      <c r="LX56" s="43"/>
      <c r="LY56" s="43"/>
      <c r="LZ56" s="43"/>
      <c r="MA56" s="43"/>
      <c r="MB56" s="43"/>
      <c r="MC56" s="43"/>
      <c r="MD56" s="43"/>
      <c r="ME56" s="43"/>
      <c r="MF56" s="43"/>
      <c r="MG56" s="43"/>
      <c r="MH56" s="43"/>
      <c r="MI56" s="43"/>
      <c r="MJ56" s="43"/>
      <c r="MK56" s="43"/>
      <c r="ML56" s="43"/>
      <c r="MM56" s="43"/>
      <c r="MN56" s="43"/>
      <c r="MO56" s="43"/>
      <c r="MP56" s="43"/>
      <c r="MQ56" s="43"/>
      <c r="MR56" s="43"/>
      <c r="MS56" s="43"/>
      <c r="MT56" s="43"/>
      <c r="MU56" s="43"/>
      <c r="MV56" s="43"/>
      <c r="MW56" s="43"/>
      <c r="MX56" s="43"/>
      <c r="MY56" s="43"/>
      <c r="MZ56" s="43"/>
      <c r="NA56" s="43"/>
      <c r="NB56" s="43"/>
      <c r="NC56" s="43"/>
      <c r="ND56" s="43"/>
      <c r="NE56" s="43"/>
      <c r="NF56" s="43"/>
      <c r="NG56" s="43"/>
      <c r="NH56" s="43"/>
      <c r="NI56" s="43"/>
      <c r="NJ56" s="43"/>
      <c r="NK56" s="43"/>
      <c r="NL56" s="43"/>
      <c r="NM56" s="43"/>
      <c r="NN56" s="43"/>
      <c r="NO56" s="43"/>
      <c r="NP56" s="43"/>
      <c r="NQ56" s="43"/>
      <c r="NR56" s="43"/>
      <c r="NS56" s="43"/>
      <c r="NT56" s="43"/>
      <c r="NU56" s="43"/>
      <c r="NV56" s="43"/>
      <c r="NW56" s="43"/>
      <c r="NX56" s="43"/>
      <c r="NY56" s="43"/>
      <c r="NZ56" s="43"/>
      <c r="OA56" s="43"/>
      <c r="OB56" s="43"/>
      <c r="OC56" s="43"/>
      <c r="OD56" s="43"/>
      <c r="OE56" s="43"/>
      <c r="OF56" s="43"/>
      <c r="OG56" s="43"/>
      <c r="OH56" s="43"/>
      <c r="OI56" s="43"/>
      <c r="OJ56" s="43"/>
      <c r="OK56" s="43"/>
      <c r="OL56" s="43"/>
      <c r="OM56" s="43"/>
      <c r="ON56" s="43"/>
      <c r="OO56" s="43"/>
      <c r="OP56" s="43"/>
      <c r="OQ56" s="43"/>
      <c r="OR56" s="43"/>
      <c r="OS56" s="43"/>
      <c r="OT56" s="43"/>
      <c r="OU56" s="43"/>
      <c r="OV56" s="43"/>
      <c r="OW56" s="43"/>
      <c r="OX56" s="43"/>
      <c r="OY56" s="43"/>
      <c r="OZ56" s="43"/>
      <c r="PA56" s="43"/>
      <c r="PB56" s="43"/>
      <c r="PC56" s="43"/>
      <c r="PD56" s="43"/>
      <c r="PE56" s="43"/>
      <c r="PF56" s="43"/>
      <c r="PG56" s="43"/>
      <c r="PH56" s="43"/>
      <c r="PI56" s="43"/>
      <c r="PJ56" s="43"/>
      <c r="PK56" s="43"/>
      <c r="PL56" s="43"/>
      <c r="PM56" s="43"/>
      <c r="PN56" s="43"/>
      <c r="PO56" s="43"/>
      <c r="PP56" s="43"/>
      <c r="PQ56" s="43"/>
      <c r="PR56" s="43"/>
      <c r="PS56" s="43"/>
      <c r="PT56" s="43"/>
      <c r="PU56" s="43"/>
      <c r="PV56" s="43"/>
      <c r="PW56" s="43"/>
      <c r="PX56" s="43"/>
      <c r="PY56" s="43"/>
      <c r="PZ56" s="43"/>
      <c r="QA56" s="43"/>
      <c r="QB56" s="43"/>
      <c r="QC56" s="43"/>
    </row>
    <row r="57" spans="2:445" x14ac:dyDescent="0.3"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6" t="str">
        <f t="shared" si="2"/>
        <v/>
      </c>
      <c r="U57" s="46" t="str">
        <f t="shared" si="3"/>
        <v/>
      </c>
      <c r="V57" s="72" t="str">
        <f t="shared" si="4"/>
        <v/>
      </c>
      <c r="X57" s="73" t="str">
        <f t="shared" si="6"/>
        <v/>
      </c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43"/>
      <c r="CY57" s="43"/>
      <c r="CZ57" s="43"/>
      <c r="DA57" s="43"/>
      <c r="DB57" s="43"/>
      <c r="DC57" s="43"/>
      <c r="DD57" s="43"/>
      <c r="DE57" s="43"/>
      <c r="DF57" s="43"/>
      <c r="DG57" s="43"/>
      <c r="DH57" s="43"/>
      <c r="DI57" s="43"/>
      <c r="DJ57" s="43"/>
      <c r="DK57" s="43"/>
      <c r="DL57" s="43"/>
      <c r="DM57" s="43"/>
      <c r="DN57" s="43"/>
      <c r="DO57" s="43"/>
      <c r="DP57" s="43"/>
      <c r="DQ57" s="43"/>
      <c r="DR57" s="43"/>
      <c r="DS57" s="43"/>
      <c r="DT57" s="43"/>
      <c r="DU57" s="43"/>
      <c r="DV57" s="43"/>
      <c r="DW57" s="43"/>
      <c r="DX57" s="43"/>
      <c r="DY57" s="43"/>
      <c r="DZ57" s="43"/>
      <c r="EA57" s="43"/>
      <c r="EB57" s="43"/>
      <c r="EC57" s="43"/>
      <c r="ED57" s="43"/>
      <c r="EE57" s="43"/>
      <c r="EF57" s="43"/>
      <c r="EG57" s="43"/>
      <c r="EH57" s="43"/>
      <c r="EI57" s="43"/>
      <c r="EJ57" s="43"/>
      <c r="EK57" s="43"/>
      <c r="EL57" s="43"/>
      <c r="EM57" s="43"/>
      <c r="EN57" s="43"/>
      <c r="EO57" s="43"/>
      <c r="EP57" s="43"/>
      <c r="EQ57" s="43"/>
      <c r="ER57" s="43"/>
      <c r="ES57" s="43"/>
      <c r="ET57" s="43"/>
      <c r="EU57" s="43"/>
      <c r="EV57" s="43"/>
      <c r="EW57" s="43"/>
      <c r="EX57" s="43"/>
      <c r="EY57" s="43"/>
      <c r="EZ57" s="43"/>
      <c r="FA57" s="43"/>
      <c r="FB57" s="43"/>
      <c r="FC57" s="43"/>
      <c r="FD57" s="43"/>
      <c r="FE57" s="43"/>
      <c r="FF57" s="43"/>
      <c r="FG57" s="43"/>
      <c r="FH57" s="43"/>
      <c r="FI57" s="43"/>
      <c r="FJ57" s="43"/>
      <c r="FK57" s="43"/>
      <c r="FL57" s="43"/>
      <c r="FM57" s="43"/>
      <c r="FN57" s="43"/>
      <c r="FO57" s="43"/>
      <c r="FP57" s="43"/>
      <c r="FQ57" s="43"/>
      <c r="FR57" s="43"/>
      <c r="FS57" s="43"/>
      <c r="FT57" s="43"/>
      <c r="FU57" s="43"/>
      <c r="FV57" s="43"/>
      <c r="FW57" s="43"/>
      <c r="FX57" s="43"/>
      <c r="FY57" s="43"/>
      <c r="FZ57" s="43"/>
      <c r="GA57" s="43"/>
      <c r="GB57" s="43"/>
      <c r="GC57" s="43"/>
      <c r="GD57" s="43"/>
      <c r="GE57" s="43"/>
      <c r="GF57" s="43"/>
      <c r="GG57" s="43"/>
      <c r="GH57" s="43"/>
      <c r="GI57" s="43"/>
      <c r="GJ57" s="43"/>
      <c r="GK57" s="43"/>
      <c r="GL57" s="43"/>
      <c r="GM57" s="43"/>
      <c r="GN57" s="43"/>
      <c r="GO57" s="43"/>
      <c r="GP57" s="43"/>
      <c r="GQ57" s="43"/>
      <c r="GR57" s="43"/>
      <c r="GS57" s="43"/>
      <c r="GT57" s="43"/>
      <c r="GU57" s="43"/>
      <c r="GV57" s="43"/>
      <c r="GW57" s="43"/>
      <c r="GX57" s="43"/>
      <c r="GY57" s="43"/>
      <c r="GZ57" s="43"/>
      <c r="HA57" s="43"/>
      <c r="HB57" s="43"/>
      <c r="HC57" s="43"/>
      <c r="HD57" s="43"/>
      <c r="HE57" s="43"/>
      <c r="HF57" s="43"/>
      <c r="HG57" s="43"/>
      <c r="HH57" s="43"/>
      <c r="HI57" s="43"/>
      <c r="HJ57" s="43"/>
      <c r="HK57" s="43"/>
      <c r="HL57" s="43"/>
      <c r="HM57" s="43"/>
      <c r="HN57" s="43"/>
      <c r="HO57" s="43"/>
      <c r="HP57" s="43"/>
      <c r="HQ57" s="43"/>
      <c r="HR57" s="43"/>
      <c r="HS57" s="43"/>
      <c r="HT57" s="43"/>
      <c r="HU57" s="43"/>
      <c r="HV57" s="43"/>
      <c r="HW57" s="43"/>
      <c r="HX57" s="43"/>
      <c r="HY57" s="43"/>
      <c r="HZ57" s="43"/>
      <c r="IA57" s="43"/>
      <c r="IB57" s="43"/>
      <c r="IC57" s="43"/>
      <c r="ID57" s="43"/>
      <c r="IE57" s="43"/>
      <c r="IF57" s="43"/>
      <c r="IG57" s="43"/>
      <c r="IH57" s="43"/>
      <c r="II57" s="43"/>
      <c r="IJ57" s="43"/>
      <c r="IK57" s="43"/>
      <c r="IL57" s="43"/>
      <c r="IM57" s="43"/>
      <c r="IN57" s="43"/>
      <c r="IO57" s="43"/>
      <c r="IP57" s="43"/>
      <c r="IQ57" s="43"/>
      <c r="IR57" s="43"/>
      <c r="IS57" s="43"/>
      <c r="IT57" s="43"/>
      <c r="IU57" s="43"/>
      <c r="IV57" s="43"/>
      <c r="IW57" s="43"/>
      <c r="IX57" s="43"/>
      <c r="IY57" s="43"/>
      <c r="IZ57" s="43"/>
      <c r="JA57" s="43"/>
      <c r="JB57" s="43"/>
      <c r="JC57" s="43"/>
      <c r="JD57" s="43"/>
      <c r="JE57" s="43"/>
      <c r="JF57" s="43"/>
      <c r="JG57" s="43"/>
      <c r="JH57" s="43"/>
      <c r="JI57" s="43"/>
      <c r="JJ57" s="43"/>
      <c r="JK57" s="43"/>
      <c r="JL57" s="43"/>
      <c r="JM57" s="43"/>
      <c r="JN57" s="43"/>
      <c r="JO57" s="43"/>
      <c r="JP57" s="43"/>
      <c r="JQ57" s="43"/>
      <c r="JR57" s="43"/>
      <c r="JS57" s="43"/>
      <c r="JT57" s="43"/>
      <c r="JU57" s="43"/>
      <c r="JV57" s="43"/>
      <c r="JW57" s="43"/>
      <c r="JX57" s="43"/>
      <c r="JY57" s="43"/>
      <c r="JZ57" s="43"/>
      <c r="KA57" s="43"/>
      <c r="KB57" s="43"/>
      <c r="KC57" s="43"/>
      <c r="KD57" s="43"/>
      <c r="KE57" s="43"/>
      <c r="KF57" s="43"/>
      <c r="KG57" s="43"/>
      <c r="KH57" s="43"/>
      <c r="KI57" s="43"/>
      <c r="KJ57" s="43"/>
      <c r="KK57" s="43"/>
      <c r="KL57" s="43"/>
      <c r="KM57" s="43"/>
      <c r="KN57" s="43"/>
      <c r="KO57" s="43"/>
      <c r="KP57" s="43"/>
      <c r="KQ57" s="43"/>
      <c r="KR57" s="43"/>
      <c r="KS57" s="43"/>
      <c r="KT57" s="43"/>
      <c r="KU57" s="43"/>
      <c r="KV57" s="43"/>
      <c r="KW57" s="43"/>
      <c r="KX57" s="43"/>
      <c r="KY57" s="43"/>
      <c r="KZ57" s="43"/>
      <c r="LA57" s="43"/>
      <c r="LB57" s="43"/>
      <c r="LC57" s="43"/>
      <c r="LD57" s="43"/>
      <c r="LE57" s="43"/>
      <c r="LF57" s="43"/>
      <c r="LG57" s="43"/>
      <c r="LH57" s="43"/>
      <c r="LI57" s="43"/>
      <c r="LJ57" s="43"/>
      <c r="LK57" s="43"/>
      <c r="LL57" s="43"/>
      <c r="LM57" s="43"/>
      <c r="LN57" s="43"/>
      <c r="LO57" s="43"/>
      <c r="LP57" s="43"/>
      <c r="LQ57" s="43"/>
      <c r="LR57" s="43"/>
      <c r="LS57" s="43"/>
      <c r="LT57" s="43"/>
      <c r="LU57" s="43"/>
      <c r="LV57" s="43"/>
      <c r="LW57" s="43"/>
      <c r="LX57" s="43"/>
      <c r="LY57" s="43"/>
      <c r="LZ57" s="43"/>
      <c r="MA57" s="43"/>
      <c r="MB57" s="43"/>
      <c r="MC57" s="43"/>
      <c r="MD57" s="43"/>
      <c r="ME57" s="43"/>
      <c r="MF57" s="43"/>
      <c r="MG57" s="43"/>
      <c r="MH57" s="43"/>
      <c r="MI57" s="43"/>
      <c r="MJ57" s="43"/>
      <c r="MK57" s="43"/>
      <c r="ML57" s="43"/>
      <c r="MM57" s="43"/>
      <c r="MN57" s="43"/>
      <c r="MO57" s="43"/>
      <c r="MP57" s="43"/>
      <c r="MQ57" s="43"/>
      <c r="MR57" s="43"/>
      <c r="MS57" s="43"/>
      <c r="MT57" s="43"/>
      <c r="MU57" s="43"/>
      <c r="MV57" s="43"/>
      <c r="MW57" s="43"/>
      <c r="MX57" s="43"/>
      <c r="MY57" s="43"/>
      <c r="MZ57" s="43"/>
      <c r="NA57" s="43"/>
      <c r="NB57" s="43"/>
      <c r="NC57" s="43"/>
      <c r="ND57" s="43"/>
      <c r="NE57" s="43"/>
      <c r="NF57" s="43"/>
      <c r="NG57" s="43"/>
      <c r="NH57" s="43"/>
      <c r="NI57" s="43"/>
      <c r="NJ57" s="43"/>
      <c r="NK57" s="43"/>
      <c r="NL57" s="43"/>
      <c r="NM57" s="43"/>
      <c r="NN57" s="43"/>
      <c r="NO57" s="43"/>
      <c r="NP57" s="43"/>
      <c r="NQ57" s="43"/>
      <c r="NR57" s="43"/>
      <c r="NS57" s="43"/>
      <c r="NT57" s="43"/>
      <c r="NU57" s="43"/>
      <c r="NV57" s="43"/>
      <c r="NW57" s="43"/>
      <c r="NX57" s="43"/>
      <c r="NY57" s="43"/>
      <c r="NZ57" s="43"/>
      <c r="OA57" s="43"/>
      <c r="OB57" s="43"/>
      <c r="OC57" s="43"/>
      <c r="OD57" s="43"/>
      <c r="OE57" s="43"/>
      <c r="OF57" s="43"/>
      <c r="OG57" s="43"/>
      <c r="OH57" s="43"/>
      <c r="OI57" s="43"/>
      <c r="OJ57" s="43"/>
      <c r="OK57" s="43"/>
      <c r="OL57" s="43"/>
      <c r="OM57" s="43"/>
      <c r="ON57" s="43"/>
      <c r="OO57" s="43"/>
      <c r="OP57" s="43"/>
      <c r="OQ57" s="43"/>
      <c r="OR57" s="43"/>
      <c r="OS57" s="43"/>
      <c r="OT57" s="43"/>
      <c r="OU57" s="43"/>
      <c r="OV57" s="43"/>
      <c r="OW57" s="43"/>
      <c r="OX57" s="43"/>
      <c r="OY57" s="43"/>
      <c r="OZ57" s="43"/>
      <c r="PA57" s="43"/>
      <c r="PB57" s="43"/>
      <c r="PC57" s="43"/>
      <c r="PD57" s="43"/>
      <c r="PE57" s="43"/>
      <c r="PF57" s="43"/>
      <c r="PG57" s="43"/>
      <c r="PH57" s="43"/>
      <c r="PI57" s="43"/>
      <c r="PJ57" s="43"/>
      <c r="PK57" s="43"/>
      <c r="PL57" s="43"/>
      <c r="PM57" s="43"/>
      <c r="PN57" s="43"/>
      <c r="PO57" s="43"/>
      <c r="PP57" s="43"/>
      <c r="PQ57" s="43"/>
      <c r="PR57" s="43"/>
      <c r="PS57" s="43"/>
      <c r="PT57" s="43"/>
      <c r="PU57" s="43"/>
      <c r="PV57" s="43"/>
      <c r="PW57" s="43"/>
      <c r="PX57" s="43"/>
      <c r="PY57" s="43"/>
      <c r="PZ57" s="43"/>
      <c r="QA57" s="43"/>
      <c r="QB57" s="43"/>
      <c r="QC57" s="43"/>
    </row>
    <row r="58" spans="2:445" x14ac:dyDescent="0.3"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6" t="str">
        <f t="shared" si="2"/>
        <v/>
      </c>
      <c r="U58" s="46" t="str">
        <f t="shared" si="3"/>
        <v/>
      </c>
      <c r="V58" s="72" t="str">
        <f t="shared" si="4"/>
        <v/>
      </c>
      <c r="W58" s="48"/>
      <c r="X58" s="73" t="str">
        <f t="shared" si="6"/>
        <v/>
      </c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43"/>
      <c r="CY58" s="43"/>
      <c r="CZ58" s="43"/>
      <c r="DA58" s="43"/>
      <c r="DB58" s="43"/>
      <c r="DC58" s="43"/>
      <c r="DD58" s="43"/>
      <c r="DE58" s="43"/>
      <c r="DF58" s="43"/>
      <c r="DG58" s="43"/>
      <c r="DH58" s="43"/>
      <c r="DI58" s="43"/>
      <c r="DJ58" s="43"/>
      <c r="DK58" s="43"/>
      <c r="DL58" s="43"/>
      <c r="DM58" s="43"/>
      <c r="DN58" s="43"/>
      <c r="DO58" s="43"/>
      <c r="DP58" s="43"/>
      <c r="DQ58" s="43"/>
      <c r="DR58" s="43"/>
      <c r="DS58" s="43"/>
      <c r="DT58" s="43"/>
      <c r="DU58" s="43"/>
      <c r="DV58" s="43"/>
      <c r="DW58" s="43"/>
      <c r="DX58" s="43"/>
      <c r="DY58" s="43"/>
      <c r="DZ58" s="43"/>
      <c r="EA58" s="43"/>
      <c r="EB58" s="43"/>
      <c r="EC58" s="43"/>
      <c r="ED58" s="43"/>
      <c r="EE58" s="43"/>
      <c r="EF58" s="43"/>
      <c r="EG58" s="43"/>
      <c r="EH58" s="43"/>
      <c r="EI58" s="43"/>
      <c r="EJ58" s="43"/>
      <c r="EK58" s="43"/>
      <c r="EL58" s="43"/>
      <c r="EM58" s="43"/>
      <c r="EN58" s="43"/>
      <c r="EO58" s="43"/>
      <c r="EP58" s="43"/>
      <c r="EQ58" s="43"/>
      <c r="ER58" s="43"/>
      <c r="ES58" s="43"/>
      <c r="ET58" s="43"/>
      <c r="EU58" s="43"/>
      <c r="EV58" s="43"/>
      <c r="EW58" s="43"/>
      <c r="EX58" s="43"/>
      <c r="EY58" s="43"/>
      <c r="EZ58" s="43"/>
      <c r="FA58" s="43"/>
      <c r="FB58" s="43"/>
      <c r="FC58" s="43"/>
      <c r="FD58" s="43"/>
      <c r="FE58" s="43"/>
      <c r="FF58" s="43"/>
      <c r="FG58" s="43"/>
      <c r="FH58" s="43"/>
      <c r="FI58" s="43"/>
      <c r="FJ58" s="43"/>
      <c r="FK58" s="43"/>
      <c r="FL58" s="43"/>
      <c r="FM58" s="43"/>
      <c r="FN58" s="43"/>
      <c r="FO58" s="43"/>
      <c r="FP58" s="43"/>
      <c r="FQ58" s="43"/>
      <c r="FR58" s="43"/>
      <c r="FS58" s="43"/>
      <c r="FT58" s="43"/>
      <c r="FU58" s="43"/>
      <c r="FV58" s="43"/>
      <c r="FW58" s="43"/>
      <c r="FX58" s="43"/>
      <c r="FY58" s="43"/>
      <c r="FZ58" s="43"/>
      <c r="GA58" s="43"/>
      <c r="GB58" s="43"/>
      <c r="GC58" s="43"/>
      <c r="GD58" s="43"/>
      <c r="GE58" s="43"/>
      <c r="GF58" s="43"/>
      <c r="GG58" s="43"/>
      <c r="GH58" s="43"/>
      <c r="GI58" s="43"/>
      <c r="GJ58" s="43"/>
      <c r="GK58" s="43"/>
      <c r="GL58" s="43"/>
      <c r="GM58" s="43"/>
      <c r="GN58" s="43"/>
      <c r="GO58" s="43"/>
      <c r="GP58" s="43"/>
      <c r="GQ58" s="43"/>
      <c r="GR58" s="43"/>
      <c r="GS58" s="43"/>
      <c r="GT58" s="43"/>
      <c r="GU58" s="43"/>
      <c r="GV58" s="43"/>
      <c r="GW58" s="43"/>
      <c r="GX58" s="43"/>
      <c r="GY58" s="43"/>
      <c r="GZ58" s="43"/>
      <c r="HA58" s="43"/>
      <c r="HB58" s="43"/>
      <c r="HC58" s="43"/>
      <c r="HD58" s="43"/>
      <c r="HE58" s="43"/>
      <c r="HF58" s="43"/>
      <c r="HG58" s="43"/>
      <c r="HH58" s="43"/>
      <c r="HI58" s="43"/>
      <c r="HJ58" s="43"/>
      <c r="HK58" s="43"/>
      <c r="HL58" s="43"/>
      <c r="HM58" s="43"/>
      <c r="HN58" s="43"/>
      <c r="HO58" s="43"/>
      <c r="HP58" s="43"/>
      <c r="HQ58" s="43"/>
      <c r="HR58" s="43"/>
      <c r="HS58" s="43"/>
      <c r="HT58" s="43"/>
      <c r="HU58" s="43"/>
      <c r="HV58" s="43"/>
      <c r="HW58" s="43"/>
      <c r="HX58" s="43"/>
      <c r="HY58" s="43"/>
      <c r="HZ58" s="43"/>
      <c r="IA58" s="43"/>
      <c r="IB58" s="43"/>
      <c r="IC58" s="43"/>
      <c r="ID58" s="43"/>
      <c r="IE58" s="43"/>
      <c r="IF58" s="43"/>
      <c r="IG58" s="43"/>
      <c r="IH58" s="43"/>
      <c r="II58" s="43"/>
      <c r="IJ58" s="43"/>
      <c r="IK58" s="43"/>
      <c r="IL58" s="43"/>
      <c r="IM58" s="43"/>
      <c r="IN58" s="43"/>
      <c r="IO58" s="43"/>
      <c r="IP58" s="43"/>
      <c r="IQ58" s="43"/>
      <c r="IR58" s="43"/>
      <c r="IS58" s="43"/>
      <c r="IT58" s="43"/>
      <c r="IU58" s="43"/>
      <c r="IV58" s="43"/>
      <c r="IW58" s="43"/>
      <c r="IX58" s="43"/>
      <c r="IY58" s="43"/>
      <c r="IZ58" s="43"/>
      <c r="JA58" s="43"/>
      <c r="JB58" s="43"/>
      <c r="JC58" s="43"/>
      <c r="JD58" s="43"/>
      <c r="JE58" s="43"/>
      <c r="JF58" s="43"/>
      <c r="JG58" s="43"/>
      <c r="JH58" s="43"/>
      <c r="JI58" s="43"/>
      <c r="JJ58" s="43"/>
      <c r="JK58" s="43"/>
      <c r="JL58" s="43"/>
      <c r="JM58" s="43"/>
      <c r="JN58" s="43"/>
      <c r="JO58" s="43"/>
      <c r="JP58" s="43"/>
      <c r="JQ58" s="43"/>
      <c r="JR58" s="43"/>
      <c r="JS58" s="43"/>
      <c r="JT58" s="43"/>
      <c r="JU58" s="43"/>
      <c r="JV58" s="43"/>
      <c r="JW58" s="43"/>
      <c r="JX58" s="43"/>
      <c r="JY58" s="43"/>
      <c r="JZ58" s="43"/>
      <c r="KA58" s="43"/>
      <c r="KB58" s="43"/>
      <c r="KC58" s="43"/>
      <c r="KD58" s="43"/>
      <c r="KE58" s="43"/>
      <c r="KF58" s="43"/>
      <c r="KG58" s="43"/>
      <c r="KH58" s="43"/>
      <c r="KI58" s="43"/>
      <c r="KJ58" s="43"/>
      <c r="KK58" s="43"/>
      <c r="KL58" s="43"/>
      <c r="KM58" s="43"/>
      <c r="KN58" s="43"/>
      <c r="KO58" s="43"/>
      <c r="KP58" s="43"/>
      <c r="KQ58" s="43"/>
      <c r="KR58" s="43"/>
      <c r="KS58" s="43"/>
      <c r="KT58" s="43"/>
      <c r="KU58" s="43"/>
      <c r="KV58" s="43"/>
      <c r="KW58" s="43"/>
      <c r="KX58" s="43"/>
      <c r="KY58" s="43"/>
      <c r="KZ58" s="43"/>
      <c r="LA58" s="43"/>
      <c r="LB58" s="43"/>
      <c r="LC58" s="43"/>
      <c r="LD58" s="43"/>
      <c r="LE58" s="43"/>
      <c r="LF58" s="43"/>
      <c r="LG58" s="43"/>
      <c r="LH58" s="43"/>
      <c r="LI58" s="43"/>
      <c r="LJ58" s="43"/>
      <c r="LK58" s="43"/>
      <c r="LL58" s="43"/>
      <c r="LM58" s="43"/>
      <c r="LN58" s="43"/>
      <c r="LO58" s="43"/>
      <c r="LP58" s="43"/>
      <c r="LQ58" s="43"/>
      <c r="LR58" s="43"/>
      <c r="LS58" s="43"/>
      <c r="LT58" s="43"/>
      <c r="LU58" s="43"/>
      <c r="LV58" s="43"/>
      <c r="LW58" s="43"/>
      <c r="LX58" s="43"/>
      <c r="LY58" s="43"/>
      <c r="LZ58" s="43"/>
      <c r="MA58" s="43"/>
      <c r="MB58" s="43"/>
      <c r="MC58" s="43"/>
      <c r="MD58" s="43"/>
      <c r="ME58" s="43"/>
      <c r="MF58" s="43"/>
      <c r="MG58" s="43"/>
      <c r="MH58" s="43"/>
      <c r="MI58" s="43"/>
      <c r="MJ58" s="43"/>
      <c r="MK58" s="43"/>
      <c r="ML58" s="43"/>
      <c r="MM58" s="43"/>
      <c r="MN58" s="43"/>
      <c r="MO58" s="43"/>
      <c r="MP58" s="43"/>
      <c r="MQ58" s="43"/>
      <c r="MR58" s="43"/>
      <c r="MS58" s="43"/>
      <c r="MT58" s="43"/>
      <c r="MU58" s="43"/>
      <c r="MV58" s="43"/>
      <c r="MW58" s="43"/>
      <c r="MX58" s="43"/>
      <c r="MY58" s="43"/>
      <c r="MZ58" s="43"/>
      <c r="NA58" s="43"/>
      <c r="NB58" s="43"/>
      <c r="NC58" s="43"/>
      <c r="ND58" s="43"/>
      <c r="NE58" s="43"/>
      <c r="NF58" s="43"/>
      <c r="NG58" s="43"/>
      <c r="NH58" s="43"/>
      <c r="NI58" s="43"/>
      <c r="NJ58" s="43"/>
      <c r="NK58" s="43"/>
      <c r="NL58" s="43"/>
      <c r="NM58" s="43"/>
      <c r="NN58" s="43"/>
      <c r="NO58" s="43"/>
      <c r="NP58" s="43"/>
      <c r="NQ58" s="43"/>
      <c r="NR58" s="43"/>
      <c r="NS58" s="43"/>
      <c r="NT58" s="43"/>
      <c r="NU58" s="43"/>
      <c r="NV58" s="43"/>
      <c r="NW58" s="43"/>
      <c r="NX58" s="43"/>
      <c r="NY58" s="43"/>
      <c r="NZ58" s="43"/>
      <c r="OA58" s="43"/>
      <c r="OB58" s="43"/>
      <c r="OC58" s="43"/>
      <c r="OD58" s="43"/>
      <c r="OE58" s="43"/>
      <c r="OF58" s="43"/>
      <c r="OG58" s="43"/>
      <c r="OH58" s="43"/>
      <c r="OI58" s="43"/>
      <c r="OJ58" s="43"/>
      <c r="OK58" s="43"/>
      <c r="OL58" s="43"/>
      <c r="OM58" s="43"/>
      <c r="ON58" s="43"/>
      <c r="OO58" s="43"/>
      <c r="OP58" s="43"/>
      <c r="OQ58" s="43"/>
      <c r="OR58" s="43"/>
      <c r="OS58" s="43"/>
      <c r="OT58" s="43"/>
      <c r="OU58" s="43"/>
      <c r="OV58" s="43"/>
      <c r="OW58" s="43"/>
      <c r="OX58" s="43"/>
      <c r="OY58" s="43"/>
      <c r="OZ58" s="43"/>
      <c r="PA58" s="43"/>
      <c r="PB58" s="43"/>
      <c r="PC58" s="43"/>
      <c r="PD58" s="43"/>
      <c r="PE58" s="43"/>
      <c r="PF58" s="43"/>
      <c r="PG58" s="43"/>
      <c r="PH58" s="43"/>
      <c r="PI58" s="43"/>
      <c r="PJ58" s="43"/>
      <c r="PK58" s="43"/>
      <c r="PL58" s="43"/>
      <c r="PM58" s="43"/>
      <c r="PN58" s="43"/>
      <c r="PO58" s="43"/>
      <c r="PP58" s="43"/>
      <c r="PQ58" s="43"/>
      <c r="PR58" s="43"/>
      <c r="PS58" s="43"/>
      <c r="PT58" s="43"/>
      <c r="PU58" s="43"/>
      <c r="PV58" s="43"/>
      <c r="PW58" s="43"/>
      <c r="PX58" s="43"/>
      <c r="PY58" s="43"/>
      <c r="PZ58" s="43"/>
      <c r="QA58" s="43"/>
      <c r="QB58" s="43"/>
      <c r="QC58" s="43"/>
    </row>
    <row r="59" spans="2:445" x14ac:dyDescent="0.3"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6" t="str">
        <f t="shared" si="2"/>
        <v/>
      </c>
      <c r="U59" s="46" t="str">
        <f t="shared" si="3"/>
        <v/>
      </c>
      <c r="V59" s="72" t="str">
        <f t="shared" si="4"/>
        <v/>
      </c>
      <c r="W59" s="48"/>
      <c r="X59" s="73" t="str">
        <f t="shared" si="6"/>
        <v/>
      </c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43"/>
      <c r="CY59" s="43"/>
      <c r="CZ59" s="43"/>
      <c r="DA59" s="43"/>
      <c r="DB59" s="43"/>
      <c r="DC59" s="43"/>
      <c r="DD59" s="43"/>
      <c r="DE59" s="43"/>
      <c r="DF59" s="43"/>
      <c r="DG59" s="43"/>
      <c r="DH59" s="43"/>
      <c r="DI59" s="43"/>
      <c r="DJ59" s="43"/>
      <c r="DK59" s="43"/>
      <c r="DL59" s="43"/>
      <c r="DM59" s="43"/>
      <c r="DN59" s="43"/>
      <c r="DO59" s="43"/>
      <c r="DP59" s="43"/>
      <c r="DQ59" s="43"/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 s="43"/>
      <c r="EI59" s="43"/>
      <c r="EJ59" s="43"/>
      <c r="EK59" s="43"/>
      <c r="EL59" s="43"/>
      <c r="EM59" s="43"/>
      <c r="EN59" s="43"/>
      <c r="EO59" s="43"/>
      <c r="EP59" s="43"/>
      <c r="EQ59" s="43"/>
      <c r="ER59" s="43"/>
      <c r="ES59" s="43"/>
      <c r="ET59" s="43"/>
      <c r="EU59" s="43"/>
      <c r="EV59" s="43"/>
      <c r="EW59" s="43"/>
      <c r="EX59" s="43"/>
      <c r="EY59" s="43"/>
      <c r="EZ59" s="43"/>
      <c r="FA59" s="43"/>
      <c r="FB59" s="43"/>
      <c r="FC59" s="43"/>
      <c r="FD59" s="43"/>
      <c r="FE59" s="43"/>
      <c r="FF59" s="43"/>
      <c r="FG59" s="43"/>
      <c r="FH59" s="43"/>
      <c r="FI59" s="43"/>
      <c r="FJ59" s="43"/>
      <c r="FK59" s="43"/>
      <c r="FL59" s="43"/>
      <c r="FM59" s="43"/>
      <c r="FN59" s="43"/>
      <c r="FO59" s="43"/>
      <c r="FP59" s="43"/>
      <c r="FQ59" s="43"/>
      <c r="FR59" s="43"/>
      <c r="FS59" s="43"/>
      <c r="FT59" s="43"/>
      <c r="FU59" s="43"/>
      <c r="FV59" s="43"/>
      <c r="FW59" s="43"/>
      <c r="FX59" s="43"/>
      <c r="FY59" s="43"/>
      <c r="FZ59" s="43"/>
      <c r="GA59" s="43"/>
      <c r="GB59" s="43"/>
      <c r="GC59" s="43"/>
      <c r="GD59" s="43"/>
      <c r="GE59" s="43"/>
      <c r="GF59" s="43"/>
      <c r="GG59" s="43"/>
      <c r="GH59" s="43"/>
      <c r="GI59" s="43"/>
      <c r="GJ59" s="43"/>
      <c r="GK59" s="43"/>
      <c r="GL59" s="43"/>
      <c r="GM59" s="43"/>
      <c r="GN59" s="43"/>
      <c r="GO59" s="43"/>
      <c r="GP59" s="43"/>
      <c r="GQ59" s="43"/>
      <c r="GR59" s="43"/>
      <c r="GS59" s="43"/>
      <c r="GT59" s="43"/>
      <c r="GU59" s="43"/>
      <c r="GV59" s="43"/>
      <c r="GW59" s="43"/>
      <c r="GX59" s="43"/>
      <c r="GY59" s="43"/>
      <c r="GZ59" s="43"/>
      <c r="HA59" s="43"/>
      <c r="HB59" s="43"/>
      <c r="HC59" s="43"/>
      <c r="HD59" s="43"/>
      <c r="HE59" s="43"/>
      <c r="HF59" s="43"/>
      <c r="HG59" s="43"/>
      <c r="HH59" s="43"/>
      <c r="HI59" s="43"/>
      <c r="HJ59" s="43"/>
      <c r="HK59" s="43"/>
      <c r="HL59" s="43"/>
      <c r="HM59" s="43"/>
      <c r="HN59" s="43"/>
      <c r="HO59" s="43"/>
      <c r="HP59" s="43"/>
      <c r="HQ59" s="43"/>
      <c r="HR59" s="43"/>
      <c r="HS59" s="43"/>
      <c r="HT59" s="43"/>
      <c r="HU59" s="43"/>
      <c r="HV59" s="43"/>
      <c r="HW59" s="43"/>
      <c r="HX59" s="43"/>
      <c r="HY59" s="43"/>
      <c r="HZ59" s="43"/>
      <c r="IA59" s="43"/>
      <c r="IB59" s="43"/>
      <c r="IC59" s="43"/>
      <c r="ID59" s="43"/>
      <c r="IE59" s="43"/>
      <c r="IF59" s="43"/>
      <c r="IG59" s="43"/>
      <c r="IH59" s="43"/>
      <c r="II59" s="43"/>
      <c r="IJ59" s="43"/>
      <c r="IK59" s="43"/>
      <c r="IL59" s="43"/>
      <c r="IM59" s="43"/>
      <c r="IN59" s="43"/>
      <c r="IO59" s="43"/>
      <c r="IP59" s="43"/>
      <c r="IQ59" s="43"/>
      <c r="IR59" s="43"/>
      <c r="IS59" s="43"/>
      <c r="IT59" s="43"/>
      <c r="IU59" s="43"/>
      <c r="IV59" s="43"/>
      <c r="IW59" s="43"/>
      <c r="IX59" s="43"/>
      <c r="IY59" s="43"/>
      <c r="IZ59" s="43"/>
      <c r="JA59" s="43"/>
      <c r="JB59" s="43"/>
      <c r="JC59" s="43"/>
      <c r="JD59" s="43"/>
      <c r="JE59" s="43"/>
      <c r="JF59" s="43"/>
      <c r="JG59" s="43"/>
      <c r="JH59" s="43"/>
      <c r="JI59" s="43"/>
      <c r="JJ59" s="43"/>
      <c r="JK59" s="43"/>
      <c r="JL59" s="43"/>
      <c r="JM59" s="43"/>
      <c r="JN59" s="43"/>
      <c r="JO59" s="43"/>
      <c r="JP59" s="43"/>
      <c r="JQ59" s="43"/>
      <c r="JR59" s="43"/>
      <c r="JS59" s="43"/>
      <c r="JT59" s="43"/>
      <c r="JU59" s="43"/>
      <c r="JV59" s="43"/>
      <c r="JW59" s="43"/>
      <c r="JX59" s="43"/>
      <c r="JY59" s="43"/>
      <c r="JZ59" s="43"/>
      <c r="KA59" s="43"/>
      <c r="KB59" s="43"/>
      <c r="KC59" s="43"/>
      <c r="KD59" s="43"/>
      <c r="KE59" s="43"/>
      <c r="KF59" s="43"/>
      <c r="KG59" s="43"/>
      <c r="KH59" s="43"/>
      <c r="KI59" s="43"/>
      <c r="KJ59" s="43"/>
      <c r="KK59" s="43"/>
      <c r="KL59" s="43"/>
      <c r="KM59" s="43"/>
      <c r="KN59" s="43"/>
      <c r="KO59" s="43"/>
      <c r="KP59" s="43"/>
      <c r="KQ59" s="43"/>
      <c r="KR59" s="43"/>
      <c r="KS59" s="43"/>
      <c r="KT59" s="43"/>
      <c r="KU59" s="43"/>
      <c r="KV59" s="43"/>
      <c r="KW59" s="43"/>
      <c r="KX59" s="43"/>
      <c r="KY59" s="43"/>
      <c r="KZ59" s="43"/>
      <c r="LA59" s="43"/>
      <c r="LB59" s="43"/>
      <c r="LC59" s="43"/>
      <c r="LD59" s="43"/>
      <c r="LE59" s="43"/>
      <c r="LF59" s="43"/>
      <c r="LG59" s="43"/>
      <c r="LH59" s="43"/>
      <c r="LI59" s="43"/>
      <c r="LJ59" s="43"/>
      <c r="LK59" s="43"/>
      <c r="LL59" s="43"/>
      <c r="LM59" s="43"/>
      <c r="LN59" s="43"/>
      <c r="LO59" s="43"/>
      <c r="LP59" s="43"/>
      <c r="LQ59" s="43"/>
      <c r="LR59" s="43"/>
      <c r="LS59" s="43"/>
      <c r="LT59" s="43"/>
      <c r="LU59" s="43"/>
      <c r="LV59" s="43"/>
      <c r="LW59" s="43"/>
      <c r="LX59" s="43"/>
      <c r="LY59" s="43"/>
      <c r="LZ59" s="43"/>
      <c r="MA59" s="43"/>
      <c r="MB59" s="43"/>
      <c r="MC59" s="43"/>
      <c r="MD59" s="43"/>
      <c r="ME59" s="43"/>
      <c r="MF59" s="43"/>
      <c r="MG59" s="43"/>
      <c r="MH59" s="43"/>
      <c r="MI59" s="43"/>
      <c r="MJ59" s="43"/>
      <c r="MK59" s="43"/>
      <c r="ML59" s="43"/>
      <c r="MM59" s="43"/>
      <c r="MN59" s="43"/>
      <c r="MO59" s="43"/>
      <c r="MP59" s="43"/>
      <c r="MQ59" s="43"/>
      <c r="MR59" s="43"/>
      <c r="MS59" s="43"/>
      <c r="MT59" s="43"/>
      <c r="MU59" s="43"/>
      <c r="MV59" s="43"/>
      <c r="MW59" s="43"/>
      <c r="MX59" s="43"/>
      <c r="MY59" s="43"/>
      <c r="MZ59" s="43"/>
      <c r="NA59" s="43"/>
      <c r="NB59" s="43"/>
      <c r="NC59" s="43"/>
      <c r="ND59" s="43"/>
      <c r="NE59" s="43"/>
      <c r="NF59" s="43"/>
      <c r="NG59" s="43"/>
      <c r="NH59" s="43"/>
      <c r="NI59" s="43"/>
      <c r="NJ59" s="43"/>
      <c r="NK59" s="43"/>
      <c r="NL59" s="43"/>
      <c r="NM59" s="43"/>
      <c r="NN59" s="43"/>
      <c r="NO59" s="43"/>
      <c r="NP59" s="43"/>
      <c r="NQ59" s="43"/>
      <c r="NR59" s="43"/>
      <c r="NS59" s="43"/>
      <c r="NT59" s="43"/>
      <c r="NU59" s="43"/>
      <c r="NV59" s="43"/>
      <c r="NW59" s="43"/>
      <c r="NX59" s="43"/>
      <c r="NY59" s="43"/>
      <c r="NZ59" s="43"/>
      <c r="OA59" s="43"/>
      <c r="OB59" s="43"/>
      <c r="OC59" s="43"/>
      <c r="OD59" s="43"/>
      <c r="OE59" s="43"/>
      <c r="OF59" s="43"/>
      <c r="OG59" s="43"/>
      <c r="OH59" s="43"/>
      <c r="OI59" s="43"/>
      <c r="OJ59" s="43"/>
      <c r="OK59" s="43"/>
      <c r="OL59" s="43"/>
      <c r="OM59" s="43"/>
      <c r="ON59" s="43"/>
      <c r="OO59" s="43"/>
      <c r="OP59" s="43"/>
      <c r="OQ59" s="43"/>
      <c r="OR59" s="43"/>
      <c r="OS59" s="43"/>
      <c r="OT59" s="43"/>
      <c r="OU59" s="43"/>
      <c r="OV59" s="43"/>
      <c r="OW59" s="43"/>
      <c r="OX59" s="43"/>
      <c r="OY59" s="43"/>
      <c r="OZ59" s="43"/>
      <c r="PA59" s="43"/>
      <c r="PB59" s="43"/>
      <c r="PC59" s="43"/>
      <c r="PD59" s="43"/>
      <c r="PE59" s="43"/>
      <c r="PF59" s="43"/>
      <c r="PG59" s="43"/>
      <c r="PH59" s="43"/>
      <c r="PI59" s="43"/>
      <c r="PJ59" s="43"/>
      <c r="PK59" s="43"/>
      <c r="PL59" s="43"/>
      <c r="PM59" s="43"/>
      <c r="PN59" s="43"/>
      <c r="PO59" s="43"/>
      <c r="PP59" s="43"/>
      <c r="PQ59" s="43"/>
      <c r="PR59" s="43"/>
      <c r="PS59" s="43"/>
      <c r="PT59" s="43"/>
      <c r="PU59" s="43"/>
      <c r="PV59" s="43"/>
      <c r="PW59" s="43"/>
      <c r="PX59" s="43"/>
      <c r="PY59" s="43"/>
      <c r="PZ59" s="43"/>
      <c r="QA59" s="43"/>
      <c r="QB59" s="43"/>
      <c r="QC59" s="43"/>
    </row>
    <row r="60" spans="2:445" x14ac:dyDescent="0.3"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6" t="str">
        <f t="shared" si="2"/>
        <v/>
      </c>
      <c r="U60" s="46" t="str">
        <f t="shared" si="3"/>
        <v/>
      </c>
      <c r="V60" s="72" t="str">
        <f t="shared" si="4"/>
        <v/>
      </c>
      <c r="W60" s="48"/>
      <c r="X60" s="73" t="str">
        <f t="shared" si="6"/>
        <v/>
      </c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43"/>
      <c r="CY60" s="43"/>
      <c r="CZ60" s="43"/>
      <c r="DA60" s="43"/>
      <c r="DB60" s="43"/>
      <c r="DC60" s="43"/>
      <c r="DD60" s="43"/>
      <c r="DE60" s="43"/>
      <c r="DF60" s="43"/>
      <c r="DG60" s="43"/>
      <c r="DH60" s="43"/>
      <c r="DI60" s="43"/>
      <c r="DJ60" s="43"/>
      <c r="DK60" s="43"/>
      <c r="DL60" s="43"/>
      <c r="DM60" s="43"/>
      <c r="DN60" s="43"/>
      <c r="DO60" s="43"/>
      <c r="DP60" s="43"/>
      <c r="DQ60" s="43"/>
      <c r="DR60" s="43"/>
      <c r="DS60" s="43"/>
      <c r="DT60" s="43"/>
      <c r="DU60" s="43"/>
      <c r="DV60" s="43"/>
      <c r="DW60" s="43"/>
      <c r="DX60" s="43"/>
      <c r="DY60" s="43"/>
      <c r="DZ60" s="43"/>
      <c r="EA60" s="43"/>
      <c r="EB60" s="43"/>
      <c r="EC60" s="43"/>
      <c r="ED60" s="43"/>
      <c r="EE60" s="43"/>
      <c r="EF60" s="43"/>
      <c r="EG60" s="43"/>
      <c r="EH60" s="43"/>
      <c r="EI60" s="43"/>
      <c r="EJ60" s="43"/>
      <c r="EK60" s="43"/>
      <c r="EL60" s="43"/>
      <c r="EM60" s="43"/>
      <c r="EN60" s="43"/>
      <c r="EO60" s="43"/>
      <c r="EP60" s="43"/>
      <c r="EQ60" s="43"/>
      <c r="ER60" s="43"/>
      <c r="ES60" s="43"/>
      <c r="ET60" s="43"/>
      <c r="EU60" s="43"/>
      <c r="EV60" s="43"/>
      <c r="EW60" s="43"/>
      <c r="EX60" s="43"/>
      <c r="EY60" s="43"/>
      <c r="EZ60" s="43"/>
      <c r="FA60" s="43"/>
      <c r="FB60" s="43"/>
      <c r="FC60" s="43"/>
      <c r="FD60" s="43"/>
      <c r="FE60" s="43"/>
      <c r="FF60" s="43"/>
      <c r="FG60" s="43"/>
      <c r="FH60" s="43"/>
      <c r="FI60" s="43"/>
      <c r="FJ60" s="43"/>
      <c r="FK60" s="43"/>
      <c r="FL60" s="43"/>
      <c r="FM60" s="43"/>
      <c r="FN60" s="43"/>
      <c r="FO60" s="43"/>
      <c r="FP60" s="43"/>
      <c r="FQ60" s="43"/>
      <c r="FR60" s="43"/>
      <c r="FS60" s="43"/>
      <c r="FT60" s="43"/>
      <c r="FU60" s="43"/>
      <c r="FV60" s="43"/>
      <c r="FW60" s="43"/>
      <c r="FX60" s="43"/>
      <c r="FY60" s="43"/>
      <c r="FZ60" s="43"/>
      <c r="GA60" s="43"/>
      <c r="GB60" s="43"/>
      <c r="GC60" s="43"/>
      <c r="GD60" s="43"/>
      <c r="GE60" s="43"/>
      <c r="GF60" s="43"/>
      <c r="GG60" s="43"/>
      <c r="GH60" s="43"/>
      <c r="GI60" s="43"/>
      <c r="GJ60" s="43"/>
      <c r="GK60" s="43"/>
      <c r="GL60" s="43"/>
      <c r="GM60" s="43"/>
      <c r="GN60" s="43"/>
      <c r="GO60" s="43"/>
      <c r="GP60" s="43"/>
      <c r="GQ60" s="43"/>
      <c r="GR60" s="43"/>
      <c r="GS60" s="43"/>
      <c r="GT60" s="43"/>
      <c r="GU60" s="43"/>
      <c r="GV60" s="43"/>
      <c r="GW60" s="43"/>
      <c r="GX60" s="43"/>
      <c r="GY60" s="43"/>
      <c r="GZ60" s="43"/>
      <c r="HA60" s="43"/>
      <c r="HB60" s="43"/>
      <c r="HC60" s="43"/>
      <c r="HD60" s="43"/>
      <c r="HE60" s="43"/>
      <c r="HF60" s="43"/>
      <c r="HG60" s="43"/>
      <c r="HH60" s="43"/>
      <c r="HI60" s="43"/>
      <c r="HJ60" s="43"/>
      <c r="HK60" s="43"/>
      <c r="HL60" s="43"/>
      <c r="HM60" s="43"/>
      <c r="HN60" s="43"/>
      <c r="HO60" s="43"/>
      <c r="HP60" s="43"/>
      <c r="HQ60" s="43"/>
      <c r="HR60" s="43"/>
      <c r="HS60" s="43"/>
      <c r="HT60" s="43"/>
      <c r="HU60" s="43"/>
      <c r="HV60" s="43"/>
      <c r="HW60" s="43"/>
      <c r="HX60" s="43"/>
      <c r="HY60" s="43"/>
      <c r="HZ60" s="43"/>
      <c r="IA60" s="43"/>
      <c r="IB60" s="43"/>
      <c r="IC60" s="43"/>
      <c r="ID60" s="43"/>
      <c r="IE60" s="43"/>
      <c r="IF60" s="43"/>
      <c r="IG60" s="43"/>
      <c r="IH60" s="43"/>
      <c r="II60" s="43"/>
      <c r="IJ60" s="43"/>
      <c r="IK60" s="43"/>
      <c r="IL60" s="43"/>
      <c r="IM60" s="43"/>
      <c r="IN60" s="43"/>
      <c r="IO60" s="43"/>
      <c r="IP60" s="43"/>
      <c r="IQ60" s="43"/>
      <c r="IR60" s="43"/>
      <c r="IS60" s="43"/>
      <c r="IT60" s="43"/>
      <c r="IU60" s="43"/>
      <c r="IV60" s="43"/>
      <c r="IW60" s="43"/>
      <c r="IX60" s="43"/>
      <c r="IY60" s="43"/>
      <c r="IZ60" s="43"/>
      <c r="JA60" s="43"/>
      <c r="JB60" s="43"/>
      <c r="JC60" s="43"/>
      <c r="JD60" s="43"/>
      <c r="JE60" s="43"/>
      <c r="JF60" s="43"/>
      <c r="JG60" s="43"/>
      <c r="JH60" s="43"/>
      <c r="JI60" s="43"/>
      <c r="JJ60" s="43"/>
      <c r="JK60" s="43"/>
      <c r="JL60" s="43"/>
      <c r="JM60" s="43"/>
      <c r="JN60" s="43"/>
      <c r="JO60" s="43"/>
      <c r="JP60" s="43"/>
      <c r="JQ60" s="43"/>
      <c r="JR60" s="43"/>
      <c r="JS60" s="43"/>
      <c r="JT60" s="43"/>
      <c r="JU60" s="43"/>
      <c r="JV60" s="43"/>
      <c r="JW60" s="43"/>
      <c r="JX60" s="43"/>
      <c r="JY60" s="43"/>
      <c r="JZ60" s="43"/>
      <c r="KA60" s="43"/>
      <c r="KB60" s="43"/>
      <c r="KC60" s="43"/>
      <c r="KD60" s="43"/>
      <c r="KE60" s="43"/>
      <c r="KF60" s="43"/>
      <c r="KG60" s="43"/>
      <c r="KH60" s="43"/>
      <c r="KI60" s="43"/>
      <c r="KJ60" s="43"/>
      <c r="KK60" s="43"/>
      <c r="KL60" s="43"/>
      <c r="KM60" s="43"/>
      <c r="KN60" s="43"/>
      <c r="KO60" s="43"/>
      <c r="KP60" s="43"/>
      <c r="KQ60" s="43"/>
      <c r="KR60" s="43"/>
      <c r="KS60" s="43"/>
      <c r="KT60" s="43"/>
      <c r="KU60" s="43"/>
      <c r="KV60" s="43"/>
      <c r="KW60" s="43"/>
      <c r="KX60" s="43"/>
      <c r="KY60" s="43"/>
      <c r="KZ60" s="43"/>
      <c r="LA60" s="43"/>
      <c r="LB60" s="43"/>
      <c r="LC60" s="43"/>
      <c r="LD60" s="43"/>
      <c r="LE60" s="43"/>
      <c r="LF60" s="43"/>
      <c r="LG60" s="43"/>
      <c r="LH60" s="43"/>
      <c r="LI60" s="43"/>
      <c r="LJ60" s="43"/>
      <c r="LK60" s="43"/>
      <c r="LL60" s="43"/>
      <c r="LM60" s="43"/>
      <c r="LN60" s="43"/>
      <c r="LO60" s="43"/>
      <c r="LP60" s="43"/>
      <c r="LQ60" s="43"/>
      <c r="LR60" s="43"/>
      <c r="LS60" s="43"/>
      <c r="LT60" s="43"/>
      <c r="LU60" s="43"/>
      <c r="LV60" s="43"/>
      <c r="LW60" s="43"/>
      <c r="LX60" s="43"/>
      <c r="LY60" s="43"/>
      <c r="LZ60" s="43"/>
      <c r="MA60" s="43"/>
      <c r="MB60" s="43"/>
      <c r="MC60" s="43"/>
      <c r="MD60" s="43"/>
      <c r="ME60" s="43"/>
      <c r="MF60" s="43"/>
      <c r="MG60" s="43"/>
      <c r="MH60" s="43"/>
      <c r="MI60" s="43"/>
      <c r="MJ60" s="43"/>
      <c r="MK60" s="43"/>
      <c r="ML60" s="43"/>
      <c r="MM60" s="43"/>
      <c r="MN60" s="43"/>
      <c r="MO60" s="43"/>
      <c r="MP60" s="43"/>
      <c r="MQ60" s="43"/>
      <c r="MR60" s="43"/>
      <c r="MS60" s="43"/>
      <c r="MT60" s="43"/>
      <c r="MU60" s="43"/>
      <c r="MV60" s="43"/>
      <c r="MW60" s="43"/>
      <c r="MX60" s="43"/>
      <c r="MY60" s="43"/>
      <c r="MZ60" s="43"/>
      <c r="NA60" s="43"/>
      <c r="NB60" s="43"/>
      <c r="NC60" s="43"/>
      <c r="ND60" s="43"/>
      <c r="NE60" s="43"/>
      <c r="NF60" s="43"/>
      <c r="NG60" s="43"/>
      <c r="NH60" s="43"/>
      <c r="NI60" s="43"/>
      <c r="NJ60" s="43"/>
      <c r="NK60" s="43"/>
      <c r="NL60" s="43"/>
      <c r="NM60" s="43"/>
      <c r="NN60" s="43"/>
      <c r="NO60" s="43"/>
      <c r="NP60" s="43"/>
      <c r="NQ60" s="43"/>
      <c r="NR60" s="43"/>
      <c r="NS60" s="43"/>
      <c r="NT60" s="43"/>
      <c r="NU60" s="43"/>
      <c r="NV60" s="43"/>
      <c r="NW60" s="43"/>
      <c r="NX60" s="43"/>
      <c r="NY60" s="43"/>
      <c r="NZ60" s="43"/>
      <c r="OA60" s="43"/>
      <c r="OB60" s="43"/>
      <c r="OC60" s="43"/>
      <c r="OD60" s="43"/>
      <c r="OE60" s="43"/>
      <c r="OF60" s="43"/>
      <c r="OG60" s="43"/>
      <c r="OH60" s="43"/>
      <c r="OI60" s="43"/>
      <c r="OJ60" s="43"/>
      <c r="OK60" s="43"/>
      <c r="OL60" s="43"/>
      <c r="OM60" s="43"/>
      <c r="ON60" s="43"/>
      <c r="OO60" s="43"/>
      <c r="OP60" s="43"/>
      <c r="OQ60" s="43"/>
      <c r="OR60" s="43"/>
      <c r="OS60" s="43"/>
      <c r="OT60" s="43"/>
      <c r="OU60" s="43"/>
      <c r="OV60" s="43"/>
      <c r="OW60" s="43"/>
      <c r="OX60" s="43"/>
      <c r="OY60" s="43"/>
      <c r="OZ60" s="43"/>
      <c r="PA60" s="43"/>
      <c r="PB60" s="43"/>
      <c r="PC60" s="43"/>
      <c r="PD60" s="43"/>
      <c r="PE60" s="43"/>
      <c r="PF60" s="43"/>
      <c r="PG60" s="43"/>
      <c r="PH60" s="43"/>
      <c r="PI60" s="43"/>
      <c r="PJ60" s="43"/>
      <c r="PK60" s="43"/>
      <c r="PL60" s="43"/>
      <c r="PM60" s="43"/>
      <c r="PN60" s="43"/>
      <c r="PO60" s="43"/>
      <c r="PP60" s="43"/>
      <c r="PQ60" s="43"/>
      <c r="PR60" s="43"/>
      <c r="PS60" s="43"/>
      <c r="PT60" s="43"/>
      <c r="PU60" s="43"/>
      <c r="PV60" s="43"/>
      <c r="PW60" s="43"/>
      <c r="PX60" s="43"/>
      <c r="PY60" s="43"/>
      <c r="PZ60" s="43"/>
      <c r="QA60" s="43"/>
      <c r="QB60" s="43"/>
      <c r="QC60" s="43"/>
    </row>
    <row r="61" spans="2:445" x14ac:dyDescent="0.3"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6" t="str">
        <f t="shared" si="2"/>
        <v/>
      </c>
      <c r="U61" s="46" t="str">
        <f t="shared" si="3"/>
        <v/>
      </c>
      <c r="V61" s="72" t="str">
        <f t="shared" si="4"/>
        <v/>
      </c>
      <c r="X61" s="73" t="str">
        <f t="shared" si="6"/>
        <v/>
      </c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43"/>
      <c r="CY61" s="43"/>
      <c r="CZ61" s="43"/>
      <c r="DA61" s="43"/>
      <c r="DB61" s="43"/>
      <c r="DC61" s="43"/>
      <c r="DD61" s="43"/>
      <c r="DE61" s="43"/>
      <c r="DF61" s="43"/>
      <c r="DG61" s="43"/>
      <c r="DH61" s="43"/>
      <c r="DI61" s="43"/>
      <c r="DJ61" s="43"/>
      <c r="DK61" s="43"/>
      <c r="DL61" s="43"/>
      <c r="DM61" s="43"/>
      <c r="DN61" s="43"/>
      <c r="DO61" s="43"/>
      <c r="DP61" s="43"/>
      <c r="DQ61" s="43"/>
      <c r="DR61" s="43"/>
      <c r="DS61" s="43"/>
      <c r="DT61" s="43"/>
      <c r="DU61" s="43"/>
      <c r="DV61" s="43"/>
      <c r="DW61" s="43"/>
      <c r="DX61" s="43"/>
      <c r="DY61" s="43"/>
      <c r="DZ61" s="43"/>
      <c r="EA61" s="43"/>
      <c r="EB61" s="43"/>
      <c r="EC61" s="43"/>
      <c r="ED61" s="43"/>
      <c r="EE61" s="43"/>
      <c r="EF61" s="43"/>
      <c r="EG61" s="43"/>
      <c r="EH61" s="43"/>
      <c r="EI61" s="43"/>
      <c r="EJ61" s="43"/>
      <c r="EK61" s="43"/>
      <c r="EL61" s="43"/>
      <c r="EM61" s="43"/>
      <c r="EN61" s="43"/>
      <c r="EO61" s="43"/>
      <c r="EP61" s="43"/>
      <c r="EQ61" s="43"/>
      <c r="ER61" s="43"/>
      <c r="ES61" s="43"/>
      <c r="ET61" s="43"/>
      <c r="EU61" s="43"/>
      <c r="EV61" s="43"/>
      <c r="EW61" s="43"/>
      <c r="EX61" s="43"/>
      <c r="EY61" s="43"/>
      <c r="EZ61" s="43"/>
      <c r="FA61" s="43"/>
      <c r="FB61" s="43"/>
      <c r="FC61" s="43"/>
      <c r="FD61" s="43"/>
      <c r="FE61" s="43"/>
      <c r="FF61" s="43"/>
      <c r="FG61" s="43"/>
      <c r="FH61" s="43"/>
      <c r="FI61" s="43"/>
      <c r="FJ61" s="43"/>
      <c r="FK61" s="43"/>
      <c r="FL61" s="43"/>
      <c r="FM61" s="43"/>
      <c r="FN61" s="43"/>
      <c r="FO61" s="43"/>
      <c r="FP61" s="43"/>
      <c r="FQ61" s="43"/>
      <c r="FR61" s="43"/>
      <c r="FS61" s="43"/>
      <c r="FT61" s="43"/>
      <c r="FU61" s="43"/>
      <c r="FV61" s="43"/>
      <c r="FW61" s="43"/>
      <c r="FX61" s="43"/>
      <c r="FY61" s="43"/>
      <c r="FZ61" s="43"/>
      <c r="GA61" s="43"/>
      <c r="GB61" s="43"/>
      <c r="GC61" s="43"/>
      <c r="GD61" s="43"/>
      <c r="GE61" s="43"/>
      <c r="GF61" s="43"/>
      <c r="GG61" s="43"/>
      <c r="GH61" s="43"/>
      <c r="GI61" s="43"/>
      <c r="GJ61" s="43"/>
      <c r="GK61" s="43"/>
      <c r="GL61" s="43"/>
      <c r="GM61" s="43"/>
      <c r="GN61" s="43"/>
      <c r="GO61" s="43"/>
      <c r="GP61" s="43"/>
      <c r="GQ61" s="43"/>
      <c r="GR61" s="43"/>
      <c r="GS61" s="43"/>
      <c r="GT61" s="43"/>
      <c r="GU61" s="43"/>
      <c r="GV61" s="43"/>
      <c r="GW61" s="43"/>
      <c r="GX61" s="43"/>
      <c r="GY61" s="43"/>
      <c r="GZ61" s="43"/>
      <c r="HA61" s="43"/>
      <c r="HB61" s="43"/>
      <c r="HC61" s="43"/>
      <c r="HD61" s="43"/>
      <c r="HE61" s="43"/>
      <c r="HF61" s="43"/>
      <c r="HG61" s="43"/>
      <c r="HH61" s="43"/>
      <c r="HI61" s="43"/>
      <c r="HJ61" s="43"/>
      <c r="HK61" s="43"/>
      <c r="HL61" s="43"/>
      <c r="HM61" s="43"/>
      <c r="HN61" s="43"/>
      <c r="HO61" s="43"/>
      <c r="HP61" s="43"/>
      <c r="HQ61" s="43"/>
      <c r="HR61" s="43"/>
      <c r="HS61" s="43"/>
      <c r="HT61" s="43"/>
      <c r="HU61" s="43"/>
      <c r="HV61" s="43"/>
      <c r="HW61" s="43"/>
      <c r="HX61" s="43"/>
      <c r="HY61" s="43"/>
      <c r="HZ61" s="43"/>
      <c r="IA61" s="43"/>
      <c r="IB61" s="43"/>
      <c r="IC61" s="43"/>
      <c r="ID61" s="43"/>
      <c r="IE61" s="43"/>
      <c r="IF61" s="43"/>
      <c r="IG61" s="43"/>
      <c r="IH61" s="43"/>
      <c r="II61" s="43"/>
      <c r="IJ61" s="43"/>
      <c r="IK61" s="43"/>
      <c r="IL61" s="43"/>
      <c r="IM61" s="43"/>
      <c r="IN61" s="43"/>
      <c r="IO61" s="43"/>
      <c r="IP61" s="43"/>
      <c r="IQ61" s="43"/>
      <c r="IR61" s="43"/>
      <c r="IS61" s="43"/>
      <c r="IT61" s="43"/>
      <c r="IU61" s="43"/>
      <c r="IV61" s="43"/>
      <c r="IW61" s="43"/>
      <c r="IX61" s="43"/>
      <c r="IY61" s="43"/>
      <c r="IZ61" s="43"/>
      <c r="JA61" s="43"/>
      <c r="JB61" s="43"/>
      <c r="JC61" s="43"/>
      <c r="JD61" s="43"/>
      <c r="JE61" s="43"/>
      <c r="JF61" s="43"/>
      <c r="JG61" s="43"/>
      <c r="JH61" s="43"/>
      <c r="JI61" s="43"/>
      <c r="JJ61" s="43"/>
      <c r="JK61" s="43"/>
      <c r="JL61" s="43"/>
      <c r="JM61" s="43"/>
      <c r="JN61" s="43"/>
      <c r="JO61" s="43"/>
      <c r="JP61" s="43"/>
      <c r="JQ61" s="43"/>
      <c r="JR61" s="43"/>
      <c r="JS61" s="43"/>
      <c r="JT61" s="43"/>
      <c r="JU61" s="43"/>
      <c r="JV61" s="43"/>
      <c r="JW61" s="43"/>
      <c r="JX61" s="43"/>
      <c r="JY61" s="43"/>
      <c r="JZ61" s="43"/>
      <c r="KA61" s="43"/>
      <c r="KB61" s="43"/>
      <c r="KC61" s="43"/>
      <c r="KD61" s="43"/>
      <c r="KE61" s="43"/>
      <c r="KF61" s="43"/>
      <c r="KG61" s="43"/>
      <c r="KH61" s="43"/>
      <c r="KI61" s="43"/>
      <c r="KJ61" s="43"/>
      <c r="KK61" s="43"/>
      <c r="KL61" s="43"/>
      <c r="KM61" s="43"/>
      <c r="KN61" s="43"/>
      <c r="KO61" s="43"/>
      <c r="KP61" s="43"/>
      <c r="KQ61" s="43"/>
      <c r="KR61" s="43"/>
      <c r="KS61" s="43"/>
      <c r="KT61" s="43"/>
      <c r="KU61" s="43"/>
      <c r="KV61" s="43"/>
      <c r="KW61" s="43"/>
      <c r="KX61" s="43"/>
      <c r="KY61" s="43"/>
      <c r="KZ61" s="43"/>
      <c r="LA61" s="43"/>
      <c r="LB61" s="43"/>
      <c r="LC61" s="43"/>
      <c r="LD61" s="43"/>
      <c r="LE61" s="43"/>
      <c r="LF61" s="43"/>
      <c r="LG61" s="43"/>
      <c r="LH61" s="43"/>
      <c r="LI61" s="43"/>
      <c r="LJ61" s="43"/>
      <c r="LK61" s="43"/>
      <c r="LL61" s="43"/>
      <c r="LM61" s="43"/>
      <c r="LN61" s="43"/>
      <c r="LO61" s="43"/>
      <c r="LP61" s="43"/>
      <c r="LQ61" s="43"/>
      <c r="LR61" s="43"/>
      <c r="LS61" s="43"/>
      <c r="LT61" s="43"/>
      <c r="LU61" s="43"/>
      <c r="LV61" s="43"/>
      <c r="LW61" s="43"/>
      <c r="LX61" s="43"/>
      <c r="LY61" s="43"/>
      <c r="LZ61" s="43"/>
      <c r="MA61" s="43"/>
      <c r="MB61" s="43"/>
      <c r="MC61" s="43"/>
      <c r="MD61" s="43"/>
      <c r="ME61" s="43"/>
      <c r="MF61" s="43"/>
      <c r="MG61" s="43"/>
      <c r="MH61" s="43"/>
      <c r="MI61" s="43"/>
      <c r="MJ61" s="43"/>
      <c r="MK61" s="43"/>
      <c r="ML61" s="43"/>
      <c r="MM61" s="43"/>
      <c r="MN61" s="43"/>
      <c r="MO61" s="43"/>
      <c r="MP61" s="43"/>
      <c r="MQ61" s="43"/>
      <c r="MR61" s="43"/>
      <c r="MS61" s="43"/>
      <c r="MT61" s="43"/>
      <c r="MU61" s="43"/>
      <c r="MV61" s="43"/>
      <c r="MW61" s="43"/>
      <c r="MX61" s="43"/>
      <c r="MY61" s="43"/>
      <c r="MZ61" s="43"/>
      <c r="NA61" s="43"/>
      <c r="NB61" s="43"/>
      <c r="NC61" s="43"/>
      <c r="ND61" s="43"/>
      <c r="NE61" s="43"/>
      <c r="NF61" s="43"/>
      <c r="NG61" s="43"/>
      <c r="NH61" s="43"/>
      <c r="NI61" s="43"/>
      <c r="NJ61" s="43"/>
      <c r="NK61" s="43"/>
      <c r="NL61" s="43"/>
      <c r="NM61" s="43"/>
      <c r="NN61" s="43"/>
      <c r="NO61" s="43"/>
      <c r="NP61" s="43"/>
      <c r="NQ61" s="43"/>
      <c r="NR61" s="43"/>
      <c r="NS61" s="43"/>
      <c r="NT61" s="43"/>
      <c r="NU61" s="43"/>
      <c r="NV61" s="43"/>
      <c r="NW61" s="43"/>
      <c r="NX61" s="43"/>
      <c r="NY61" s="43"/>
      <c r="NZ61" s="43"/>
      <c r="OA61" s="43"/>
      <c r="OB61" s="43"/>
      <c r="OC61" s="43"/>
      <c r="OD61" s="43"/>
      <c r="OE61" s="43"/>
      <c r="OF61" s="43"/>
      <c r="OG61" s="43"/>
      <c r="OH61" s="43"/>
      <c r="OI61" s="43"/>
      <c r="OJ61" s="43"/>
      <c r="OK61" s="43"/>
      <c r="OL61" s="43"/>
      <c r="OM61" s="43"/>
      <c r="ON61" s="43"/>
      <c r="OO61" s="43"/>
      <c r="OP61" s="43"/>
      <c r="OQ61" s="43"/>
      <c r="OR61" s="43"/>
      <c r="OS61" s="43"/>
      <c r="OT61" s="43"/>
      <c r="OU61" s="43"/>
      <c r="OV61" s="43"/>
      <c r="OW61" s="43"/>
      <c r="OX61" s="43"/>
      <c r="OY61" s="43"/>
      <c r="OZ61" s="43"/>
      <c r="PA61" s="43"/>
      <c r="PB61" s="43"/>
      <c r="PC61" s="43"/>
      <c r="PD61" s="43"/>
      <c r="PE61" s="43"/>
      <c r="PF61" s="43"/>
      <c r="PG61" s="43"/>
      <c r="PH61" s="43"/>
      <c r="PI61" s="43"/>
      <c r="PJ61" s="43"/>
      <c r="PK61" s="43"/>
      <c r="PL61" s="43"/>
      <c r="PM61" s="43"/>
      <c r="PN61" s="43"/>
      <c r="PO61" s="43"/>
      <c r="PP61" s="43"/>
      <c r="PQ61" s="43"/>
      <c r="PR61" s="43"/>
      <c r="PS61" s="43"/>
      <c r="PT61" s="43"/>
      <c r="PU61" s="43"/>
      <c r="PV61" s="43"/>
      <c r="PW61" s="43"/>
      <c r="PX61" s="43"/>
      <c r="PY61" s="43"/>
      <c r="PZ61" s="43"/>
      <c r="QA61" s="43"/>
      <c r="QB61" s="43"/>
      <c r="QC61" s="43"/>
    </row>
    <row r="62" spans="2:445" x14ac:dyDescent="0.3"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6" t="str">
        <f t="shared" si="2"/>
        <v/>
      </c>
      <c r="U62" s="46" t="str">
        <f t="shared" si="3"/>
        <v/>
      </c>
      <c r="V62" s="72" t="str">
        <f t="shared" si="4"/>
        <v/>
      </c>
      <c r="X62" s="73" t="str">
        <f t="shared" si="6"/>
        <v/>
      </c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43"/>
      <c r="CY62" s="43"/>
      <c r="CZ62" s="43"/>
      <c r="DA62" s="43"/>
      <c r="DB62" s="43"/>
      <c r="DC62" s="43"/>
      <c r="DD62" s="43"/>
      <c r="DE62" s="43"/>
      <c r="DF62" s="43"/>
      <c r="DG62" s="43"/>
      <c r="DH62" s="43"/>
      <c r="DI62" s="43"/>
      <c r="DJ62" s="43"/>
      <c r="DK62" s="43"/>
      <c r="DL62" s="43"/>
      <c r="DM62" s="43"/>
      <c r="DN62" s="43"/>
      <c r="DO62" s="43"/>
      <c r="DP62" s="43"/>
      <c r="DQ62" s="43"/>
      <c r="DR62" s="43"/>
      <c r="DS62" s="43"/>
      <c r="DT62" s="43"/>
      <c r="DU62" s="43"/>
      <c r="DV62" s="43"/>
      <c r="DW62" s="43"/>
      <c r="DX62" s="43"/>
      <c r="DY62" s="43"/>
      <c r="DZ62" s="43"/>
      <c r="EA62" s="43"/>
      <c r="EB62" s="43"/>
      <c r="EC62" s="43"/>
      <c r="ED62" s="43"/>
      <c r="EE62" s="43"/>
      <c r="EF62" s="43"/>
      <c r="EG62" s="43"/>
      <c r="EH62" s="43"/>
      <c r="EI62" s="43"/>
      <c r="EJ62" s="43"/>
      <c r="EK62" s="43"/>
      <c r="EL62" s="43"/>
      <c r="EM62" s="43"/>
      <c r="EN62" s="43"/>
      <c r="EO62" s="43"/>
      <c r="EP62" s="43"/>
      <c r="EQ62" s="43"/>
      <c r="ER62" s="43"/>
      <c r="ES62" s="43"/>
      <c r="ET62" s="43"/>
      <c r="EU62" s="43"/>
      <c r="EV62" s="43"/>
      <c r="EW62" s="43"/>
      <c r="EX62" s="43"/>
      <c r="EY62" s="43"/>
      <c r="EZ62" s="43"/>
      <c r="FA62" s="43"/>
      <c r="FB62" s="43"/>
      <c r="FC62" s="43"/>
      <c r="FD62" s="43"/>
      <c r="FE62" s="43"/>
      <c r="FF62" s="43"/>
      <c r="FG62" s="43"/>
      <c r="FH62" s="43"/>
      <c r="FI62" s="43"/>
      <c r="FJ62" s="43"/>
      <c r="FK62" s="43"/>
      <c r="FL62" s="43"/>
      <c r="FM62" s="43"/>
      <c r="FN62" s="43"/>
      <c r="FO62" s="43"/>
      <c r="FP62" s="43"/>
      <c r="FQ62" s="43"/>
      <c r="FR62" s="43"/>
      <c r="FS62" s="43"/>
      <c r="FT62" s="43"/>
      <c r="FU62" s="43"/>
      <c r="FV62" s="43"/>
      <c r="FW62" s="43"/>
      <c r="FX62" s="43"/>
      <c r="FY62" s="43"/>
      <c r="FZ62" s="43"/>
      <c r="GA62" s="43"/>
      <c r="GB62" s="43"/>
      <c r="GC62" s="43"/>
      <c r="GD62" s="43"/>
      <c r="GE62" s="43"/>
      <c r="GF62" s="43"/>
      <c r="GG62" s="43"/>
      <c r="GH62" s="43"/>
      <c r="GI62" s="43"/>
      <c r="GJ62" s="43"/>
      <c r="GK62" s="43"/>
      <c r="GL62" s="43"/>
      <c r="GM62" s="43"/>
      <c r="GN62" s="43"/>
      <c r="GO62" s="43"/>
      <c r="GP62" s="43"/>
      <c r="GQ62" s="43"/>
      <c r="GR62" s="43"/>
      <c r="GS62" s="43"/>
      <c r="GT62" s="43"/>
      <c r="GU62" s="43"/>
      <c r="GV62" s="43"/>
      <c r="GW62" s="43"/>
      <c r="GX62" s="43"/>
      <c r="GY62" s="43"/>
      <c r="GZ62" s="43"/>
      <c r="HA62" s="43"/>
      <c r="HB62" s="43"/>
      <c r="HC62" s="43"/>
      <c r="HD62" s="43"/>
      <c r="HE62" s="43"/>
      <c r="HF62" s="43"/>
      <c r="HG62" s="43"/>
      <c r="HH62" s="43"/>
      <c r="HI62" s="43"/>
      <c r="HJ62" s="43"/>
      <c r="HK62" s="43"/>
      <c r="HL62" s="43"/>
      <c r="HM62" s="43"/>
      <c r="HN62" s="43"/>
      <c r="HO62" s="43"/>
      <c r="HP62" s="43"/>
      <c r="HQ62" s="43"/>
      <c r="HR62" s="43"/>
      <c r="HS62" s="43"/>
      <c r="HT62" s="43"/>
      <c r="HU62" s="43"/>
      <c r="HV62" s="43"/>
      <c r="HW62" s="43"/>
      <c r="HX62" s="43"/>
      <c r="HY62" s="43"/>
      <c r="HZ62" s="43"/>
      <c r="IA62" s="43"/>
      <c r="IB62" s="43"/>
      <c r="IC62" s="43"/>
      <c r="ID62" s="43"/>
      <c r="IE62" s="43"/>
      <c r="IF62" s="43"/>
      <c r="IG62" s="43"/>
      <c r="IH62" s="43"/>
      <c r="II62" s="43"/>
      <c r="IJ62" s="43"/>
      <c r="IK62" s="43"/>
      <c r="IL62" s="43"/>
      <c r="IM62" s="43"/>
      <c r="IN62" s="43"/>
      <c r="IO62" s="43"/>
      <c r="IP62" s="43"/>
      <c r="IQ62" s="43"/>
      <c r="IR62" s="43"/>
      <c r="IS62" s="43"/>
      <c r="IT62" s="43"/>
      <c r="IU62" s="43"/>
      <c r="IV62" s="43"/>
      <c r="IW62" s="43"/>
      <c r="IX62" s="43"/>
      <c r="IY62" s="43"/>
      <c r="IZ62" s="43"/>
      <c r="JA62" s="43"/>
      <c r="JB62" s="43"/>
      <c r="JC62" s="43"/>
      <c r="JD62" s="43"/>
      <c r="JE62" s="43"/>
      <c r="JF62" s="43"/>
      <c r="JG62" s="43"/>
      <c r="JH62" s="43"/>
      <c r="JI62" s="43"/>
      <c r="JJ62" s="43"/>
      <c r="JK62" s="43"/>
      <c r="JL62" s="43"/>
      <c r="JM62" s="43"/>
      <c r="JN62" s="43"/>
      <c r="JO62" s="43"/>
      <c r="JP62" s="43"/>
      <c r="JQ62" s="43"/>
      <c r="JR62" s="43"/>
      <c r="JS62" s="43"/>
      <c r="JT62" s="43"/>
      <c r="JU62" s="43"/>
      <c r="JV62" s="43"/>
      <c r="JW62" s="43"/>
      <c r="JX62" s="43"/>
      <c r="JY62" s="43"/>
      <c r="JZ62" s="43"/>
      <c r="KA62" s="43"/>
      <c r="KB62" s="43"/>
      <c r="KC62" s="43"/>
      <c r="KD62" s="43"/>
      <c r="KE62" s="43"/>
      <c r="KF62" s="43"/>
      <c r="KG62" s="43"/>
      <c r="KH62" s="43"/>
      <c r="KI62" s="43"/>
      <c r="KJ62" s="43"/>
      <c r="KK62" s="43"/>
      <c r="KL62" s="43"/>
      <c r="KM62" s="43"/>
      <c r="KN62" s="43"/>
      <c r="KO62" s="43"/>
      <c r="KP62" s="43"/>
      <c r="KQ62" s="43"/>
      <c r="KR62" s="43"/>
      <c r="KS62" s="43"/>
      <c r="KT62" s="43"/>
      <c r="KU62" s="43"/>
      <c r="KV62" s="43"/>
      <c r="KW62" s="43"/>
      <c r="KX62" s="43"/>
      <c r="KY62" s="43"/>
      <c r="KZ62" s="43"/>
      <c r="LA62" s="43"/>
      <c r="LB62" s="43"/>
      <c r="LC62" s="43"/>
      <c r="LD62" s="43"/>
      <c r="LE62" s="43"/>
      <c r="LF62" s="43"/>
      <c r="LG62" s="43"/>
      <c r="LH62" s="43"/>
      <c r="LI62" s="43"/>
      <c r="LJ62" s="43"/>
      <c r="LK62" s="43"/>
      <c r="LL62" s="43"/>
      <c r="LM62" s="43"/>
      <c r="LN62" s="43"/>
      <c r="LO62" s="43"/>
      <c r="LP62" s="43"/>
      <c r="LQ62" s="43"/>
      <c r="LR62" s="43"/>
      <c r="LS62" s="43"/>
      <c r="LT62" s="43"/>
      <c r="LU62" s="43"/>
      <c r="LV62" s="43"/>
      <c r="LW62" s="43"/>
      <c r="LX62" s="43"/>
      <c r="LY62" s="43"/>
      <c r="LZ62" s="43"/>
      <c r="MA62" s="43"/>
      <c r="MB62" s="43"/>
      <c r="MC62" s="43"/>
      <c r="MD62" s="43"/>
      <c r="ME62" s="43"/>
      <c r="MF62" s="43"/>
      <c r="MG62" s="43"/>
      <c r="MH62" s="43"/>
      <c r="MI62" s="43"/>
      <c r="MJ62" s="43"/>
      <c r="MK62" s="43"/>
      <c r="ML62" s="43"/>
      <c r="MM62" s="43"/>
      <c r="MN62" s="43"/>
      <c r="MO62" s="43"/>
      <c r="MP62" s="43"/>
      <c r="MQ62" s="43"/>
      <c r="MR62" s="43"/>
      <c r="MS62" s="43"/>
      <c r="MT62" s="43"/>
      <c r="MU62" s="43"/>
      <c r="MV62" s="43"/>
      <c r="MW62" s="43"/>
      <c r="MX62" s="43"/>
      <c r="MY62" s="43"/>
      <c r="MZ62" s="43"/>
      <c r="NA62" s="43"/>
      <c r="NB62" s="43"/>
      <c r="NC62" s="43"/>
      <c r="ND62" s="43"/>
      <c r="NE62" s="43"/>
      <c r="NF62" s="43"/>
      <c r="NG62" s="43"/>
      <c r="NH62" s="43"/>
      <c r="NI62" s="43"/>
      <c r="NJ62" s="43"/>
      <c r="NK62" s="43"/>
      <c r="NL62" s="43"/>
      <c r="NM62" s="43"/>
      <c r="NN62" s="43"/>
      <c r="NO62" s="43"/>
      <c r="NP62" s="43"/>
      <c r="NQ62" s="43"/>
      <c r="NR62" s="43"/>
      <c r="NS62" s="43"/>
      <c r="NT62" s="43"/>
      <c r="NU62" s="43"/>
      <c r="NV62" s="43"/>
      <c r="NW62" s="43"/>
      <c r="NX62" s="43"/>
      <c r="NY62" s="43"/>
      <c r="NZ62" s="43"/>
      <c r="OA62" s="43"/>
      <c r="OB62" s="43"/>
      <c r="OC62" s="43"/>
      <c r="OD62" s="43"/>
      <c r="OE62" s="43"/>
      <c r="OF62" s="43"/>
      <c r="OG62" s="43"/>
      <c r="OH62" s="43"/>
      <c r="OI62" s="43"/>
      <c r="OJ62" s="43"/>
      <c r="OK62" s="43"/>
      <c r="OL62" s="43"/>
      <c r="OM62" s="43"/>
      <c r="ON62" s="43"/>
      <c r="OO62" s="43"/>
      <c r="OP62" s="43"/>
      <c r="OQ62" s="43"/>
      <c r="OR62" s="43"/>
      <c r="OS62" s="43"/>
      <c r="OT62" s="43"/>
      <c r="OU62" s="43"/>
      <c r="OV62" s="43"/>
      <c r="OW62" s="43"/>
      <c r="OX62" s="43"/>
      <c r="OY62" s="43"/>
      <c r="OZ62" s="43"/>
      <c r="PA62" s="43"/>
      <c r="PB62" s="43"/>
      <c r="PC62" s="43"/>
      <c r="PD62" s="43"/>
      <c r="PE62" s="43"/>
      <c r="PF62" s="43"/>
      <c r="PG62" s="43"/>
      <c r="PH62" s="43"/>
      <c r="PI62" s="43"/>
      <c r="PJ62" s="43"/>
      <c r="PK62" s="43"/>
      <c r="PL62" s="43"/>
      <c r="PM62" s="43"/>
      <c r="PN62" s="43"/>
      <c r="PO62" s="43"/>
      <c r="PP62" s="43"/>
      <c r="PQ62" s="43"/>
      <c r="PR62" s="43"/>
      <c r="PS62" s="43"/>
      <c r="PT62" s="43"/>
      <c r="PU62" s="43"/>
      <c r="PV62" s="43"/>
      <c r="PW62" s="43"/>
      <c r="PX62" s="43"/>
      <c r="PY62" s="43"/>
      <c r="PZ62" s="43"/>
      <c r="QA62" s="43"/>
      <c r="QB62" s="43"/>
      <c r="QC62" s="43"/>
    </row>
    <row r="63" spans="2:445" x14ac:dyDescent="0.3"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6" t="str">
        <f t="shared" si="2"/>
        <v/>
      </c>
      <c r="U63" s="46" t="str">
        <f t="shared" si="3"/>
        <v/>
      </c>
      <c r="V63" s="72" t="str">
        <f t="shared" si="4"/>
        <v/>
      </c>
      <c r="W63" s="48"/>
      <c r="X63" s="73" t="str">
        <f t="shared" si="6"/>
        <v/>
      </c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43"/>
      <c r="CY63" s="43"/>
      <c r="CZ63" s="43"/>
      <c r="DA63" s="43"/>
      <c r="DB63" s="43"/>
      <c r="DC63" s="43"/>
      <c r="DD63" s="43"/>
      <c r="DE63" s="43"/>
      <c r="DF63" s="43"/>
      <c r="DG63" s="43"/>
      <c r="DH63" s="43"/>
      <c r="DI63" s="43"/>
      <c r="DJ63" s="43"/>
      <c r="DK63" s="43"/>
      <c r="DL63" s="43"/>
      <c r="DM63" s="43"/>
      <c r="DN63" s="43"/>
      <c r="DO63" s="43"/>
      <c r="DP63" s="43"/>
      <c r="DQ63" s="43"/>
      <c r="DR63" s="43"/>
      <c r="DS63" s="43"/>
      <c r="DT63" s="43"/>
      <c r="DU63" s="43"/>
      <c r="DV63" s="43"/>
      <c r="DW63" s="43"/>
      <c r="DX63" s="43"/>
      <c r="DY63" s="43"/>
      <c r="DZ63" s="43"/>
      <c r="EA63" s="43"/>
      <c r="EB63" s="43"/>
      <c r="EC63" s="43"/>
      <c r="ED63" s="43"/>
      <c r="EE63" s="43"/>
      <c r="EF63" s="43"/>
      <c r="EG63" s="43"/>
      <c r="EH63" s="43"/>
      <c r="EI63" s="43"/>
      <c r="EJ63" s="43"/>
      <c r="EK63" s="43"/>
      <c r="EL63" s="43"/>
      <c r="EM63" s="43"/>
      <c r="EN63" s="43"/>
      <c r="EO63" s="43"/>
      <c r="EP63" s="43"/>
      <c r="EQ63" s="43"/>
      <c r="ER63" s="43"/>
      <c r="ES63" s="43"/>
      <c r="ET63" s="43"/>
      <c r="EU63" s="43"/>
      <c r="EV63" s="43"/>
      <c r="EW63" s="43"/>
      <c r="EX63" s="43"/>
      <c r="EY63" s="43"/>
      <c r="EZ63" s="43"/>
      <c r="FA63" s="43"/>
      <c r="FB63" s="43"/>
      <c r="FC63" s="43"/>
      <c r="FD63" s="43"/>
      <c r="FE63" s="43"/>
      <c r="FF63" s="43"/>
      <c r="FG63" s="43"/>
      <c r="FH63" s="43"/>
      <c r="FI63" s="43"/>
      <c r="FJ63" s="43"/>
      <c r="FK63" s="43"/>
      <c r="FL63" s="43"/>
      <c r="FM63" s="43"/>
      <c r="FN63" s="43"/>
      <c r="FO63" s="43"/>
      <c r="FP63" s="43"/>
      <c r="FQ63" s="43"/>
      <c r="FR63" s="43"/>
      <c r="FS63" s="43"/>
      <c r="FT63" s="43"/>
      <c r="FU63" s="43"/>
      <c r="FV63" s="43"/>
      <c r="FW63" s="43"/>
      <c r="FX63" s="43"/>
      <c r="FY63" s="43"/>
      <c r="FZ63" s="43"/>
      <c r="GA63" s="43"/>
      <c r="GB63" s="43"/>
      <c r="GC63" s="43"/>
      <c r="GD63" s="43"/>
      <c r="GE63" s="43"/>
      <c r="GF63" s="43"/>
      <c r="GG63" s="43"/>
      <c r="GH63" s="43"/>
      <c r="GI63" s="43"/>
      <c r="GJ63" s="43"/>
      <c r="GK63" s="43"/>
      <c r="GL63" s="43"/>
      <c r="GM63" s="43"/>
      <c r="GN63" s="43"/>
      <c r="GO63" s="43"/>
      <c r="GP63" s="43"/>
      <c r="GQ63" s="43"/>
      <c r="GR63" s="43"/>
      <c r="GS63" s="43"/>
      <c r="GT63" s="43"/>
      <c r="GU63" s="43"/>
      <c r="GV63" s="43"/>
      <c r="GW63" s="43"/>
      <c r="GX63" s="43"/>
      <c r="GY63" s="43"/>
      <c r="GZ63" s="43"/>
      <c r="HA63" s="43"/>
      <c r="HB63" s="43"/>
      <c r="HC63" s="43"/>
      <c r="HD63" s="43"/>
      <c r="HE63" s="43"/>
      <c r="HF63" s="43"/>
      <c r="HG63" s="43"/>
      <c r="HH63" s="43"/>
      <c r="HI63" s="43"/>
      <c r="HJ63" s="43"/>
      <c r="HK63" s="43"/>
      <c r="HL63" s="43"/>
      <c r="HM63" s="43"/>
      <c r="HN63" s="43"/>
      <c r="HO63" s="43"/>
      <c r="HP63" s="43"/>
      <c r="HQ63" s="43"/>
      <c r="HR63" s="43"/>
      <c r="HS63" s="43"/>
      <c r="HT63" s="43"/>
      <c r="HU63" s="43"/>
      <c r="HV63" s="43"/>
      <c r="HW63" s="43"/>
      <c r="HX63" s="43"/>
      <c r="HY63" s="43"/>
      <c r="HZ63" s="43"/>
      <c r="IA63" s="43"/>
      <c r="IB63" s="43"/>
      <c r="IC63" s="43"/>
      <c r="ID63" s="43"/>
      <c r="IE63" s="43"/>
      <c r="IF63" s="43"/>
      <c r="IG63" s="43"/>
      <c r="IH63" s="43"/>
      <c r="II63" s="43"/>
      <c r="IJ63" s="43"/>
      <c r="IK63" s="43"/>
      <c r="IL63" s="43"/>
      <c r="IM63" s="43"/>
      <c r="IN63" s="43"/>
      <c r="IO63" s="43"/>
      <c r="IP63" s="43"/>
      <c r="IQ63" s="43"/>
      <c r="IR63" s="43"/>
      <c r="IS63" s="43"/>
      <c r="IT63" s="43"/>
      <c r="IU63" s="43"/>
      <c r="IV63" s="43"/>
      <c r="IW63" s="43"/>
      <c r="IX63" s="43"/>
      <c r="IY63" s="43"/>
      <c r="IZ63" s="43"/>
      <c r="JA63" s="43"/>
      <c r="JB63" s="43"/>
      <c r="JC63" s="43"/>
      <c r="JD63" s="43"/>
      <c r="JE63" s="43"/>
      <c r="JF63" s="43"/>
      <c r="JG63" s="43"/>
      <c r="JH63" s="43"/>
      <c r="JI63" s="43"/>
      <c r="JJ63" s="43"/>
      <c r="JK63" s="43"/>
      <c r="JL63" s="43"/>
      <c r="JM63" s="43"/>
      <c r="JN63" s="43"/>
      <c r="JO63" s="43"/>
      <c r="JP63" s="43"/>
      <c r="JQ63" s="43"/>
      <c r="JR63" s="43"/>
      <c r="JS63" s="43"/>
      <c r="JT63" s="43"/>
      <c r="JU63" s="43"/>
      <c r="JV63" s="43"/>
      <c r="JW63" s="43"/>
      <c r="JX63" s="43"/>
      <c r="JY63" s="43"/>
      <c r="JZ63" s="43"/>
      <c r="KA63" s="43"/>
      <c r="KB63" s="43"/>
      <c r="KC63" s="43"/>
      <c r="KD63" s="43"/>
      <c r="KE63" s="43"/>
      <c r="KF63" s="43"/>
      <c r="KG63" s="43"/>
      <c r="KH63" s="43"/>
      <c r="KI63" s="43"/>
      <c r="KJ63" s="43"/>
      <c r="KK63" s="43"/>
      <c r="KL63" s="43"/>
      <c r="KM63" s="43"/>
      <c r="KN63" s="43"/>
      <c r="KO63" s="43"/>
      <c r="KP63" s="43"/>
      <c r="KQ63" s="43"/>
      <c r="KR63" s="43"/>
      <c r="KS63" s="43"/>
      <c r="KT63" s="43"/>
      <c r="KU63" s="43"/>
      <c r="KV63" s="43"/>
      <c r="KW63" s="43"/>
      <c r="KX63" s="43"/>
      <c r="KY63" s="43"/>
      <c r="KZ63" s="43"/>
      <c r="LA63" s="43"/>
      <c r="LB63" s="43"/>
      <c r="LC63" s="43"/>
      <c r="LD63" s="43"/>
      <c r="LE63" s="43"/>
      <c r="LF63" s="43"/>
      <c r="LG63" s="43"/>
      <c r="LH63" s="43"/>
      <c r="LI63" s="43"/>
      <c r="LJ63" s="43"/>
      <c r="LK63" s="43"/>
      <c r="LL63" s="43"/>
      <c r="LM63" s="43"/>
      <c r="LN63" s="43"/>
      <c r="LO63" s="43"/>
      <c r="LP63" s="43"/>
      <c r="LQ63" s="43"/>
      <c r="LR63" s="43"/>
      <c r="LS63" s="43"/>
      <c r="LT63" s="43"/>
      <c r="LU63" s="43"/>
      <c r="LV63" s="43"/>
      <c r="LW63" s="43"/>
      <c r="LX63" s="43"/>
      <c r="LY63" s="43"/>
      <c r="LZ63" s="43"/>
      <c r="MA63" s="43"/>
      <c r="MB63" s="43"/>
      <c r="MC63" s="43"/>
      <c r="MD63" s="43"/>
      <c r="ME63" s="43"/>
      <c r="MF63" s="43"/>
      <c r="MG63" s="43"/>
      <c r="MH63" s="43"/>
      <c r="MI63" s="43"/>
      <c r="MJ63" s="43"/>
      <c r="MK63" s="43"/>
      <c r="ML63" s="43"/>
      <c r="MM63" s="43"/>
      <c r="MN63" s="43"/>
      <c r="MO63" s="43"/>
      <c r="MP63" s="43"/>
      <c r="MQ63" s="43"/>
      <c r="MR63" s="43"/>
      <c r="MS63" s="43"/>
      <c r="MT63" s="43"/>
      <c r="MU63" s="43"/>
      <c r="MV63" s="43"/>
      <c r="MW63" s="43"/>
      <c r="MX63" s="43"/>
      <c r="MY63" s="43"/>
      <c r="MZ63" s="43"/>
      <c r="NA63" s="43"/>
      <c r="NB63" s="43"/>
      <c r="NC63" s="43"/>
      <c r="ND63" s="43"/>
      <c r="NE63" s="43"/>
      <c r="NF63" s="43"/>
      <c r="NG63" s="43"/>
      <c r="NH63" s="43"/>
      <c r="NI63" s="43"/>
      <c r="NJ63" s="43"/>
      <c r="NK63" s="43"/>
      <c r="NL63" s="43"/>
      <c r="NM63" s="43"/>
      <c r="NN63" s="43"/>
      <c r="NO63" s="43"/>
      <c r="NP63" s="43"/>
      <c r="NQ63" s="43"/>
      <c r="NR63" s="43"/>
      <c r="NS63" s="43"/>
      <c r="NT63" s="43"/>
      <c r="NU63" s="43"/>
      <c r="NV63" s="43"/>
      <c r="NW63" s="43"/>
      <c r="NX63" s="43"/>
      <c r="NY63" s="43"/>
      <c r="NZ63" s="43"/>
      <c r="OA63" s="43"/>
      <c r="OB63" s="43"/>
      <c r="OC63" s="43"/>
      <c r="OD63" s="43"/>
      <c r="OE63" s="43"/>
      <c r="OF63" s="43"/>
      <c r="OG63" s="43"/>
      <c r="OH63" s="43"/>
      <c r="OI63" s="43"/>
      <c r="OJ63" s="43"/>
      <c r="OK63" s="43"/>
      <c r="OL63" s="43"/>
      <c r="OM63" s="43"/>
      <c r="ON63" s="43"/>
      <c r="OO63" s="43"/>
      <c r="OP63" s="43"/>
      <c r="OQ63" s="43"/>
      <c r="OR63" s="43"/>
      <c r="OS63" s="43"/>
      <c r="OT63" s="43"/>
      <c r="OU63" s="43"/>
      <c r="OV63" s="43"/>
      <c r="OW63" s="43"/>
      <c r="OX63" s="43"/>
      <c r="OY63" s="43"/>
      <c r="OZ63" s="43"/>
      <c r="PA63" s="43"/>
      <c r="PB63" s="43"/>
      <c r="PC63" s="43"/>
      <c r="PD63" s="43"/>
      <c r="PE63" s="43"/>
      <c r="PF63" s="43"/>
      <c r="PG63" s="43"/>
      <c r="PH63" s="43"/>
      <c r="PI63" s="43"/>
      <c r="PJ63" s="43"/>
      <c r="PK63" s="43"/>
      <c r="PL63" s="43"/>
      <c r="PM63" s="43"/>
      <c r="PN63" s="43"/>
      <c r="PO63" s="43"/>
      <c r="PP63" s="43"/>
      <c r="PQ63" s="43"/>
      <c r="PR63" s="43"/>
      <c r="PS63" s="43"/>
      <c r="PT63" s="43"/>
      <c r="PU63" s="43"/>
      <c r="PV63" s="43"/>
      <c r="PW63" s="43"/>
      <c r="PX63" s="43"/>
      <c r="PY63" s="43"/>
      <c r="PZ63" s="43"/>
      <c r="QA63" s="43"/>
      <c r="QB63" s="43"/>
      <c r="QC63" s="43"/>
    </row>
    <row r="64" spans="2:445" ht="18" customHeight="1" x14ac:dyDescent="0.3"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6" t="str">
        <f t="shared" si="2"/>
        <v/>
      </c>
      <c r="U64" s="46" t="str">
        <f t="shared" si="3"/>
        <v/>
      </c>
      <c r="V64" s="72" t="str">
        <f t="shared" si="4"/>
        <v/>
      </c>
      <c r="W64" s="48"/>
      <c r="X64" s="73" t="str">
        <f t="shared" si="6"/>
        <v/>
      </c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43"/>
      <c r="CY64" s="43"/>
      <c r="CZ64" s="43"/>
      <c r="DA64" s="43"/>
      <c r="DB64" s="43"/>
      <c r="DC64" s="43"/>
      <c r="DD64" s="43"/>
      <c r="DE64" s="43"/>
      <c r="DF64" s="43"/>
      <c r="DG64" s="43"/>
      <c r="DH64" s="43"/>
      <c r="DI64" s="43"/>
      <c r="DJ64" s="43"/>
      <c r="DK64" s="43"/>
      <c r="DL64" s="43"/>
      <c r="DM64" s="43"/>
      <c r="DN64" s="43"/>
      <c r="DO64" s="43"/>
      <c r="DP64" s="43"/>
      <c r="DQ64" s="43"/>
      <c r="DR64" s="43"/>
      <c r="DS64" s="43"/>
      <c r="DT64" s="43"/>
      <c r="DU64" s="43"/>
      <c r="DV64" s="43"/>
      <c r="DW64" s="43"/>
      <c r="DX64" s="43"/>
      <c r="DY64" s="43"/>
      <c r="DZ64" s="43"/>
      <c r="EA64" s="43"/>
      <c r="EB64" s="43"/>
      <c r="EC64" s="43"/>
      <c r="ED64" s="43"/>
      <c r="EE64" s="43"/>
      <c r="EF64" s="43"/>
      <c r="EG64" s="43"/>
      <c r="EH64" s="43"/>
      <c r="EI64" s="43"/>
      <c r="EJ64" s="43"/>
      <c r="EK64" s="43"/>
      <c r="EL64" s="43"/>
      <c r="EM64" s="43"/>
      <c r="EN64" s="43"/>
      <c r="EO64" s="43"/>
      <c r="EP64" s="43"/>
      <c r="EQ64" s="43"/>
      <c r="ER64" s="43"/>
      <c r="ES64" s="43"/>
      <c r="ET64" s="43"/>
      <c r="EU64" s="43"/>
      <c r="EV64" s="43"/>
      <c r="EW64" s="43"/>
      <c r="EX64" s="43"/>
      <c r="EY64" s="43"/>
      <c r="EZ64" s="43"/>
      <c r="FA64" s="43"/>
      <c r="FB64" s="43"/>
      <c r="FC64" s="43"/>
      <c r="FD64" s="43"/>
      <c r="FE64" s="43"/>
      <c r="FF64" s="43"/>
      <c r="FG64" s="43"/>
      <c r="FH64" s="43"/>
      <c r="FI64" s="43"/>
      <c r="FJ64" s="43"/>
      <c r="FK64" s="43"/>
      <c r="FL64" s="43"/>
      <c r="FM64" s="43"/>
      <c r="FN64" s="43"/>
      <c r="FO64" s="43"/>
      <c r="FP64" s="43"/>
      <c r="FQ64" s="43"/>
      <c r="FR64" s="43"/>
      <c r="FS64" s="43"/>
      <c r="FT64" s="43"/>
      <c r="FU64" s="43"/>
      <c r="FV64" s="43"/>
      <c r="FW64" s="43"/>
      <c r="FX64" s="43"/>
      <c r="FY64" s="43"/>
      <c r="FZ64" s="43"/>
      <c r="GA64" s="43"/>
      <c r="GB64" s="43"/>
      <c r="GC64" s="43"/>
      <c r="GD64" s="43"/>
      <c r="GE64" s="43"/>
      <c r="GF64" s="43"/>
      <c r="GG64" s="43"/>
      <c r="GH64" s="43"/>
      <c r="GI64" s="43"/>
      <c r="GJ64" s="43"/>
      <c r="GK64" s="43"/>
      <c r="GL64" s="43"/>
      <c r="GM64" s="43"/>
      <c r="GN64" s="43"/>
      <c r="GO64" s="43"/>
      <c r="GP64" s="43"/>
      <c r="GQ64" s="43"/>
      <c r="GR64" s="43"/>
      <c r="GS64" s="43"/>
      <c r="GT64" s="43"/>
      <c r="GU64" s="43"/>
      <c r="GV64" s="43"/>
      <c r="GW64" s="43"/>
      <c r="GX64" s="43"/>
      <c r="GY64" s="43"/>
      <c r="GZ64" s="43"/>
      <c r="HA64" s="43"/>
      <c r="HB64" s="43"/>
      <c r="HC64" s="43"/>
      <c r="HD64" s="43"/>
      <c r="HE64" s="43"/>
      <c r="HF64" s="43"/>
      <c r="HG64" s="43"/>
      <c r="HH64" s="43"/>
      <c r="HI64" s="43"/>
      <c r="HJ64" s="43"/>
      <c r="HK64" s="43"/>
      <c r="HL64" s="43"/>
      <c r="HM64" s="43"/>
      <c r="HN64" s="43"/>
      <c r="HO64" s="43"/>
      <c r="HP64" s="43"/>
      <c r="HQ64" s="43"/>
      <c r="HR64" s="43"/>
      <c r="HS64" s="43"/>
      <c r="HT64" s="43"/>
      <c r="HU64" s="43"/>
      <c r="HV64" s="43"/>
      <c r="HW64" s="43"/>
      <c r="HX64" s="43"/>
      <c r="HY64" s="43"/>
      <c r="HZ64" s="43"/>
      <c r="IA64" s="43"/>
      <c r="IB64" s="43"/>
      <c r="IC64" s="43"/>
      <c r="ID64" s="43"/>
      <c r="IE64" s="43"/>
      <c r="IF64" s="43"/>
      <c r="IG64" s="43"/>
      <c r="IH64" s="43"/>
      <c r="II64" s="43"/>
      <c r="IJ64" s="43"/>
      <c r="IK64" s="43"/>
      <c r="IL64" s="43"/>
      <c r="IM64" s="43"/>
      <c r="IN64" s="43"/>
      <c r="IO64" s="43"/>
      <c r="IP64" s="43"/>
      <c r="IQ64" s="43"/>
      <c r="IR64" s="43"/>
      <c r="IS64" s="43"/>
      <c r="IT64" s="43"/>
      <c r="IU64" s="43"/>
      <c r="IV64" s="43"/>
      <c r="IW64" s="43"/>
      <c r="IX64" s="43"/>
      <c r="IY64" s="43"/>
      <c r="IZ64" s="43"/>
      <c r="JA64" s="43"/>
      <c r="JB64" s="43"/>
      <c r="JC64" s="43"/>
      <c r="JD64" s="43"/>
      <c r="JE64" s="43"/>
      <c r="JF64" s="43"/>
      <c r="JG64" s="43"/>
      <c r="JH64" s="43"/>
      <c r="JI64" s="43"/>
      <c r="JJ64" s="43"/>
      <c r="JK64" s="43"/>
      <c r="JL64" s="43"/>
      <c r="JM64" s="43"/>
      <c r="JN64" s="43"/>
      <c r="JO64" s="43"/>
      <c r="JP64" s="43"/>
      <c r="JQ64" s="43"/>
      <c r="JR64" s="43"/>
      <c r="JS64" s="43"/>
      <c r="JT64" s="43"/>
      <c r="JU64" s="43"/>
      <c r="JV64" s="43"/>
      <c r="JW64" s="43"/>
      <c r="JX64" s="43"/>
      <c r="JY64" s="43"/>
      <c r="JZ64" s="43"/>
      <c r="KA64" s="43"/>
      <c r="KB64" s="43"/>
      <c r="KC64" s="43"/>
      <c r="KD64" s="43"/>
      <c r="KE64" s="43"/>
      <c r="KF64" s="43"/>
      <c r="KG64" s="43"/>
      <c r="KH64" s="43"/>
      <c r="KI64" s="43"/>
      <c r="KJ64" s="43"/>
      <c r="KK64" s="43"/>
      <c r="KL64" s="43"/>
      <c r="KM64" s="43"/>
      <c r="KN64" s="43"/>
      <c r="KO64" s="43"/>
      <c r="KP64" s="43"/>
      <c r="KQ64" s="43"/>
      <c r="KR64" s="43"/>
      <c r="KS64" s="43"/>
      <c r="KT64" s="43"/>
      <c r="KU64" s="43"/>
      <c r="KV64" s="43"/>
      <c r="KW64" s="43"/>
      <c r="KX64" s="43"/>
      <c r="KY64" s="43"/>
      <c r="KZ64" s="43"/>
      <c r="LA64" s="43"/>
      <c r="LB64" s="43"/>
      <c r="LC64" s="43"/>
      <c r="LD64" s="43"/>
      <c r="LE64" s="43"/>
      <c r="LF64" s="43"/>
      <c r="LG64" s="43"/>
      <c r="LH64" s="43"/>
      <c r="LI64" s="43"/>
      <c r="LJ64" s="43"/>
      <c r="LK64" s="43"/>
      <c r="LL64" s="43"/>
      <c r="LM64" s="43"/>
      <c r="LN64" s="43"/>
      <c r="LO64" s="43"/>
      <c r="LP64" s="43"/>
      <c r="LQ64" s="43"/>
      <c r="LR64" s="43"/>
      <c r="LS64" s="43"/>
      <c r="LT64" s="43"/>
      <c r="LU64" s="43"/>
      <c r="LV64" s="43"/>
      <c r="LW64" s="43"/>
      <c r="LX64" s="43"/>
      <c r="LY64" s="43"/>
      <c r="LZ64" s="43"/>
      <c r="MA64" s="43"/>
      <c r="MB64" s="43"/>
      <c r="MC64" s="43"/>
      <c r="MD64" s="43"/>
      <c r="ME64" s="43"/>
      <c r="MF64" s="43"/>
      <c r="MG64" s="43"/>
      <c r="MH64" s="43"/>
      <c r="MI64" s="43"/>
      <c r="MJ64" s="43"/>
      <c r="MK64" s="43"/>
      <c r="ML64" s="43"/>
      <c r="MM64" s="43"/>
      <c r="MN64" s="43"/>
      <c r="MO64" s="43"/>
      <c r="MP64" s="43"/>
      <c r="MQ64" s="43"/>
      <c r="MR64" s="43"/>
      <c r="MS64" s="43"/>
      <c r="MT64" s="43"/>
      <c r="MU64" s="43"/>
      <c r="MV64" s="43"/>
      <c r="MW64" s="43"/>
      <c r="MX64" s="43"/>
      <c r="MY64" s="43"/>
      <c r="MZ64" s="43"/>
      <c r="NA64" s="43"/>
      <c r="NB64" s="43"/>
      <c r="NC64" s="43"/>
      <c r="ND64" s="43"/>
      <c r="NE64" s="43"/>
      <c r="NF64" s="43"/>
      <c r="NG64" s="43"/>
      <c r="NH64" s="43"/>
      <c r="NI64" s="43"/>
      <c r="NJ64" s="43"/>
      <c r="NK64" s="43"/>
      <c r="NL64" s="43"/>
      <c r="NM64" s="43"/>
      <c r="NN64" s="43"/>
      <c r="NO64" s="43"/>
      <c r="NP64" s="43"/>
      <c r="NQ64" s="43"/>
      <c r="NR64" s="43"/>
      <c r="NS64" s="43"/>
      <c r="NT64" s="43"/>
      <c r="NU64" s="43"/>
      <c r="NV64" s="43"/>
      <c r="NW64" s="43"/>
      <c r="NX64" s="43"/>
      <c r="NY64" s="43"/>
      <c r="NZ64" s="43"/>
      <c r="OA64" s="43"/>
      <c r="OB64" s="43"/>
      <c r="OC64" s="43"/>
      <c r="OD64" s="43"/>
      <c r="OE64" s="43"/>
      <c r="OF64" s="43"/>
      <c r="OG64" s="43"/>
      <c r="OH64" s="43"/>
      <c r="OI64" s="43"/>
      <c r="OJ64" s="43"/>
      <c r="OK64" s="43"/>
      <c r="OL64" s="43"/>
      <c r="OM64" s="43"/>
      <c r="ON64" s="43"/>
      <c r="OO64" s="43"/>
      <c r="OP64" s="43"/>
      <c r="OQ64" s="43"/>
      <c r="OR64" s="43"/>
      <c r="OS64" s="43"/>
      <c r="OT64" s="43"/>
      <c r="OU64" s="43"/>
      <c r="OV64" s="43"/>
      <c r="OW64" s="43"/>
      <c r="OX64" s="43"/>
      <c r="OY64" s="43"/>
      <c r="OZ64" s="43"/>
      <c r="PA64" s="43"/>
      <c r="PB64" s="43"/>
      <c r="PC64" s="43"/>
      <c r="PD64" s="43"/>
      <c r="PE64" s="43"/>
      <c r="PF64" s="43"/>
      <c r="PG64" s="43"/>
      <c r="PH64" s="43"/>
      <c r="PI64" s="43"/>
      <c r="PJ64" s="43"/>
      <c r="PK64" s="43"/>
      <c r="PL64" s="43"/>
      <c r="PM64" s="43"/>
      <c r="PN64" s="43"/>
      <c r="PO64" s="43"/>
      <c r="PP64" s="43"/>
      <c r="PQ64" s="43"/>
      <c r="PR64" s="43"/>
      <c r="PS64" s="43"/>
      <c r="PT64" s="43"/>
      <c r="PU64" s="43"/>
      <c r="PV64" s="43"/>
      <c r="PW64" s="43"/>
      <c r="PX64" s="43"/>
      <c r="PY64" s="43"/>
      <c r="PZ64" s="43"/>
      <c r="QA64" s="43"/>
      <c r="QB64" s="43"/>
      <c r="QC64" s="43"/>
    </row>
    <row r="65" spans="1:445" x14ac:dyDescent="0.3"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6" t="str">
        <f t="shared" si="2"/>
        <v/>
      </c>
      <c r="U65" s="46" t="str">
        <f t="shared" si="3"/>
        <v/>
      </c>
      <c r="V65" s="72" t="str">
        <f t="shared" si="4"/>
        <v/>
      </c>
      <c r="X65" s="73" t="str">
        <f t="shared" si="6"/>
        <v/>
      </c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43"/>
      <c r="CY65" s="43"/>
      <c r="CZ65" s="43"/>
      <c r="DA65" s="43"/>
      <c r="DB65" s="43"/>
      <c r="DC65" s="43"/>
      <c r="DD65" s="43"/>
      <c r="DE65" s="43"/>
      <c r="DF65" s="43"/>
      <c r="DG65" s="43"/>
      <c r="DH65" s="43"/>
      <c r="DI65" s="43"/>
      <c r="DJ65" s="43"/>
      <c r="DK65" s="43"/>
      <c r="DL65" s="43"/>
      <c r="DM65" s="43"/>
      <c r="DN65" s="43"/>
      <c r="DO65" s="43"/>
      <c r="DP65" s="43"/>
      <c r="DQ65" s="43"/>
      <c r="DR65" s="43"/>
      <c r="DS65" s="43"/>
      <c r="DT65" s="43"/>
      <c r="DU65" s="43"/>
      <c r="DV65" s="43"/>
      <c r="DW65" s="43"/>
      <c r="DX65" s="43"/>
      <c r="DY65" s="43"/>
      <c r="DZ65" s="43"/>
      <c r="EA65" s="43"/>
      <c r="EB65" s="43"/>
      <c r="EC65" s="43"/>
      <c r="ED65" s="43"/>
      <c r="EE65" s="43"/>
      <c r="EF65" s="43"/>
      <c r="EG65" s="43"/>
      <c r="EH65" s="43"/>
      <c r="EI65" s="43"/>
      <c r="EJ65" s="43"/>
      <c r="EK65" s="43"/>
      <c r="EL65" s="43"/>
      <c r="EM65" s="43"/>
      <c r="EN65" s="43"/>
      <c r="EO65" s="43"/>
      <c r="EP65" s="43"/>
      <c r="EQ65" s="43"/>
      <c r="ER65" s="43"/>
      <c r="ES65" s="43"/>
      <c r="ET65" s="43"/>
      <c r="EU65" s="43"/>
      <c r="EV65" s="43"/>
      <c r="EW65" s="43"/>
      <c r="EX65" s="43"/>
      <c r="EY65" s="43"/>
      <c r="EZ65" s="43"/>
      <c r="FA65" s="43"/>
      <c r="FB65" s="43"/>
      <c r="FC65" s="43"/>
      <c r="FD65" s="43"/>
      <c r="FE65" s="43"/>
      <c r="FF65" s="43"/>
      <c r="FG65" s="43"/>
      <c r="FH65" s="43"/>
      <c r="FI65" s="43"/>
      <c r="FJ65" s="43"/>
      <c r="FK65" s="43"/>
      <c r="FL65" s="43"/>
      <c r="FM65" s="43"/>
      <c r="FN65" s="43"/>
      <c r="FO65" s="43"/>
      <c r="FP65" s="43"/>
      <c r="FQ65" s="43"/>
      <c r="FR65" s="43"/>
      <c r="FS65" s="43"/>
      <c r="FT65" s="43"/>
      <c r="FU65" s="43"/>
      <c r="FV65" s="43"/>
      <c r="FW65" s="43"/>
      <c r="FX65" s="43"/>
      <c r="FY65" s="43"/>
      <c r="FZ65" s="43"/>
      <c r="GA65" s="43"/>
      <c r="GB65" s="43"/>
      <c r="GC65" s="43"/>
      <c r="GD65" s="43"/>
      <c r="GE65" s="43"/>
      <c r="GF65" s="43"/>
      <c r="GG65" s="43"/>
      <c r="GH65" s="43"/>
      <c r="GI65" s="43"/>
      <c r="GJ65" s="43"/>
      <c r="GK65" s="43"/>
      <c r="GL65" s="43"/>
      <c r="GM65" s="43"/>
      <c r="GN65" s="43"/>
      <c r="GO65" s="43"/>
      <c r="GP65" s="43"/>
      <c r="GQ65" s="43"/>
      <c r="GR65" s="43"/>
      <c r="GS65" s="43"/>
      <c r="GT65" s="43"/>
      <c r="GU65" s="43"/>
      <c r="GV65" s="43"/>
      <c r="GW65" s="43"/>
      <c r="GX65" s="43"/>
      <c r="GY65" s="43"/>
      <c r="GZ65" s="43"/>
      <c r="HA65" s="43"/>
      <c r="HB65" s="43"/>
      <c r="HC65" s="43"/>
      <c r="HD65" s="43"/>
      <c r="HE65" s="43"/>
      <c r="HF65" s="43"/>
      <c r="HG65" s="43"/>
      <c r="HH65" s="43"/>
      <c r="HI65" s="43"/>
      <c r="HJ65" s="43"/>
      <c r="HK65" s="43"/>
      <c r="HL65" s="43"/>
      <c r="HM65" s="43"/>
      <c r="HN65" s="43"/>
      <c r="HO65" s="43"/>
      <c r="HP65" s="43"/>
      <c r="HQ65" s="43"/>
      <c r="HR65" s="43"/>
      <c r="HS65" s="43"/>
      <c r="HT65" s="43"/>
      <c r="HU65" s="43"/>
      <c r="HV65" s="43"/>
      <c r="HW65" s="43"/>
      <c r="HX65" s="43"/>
      <c r="HY65" s="43"/>
      <c r="HZ65" s="43"/>
      <c r="IA65" s="43"/>
      <c r="IB65" s="43"/>
      <c r="IC65" s="43"/>
      <c r="ID65" s="43"/>
      <c r="IE65" s="43"/>
      <c r="IF65" s="43"/>
      <c r="IG65" s="43"/>
      <c r="IH65" s="43"/>
      <c r="II65" s="43"/>
      <c r="IJ65" s="43"/>
      <c r="IK65" s="43"/>
      <c r="IL65" s="43"/>
      <c r="IM65" s="43"/>
      <c r="IN65" s="43"/>
      <c r="IO65" s="43"/>
      <c r="IP65" s="43"/>
      <c r="IQ65" s="43"/>
      <c r="IR65" s="43"/>
      <c r="IS65" s="43"/>
      <c r="IT65" s="43"/>
      <c r="IU65" s="43"/>
      <c r="IV65" s="43"/>
      <c r="IW65" s="43"/>
      <c r="IX65" s="43"/>
      <c r="IY65" s="43"/>
      <c r="IZ65" s="43"/>
      <c r="JA65" s="43"/>
      <c r="JB65" s="43"/>
      <c r="JC65" s="43"/>
      <c r="JD65" s="43"/>
      <c r="JE65" s="43"/>
      <c r="JF65" s="43"/>
      <c r="JG65" s="43"/>
      <c r="JH65" s="43"/>
      <c r="JI65" s="43"/>
      <c r="JJ65" s="43"/>
      <c r="JK65" s="43"/>
      <c r="JL65" s="43"/>
      <c r="JM65" s="43"/>
      <c r="JN65" s="43"/>
      <c r="JO65" s="43"/>
      <c r="JP65" s="43"/>
      <c r="JQ65" s="43"/>
      <c r="JR65" s="43"/>
      <c r="JS65" s="43"/>
      <c r="JT65" s="43"/>
      <c r="JU65" s="43"/>
      <c r="JV65" s="43"/>
      <c r="JW65" s="43"/>
      <c r="JX65" s="43"/>
      <c r="JY65" s="43"/>
      <c r="JZ65" s="43"/>
      <c r="KA65" s="43"/>
      <c r="KB65" s="43"/>
      <c r="KC65" s="43"/>
      <c r="KD65" s="43"/>
      <c r="KE65" s="43"/>
      <c r="KF65" s="43"/>
      <c r="KG65" s="43"/>
      <c r="KH65" s="43"/>
      <c r="KI65" s="43"/>
      <c r="KJ65" s="43"/>
      <c r="KK65" s="43"/>
      <c r="KL65" s="43"/>
      <c r="KM65" s="43"/>
      <c r="KN65" s="43"/>
      <c r="KO65" s="43"/>
      <c r="KP65" s="43"/>
      <c r="KQ65" s="43"/>
      <c r="KR65" s="43"/>
      <c r="KS65" s="43"/>
      <c r="KT65" s="43"/>
      <c r="KU65" s="43"/>
      <c r="KV65" s="43"/>
      <c r="KW65" s="43"/>
      <c r="KX65" s="43"/>
      <c r="KY65" s="43"/>
      <c r="KZ65" s="43"/>
      <c r="LA65" s="43"/>
      <c r="LB65" s="43"/>
      <c r="LC65" s="43"/>
      <c r="LD65" s="43"/>
      <c r="LE65" s="43"/>
      <c r="LF65" s="43"/>
      <c r="LG65" s="43"/>
      <c r="LH65" s="43"/>
      <c r="LI65" s="43"/>
      <c r="LJ65" s="43"/>
      <c r="LK65" s="43"/>
      <c r="LL65" s="43"/>
      <c r="LM65" s="43"/>
      <c r="LN65" s="43"/>
      <c r="LO65" s="43"/>
      <c r="LP65" s="43"/>
      <c r="LQ65" s="43"/>
      <c r="LR65" s="43"/>
      <c r="LS65" s="43"/>
      <c r="LT65" s="43"/>
      <c r="LU65" s="43"/>
      <c r="LV65" s="43"/>
      <c r="LW65" s="43"/>
      <c r="LX65" s="43"/>
      <c r="LY65" s="43"/>
      <c r="LZ65" s="43"/>
      <c r="MA65" s="43"/>
      <c r="MB65" s="43"/>
      <c r="MC65" s="43"/>
      <c r="MD65" s="43"/>
      <c r="ME65" s="43"/>
      <c r="MF65" s="43"/>
      <c r="MG65" s="43"/>
      <c r="MH65" s="43"/>
      <c r="MI65" s="43"/>
      <c r="MJ65" s="43"/>
      <c r="MK65" s="43"/>
      <c r="ML65" s="43"/>
      <c r="MM65" s="43"/>
      <c r="MN65" s="43"/>
      <c r="MO65" s="43"/>
      <c r="MP65" s="43"/>
      <c r="MQ65" s="43"/>
      <c r="MR65" s="43"/>
      <c r="MS65" s="43"/>
      <c r="MT65" s="43"/>
      <c r="MU65" s="43"/>
      <c r="MV65" s="43"/>
      <c r="MW65" s="43"/>
      <c r="MX65" s="43"/>
      <c r="MY65" s="43"/>
      <c r="MZ65" s="43"/>
      <c r="NA65" s="43"/>
      <c r="NB65" s="43"/>
      <c r="NC65" s="43"/>
      <c r="ND65" s="43"/>
      <c r="NE65" s="43"/>
      <c r="NF65" s="43"/>
      <c r="NG65" s="43"/>
      <c r="NH65" s="43"/>
      <c r="NI65" s="43"/>
      <c r="NJ65" s="43"/>
      <c r="NK65" s="43"/>
      <c r="NL65" s="43"/>
      <c r="NM65" s="43"/>
      <c r="NN65" s="43"/>
      <c r="NO65" s="43"/>
      <c r="NP65" s="43"/>
      <c r="NQ65" s="43"/>
      <c r="NR65" s="43"/>
      <c r="NS65" s="43"/>
      <c r="NT65" s="43"/>
      <c r="NU65" s="43"/>
      <c r="NV65" s="43"/>
      <c r="NW65" s="43"/>
      <c r="NX65" s="43"/>
      <c r="NY65" s="43"/>
      <c r="NZ65" s="43"/>
      <c r="OA65" s="43"/>
      <c r="OB65" s="43"/>
      <c r="OC65" s="43"/>
      <c r="OD65" s="43"/>
      <c r="OE65" s="43"/>
      <c r="OF65" s="43"/>
      <c r="OG65" s="43"/>
      <c r="OH65" s="43"/>
      <c r="OI65" s="43"/>
      <c r="OJ65" s="43"/>
      <c r="OK65" s="43"/>
      <c r="OL65" s="43"/>
      <c r="OM65" s="43"/>
      <c r="ON65" s="43"/>
      <c r="OO65" s="43"/>
      <c r="OP65" s="43"/>
      <c r="OQ65" s="43"/>
      <c r="OR65" s="43"/>
      <c r="OS65" s="43"/>
      <c r="OT65" s="43"/>
      <c r="OU65" s="43"/>
      <c r="OV65" s="43"/>
      <c r="OW65" s="43"/>
      <c r="OX65" s="43"/>
      <c r="OY65" s="43"/>
      <c r="OZ65" s="43"/>
      <c r="PA65" s="43"/>
      <c r="PB65" s="43"/>
      <c r="PC65" s="43"/>
      <c r="PD65" s="43"/>
      <c r="PE65" s="43"/>
      <c r="PF65" s="43"/>
      <c r="PG65" s="43"/>
      <c r="PH65" s="43"/>
      <c r="PI65" s="43"/>
      <c r="PJ65" s="43"/>
      <c r="PK65" s="43"/>
      <c r="PL65" s="43"/>
      <c r="PM65" s="43"/>
      <c r="PN65" s="43"/>
      <c r="PO65" s="43"/>
      <c r="PP65" s="43"/>
      <c r="PQ65" s="43"/>
      <c r="PR65" s="43"/>
      <c r="PS65" s="43"/>
      <c r="PT65" s="43"/>
      <c r="PU65" s="43"/>
      <c r="PV65" s="43"/>
      <c r="PW65" s="43"/>
      <c r="PX65" s="43"/>
      <c r="PY65" s="43"/>
      <c r="PZ65" s="43"/>
      <c r="QA65" s="43"/>
      <c r="QB65" s="43"/>
      <c r="QC65" s="43"/>
    </row>
    <row r="66" spans="1:445" x14ac:dyDescent="0.3"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6" t="str">
        <f t="shared" si="2"/>
        <v/>
      </c>
      <c r="U66" s="46" t="str">
        <f t="shared" si="3"/>
        <v/>
      </c>
      <c r="V66" s="72" t="str">
        <f t="shared" si="4"/>
        <v/>
      </c>
      <c r="W66" s="48"/>
      <c r="X66" s="73" t="str">
        <f t="shared" si="6"/>
        <v/>
      </c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43"/>
      <c r="CY66" s="43"/>
      <c r="CZ66" s="43"/>
      <c r="DA66" s="43"/>
      <c r="DB66" s="43"/>
      <c r="DC66" s="43"/>
      <c r="DD66" s="43"/>
      <c r="DE66" s="43"/>
      <c r="DF66" s="43"/>
      <c r="DG66" s="43"/>
      <c r="DH66" s="43"/>
      <c r="DI66" s="43"/>
      <c r="DJ66" s="43"/>
      <c r="DK66" s="43"/>
      <c r="DL66" s="43"/>
      <c r="DM66" s="43"/>
      <c r="DN66" s="43"/>
      <c r="DO66" s="43"/>
      <c r="DP66" s="43"/>
      <c r="DQ66" s="43"/>
      <c r="DR66" s="43"/>
      <c r="DS66" s="43"/>
      <c r="DT66" s="43"/>
      <c r="DU66" s="43"/>
      <c r="DV66" s="43"/>
      <c r="DW66" s="43"/>
      <c r="DX66" s="43"/>
      <c r="DY66" s="43"/>
      <c r="DZ66" s="43"/>
      <c r="EA66" s="43"/>
      <c r="EB66" s="43"/>
      <c r="EC66" s="43"/>
      <c r="ED66" s="43"/>
      <c r="EE66" s="43"/>
      <c r="EF66" s="43"/>
      <c r="EG66" s="43"/>
      <c r="EH66" s="43"/>
      <c r="EI66" s="43"/>
      <c r="EJ66" s="43"/>
      <c r="EK66" s="43"/>
      <c r="EL66" s="43"/>
      <c r="EM66" s="43"/>
      <c r="EN66" s="43"/>
      <c r="EO66" s="43"/>
      <c r="EP66" s="43"/>
      <c r="EQ66" s="43"/>
      <c r="ER66" s="43"/>
      <c r="ES66" s="43"/>
      <c r="ET66" s="43"/>
      <c r="EU66" s="43"/>
      <c r="EV66" s="43"/>
      <c r="EW66" s="43"/>
      <c r="EX66" s="43"/>
      <c r="EY66" s="43"/>
      <c r="EZ66" s="43"/>
      <c r="FA66" s="43"/>
      <c r="FB66" s="43"/>
      <c r="FC66" s="43"/>
      <c r="FD66" s="43"/>
      <c r="FE66" s="43"/>
      <c r="FF66" s="43"/>
      <c r="FG66" s="43"/>
      <c r="FH66" s="43"/>
      <c r="FI66" s="43"/>
      <c r="FJ66" s="43"/>
      <c r="FK66" s="43"/>
      <c r="FL66" s="43"/>
      <c r="FM66" s="43"/>
      <c r="FN66" s="43"/>
      <c r="FO66" s="43"/>
      <c r="FP66" s="43"/>
      <c r="FQ66" s="43"/>
      <c r="FR66" s="43"/>
      <c r="FS66" s="43"/>
      <c r="FT66" s="43"/>
      <c r="FU66" s="43"/>
      <c r="FV66" s="43"/>
      <c r="FW66" s="43"/>
      <c r="FX66" s="43"/>
      <c r="FY66" s="43"/>
      <c r="FZ66" s="43"/>
      <c r="GA66" s="43"/>
      <c r="GB66" s="43"/>
      <c r="GC66" s="43"/>
      <c r="GD66" s="43"/>
      <c r="GE66" s="43"/>
      <c r="GF66" s="43"/>
      <c r="GG66" s="43"/>
      <c r="GH66" s="43"/>
      <c r="GI66" s="43"/>
      <c r="GJ66" s="43"/>
      <c r="GK66" s="43"/>
      <c r="GL66" s="43"/>
      <c r="GM66" s="43"/>
      <c r="GN66" s="43"/>
      <c r="GO66" s="43"/>
      <c r="GP66" s="43"/>
      <c r="GQ66" s="43"/>
      <c r="GR66" s="43"/>
      <c r="GS66" s="43"/>
      <c r="GT66" s="43"/>
      <c r="GU66" s="43"/>
      <c r="GV66" s="43"/>
      <c r="GW66" s="43"/>
      <c r="GX66" s="43"/>
      <c r="GY66" s="43"/>
      <c r="GZ66" s="43"/>
      <c r="HA66" s="43"/>
      <c r="HB66" s="43"/>
      <c r="HC66" s="43"/>
      <c r="HD66" s="43"/>
      <c r="HE66" s="43"/>
      <c r="HF66" s="43"/>
      <c r="HG66" s="43"/>
      <c r="HH66" s="43"/>
      <c r="HI66" s="43"/>
      <c r="HJ66" s="43"/>
      <c r="HK66" s="43"/>
      <c r="HL66" s="43"/>
      <c r="HM66" s="43"/>
      <c r="HN66" s="43"/>
      <c r="HO66" s="43"/>
      <c r="HP66" s="43"/>
      <c r="HQ66" s="43"/>
      <c r="HR66" s="43"/>
      <c r="HS66" s="43"/>
      <c r="HT66" s="43"/>
      <c r="HU66" s="43"/>
      <c r="HV66" s="43"/>
      <c r="HW66" s="43"/>
      <c r="HX66" s="43"/>
      <c r="HY66" s="43"/>
      <c r="HZ66" s="43"/>
      <c r="IA66" s="43"/>
      <c r="IB66" s="43"/>
      <c r="IC66" s="43"/>
      <c r="ID66" s="43"/>
      <c r="IE66" s="43"/>
      <c r="IF66" s="43"/>
      <c r="IG66" s="43"/>
      <c r="IH66" s="43"/>
      <c r="II66" s="43"/>
      <c r="IJ66" s="43"/>
      <c r="IK66" s="43"/>
      <c r="IL66" s="43"/>
      <c r="IM66" s="43"/>
      <c r="IN66" s="43"/>
      <c r="IO66" s="43"/>
      <c r="IP66" s="43"/>
      <c r="IQ66" s="43"/>
      <c r="IR66" s="43"/>
      <c r="IS66" s="43"/>
      <c r="IT66" s="43"/>
      <c r="IU66" s="43"/>
      <c r="IV66" s="43"/>
      <c r="IW66" s="43"/>
      <c r="IX66" s="43"/>
      <c r="IY66" s="43"/>
      <c r="IZ66" s="43"/>
      <c r="JA66" s="43"/>
      <c r="JB66" s="43"/>
      <c r="JC66" s="43"/>
      <c r="JD66" s="43"/>
      <c r="JE66" s="43"/>
      <c r="JF66" s="43"/>
      <c r="JG66" s="43"/>
      <c r="JH66" s="43"/>
      <c r="JI66" s="43"/>
      <c r="JJ66" s="43"/>
      <c r="JK66" s="43"/>
      <c r="JL66" s="43"/>
      <c r="JM66" s="43"/>
      <c r="JN66" s="43"/>
      <c r="JO66" s="43"/>
      <c r="JP66" s="43"/>
      <c r="JQ66" s="43"/>
      <c r="JR66" s="43"/>
      <c r="JS66" s="43"/>
      <c r="JT66" s="43"/>
      <c r="JU66" s="43"/>
      <c r="JV66" s="43"/>
      <c r="JW66" s="43"/>
      <c r="JX66" s="43"/>
      <c r="JY66" s="43"/>
      <c r="JZ66" s="43"/>
      <c r="KA66" s="43"/>
      <c r="KB66" s="43"/>
      <c r="KC66" s="43"/>
      <c r="KD66" s="43"/>
      <c r="KE66" s="43"/>
      <c r="KF66" s="43"/>
      <c r="KG66" s="43"/>
      <c r="KH66" s="43"/>
      <c r="KI66" s="43"/>
      <c r="KJ66" s="43"/>
      <c r="KK66" s="43"/>
      <c r="KL66" s="43"/>
      <c r="KM66" s="43"/>
      <c r="KN66" s="43"/>
      <c r="KO66" s="43"/>
      <c r="KP66" s="43"/>
      <c r="KQ66" s="43"/>
      <c r="KR66" s="43"/>
      <c r="KS66" s="43"/>
      <c r="KT66" s="43"/>
      <c r="KU66" s="43"/>
      <c r="KV66" s="43"/>
      <c r="KW66" s="43"/>
      <c r="KX66" s="43"/>
      <c r="KY66" s="43"/>
      <c r="KZ66" s="43"/>
      <c r="LA66" s="43"/>
      <c r="LB66" s="43"/>
      <c r="LC66" s="43"/>
      <c r="LD66" s="43"/>
      <c r="LE66" s="43"/>
      <c r="LF66" s="43"/>
      <c r="LG66" s="43"/>
      <c r="LH66" s="43"/>
      <c r="LI66" s="43"/>
      <c r="LJ66" s="43"/>
      <c r="LK66" s="43"/>
      <c r="LL66" s="43"/>
      <c r="LM66" s="43"/>
      <c r="LN66" s="43"/>
      <c r="LO66" s="43"/>
      <c r="LP66" s="43"/>
      <c r="LQ66" s="43"/>
      <c r="LR66" s="43"/>
      <c r="LS66" s="43"/>
      <c r="LT66" s="43"/>
      <c r="LU66" s="43"/>
      <c r="LV66" s="43"/>
      <c r="LW66" s="43"/>
      <c r="LX66" s="43"/>
      <c r="LY66" s="43"/>
      <c r="LZ66" s="43"/>
      <c r="MA66" s="43"/>
      <c r="MB66" s="43"/>
      <c r="MC66" s="43"/>
      <c r="MD66" s="43"/>
      <c r="ME66" s="43"/>
      <c r="MF66" s="43"/>
      <c r="MG66" s="43"/>
      <c r="MH66" s="43"/>
      <c r="MI66" s="43"/>
      <c r="MJ66" s="43"/>
      <c r="MK66" s="43"/>
      <c r="ML66" s="43"/>
      <c r="MM66" s="43"/>
      <c r="MN66" s="43"/>
      <c r="MO66" s="43"/>
      <c r="MP66" s="43"/>
      <c r="MQ66" s="43"/>
      <c r="MR66" s="43"/>
      <c r="MS66" s="43"/>
      <c r="MT66" s="43"/>
      <c r="MU66" s="43"/>
      <c r="MV66" s="43"/>
      <c r="MW66" s="43"/>
      <c r="MX66" s="43"/>
      <c r="MY66" s="43"/>
      <c r="MZ66" s="43"/>
      <c r="NA66" s="43"/>
      <c r="NB66" s="43"/>
      <c r="NC66" s="43"/>
      <c r="ND66" s="43"/>
      <c r="NE66" s="43"/>
      <c r="NF66" s="43"/>
      <c r="NG66" s="43"/>
      <c r="NH66" s="43"/>
      <c r="NI66" s="43"/>
      <c r="NJ66" s="43"/>
      <c r="NK66" s="43"/>
      <c r="NL66" s="43"/>
      <c r="NM66" s="43"/>
      <c r="NN66" s="43"/>
      <c r="NO66" s="43"/>
      <c r="NP66" s="43"/>
      <c r="NQ66" s="43"/>
      <c r="NR66" s="43"/>
      <c r="NS66" s="43"/>
      <c r="NT66" s="43"/>
      <c r="NU66" s="43"/>
      <c r="NV66" s="43"/>
      <c r="NW66" s="43"/>
      <c r="NX66" s="43"/>
      <c r="NY66" s="43"/>
      <c r="NZ66" s="43"/>
      <c r="OA66" s="43"/>
      <c r="OB66" s="43"/>
      <c r="OC66" s="43"/>
      <c r="OD66" s="43"/>
      <c r="OE66" s="43"/>
      <c r="OF66" s="43"/>
      <c r="OG66" s="43"/>
      <c r="OH66" s="43"/>
      <c r="OI66" s="43"/>
      <c r="OJ66" s="43"/>
      <c r="OK66" s="43"/>
      <c r="OL66" s="43"/>
      <c r="OM66" s="43"/>
      <c r="ON66" s="43"/>
      <c r="OO66" s="43"/>
      <c r="OP66" s="43"/>
      <c r="OQ66" s="43"/>
      <c r="OR66" s="43"/>
      <c r="OS66" s="43"/>
      <c r="OT66" s="43"/>
      <c r="OU66" s="43"/>
      <c r="OV66" s="43"/>
      <c r="OW66" s="43"/>
      <c r="OX66" s="43"/>
      <c r="OY66" s="43"/>
      <c r="OZ66" s="43"/>
      <c r="PA66" s="43"/>
      <c r="PB66" s="43"/>
      <c r="PC66" s="43"/>
      <c r="PD66" s="43"/>
      <c r="PE66" s="43"/>
      <c r="PF66" s="43"/>
      <c r="PG66" s="43"/>
      <c r="PH66" s="43"/>
      <c r="PI66" s="43"/>
      <c r="PJ66" s="43"/>
      <c r="PK66" s="43"/>
      <c r="PL66" s="43"/>
      <c r="PM66" s="43"/>
      <c r="PN66" s="43"/>
      <c r="PO66" s="43"/>
      <c r="PP66" s="43"/>
      <c r="PQ66" s="43"/>
      <c r="PR66" s="43"/>
      <c r="PS66" s="43"/>
      <c r="PT66" s="43"/>
      <c r="PU66" s="43"/>
      <c r="PV66" s="43"/>
      <c r="PW66" s="43"/>
      <c r="PX66" s="43"/>
      <c r="PY66" s="43"/>
      <c r="PZ66" s="43"/>
      <c r="QA66" s="43"/>
      <c r="QB66" s="43"/>
      <c r="QC66" s="43"/>
    </row>
    <row r="67" spans="1:445" x14ac:dyDescent="0.3"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6" t="str">
        <f t="shared" si="2"/>
        <v/>
      </c>
      <c r="U67" s="46" t="str">
        <f t="shared" si="3"/>
        <v/>
      </c>
      <c r="V67" s="72" t="str">
        <f t="shared" si="4"/>
        <v/>
      </c>
      <c r="W67" s="48"/>
      <c r="X67" s="73" t="str">
        <f t="shared" si="6"/>
        <v/>
      </c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43"/>
      <c r="CY67" s="43"/>
      <c r="CZ67" s="43"/>
      <c r="DA67" s="43"/>
      <c r="DB67" s="43"/>
      <c r="DC67" s="43"/>
      <c r="DD67" s="43"/>
      <c r="DE67" s="43"/>
      <c r="DF67" s="43"/>
      <c r="DG67" s="43"/>
      <c r="DH67" s="43"/>
      <c r="DI67" s="43"/>
      <c r="DJ67" s="43"/>
      <c r="DK67" s="43"/>
      <c r="DL67" s="43"/>
      <c r="DM67" s="43"/>
      <c r="DN67" s="43"/>
      <c r="DO67" s="43"/>
      <c r="DP67" s="43"/>
      <c r="DQ67" s="43"/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3"/>
      <c r="ED67" s="43"/>
      <c r="EE67" s="43"/>
      <c r="EF67" s="43"/>
      <c r="EG67" s="43"/>
      <c r="EH67" s="43"/>
      <c r="EI67" s="43"/>
      <c r="EJ67" s="43"/>
      <c r="EK67" s="43"/>
      <c r="EL67" s="43"/>
      <c r="EM67" s="43"/>
      <c r="EN67" s="43"/>
      <c r="EO67" s="43"/>
      <c r="EP67" s="43"/>
      <c r="EQ67" s="43"/>
      <c r="ER67" s="43"/>
      <c r="ES67" s="43"/>
      <c r="ET67" s="43"/>
      <c r="EU67" s="43"/>
      <c r="EV67" s="43"/>
      <c r="EW67" s="43"/>
      <c r="EX67" s="43"/>
      <c r="EY67" s="43"/>
      <c r="EZ67" s="43"/>
      <c r="FA67" s="43"/>
      <c r="FB67" s="43"/>
      <c r="FC67" s="43"/>
      <c r="FD67" s="43"/>
      <c r="FE67" s="43"/>
      <c r="FF67" s="43"/>
      <c r="FG67" s="43"/>
      <c r="FH67" s="43"/>
      <c r="FI67" s="43"/>
      <c r="FJ67" s="43"/>
      <c r="FK67" s="43"/>
      <c r="FL67" s="43"/>
      <c r="FM67" s="43"/>
      <c r="FN67" s="43"/>
      <c r="FO67" s="43"/>
      <c r="FP67" s="43"/>
      <c r="FQ67" s="43"/>
      <c r="FR67" s="43"/>
      <c r="FS67" s="43"/>
      <c r="FT67" s="43"/>
      <c r="FU67" s="43"/>
      <c r="FV67" s="43"/>
      <c r="FW67" s="43"/>
      <c r="FX67" s="43"/>
      <c r="FY67" s="43"/>
      <c r="FZ67" s="43"/>
      <c r="GA67" s="43"/>
      <c r="GB67" s="43"/>
      <c r="GC67" s="43"/>
      <c r="GD67" s="43"/>
      <c r="GE67" s="43"/>
      <c r="GF67" s="43"/>
      <c r="GG67" s="43"/>
      <c r="GH67" s="43"/>
      <c r="GI67" s="43"/>
      <c r="GJ67" s="43"/>
      <c r="GK67" s="43"/>
      <c r="GL67" s="43"/>
      <c r="GM67" s="43"/>
      <c r="GN67" s="43"/>
      <c r="GO67" s="43"/>
      <c r="GP67" s="43"/>
      <c r="GQ67" s="43"/>
      <c r="GR67" s="43"/>
      <c r="GS67" s="43"/>
      <c r="GT67" s="43"/>
      <c r="GU67" s="43"/>
      <c r="GV67" s="43"/>
      <c r="GW67" s="43"/>
      <c r="GX67" s="43"/>
      <c r="GY67" s="43"/>
      <c r="GZ67" s="43"/>
      <c r="HA67" s="43"/>
      <c r="HB67" s="43"/>
      <c r="HC67" s="43"/>
      <c r="HD67" s="43"/>
      <c r="HE67" s="43"/>
      <c r="HF67" s="43"/>
      <c r="HG67" s="43"/>
      <c r="HH67" s="43"/>
      <c r="HI67" s="43"/>
      <c r="HJ67" s="43"/>
      <c r="HK67" s="43"/>
      <c r="HL67" s="43"/>
      <c r="HM67" s="43"/>
      <c r="HN67" s="43"/>
      <c r="HO67" s="43"/>
      <c r="HP67" s="43"/>
      <c r="HQ67" s="43"/>
      <c r="HR67" s="43"/>
      <c r="HS67" s="43"/>
      <c r="HT67" s="43"/>
      <c r="HU67" s="43"/>
      <c r="HV67" s="43"/>
      <c r="HW67" s="43"/>
      <c r="HX67" s="43"/>
      <c r="HY67" s="43"/>
      <c r="HZ67" s="43"/>
      <c r="IA67" s="43"/>
      <c r="IB67" s="43"/>
      <c r="IC67" s="43"/>
      <c r="ID67" s="43"/>
      <c r="IE67" s="43"/>
      <c r="IF67" s="43"/>
      <c r="IG67" s="43"/>
      <c r="IH67" s="43"/>
      <c r="II67" s="43"/>
      <c r="IJ67" s="43"/>
      <c r="IK67" s="43"/>
      <c r="IL67" s="43"/>
      <c r="IM67" s="43"/>
      <c r="IN67" s="43"/>
      <c r="IO67" s="43"/>
      <c r="IP67" s="43"/>
      <c r="IQ67" s="43"/>
      <c r="IR67" s="43"/>
      <c r="IS67" s="43"/>
      <c r="IT67" s="43"/>
      <c r="IU67" s="43"/>
      <c r="IV67" s="43"/>
      <c r="IW67" s="43"/>
      <c r="IX67" s="43"/>
      <c r="IY67" s="43"/>
      <c r="IZ67" s="43"/>
      <c r="JA67" s="43"/>
      <c r="JB67" s="43"/>
      <c r="JC67" s="43"/>
      <c r="JD67" s="43"/>
      <c r="JE67" s="43"/>
      <c r="JF67" s="43"/>
      <c r="JG67" s="43"/>
      <c r="JH67" s="43"/>
      <c r="JI67" s="43"/>
      <c r="JJ67" s="43"/>
      <c r="JK67" s="43"/>
      <c r="JL67" s="43"/>
      <c r="JM67" s="43"/>
      <c r="JN67" s="43"/>
      <c r="JO67" s="43"/>
      <c r="JP67" s="43"/>
      <c r="JQ67" s="43"/>
      <c r="JR67" s="43"/>
      <c r="JS67" s="43"/>
      <c r="JT67" s="43"/>
      <c r="JU67" s="43"/>
      <c r="JV67" s="43"/>
      <c r="JW67" s="43"/>
      <c r="JX67" s="43"/>
      <c r="JY67" s="43"/>
      <c r="JZ67" s="43"/>
      <c r="KA67" s="43"/>
      <c r="KB67" s="43"/>
      <c r="KC67" s="43"/>
      <c r="KD67" s="43"/>
      <c r="KE67" s="43"/>
      <c r="KF67" s="43"/>
      <c r="KG67" s="43"/>
      <c r="KH67" s="43"/>
      <c r="KI67" s="43"/>
      <c r="KJ67" s="43"/>
      <c r="KK67" s="43"/>
      <c r="KL67" s="43"/>
      <c r="KM67" s="43"/>
      <c r="KN67" s="43"/>
      <c r="KO67" s="43"/>
      <c r="KP67" s="43"/>
      <c r="KQ67" s="43"/>
      <c r="KR67" s="43"/>
      <c r="KS67" s="43"/>
      <c r="KT67" s="43"/>
      <c r="KU67" s="43"/>
      <c r="KV67" s="43"/>
      <c r="KW67" s="43"/>
      <c r="KX67" s="43"/>
      <c r="KY67" s="43"/>
      <c r="KZ67" s="43"/>
      <c r="LA67" s="43"/>
      <c r="LB67" s="43"/>
      <c r="LC67" s="43"/>
      <c r="LD67" s="43"/>
      <c r="LE67" s="43"/>
      <c r="LF67" s="43"/>
      <c r="LG67" s="43"/>
      <c r="LH67" s="43"/>
      <c r="LI67" s="43"/>
      <c r="LJ67" s="43"/>
      <c r="LK67" s="43"/>
      <c r="LL67" s="43"/>
      <c r="LM67" s="43"/>
      <c r="LN67" s="43"/>
      <c r="LO67" s="43"/>
      <c r="LP67" s="43"/>
      <c r="LQ67" s="43"/>
      <c r="LR67" s="43"/>
      <c r="LS67" s="43"/>
      <c r="LT67" s="43"/>
      <c r="LU67" s="43"/>
      <c r="LV67" s="43"/>
      <c r="LW67" s="43"/>
      <c r="LX67" s="43"/>
      <c r="LY67" s="43"/>
      <c r="LZ67" s="43"/>
      <c r="MA67" s="43"/>
      <c r="MB67" s="43"/>
      <c r="MC67" s="43"/>
      <c r="MD67" s="43"/>
      <c r="ME67" s="43"/>
      <c r="MF67" s="43"/>
      <c r="MG67" s="43"/>
      <c r="MH67" s="43"/>
      <c r="MI67" s="43"/>
      <c r="MJ67" s="43"/>
      <c r="MK67" s="43"/>
      <c r="ML67" s="43"/>
      <c r="MM67" s="43"/>
      <c r="MN67" s="43"/>
      <c r="MO67" s="43"/>
      <c r="MP67" s="43"/>
      <c r="MQ67" s="43"/>
      <c r="MR67" s="43"/>
      <c r="MS67" s="43"/>
      <c r="MT67" s="43"/>
      <c r="MU67" s="43"/>
      <c r="MV67" s="43"/>
      <c r="MW67" s="43"/>
      <c r="MX67" s="43"/>
      <c r="MY67" s="43"/>
      <c r="MZ67" s="43"/>
      <c r="NA67" s="43"/>
      <c r="NB67" s="43"/>
      <c r="NC67" s="43"/>
      <c r="ND67" s="43"/>
      <c r="NE67" s="43"/>
      <c r="NF67" s="43"/>
      <c r="NG67" s="43"/>
      <c r="NH67" s="43"/>
      <c r="NI67" s="43"/>
      <c r="NJ67" s="43"/>
      <c r="NK67" s="43"/>
      <c r="NL67" s="43"/>
      <c r="NM67" s="43"/>
      <c r="NN67" s="43"/>
      <c r="NO67" s="43"/>
      <c r="NP67" s="43"/>
      <c r="NQ67" s="43"/>
      <c r="NR67" s="43"/>
      <c r="NS67" s="43"/>
      <c r="NT67" s="43"/>
      <c r="NU67" s="43"/>
      <c r="NV67" s="43"/>
      <c r="NW67" s="43"/>
      <c r="NX67" s="43"/>
      <c r="NY67" s="43"/>
      <c r="NZ67" s="43"/>
      <c r="OA67" s="43"/>
      <c r="OB67" s="43"/>
      <c r="OC67" s="43"/>
      <c r="OD67" s="43"/>
      <c r="OE67" s="43"/>
      <c r="OF67" s="43"/>
      <c r="OG67" s="43"/>
      <c r="OH67" s="43"/>
      <c r="OI67" s="43"/>
      <c r="OJ67" s="43"/>
      <c r="OK67" s="43"/>
      <c r="OL67" s="43"/>
      <c r="OM67" s="43"/>
      <c r="ON67" s="43"/>
      <c r="OO67" s="43"/>
      <c r="OP67" s="43"/>
      <c r="OQ67" s="43"/>
      <c r="OR67" s="43"/>
      <c r="OS67" s="43"/>
      <c r="OT67" s="43"/>
      <c r="OU67" s="43"/>
      <c r="OV67" s="43"/>
      <c r="OW67" s="43"/>
      <c r="OX67" s="43"/>
      <c r="OY67" s="43"/>
      <c r="OZ67" s="43"/>
      <c r="PA67" s="43"/>
      <c r="PB67" s="43"/>
      <c r="PC67" s="43"/>
      <c r="PD67" s="43"/>
      <c r="PE67" s="43"/>
      <c r="PF67" s="43"/>
      <c r="PG67" s="43"/>
      <c r="PH67" s="43"/>
      <c r="PI67" s="43"/>
      <c r="PJ67" s="43"/>
      <c r="PK67" s="43"/>
      <c r="PL67" s="43"/>
      <c r="PM67" s="43"/>
      <c r="PN67" s="43"/>
      <c r="PO67" s="43"/>
      <c r="PP67" s="43"/>
      <c r="PQ67" s="43"/>
      <c r="PR67" s="43"/>
      <c r="PS67" s="43"/>
      <c r="PT67" s="43"/>
      <c r="PU67" s="43"/>
      <c r="PV67" s="43"/>
      <c r="PW67" s="43"/>
      <c r="PX67" s="43"/>
      <c r="PY67" s="43"/>
      <c r="PZ67" s="43"/>
      <c r="QA67" s="43"/>
      <c r="QB67" s="43"/>
      <c r="QC67" s="43"/>
    </row>
    <row r="68" spans="1:445" x14ac:dyDescent="0.3"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6" t="str">
        <f t="shared" ref="T68:T131" si="7">IF(AND(ISBLANK(E68),ISBLANK(F68),ISBLANK(G68),ISBLANK(H68),ISBLANK(I68),ISBLANK(J68),ISBLANK(K68), ISBLANK(L68), ISBLANK(M68), ISBLANK(N68), ISBLANK(O68), ISBLANK(P68), ISBLANK(Q68), ISBLANK(R68), ISBLANK(S68)),"",SUM(G68:S68))</f>
        <v/>
      </c>
      <c r="U68" s="46" t="str">
        <f t="shared" ref="U68:U131" si="8">IF(W68&lt;&gt;0,0,IF(AND(ISBLANK(F68),ISBLANK(G68),ISBLANK(H68),ISBLANK(I68),ISBLANK(J68),ISBLANK(K68), ISBLANK(L68), ISBLANK(M68), ISBLANK(N68), ISBLANK(O68), ISBLANK(P68), ISBLANK(Q68), ISBLANK(R68), ISBLANK(S68)),"", F68-T68))</f>
        <v/>
      </c>
      <c r="V68" s="72" t="str">
        <f t="shared" ref="V68:V131" si="9">IF(AND(ISBLANK(E68),ISBLANK(F68), ISBLANK(G68), ISBLANK(H68), ISBLANK(I68), ISBLANK(J68), ISBLANK(K68), ISBLANK(L68), ISBLANK(M68),ISBLANK(N68), ISBLANK(O68), ISBLANK(P68), ISBLANK(Q68), ISBLANK(R68), ISBLANK(S68)), "",IFERROR(((F68+E68)-U68)/F68,""))</f>
        <v/>
      </c>
      <c r="W68" s="48"/>
      <c r="X68" s="73" t="str">
        <f t="shared" ref="X68:X99" si="10">IF(W68&lt;&gt;"",F68 - (SUM(G68:S68)),"")</f>
        <v/>
      </c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43"/>
      <c r="CY68" s="43"/>
      <c r="CZ68" s="43"/>
      <c r="DA68" s="43"/>
      <c r="DB68" s="43"/>
      <c r="DC68" s="43"/>
      <c r="DD68" s="43"/>
      <c r="DE68" s="43"/>
      <c r="DF68" s="43"/>
      <c r="DG68" s="43"/>
      <c r="DH68" s="43"/>
      <c r="DI68" s="43"/>
      <c r="DJ68" s="43"/>
      <c r="DK68" s="43"/>
      <c r="DL68" s="43"/>
      <c r="DM68" s="43"/>
      <c r="DN68" s="43"/>
      <c r="DO68" s="43"/>
      <c r="DP68" s="43"/>
      <c r="DQ68" s="43"/>
      <c r="DR68" s="43"/>
      <c r="DS68" s="43"/>
      <c r="DT68" s="43"/>
      <c r="DU68" s="43"/>
      <c r="DV68" s="43"/>
      <c r="DW68" s="43"/>
      <c r="DX68" s="43"/>
      <c r="DY68" s="43"/>
      <c r="DZ68" s="43"/>
      <c r="EA68" s="43"/>
      <c r="EB68" s="43"/>
      <c r="EC68" s="43"/>
      <c r="ED68" s="43"/>
      <c r="EE68" s="43"/>
      <c r="EF68" s="43"/>
      <c r="EG68" s="43"/>
      <c r="EH68" s="43"/>
      <c r="EI68" s="43"/>
      <c r="EJ68" s="43"/>
      <c r="EK68" s="43"/>
      <c r="EL68" s="43"/>
      <c r="EM68" s="43"/>
      <c r="EN68" s="43"/>
      <c r="EO68" s="43"/>
      <c r="EP68" s="43"/>
      <c r="EQ68" s="43"/>
      <c r="ER68" s="43"/>
      <c r="ES68" s="43"/>
      <c r="ET68" s="43"/>
      <c r="EU68" s="43"/>
      <c r="EV68" s="43"/>
      <c r="EW68" s="43"/>
      <c r="EX68" s="43"/>
      <c r="EY68" s="43"/>
      <c r="EZ68" s="43"/>
      <c r="FA68" s="43"/>
      <c r="FB68" s="43"/>
      <c r="FC68" s="43"/>
      <c r="FD68" s="43"/>
      <c r="FE68" s="43"/>
      <c r="FF68" s="43"/>
      <c r="FG68" s="43"/>
      <c r="FH68" s="43"/>
      <c r="FI68" s="43"/>
      <c r="FJ68" s="43"/>
      <c r="FK68" s="43"/>
      <c r="FL68" s="43"/>
      <c r="FM68" s="43"/>
      <c r="FN68" s="43"/>
      <c r="FO68" s="43"/>
      <c r="FP68" s="43"/>
      <c r="FQ68" s="43"/>
      <c r="FR68" s="43"/>
      <c r="FS68" s="43"/>
      <c r="FT68" s="43"/>
      <c r="FU68" s="43"/>
      <c r="FV68" s="43"/>
      <c r="FW68" s="43"/>
      <c r="FX68" s="43"/>
      <c r="FY68" s="43"/>
      <c r="FZ68" s="43"/>
      <c r="GA68" s="43"/>
      <c r="GB68" s="43"/>
      <c r="GC68" s="43"/>
      <c r="GD68" s="43"/>
      <c r="GE68" s="43"/>
      <c r="GF68" s="43"/>
      <c r="GG68" s="43"/>
      <c r="GH68" s="43"/>
      <c r="GI68" s="43"/>
      <c r="GJ68" s="43"/>
      <c r="GK68" s="43"/>
      <c r="GL68" s="43"/>
      <c r="GM68" s="43"/>
      <c r="GN68" s="43"/>
      <c r="GO68" s="43"/>
      <c r="GP68" s="43"/>
      <c r="GQ68" s="43"/>
      <c r="GR68" s="43"/>
      <c r="GS68" s="43"/>
      <c r="GT68" s="43"/>
      <c r="GU68" s="43"/>
      <c r="GV68" s="43"/>
      <c r="GW68" s="43"/>
      <c r="GX68" s="43"/>
      <c r="GY68" s="43"/>
      <c r="GZ68" s="43"/>
      <c r="HA68" s="43"/>
      <c r="HB68" s="43"/>
      <c r="HC68" s="43"/>
      <c r="HD68" s="43"/>
      <c r="HE68" s="43"/>
      <c r="HF68" s="43"/>
      <c r="HG68" s="43"/>
      <c r="HH68" s="43"/>
      <c r="HI68" s="43"/>
      <c r="HJ68" s="43"/>
      <c r="HK68" s="43"/>
      <c r="HL68" s="43"/>
      <c r="HM68" s="43"/>
      <c r="HN68" s="43"/>
      <c r="HO68" s="43"/>
      <c r="HP68" s="43"/>
      <c r="HQ68" s="43"/>
      <c r="HR68" s="43"/>
      <c r="HS68" s="43"/>
      <c r="HT68" s="43"/>
      <c r="HU68" s="43"/>
      <c r="HV68" s="43"/>
      <c r="HW68" s="43"/>
      <c r="HX68" s="43"/>
      <c r="HY68" s="43"/>
      <c r="HZ68" s="43"/>
      <c r="IA68" s="43"/>
      <c r="IB68" s="43"/>
      <c r="IC68" s="43"/>
      <c r="ID68" s="43"/>
      <c r="IE68" s="43"/>
      <c r="IF68" s="43"/>
      <c r="IG68" s="43"/>
      <c r="IH68" s="43"/>
      <c r="II68" s="43"/>
      <c r="IJ68" s="43"/>
      <c r="IK68" s="43"/>
      <c r="IL68" s="43"/>
      <c r="IM68" s="43"/>
      <c r="IN68" s="43"/>
      <c r="IO68" s="43"/>
      <c r="IP68" s="43"/>
      <c r="IQ68" s="43"/>
      <c r="IR68" s="43"/>
      <c r="IS68" s="43"/>
      <c r="IT68" s="43"/>
      <c r="IU68" s="43"/>
      <c r="IV68" s="43"/>
      <c r="IW68" s="43"/>
      <c r="IX68" s="43"/>
      <c r="IY68" s="43"/>
      <c r="IZ68" s="43"/>
      <c r="JA68" s="43"/>
      <c r="JB68" s="43"/>
      <c r="JC68" s="43"/>
      <c r="JD68" s="43"/>
      <c r="JE68" s="43"/>
      <c r="JF68" s="43"/>
      <c r="JG68" s="43"/>
      <c r="JH68" s="43"/>
      <c r="JI68" s="43"/>
      <c r="JJ68" s="43"/>
      <c r="JK68" s="43"/>
      <c r="JL68" s="43"/>
      <c r="JM68" s="43"/>
      <c r="JN68" s="43"/>
      <c r="JO68" s="43"/>
      <c r="JP68" s="43"/>
      <c r="JQ68" s="43"/>
      <c r="JR68" s="43"/>
      <c r="JS68" s="43"/>
      <c r="JT68" s="43"/>
      <c r="JU68" s="43"/>
      <c r="JV68" s="43"/>
      <c r="JW68" s="43"/>
      <c r="JX68" s="43"/>
      <c r="JY68" s="43"/>
      <c r="JZ68" s="43"/>
      <c r="KA68" s="43"/>
      <c r="KB68" s="43"/>
      <c r="KC68" s="43"/>
      <c r="KD68" s="43"/>
      <c r="KE68" s="43"/>
      <c r="KF68" s="43"/>
      <c r="KG68" s="43"/>
      <c r="KH68" s="43"/>
      <c r="KI68" s="43"/>
      <c r="KJ68" s="43"/>
      <c r="KK68" s="43"/>
      <c r="KL68" s="43"/>
      <c r="KM68" s="43"/>
      <c r="KN68" s="43"/>
      <c r="KO68" s="43"/>
      <c r="KP68" s="43"/>
      <c r="KQ68" s="43"/>
      <c r="KR68" s="43"/>
      <c r="KS68" s="43"/>
      <c r="KT68" s="43"/>
      <c r="KU68" s="43"/>
      <c r="KV68" s="43"/>
      <c r="KW68" s="43"/>
      <c r="KX68" s="43"/>
      <c r="KY68" s="43"/>
      <c r="KZ68" s="43"/>
      <c r="LA68" s="43"/>
      <c r="LB68" s="43"/>
      <c r="LC68" s="43"/>
      <c r="LD68" s="43"/>
      <c r="LE68" s="43"/>
      <c r="LF68" s="43"/>
      <c r="LG68" s="43"/>
      <c r="LH68" s="43"/>
      <c r="LI68" s="43"/>
      <c r="LJ68" s="43"/>
      <c r="LK68" s="43"/>
      <c r="LL68" s="43"/>
      <c r="LM68" s="43"/>
      <c r="LN68" s="43"/>
      <c r="LO68" s="43"/>
      <c r="LP68" s="43"/>
      <c r="LQ68" s="43"/>
      <c r="LR68" s="43"/>
      <c r="LS68" s="43"/>
      <c r="LT68" s="43"/>
      <c r="LU68" s="43"/>
      <c r="LV68" s="43"/>
      <c r="LW68" s="43"/>
      <c r="LX68" s="43"/>
      <c r="LY68" s="43"/>
      <c r="LZ68" s="43"/>
      <c r="MA68" s="43"/>
      <c r="MB68" s="43"/>
      <c r="MC68" s="43"/>
      <c r="MD68" s="43"/>
      <c r="ME68" s="43"/>
      <c r="MF68" s="43"/>
      <c r="MG68" s="43"/>
      <c r="MH68" s="43"/>
      <c r="MI68" s="43"/>
      <c r="MJ68" s="43"/>
      <c r="MK68" s="43"/>
      <c r="ML68" s="43"/>
      <c r="MM68" s="43"/>
      <c r="MN68" s="43"/>
      <c r="MO68" s="43"/>
      <c r="MP68" s="43"/>
      <c r="MQ68" s="43"/>
      <c r="MR68" s="43"/>
      <c r="MS68" s="43"/>
      <c r="MT68" s="43"/>
      <c r="MU68" s="43"/>
      <c r="MV68" s="43"/>
      <c r="MW68" s="43"/>
      <c r="MX68" s="43"/>
      <c r="MY68" s="43"/>
      <c r="MZ68" s="43"/>
      <c r="NA68" s="43"/>
      <c r="NB68" s="43"/>
      <c r="NC68" s="43"/>
      <c r="ND68" s="43"/>
      <c r="NE68" s="43"/>
      <c r="NF68" s="43"/>
      <c r="NG68" s="43"/>
      <c r="NH68" s="43"/>
      <c r="NI68" s="43"/>
      <c r="NJ68" s="43"/>
      <c r="NK68" s="43"/>
      <c r="NL68" s="43"/>
      <c r="NM68" s="43"/>
      <c r="NN68" s="43"/>
      <c r="NO68" s="43"/>
      <c r="NP68" s="43"/>
      <c r="NQ68" s="43"/>
      <c r="NR68" s="43"/>
      <c r="NS68" s="43"/>
      <c r="NT68" s="43"/>
      <c r="NU68" s="43"/>
      <c r="NV68" s="43"/>
      <c r="NW68" s="43"/>
      <c r="NX68" s="43"/>
      <c r="NY68" s="43"/>
      <c r="NZ68" s="43"/>
      <c r="OA68" s="43"/>
      <c r="OB68" s="43"/>
      <c r="OC68" s="43"/>
      <c r="OD68" s="43"/>
      <c r="OE68" s="43"/>
      <c r="OF68" s="43"/>
      <c r="OG68" s="43"/>
      <c r="OH68" s="43"/>
      <c r="OI68" s="43"/>
      <c r="OJ68" s="43"/>
      <c r="OK68" s="43"/>
      <c r="OL68" s="43"/>
      <c r="OM68" s="43"/>
      <c r="ON68" s="43"/>
      <c r="OO68" s="43"/>
      <c r="OP68" s="43"/>
      <c r="OQ68" s="43"/>
      <c r="OR68" s="43"/>
      <c r="OS68" s="43"/>
      <c r="OT68" s="43"/>
      <c r="OU68" s="43"/>
      <c r="OV68" s="43"/>
      <c r="OW68" s="43"/>
      <c r="OX68" s="43"/>
      <c r="OY68" s="43"/>
      <c r="OZ68" s="43"/>
      <c r="PA68" s="43"/>
      <c r="PB68" s="43"/>
      <c r="PC68" s="43"/>
      <c r="PD68" s="43"/>
      <c r="PE68" s="43"/>
      <c r="PF68" s="43"/>
      <c r="PG68" s="43"/>
      <c r="PH68" s="43"/>
      <c r="PI68" s="43"/>
      <c r="PJ68" s="43"/>
      <c r="PK68" s="43"/>
      <c r="PL68" s="43"/>
      <c r="PM68" s="43"/>
      <c r="PN68" s="43"/>
      <c r="PO68" s="43"/>
      <c r="PP68" s="43"/>
      <c r="PQ68" s="43"/>
      <c r="PR68" s="43"/>
      <c r="PS68" s="43"/>
      <c r="PT68" s="43"/>
      <c r="PU68" s="43"/>
      <c r="PV68" s="43"/>
      <c r="PW68" s="43"/>
      <c r="PX68" s="43"/>
      <c r="PY68" s="43"/>
      <c r="PZ68" s="43"/>
      <c r="QA68" s="43"/>
      <c r="QB68" s="43"/>
      <c r="QC68" s="43"/>
    </row>
    <row r="69" spans="1:445" x14ac:dyDescent="0.3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6" t="str">
        <f t="shared" si="7"/>
        <v/>
      </c>
      <c r="U69" s="46" t="str">
        <f t="shared" si="8"/>
        <v/>
      </c>
      <c r="V69" s="72" t="str">
        <f t="shared" si="9"/>
        <v/>
      </c>
      <c r="W69" s="48"/>
      <c r="X69" s="73" t="str">
        <f t="shared" si="10"/>
        <v/>
      </c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43"/>
      <c r="CY69" s="43"/>
      <c r="CZ69" s="43"/>
      <c r="DA69" s="43"/>
      <c r="DB69" s="43"/>
      <c r="DC69" s="43"/>
      <c r="DD69" s="43"/>
      <c r="DE69" s="43"/>
      <c r="DF69" s="43"/>
      <c r="DG69" s="43"/>
      <c r="DH69" s="43"/>
      <c r="DI69" s="43"/>
      <c r="DJ69" s="43"/>
      <c r="DK69" s="43"/>
      <c r="DL69" s="43"/>
      <c r="DM69" s="43"/>
      <c r="DN69" s="43"/>
      <c r="DO69" s="43"/>
      <c r="DP69" s="43"/>
      <c r="DQ69" s="43"/>
      <c r="DR69" s="43"/>
      <c r="DS69" s="43"/>
      <c r="DT69" s="43"/>
      <c r="DU69" s="43"/>
      <c r="DV69" s="43"/>
      <c r="DW69" s="43"/>
      <c r="DX69" s="43"/>
      <c r="DY69" s="43"/>
      <c r="DZ69" s="43"/>
      <c r="EA69" s="43"/>
      <c r="EB69" s="43"/>
      <c r="EC69" s="43"/>
      <c r="ED69" s="43"/>
      <c r="EE69" s="43"/>
      <c r="EF69" s="43"/>
      <c r="EG69" s="43"/>
      <c r="EH69" s="43"/>
      <c r="EI69" s="43"/>
      <c r="EJ69" s="43"/>
      <c r="EK69" s="43"/>
      <c r="EL69" s="43"/>
      <c r="EM69" s="43"/>
      <c r="EN69" s="43"/>
      <c r="EO69" s="43"/>
      <c r="EP69" s="43"/>
      <c r="EQ69" s="43"/>
      <c r="ER69" s="43"/>
      <c r="ES69" s="43"/>
      <c r="ET69" s="43"/>
      <c r="EU69" s="43"/>
      <c r="EV69" s="43"/>
      <c r="EW69" s="43"/>
      <c r="EX69" s="43"/>
      <c r="EY69" s="43"/>
      <c r="EZ69" s="43"/>
      <c r="FA69" s="43"/>
      <c r="FB69" s="43"/>
      <c r="FC69" s="43"/>
      <c r="FD69" s="43"/>
      <c r="FE69" s="43"/>
      <c r="FF69" s="43"/>
      <c r="FG69" s="43"/>
      <c r="FH69" s="43"/>
      <c r="FI69" s="43"/>
      <c r="FJ69" s="43"/>
      <c r="FK69" s="43"/>
      <c r="FL69" s="43"/>
      <c r="FM69" s="43"/>
      <c r="FN69" s="43"/>
      <c r="FO69" s="43"/>
      <c r="FP69" s="43"/>
      <c r="FQ69" s="43"/>
      <c r="FR69" s="43"/>
      <c r="FS69" s="43"/>
      <c r="FT69" s="43"/>
      <c r="FU69" s="43"/>
      <c r="FV69" s="43"/>
      <c r="FW69" s="43"/>
      <c r="FX69" s="43"/>
      <c r="FY69" s="43"/>
      <c r="FZ69" s="43"/>
      <c r="GA69" s="43"/>
      <c r="GB69" s="43"/>
      <c r="GC69" s="43"/>
      <c r="GD69" s="43"/>
      <c r="GE69" s="43"/>
      <c r="GF69" s="43"/>
      <c r="GG69" s="43"/>
      <c r="GH69" s="43"/>
      <c r="GI69" s="43"/>
      <c r="GJ69" s="43"/>
      <c r="GK69" s="43"/>
      <c r="GL69" s="43"/>
      <c r="GM69" s="43"/>
      <c r="GN69" s="43"/>
      <c r="GO69" s="43"/>
      <c r="GP69" s="43"/>
      <c r="GQ69" s="43"/>
      <c r="GR69" s="43"/>
      <c r="GS69" s="43"/>
      <c r="GT69" s="43"/>
      <c r="GU69" s="43"/>
      <c r="GV69" s="43"/>
      <c r="GW69" s="43"/>
      <c r="GX69" s="43"/>
      <c r="GY69" s="43"/>
      <c r="GZ69" s="43"/>
      <c r="HA69" s="43"/>
      <c r="HB69" s="43"/>
      <c r="HC69" s="43"/>
      <c r="HD69" s="43"/>
      <c r="HE69" s="43"/>
      <c r="HF69" s="43"/>
      <c r="HG69" s="43"/>
      <c r="HH69" s="43"/>
      <c r="HI69" s="43"/>
      <c r="HJ69" s="43"/>
      <c r="HK69" s="43"/>
      <c r="HL69" s="43"/>
      <c r="HM69" s="43"/>
      <c r="HN69" s="43"/>
      <c r="HO69" s="43"/>
      <c r="HP69" s="43"/>
      <c r="HQ69" s="43"/>
      <c r="HR69" s="43"/>
      <c r="HS69" s="43"/>
      <c r="HT69" s="43"/>
      <c r="HU69" s="43"/>
      <c r="HV69" s="43"/>
      <c r="HW69" s="43"/>
      <c r="HX69" s="43"/>
      <c r="HY69" s="43"/>
      <c r="HZ69" s="43"/>
      <c r="IA69" s="43"/>
      <c r="IB69" s="43"/>
      <c r="IC69" s="43"/>
      <c r="ID69" s="43"/>
      <c r="IE69" s="43"/>
      <c r="IF69" s="43"/>
      <c r="IG69" s="43"/>
      <c r="IH69" s="43"/>
      <c r="II69" s="43"/>
      <c r="IJ69" s="43"/>
      <c r="IK69" s="43"/>
      <c r="IL69" s="43"/>
      <c r="IM69" s="43"/>
      <c r="IN69" s="43"/>
      <c r="IO69" s="43"/>
      <c r="IP69" s="43"/>
      <c r="IQ69" s="43"/>
      <c r="IR69" s="43"/>
      <c r="IS69" s="43"/>
      <c r="IT69" s="43"/>
      <c r="IU69" s="43"/>
      <c r="IV69" s="43"/>
      <c r="IW69" s="43"/>
      <c r="IX69" s="43"/>
      <c r="IY69" s="43"/>
      <c r="IZ69" s="43"/>
      <c r="JA69" s="43"/>
      <c r="JB69" s="43"/>
      <c r="JC69" s="43"/>
      <c r="JD69" s="43"/>
      <c r="JE69" s="43"/>
      <c r="JF69" s="43"/>
      <c r="JG69" s="43"/>
      <c r="JH69" s="43"/>
      <c r="JI69" s="43"/>
      <c r="JJ69" s="43"/>
      <c r="JK69" s="43"/>
      <c r="JL69" s="43"/>
      <c r="JM69" s="43"/>
      <c r="JN69" s="43"/>
      <c r="JO69" s="43"/>
      <c r="JP69" s="43"/>
      <c r="JQ69" s="43"/>
      <c r="JR69" s="43"/>
      <c r="JS69" s="43"/>
      <c r="JT69" s="43"/>
      <c r="JU69" s="43"/>
      <c r="JV69" s="43"/>
      <c r="JW69" s="43"/>
      <c r="JX69" s="43"/>
      <c r="JY69" s="43"/>
      <c r="JZ69" s="43"/>
      <c r="KA69" s="43"/>
      <c r="KB69" s="43"/>
      <c r="KC69" s="43"/>
      <c r="KD69" s="43"/>
      <c r="KE69" s="43"/>
      <c r="KF69" s="43"/>
      <c r="KG69" s="43"/>
      <c r="KH69" s="43"/>
      <c r="KI69" s="43"/>
      <c r="KJ69" s="43"/>
      <c r="KK69" s="43"/>
      <c r="KL69" s="43"/>
      <c r="KM69" s="43"/>
      <c r="KN69" s="43"/>
      <c r="KO69" s="43"/>
      <c r="KP69" s="43"/>
      <c r="KQ69" s="43"/>
      <c r="KR69" s="43"/>
      <c r="KS69" s="43"/>
      <c r="KT69" s="43"/>
      <c r="KU69" s="43"/>
      <c r="KV69" s="43"/>
      <c r="KW69" s="43"/>
      <c r="KX69" s="43"/>
      <c r="KY69" s="43"/>
      <c r="KZ69" s="43"/>
      <c r="LA69" s="43"/>
      <c r="LB69" s="43"/>
      <c r="LC69" s="43"/>
      <c r="LD69" s="43"/>
      <c r="LE69" s="43"/>
      <c r="LF69" s="43"/>
      <c r="LG69" s="43"/>
      <c r="LH69" s="43"/>
      <c r="LI69" s="43"/>
      <c r="LJ69" s="43"/>
      <c r="LK69" s="43"/>
      <c r="LL69" s="43"/>
      <c r="LM69" s="43"/>
      <c r="LN69" s="43"/>
      <c r="LO69" s="43"/>
      <c r="LP69" s="43"/>
      <c r="LQ69" s="43"/>
      <c r="LR69" s="43"/>
      <c r="LS69" s="43"/>
      <c r="LT69" s="43"/>
      <c r="LU69" s="43"/>
      <c r="LV69" s="43"/>
      <c r="LW69" s="43"/>
      <c r="LX69" s="43"/>
      <c r="LY69" s="43"/>
      <c r="LZ69" s="43"/>
      <c r="MA69" s="43"/>
      <c r="MB69" s="43"/>
      <c r="MC69" s="43"/>
      <c r="MD69" s="43"/>
      <c r="ME69" s="43"/>
      <c r="MF69" s="43"/>
      <c r="MG69" s="43"/>
      <c r="MH69" s="43"/>
      <c r="MI69" s="43"/>
      <c r="MJ69" s="43"/>
      <c r="MK69" s="43"/>
      <c r="ML69" s="43"/>
      <c r="MM69" s="43"/>
      <c r="MN69" s="43"/>
      <c r="MO69" s="43"/>
      <c r="MP69" s="43"/>
      <c r="MQ69" s="43"/>
      <c r="MR69" s="43"/>
      <c r="MS69" s="43"/>
      <c r="MT69" s="43"/>
      <c r="MU69" s="43"/>
      <c r="MV69" s="43"/>
      <c r="MW69" s="43"/>
      <c r="MX69" s="43"/>
      <c r="MY69" s="43"/>
      <c r="MZ69" s="43"/>
      <c r="NA69" s="43"/>
      <c r="NB69" s="43"/>
      <c r="NC69" s="43"/>
      <c r="ND69" s="43"/>
      <c r="NE69" s="43"/>
      <c r="NF69" s="43"/>
      <c r="NG69" s="43"/>
      <c r="NH69" s="43"/>
      <c r="NI69" s="43"/>
      <c r="NJ69" s="43"/>
      <c r="NK69" s="43"/>
      <c r="NL69" s="43"/>
      <c r="NM69" s="43"/>
      <c r="NN69" s="43"/>
      <c r="NO69" s="43"/>
      <c r="NP69" s="43"/>
      <c r="NQ69" s="43"/>
      <c r="NR69" s="43"/>
      <c r="NS69" s="43"/>
      <c r="NT69" s="43"/>
      <c r="NU69" s="43"/>
      <c r="NV69" s="43"/>
      <c r="NW69" s="43"/>
      <c r="NX69" s="43"/>
      <c r="NY69" s="43"/>
      <c r="NZ69" s="43"/>
      <c r="OA69" s="43"/>
      <c r="OB69" s="43"/>
      <c r="OC69" s="43"/>
      <c r="OD69" s="43"/>
      <c r="OE69" s="43"/>
      <c r="OF69" s="43"/>
      <c r="OG69" s="43"/>
      <c r="OH69" s="43"/>
      <c r="OI69" s="43"/>
      <c r="OJ69" s="43"/>
      <c r="OK69" s="43"/>
      <c r="OL69" s="43"/>
      <c r="OM69" s="43"/>
      <c r="ON69" s="43"/>
      <c r="OO69" s="43"/>
      <c r="OP69" s="43"/>
      <c r="OQ69" s="43"/>
      <c r="OR69" s="43"/>
      <c r="OS69" s="43"/>
      <c r="OT69" s="43"/>
      <c r="OU69" s="43"/>
      <c r="OV69" s="43"/>
      <c r="OW69" s="43"/>
      <c r="OX69" s="43"/>
      <c r="OY69" s="43"/>
      <c r="OZ69" s="43"/>
      <c r="PA69" s="43"/>
      <c r="PB69" s="43"/>
      <c r="PC69" s="43"/>
      <c r="PD69" s="43"/>
      <c r="PE69" s="43"/>
      <c r="PF69" s="43"/>
      <c r="PG69" s="43"/>
      <c r="PH69" s="43"/>
      <c r="PI69" s="43"/>
      <c r="PJ69" s="43"/>
      <c r="PK69" s="43"/>
      <c r="PL69" s="43"/>
      <c r="PM69" s="43"/>
      <c r="PN69" s="43"/>
      <c r="PO69" s="43"/>
      <c r="PP69" s="43"/>
      <c r="PQ69" s="43"/>
      <c r="PR69" s="43"/>
      <c r="PS69" s="43"/>
      <c r="PT69" s="43"/>
      <c r="PU69" s="43"/>
      <c r="PV69" s="43"/>
      <c r="PW69" s="43"/>
      <c r="PX69" s="43"/>
      <c r="PY69" s="43"/>
      <c r="PZ69" s="43"/>
      <c r="QA69" s="43"/>
      <c r="QB69" s="43"/>
      <c r="QC69" s="43"/>
    </row>
    <row r="70" spans="1:445" x14ac:dyDescent="0.3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6" t="str">
        <f t="shared" si="7"/>
        <v/>
      </c>
      <c r="U70" s="46" t="str">
        <f t="shared" si="8"/>
        <v/>
      </c>
      <c r="V70" s="72" t="str">
        <f t="shared" si="9"/>
        <v/>
      </c>
      <c r="W70" s="48"/>
      <c r="X70" s="73" t="str">
        <f t="shared" si="10"/>
        <v/>
      </c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43"/>
      <c r="CY70" s="43"/>
      <c r="CZ70" s="43"/>
      <c r="DA70" s="43"/>
      <c r="DB70" s="43"/>
      <c r="DC70" s="43"/>
      <c r="DD70" s="43"/>
      <c r="DE70" s="43"/>
      <c r="DF70" s="43"/>
      <c r="DG70" s="43"/>
      <c r="DH70" s="43"/>
      <c r="DI70" s="43"/>
      <c r="DJ70" s="43"/>
      <c r="DK70" s="43"/>
      <c r="DL70" s="43"/>
      <c r="DM70" s="43"/>
      <c r="DN70" s="43"/>
      <c r="DO70" s="43"/>
      <c r="DP70" s="43"/>
      <c r="DQ70" s="43"/>
      <c r="DR70" s="43"/>
      <c r="DS70" s="43"/>
      <c r="DT70" s="43"/>
      <c r="DU70" s="43"/>
      <c r="DV70" s="43"/>
      <c r="DW70" s="43"/>
      <c r="DX70" s="43"/>
      <c r="DY70" s="43"/>
      <c r="DZ70" s="43"/>
      <c r="EA70" s="43"/>
      <c r="EB70" s="43"/>
      <c r="EC70" s="43"/>
      <c r="ED70" s="43"/>
      <c r="EE70" s="43"/>
      <c r="EF70" s="43"/>
      <c r="EG70" s="43"/>
      <c r="EH70" s="43"/>
      <c r="EI70" s="43"/>
      <c r="EJ70" s="43"/>
      <c r="EK70" s="43"/>
      <c r="EL70" s="43"/>
      <c r="EM70" s="43"/>
      <c r="EN70" s="43"/>
      <c r="EO70" s="43"/>
      <c r="EP70" s="43"/>
      <c r="EQ70" s="43"/>
      <c r="ER70" s="43"/>
      <c r="ES70" s="43"/>
      <c r="ET70" s="43"/>
      <c r="EU70" s="43"/>
      <c r="EV70" s="43"/>
      <c r="EW70" s="43"/>
      <c r="EX70" s="43"/>
      <c r="EY70" s="43"/>
      <c r="EZ70" s="43"/>
      <c r="FA70" s="43"/>
      <c r="FB70" s="43"/>
      <c r="FC70" s="43"/>
      <c r="FD70" s="43"/>
      <c r="FE70" s="43"/>
      <c r="FF70" s="43"/>
      <c r="FG70" s="43"/>
      <c r="FH70" s="43"/>
      <c r="FI70" s="43"/>
      <c r="FJ70" s="43"/>
      <c r="FK70" s="43"/>
      <c r="FL70" s="43"/>
      <c r="FM70" s="43"/>
      <c r="FN70" s="43"/>
      <c r="FO70" s="43"/>
      <c r="FP70" s="43"/>
      <c r="FQ70" s="43"/>
      <c r="FR70" s="43"/>
      <c r="FS70" s="43"/>
      <c r="FT70" s="43"/>
      <c r="FU70" s="43"/>
      <c r="FV70" s="43"/>
      <c r="FW70" s="43"/>
      <c r="FX70" s="43"/>
      <c r="FY70" s="43"/>
      <c r="FZ70" s="43"/>
      <c r="GA70" s="43"/>
      <c r="GB70" s="43"/>
      <c r="GC70" s="43"/>
      <c r="GD70" s="43"/>
      <c r="GE70" s="43"/>
      <c r="GF70" s="43"/>
      <c r="GG70" s="43"/>
      <c r="GH70" s="43"/>
      <c r="GI70" s="43"/>
      <c r="GJ70" s="43"/>
      <c r="GK70" s="43"/>
      <c r="GL70" s="43"/>
      <c r="GM70" s="43"/>
      <c r="GN70" s="43"/>
      <c r="GO70" s="43"/>
      <c r="GP70" s="43"/>
      <c r="GQ70" s="43"/>
      <c r="GR70" s="43"/>
      <c r="GS70" s="43"/>
      <c r="GT70" s="43"/>
      <c r="GU70" s="43"/>
      <c r="GV70" s="43"/>
      <c r="GW70" s="43"/>
      <c r="GX70" s="43"/>
      <c r="GY70" s="43"/>
      <c r="GZ70" s="43"/>
      <c r="HA70" s="43"/>
      <c r="HB70" s="43"/>
      <c r="HC70" s="43"/>
      <c r="HD70" s="43"/>
      <c r="HE70" s="43"/>
      <c r="HF70" s="43"/>
      <c r="HG70" s="43"/>
      <c r="HH70" s="43"/>
      <c r="HI70" s="43"/>
      <c r="HJ70" s="43"/>
      <c r="HK70" s="43"/>
      <c r="HL70" s="43"/>
      <c r="HM70" s="43"/>
      <c r="HN70" s="43"/>
      <c r="HO70" s="43"/>
      <c r="HP70" s="43"/>
      <c r="HQ70" s="43"/>
      <c r="HR70" s="43"/>
      <c r="HS70" s="43"/>
      <c r="HT70" s="43"/>
      <c r="HU70" s="43"/>
      <c r="HV70" s="43"/>
      <c r="HW70" s="43"/>
      <c r="HX70" s="43"/>
      <c r="HY70" s="43"/>
      <c r="HZ70" s="43"/>
      <c r="IA70" s="43"/>
      <c r="IB70" s="43"/>
      <c r="IC70" s="43"/>
      <c r="ID70" s="43"/>
      <c r="IE70" s="43"/>
      <c r="IF70" s="43"/>
      <c r="IG70" s="43"/>
      <c r="IH70" s="43"/>
      <c r="II70" s="43"/>
      <c r="IJ70" s="43"/>
      <c r="IK70" s="43"/>
      <c r="IL70" s="43"/>
      <c r="IM70" s="43"/>
      <c r="IN70" s="43"/>
      <c r="IO70" s="43"/>
      <c r="IP70" s="43"/>
      <c r="IQ70" s="43"/>
      <c r="IR70" s="43"/>
      <c r="IS70" s="43"/>
      <c r="IT70" s="43"/>
      <c r="IU70" s="43"/>
      <c r="IV70" s="43"/>
      <c r="IW70" s="43"/>
      <c r="IX70" s="43"/>
      <c r="IY70" s="43"/>
      <c r="IZ70" s="43"/>
      <c r="JA70" s="43"/>
      <c r="JB70" s="43"/>
      <c r="JC70" s="43"/>
      <c r="JD70" s="43"/>
      <c r="JE70" s="43"/>
      <c r="JF70" s="43"/>
      <c r="JG70" s="43"/>
      <c r="JH70" s="43"/>
      <c r="JI70" s="43"/>
      <c r="JJ70" s="43"/>
      <c r="JK70" s="43"/>
      <c r="JL70" s="43"/>
      <c r="JM70" s="43"/>
      <c r="JN70" s="43"/>
      <c r="JO70" s="43"/>
      <c r="JP70" s="43"/>
      <c r="JQ70" s="43"/>
      <c r="JR70" s="43"/>
      <c r="JS70" s="43"/>
      <c r="JT70" s="43"/>
      <c r="JU70" s="43"/>
      <c r="JV70" s="43"/>
      <c r="JW70" s="43"/>
      <c r="JX70" s="43"/>
      <c r="JY70" s="43"/>
      <c r="JZ70" s="43"/>
      <c r="KA70" s="43"/>
      <c r="KB70" s="43"/>
      <c r="KC70" s="43"/>
      <c r="KD70" s="43"/>
      <c r="KE70" s="43"/>
      <c r="KF70" s="43"/>
      <c r="KG70" s="43"/>
      <c r="KH70" s="43"/>
      <c r="KI70" s="43"/>
      <c r="KJ70" s="43"/>
      <c r="KK70" s="43"/>
      <c r="KL70" s="43"/>
      <c r="KM70" s="43"/>
      <c r="KN70" s="43"/>
      <c r="KO70" s="43"/>
      <c r="KP70" s="43"/>
      <c r="KQ70" s="43"/>
      <c r="KR70" s="43"/>
      <c r="KS70" s="43"/>
      <c r="KT70" s="43"/>
      <c r="KU70" s="43"/>
      <c r="KV70" s="43"/>
      <c r="KW70" s="43"/>
      <c r="KX70" s="43"/>
      <c r="KY70" s="43"/>
      <c r="KZ70" s="43"/>
      <c r="LA70" s="43"/>
      <c r="LB70" s="43"/>
      <c r="LC70" s="43"/>
      <c r="LD70" s="43"/>
      <c r="LE70" s="43"/>
      <c r="LF70" s="43"/>
      <c r="LG70" s="43"/>
      <c r="LH70" s="43"/>
      <c r="LI70" s="43"/>
      <c r="LJ70" s="43"/>
      <c r="LK70" s="43"/>
      <c r="LL70" s="43"/>
      <c r="LM70" s="43"/>
      <c r="LN70" s="43"/>
      <c r="LO70" s="43"/>
      <c r="LP70" s="43"/>
      <c r="LQ70" s="43"/>
      <c r="LR70" s="43"/>
      <c r="LS70" s="43"/>
      <c r="LT70" s="43"/>
      <c r="LU70" s="43"/>
      <c r="LV70" s="43"/>
      <c r="LW70" s="43"/>
      <c r="LX70" s="43"/>
      <c r="LY70" s="43"/>
      <c r="LZ70" s="43"/>
      <c r="MA70" s="43"/>
      <c r="MB70" s="43"/>
      <c r="MC70" s="43"/>
      <c r="MD70" s="43"/>
      <c r="ME70" s="43"/>
      <c r="MF70" s="43"/>
      <c r="MG70" s="43"/>
      <c r="MH70" s="43"/>
      <c r="MI70" s="43"/>
      <c r="MJ70" s="43"/>
      <c r="MK70" s="43"/>
      <c r="ML70" s="43"/>
      <c r="MM70" s="43"/>
      <c r="MN70" s="43"/>
      <c r="MO70" s="43"/>
      <c r="MP70" s="43"/>
      <c r="MQ70" s="43"/>
      <c r="MR70" s="43"/>
      <c r="MS70" s="43"/>
      <c r="MT70" s="43"/>
      <c r="MU70" s="43"/>
      <c r="MV70" s="43"/>
      <c r="MW70" s="43"/>
      <c r="MX70" s="43"/>
      <c r="MY70" s="43"/>
      <c r="MZ70" s="43"/>
      <c r="NA70" s="43"/>
      <c r="NB70" s="43"/>
      <c r="NC70" s="43"/>
      <c r="ND70" s="43"/>
      <c r="NE70" s="43"/>
      <c r="NF70" s="43"/>
      <c r="NG70" s="43"/>
      <c r="NH70" s="43"/>
      <c r="NI70" s="43"/>
      <c r="NJ70" s="43"/>
      <c r="NK70" s="43"/>
      <c r="NL70" s="43"/>
      <c r="NM70" s="43"/>
      <c r="NN70" s="43"/>
      <c r="NO70" s="43"/>
      <c r="NP70" s="43"/>
      <c r="NQ70" s="43"/>
      <c r="NR70" s="43"/>
      <c r="NS70" s="43"/>
      <c r="NT70" s="43"/>
      <c r="NU70" s="43"/>
      <c r="NV70" s="43"/>
      <c r="NW70" s="43"/>
      <c r="NX70" s="43"/>
      <c r="NY70" s="43"/>
      <c r="NZ70" s="43"/>
      <c r="OA70" s="43"/>
      <c r="OB70" s="43"/>
      <c r="OC70" s="43"/>
      <c r="OD70" s="43"/>
      <c r="OE70" s="43"/>
      <c r="OF70" s="43"/>
      <c r="OG70" s="43"/>
      <c r="OH70" s="43"/>
      <c r="OI70" s="43"/>
      <c r="OJ70" s="43"/>
      <c r="OK70" s="43"/>
      <c r="OL70" s="43"/>
      <c r="OM70" s="43"/>
      <c r="ON70" s="43"/>
      <c r="OO70" s="43"/>
      <c r="OP70" s="43"/>
      <c r="OQ70" s="43"/>
      <c r="OR70" s="43"/>
      <c r="OS70" s="43"/>
      <c r="OT70" s="43"/>
      <c r="OU70" s="43"/>
      <c r="OV70" s="43"/>
      <c r="OW70" s="43"/>
      <c r="OX70" s="43"/>
      <c r="OY70" s="43"/>
      <c r="OZ70" s="43"/>
      <c r="PA70" s="43"/>
      <c r="PB70" s="43"/>
      <c r="PC70" s="43"/>
      <c r="PD70" s="43"/>
      <c r="PE70" s="43"/>
      <c r="PF70" s="43"/>
      <c r="PG70" s="43"/>
      <c r="PH70" s="43"/>
      <c r="PI70" s="43"/>
      <c r="PJ70" s="43"/>
      <c r="PK70" s="43"/>
      <c r="PL70" s="43"/>
      <c r="PM70" s="43"/>
      <c r="PN70" s="43"/>
      <c r="PO70" s="43"/>
      <c r="PP70" s="43"/>
      <c r="PQ70" s="43"/>
      <c r="PR70" s="43"/>
      <c r="PS70" s="43"/>
      <c r="PT70" s="43"/>
      <c r="PU70" s="43"/>
      <c r="PV70" s="43"/>
      <c r="PW70" s="43"/>
      <c r="PX70" s="43"/>
      <c r="PY70" s="43"/>
      <c r="PZ70" s="43"/>
      <c r="QA70" s="43"/>
      <c r="QB70" s="43"/>
      <c r="QC70" s="43"/>
    </row>
    <row r="71" spans="1:445" x14ac:dyDescent="0.3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6" t="str">
        <f t="shared" si="7"/>
        <v/>
      </c>
      <c r="U71" s="46" t="str">
        <f t="shared" si="8"/>
        <v/>
      </c>
      <c r="V71" s="72" t="str">
        <f t="shared" si="9"/>
        <v/>
      </c>
      <c r="W71" s="48"/>
      <c r="X71" s="73" t="str">
        <f t="shared" si="10"/>
        <v/>
      </c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43"/>
      <c r="CY71" s="43"/>
      <c r="CZ71" s="43"/>
      <c r="DA71" s="43"/>
      <c r="DB71" s="43"/>
      <c r="DC71" s="43"/>
      <c r="DD71" s="43"/>
      <c r="DE71" s="43"/>
      <c r="DF71" s="43"/>
      <c r="DG71" s="43"/>
      <c r="DH71" s="43"/>
      <c r="DI71" s="43"/>
      <c r="DJ71" s="43"/>
      <c r="DK71" s="43"/>
      <c r="DL71" s="43"/>
      <c r="DM71" s="43"/>
      <c r="DN71" s="43"/>
      <c r="DO71" s="43"/>
      <c r="DP71" s="43"/>
      <c r="DQ71" s="43"/>
      <c r="DR71" s="43"/>
      <c r="DS71" s="43"/>
      <c r="DT71" s="43"/>
      <c r="DU71" s="43"/>
      <c r="DV71" s="43"/>
      <c r="DW71" s="43"/>
      <c r="DX71" s="43"/>
      <c r="DY71" s="43"/>
      <c r="DZ71" s="43"/>
      <c r="EA71" s="43"/>
      <c r="EB71" s="43"/>
      <c r="EC71" s="43"/>
      <c r="ED71" s="43"/>
      <c r="EE71" s="43"/>
      <c r="EF71" s="43"/>
      <c r="EG71" s="43"/>
      <c r="EH71" s="43"/>
      <c r="EI71" s="43"/>
      <c r="EJ71" s="43"/>
      <c r="EK71" s="43"/>
      <c r="EL71" s="43"/>
      <c r="EM71" s="43"/>
      <c r="EN71" s="43"/>
      <c r="EO71" s="43"/>
      <c r="EP71" s="43"/>
      <c r="EQ71" s="43"/>
      <c r="ER71" s="43"/>
      <c r="ES71" s="43"/>
      <c r="ET71" s="43"/>
      <c r="EU71" s="43"/>
      <c r="EV71" s="43"/>
      <c r="EW71" s="43"/>
      <c r="EX71" s="43"/>
      <c r="EY71" s="43"/>
      <c r="EZ71" s="43"/>
      <c r="FA71" s="43"/>
      <c r="FB71" s="43"/>
      <c r="FC71" s="43"/>
      <c r="FD71" s="43"/>
      <c r="FE71" s="43"/>
      <c r="FF71" s="43"/>
      <c r="FG71" s="43"/>
      <c r="FH71" s="43"/>
      <c r="FI71" s="43"/>
      <c r="FJ71" s="43"/>
      <c r="FK71" s="43"/>
      <c r="FL71" s="43"/>
      <c r="FM71" s="43"/>
      <c r="FN71" s="43"/>
      <c r="FO71" s="43"/>
      <c r="FP71" s="43"/>
      <c r="FQ71" s="43"/>
      <c r="FR71" s="43"/>
      <c r="FS71" s="43"/>
      <c r="FT71" s="43"/>
      <c r="FU71" s="43"/>
      <c r="FV71" s="43"/>
      <c r="FW71" s="43"/>
      <c r="FX71" s="43"/>
      <c r="FY71" s="43"/>
      <c r="FZ71" s="43"/>
      <c r="GA71" s="43"/>
      <c r="GB71" s="43"/>
      <c r="GC71" s="43"/>
      <c r="GD71" s="43"/>
      <c r="GE71" s="43"/>
      <c r="GF71" s="43"/>
      <c r="GG71" s="43"/>
      <c r="GH71" s="43"/>
      <c r="GI71" s="43"/>
      <c r="GJ71" s="43"/>
      <c r="GK71" s="43"/>
      <c r="GL71" s="43"/>
      <c r="GM71" s="43"/>
      <c r="GN71" s="43"/>
      <c r="GO71" s="43"/>
      <c r="GP71" s="43"/>
      <c r="GQ71" s="43"/>
      <c r="GR71" s="43"/>
      <c r="GS71" s="43"/>
      <c r="GT71" s="43"/>
      <c r="GU71" s="43"/>
      <c r="GV71" s="43"/>
      <c r="GW71" s="43"/>
      <c r="GX71" s="43"/>
      <c r="GY71" s="43"/>
      <c r="GZ71" s="43"/>
      <c r="HA71" s="43"/>
      <c r="HB71" s="43"/>
      <c r="HC71" s="43"/>
      <c r="HD71" s="43"/>
      <c r="HE71" s="43"/>
      <c r="HF71" s="43"/>
      <c r="HG71" s="43"/>
      <c r="HH71" s="43"/>
      <c r="HI71" s="43"/>
      <c r="HJ71" s="43"/>
      <c r="HK71" s="43"/>
      <c r="HL71" s="43"/>
      <c r="HM71" s="43"/>
      <c r="HN71" s="43"/>
      <c r="HO71" s="43"/>
      <c r="HP71" s="43"/>
      <c r="HQ71" s="43"/>
      <c r="HR71" s="43"/>
      <c r="HS71" s="43"/>
      <c r="HT71" s="43"/>
      <c r="HU71" s="43"/>
      <c r="HV71" s="43"/>
      <c r="HW71" s="43"/>
      <c r="HX71" s="43"/>
      <c r="HY71" s="43"/>
      <c r="HZ71" s="43"/>
      <c r="IA71" s="43"/>
      <c r="IB71" s="43"/>
      <c r="IC71" s="43"/>
      <c r="ID71" s="43"/>
      <c r="IE71" s="43"/>
      <c r="IF71" s="43"/>
      <c r="IG71" s="43"/>
      <c r="IH71" s="43"/>
      <c r="II71" s="43"/>
      <c r="IJ71" s="43"/>
      <c r="IK71" s="43"/>
      <c r="IL71" s="43"/>
      <c r="IM71" s="43"/>
      <c r="IN71" s="43"/>
      <c r="IO71" s="43"/>
      <c r="IP71" s="43"/>
      <c r="IQ71" s="43"/>
      <c r="IR71" s="43"/>
      <c r="IS71" s="43"/>
      <c r="IT71" s="43"/>
      <c r="IU71" s="43"/>
      <c r="IV71" s="43"/>
      <c r="IW71" s="43"/>
      <c r="IX71" s="43"/>
      <c r="IY71" s="43"/>
      <c r="IZ71" s="43"/>
      <c r="JA71" s="43"/>
      <c r="JB71" s="43"/>
      <c r="JC71" s="43"/>
      <c r="JD71" s="43"/>
      <c r="JE71" s="43"/>
      <c r="JF71" s="43"/>
      <c r="JG71" s="43"/>
      <c r="JH71" s="43"/>
      <c r="JI71" s="43"/>
      <c r="JJ71" s="43"/>
      <c r="JK71" s="43"/>
      <c r="JL71" s="43"/>
      <c r="JM71" s="43"/>
      <c r="JN71" s="43"/>
      <c r="JO71" s="43"/>
      <c r="JP71" s="43"/>
      <c r="JQ71" s="43"/>
      <c r="JR71" s="43"/>
      <c r="JS71" s="43"/>
      <c r="JT71" s="43"/>
      <c r="JU71" s="43"/>
      <c r="JV71" s="43"/>
      <c r="JW71" s="43"/>
      <c r="JX71" s="43"/>
      <c r="JY71" s="43"/>
      <c r="JZ71" s="43"/>
      <c r="KA71" s="43"/>
      <c r="KB71" s="43"/>
      <c r="KC71" s="43"/>
      <c r="KD71" s="43"/>
      <c r="KE71" s="43"/>
      <c r="KF71" s="43"/>
      <c r="KG71" s="43"/>
      <c r="KH71" s="43"/>
      <c r="KI71" s="43"/>
      <c r="KJ71" s="43"/>
      <c r="KK71" s="43"/>
      <c r="KL71" s="43"/>
      <c r="KM71" s="43"/>
      <c r="KN71" s="43"/>
      <c r="KO71" s="43"/>
      <c r="KP71" s="43"/>
      <c r="KQ71" s="43"/>
      <c r="KR71" s="43"/>
      <c r="KS71" s="43"/>
      <c r="KT71" s="43"/>
      <c r="KU71" s="43"/>
      <c r="KV71" s="43"/>
      <c r="KW71" s="43"/>
      <c r="KX71" s="43"/>
      <c r="KY71" s="43"/>
      <c r="KZ71" s="43"/>
      <c r="LA71" s="43"/>
      <c r="LB71" s="43"/>
      <c r="LC71" s="43"/>
      <c r="LD71" s="43"/>
      <c r="LE71" s="43"/>
      <c r="LF71" s="43"/>
      <c r="LG71" s="43"/>
      <c r="LH71" s="43"/>
      <c r="LI71" s="43"/>
      <c r="LJ71" s="43"/>
      <c r="LK71" s="43"/>
      <c r="LL71" s="43"/>
      <c r="LM71" s="43"/>
      <c r="LN71" s="43"/>
      <c r="LO71" s="43"/>
      <c r="LP71" s="43"/>
      <c r="LQ71" s="43"/>
      <c r="LR71" s="43"/>
      <c r="LS71" s="43"/>
      <c r="LT71" s="43"/>
      <c r="LU71" s="43"/>
      <c r="LV71" s="43"/>
      <c r="LW71" s="43"/>
      <c r="LX71" s="43"/>
      <c r="LY71" s="43"/>
      <c r="LZ71" s="43"/>
      <c r="MA71" s="43"/>
      <c r="MB71" s="43"/>
      <c r="MC71" s="43"/>
      <c r="MD71" s="43"/>
      <c r="ME71" s="43"/>
      <c r="MF71" s="43"/>
      <c r="MG71" s="43"/>
      <c r="MH71" s="43"/>
      <c r="MI71" s="43"/>
      <c r="MJ71" s="43"/>
      <c r="MK71" s="43"/>
      <c r="ML71" s="43"/>
      <c r="MM71" s="43"/>
      <c r="MN71" s="43"/>
      <c r="MO71" s="43"/>
      <c r="MP71" s="43"/>
      <c r="MQ71" s="43"/>
      <c r="MR71" s="43"/>
      <c r="MS71" s="43"/>
      <c r="MT71" s="43"/>
      <c r="MU71" s="43"/>
      <c r="MV71" s="43"/>
      <c r="MW71" s="43"/>
      <c r="MX71" s="43"/>
      <c r="MY71" s="43"/>
      <c r="MZ71" s="43"/>
      <c r="NA71" s="43"/>
      <c r="NB71" s="43"/>
      <c r="NC71" s="43"/>
      <c r="ND71" s="43"/>
      <c r="NE71" s="43"/>
      <c r="NF71" s="43"/>
      <c r="NG71" s="43"/>
      <c r="NH71" s="43"/>
      <c r="NI71" s="43"/>
      <c r="NJ71" s="43"/>
      <c r="NK71" s="43"/>
      <c r="NL71" s="43"/>
      <c r="NM71" s="43"/>
      <c r="NN71" s="43"/>
      <c r="NO71" s="43"/>
      <c r="NP71" s="43"/>
      <c r="NQ71" s="43"/>
      <c r="NR71" s="43"/>
      <c r="NS71" s="43"/>
      <c r="NT71" s="43"/>
      <c r="NU71" s="43"/>
      <c r="NV71" s="43"/>
      <c r="NW71" s="43"/>
      <c r="NX71" s="43"/>
      <c r="NY71" s="43"/>
      <c r="NZ71" s="43"/>
      <c r="OA71" s="43"/>
      <c r="OB71" s="43"/>
      <c r="OC71" s="43"/>
      <c r="OD71" s="43"/>
      <c r="OE71" s="43"/>
      <c r="OF71" s="43"/>
      <c r="OG71" s="43"/>
      <c r="OH71" s="43"/>
      <c r="OI71" s="43"/>
      <c r="OJ71" s="43"/>
      <c r="OK71" s="43"/>
      <c r="OL71" s="43"/>
      <c r="OM71" s="43"/>
      <c r="ON71" s="43"/>
      <c r="OO71" s="43"/>
      <c r="OP71" s="43"/>
      <c r="OQ71" s="43"/>
      <c r="OR71" s="43"/>
      <c r="OS71" s="43"/>
      <c r="OT71" s="43"/>
      <c r="OU71" s="43"/>
      <c r="OV71" s="43"/>
      <c r="OW71" s="43"/>
      <c r="OX71" s="43"/>
      <c r="OY71" s="43"/>
      <c r="OZ71" s="43"/>
      <c r="PA71" s="43"/>
      <c r="PB71" s="43"/>
      <c r="PC71" s="43"/>
      <c r="PD71" s="43"/>
      <c r="PE71" s="43"/>
      <c r="PF71" s="43"/>
      <c r="PG71" s="43"/>
      <c r="PH71" s="43"/>
      <c r="PI71" s="43"/>
      <c r="PJ71" s="43"/>
      <c r="PK71" s="43"/>
      <c r="PL71" s="43"/>
      <c r="PM71" s="43"/>
      <c r="PN71" s="43"/>
      <c r="PO71" s="43"/>
      <c r="PP71" s="43"/>
      <c r="PQ71" s="43"/>
      <c r="PR71" s="43"/>
      <c r="PS71" s="43"/>
      <c r="PT71" s="43"/>
      <c r="PU71" s="43"/>
      <c r="PV71" s="43"/>
      <c r="PW71" s="43"/>
      <c r="PX71" s="43"/>
      <c r="PY71" s="43"/>
      <c r="PZ71" s="43"/>
      <c r="QA71" s="43"/>
      <c r="QB71" s="43"/>
      <c r="QC71" s="43"/>
    </row>
    <row r="72" spans="1:445" x14ac:dyDescent="0.3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6" t="str">
        <f t="shared" si="7"/>
        <v/>
      </c>
      <c r="U72" s="46" t="str">
        <f t="shared" si="8"/>
        <v/>
      </c>
      <c r="V72" s="72" t="str">
        <f t="shared" si="9"/>
        <v/>
      </c>
      <c r="W72" s="48"/>
      <c r="X72" s="73" t="str">
        <f t="shared" si="10"/>
        <v/>
      </c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43"/>
      <c r="CY72" s="43"/>
      <c r="CZ72" s="43"/>
      <c r="DA72" s="43"/>
      <c r="DB72" s="43"/>
      <c r="DC72" s="43"/>
      <c r="DD72" s="43"/>
      <c r="DE72" s="43"/>
      <c r="DF72" s="43"/>
      <c r="DG72" s="43"/>
      <c r="DH72" s="43"/>
      <c r="DI72" s="43"/>
      <c r="DJ72" s="43"/>
      <c r="DK72" s="43"/>
      <c r="DL72" s="43"/>
      <c r="DM72" s="43"/>
      <c r="DN72" s="43"/>
      <c r="DO72" s="43"/>
      <c r="DP72" s="43"/>
      <c r="DQ72" s="43"/>
      <c r="DR72" s="43"/>
      <c r="DS72" s="43"/>
      <c r="DT72" s="43"/>
      <c r="DU72" s="43"/>
      <c r="DV72" s="43"/>
      <c r="DW72" s="43"/>
      <c r="DX72" s="43"/>
      <c r="DY72" s="43"/>
      <c r="DZ72" s="43"/>
      <c r="EA72" s="43"/>
      <c r="EB72" s="43"/>
      <c r="EC72" s="43"/>
      <c r="ED72" s="43"/>
      <c r="EE72" s="43"/>
      <c r="EF72" s="43"/>
      <c r="EG72" s="43"/>
      <c r="EH72" s="43"/>
      <c r="EI72" s="43"/>
      <c r="EJ72" s="43"/>
      <c r="EK72" s="43"/>
      <c r="EL72" s="43"/>
      <c r="EM72" s="43"/>
      <c r="EN72" s="43"/>
      <c r="EO72" s="43"/>
      <c r="EP72" s="43"/>
      <c r="EQ72" s="43"/>
      <c r="ER72" s="43"/>
      <c r="ES72" s="43"/>
      <c r="ET72" s="43"/>
      <c r="EU72" s="43"/>
      <c r="EV72" s="43"/>
      <c r="EW72" s="43"/>
      <c r="EX72" s="43"/>
      <c r="EY72" s="43"/>
      <c r="EZ72" s="43"/>
      <c r="FA72" s="43"/>
      <c r="FB72" s="43"/>
      <c r="FC72" s="43"/>
      <c r="FD72" s="43"/>
      <c r="FE72" s="43"/>
      <c r="FF72" s="43"/>
      <c r="FG72" s="43"/>
      <c r="FH72" s="43"/>
      <c r="FI72" s="43"/>
      <c r="FJ72" s="43"/>
      <c r="FK72" s="43"/>
      <c r="FL72" s="43"/>
      <c r="FM72" s="43"/>
      <c r="FN72" s="43"/>
      <c r="FO72" s="43"/>
      <c r="FP72" s="43"/>
      <c r="FQ72" s="43"/>
      <c r="FR72" s="43"/>
      <c r="FS72" s="43"/>
      <c r="FT72" s="43"/>
      <c r="FU72" s="43"/>
      <c r="FV72" s="43"/>
      <c r="FW72" s="43"/>
      <c r="FX72" s="43"/>
      <c r="FY72" s="43"/>
      <c r="FZ72" s="43"/>
      <c r="GA72" s="43"/>
      <c r="GB72" s="43"/>
      <c r="GC72" s="43"/>
      <c r="GD72" s="43"/>
      <c r="GE72" s="43"/>
      <c r="GF72" s="43"/>
      <c r="GG72" s="43"/>
      <c r="GH72" s="43"/>
      <c r="GI72" s="43"/>
      <c r="GJ72" s="43"/>
      <c r="GK72" s="43"/>
      <c r="GL72" s="43"/>
      <c r="GM72" s="43"/>
      <c r="GN72" s="43"/>
      <c r="GO72" s="43"/>
      <c r="GP72" s="43"/>
      <c r="GQ72" s="43"/>
      <c r="GR72" s="43"/>
      <c r="GS72" s="43"/>
      <c r="GT72" s="43"/>
      <c r="GU72" s="43"/>
      <c r="GV72" s="43"/>
      <c r="GW72" s="43"/>
      <c r="GX72" s="43"/>
      <c r="GY72" s="43"/>
      <c r="GZ72" s="43"/>
      <c r="HA72" s="43"/>
      <c r="HB72" s="43"/>
      <c r="HC72" s="43"/>
      <c r="HD72" s="43"/>
      <c r="HE72" s="43"/>
      <c r="HF72" s="43"/>
      <c r="HG72" s="43"/>
      <c r="HH72" s="43"/>
      <c r="HI72" s="43"/>
      <c r="HJ72" s="43"/>
      <c r="HK72" s="43"/>
      <c r="HL72" s="43"/>
      <c r="HM72" s="43"/>
      <c r="HN72" s="43"/>
      <c r="HO72" s="43"/>
      <c r="HP72" s="43"/>
      <c r="HQ72" s="43"/>
      <c r="HR72" s="43"/>
      <c r="HS72" s="43"/>
      <c r="HT72" s="43"/>
      <c r="HU72" s="43"/>
      <c r="HV72" s="43"/>
      <c r="HW72" s="43"/>
      <c r="HX72" s="43"/>
      <c r="HY72" s="43"/>
      <c r="HZ72" s="43"/>
      <c r="IA72" s="43"/>
      <c r="IB72" s="43"/>
      <c r="IC72" s="43"/>
      <c r="ID72" s="43"/>
      <c r="IE72" s="43"/>
      <c r="IF72" s="43"/>
      <c r="IG72" s="43"/>
      <c r="IH72" s="43"/>
      <c r="II72" s="43"/>
      <c r="IJ72" s="43"/>
      <c r="IK72" s="43"/>
      <c r="IL72" s="43"/>
      <c r="IM72" s="43"/>
      <c r="IN72" s="43"/>
      <c r="IO72" s="43"/>
      <c r="IP72" s="43"/>
      <c r="IQ72" s="43"/>
      <c r="IR72" s="43"/>
      <c r="IS72" s="43"/>
      <c r="IT72" s="43"/>
      <c r="IU72" s="43"/>
      <c r="IV72" s="43"/>
      <c r="IW72" s="43"/>
      <c r="IX72" s="43"/>
      <c r="IY72" s="43"/>
      <c r="IZ72" s="43"/>
      <c r="JA72" s="43"/>
      <c r="JB72" s="43"/>
      <c r="JC72" s="43"/>
      <c r="JD72" s="43"/>
      <c r="JE72" s="43"/>
      <c r="JF72" s="43"/>
      <c r="JG72" s="43"/>
      <c r="JH72" s="43"/>
      <c r="JI72" s="43"/>
      <c r="JJ72" s="43"/>
      <c r="JK72" s="43"/>
      <c r="JL72" s="43"/>
      <c r="JM72" s="43"/>
      <c r="JN72" s="43"/>
      <c r="JO72" s="43"/>
      <c r="JP72" s="43"/>
      <c r="JQ72" s="43"/>
      <c r="JR72" s="43"/>
      <c r="JS72" s="43"/>
      <c r="JT72" s="43"/>
      <c r="JU72" s="43"/>
      <c r="JV72" s="43"/>
      <c r="JW72" s="43"/>
      <c r="JX72" s="43"/>
      <c r="JY72" s="43"/>
      <c r="JZ72" s="43"/>
      <c r="KA72" s="43"/>
      <c r="KB72" s="43"/>
      <c r="KC72" s="43"/>
      <c r="KD72" s="43"/>
      <c r="KE72" s="43"/>
      <c r="KF72" s="43"/>
      <c r="KG72" s="43"/>
      <c r="KH72" s="43"/>
      <c r="KI72" s="43"/>
      <c r="KJ72" s="43"/>
      <c r="KK72" s="43"/>
      <c r="KL72" s="43"/>
      <c r="KM72" s="43"/>
      <c r="KN72" s="43"/>
      <c r="KO72" s="43"/>
      <c r="KP72" s="43"/>
      <c r="KQ72" s="43"/>
      <c r="KR72" s="43"/>
      <c r="KS72" s="43"/>
      <c r="KT72" s="43"/>
      <c r="KU72" s="43"/>
      <c r="KV72" s="43"/>
      <c r="KW72" s="43"/>
      <c r="KX72" s="43"/>
      <c r="KY72" s="43"/>
      <c r="KZ72" s="43"/>
      <c r="LA72" s="43"/>
      <c r="LB72" s="43"/>
      <c r="LC72" s="43"/>
      <c r="LD72" s="43"/>
      <c r="LE72" s="43"/>
      <c r="LF72" s="43"/>
      <c r="LG72" s="43"/>
      <c r="LH72" s="43"/>
      <c r="LI72" s="43"/>
      <c r="LJ72" s="43"/>
      <c r="LK72" s="43"/>
      <c r="LL72" s="43"/>
      <c r="LM72" s="43"/>
      <c r="LN72" s="43"/>
      <c r="LO72" s="43"/>
      <c r="LP72" s="43"/>
      <c r="LQ72" s="43"/>
      <c r="LR72" s="43"/>
      <c r="LS72" s="43"/>
      <c r="LT72" s="43"/>
      <c r="LU72" s="43"/>
      <c r="LV72" s="43"/>
      <c r="LW72" s="43"/>
      <c r="LX72" s="43"/>
      <c r="LY72" s="43"/>
      <c r="LZ72" s="43"/>
      <c r="MA72" s="43"/>
      <c r="MB72" s="43"/>
      <c r="MC72" s="43"/>
      <c r="MD72" s="43"/>
      <c r="ME72" s="43"/>
      <c r="MF72" s="43"/>
      <c r="MG72" s="43"/>
      <c r="MH72" s="43"/>
      <c r="MI72" s="43"/>
      <c r="MJ72" s="43"/>
      <c r="MK72" s="43"/>
      <c r="ML72" s="43"/>
      <c r="MM72" s="43"/>
      <c r="MN72" s="43"/>
      <c r="MO72" s="43"/>
      <c r="MP72" s="43"/>
      <c r="MQ72" s="43"/>
      <c r="MR72" s="43"/>
      <c r="MS72" s="43"/>
      <c r="MT72" s="43"/>
      <c r="MU72" s="43"/>
      <c r="MV72" s="43"/>
      <c r="MW72" s="43"/>
      <c r="MX72" s="43"/>
      <c r="MY72" s="43"/>
      <c r="MZ72" s="43"/>
      <c r="NA72" s="43"/>
      <c r="NB72" s="43"/>
      <c r="NC72" s="43"/>
      <c r="ND72" s="43"/>
      <c r="NE72" s="43"/>
      <c r="NF72" s="43"/>
      <c r="NG72" s="43"/>
      <c r="NH72" s="43"/>
      <c r="NI72" s="43"/>
      <c r="NJ72" s="43"/>
      <c r="NK72" s="43"/>
      <c r="NL72" s="43"/>
      <c r="NM72" s="43"/>
      <c r="NN72" s="43"/>
      <c r="NO72" s="43"/>
      <c r="NP72" s="43"/>
      <c r="NQ72" s="43"/>
      <c r="NR72" s="43"/>
      <c r="NS72" s="43"/>
      <c r="NT72" s="43"/>
      <c r="NU72" s="43"/>
      <c r="NV72" s="43"/>
      <c r="NW72" s="43"/>
      <c r="NX72" s="43"/>
      <c r="NY72" s="43"/>
      <c r="NZ72" s="43"/>
      <c r="OA72" s="43"/>
      <c r="OB72" s="43"/>
      <c r="OC72" s="43"/>
      <c r="OD72" s="43"/>
      <c r="OE72" s="43"/>
      <c r="OF72" s="43"/>
      <c r="OG72" s="43"/>
      <c r="OH72" s="43"/>
      <c r="OI72" s="43"/>
      <c r="OJ72" s="43"/>
      <c r="OK72" s="43"/>
      <c r="OL72" s="43"/>
      <c r="OM72" s="43"/>
      <c r="ON72" s="43"/>
      <c r="OO72" s="43"/>
      <c r="OP72" s="43"/>
      <c r="OQ72" s="43"/>
      <c r="OR72" s="43"/>
      <c r="OS72" s="43"/>
      <c r="OT72" s="43"/>
      <c r="OU72" s="43"/>
      <c r="OV72" s="43"/>
      <c r="OW72" s="43"/>
      <c r="OX72" s="43"/>
      <c r="OY72" s="43"/>
      <c r="OZ72" s="43"/>
      <c r="PA72" s="43"/>
      <c r="PB72" s="43"/>
      <c r="PC72" s="43"/>
      <c r="PD72" s="43"/>
      <c r="PE72" s="43"/>
      <c r="PF72" s="43"/>
      <c r="PG72" s="43"/>
      <c r="PH72" s="43"/>
      <c r="PI72" s="43"/>
      <c r="PJ72" s="43"/>
      <c r="PK72" s="43"/>
      <c r="PL72" s="43"/>
      <c r="PM72" s="43"/>
      <c r="PN72" s="43"/>
      <c r="PO72" s="43"/>
      <c r="PP72" s="43"/>
      <c r="PQ72" s="43"/>
      <c r="PR72" s="43"/>
      <c r="PS72" s="43"/>
      <c r="PT72" s="43"/>
      <c r="PU72" s="43"/>
      <c r="PV72" s="43"/>
      <c r="PW72" s="43"/>
      <c r="PX72" s="43"/>
      <c r="PY72" s="43"/>
      <c r="PZ72" s="43"/>
      <c r="QA72" s="43"/>
      <c r="QB72" s="43"/>
      <c r="QC72" s="43"/>
    </row>
    <row r="73" spans="1:445" x14ac:dyDescent="0.3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6" t="str">
        <f t="shared" si="7"/>
        <v/>
      </c>
      <c r="U73" s="46" t="str">
        <f t="shared" si="8"/>
        <v/>
      </c>
      <c r="V73" s="72" t="str">
        <f t="shared" si="9"/>
        <v/>
      </c>
      <c r="W73" s="48"/>
      <c r="X73" s="73" t="str">
        <f t="shared" si="10"/>
        <v/>
      </c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43"/>
      <c r="CY73" s="43"/>
      <c r="CZ73" s="43"/>
      <c r="DA73" s="43"/>
      <c r="DB73" s="43"/>
      <c r="DC73" s="43"/>
      <c r="DD73" s="43"/>
      <c r="DE73" s="43"/>
      <c r="DF73" s="43"/>
      <c r="DG73" s="43"/>
      <c r="DH73" s="43"/>
      <c r="DI73" s="43"/>
      <c r="DJ73" s="43"/>
      <c r="DK73" s="43"/>
      <c r="DL73" s="43"/>
      <c r="DM73" s="43"/>
      <c r="DN73" s="43"/>
      <c r="DO73" s="43"/>
      <c r="DP73" s="43"/>
      <c r="DQ73" s="43"/>
      <c r="DR73" s="43"/>
      <c r="DS73" s="43"/>
      <c r="DT73" s="43"/>
      <c r="DU73" s="43"/>
      <c r="DV73" s="43"/>
      <c r="DW73" s="43"/>
      <c r="DX73" s="43"/>
      <c r="DY73" s="43"/>
      <c r="DZ73" s="43"/>
      <c r="EA73" s="43"/>
      <c r="EB73" s="43"/>
      <c r="EC73" s="43"/>
      <c r="ED73" s="43"/>
      <c r="EE73" s="43"/>
      <c r="EF73" s="43"/>
      <c r="EG73" s="43"/>
      <c r="EH73" s="43"/>
      <c r="EI73" s="43"/>
      <c r="EJ73" s="43"/>
      <c r="EK73" s="43"/>
      <c r="EL73" s="43"/>
      <c r="EM73" s="43"/>
      <c r="EN73" s="43"/>
      <c r="EO73" s="43"/>
      <c r="EP73" s="43"/>
      <c r="EQ73" s="43"/>
      <c r="ER73" s="43"/>
      <c r="ES73" s="43"/>
      <c r="ET73" s="43"/>
      <c r="EU73" s="43"/>
      <c r="EV73" s="43"/>
      <c r="EW73" s="43"/>
      <c r="EX73" s="43"/>
      <c r="EY73" s="43"/>
      <c r="EZ73" s="43"/>
      <c r="FA73" s="43"/>
      <c r="FB73" s="43"/>
      <c r="FC73" s="43"/>
      <c r="FD73" s="43"/>
      <c r="FE73" s="43"/>
      <c r="FF73" s="43"/>
      <c r="FG73" s="43"/>
      <c r="FH73" s="43"/>
      <c r="FI73" s="43"/>
      <c r="FJ73" s="43"/>
      <c r="FK73" s="43"/>
      <c r="FL73" s="43"/>
      <c r="FM73" s="43"/>
      <c r="FN73" s="43"/>
      <c r="FO73" s="43"/>
      <c r="FP73" s="43"/>
      <c r="FQ73" s="43"/>
      <c r="FR73" s="43"/>
      <c r="FS73" s="43"/>
      <c r="FT73" s="43"/>
      <c r="FU73" s="43"/>
      <c r="FV73" s="43"/>
      <c r="FW73" s="43"/>
      <c r="FX73" s="43"/>
      <c r="FY73" s="43"/>
      <c r="FZ73" s="43"/>
      <c r="GA73" s="43"/>
      <c r="GB73" s="43"/>
      <c r="GC73" s="43"/>
      <c r="GD73" s="43"/>
      <c r="GE73" s="43"/>
      <c r="GF73" s="43"/>
      <c r="GG73" s="43"/>
      <c r="GH73" s="43"/>
      <c r="GI73" s="43"/>
      <c r="GJ73" s="43"/>
      <c r="GK73" s="43"/>
      <c r="GL73" s="43"/>
      <c r="GM73" s="43"/>
      <c r="GN73" s="43"/>
      <c r="GO73" s="43"/>
      <c r="GP73" s="43"/>
      <c r="GQ73" s="43"/>
      <c r="GR73" s="43"/>
      <c r="GS73" s="43"/>
      <c r="GT73" s="43"/>
      <c r="GU73" s="43"/>
      <c r="GV73" s="43"/>
      <c r="GW73" s="43"/>
      <c r="GX73" s="43"/>
      <c r="GY73" s="43"/>
      <c r="GZ73" s="43"/>
      <c r="HA73" s="43"/>
      <c r="HB73" s="43"/>
      <c r="HC73" s="43"/>
      <c r="HD73" s="43"/>
      <c r="HE73" s="43"/>
      <c r="HF73" s="43"/>
      <c r="HG73" s="43"/>
      <c r="HH73" s="43"/>
      <c r="HI73" s="43"/>
      <c r="HJ73" s="43"/>
      <c r="HK73" s="43"/>
      <c r="HL73" s="43"/>
      <c r="HM73" s="43"/>
      <c r="HN73" s="43"/>
      <c r="HO73" s="43"/>
      <c r="HP73" s="43"/>
      <c r="HQ73" s="43"/>
      <c r="HR73" s="43"/>
      <c r="HS73" s="43"/>
      <c r="HT73" s="43"/>
      <c r="HU73" s="43"/>
      <c r="HV73" s="43"/>
      <c r="HW73" s="43"/>
      <c r="HX73" s="43"/>
      <c r="HY73" s="43"/>
      <c r="HZ73" s="43"/>
      <c r="IA73" s="43"/>
      <c r="IB73" s="43"/>
      <c r="IC73" s="43"/>
      <c r="ID73" s="43"/>
      <c r="IE73" s="43"/>
      <c r="IF73" s="43"/>
      <c r="IG73" s="43"/>
      <c r="IH73" s="43"/>
      <c r="II73" s="43"/>
      <c r="IJ73" s="43"/>
      <c r="IK73" s="43"/>
      <c r="IL73" s="43"/>
      <c r="IM73" s="43"/>
      <c r="IN73" s="43"/>
      <c r="IO73" s="43"/>
      <c r="IP73" s="43"/>
      <c r="IQ73" s="43"/>
      <c r="IR73" s="43"/>
      <c r="IS73" s="43"/>
      <c r="IT73" s="43"/>
      <c r="IU73" s="43"/>
      <c r="IV73" s="43"/>
      <c r="IW73" s="43"/>
      <c r="IX73" s="43"/>
      <c r="IY73" s="43"/>
      <c r="IZ73" s="43"/>
      <c r="JA73" s="43"/>
      <c r="JB73" s="43"/>
      <c r="JC73" s="43"/>
      <c r="JD73" s="43"/>
      <c r="JE73" s="43"/>
      <c r="JF73" s="43"/>
      <c r="JG73" s="43"/>
      <c r="JH73" s="43"/>
      <c r="JI73" s="43"/>
      <c r="JJ73" s="43"/>
      <c r="JK73" s="43"/>
      <c r="JL73" s="43"/>
      <c r="JM73" s="43"/>
      <c r="JN73" s="43"/>
      <c r="JO73" s="43"/>
      <c r="JP73" s="43"/>
      <c r="JQ73" s="43"/>
      <c r="JR73" s="43"/>
      <c r="JS73" s="43"/>
      <c r="JT73" s="43"/>
      <c r="JU73" s="43"/>
      <c r="JV73" s="43"/>
      <c r="JW73" s="43"/>
      <c r="JX73" s="43"/>
      <c r="JY73" s="43"/>
      <c r="JZ73" s="43"/>
      <c r="KA73" s="43"/>
      <c r="KB73" s="43"/>
      <c r="KC73" s="43"/>
      <c r="KD73" s="43"/>
      <c r="KE73" s="43"/>
      <c r="KF73" s="43"/>
      <c r="KG73" s="43"/>
      <c r="KH73" s="43"/>
      <c r="KI73" s="43"/>
      <c r="KJ73" s="43"/>
      <c r="KK73" s="43"/>
      <c r="KL73" s="43"/>
      <c r="KM73" s="43"/>
      <c r="KN73" s="43"/>
      <c r="KO73" s="43"/>
      <c r="KP73" s="43"/>
      <c r="KQ73" s="43"/>
      <c r="KR73" s="43"/>
      <c r="KS73" s="43"/>
      <c r="KT73" s="43"/>
      <c r="KU73" s="43"/>
      <c r="KV73" s="43"/>
      <c r="KW73" s="43"/>
      <c r="KX73" s="43"/>
      <c r="KY73" s="43"/>
      <c r="KZ73" s="43"/>
      <c r="LA73" s="43"/>
      <c r="LB73" s="43"/>
      <c r="LC73" s="43"/>
      <c r="LD73" s="43"/>
      <c r="LE73" s="43"/>
      <c r="LF73" s="43"/>
      <c r="LG73" s="43"/>
      <c r="LH73" s="43"/>
      <c r="LI73" s="43"/>
      <c r="LJ73" s="43"/>
      <c r="LK73" s="43"/>
      <c r="LL73" s="43"/>
      <c r="LM73" s="43"/>
      <c r="LN73" s="43"/>
      <c r="LO73" s="43"/>
      <c r="LP73" s="43"/>
      <c r="LQ73" s="43"/>
      <c r="LR73" s="43"/>
      <c r="LS73" s="43"/>
      <c r="LT73" s="43"/>
      <c r="LU73" s="43"/>
      <c r="LV73" s="43"/>
      <c r="LW73" s="43"/>
      <c r="LX73" s="43"/>
      <c r="LY73" s="43"/>
      <c r="LZ73" s="43"/>
      <c r="MA73" s="43"/>
      <c r="MB73" s="43"/>
      <c r="MC73" s="43"/>
      <c r="MD73" s="43"/>
      <c r="ME73" s="43"/>
      <c r="MF73" s="43"/>
      <c r="MG73" s="43"/>
      <c r="MH73" s="43"/>
      <c r="MI73" s="43"/>
      <c r="MJ73" s="43"/>
      <c r="MK73" s="43"/>
      <c r="ML73" s="43"/>
      <c r="MM73" s="43"/>
      <c r="MN73" s="43"/>
      <c r="MO73" s="43"/>
      <c r="MP73" s="43"/>
      <c r="MQ73" s="43"/>
      <c r="MR73" s="43"/>
      <c r="MS73" s="43"/>
      <c r="MT73" s="43"/>
      <c r="MU73" s="43"/>
      <c r="MV73" s="43"/>
      <c r="MW73" s="43"/>
      <c r="MX73" s="43"/>
      <c r="MY73" s="43"/>
      <c r="MZ73" s="43"/>
      <c r="NA73" s="43"/>
      <c r="NB73" s="43"/>
      <c r="NC73" s="43"/>
      <c r="ND73" s="43"/>
      <c r="NE73" s="43"/>
      <c r="NF73" s="43"/>
      <c r="NG73" s="43"/>
      <c r="NH73" s="43"/>
      <c r="NI73" s="43"/>
      <c r="NJ73" s="43"/>
      <c r="NK73" s="43"/>
      <c r="NL73" s="43"/>
      <c r="NM73" s="43"/>
      <c r="NN73" s="43"/>
      <c r="NO73" s="43"/>
      <c r="NP73" s="43"/>
      <c r="NQ73" s="43"/>
      <c r="NR73" s="43"/>
      <c r="NS73" s="43"/>
      <c r="NT73" s="43"/>
      <c r="NU73" s="43"/>
      <c r="NV73" s="43"/>
      <c r="NW73" s="43"/>
      <c r="NX73" s="43"/>
      <c r="NY73" s="43"/>
      <c r="NZ73" s="43"/>
      <c r="OA73" s="43"/>
      <c r="OB73" s="43"/>
      <c r="OC73" s="43"/>
      <c r="OD73" s="43"/>
      <c r="OE73" s="43"/>
      <c r="OF73" s="43"/>
      <c r="OG73" s="43"/>
      <c r="OH73" s="43"/>
      <c r="OI73" s="43"/>
      <c r="OJ73" s="43"/>
      <c r="OK73" s="43"/>
      <c r="OL73" s="43"/>
      <c r="OM73" s="43"/>
      <c r="ON73" s="43"/>
      <c r="OO73" s="43"/>
      <c r="OP73" s="43"/>
      <c r="OQ73" s="43"/>
      <c r="OR73" s="43"/>
      <c r="OS73" s="43"/>
      <c r="OT73" s="43"/>
      <c r="OU73" s="43"/>
      <c r="OV73" s="43"/>
      <c r="OW73" s="43"/>
      <c r="OX73" s="43"/>
      <c r="OY73" s="43"/>
      <c r="OZ73" s="43"/>
      <c r="PA73" s="43"/>
      <c r="PB73" s="43"/>
      <c r="PC73" s="43"/>
      <c r="PD73" s="43"/>
      <c r="PE73" s="43"/>
      <c r="PF73" s="43"/>
      <c r="PG73" s="43"/>
      <c r="PH73" s="43"/>
      <c r="PI73" s="43"/>
      <c r="PJ73" s="43"/>
      <c r="PK73" s="43"/>
      <c r="PL73" s="43"/>
      <c r="PM73" s="43"/>
      <c r="PN73" s="43"/>
      <c r="PO73" s="43"/>
      <c r="PP73" s="43"/>
      <c r="PQ73" s="43"/>
      <c r="PR73" s="43"/>
      <c r="PS73" s="43"/>
      <c r="PT73" s="43"/>
      <c r="PU73" s="43"/>
      <c r="PV73" s="43"/>
      <c r="PW73" s="43"/>
      <c r="PX73" s="43"/>
      <c r="PY73" s="43"/>
      <c r="PZ73" s="43"/>
      <c r="QA73" s="43"/>
      <c r="QB73" s="43"/>
      <c r="QC73" s="43"/>
    </row>
    <row r="74" spans="1:445" x14ac:dyDescent="0.3"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6" t="str">
        <f t="shared" si="7"/>
        <v/>
      </c>
      <c r="U74" s="46" t="str">
        <f t="shared" si="8"/>
        <v/>
      </c>
      <c r="V74" s="72" t="str">
        <f t="shared" si="9"/>
        <v/>
      </c>
      <c r="W74" s="48"/>
      <c r="X74" s="73" t="str">
        <f t="shared" si="10"/>
        <v/>
      </c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43"/>
      <c r="CY74" s="43"/>
      <c r="CZ74" s="43"/>
      <c r="DA74" s="43"/>
      <c r="DB74" s="43"/>
      <c r="DC74" s="43"/>
      <c r="DD74" s="43"/>
      <c r="DE74" s="43"/>
      <c r="DF74" s="43"/>
      <c r="DG74" s="43"/>
      <c r="DH74" s="43"/>
      <c r="DI74" s="43"/>
      <c r="DJ74" s="43"/>
      <c r="DK74" s="43"/>
      <c r="DL74" s="43"/>
      <c r="DM74" s="43"/>
      <c r="DN74" s="43"/>
      <c r="DO74" s="43"/>
      <c r="DP74" s="43"/>
      <c r="DQ74" s="43"/>
      <c r="DR74" s="43"/>
      <c r="DS74" s="43"/>
      <c r="DT74" s="43"/>
      <c r="DU74" s="43"/>
      <c r="DV74" s="43"/>
      <c r="DW74" s="43"/>
      <c r="DX74" s="43"/>
      <c r="DY74" s="43"/>
      <c r="DZ74" s="43"/>
      <c r="EA74" s="43"/>
      <c r="EB74" s="43"/>
      <c r="EC74" s="43"/>
      <c r="ED74" s="43"/>
      <c r="EE74" s="43"/>
      <c r="EF74" s="43"/>
      <c r="EG74" s="43"/>
      <c r="EH74" s="43"/>
      <c r="EI74" s="43"/>
      <c r="EJ74" s="43"/>
      <c r="EK74" s="43"/>
      <c r="EL74" s="43"/>
      <c r="EM74" s="43"/>
      <c r="EN74" s="43"/>
      <c r="EO74" s="43"/>
      <c r="EP74" s="43"/>
      <c r="EQ74" s="43"/>
      <c r="ER74" s="43"/>
      <c r="ES74" s="43"/>
      <c r="ET74" s="43"/>
      <c r="EU74" s="43"/>
      <c r="EV74" s="43"/>
      <c r="EW74" s="43"/>
      <c r="EX74" s="43"/>
      <c r="EY74" s="43"/>
      <c r="EZ74" s="43"/>
      <c r="FA74" s="43"/>
      <c r="FB74" s="43"/>
      <c r="FC74" s="43"/>
      <c r="FD74" s="43"/>
      <c r="FE74" s="43"/>
      <c r="FF74" s="43"/>
      <c r="FG74" s="43"/>
      <c r="FH74" s="43"/>
      <c r="FI74" s="43"/>
      <c r="FJ74" s="43"/>
      <c r="FK74" s="43"/>
      <c r="FL74" s="43"/>
      <c r="FM74" s="43"/>
      <c r="FN74" s="43"/>
      <c r="FO74" s="43"/>
      <c r="FP74" s="43"/>
      <c r="FQ74" s="43"/>
      <c r="FR74" s="43"/>
      <c r="FS74" s="43"/>
      <c r="FT74" s="43"/>
      <c r="FU74" s="43"/>
      <c r="FV74" s="43"/>
      <c r="FW74" s="43"/>
      <c r="FX74" s="43"/>
      <c r="FY74" s="43"/>
      <c r="FZ74" s="43"/>
      <c r="GA74" s="43"/>
      <c r="GB74" s="43"/>
      <c r="GC74" s="43"/>
      <c r="GD74" s="43"/>
      <c r="GE74" s="43"/>
      <c r="GF74" s="43"/>
      <c r="GG74" s="43"/>
      <c r="GH74" s="43"/>
      <c r="GI74" s="43"/>
      <c r="GJ74" s="43"/>
      <c r="GK74" s="43"/>
      <c r="GL74" s="43"/>
      <c r="GM74" s="43"/>
      <c r="GN74" s="43"/>
      <c r="GO74" s="43"/>
      <c r="GP74" s="43"/>
      <c r="GQ74" s="43"/>
      <c r="GR74" s="43"/>
      <c r="GS74" s="43"/>
      <c r="GT74" s="43"/>
      <c r="GU74" s="43"/>
      <c r="GV74" s="43"/>
      <c r="GW74" s="43"/>
      <c r="GX74" s="43"/>
      <c r="GY74" s="43"/>
      <c r="GZ74" s="43"/>
      <c r="HA74" s="43"/>
      <c r="HB74" s="43"/>
      <c r="HC74" s="43"/>
      <c r="HD74" s="43"/>
      <c r="HE74" s="43"/>
      <c r="HF74" s="43"/>
      <c r="HG74" s="43"/>
      <c r="HH74" s="43"/>
      <c r="HI74" s="43"/>
      <c r="HJ74" s="43"/>
      <c r="HK74" s="43"/>
      <c r="HL74" s="43"/>
      <c r="HM74" s="43"/>
      <c r="HN74" s="43"/>
      <c r="HO74" s="43"/>
      <c r="HP74" s="43"/>
      <c r="HQ74" s="43"/>
      <c r="HR74" s="43"/>
      <c r="HS74" s="43"/>
      <c r="HT74" s="43"/>
      <c r="HU74" s="43"/>
      <c r="HV74" s="43"/>
      <c r="HW74" s="43"/>
      <c r="HX74" s="43"/>
      <c r="HY74" s="43"/>
      <c r="HZ74" s="43"/>
      <c r="IA74" s="43"/>
      <c r="IB74" s="43"/>
      <c r="IC74" s="43"/>
      <c r="ID74" s="43"/>
      <c r="IE74" s="43"/>
      <c r="IF74" s="43"/>
      <c r="IG74" s="43"/>
      <c r="IH74" s="43"/>
      <c r="II74" s="43"/>
      <c r="IJ74" s="43"/>
      <c r="IK74" s="43"/>
      <c r="IL74" s="43"/>
      <c r="IM74" s="43"/>
      <c r="IN74" s="43"/>
      <c r="IO74" s="43"/>
      <c r="IP74" s="43"/>
      <c r="IQ74" s="43"/>
      <c r="IR74" s="43"/>
      <c r="IS74" s="43"/>
      <c r="IT74" s="43"/>
      <c r="IU74" s="43"/>
      <c r="IV74" s="43"/>
      <c r="IW74" s="43"/>
      <c r="IX74" s="43"/>
      <c r="IY74" s="43"/>
      <c r="IZ74" s="43"/>
      <c r="JA74" s="43"/>
      <c r="JB74" s="43"/>
      <c r="JC74" s="43"/>
      <c r="JD74" s="43"/>
      <c r="JE74" s="43"/>
      <c r="JF74" s="43"/>
      <c r="JG74" s="43"/>
      <c r="JH74" s="43"/>
      <c r="JI74" s="43"/>
      <c r="JJ74" s="43"/>
      <c r="JK74" s="43"/>
      <c r="JL74" s="43"/>
      <c r="JM74" s="43"/>
      <c r="JN74" s="43"/>
      <c r="JO74" s="43"/>
      <c r="JP74" s="43"/>
      <c r="JQ74" s="43"/>
      <c r="JR74" s="43"/>
      <c r="JS74" s="43"/>
      <c r="JT74" s="43"/>
      <c r="JU74" s="43"/>
      <c r="JV74" s="43"/>
      <c r="JW74" s="43"/>
      <c r="JX74" s="43"/>
      <c r="JY74" s="43"/>
      <c r="JZ74" s="43"/>
      <c r="KA74" s="43"/>
      <c r="KB74" s="43"/>
      <c r="KC74" s="43"/>
      <c r="KD74" s="43"/>
      <c r="KE74" s="43"/>
      <c r="KF74" s="43"/>
      <c r="KG74" s="43"/>
      <c r="KH74" s="43"/>
      <c r="KI74" s="43"/>
      <c r="KJ74" s="43"/>
      <c r="KK74" s="43"/>
      <c r="KL74" s="43"/>
      <c r="KM74" s="43"/>
      <c r="KN74" s="43"/>
      <c r="KO74" s="43"/>
      <c r="KP74" s="43"/>
      <c r="KQ74" s="43"/>
      <c r="KR74" s="43"/>
      <c r="KS74" s="43"/>
      <c r="KT74" s="43"/>
      <c r="KU74" s="43"/>
      <c r="KV74" s="43"/>
      <c r="KW74" s="43"/>
      <c r="KX74" s="43"/>
      <c r="KY74" s="43"/>
      <c r="KZ74" s="43"/>
      <c r="LA74" s="43"/>
      <c r="LB74" s="43"/>
      <c r="LC74" s="43"/>
      <c r="LD74" s="43"/>
      <c r="LE74" s="43"/>
      <c r="LF74" s="43"/>
      <c r="LG74" s="43"/>
      <c r="LH74" s="43"/>
      <c r="LI74" s="43"/>
      <c r="LJ74" s="43"/>
      <c r="LK74" s="43"/>
      <c r="LL74" s="43"/>
      <c r="LM74" s="43"/>
      <c r="LN74" s="43"/>
      <c r="LO74" s="43"/>
      <c r="LP74" s="43"/>
      <c r="LQ74" s="43"/>
      <c r="LR74" s="43"/>
      <c r="LS74" s="43"/>
      <c r="LT74" s="43"/>
      <c r="LU74" s="43"/>
      <c r="LV74" s="43"/>
      <c r="LW74" s="43"/>
      <c r="LX74" s="43"/>
      <c r="LY74" s="43"/>
      <c r="LZ74" s="43"/>
      <c r="MA74" s="43"/>
      <c r="MB74" s="43"/>
      <c r="MC74" s="43"/>
      <c r="MD74" s="43"/>
      <c r="ME74" s="43"/>
      <c r="MF74" s="43"/>
      <c r="MG74" s="43"/>
      <c r="MH74" s="43"/>
      <c r="MI74" s="43"/>
      <c r="MJ74" s="43"/>
      <c r="MK74" s="43"/>
      <c r="ML74" s="43"/>
      <c r="MM74" s="43"/>
      <c r="MN74" s="43"/>
      <c r="MO74" s="43"/>
      <c r="MP74" s="43"/>
      <c r="MQ74" s="43"/>
      <c r="MR74" s="43"/>
      <c r="MS74" s="43"/>
      <c r="MT74" s="43"/>
      <c r="MU74" s="43"/>
      <c r="MV74" s="43"/>
      <c r="MW74" s="43"/>
      <c r="MX74" s="43"/>
      <c r="MY74" s="43"/>
      <c r="MZ74" s="43"/>
      <c r="NA74" s="43"/>
      <c r="NB74" s="43"/>
      <c r="NC74" s="43"/>
      <c r="ND74" s="43"/>
      <c r="NE74" s="43"/>
      <c r="NF74" s="43"/>
      <c r="NG74" s="43"/>
      <c r="NH74" s="43"/>
      <c r="NI74" s="43"/>
      <c r="NJ74" s="43"/>
      <c r="NK74" s="43"/>
      <c r="NL74" s="43"/>
      <c r="NM74" s="43"/>
      <c r="NN74" s="43"/>
      <c r="NO74" s="43"/>
      <c r="NP74" s="43"/>
      <c r="NQ74" s="43"/>
      <c r="NR74" s="43"/>
      <c r="NS74" s="43"/>
      <c r="NT74" s="43"/>
      <c r="NU74" s="43"/>
      <c r="NV74" s="43"/>
      <c r="NW74" s="43"/>
      <c r="NX74" s="43"/>
      <c r="NY74" s="43"/>
      <c r="NZ74" s="43"/>
      <c r="OA74" s="43"/>
      <c r="OB74" s="43"/>
      <c r="OC74" s="43"/>
      <c r="OD74" s="43"/>
      <c r="OE74" s="43"/>
      <c r="OF74" s="43"/>
      <c r="OG74" s="43"/>
      <c r="OH74" s="43"/>
      <c r="OI74" s="43"/>
      <c r="OJ74" s="43"/>
      <c r="OK74" s="43"/>
      <c r="OL74" s="43"/>
      <c r="OM74" s="43"/>
      <c r="ON74" s="43"/>
      <c r="OO74" s="43"/>
      <c r="OP74" s="43"/>
      <c r="OQ74" s="43"/>
      <c r="OR74" s="43"/>
      <c r="OS74" s="43"/>
      <c r="OT74" s="43"/>
      <c r="OU74" s="43"/>
      <c r="OV74" s="43"/>
      <c r="OW74" s="43"/>
      <c r="OX74" s="43"/>
      <c r="OY74" s="43"/>
      <c r="OZ74" s="43"/>
      <c r="PA74" s="43"/>
      <c r="PB74" s="43"/>
      <c r="PC74" s="43"/>
      <c r="PD74" s="43"/>
      <c r="PE74" s="43"/>
      <c r="PF74" s="43"/>
      <c r="PG74" s="43"/>
      <c r="PH74" s="43"/>
      <c r="PI74" s="43"/>
      <c r="PJ74" s="43"/>
      <c r="PK74" s="43"/>
      <c r="PL74" s="43"/>
      <c r="PM74" s="43"/>
      <c r="PN74" s="43"/>
      <c r="PO74" s="43"/>
      <c r="PP74" s="43"/>
      <c r="PQ74" s="43"/>
      <c r="PR74" s="43"/>
      <c r="PS74" s="43"/>
      <c r="PT74" s="43"/>
      <c r="PU74" s="43"/>
      <c r="PV74" s="43"/>
      <c r="PW74" s="43"/>
      <c r="PX74" s="43"/>
      <c r="PY74" s="43"/>
      <c r="PZ74" s="43"/>
      <c r="QA74" s="43"/>
      <c r="QB74" s="43"/>
      <c r="QC74" s="43"/>
    </row>
    <row r="75" spans="1:445" ht="18" customHeight="1" x14ac:dyDescent="0.3"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6" t="str">
        <f t="shared" si="7"/>
        <v/>
      </c>
      <c r="U75" s="46" t="str">
        <f t="shared" si="8"/>
        <v/>
      </c>
      <c r="V75" s="72" t="str">
        <f t="shared" si="9"/>
        <v/>
      </c>
      <c r="W75" s="48"/>
      <c r="X75" s="73" t="str">
        <f t="shared" si="10"/>
        <v/>
      </c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43"/>
      <c r="CY75" s="43"/>
      <c r="CZ75" s="43"/>
      <c r="DA75" s="43"/>
      <c r="DB75" s="43"/>
      <c r="DC75" s="43"/>
      <c r="DD75" s="43"/>
      <c r="DE75" s="43"/>
      <c r="DF75" s="43"/>
      <c r="DG75" s="43"/>
      <c r="DH75" s="43"/>
      <c r="DI75" s="43"/>
      <c r="DJ75" s="43"/>
      <c r="DK75" s="43"/>
      <c r="DL75" s="43"/>
      <c r="DM75" s="43"/>
      <c r="DN75" s="43"/>
      <c r="DO75" s="43"/>
      <c r="DP75" s="43"/>
      <c r="DQ75" s="43"/>
      <c r="DR75" s="43"/>
      <c r="DS75" s="43"/>
      <c r="DT75" s="43"/>
      <c r="DU75" s="43"/>
      <c r="DV75" s="43"/>
      <c r="DW75" s="43"/>
      <c r="DX75" s="43"/>
      <c r="DY75" s="43"/>
      <c r="DZ75" s="43"/>
      <c r="EA75" s="43"/>
      <c r="EB75" s="43"/>
      <c r="EC75" s="43"/>
      <c r="ED75" s="43"/>
      <c r="EE75" s="43"/>
      <c r="EF75" s="43"/>
      <c r="EG75" s="43"/>
      <c r="EH75" s="43"/>
      <c r="EI75" s="43"/>
      <c r="EJ75" s="43"/>
      <c r="EK75" s="43"/>
      <c r="EL75" s="43"/>
      <c r="EM75" s="43"/>
      <c r="EN75" s="43"/>
      <c r="EO75" s="43"/>
      <c r="EP75" s="43"/>
      <c r="EQ75" s="43"/>
      <c r="ER75" s="43"/>
      <c r="ES75" s="43"/>
      <c r="ET75" s="43"/>
      <c r="EU75" s="43"/>
      <c r="EV75" s="43"/>
      <c r="EW75" s="43"/>
      <c r="EX75" s="43"/>
      <c r="EY75" s="43"/>
      <c r="EZ75" s="43"/>
      <c r="FA75" s="43"/>
      <c r="FB75" s="43"/>
      <c r="FC75" s="43"/>
      <c r="FD75" s="43"/>
      <c r="FE75" s="43"/>
      <c r="FF75" s="43"/>
      <c r="FG75" s="43"/>
      <c r="FH75" s="43"/>
      <c r="FI75" s="43"/>
      <c r="FJ75" s="43"/>
      <c r="FK75" s="43"/>
      <c r="FL75" s="43"/>
      <c r="FM75" s="43"/>
      <c r="FN75" s="43"/>
      <c r="FO75" s="43"/>
      <c r="FP75" s="43"/>
      <c r="FQ75" s="43"/>
      <c r="FR75" s="43"/>
      <c r="FS75" s="43"/>
      <c r="FT75" s="43"/>
      <c r="FU75" s="43"/>
      <c r="FV75" s="43"/>
      <c r="FW75" s="43"/>
      <c r="FX75" s="43"/>
      <c r="FY75" s="43"/>
      <c r="FZ75" s="43"/>
      <c r="GA75" s="43"/>
      <c r="GB75" s="43"/>
      <c r="GC75" s="43"/>
      <c r="GD75" s="43"/>
      <c r="GE75" s="43"/>
      <c r="GF75" s="43"/>
      <c r="GG75" s="43"/>
      <c r="GH75" s="43"/>
      <c r="GI75" s="43"/>
      <c r="GJ75" s="43"/>
      <c r="GK75" s="43"/>
      <c r="GL75" s="43"/>
      <c r="GM75" s="43"/>
      <c r="GN75" s="43"/>
      <c r="GO75" s="43"/>
      <c r="GP75" s="43"/>
      <c r="GQ75" s="43"/>
      <c r="GR75" s="43"/>
      <c r="GS75" s="43"/>
      <c r="GT75" s="43"/>
      <c r="GU75" s="43"/>
      <c r="GV75" s="43"/>
      <c r="GW75" s="43"/>
      <c r="GX75" s="43"/>
      <c r="GY75" s="43"/>
      <c r="GZ75" s="43"/>
      <c r="HA75" s="43"/>
      <c r="HB75" s="43"/>
      <c r="HC75" s="43"/>
      <c r="HD75" s="43"/>
      <c r="HE75" s="43"/>
      <c r="HF75" s="43"/>
      <c r="HG75" s="43"/>
      <c r="HH75" s="43"/>
      <c r="HI75" s="43"/>
      <c r="HJ75" s="43"/>
      <c r="HK75" s="43"/>
      <c r="HL75" s="43"/>
      <c r="HM75" s="43"/>
      <c r="HN75" s="43"/>
      <c r="HO75" s="43"/>
      <c r="HP75" s="43"/>
      <c r="HQ75" s="43"/>
      <c r="HR75" s="43"/>
      <c r="HS75" s="43"/>
      <c r="HT75" s="43"/>
      <c r="HU75" s="43"/>
      <c r="HV75" s="43"/>
      <c r="HW75" s="43"/>
      <c r="HX75" s="43"/>
      <c r="HY75" s="43"/>
      <c r="HZ75" s="43"/>
      <c r="IA75" s="43"/>
      <c r="IB75" s="43"/>
      <c r="IC75" s="43"/>
      <c r="ID75" s="43"/>
      <c r="IE75" s="43"/>
      <c r="IF75" s="43"/>
      <c r="IG75" s="43"/>
      <c r="IH75" s="43"/>
      <c r="II75" s="43"/>
      <c r="IJ75" s="43"/>
      <c r="IK75" s="43"/>
      <c r="IL75" s="43"/>
      <c r="IM75" s="43"/>
      <c r="IN75" s="43"/>
      <c r="IO75" s="43"/>
      <c r="IP75" s="43"/>
      <c r="IQ75" s="43"/>
      <c r="IR75" s="43"/>
      <c r="IS75" s="43"/>
      <c r="IT75" s="43"/>
      <c r="IU75" s="43"/>
      <c r="IV75" s="43"/>
      <c r="IW75" s="43"/>
      <c r="IX75" s="43"/>
      <c r="IY75" s="43"/>
      <c r="IZ75" s="43"/>
      <c r="JA75" s="43"/>
      <c r="JB75" s="43"/>
      <c r="JC75" s="43"/>
      <c r="JD75" s="43"/>
      <c r="JE75" s="43"/>
      <c r="JF75" s="43"/>
      <c r="JG75" s="43"/>
      <c r="JH75" s="43"/>
      <c r="JI75" s="43"/>
      <c r="JJ75" s="43"/>
      <c r="JK75" s="43"/>
      <c r="JL75" s="43"/>
      <c r="JM75" s="43"/>
      <c r="JN75" s="43"/>
      <c r="JO75" s="43"/>
      <c r="JP75" s="43"/>
      <c r="JQ75" s="43"/>
      <c r="JR75" s="43"/>
      <c r="JS75" s="43"/>
      <c r="JT75" s="43"/>
      <c r="JU75" s="43"/>
      <c r="JV75" s="43"/>
      <c r="JW75" s="43"/>
      <c r="JX75" s="43"/>
      <c r="JY75" s="43"/>
      <c r="JZ75" s="43"/>
      <c r="KA75" s="43"/>
      <c r="KB75" s="43"/>
      <c r="KC75" s="43"/>
      <c r="KD75" s="43"/>
      <c r="KE75" s="43"/>
      <c r="KF75" s="43"/>
      <c r="KG75" s="43"/>
      <c r="KH75" s="43"/>
      <c r="KI75" s="43"/>
      <c r="KJ75" s="43"/>
      <c r="KK75" s="43"/>
      <c r="KL75" s="43"/>
      <c r="KM75" s="43"/>
      <c r="KN75" s="43"/>
      <c r="KO75" s="43"/>
      <c r="KP75" s="43"/>
      <c r="KQ75" s="43"/>
      <c r="KR75" s="43"/>
      <c r="KS75" s="43"/>
      <c r="KT75" s="43"/>
      <c r="KU75" s="43"/>
      <c r="KV75" s="43"/>
      <c r="KW75" s="43"/>
      <c r="KX75" s="43"/>
      <c r="KY75" s="43"/>
      <c r="KZ75" s="43"/>
      <c r="LA75" s="43"/>
      <c r="LB75" s="43"/>
      <c r="LC75" s="43"/>
      <c r="LD75" s="43"/>
      <c r="LE75" s="43"/>
      <c r="LF75" s="43"/>
      <c r="LG75" s="43"/>
      <c r="LH75" s="43"/>
      <c r="LI75" s="43"/>
      <c r="LJ75" s="43"/>
      <c r="LK75" s="43"/>
      <c r="LL75" s="43"/>
      <c r="LM75" s="43"/>
      <c r="LN75" s="43"/>
      <c r="LO75" s="43"/>
      <c r="LP75" s="43"/>
      <c r="LQ75" s="43"/>
      <c r="LR75" s="43"/>
      <c r="LS75" s="43"/>
      <c r="LT75" s="43"/>
      <c r="LU75" s="43"/>
      <c r="LV75" s="43"/>
      <c r="LW75" s="43"/>
      <c r="LX75" s="43"/>
      <c r="LY75" s="43"/>
      <c r="LZ75" s="43"/>
      <c r="MA75" s="43"/>
      <c r="MB75" s="43"/>
      <c r="MC75" s="43"/>
      <c r="MD75" s="43"/>
      <c r="ME75" s="43"/>
      <c r="MF75" s="43"/>
      <c r="MG75" s="43"/>
      <c r="MH75" s="43"/>
      <c r="MI75" s="43"/>
      <c r="MJ75" s="43"/>
      <c r="MK75" s="43"/>
      <c r="ML75" s="43"/>
      <c r="MM75" s="43"/>
      <c r="MN75" s="43"/>
      <c r="MO75" s="43"/>
      <c r="MP75" s="43"/>
      <c r="MQ75" s="43"/>
      <c r="MR75" s="43"/>
      <c r="MS75" s="43"/>
      <c r="MT75" s="43"/>
      <c r="MU75" s="43"/>
      <c r="MV75" s="43"/>
      <c r="MW75" s="43"/>
      <c r="MX75" s="43"/>
      <c r="MY75" s="43"/>
      <c r="MZ75" s="43"/>
      <c r="NA75" s="43"/>
      <c r="NB75" s="43"/>
      <c r="NC75" s="43"/>
      <c r="ND75" s="43"/>
      <c r="NE75" s="43"/>
      <c r="NF75" s="43"/>
      <c r="NG75" s="43"/>
      <c r="NH75" s="43"/>
      <c r="NI75" s="43"/>
      <c r="NJ75" s="43"/>
      <c r="NK75" s="43"/>
      <c r="NL75" s="43"/>
      <c r="NM75" s="43"/>
      <c r="NN75" s="43"/>
      <c r="NO75" s="43"/>
      <c r="NP75" s="43"/>
      <c r="NQ75" s="43"/>
      <c r="NR75" s="43"/>
      <c r="NS75" s="43"/>
      <c r="NT75" s="43"/>
      <c r="NU75" s="43"/>
      <c r="NV75" s="43"/>
      <c r="NW75" s="43"/>
      <c r="NX75" s="43"/>
      <c r="NY75" s="43"/>
      <c r="NZ75" s="43"/>
      <c r="OA75" s="43"/>
      <c r="OB75" s="43"/>
      <c r="OC75" s="43"/>
      <c r="OD75" s="43"/>
      <c r="OE75" s="43"/>
      <c r="OF75" s="43"/>
      <c r="OG75" s="43"/>
      <c r="OH75" s="43"/>
      <c r="OI75" s="43"/>
      <c r="OJ75" s="43"/>
      <c r="OK75" s="43"/>
      <c r="OL75" s="43"/>
      <c r="OM75" s="43"/>
      <c r="ON75" s="43"/>
      <c r="OO75" s="43"/>
      <c r="OP75" s="43"/>
      <c r="OQ75" s="43"/>
      <c r="OR75" s="43"/>
      <c r="OS75" s="43"/>
      <c r="OT75" s="43"/>
      <c r="OU75" s="43"/>
      <c r="OV75" s="43"/>
      <c r="OW75" s="43"/>
      <c r="OX75" s="43"/>
      <c r="OY75" s="43"/>
      <c r="OZ75" s="43"/>
      <c r="PA75" s="43"/>
      <c r="PB75" s="43"/>
      <c r="PC75" s="43"/>
      <c r="PD75" s="43"/>
      <c r="PE75" s="43"/>
      <c r="PF75" s="43"/>
      <c r="PG75" s="43"/>
      <c r="PH75" s="43"/>
      <c r="PI75" s="43"/>
      <c r="PJ75" s="43"/>
      <c r="PK75" s="43"/>
      <c r="PL75" s="43"/>
      <c r="PM75" s="43"/>
      <c r="PN75" s="43"/>
      <c r="PO75" s="43"/>
      <c r="PP75" s="43"/>
      <c r="PQ75" s="43"/>
      <c r="PR75" s="43"/>
      <c r="PS75" s="43"/>
      <c r="PT75" s="43"/>
      <c r="PU75" s="43"/>
      <c r="PV75" s="43"/>
      <c r="PW75" s="43"/>
      <c r="PX75" s="43"/>
      <c r="PY75" s="43"/>
      <c r="PZ75" s="43"/>
      <c r="QA75" s="43"/>
      <c r="QB75" s="43"/>
      <c r="QC75" s="43"/>
    </row>
    <row r="76" spans="1:445" x14ac:dyDescent="0.3">
      <c r="B76" s="45"/>
      <c r="C76" s="45"/>
      <c r="D76" s="45"/>
      <c r="E76" s="45"/>
      <c r="F76" s="45"/>
      <c r="G76" s="45"/>
      <c r="H76" s="45"/>
      <c r="I76" s="45"/>
      <c r="J76" s="51"/>
      <c r="K76" s="45"/>
      <c r="L76" s="45"/>
      <c r="M76" s="45"/>
      <c r="N76" s="45"/>
      <c r="O76" s="45"/>
      <c r="P76" s="45"/>
      <c r="Q76" s="45"/>
      <c r="R76" s="45"/>
      <c r="S76" s="45"/>
      <c r="T76" s="46" t="str">
        <f t="shared" si="7"/>
        <v/>
      </c>
      <c r="U76" s="46" t="str">
        <f t="shared" si="8"/>
        <v/>
      </c>
      <c r="V76" s="72" t="str">
        <f t="shared" si="9"/>
        <v/>
      </c>
      <c r="W76" s="48"/>
      <c r="X76" s="73" t="str">
        <f t="shared" si="10"/>
        <v/>
      </c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43"/>
      <c r="CY76" s="43"/>
      <c r="CZ76" s="43"/>
      <c r="DA76" s="43"/>
      <c r="DB76" s="43"/>
      <c r="DC76" s="43"/>
      <c r="DD76" s="43"/>
      <c r="DE76" s="43"/>
      <c r="DF76" s="43"/>
      <c r="DG76" s="43"/>
      <c r="DH76" s="43"/>
      <c r="DI76" s="43"/>
      <c r="DJ76" s="43"/>
      <c r="DK76" s="43"/>
      <c r="DL76" s="43"/>
      <c r="DM76" s="43"/>
      <c r="DN76" s="43"/>
      <c r="DO76" s="43"/>
      <c r="DP76" s="43"/>
      <c r="DQ76" s="43"/>
      <c r="DR76" s="43"/>
      <c r="DS76" s="43"/>
      <c r="DT76" s="43"/>
      <c r="DU76" s="43"/>
      <c r="DV76" s="43"/>
      <c r="DW76" s="43"/>
      <c r="DX76" s="43"/>
      <c r="DY76" s="43"/>
      <c r="DZ76" s="43"/>
      <c r="EA76" s="43"/>
      <c r="EB76" s="43"/>
      <c r="EC76" s="43"/>
      <c r="ED76" s="43"/>
      <c r="EE76" s="43"/>
      <c r="EF76" s="43"/>
      <c r="EG76" s="43"/>
      <c r="EH76" s="43"/>
      <c r="EI76" s="43"/>
      <c r="EJ76" s="43"/>
      <c r="EK76" s="43"/>
      <c r="EL76" s="43"/>
      <c r="EM76" s="43"/>
      <c r="EN76" s="43"/>
      <c r="EO76" s="43"/>
      <c r="EP76" s="43"/>
      <c r="EQ76" s="43"/>
      <c r="ER76" s="43"/>
      <c r="ES76" s="43"/>
      <c r="ET76" s="43"/>
      <c r="EU76" s="43"/>
      <c r="EV76" s="43"/>
      <c r="EW76" s="43"/>
      <c r="EX76" s="43"/>
      <c r="EY76" s="43"/>
      <c r="EZ76" s="43"/>
      <c r="FA76" s="43"/>
      <c r="FB76" s="43"/>
      <c r="FC76" s="43"/>
      <c r="FD76" s="43"/>
      <c r="FE76" s="43"/>
      <c r="FF76" s="43"/>
      <c r="FG76" s="43"/>
      <c r="FH76" s="43"/>
      <c r="FI76" s="43"/>
      <c r="FJ76" s="43"/>
      <c r="FK76" s="43"/>
      <c r="FL76" s="43"/>
      <c r="FM76" s="43"/>
      <c r="FN76" s="43"/>
      <c r="FO76" s="43"/>
      <c r="FP76" s="43"/>
      <c r="FQ76" s="43"/>
      <c r="FR76" s="43"/>
      <c r="FS76" s="43"/>
      <c r="FT76" s="43"/>
      <c r="FU76" s="43"/>
      <c r="FV76" s="43"/>
      <c r="FW76" s="43"/>
      <c r="FX76" s="43"/>
      <c r="FY76" s="43"/>
      <c r="FZ76" s="43"/>
      <c r="GA76" s="43"/>
      <c r="GB76" s="43"/>
      <c r="GC76" s="43"/>
      <c r="GD76" s="43"/>
      <c r="GE76" s="43"/>
      <c r="GF76" s="43"/>
      <c r="GG76" s="43"/>
      <c r="GH76" s="43"/>
      <c r="GI76" s="43"/>
      <c r="GJ76" s="43"/>
      <c r="GK76" s="43"/>
      <c r="GL76" s="43"/>
      <c r="GM76" s="43"/>
      <c r="GN76" s="43"/>
      <c r="GO76" s="43"/>
      <c r="GP76" s="43"/>
      <c r="GQ76" s="43"/>
      <c r="GR76" s="43"/>
      <c r="GS76" s="43"/>
      <c r="GT76" s="43"/>
      <c r="GU76" s="43"/>
      <c r="GV76" s="43"/>
      <c r="GW76" s="43"/>
      <c r="GX76" s="43"/>
      <c r="GY76" s="43"/>
      <c r="GZ76" s="43"/>
      <c r="HA76" s="43"/>
      <c r="HB76" s="43"/>
      <c r="HC76" s="43"/>
      <c r="HD76" s="43"/>
      <c r="HE76" s="43"/>
      <c r="HF76" s="43"/>
      <c r="HG76" s="43"/>
      <c r="HH76" s="43"/>
      <c r="HI76" s="43"/>
      <c r="HJ76" s="43"/>
      <c r="HK76" s="43"/>
      <c r="HL76" s="43"/>
      <c r="HM76" s="43"/>
      <c r="HN76" s="43"/>
      <c r="HO76" s="43"/>
      <c r="HP76" s="43"/>
      <c r="HQ76" s="43"/>
      <c r="HR76" s="43"/>
      <c r="HS76" s="43"/>
      <c r="HT76" s="43"/>
      <c r="HU76" s="43"/>
      <c r="HV76" s="43"/>
      <c r="HW76" s="43"/>
      <c r="HX76" s="43"/>
      <c r="HY76" s="43"/>
      <c r="HZ76" s="43"/>
      <c r="IA76" s="43"/>
      <c r="IB76" s="43"/>
      <c r="IC76" s="43"/>
      <c r="ID76" s="43"/>
      <c r="IE76" s="43"/>
      <c r="IF76" s="43"/>
      <c r="IG76" s="43"/>
      <c r="IH76" s="43"/>
      <c r="II76" s="43"/>
      <c r="IJ76" s="43"/>
      <c r="IK76" s="43"/>
      <c r="IL76" s="43"/>
      <c r="IM76" s="43"/>
      <c r="IN76" s="43"/>
      <c r="IO76" s="43"/>
      <c r="IP76" s="43"/>
      <c r="IQ76" s="43"/>
      <c r="IR76" s="43"/>
      <c r="IS76" s="43"/>
      <c r="IT76" s="43"/>
      <c r="IU76" s="43"/>
      <c r="IV76" s="43"/>
      <c r="IW76" s="43"/>
      <c r="IX76" s="43"/>
      <c r="IY76" s="43"/>
      <c r="IZ76" s="43"/>
      <c r="JA76" s="43"/>
      <c r="JB76" s="43"/>
      <c r="JC76" s="43"/>
      <c r="JD76" s="43"/>
      <c r="JE76" s="43"/>
      <c r="JF76" s="43"/>
      <c r="JG76" s="43"/>
      <c r="JH76" s="43"/>
      <c r="JI76" s="43"/>
      <c r="JJ76" s="43"/>
      <c r="JK76" s="43"/>
      <c r="JL76" s="43"/>
      <c r="JM76" s="43"/>
      <c r="JN76" s="43"/>
      <c r="JO76" s="43"/>
      <c r="JP76" s="43"/>
      <c r="JQ76" s="43"/>
      <c r="JR76" s="43"/>
      <c r="JS76" s="43"/>
      <c r="JT76" s="43"/>
      <c r="JU76" s="43"/>
      <c r="JV76" s="43"/>
      <c r="JW76" s="43"/>
      <c r="JX76" s="43"/>
      <c r="JY76" s="43"/>
      <c r="JZ76" s="43"/>
      <c r="KA76" s="43"/>
      <c r="KB76" s="43"/>
      <c r="KC76" s="43"/>
      <c r="KD76" s="43"/>
      <c r="KE76" s="43"/>
      <c r="KF76" s="43"/>
      <c r="KG76" s="43"/>
      <c r="KH76" s="43"/>
      <c r="KI76" s="43"/>
      <c r="KJ76" s="43"/>
      <c r="KK76" s="43"/>
      <c r="KL76" s="43"/>
      <c r="KM76" s="43"/>
      <c r="KN76" s="43"/>
      <c r="KO76" s="43"/>
      <c r="KP76" s="43"/>
      <c r="KQ76" s="43"/>
      <c r="KR76" s="43"/>
      <c r="KS76" s="43"/>
      <c r="KT76" s="43"/>
      <c r="KU76" s="43"/>
      <c r="KV76" s="43"/>
      <c r="KW76" s="43"/>
      <c r="KX76" s="43"/>
      <c r="KY76" s="43"/>
      <c r="KZ76" s="43"/>
      <c r="LA76" s="43"/>
      <c r="LB76" s="43"/>
      <c r="LC76" s="43"/>
      <c r="LD76" s="43"/>
      <c r="LE76" s="43"/>
      <c r="LF76" s="43"/>
      <c r="LG76" s="43"/>
      <c r="LH76" s="43"/>
      <c r="LI76" s="43"/>
      <c r="LJ76" s="43"/>
      <c r="LK76" s="43"/>
      <c r="LL76" s="43"/>
      <c r="LM76" s="43"/>
      <c r="LN76" s="43"/>
      <c r="LO76" s="43"/>
      <c r="LP76" s="43"/>
      <c r="LQ76" s="43"/>
      <c r="LR76" s="43"/>
      <c r="LS76" s="43"/>
      <c r="LT76" s="43"/>
      <c r="LU76" s="43"/>
      <c r="LV76" s="43"/>
      <c r="LW76" s="43"/>
      <c r="LX76" s="43"/>
      <c r="LY76" s="43"/>
      <c r="LZ76" s="43"/>
      <c r="MA76" s="43"/>
      <c r="MB76" s="43"/>
      <c r="MC76" s="43"/>
      <c r="MD76" s="43"/>
      <c r="ME76" s="43"/>
      <c r="MF76" s="43"/>
      <c r="MG76" s="43"/>
      <c r="MH76" s="43"/>
      <c r="MI76" s="43"/>
      <c r="MJ76" s="43"/>
      <c r="MK76" s="43"/>
      <c r="ML76" s="43"/>
      <c r="MM76" s="43"/>
      <c r="MN76" s="43"/>
      <c r="MO76" s="43"/>
      <c r="MP76" s="43"/>
      <c r="MQ76" s="43"/>
      <c r="MR76" s="43"/>
      <c r="MS76" s="43"/>
      <c r="MT76" s="43"/>
      <c r="MU76" s="43"/>
      <c r="MV76" s="43"/>
      <c r="MW76" s="43"/>
      <c r="MX76" s="43"/>
      <c r="MY76" s="43"/>
      <c r="MZ76" s="43"/>
      <c r="NA76" s="43"/>
      <c r="NB76" s="43"/>
      <c r="NC76" s="43"/>
      <c r="ND76" s="43"/>
      <c r="NE76" s="43"/>
      <c r="NF76" s="43"/>
      <c r="NG76" s="43"/>
      <c r="NH76" s="43"/>
      <c r="NI76" s="43"/>
      <c r="NJ76" s="43"/>
      <c r="NK76" s="43"/>
      <c r="NL76" s="43"/>
      <c r="NM76" s="43"/>
      <c r="NN76" s="43"/>
      <c r="NO76" s="43"/>
      <c r="NP76" s="43"/>
      <c r="NQ76" s="43"/>
      <c r="NR76" s="43"/>
      <c r="NS76" s="43"/>
      <c r="NT76" s="43"/>
      <c r="NU76" s="43"/>
      <c r="NV76" s="43"/>
      <c r="NW76" s="43"/>
      <c r="NX76" s="43"/>
      <c r="NY76" s="43"/>
      <c r="NZ76" s="43"/>
      <c r="OA76" s="43"/>
      <c r="OB76" s="43"/>
      <c r="OC76" s="43"/>
      <c r="OD76" s="43"/>
      <c r="OE76" s="43"/>
      <c r="OF76" s="43"/>
      <c r="OG76" s="43"/>
      <c r="OH76" s="43"/>
      <c r="OI76" s="43"/>
      <c r="OJ76" s="43"/>
      <c r="OK76" s="43"/>
      <c r="OL76" s="43"/>
      <c r="OM76" s="43"/>
      <c r="ON76" s="43"/>
      <c r="OO76" s="43"/>
      <c r="OP76" s="43"/>
      <c r="OQ76" s="43"/>
      <c r="OR76" s="43"/>
      <c r="OS76" s="43"/>
      <c r="OT76" s="43"/>
      <c r="OU76" s="43"/>
      <c r="OV76" s="43"/>
      <c r="OW76" s="43"/>
      <c r="OX76" s="43"/>
      <c r="OY76" s="43"/>
      <c r="OZ76" s="43"/>
      <c r="PA76" s="43"/>
      <c r="PB76" s="43"/>
      <c r="PC76" s="43"/>
      <c r="PD76" s="43"/>
      <c r="PE76" s="43"/>
      <c r="PF76" s="43"/>
      <c r="PG76" s="43"/>
      <c r="PH76" s="43"/>
      <c r="PI76" s="43"/>
      <c r="PJ76" s="43"/>
      <c r="PK76" s="43"/>
      <c r="PL76" s="43"/>
      <c r="PM76" s="43"/>
      <c r="PN76" s="43"/>
      <c r="PO76" s="43"/>
      <c r="PP76" s="43"/>
      <c r="PQ76" s="43"/>
      <c r="PR76" s="43"/>
      <c r="PS76" s="43"/>
      <c r="PT76" s="43"/>
      <c r="PU76" s="43"/>
      <c r="PV76" s="43"/>
      <c r="PW76" s="43"/>
      <c r="PX76" s="43"/>
      <c r="PY76" s="43"/>
      <c r="PZ76" s="43"/>
      <c r="QA76" s="43"/>
      <c r="QB76" s="43"/>
      <c r="QC76" s="43"/>
    </row>
    <row r="77" spans="1:445" x14ac:dyDescent="0.3">
      <c r="B77" s="45"/>
      <c r="C77" s="45"/>
      <c r="D77" s="45"/>
      <c r="E77" s="45"/>
      <c r="F77" s="45"/>
      <c r="G77" s="45"/>
      <c r="H77" s="45"/>
      <c r="I77" s="45"/>
      <c r="K77" s="45"/>
      <c r="L77" s="45"/>
      <c r="M77" s="45"/>
      <c r="N77" s="45"/>
      <c r="O77" s="45"/>
      <c r="P77" s="45"/>
      <c r="Q77" s="45"/>
      <c r="R77" s="45"/>
      <c r="S77" s="45"/>
      <c r="T77" s="46" t="str">
        <f t="shared" si="7"/>
        <v/>
      </c>
      <c r="U77" s="46" t="str">
        <f t="shared" si="8"/>
        <v/>
      </c>
      <c r="V77" s="72" t="str">
        <f t="shared" si="9"/>
        <v/>
      </c>
      <c r="W77" s="48"/>
      <c r="X77" s="73" t="str">
        <f t="shared" si="10"/>
        <v/>
      </c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43"/>
      <c r="CY77" s="43"/>
      <c r="CZ77" s="43"/>
      <c r="DA77" s="43"/>
      <c r="DB77" s="43"/>
      <c r="DC77" s="43"/>
      <c r="DD77" s="43"/>
      <c r="DE77" s="43"/>
      <c r="DF77" s="43"/>
      <c r="DG77" s="43"/>
      <c r="DH77" s="43"/>
      <c r="DI77" s="43"/>
      <c r="DJ77" s="43"/>
      <c r="DK77" s="43"/>
      <c r="DL77" s="43"/>
      <c r="DM77" s="43"/>
      <c r="DN77" s="43"/>
      <c r="DO77" s="43"/>
      <c r="DP77" s="43"/>
      <c r="DQ77" s="43"/>
      <c r="DR77" s="43"/>
      <c r="DS77" s="43"/>
      <c r="DT77" s="43"/>
      <c r="DU77" s="43"/>
      <c r="DV77" s="43"/>
      <c r="DW77" s="43"/>
      <c r="DX77" s="43"/>
      <c r="DY77" s="43"/>
      <c r="DZ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43"/>
      <c r="EM77" s="43"/>
      <c r="EN77" s="43"/>
      <c r="EO77" s="43"/>
      <c r="EP77" s="43"/>
      <c r="EQ77" s="43"/>
      <c r="ER77" s="43"/>
      <c r="ES77" s="43"/>
      <c r="ET77" s="43"/>
      <c r="EU77" s="43"/>
      <c r="EV77" s="43"/>
      <c r="EW77" s="43"/>
      <c r="EX77" s="43"/>
      <c r="EY77" s="43"/>
      <c r="EZ77" s="43"/>
      <c r="FA77" s="43"/>
      <c r="FB77" s="43"/>
      <c r="FC77" s="43"/>
      <c r="FD77" s="43"/>
      <c r="FE77" s="43"/>
      <c r="FF77" s="43"/>
      <c r="FG77" s="43"/>
      <c r="FH77" s="43"/>
      <c r="FI77" s="43"/>
      <c r="FJ77" s="43"/>
      <c r="FK77" s="43"/>
      <c r="FL77" s="43"/>
      <c r="FM77" s="43"/>
      <c r="FN77" s="43"/>
      <c r="FO77" s="43"/>
      <c r="FP77" s="43"/>
      <c r="FQ77" s="43"/>
      <c r="FR77" s="43"/>
      <c r="FS77" s="43"/>
      <c r="FT77" s="43"/>
      <c r="FU77" s="43"/>
      <c r="FV77" s="43"/>
      <c r="FW77" s="43"/>
      <c r="FX77" s="43"/>
      <c r="FY77" s="43"/>
      <c r="FZ77" s="43"/>
      <c r="GA77" s="43"/>
      <c r="GB77" s="43"/>
      <c r="GC77" s="43"/>
      <c r="GD77" s="43"/>
      <c r="GE77" s="43"/>
      <c r="GF77" s="43"/>
      <c r="GG77" s="43"/>
      <c r="GH77" s="43"/>
      <c r="GI77" s="43"/>
      <c r="GJ77" s="43"/>
      <c r="GK77" s="43"/>
      <c r="GL77" s="43"/>
      <c r="GM77" s="43"/>
      <c r="GN77" s="43"/>
      <c r="GO77" s="43"/>
      <c r="GP77" s="43"/>
      <c r="GQ77" s="43"/>
      <c r="GR77" s="43"/>
      <c r="GS77" s="43"/>
      <c r="GT77" s="43"/>
      <c r="GU77" s="43"/>
      <c r="GV77" s="43"/>
      <c r="GW77" s="43"/>
      <c r="GX77" s="43"/>
      <c r="GY77" s="43"/>
      <c r="GZ77" s="43"/>
      <c r="HA77" s="43"/>
      <c r="HB77" s="43"/>
      <c r="HC77" s="43"/>
      <c r="HD77" s="43"/>
      <c r="HE77" s="43"/>
      <c r="HF77" s="43"/>
      <c r="HG77" s="43"/>
      <c r="HH77" s="43"/>
      <c r="HI77" s="43"/>
      <c r="HJ77" s="43"/>
      <c r="HK77" s="43"/>
      <c r="HL77" s="43"/>
      <c r="HM77" s="43"/>
      <c r="HN77" s="43"/>
      <c r="HO77" s="43"/>
      <c r="HP77" s="43"/>
      <c r="HQ77" s="43"/>
      <c r="HR77" s="43"/>
      <c r="HS77" s="43"/>
      <c r="HT77" s="43"/>
      <c r="HU77" s="43"/>
      <c r="HV77" s="43"/>
      <c r="HW77" s="43"/>
      <c r="HX77" s="43"/>
      <c r="HY77" s="43"/>
      <c r="HZ77" s="43"/>
      <c r="IA77" s="43"/>
      <c r="IB77" s="43"/>
      <c r="IC77" s="43"/>
      <c r="ID77" s="43"/>
      <c r="IE77" s="43"/>
      <c r="IF77" s="43"/>
      <c r="IG77" s="43"/>
      <c r="IH77" s="43"/>
      <c r="II77" s="43"/>
      <c r="IJ77" s="43"/>
      <c r="IK77" s="43"/>
      <c r="IL77" s="43"/>
      <c r="IM77" s="43"/>
      <c r="IN77" s="43"/>
      <c r="IO77" s="43"/>
      <c r="IP77" s="43"/>
      <c r="IQ77" s="43"/>
      <c r="IR77" s="43"/>
      <c r="IS77" s="43"/>
      <c r="IT77" s="43"/>
      <c r="IU77" s="43"/>
      <c r="IV77" s="43"/>
      <c r="IW77" s="43"/>
      <c r="IX77" s="43"/>
      <c r="IY77" s="43"/>
      <c r="IZ77" s="43"/>
      <c r="JA77" s="43"/>
      <c r="JB77" s="43"/>
      <c r="JC77" s="43"/>
      <c r="JD77" s="43"/>
      <c r="JE77" s="43"/>
      <c r="JF77" s="43"/>
      <c r="JG77" s="43"/>
      <c r="JH77" s="43"/>
      <c r="JI77" s="43"/>
      <c r="JJ77" s="43"/>
      <c r="JK77" s="43"/>
      <c r="JL77" s="43"/>
      <c r="JM77" s="43"/>
      <c r="JN77" s="43"/>
      <c r="JO77" s="43"/>
      <c r="JP77" s="43"/>
      <c r="JQ77" s="43"/>
      <c r="JR77" s="43"/>
      <c r="JS77" s="43"/>
      <c r="JT77" s="43"/>
      <c r="JU77" s="43"/>
      <c r="JV77" s="43"/>
      <c r="JW77" s="43"/>
      <c r="JX77" s="43"/>
      <c r="JY77" s="43"/>
      <c r="JZ77" s="43"/>
      <c r="KA77" s="43"/>
      <c r="KB77" s="43"/>
      <c r="KC77" s="43"/>
      <c r="KD77" s="43"/>
      <c r="KE77" s="43"/>
      <c r="KF77" s="43"/>
      <c r="KG77" s="43"/>
      <c r="KH77" s="43"/>
      <c r="KI77" s="43"/>
      <c r="KJ77" s="43"/>
      <c r="KK77" s="43"/>
      <c r="KL77" s="43"/>
      <c r="KM77" s="43"/>
      <c r="KN77" s="43"/>
      <c r="KO77" s="43"/>
      <c r="KP77" s="43"/>
      <c r="KQ77" s="43"/>
      <c r="KR77" s="43"/>
      <c r="KS77" s="43"/>
      <c r="KT77" s="43"/>
      <c r="KU77" s="43"/>
      <c r="KV77" s="43"/>
      <c r="KW77" s="43"/>
      <c r="KX77" s="43"/>
      <c r="KY77" s="43"/>
      <c r="KZ77" s="43"/>
      <c r="LA77" s="43"/>
      <c r="LB77" s="43"/>
      <c r="LC77" s="43"/>
      <c r="LD77" s="43"/>
      <c r="LE77" s="43"/>
      <c r="LF77" s="43"/>
      <c r="LG77" s="43"/>
      <c r="LH77" s="43"/>
      <c r="LI77" s="43"/>
      <c r="LJ77" s="43"/>
      <c r="LK77" s="43"/>
      <c r="LL77" s="43"/>
      <c r="LM77" s="43"/>
      <c r="LN77" s="43"/>
      <c r="LO77" s="43"/>
      <c r="LP77" s="43"/>
      <c r="LQ77" s="43"/>
      <c r="LR77" s="43"/>
      <c r="LS77" s="43"/>
      <c r="LT77" s="43"/>
      <c r="LU77" s="43"/>
      <c r="LV77" s="43"/>
      <c r="LW77" s="43"/>
      <c r="LX77" s="43"/>
      <c r="LY77" s="43"/>
      <c r="LZ77" s="43"/>
      <c r="MA77" s="43"/>
      <c r="MB77" s="43"/>
      <c r="MC77" s="43"/>
      <c r="MD77" s="43"/>
      <c r="ME77" s="43"/>
      <c r="MF77" s="43"/>
      <c r="MG77" s="43"/>
      <c r="MH77" s="43"/>
      <c r="MI77" s="43"/>
      <c r="MJ77" s="43"/>
      <c r="MK77" s="43"/>
      <c r="ML77" s="43"/>
      <c r="MM77" s="43"/>
      <c r="MN77" s="43"/>
      <c r="MO77" s="43"/>
      <c r="MP77" s="43"/>
      <c r="MQ77" s="43"/>
      <c r="MR77" s="43"/>
      <c r="MS77" s="43"/>
      <c r="MT77" s="43"/>
      <c r="MU77" s="43"/>
      <c r="MV77" s="43"/>
      <c r="MW77" s="43"/>
      <c r="MX77" s="43"/>
      <c r="MY77" s="43"/>
      <c r="MZ77" s="43"/>
      <c r="NA77" s="43"/>
      <c r="NB77" s="43"/>
      <c r="NC77" s="43"/>
      <c r="ND77" s="43"/>
      <c r="NE77" s="43"/>
      <c r="NF77" s="43"/>
      <c r="NG77" s="43"/>
      <c r="NH77" s="43"/>
      <c r="NI77" s="43"/>
      <c r="NJ77" s="43"/>
      <c r="NK77" s="43"/>
      <c r="NL77" s="43"/>
      <c r="NM77" s="43"/>
      <c r="NN77" s="43"/>
      <c r="NO77" s="43"/>
      <c r="NP77" s="43"/>
      <c r="NQ77" s="43"/>
      <c r="NR77" s="43"/>
      <c r="NS77" s="43"/>
      <c r="NT77" s="43"/>
      <c r="NU77" s="43"/>
      <c r="NV77" s="43"/>
      <c r="NW77" s="43"/>
      <c r="NX77" s="43"/>
      <c r="NY77" s="43"/>
      <c r="NZ77" s="43"/>
      <c r="OA77" s="43"/>
      <c r="OB77" s="43"/>
      <c r="OC77" s="43"/>
      <c r="OD77" s="43"/>
      <c r="OE77" s="43"/>
      <c r="OF77" s="43"/>
      <c r="OG77" s="43"/>
      <c r="OH77" s="43"/>
      <c r="OI77" s="43"/>
      <c r="OJ77" s="43"/>
      <c r="OK77" s="43"/>
      <c r="OL77" s="43"/>
      <c r="OM77" s="43"/>
      <c r="ON77" s="43"/>
      <c r="OO77" s="43"/>
      <c r="OP77" s="43"/>
      <c r="OQ77" s="43"/>
      <c r="OR77" s="43"/>
      <c r="OS77" s="43"/>
      <c r="OT77" s="43"/>
      <c r="OU77" s="43"/>
      <c r="OV77" s="43"/>
      <c r="OW77" s="43"/>
      <c r="OX77" s="43"/>
      <c r="OY77" s="43"/>
      <c r="OZ77" s="43"/>
      <c r="PA77" s="43"/>
      <c r="PB77" s="43"/>
      <c r="PC77" s="43"/>
      <c r="PD77" s="43"/>
      <c r="PE77" s="43"/>
      <c r="PF77" s="43"/>
      <c r="PG77" s="43"/>
      <c r="PH77" s="43"/>
      <c r="PI77" s="43"/>
      <c r="PJ77" s="43"/>
      <c r="PK77" s="43"/>
      <c r="PL77" s="43"/>
      <c r="PM77" s="43"/>
      <c r="PN77" s="43"/>
      <c r="PO77" s="43"/>
      <c r="PP77" s="43"/>
      <c r="PQ77" s="43"/>
      <c r="PR77" s="43"/>
      <c r="PS77" s="43"/>
      <c r="PT77" s="43"/>
      <c r="PU77" s="43"/>
      <c r="PV77" s="43"/>
      <c r="PW77" s="43"/>
      <c r="PX77" s="43"/>
      <c r="PY77" s="43"/>
      <c r="PZ77" s="43"/>
      <c r="QA77" s="43"/>
      <c r="QB77" s="43"/>
      <c r="QC77" s="43"/>
    </row>
    <row r="78" spans="1:445" x14ac:dyDescent="0.3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6" t="str">
        <f t="shared" si="7"/>
        <v/>
      </c>
      <c r="U78" s="46" t="str">
        <f t="shared" si="8"/>
        <v/>
      </c>
      <c r="V78" s="72" t="str">
        <f t="shared" si="9"/>
        <v/>
      </c>
      <c r="W78" s="48"/>
      <c r="X78" s="73" t="str">
        <f t="shared" si="10"/>
        <v/>
      </c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43"/>
      <c r="BO78" s="43"/>
      <c r="BP78" s="43"/>
      <c r="BQ78" s="43"/>
      <c r="BR78" s="43"/>
      <c r="BS78" s="43"/>
      <c r="BT78" s="43"/>
      <c r="BU78" s="43"/>
      <c r="BV78" s="43"/>
      <c r="BW78" s="43"/>
      <c r="BX78" s="43"/>
      <c r="BY78" s="43"/>
      <c r="BZ78" s="43"/>
      <c r="CA78" s="43"/>
      <c r="CB78" s="43"/>
      <c r="CC78" s="43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43"/>
      <c r="CY78" s="43"/>
      <c r="CZ78" s="43"/>
      <c r="DA78" s="43"/>
      <c r="DB78" s="43"/>
      <c r="DC78" s="43"/>
      <c r="DD78" s="43"/>
      <c r="DE78" s="43"/>
      <c r="DF78" s="43"/>
      <c r="DG78" s="43"/>
      <c r="DH78" s="43"/>
      <c r="DI78" s="43"/>
      <c r="DJ78" s="43"/>
      <c r="DK78" s="43"/>
      <c r="DL78" s="43"/>
      <c r="DM78" s="43"/>
      <c r="DN78" s="43"/>
      <c r="DO78" s="43"/>
      <c r="DP78" s="43"/>
      <c r="DQ78" s="43"/>
      <c r="DR78" s="43"/>
      <c r="DS78" s="43"/>
      <c r="DT78" s="43"/>
      <c r="DU78" s="43"/>
      <c r="DV78" s="43"/>
      <c r="DW78" s="43"/>
      <c r="DX78" s="43"/>
      <c r="DY78" s="43"/>
      <c r="DZ78" s="43"/>
      <c r="EA78" s="43"/>
      <c r="EB78" s="43"/>
      <c r="EC78" s="43"/>
      <c r="ED78" s="43"/>
      <c r="EE78" s="43"/>
      <c r="EF78" s="43"/>
      <c r="EG78" s="43"/>
      <c r="EH78" s="43"/>
      <c r="EI78" s="43"/>
      <c r="EJ78" s="43"/>
      <c r="EK78" s="43"/>
      <c r="EL78" s="43"/>
      <c r="EM78" s="43"/>
      <c r="EN78" s="43"/>
      <c r="EO78" s="43"/>
      <c r="EP78" s="43"/>
      <c r="EQ78" s="43"/>
      <c r="ER78" s="43"/>
      <c r="ES78" s="43"/>
      <c r="ET78" s="43"/>
      <c r="EU78" s="43"/>
      <c r="EV78" s="43"/>
      <c r="EW78" s="43"/>
      <c r="EX78" s="43"/>
      <c r="EY78" s="43"/>
      <c r="EZ78" s="43"/>
      <c r="FA78" s="43"/>
      <c r="FB78" s="43"/>
      <c r="FC78" s="43"/>
      <c r="FD78" s="43"/>
      <c r="FE78" s="43"/>
      <c r="FF78" s="43"/>
      <c r="FG78" s="43"/>
      <c r="FH78" s="43"/>
      <c r="FI78" s="43"/>
      <c r="FJ78" s="43"/>
      <c r="FK78" s="43"/>
      <c r="FL78" s="43"/>
      <c r="FM78" s="43"/>
      <c r="FN78" s="43"/>
      <c r="FO78" s="43"/>
      <c r="FP78" s="43"/>
      <c r="FQ78" s="43"/>
      <c r="FR78" s="43"/>
      <c r="FS78" s="43"/>
      <c r="FT78" s="43"/>
      <c r="FU78" s="43"/>
      <c r="FV78" s="43"/>
      <c r="FW78" s="43"/>
      <c r="FX78" s="43"/>
      <c r="FY78" s="43"/>
      <c r="FZ78" s="43"/>
      <c r="GA78" s="43"/>
      <c r="GB78" s="43"/>
      <c r="GC78" s="43"/>
      <c r="GD78" s="43"/>
      <c r="GE78" s="43"/>
      <c r="GF78" s="43"/>
      <c r="GG78" s="43"/>
      <c r="GH78" s="43"/>
      <c r="GI78" s="43"/>
      <c r="GJ78" s="43"/>
      <c r="GK78" s="43"/>
      <c r="GL78" s="43"/>
      <c r="GM78" s="43"/>
      <c r="GN78" s="43"/>
      <c r="GO78" s="43"/>
      <c r="GP78" s="43"/>
      <c r="GQ78" s="43"/>
      <c r="GR78" s="43"/>
      <c r="GS78" s="43"/>
      <c r="GT78" s="43"/>
      <c r="GU78" s="43"/>
      <c r="GV78" s="43"/>
      <c r="GW78" s="43"/>
      <c r="GX78" s="43"/>
      <c r="GY78" s="43"/>
      <c r="GZ78" s="43"/>
      <c r="HA78" s="43"/>
      <c r="HB78" s="43"/>
      <c r="HC78" s="43"/>
      <c r="HD78" s="43"/>
      <c r="HE78" s="43"/>
      <c r="HF78" s="43"/>
      <c r="HG78" s="43"/>
      <c r="HH78" s="43"/>
      <c r="HI78" s="43"/>
      <c r="HJ78" s="43"/>
      <c r="HK78" s="43"/>
      <c r="HL78" s="43"/>
      <c r="HM78" s="43"/>
      <c r="HN78" s="43"/>
      <c r="HO78" s="43"/>
      <c r="HP78" s="43"/>
      <c r="HQ78" s="43"/>
      <c r="HR78" s="43"/>
      <c r="HS78" s="43"/>
      <c r="HT78" s="43"/>
      <c r="HU78" s="43"/>
      <c r="HV78" s="43"/>
      <c r="HW78" s="43"/>
      <c r="HX78" s="43"/>
      <c r="HY78" s="43"/>
      <c r="HZ78" s="43"/>
      <c r="IA78" s="43"/>
      <c r="IB78" s="43"/>
      <c r="IC78" s="43"/>
      <c r="ID78" s="43"/>
      <c r="IE78" s="43"/>
      <c r="IF78" s="43"/>
      <c r="IG78" s="43"/>
      <c r="IH78" s="43"/>
      <c r="II78" s="43"/>
      <c r="IJ78" s="43"/>
      <c r="IK78" s="43"/>
      <c r="IL78" s="43"/>
      <c r="IM78" s="43"/>
      <c r="IN78" s="43"/>
      <c r="IO78" s="43"/>
      <c r="IP78" s="43"/>
      <c r="IQ78" s="43"/>
      <c r="IR78" s="43"/>
      <c r="IS78" s="43"/>
      <c r="IT78" s="43"/>
      <c r="IU78" s="43"/>
      <c r="IV78" s="43"/>
      <c r="IW78" s="43"/>
      <c r="IX78" s="43"/>
      <c r="IY78" s="43"/>
      <c r="IZ78" s="43"/>
      <c r="JA78" s="43"/>
      <c r="JB78" s="43"/>
      <c r="JC78" s="43"/>
      <c r="JD78" s="43"/>
      <c r="JE78" s="43"/>
      <c r="JF78" s="43"/>
      <c r="JG78" s="43"/>
      <c r="JH78" s="43"/>
      <c r="JI78" s="43"/>
      <c r="JJ78" s="43"/>
      <c r="JK78" s="43"/>
      <c r="JL78" s="43"/>
      <c r="JM78" s="43"/>
      <c r="JN78" s="43"/>
      <c r="JO78" s="43"/>
      <c r="JP78" s="43"/>
      <c r="JQ78" s="43"/>
      <c r="JR78" s="43"/>
      <c r="JS78" s="43"/>
      <c r="JT78" s="43"/>
      <c r="JU78" s="43"/>
      <c r="JV78" s="43"/>
      <c r="JW78" s="43"/>
      <c r="JX78" s="43"/>
      <c r="JY78" s="43"/>
      <c r="JZ78" s="43"/>
      <c r="KA78" s="43"/>
      <c r="KB78" s="43"/>
      <c r="KC78" s="43"/>
      <c r="KD78" s="43"/>
      <c r="KE78" s="43"/>
      <c r="KF78" s="43"/>
      <c r="KG78" s="43"/>
      <c r="KH78" s="43"/>
      <c r="KI78" s="43"/>
      <c r="KJ78" s="43"/>
      <c r="KK78" s="43"/>
      <c r="KL78" s="43"/>
      <c r="KM78" s="43"/>
      <c r="KN78" s="43"/>
      <c r="KO78" s="43"/>
      <c r="KP78" s="43"/>
      <c r="KQ78" s="43"/>
      <c r="KR78" s="43"/>
      <c r="KS78" s="43"/>
      <c r="KT78" s="43"/>
      <c r="KU78" s="43"/>
      <c r="KV78" s="43"/>
      <c r="KW78" s="43"/>
      <c r="KX78" s="43"/>
      <c r="KY78" s="43"/>
      <c r="KZ78" s="43"/>
      <c r="LA78" s="43"/>
      <c r="LB78" s="43"/>
      <c r="LC78" s="43"/>
      <c r="LD78" s="43"/>
      <c r="LE78" s="43"/>
      <c r="LF78" s="43"/>
      <c r="LG78" s="43"/>
      <c r="LH78" s="43"/>
      <c r="LI78" s="43"/>
      <c r="LJ78" s="43"/>
      <c r="LK78" s="43"/>
      <c r="LL78" s="43"/>
      <c r="LM78" s="43"/>
      <c r="LN78" s="43"/>
      <c r="LO78" s="43"/>
      <c r="LP78" s="43"/>
      <c r="LQ78" s="43"/>
      <c r="LR78" s="43"/>
      <c r="LS78" s="43"/>
      <c r="LT78" s="43"/>
      <c r="LU78" s="43"/>
      <c r="LV78" s="43"/>
      <c r="LW78" s="43"/>
      <c r="LX78" s="43"/>
      <c r="LY78" s="43"/>
      <c r="LZ78" s="43"/>
      <c r="MA78" s="43"/>
      <c r="MB78" s="43"/>
      <c r="MC78" s="43"/>
      <c r="MD78" s="43"/>
      <c r="ME78" s="43"/>
      <c r="MF78" s="43"/>
      <c r="MG78" s="43"/>
      <c r="MH78" s="43"/>
      <c r="MI78" s="43"/>
      <c r="MJ78" s="43"/>
      <c r="MK78" s="43"/>
      <c r="ML78" s="43"/>
      <c r="MM78" s="43"/>
      <c r="MN78" s="43"/>
      <c r="MO78" s="43"/>
      <c r="MP78" s="43"/>
      <c r="MQ78" s="43"/>
      <c r="MR78" s="43"/>
      <c r="MS78" s="43"/>
      <c r="MT78" s="43"/>
      <c r="MU78" s="43"/>
      <c r="MV78" s="43"/>
      <c r="MW78" s="43"/>
      <c r="MX78" s="43"/>
      <c r="MY78" s="43"/>
      <c r="MZ78" s="43"/>
      <c r="NA78" s="43"/>
      <c r="NB78" s="43"/>
      <c r="NC78" s="43"/>
      <c r="ND78" s="43"/>
      <c r="NE78" s="43"/>
      <c r="NF78" s="43"/>
      <c r="NG78" s="43"/>
      <c r="NH78" s="43"/>
      <c r="NI78" s="43"/>
      <c r="NJ78" s="43"/>
      <c r="NK78" s="43"/>
      <c r="NL78" s="43"/>
      <c r="NM78" s="43"/>
      <c r="NN78" s="43"/>
      <c r="NO78" s="43"/>
      <c r="NP78" s="43"/>
      <c r="NQ78" s="43"/>
      <c r="NR78" s="43"/>
      <c r="NS78" s="43"/>
      <c r="NT78" s="43"/>
      <c r="NU78" s="43"/>
      <c r="NV78" s="43"/>
      <c r="NW78" s="43"/>
      <c r="NX78" s="43"/>
      <c r="NY78" s="43"/>
      <c r="NZ78" s="43"/>
      <c r="OA78" s="43"/>
      <c r="OB78" s="43"/>
      <c r="OC78" s="43"/>
      <c r="OD78" s="43"/>
      <c r="OE78" s="43"/>
      <c r="OF78" s="43"/>
      <c r="OG78" s="43"/>
      <c r="OH78" s="43"/>
      <c r="OI78" s="43"/>
      <c r="OJ78" s="43"/>
      <c r="OK78" s="43"/>
      <c r="OL78" s="43"/>
      <c r="OM78" s="43"/>
      <c r="ON78" s="43"/>
      <c r="OO78" s="43"/>
      <c r="OP78" s="43"/>
      <c r="OQ78" s="43"/>
      <c r="OR78" s="43"/>
      <c r="OS78" s="43"/>
      <c r="OT78" s="43"/>
      <c r="OU78" s="43"/>
      <c r="OV78" s="43"/>
      <c r="OW78" s="43"/>
      <c r="OX78" s="43"/>
      <c r="OY78" s="43"/>
      <c r="OZ78" s="43"/>
      <c r="PA78" s="43"/>
      <c r="PB78" s="43"/>
      <c r="PC78" s="43"/>
      <c r="PD78" s="43"/>
      <c r="PE78" s="43"/>
      <c r="PF78" s="43"/>
      <c r="PG78" s="43"/>
      <c r="PH78" s="43"/>
      <c r="PI78" s="43"/>
      <c r="PJ78" s="43"/>
      <c r="PK78" s="43"/>
      <c r="PL78" s="43"/>
      <c r="PM78" s="43"/>
      <c r="PN78" s="43"/>
      <c r="PO78" s="43"/>
      <c r="PP78" s="43"/>
      <c r="PQ78" s="43"/>
      <c r="PR78" s="43"/>
      <c r="PS78" s="43"/>
      <c r="PT78" s="43"/>
      <c r="PU78" s="43"/>
      <c r="PV78" s="43"/>
      <c r="PW78" s="43"/>
      <c r="PX78" s="43"/>
      <c r="PY78" s="43"/>
      <c r="PZ78" s="43"/>
      <c r="QA78" s="43"/>
      <c r="QB78" s="43"/>
      <c r="QC78" s="43"/>
    </row>
    <row r="79" spans="1:445" x14ac:dyDescent="0.3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6" t="str">
        <f t="shared" si="7"/>
        <v/>
      </c>
      <c r="U79" s="46" t="str">
        <f t="shared" si="8"/>
        <v/>
      </c>
      <c r="V79" s="72" t="str">
        <f t="shared" si="9"/>
        <v/>
      </c>
      <c r="W79" s="48"/>
      <c r="X79" s="73" t="str">
        <f t="shared" si="10"/>
        <v/>
      </c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  <c r="IW79" s="43"/>
      <c r="IX79" s="43"/>
      <c r="IY79" s="43"/>
      <c r="IZ79" s="43"/>
      <c r="JA79" s="43"/>
      <c r="JB79" s="43"/>
      <c r="JC79" s="43"/>
      <c r="JD79" s="43"/>
      <c r="JE79" s="43"/>
      <c r="JF79" s="43"/>
      <c r="JG79" s="43"/>
      <c r="JH79" s="43"/>
      <c r="JI79" s="43"/>
      <c r="JJ79" s="43"/>
      <c r="JK79" s="43"/>
      <c r="JL79" s="43"/>
      <c r="JM79" s="43"/>
      <c r="JN79" s="43"/>
      <c r="JO79" s="43"/>
      <c r="JP79" s="43"/>
      <c r="JQ79" s="43"/>
      <c r="JR79" s="43"/>
      <c r="JS79" s="43"/>
      <c r="JT79" s="43"/>
      <c r="JU79" s="43"/>
      <c r="JV79" s="43"/>
      <c r="JW79" s="43"/>
      <c r="JX79" s="43"/>
      <c r="JY79" s="43"/>
      <c r="JZ79" s="43"/>
      <c r="KA79" s="43"/>
      <c r="KB79" s="43"/>
      <c r="KC79" s="43"/>
      <c r="KD79" s="43"/>
      <c r="KE79" s="43"/>
      <c r="KF79" s="43"/>
      <c r="KG79" s="43"/>
      <c r="KH79" s="43"/>
      <c r="KI79" s="43"/>
      <c r="KJ79" s="43"/>
      <c r="KK79" s="43"/>
      <c r="KL79" s="43"/>
      <c r="KM79" s="43"/>
      <c r="KN79" s="43"/>
      <c r="KO79" s="43"/>
      <c r="KP79" s="43"/>
      <c r="KQ79" s="43"/>
      <c r="KR79" s="43"/>
      <c r="KS79" s="43"/>
      <c r="KT79" s="43"/>
      <c r="KU79" s="43"/>
      <c r="KV79" s="43"/>
      <c r="KW79" s="43"/>
      <c r="KX79" s="43"/>
      <c r="KY79" s="43"/>
      <c r="KZ79" s="43"/>
      <c r="LA79" s="43"/>
      <c r="LB79" s="43"/>
      <c r="LC79" s="43"/>
      <c r="LD79" s="43"/>
      <c r="LE79" s="43"/>
      <c r="LF79" s="43"/>
      <c r="LG79" s="43"/>
      <c r="LH79" s="43"/>
      <c r="LI79" s="43"/>
      <c r="LJ79" s="43"/>
      <c r="LK79" s="43"/>
      <c r="LL79" s="43"/>
      <c r="LM79" s="43"/>
      <c r="LN79" s="43"/>
      <c r="LO79" s="43"/>
      <c r="LP79" s="43"/>
      <c r="LQ79" s="43"/>
      <c r="LR79" s="43"/>
      <c r="LS79" s="43"/>
      <c r="LT79" s="43"/>
      <c r="LU79" s="43"/>
      <c r="LV79" s="43"/>
      <c r="LW79" s="43"/>
      <c r="LX79" s="43"/>
      <c r="LY79" s="43"/>
      <c r="LZ79" s="43"/>
      <c r="MA79" s="43"/>
      <c r="MB79" s="43"/>
      <c r="MC79" s="43"/>
      <c r="MD79" s="43"/>
      <c r="ME79" s="43"/>
      <c r="MF79" s="43"/>
      <c r="MG79" s="43"/>
      <c r="MH79" s="43"/>
      <c r="MI79" s="43"/>
      <c r="MJ79" s="43"/>
      <c r="MK79" s="43"/>
      <c r="ML79" s="43"/>
      <c r="MM79" s="43"/>
      <c r="MN79" s="43"/>
      <c r="MO79" s="43"/>
      <c r="MP79" s="43"/>
      <c r="MQ79" s="43"/>
      <c r="MR79" s="43"/>
      <c r="MS79" s="43"/>
      <c r="MT79" s="43"/>
      <c r="MU79" s="43"/>
      <c r="MV79" s="43"/>
      <c r="MW79" s="43"/>
      <c r="MX79" s="43"/>
      <c r="MY79" s="43"/>
      <c r="MZ79" s="43"/>
      <c r="NA79" s="43"/>
      <c r="NB79" s="43"/>
      <c r="NC79" s="43"/>
      <c r="ND79" s="43"/>
      <c r="NE79" s="43"/>
      <c r="NF79" s="43"/>
      <c r="NG79" s="43"/>
      <c r="NH79" s="43"/>
      <c r="NI79" s="43"/>
      <c r="NJ79" s="43"/>
      <c r="NK79" s="43"/>
      <c r="NL79" s="43"/>
      <c r="NM79" s="43"/>
      <c r="NN79" s="43"/>
      <c r="NO79" s="43"/>
      <c r="NP79" s="43"/>
      <c r="NQ79" s="43"/>
      <c r="NR79" s="43"/>
      <c r="NS79" s="43"/>
      <c r="NT79" s="43"/>
      <c r="NU79" s="43"/>
      <c r="NV79" s="43"/>
      <c r="NW79" s="43"/>
      <c r="NX79" s="43"/>
      <c r="NY79" s="43"/>
      <c r="NZ79" s="43"/>
      <c r="OA79" s="43"/>
      <c r="OB79" s="43"/>
      <c r="OC79" s="43"/>
      <c r="OD79" s="43"/>
      <c r="OE79" s="43"/>
      <c r="OF79" s="43"/>
      <c r="OG79" s="43"/>
      <c r="OH79" s="43"/>
      <c r="OI79" s="43"/>
      <c r="OJ79" s="43"/>
      <c r="OK79" s="43"/>
      <c r="OL79" s="43"/>
      <c r="OM79" s="43"/>
      <c r="ON79" s="43"/>
      <c r="OO79" s="43"/>
      <c r="OP79" s="43"/>
      <c r="OQ79" s="43"/>
      <c r="OR79" s="43"/>
      <c r="OS79" s="43"/>
      <c r="OT79" s="43"/>
      <c r="OU79" s="43"/>
      <c r="OV79" s="43"/>
      <c r="OW79" s="43"/>
      <c r="OX79" s="43"/>
      <c r="OY79" s="43"/>
      <c r="OZ79" s="43"/>
      <c r="PA79" s="43"/>
      <c r="PB79" s="43"/>
      <c r="PC79" s="43"/>
      <c r="PD79" s="43"/>
      <c r="PE79" s="43"/>
      <c r="PF79" s="43"/>
      <c r="PG79" s="43"/>
      <c r="PH79" s="43"/>
      <c r="PI79" s="43"/>
      <c r="PJ79" s="43"/>
      <c r="PK79" s="43"/>
      <c r="PL79" s="43"/>
      <c r="PM79" s="43"/>
      <c r="PN79" s="43"/>
      <c r="PO79" s="43"/>
      <c r="PP79" s="43"/>
      <c r="PQ79" s="43"/>
      <c r="PR79" s="43"/>
      <c r="PS79" s="43"/>
      <c r="PT79" s="43"/>
      <c r="PU79" s="43"/>
      <c r="PV79" s="43"/>
      <c r="PW79" s="43"/>
      <c r="PX79" s="43"/>
      <c r="PY79" s="43"/>
      <c r="PZ79" s="43"/>
      <c r="QA79" s="43"/>
      <c r="QB79" s="43"/>
      <c r="QC79" s="43"/>
    </row>
    <row r="80" spans="1:445" s="54" customFormat="1" x14ac:dyDescent="0.3">
      <c r="A80" s="47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6" t="str">
        <f t="shared" si="7"/>
        <v/>
      </c>
      <c r="U80" s="46" t="str">
        <f t="shared" si="8"/>
        <v/>
      </c>
      <c r="V80" s="72" t="str">
        <f t="shared" si="9"/>
        <v/>
      </c>
      <c r="W80" s="48"/>
      <c r="X80" s="73" t="str">
        <f t="shared" si="10"/>
        <v/>
      </c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43"/>
      <c r="BO80" s="43"/>
      <c r="BP80" s="43"/>
      <c r="BQ80" s="43"/>
      <c r="BR80" s="43"/>
      <c r="BS80" s="43"/>
      <c r="BT80" s="43"/>
      <c r="BU80" s="43"/>
      <c r="BV80" s="43"/>
      <c r="BW80" s="43"/>
      <c r="BX80" s="43"/>
      <c r="BY80" s="43"/>
      <c r="BZ80" s="43"/>
      <c r="CA80" s="43"/>
      <c r="CB80" s="43"/>
      <c r="CC80" s="43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43"/>
      <c r="CY80" s="43"/>
      <c r="CZ80" s="43"/>
      <c r="DA80" s="43"/>
      <c r="DB80" s="43"/>
      <c r="DC80" s="43"/>
      <c r="DD80" s="43"/>
      <c r="DE80" s="43"/>
      <c r="DF80" s="43"/>
      <c r="DG80" s="43"/>
      <c r="DH80" s="43"/>
      <c r="DI80" s="43"/>
      <c r="DJ80" s="43"/>
      <c r="DK80" s="43"/>
      <c r="DL80" s="43"/>
      <c r="DM80" s="43"/>
      <c r="DN80" s="43"/>
      <c r="DO80" s="43"/>
      <c r="DP80" s="43"/>
      <c r="DQ80" s="43"/>
      <c r="DR80" s="43"/>
      <c r="DS80" s="43"/>
      <c r="DT80" s="43"/>
      <c r="DU80" s="43"/>
      <c r="DV80" s="43"/>
      <c r="DW80" s="43"/>
      <c r="DX80" s="43"/>
      <c r="DY80" s="43"/>
      <c r="DZ80" s="43"/>
      <c r="EA80" s="43"/>
      <c r="EB80" s="43"/>
      <c r="EC80" s="43"/>
      <c r="ED80" s="43"/>
      <c r="EE80" s="43"/>
      <c r="EF80" s="43"/>
      <c r="EG80" s="43"/>
      <c r="EH80" s="43"/>
      <c r="EI80" s="43"/>
      <c r="EJ80" s="43"/>
      <c r="EK80" s="43"/>
      <c r="EL80" s="43"/>
      <c r="EM80" s="43"/>
      <c r="EN80" s="43"/>
      <c r="EO80" s="43"/>
      <c r="EP80" s="43"/>
      <c r="EQ80" s="43"/>
      <c r="ER80" s="43"/>
      <c r="ES80" s="43"/>
      <c r="ET80" s="43"/>
      <c r="EU80" s="43"/>
      <c r="EV80" s="43"/>
      <c r="EW80" s="43"/>
      <c r="EX80" s="43"/>
      <c r="EY80" s="43"/>
      <c r="EZ80" s="43"/>
      <c r="FA80" s="43"/>
      <c r="FB80" s="43"/>
      <c r="FC80" s="43"/>
      <c r="FD80" s="43"/>
      <c r="FE80" s="43"/>
      <c r="FF80" s="43"/>
      <c r="FG80" s="43"/>
      <c r="FH80" s="43"/>
      <c r="FI80" s="43"/>
      <c r="FJ80" s="43"/>
      <c r="FK80" s="43"/>
      <c r="FL80" s="43"/>
      <c r="FM80" s="43"/>
      <c r="FN80" s="43"/>
      <c r="FO80" s="43"/>
      <c r="FP80" s="43"/>
      <c r="FQ80" s="43"/>
      <c r="FR80" s="43"/>
      <c r="FS80" s="43"/>
      <c r="FT80" s="43"/>
      <c r="FU80" s="43"/>
      <c r="FV80" s="43"/>
      <c r="FW80" s="43"/>
      <c r="FX80" s="43"/>
      <c r="FY80" s="43"/>
      <c r="FZ80" s="43"/>
      <c r="GA80" s="43"/>
      <c r="GB80" s="43"/>
      <c r="GC80" s="43"/>
      <c r="GD80" s="43"/>
      <c r="GE80" s="43"/>
      <c r="GF80" s="43"/>
      <c r="GG80" s="43"/>
      <c r="GH80" s="43"/>
      <c r="GI80" s="43"/>
      <c r="GJ80" s="43"/>
      <c r="GK80" s="43"/>
      <c r="GL80" s="43"/>
      <c r="GM80" s="43"/>
      <c r="GN80" s="43"/>
      <c r="GO80" s="43"/>
      <c r="GP80" s="43"/>
      <c r="GQ80" s="43"/>
      <c r="GR80" s="43"/>
      <c r="GS80" s="43"/>
      <c r="GT80" s="43"/>
      <c r="GU80" s="43"/>
      <c r="GV80" s="43"/>
      <c r="GW80" s="43"/>
      <c r="GX80" s="43"/>
      <c r="GY80" s="43"/>
      <c r="GZ80" s="43"/>
      <c r="HA80" s="43"/>
      <c r="HB80" s="43"/>
      <c r="HC80" s="43"/>
      <c r="HD80" s="43"/>
      <c r="HE80" s="43"/>
      <c r="HF80" s="43"/>
      <c r="HG80" s="43"/>
      <c r="HH80" s="43"/>
      <c r="HI80" s="43"/>
      <c r="HJ80" s="43"/>
      <c r="HK80" s="43"/>
      <c r="HL80" s="43"/>
      <c r="HM80" s="43"/>
      <c r="HN80" s="43"/>
      <c r="HO80" s="43"/>
      <c r="HP80" s="43"/>
      <c r="HQ80" s="43"/>
      <c r="HR80" s="43"/>
      <c r="HS80" s="43"/>
      <c r="HT80" s="43"/>
      <c r="HU80" s="43"/>
      <c r="HV80" s="43"/>
      <c r="HW80" s="43"/>
      <c r="HX80" s="43"/>
      <c r="HY80" s="43"/>
      <c r="HZ80" s="43"/>
      <c r="IA80" s="43"/>
      <c r="IB80" s="43"/>
      <c r="IC80" s="43"/>
      <c r="ID80" s="43"/>
      <c r="IE80" s="43"/>
      <c r="IF80" s="43"/>
      <c r="IG80" s="43"/>
      <c r="IH80" s="43"/>
      <c r="II80" s="43"/>
      <c r="IJ80" s="43"/>
      <c r="IK80" s="43"/>
      <c r="IL80" s="43"/>
      <c r="IM80" s="43"/>
      <c r="IN80" s="43"/>
      <c r="IO80" s="43"/>
      <c r="IP80" s="43"/>
      <c r="IQ80" s="43"/>
      <c r="IR80" s="43"/>
      <c r="IS80" s="43"/>
      <c r="IT80" s="43"/>
      <c r="IU80" s="43"/>
      <c r="IV80" s="43"/>
      <c r="IW80" s="43"/>
      <c r="IX80" s="43"/>
      <c r="IY80" s="43"/>
      <c r="IZ80" s="43"/>
      <c r="JA80" s="43"/>
      <c r="JB80" s="43"/>
      <c r="JC80" s="43"/>
      <c r="JD80" s="43"/>
      <c r="JE80" s="43"/>
      <c r="JF80" s="43"/>
      <c r="JG80" s="43"/>
      <c r="JH80" s="43"/>
      <c r="JI80" s="43"/>
      <c r="JJ80" s="43"/>
      <c r="JK80" s="43"/>
      <c r="JL80" s="43"/>
      <c r="JM80" s="43"/>
      <c r="JN80" s="43"/>
      <c r="JO80" s="43"/>
      <c r="JP80" s="43"/>
      <c r="JQ80" s="43"/>
      <c r="JR80" s="43"/>
      <c r="JS80" s="43"/>
      <c r="JT80" s="43"/>
      <c r="JU80" s="43"/>
      <c r="JV80" s="43"/>
      <c r="JW80" s="43"/>
      <c r="JX80" s="43"/>
      <c r="JY80" s="43"/>
      <c r="JZ80" s="43"/>
      <c r="KA80" s="43"/>
      <c r="KB80" s="43"/>
      <c r="KC80" s="43"/>
      <c r="KD80" s="43"/>
      <c r="KE80" s="43"/>
      <c r="KF80" s="43"/>
      <c r="KG80" s="43"/>
      <c r="KH80" s="43"/>
      <c r="KI80" s="43"/>
      <c r="KJ80" s="43"/>
      <c r="KK80" s="43"/>
      <c r="KL80" s="43"/>
      <c r="KM80" s="43"/>
      <c r="KN80" s="43"/>
      <c r="KO80" s="43"/>
      <c r="KP80" s="43"/>
      <c r="KQ80" s="43"/>
      <c r="KR80" s="43"/>
      <c r="KS80" s="43"/>
      <c r="KT80" s="43"/>
      <c r="KU80" s="43"/>
      <c r="KV80" s="43"/>
      <c r="KW80" s="43"/>
      <c r="KX80" s="43"/>
      <c r="KY80" s="43"/>
      <c r="KZ80" s="43"/>
      <c r="LA80" s="43"/>
      <c r="LB80" s="43"/>
      <c r="LC80" s="43"/>
      <c r="LD80" s="43"/>
      <c r="LE80" s="43"/>
      <c r="LF80" s="43"/>
      <c r="LG80" s="43"/>
      <c r="LH80" s="43"/>
      <c r="LI80" s="43"/>
      <c r="LJ80" s="43"/>
      <c r="LK80" s="43"/>
      <c r="LL80" s="43"/>
      <c r="LM80" s="43"/>
      <c r="LN80" s="43"/>
      <c r="LO80" s="43"/>
      <c r="LP80" s="43"/>
      <c r="LQ80" s="43"/>
      <c r="LR80" s="43"/>
      <c r="LS80" s="43"/>
      <c r="LT80" s="43"/>
      <c r="LU80" s="43"/>
      <c r="LV80" s="43"/>
      <c r="LW80" s="43"/>
      <c r="LX80" s="43"/>
      <c r="LY80" s="43"/>
      <c r="LZ80" s="43"/>
      <c r="MA80" s="43"/>
      <c r="MB80" s="43"/>
      <c r="MC80" s="43"/>
      <c r="MD80" s="43"/>
      <c r="ME80" s="43"/>
      <c r="MF80" s="43"/>
      <c r="MG80" s="43"/>
      <c r="MH80" s="43"/>
      <c r="MI80" s="43"/>
      <c r="MJ80" s="43"/>
      <c r="MK80" s="43"/>
      <c r="ML80" s="43"/>
      <c r="MM80" s="43"/>
      <c r="MN80" s="43"/>
      <c r="MO80" s="43"/>
      <c r="MP80" s="43"/>
      <c r="MQ80" s="43"/>
      <c r="MR80" s="43"/>
      <c r="MS80" s="43"/>
      <c r="MT80" s="43"/>
      <c r="MU80" s="43"/>
      <c r="MV80" s="43"/>
      <c r="MW80" s="43"/>
      <c r="MX80" s="43"/>
      <c r="MY80" s="43"/>
      <c r="MZ80" s="43"/>
      <c r="NA80" s="43"/>
      <c r="NB80" s="43"/>
      <c r="NC80" s="43"/>
      <c r="ND80" s="43"/>
      <c r="NE80" s="43"/>
      <c r="NF80" s="43"/>
      <c r="NG80" s="43"/>
      <c r="NH80" s="43"/>
      <c r="NI80" s="43"/>
      <c r="NJ80" s="43"/>
      <c r="NK80" s="43"/>
      <c r="NL80" s="43"/>
      <c r="NM80" s="43"/>
      <c r="NN80" s="43"/>
      <c r="NO80" s="43"/>
      <c r="NP80" s="43"/>
      <c r="NQ80" s="43"/>
      <c r="NR80" s="43"/>
      <c r="NS80" s="43"/>
      <c r="NT80" s="43"/>
      <c r="NU80" s="43"/>
      <c r="NV80" s="43"/>
      <c r="NW80" s="43"/>
      <c r="NX80" s="43"/>
      <c r="NY80" s="43"/>
      <c r="NZ80" s="43"/>
      <c r="OA80" s="43"/>
      <c r="OB80" s="43"/>
      <c r="OC80" s="43"/>
      <c r="OD80" s="43"/>
      <c r="OE80" s="43"/>
      <c r="OF80" s="43"/>
      <c r="OG80" s="43"/>
      <c r="OH80" s="43"/>
      <c r="OI80" s="43"/>
      <c r="OJ80" s="43"/>
      <c r="OK80" s="43"/>
      <c r="OL80" s="43"/>
      <c r="OM80" s="43"/>
      <c r="ON80" s="43"/>
      <c r="OO80" s="43"/>
      <c r="OP80" s="43"/>
      <c r="OQ80" s="43"/>
      <c r="OR80" s="43"/>
      <c r="OS80" s="43"/>
      <c r="OT80" s="43"/>
      <c r="OU80" s="43"/>
      <c r="OV80" s="43"/>
      <c r="OW80" s="43"/>
      <c r="OX80" s="43"/>
      <c r="OY80" s="43"/>
      <c r="OZ80" s="43"/>
      <c r="PA80" s="43"/>
      <c r="PB80" s="43"/>
      <c r="PC80" s="43"/>
      <c r="PD80" s="43"/>
      <c r="PE80" s="43"/>
      <c r="PF80" s="43"/>
      <c r="PG80" s="43"/>
      <c r="PH80" s="43"/>
      <c r="PI80" s="43"/>
      <c r="PJ80" s="43"/>
      <c r="PK80" s="43"/>
      <c r="PL80" s="43"/>
      <c r="PM80" s="43"/>
      <c r="PN80" s="43"/>
      <c r="PO80" s="43"/>
      <c r="PP80" s="43"/>
      <c r="PQ80" s="43"/>
      <c r="PR80" s="43"/>
      <c r="PS80" s="43"/>
      <c r="PT80" s="43"/>
      <c r="PU80" s="43"/>
      <c r="PV80" s="43"/>
      <c r="PW80" s="43"/>
      <c r="PX80" s="43"/>
      <c r="PY80" s="43"/>
      <c r="PZ80" s="43"/>
      <c r="QA80" s="43"/>
      <c r="QB80" s="43"/>
      <c r="QC80" s="43"/>
    </row>
    <row r="81" spans="1:445" x14ac:dyDescent="0.3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6" t="str">
        <f t="shared" si="7"/>
        <v/>
      </c>
      <c r="U81" s="46" t="str">
        <f t="shared" si="8"/>
        <v/>
      </c>
      <c r="V81" s="72" t="str">
        <f t="shared" si="9"/>
        <v/>
      </c>
      <c r="W81" s="48"/>
      <c r="X81" s="73" t="str">
        <f t="shared" si="10"/>
        <v/>
      </c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43"/>
      <c r="BO81" s="43"/>
      <c r="BP81" s="43"/>
      <c r="BQ81" s="43"/>
      <c r="BR81" s="43"/>
      <c r="BS81" s="43"/>
      <c r="BT81" s="43"/>
      <c r="BU81" s="43"/>
      <c r="BV81" s="43"/>
      <c r="BW81" s="43"/>
      <c r="BX81" s="43"/>
      <c r="BY81" s="43"/>
      <c r="BZ81" s="43"/>
      <c r="CA81" s="43"/>
      <c r="CB81" s="43"/>
      <c r="CC81" s="43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43"/>
      <c r="CY81" s="43"/>
      <c r="CZ81" s="43"/>
      <c r="DA81" s="43"/>
      <c r="DB81" s="43"/>
      <c r="DC81" s="43"/>
      <c r="DD81" s="43"/>
      <c r="DE81" s="43"/>
      <c r="DF81" s="43"/>
      <c r="DG81" s="43"/>
      <c r="DH81" s="43"/>
      <c r="DI81" s="43"/>
      <c r="DJ81" s="43"/>
      <c r="DK81" s="43"/>
      <c r="DL81" s="43"/>
      <c r="DM81" s="43"/>
      <c r="DN81" s="43"/>
      <c r="DO81" s="43"/>
      <c r="DP81" s="43"/>
      <c r="DQ81" s="43"/>
      <c r="DR81" s="43"/>
      <c r="DS81" s="43"/>
      <c r="DT81" s="43"/>
      <c r="DU81" s="43"/>
      <c r="DV81" s="43"/>
      <c r="DW81" s="43"/>
      <c r="DX81" s="43"/>
      <c r="DY81" s="43"/>
      <c r="DZ81" s="43"/>
      <c r="EA81" s="43"/>
      <c r="EB81" s="43"/>
      <c r="EC81" s="43"/>
      <c r="ED81" s="43"/>
      <c r="EE81" s="43"/>
      <c r="EF81" s="43"/>
      <c r="EG81" s="43"/>
      <c r="EH81" s="43"/>
      <c r="EI81" s="43"/>
      <c r="EJ81" s="43"/>
      <c r="EK81" s="43"/>
      <c r="EL81" s="43"/>
      <c r="EM81" s="43"/>
      <c r="EN81" s="43"/>
      <c r="EO81" s="43"/>
      <c r="EP81" s="43"/>
      <c r="EQ81" s="43"/>
      <c r="ER81" s="43"/>
      <c r="ES81" s="43"/>
      <c r="ET81" s="43"/>
      <c r="EU81" s="43"/>
      <c r="EV81" s="43"/>
      <c r="EW81" s="43"/>
      <c r="EX81" s="43"/>
      <c r="EY81" s="43"/>
      <c r="EZ81" s="43"/>
      <c r="FA81" s="43"/>
      <c r="FB81" s="43"/>
      <c r="FC81" s="43"/>
      <c r="FD81" s="43"/>
      <c r="FE81" s="43"/>
      <c r="FF81" s="43"/>
      <c r="FG81" s="43"/>
      <c r="FH81" s="43"/>
      <c r="FI81" s="43"/>
      <c r="FJ81" s="43"/>
      <c r="FK81" s="43"/>
      <c r="FL81" s="43"/>
      <c r="FM81" s="43"/>
      <c r="FN81" s="43"/>
      <c r="FO81" s="43"/>
      <c r="FP81" s="43"/>
      <c r="FQ81" s="43"/>
      <c r="FR81" s="43"/>
      <c r="FS81" s="43"/>
      <c r="FT81" s="43"/>
      <c r="FU81" s="43"/>
      <c r="FV81" s="43"/>
      <c r="FW81" s="43"/>
      <c r="FX81" s="43"/>
      <c r="FY81" s="43"/>
      <c r="FZ81" s="43"/>
      <c r="GA81" s="43"/>
      <c r="GB81" s="43"/>
      <c r="GC81" s="43"/>
      <c r="GD81" s="43"/>
      <c r="GE81" s="43"/>
      <c r="GF81" s="43"/>
      <c r="GG81" s="43"/>
      <c r="GH81" s="43"/>
      <c r="GI81" s="43"/>
      <c r="GJ81" s="43"/>
      <c r="GK81" s="43"/>
      <c r="GL81" s="43"/>
      <c r="GM81" s="43"/>
      <c r="GN81" s="43"/>
      <c r="GO81" s="43"/>
      <c r="GP81" s="43"/>
      <c r="GQ81" s="43"/>
      <c r="GR81" s="43"/>
      <c r="GS81" s="43"/>
      <c r="GT81" s="43"/>
      <c r="GU81" s="43"/>
      <c r="GV81" s="43"/>
      <c r="GW81" s="43"/>
      <c r="GX81" s="43"/>
      <c r="GY81" s="43"/>
      <c r="GZ81" s="43"/>
      <c r="HA81" s="43"/>
      <c r="HB81" s="43"/>
      <c r="HC81" s="43"/>
      <c r="HD81" s="43"/>
      <c r="HE81" s="43"/>
      <c r="HF81" s="43"/>
      <c r="HG81" s="43"/>
      <c r="HH81" s="43"/>
      <c r="HI81" s="43"/>
      <c r="HJ81" s="43"/>
      <c r="HK81" s="43"/>
      <c r="HL81" s="43"/>
      <c r="HM81" s="43"/>
      <c r="HN81" s="43"/>
      <c r="HO81" s="43"/>
      <c r="HP81" s="43"/>
      <c r="HQ81" s="43"/>
      <c r="HR81" s="43"/>
      <c r="HS81" s="43"/>
      <c r="HT81" s="43"/>
      <c r="HU81" s="43"/>
      <c r="HV81" s="43"/>
      <c r="HW81" s="43"/>
      <c r="HX81" s="43"/>
      <c r="HY81" s="43"/>
      <c r="HZ81" s="43"/>
      <c r="IA81" s="43"/>
      <c r="IB81" s="43"/>
      <c r="IC81" s="43"/>
      <c r="ID81" s="43"/>
      <c r="IE81" s="43"/>
      <c r="IF81" s="43"/>
      <c r="IG81" s="43"/>
      <c r="IH81" s="43"/>
      <c r="II81" s="43"/>
      <c r="IJ81" s="43"/>
      <c r="IK81" s="43"/>
      <c r="IL81" s="43"/>
      <c r="IM81" s="43"/>
      <c r="IN81" s="43"/>
      <c r="IO81" s="43"/>
      <c r="IP81" s="43"/>
      <c r="IQ81" s="43"/>
      <c r="IR81" s="43"/>
      <c r="IS81" s="43"/>
      <c r="IT81" s="43"/>
      <c r="IU81" s="43"/>
      <c r="IV81" s="43"/>
      <c r="IW81" s="43"/>
      <c r="IX81" s="43"/>
      <c r="IY81" s="43"/>
      <c r="IZ81" s="43"/>
      <c r="JA81" s="43"/>
      <c r="JB81" s="43"/>
      <c r="JC81" s="43"/>
      <c r="JD81" s="43"/>
      <c r="JE81" s="43"/>
      <c r="JF81" s="43"/>
      <c r="JG81" s="43"/>
      <c r="JH81" s="43"/>
      <c r="JI81" s="43"/>
      <c r="JJ81" s="43"/>
      <c r="JK81" s="43"/>
      <c r="JL81" s="43"/>
      <c r="JM81" s="43"/>
      <c r="JN81" s="43"/>
      <c r="JO81" s="43"/>
      <c r="JP81" s="43"/>
      <c r="JQ81" s="43"/>
      <c r="JR81" s="43"/>
      <c r="JS81" s="43"/>
      <c r="JT81" s="43"/>
      <c r="JU81" s="43"/>
      <c r="JV81" s="43"/>
      <c r="JW81" s="43"/>
      <c r="JX81" s="43"/>
      <c r="JY81" s="43"/>
      <c r="JZ81" s="43"/>
      <c r="KA81" s="43"/>
      <c r="KB81" s="43"/>
      <c r="KC81" s="43"/>
      <c r="KD81" s="43"/>
      <c r="KE81" s="43"/>
      <c r="KF81" s="43"/>
      <c r="KG81" s="43"/>
      <c r="KH81" s="43"/>
      <c r="KI81" s="43"/>
      <c r="KJ81" s="43"/>
      <c r="KK81" s="43"/>
      <c r="KL81" s="43"/>
      <c r="KM81" s="43"/>
      <c r="KN81" s="43"/>
      <c r="KO81" s="43"/>
      <c r="KP81" s="43"/>
      <c r="KQ81" s="43"/>
      <c r="KR81" s="43"/>
      <c r="KS81" s="43"/>
      <c r="KT81" s="43"/>
      <c r="KU81" s="43"/>
      <c r="KV81" s="43"/>
      <c r="KW81" s="43"/>
      <c r="KX81" s="43"/>
      <c r="KY81" s="43"/>
      <c r="KZ81" s="43"/>
      <c r="LA81" s="43"/>
      <c r="LB81" s="43"/>
      <c r="LC81" s="43"/>
      <c r="LD81" s="43"/>
      <c r="LE81" s="43"/>
      <c r="LF81" s="43"/>
      <c r="LG81" s="43"/>
      <c r="LH81" s="43"/>
      <c r="LI81" s="43"/>
      <c r="LJ81" s="43"/>
      <c r="LK81" s="43"/>
      <c r="LL81" s="43"/>
      <c r="LM81" s="43"/>
      <c r="LN81" s="43"/>
      <c r="LO81" s="43"/>
      <c r="LP81" s="43"/>
      <c r="LQ81" s="43"/>
      <c r="LR81" s="43"/>
      <c r="LS81" s="43"/>
      <c r="LT81" s="43"/>
      <c r="LU81" s="43"/>
      <c r="LV81" s="43"/>
      <c r="LW81" s="43"/>
      <c r="LX81" s="43"/>
      <c r="LY81" s="43"/>
      <c r="LZ81" s="43"/>
      <c r="MA81" s="43"/>
      <c r="MB81" s="43"/>
      <c r="MC81" s="43"/>
      <c r="MD81" s="43"/>
      <c r="ME81" s="43"/>
      <c r="MF81" s="43"/>
      <c r="MG81" s="43"/>
      <c r="MH81" s="43"/>
      <c r="MI81" s="43"/>
      <c r="MJ81" s="43"/>
      <c r="MK81" s="43"/>
      <c r="ML81" s="43"/>
      <c r="MM81" s="43"/>
      <c r="MN81" s="43"/>
      <c r="MO81" s="43"/>
      <c r="MP81" s="43"/>
      <c r="MQ81" s="43"/>
      <c r="MR81" s="43"/>
      <c r="MS81" s="43"/>
      <c r="MT81" s="43"/>
      <c r="MU81" s="43"/>
      <c r="MV81" s="43"/>
      <c r="MW81" s="43"/>
      <c r="MX81" s="43"/>
      <c r="MY81" s="43"/>
      <c r="MZ81" s="43"/>
      <c r="NA81" s="43"/>
      <c r="NB81" s="43"/>
      <c r="NC81" s="43"/>
      <c r="ND81" s="43"/>
      <c r="NE81" s="43"/>
      <c r="NF81" s="43"/>
      <c r="NG81" s="43"/>
      <c r="NH81" s="43"/>
      <c r="NI81" s="43"/>
      <c r="NJ81" s="43"/>
      <c r="NK81" s="43"/>
      <c r="NL81" s="43"/>
      <c r="NM81" s="43"/>
      <c r="NN81" s="43"/>
      <c r="NO81" s="43"/>
      <c r="NP81" s="43"/>
      <c r="NQ81" s="43"/>
      <c r="NR81" s="43"/>
      <c r="NS81" s="43"/>
      <c r="NT81" s="43"/>
      <c r="NU81" s="43"/>
      <c r="NV81" s="43"/>
      <c r="NW81" s="43"/>
      <c r="NX81" s="43"/>
      <c r="NY81" s="43"/>
      <c r="NZ81" s="43"/>
      <c r="OA81" s="43"/>
      <c r="OB81" s="43"/>
      <c r="OC81" s="43"/>
      <c r="OD81" s="43"/>
      <c r="OE81" s="43"/>
      <c r="OF81" s="43"/>
      <c r="OG81" s="43"/>
      <c r="OH81" s="43"/>
      <c r="OI81" s="43"/>
      <c r="OJ81" s="43"/>
      <c r="OK81" s="43"/>
      <c r="OL81" s="43"/>
      <c r="OM81" s="43"/>
      <c r="ON81" s="43"/>
      <c r="OO81" s="43"/>
      <c r="OP81" s="43"/>
      <c r="OQ81" s="43"/>
      <c r="OR81" s="43"/>
      <c r="OS81" s="43"/>
      <c r="OT81" s="43"/>
      <c r="OU81" s="43"/>
      <c r="OV81" s="43"/>
      <c r="OW81" s="43"/>
      <c r="OX81" s="43"/>
      <c r="OY81" s="43"/>
      <c r="OZ81" s="43"/>
      <c r="PA81" s="43"/>
      <c r="PB81" s="43"/>
      <c r="PC81" s="43"/>
      <c r="PD81" s="43"/>
      <c r="PE81" s="43"/>
      <c r="PF81" s="43"/>
      <c r="PG81" s="43"/>
      <c r="PH81" s="43"/>
      <c r="PI81" s="43"/>
      <c r="PJ81" s="43"/>
      <c r="PK81" s="43"/>
      <c r="PL81" s="43"/>
      <c r="PM81" s="43"/>
      <c r="PN81" s="43"/>
      <c r="PO81" s="43"/>
      <c r="PP81" s="43"/>
      <c r="PQ81" s="43"/>
      <c r="PR81" s="43"/>
      <c r="PS81" s="43"/>
      <c r="PT81" s="43"/>
      <c r="PU81" s="43"/>
      <c r="PV81" s="43"/>
      <c r="PW81" s="43"/>
      <c r="PX81" s="43"/>
      <c r="PY81" s="43"/>
      <c r="PZ81" s="43"/>
      <c r="QA81" s="43"/>
      <c r="QB81" s="43"/>
      <c r="QC81" s="43"/>
    </row>
    <row r="82" spans="1:445" x14ac:dyDescent="0.3"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6" t="str">
        <f t="shared" si="7"/>
        <v/>
      </c>
      <c r="U82" s="46" t="str">
        <f t="shared" si="8"/>
        <v/>
      </c>
      <c r="V82" s="72" t="str">
        <f t="shared" si="9"/>
        <v/>
      </c>
      <c r="X82" s="73" t="str">
        <f t="shared" si="10"/>
        <v/>
      </c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43"/>
      <c r="BO82" s="43"/>
      <c r="BP82" s="43"/>
      <c r="BQ82" s="43"/>
      <c r="BR82" s="43"/>
      <c r="BS82" s="43"/>
      <c r="BT82" s="43"/>
      <c r="BU82" s="43"/>
      <c r="BV82" s="43"/>
      <c r="BW82" s="43"/>
      <c r="BX82" s="43"/>
      <c r="BY82" s="43"/>
      <c r="BZ82" s="43"/>
      <c r="CA82" s="43"/>
      <c r="CB82" s="43"/>
      <c r="CC82" s="4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43"/>
      <c r="CY82" s="43"/>
      <c r="CZ82" s="43"/>
      <c r="DA82" s="43"/>
      <c r="DB82" s="43"/>
      <c r="DC82" s="43"/>
      <c r="DD82" s="43"/>
      <c r="DE82" s="43"/>
      <c r="DF82" s="43"/>
      <c r="DG82" s="43"/>
      <c r="DH82" s="43"/>
      <c r="DI82" s="43"/>
      <c r="DJ82" s="43"/>
      <c r="DK82" s="43"/>
      <c r="DL82" s="43"/>
      <c r="DM82" s="43"/>
      <c r="DN82" s="43"/>
      <c r="DO82" s="43"/>
      <c r="DP82" s="43"/>
      <c r="DQ82" s="43"/>
      <c r="DR82" s="43"/>
      <c r="DS82" s="43"/>
      <c r="DT82" s="43"/>
      <c r="DU82" s="43"/>
      <c r="DV82" s="43"/>
      <c r="DW82" s="43"/>
      <c r="DX82" s="43"/>
      <c r="DY82" s="43"/>
      <c r="DZ82" s="43"/>
      <c r="EA82" s="43"/>
      <c r="EB82" s="43"/>
      <c r="EC82" s="43"/>
      <c r="ED82" s="43"/>
      <c r="EE82" s="43"/>
      <c r="EF82" s="43"/>
      <c r="EG82" s="43"/>
      <c r="EH82" s="43"/>
      <c r="EI82" s="43"/>
      <c r="EJ82" s="43"/>
      <c r="EK82" s="43"/>
      <c r="EL82" s="43"/>
      <c r="EM82" s="43"/>
      <c r="EN82" s="43"/>
      <c r="EO82" s="43"/>
      <c r="EP82" s="43"/>
      <c r="EQ82" s="43"/>
      <c r="ER82" s="43"/>
      <c r="ES82" s="43"/>
      <c r="ET82" s="43"/>
      <c r="EU82" s="43"/>
      <c r="EV82" s="43"/>
      <c r="EW82" s="43"/>
      <c r="EX82" s="43"/>
      <c r="EY82" s="43"/>
      <c r="EZ82" s="43"/>
      <c r="FA82" s="43"/>
      <c r="FB82" s="43"/>
      <c r="FC82" s="43"/>
      <c r="FD82" s="43"/>
      <c r="FE82" s="43"/>
      <c r="FF82" s="43"/>
      <c r="FG82" s="43"/>
      <c r="FH82" s="43"/>
      <c r="FI82" s="43"/>
      <c r="FJ82" s="43"/>
      <c r="FK82" s="43"/>
      <c r="FL82" s="43"/>
      <c r="FM82" s="43"/>
      <c r="FN82" s="43"/>
      <c r="FO82" s="43"/>
      <c r="FP82" s="43"/>
      <c r="FQ82" s="43"/>
      <c r="FR82" s="43"/>
      <c r="FS82" s="43"/>
      <c r="FT82" s="43"/>
      <c r="FU82" s="43"/>
      <c r="FV82" s="43"/>
      <c r="FW82" s="43"/>
      <c r="FX82" s="43"/>
      <c r="FY82" s="43"/>
      <c r="FZ82" s="43"/>
      <c r="GA82" s="43"/>
      <c r="GB82" s="43"/>
      <c r="GC82" s="43"/>
      <c r="GD82" s="43"/>
      <c r="GE82" s="43"/>
      <c r="GF82" s="43"/>
      <c r="GG82" s="43"/>
      <c r="GH82" s="43"/>
      <c r="GI82" s="43"/>
      <c r="GJ82" s="43"/>
      <c r="GK82" s="43"/>
      <c r="GL82" s="43"/>
      <c r="GM82" s="43"/>
      <c r="GN82" s="43"/>
      <c r="GO82" s="43"/>
      <c r="GP82" s="43"/>
      <c r="GQ82" s="43"/>
      <c r="GR82" s="43"/>
      <c r="GS82" s="43"/>
      <c r="GT82" s="43"/>
      <c r="GU82" s="43"/>
      <c r="GV82" s="43"/>
      <c r="GW82" s="43"/>
      <c r="GX82" s="43"/>
      <c r="GY82" s="43"/>
      <c r="GZ82" s="43"/>
      <c r="HA82" s="43"/>
      <c r="HB82" s="43"/>
      <c r="HC82" s="43"/>
      <c r="HD82" s="43"/>
      <c r="HE82" s="43"/>
      <c r="HF82" s="43"/>
      <c r="HG82" s="43"/>
      <c r="HH82" s="43"/>
      <c r="HI82" s="43"/>
      <c r="HJ82" s="43"/>
      <c r="HK82" s="43"/>
      <c r="HL82" s="43"/>
      <c r="HM82" s="43"/>
      <c r="HN82" s="43"/>
      <c r="HO82" s="43"/>
      <c r="HP82" s="43"/>
      <c r="HQ82" s="43"/>
      <c r="HR82" s="43"/>
      <c r="HS82" s="43"/>
      <c r="HT82" s="43"/>
      <c r="HU82" s="43"/>
      <c r="HV82" s="43"/>
      <c r="HW82" s="43"/>
      <c r="HX82" s="43"/>
      <c r="HY82" s="43"/>
      <c r="HZ82" s="43"/>
      <c r="IA82" s="43"/>
      <c r="IB82" s="43"/>
      <c r="IC82" s="43"/>
      <c r="ID82" s="43"/>
      <c r="IE82" s="43"/>
      <c r="IF82" s="43"/>
      <c r="IG82" s="43"/>
      <c r="IH82" s="43"/>
      <c r="II82" s="43"/>
      <c r="IJ82" s="43"/>
      <c r="IK82" s="43"/>
      <c r="IL82" s="43"/>
      <c r="IM82" s="43"/>
      <c r="IN82" s="43"/>
      <c r="IO82" s="43"/>
      <c r="IP82" s="43"/>
      <c r="IQ82" s="43"/>
      <c r="IR82" s="43"/>
      <c r="IS82" s="43"/>
      <c r="IT82" s="43"/>
      <c r="IU82" s="43"/>
      <c r="IV82" s="43"/>
      <c r="IW82" s="43"/>
      <c r="IX82" s="43"/>
      <c r="IY82" s="43"/>
      <c r="IZ82" s="43"/>
      <c r="JA82" s="43"/>
      <c r="JB82" s="43"/>
      <c r="JC82" s="43"/>
      <c r="JD82" s="43"/>
      <c r="JE82" s="43"/>
      <c r="JF82" s="43"/>
      <c r="JG82" s="43"/>
      <c r="JH82" s="43"/>
      <c r="JI82" s="43"/>
      <c r="JJ82" s="43"/>
      <c r="JK82" s="43"/>
      <c r="JL82" s="43"/>
      <c r="JM82" s="43"/>
      <c r="JN82" s="43"/>
      <c r="JO82" s="43"/>
      <c r="JP82" s="43"/>
      <c r="JQ82" s="43"/>
      <c r="JR82" s="43"/>
      <c r="JS82" s="43"/>
      <c r="JT82" s="43"/>
      <c r="JU82" s="43"/>
      <c r="JV82" s="43"/>
      <c r="JW82" s="43"/>
      <c r="JX82" s="43"/>
      <c r="JY82" s="43"/>
      <c r="JZ82" s="43"/>
      <c r="KA82" s="43"/>
      <c r="KB82" s="43"/>
      <c r="KC82" s="43"/>
      <c r="KD82" s="43"/>
      <c r="KE82" s="43"/>
      <c r="KF82" s="43"/>
      <c r="KG82" s="43"/>
      <c r="KH82" s="43"/>
      <c r="KI82" s="43"/>
      <c r="KJ82" s="43"/>
      <c r="KK82" s="43"/>
      <c r="KL82" s="43"/>
      <c r="KM82" s="43"/>
      <c r="KN82" s="43"/>
      <c r="KO82" s="43"/>
      <c r="KP82" s="43"/>
      <c r="KQ82" s="43"/>
      <c r="KR82" s="43"/>
      <c r="KS82" s="43"/>
      <c r="KT82" s="43"/>
      <c r="KU82" s="43"/>
      <c r="KV82" s="43"/>
      <c r="KW82" s="43"/>
      <c r="KX82" s="43"/>
      <c r="KY82" s="43"/>
      <c r="KZ82" s="43"/>
      <c r="LA82" s="43"/>
      <c r="LB82" s="43"/>
      <c r="LC82" s="43"/>
      <c r="LD82" s="43"/>
      <c r="LE82" s="43"/>
      <c r="LF82" s="43"/>
      <c r="LG82" s="43"/>
      <c r="LH82" s="43"/>
      <c r="LI82" s="43"/>
      <c r="LJ82" s="43"/>
      <c r="LK82" s="43"/>
      <c r="LL82" s="43"/>
      <c r="LM82" s="43"/>
      <c r="LN82" s="43"/>
      <c r="LO82" s="43"/>
      <c r="LP82" s="43"/>
      <c r="LQ82" s="43"/>
      <c r="LR82" s="43"/>
      <c r="LS82" s="43"/>
      <c r="LT82" s="43"/>
      <c r="LU82" s="43"/>
      <c r="LV82" s="43"/>
      <c r="LW82" s="43"/>
      <c r="LX82" s="43"/>
      <c r="LY82" s="43"/>
      <c r="LZ82" s="43"/>
      <c r="MA82" s="43"/>
      <c r="MB82" s="43"/>
      <c r="MC82" s="43"/>
      <c r="MD82" s="43"/>
      <c r="ME82" s="43"/>
      <c r="MF82" s="43"/>
      <c r="MG82" s="43"/>
      <c r="MH82" s="43"/>
      <c r="MI82" s="43"/>
      <c r="MJ82" s="43"/>
      <c r="MK82" s="43"/>
      <c r="ML82" s="43"/>
      <c r="MM82" s="43"/>
      <c r="MN82" s="43"/>
      <c r="MO82" s="43"/>
      <c r="MP82" s="43"/>
      <c r="MQ82" s="43"/>
      <c r="MR82" s="43"/>
      <c r="MS82" s="43"/>
      <c r="MT82" s="43"/>
      <c r="MU82" s="43"/>
      <c r="MV82" s="43"/>
      <c r="MW82" s="43"/>
      <c r="MX82" s="43"/>
      <c r="MY82" s="43"/>
      <c r="MZ82" s="43"/>
      <c r="NA82" s="43"/>
      <c r="NB82" s="43"/>
      <c r="NC82" s="43"/>
      <c r="ND82" s="43"/>
      <c r="NE82" s="43"/>
      <c r="NF82" s="43"/>
      <c r="NG82" s="43"/>
      <c r="NH82" s="43"/>
      <c r="NI82" s="43"/>
      <c r="NJ82" s="43"/>
      <c r="NK82" s="43"/>
      <c r="NL82" s="43"/>
      <c r="NM82" s="43"/>
      <c r="NN82" s="43"/>
      <c r="NO82" s="43"/>
      <c r="NP82" s="43"/>
      <c r="NQ82" s="43"/>
      <c r="NR82" s="43"/>
      <c r="NS82" s="43"/>
      <c r="NT82" s="43"/>
      <c r="NU82" s="43"/>
      <c r="NV82" s="43"/>
      <c r="NW82" s="43"/>
      <c r="NX82" s="43"/>
      <c r="NY82" s="43"/>
      <c r="NZ82" s="43"/>
      <c r="OA82" s="43"/>
      <c r="OB82" s="43"/>
      <c r="OC82" s="43"/>
      <c r="OD82" s="43"/>
      <c r="OE82" s="43"/>
      <c r="OF82" s="43"/>
      <c r="OG82" s="43"/>
      <c r="OH82" s="43"/>
      <c r="OI82" s="43"/>
      <c r="OJ82" s="43"/>
      <c r="OK82" s="43"/>
      <c r="OL82" s="43"/>
      <c r="OM82" s="43"/>
      <c r="ON82" s="43"/>
      <c r="OO82" s="43"/>
      <c r="OP82" s="43"/>
      <c r="OQ82" s="43"/>
      <c r="OR82" s="43"/>
      <c r="OS82" s="43"/>
      <c r="OT82" s="43"/>
      <c r="OU82" s="43"/>
      <c r="OV82" s="43"/>
      <c r="OW82" s="43"/>
      <c r="OX82" s="43"/>
      <c r="OY82" s="43"/>
      <c r="OZ82" s="43"/>
      <c r="PA82" s="43"/>
      <c r="PB82" s="43"/>
      <c r="PC82" s="43"/>
      <c r="PD82" s="43"/>
      <c r="PE82" s="43"/>
      <c r="PF82" s="43"/>
      <c r="PG82" s="43"/>
      <c r="PH82" s="43"/>
      <c r="PI82" s="43"/>
      <c r="PJ82" s="43"/>
      <c r="PK82" s="43"/>
      <c r="PL82" s="43"/>
      <c r="PM82" s="43"/>
      <c r="PN82" s="43"/>
      <c r="PO82" s="43"/>
      <c r="PP82" s="43"/>
      <c r="PQ82" s="43"/>
      <c r="PR82" s="43"/>
      <c r="PS82" s="43"/>
      <c r="PT82" s="43"/>
      <c r="PU82" s="43"/>
      <c r="PV82" s="43"/>
      <c r="PW82" s="43"/>
      <c r="PX82" s="43"/>
      <c r="PY82" s="43"/>
      <c r="PZ82" s="43"/>
      <c r="QA82" s="43"/>
      <c r="QB82" s="43"/>
      <c r="QC82" s="43"/>
    </row>
    <row r="83" spans="1:445" x14ac:dyDescent="0.3"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6" t="str">
        <f t="shared" si="7"/>
        <v/>
      </c>
      <c r="U83" s="46" t="str">
        <f t="shared" si="8"/>
        <v/>
      </c>
      <c r="V83" s="72" t="str">
        <f t="shared" si="9"/>
        <v/>
      </c>
      <c r="W83" s="48"/>
      <c r="X83" s="73" t="str">
        <f t="shared" si="10"/>
        <v/>
      </c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43"/>
      <c r="BO83" s="43"/>
      <c r="BP83" s="43"/>
      <c r="BQ83" s="43"/>
      <c r="BR83" s="43"/>
      <c r="BS83" s="43"/>
      <c r="BT83" s="43"/>
      <c r="BU83" s="43"/>
      <c r="BV83" s="43"/>
      <c r="BW83" s="43"/>
      <c r="BX83" s="43"/>
      <c r="BY83" s="43"/>
      <c r="BZ83" s="43"/>
      <c r="CA83" s="43"/>
      <c r="CB83" s="43"/>
      <c r="CC83" s="4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43"/>
      <c r="CY83" s="43"/>
      <c r="CZ83" s="43"/>
      <c r="DA83" s="43"/>
      <c r="DB83" s="43"/>
      <c r="DC83" s="43"/>
      <c r="DD83" s="43"/>
      <c r="DE83" s="43"/>
      <c r="DF83" s="43"/>
      <c r="DG83" s="43"/>
      <c r="DH83" s="43"/>
      <c r="DI83" s="43"/>
      <c r="DJ83" s="43"/>
      <c r="DK83" s="43"/>
      <c r="DL83" s="43"/>
      <c r="DM83" s="43"/>
      <c r="DN83" s="43"/>
      <c r="DO83" s="43"/>
      <c r="DP83" s="43"/>
      <c r="DQ83" s="43"/>
      <c r="DR83" s="43"/>
      <c r="DS83" s="43"/>
      <c r="DT83" s="43"/>
      <c r="DU83" s="43"/>
      <c r="DV83" s="43"/>
      <c r="DW83" s="43"/>
      <c r="DX83" s="43"/>
      <c r="DY83" s="43"/>
      <c r="DZ83" s="43"/>
      <c r="EA83" s="43"/>
      <c r="EB83" s="43"/>
      <c r="EC83" s="43"/>
      <c r="ED83" s="43"/>
      <c r="EE83" s="43"/>
      <c r="EF83" s="43"/>
      <c r="EG83" s="43"/>
      <c r="EH83" s="43"/>
      <c r="EI83" s="43"/>
      <c r="EJ83" s="43"/>
      <c r="EK83" s="43"/>
      <c r="EL83" s="43"/>
      <c r="EM83" s="43"/>
      <c r="EN83" s="43"/>
      <c r="EO83" s="43"/>
      <c r="EP83" s="43"/>
      <c r="EQ83" s="43"/>
      <c r="ER83" s="43"/>
      <c r="ES83" s="43"/>
      <c r="ET83" s="43"/>
      <c r="EU83" s="43"/>
      <c r="EV83" s="43"/>
      <c r="EW83" s="43"/>
      <c r="EX83" s="43"/>
      <c r="EY83" s="43"/>
      <c r="EZ83" s="43"/>
      <c r="FA83" s="43"/>
      <c r="FB83" s="43"/>
      <c r="FC83" s="43"/>
      <c r="FD83" s="43"/>
      <c r="FE83" s="43"/>
      <c r="FF83" s="43"/>
      <c r="FG83" s="43"/>
      <c r="FH83" s="43"/>
      <c r="FI83" s="43"/>
      <c r="FJ83" s="43"/>
      <c r="FK83" s="43"/>
      <c r="FL83" s="43"/>
      <c r="FM83" s="43"/>
      <c r="FN83" s="43"/>
      <c r="FO83" s="43"/>
      <c r="FP83" s="43"/>
      <c r="FQ83" s="43"/>
      <c r="FR83" s="43"/>
      <c r="FS83" s="43"/>
      <c r="FT83" s="43"/>
      <c r="FU83" s="43"/>
      <c r="FV83" s="43"/>
      <c r="FW83" s="43"/>
      <c r="FX83" s="43"/>
      <c r="FY83" s="43"/>
      <c r="FZ83" s="43"/>
      <c r="GA83" s="43"/>
      <c r="GB83" s="43"/>
      <c r="GC83" s="43"/>
      <c r="GD83" s="43"/>
      <c r="GE83" s="43"/>
      <c r="GF83" s="43"/>
      <c r="GG83" s="43"/>
      <c r="GH83" s="43"/>
      <c r="GI83" s="43"/>
      <c r="GJ83" s="43"/>
      <c r="GK83" s="43"/>
      <c r="GL83" s="43"/>
      <c r="GM83" s="43"/>
      <c r="GN83" s="43"/>
      <c r="GO83" s="43"/>
      <c r="GP83" s="43"/>
      <c r="GQ83" s="43"/>
      <c r="GR83" s="43"/>
      <c r="GS83" s="43"/>
      <c r="GT83" s="43"/>
      <c r="GU83" s="43"/>
      <c r="GV83" s="43"/>
      <c r="GW83" s="43"/>
      <c r="GX83" s="43"/>
      <c r="GY83" s="43"/>
      <c r="GZ83" s="43"/>
      <c r="HA83" s="43"/>
      <c r="HB83" s="43"/>
      <c r="HC83" s="43"/>
      <c r="HD83" s="43"/>
      <c r="HE83" s="43"/>
      <c r="HF83" s="43"/>
      <c r="HG83" s="43"/>
      <c r="HH83" s="43"/>
      <c r="HI83" s="43"/>
      <c r="HJ83" s="43"/>
      <c r="HK83" s="43"/>
      <c r="HL83" s="43"/>
      <c r="HM83" s="43"/>
      <c r="HN83" s="43"/>
      <c r="HO83" s="43"/>
      <c r="HP83" s="43"/>
      <c r="HQ83" s="43"/>
      <c r="HR83" s="43"/>
      <c r="HS83" s="43"/>
      <c r="HT83" s="43"/>
      <c r="HU83" s="43"/>
      <c r="HV83" s="43"/>
      <c r="HW83" s="43"/>
      <c r="HX83" s="43"/>
      <c r="HY83" s="43"/>
      <c r="HZ83" s="43"/>
      <c r="IA83" s="43"/>
      <c r="IB83" s="43"/>
      <c r="IC83" s="43"/>
      <c r="ID83" s="43"/>
      <c r="IE83" s="43"/>
      <c r="IF83" s="43"/>
      <c r="IG83" s="43"/>
      <c r="IH83" s="43"/>
      <c r="II83" s="43"/>
      <c r="IJ83" s="43"/>
      <c r="IK83" s="43"/>
      <c r="IL83" s="43"/>
      <c r="IM83" s="43"/>
      <c r="IN83" s="43"/>
      <c r="IO83" s="43"/>
      <c r="IP83" s="43"/>
      <c r="IQ83" s="43"/>
      <c r="IR83" s="43"/>
      <c r="IS83" s="43"/>
      <c r="IT83" s="43"/>
      <c r="IU83" s="43"/>
      <c r="IV83" s="43"/>
      <c r="IW83" s="43"/>
      <c r="IX83" s="43"/>
      <c r="IY83" s="43"/>
      <c r="IZ83" s="43"/>
      <c r="JA83" s="43"/>
      <c r="JB83" s="43"/>
      <c r="JC83" s="43"/>
      <c r="JD83" s="43"/>
      <c r="JE83" s="43"/>
      <c r="JF83" s="43"/>
      <c r="JG83" s="43"/>
      <c r="JH83" s="43"/>
      <c r="JI83" s="43"/>
      <c r="JJ83" s="43"/>
      <c r="JK83" s="43"/>
      <c r="JL83" s="43"/>
      <c r="JM83" s="43"/>
      <c r="JN83" s="43"/>
      <c r="JO83" s="43"/>
      <c r="JP83" s="43"/>
      <c r="JQ83" s="43"/>
      <c r="JR83" s="43"/>
      <c r="JS83" s="43"/>
      <c r="JT83" s="43"/>
      <c r="JU83" s="43"/>
      <c r="JV83" s="43"/>
      <c r="JW83" s="43"/>
      <c r="JX83" s="43"/>
      <c r="JY83" s="43"/>
      <c r="JZ83" s="43"/>
      <c r="KA83" s="43"/>
      <c r="KB83" s="43"/>
      <c r="KC83" s="43"/>
      <c r="KD83" s="43"/>
      <c r="KE83" s="43"/>
      <c r="KF83" s="43"/>
      <c r="KG83" s="43"/>
      <c r="KH83" s="43"/>
      <c r="KI83" s="43"/>
      <c r="KJ83" s="43"/>
      <c r="KK83" s="43"/>
      <c r="KL83" s="43"/>
      <c r="KM83" s="43"/>
      <c r="KN83" s="43"/>
      <c r="KO83" s="43"/>
      <c r="KP83" s="43"/>
      <c r="KQ83" s="43"/>
      <c r="KR83" s="43"/>
      <c r="KS83" s="43"/>
      <c r="KT83" s="43"/>
      <c r="KU83" s="43"/>
      <c r="KV83" s="43"/>
      <c r="KW83" s="43"/>
      <c r="KX83" s="43"/>
      <c r="KY83" s="43"/>
      <c r="KZ83" s="43"/>
      <c r="LA83" s="43"/>
      <c r="LB83" s="43"/>
      <c r="LC83" s="43"/>
      <c r="LD83" s="43"/>
      <c r="LE83" s="43"/>
      <c r="LF83" s="43"/>
      <c r="LG83" s="43"/>
      <c r="LH83" s="43"/>
      <c r="LI83" s="43"/>
      <c r="LJ83" s="43"/>
      <c r="LK83" s="43"/>
      <c r="LL83" s="43"/>
      <c r="LM83" s="43"/>
      <c r="LN83" s="43"/>
      <c r="LO83" s="43"/>
      <c r="LP83" s="43"/>
      <c r="LQ83" s="43"/>
      <c r="LR83" s="43"/>
      <c r="LS83" s="43"/>
      <c r="LT83" s="43"/>
      <c r="LU83" s="43"/>
      <c r="LV83" s="43"/>
      <c r="LW83" s="43"/>
      <c r="LX83" s="43"/>
      <c r="LY83" s="43"/>
      <c r="LZ83" s="43"/>
      <c r="MA83" s="43"/>
      <c r="MB83" s="43"/>
      <c r="MC83" s="43"/>
      <c r="MD83" s="43"/>
      <c r="ME83" s="43"/>
      <c r="MF83" s="43"/>
      <c r="MG83" s="43"/>
      <c r="MH83" s="43"/>
      <c r="MI83" s="43"/>
      <c r="MJ83" s="43"/>
      <c r="MK83" s="43"/>
      <c r="ML83" s="43"/>
      <c r="MM83" s="43"/>
      <c r="MN83" s="43"/>
      <c r="MO83" s="43"/>
      <c r="MP83" s="43"/>
      <c r="MQ83" s="43"/>
      <c r="MR83" s="43"/>
      <c r="MS83" s="43"/>
      <c r="MT83" s="43"/>
      <c r="MU83" s="43"/>
      <c r="MV83" s="43"/>
      <c r="MW83" s="43"/>
      <c r="MX83" s="43"/>
      <c r="MY83" s="43"/>
      <c r="MZ83" s="43"/>
      <c r="NA83" s="43"/>
      <c r="NB83" s="43"/>
      <c r="NC83" s="43"/>
      <c r="ND83" s="43"/>
      <c r="NE83" s="43"/>
      <c r="NF83" s="43"/>
      <c r="NG83" s="43"/>
      <c r="NH83" s="43"/>
      <c r="NI83" s="43"/>
      <c r="NJ83" s="43"/>
      <c r="NK83" s="43"/>
      <c r="NL83" s="43"/>
      <c r="NM83" s="43"/>
      <c r="NN83" s="43"/>
      <c r="NO83" s="43"/>
      <c r="NP83" s="43"/>
      <c r="NQ83" s="43"/>
      <c r="NR83" s="43"/>
      <c r="NS83" s="43"/>
      <c r="NT83" s="43"/>
      <c r="NU83" s="43"/>
      <c r="NV83" s="43"/>
      <c r="NW83" s="43"/>
      <c r="NX83" s="43"/>
      <c r="NY83" s="43"/>
      <c r="NZ83" s="43"/>
      <c r="OA83" s="43"/>
      <c r="OB83" s="43"/>
      <c r="OC83" s="43"/>
      <c r="OD83" s="43"/>
      <c r="OE83" s="43"/>
      <c r="OF83" s="43"/>
      <c r="OG83" s="43"/>
      <c r="OH83" s="43"/>
      <c r="OI83" s="43"/>
      <c r="OJ83" s="43"/>
      <c r="OK83" s="43"/>
      <c r="OL83" s="43"/>
      <c r="OM83" s="43"/>
      <c r="ON83" s="43"/>
      <c r="OO83" s="43"/>
      <c r="OP83" s="43"/>
      <c r="OQ83" s="43"/>
      <c r="OR83" s="43"/>
      <c r="OS83" s="43"/>
      <c r="OT83" s="43"/>
      <c r="OU83" s="43"/>
      <c r="OV83" s="43"/>
      <c r="OW83" s="43"/>
      <c r="OX83" s="43"/>
      <c r="OY83" s="43"/>
      <c r="OZ83" s="43"/>
      <c r="PA83" s="43"/>
      <c r="PB83" s="43"/>
      <c r="PC83" s="43"/>
      <c r="PD83" s="43"/>
      <c r="PE83" s="43"/>
      <c r="PF83" s="43"/>
      <c r="PG83" s="43"/>
      <c r="PH83" s="43"/>
      <c r="PI83" s="43"/>
      <c r="PJ83" s="43"/>
      <c r="PK83" s="43"/>
      <c r="PL83" s="43"/>
      <c r="PM83" s="43"/>
      <c r="PN83" s="43"/>
      <c r="PO83" s="43"/>
      <c r="PP83" s="43"/>
      <c r="PQ83" s="43"/>
      <c r="PR83" s="43"/>
      <c r="PS83" s="43"/>
      <c r="PT83" s="43"/>
      <c r="PU83" s="43"/>
      <c r="PV83" s="43"/>
      <c r="PW83" s="43"/>
      <c r="PX83" s="43"/>
      <c r="PY83" s="43"/>
      <c r="PZ83" s="43"/>
      <c r="QA83" s="43"/>
      <c r="QB83" s="43"/>
      <c r="QC83" s="43"/>
    </row>
    <row r="84" spans="1:445" x14ac:dyDescent="0.3"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6" t="str">
        <f t="shared" si="7"/>
        <v/>
      </c>
      <c r="U84" s="46" t="str">
        <f t="shared" si="8"/>
        <v/>
      </c>
      <c r="V84" s="72" t="str">
        <f t="shared" si="9"/>
        <v/>
      </c>
      <c r="W84" s="48"/>
      <c r="X84" s="73" t="str">
        <f t="shared" si="10"/>
        <v/>
      </c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43"/>
      <c r="BO84" s="43"/>
      <c r="BP84" s="43"/>
      <c r="BQ84" s="43"/>
      <c r="BR84" s="43"/>
      <c r="BS84" s="43"/>
      <c r="BT84" s="43"/>
      <c r="BU84" s="43"/>
      <c r="BV84" s="43"/>
      <c r="BW84" s="43"/>
      <c r="BX84" s="43"/>
      <c r="BY84" s="43"/>
      <c r="BZ84" s="43"/>
      <c r="CA84" s="43"/>
      <c r="CB84" s="43"/>
      <c r="CC84" s="43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43"/>
      <c r="CY84" s="43"/>
      <c r="CZ84" s="43"/>
      <c r="DA84" s="43"/>
      <c r="DB84" s="43"/>
      <c r="DC84" s="43"/>
      <c r="DD84" s="43"/>
      <c r="DE84" s="43"/>
      <c r="DF84" s="43"/>
      <c r="DG84" s="43"/>
      <c r="DH84" s="43"/>
      <c r="DI84" s="43"/>
      <c r="DJ84" s="43"/>
      <c r="DK84" s="43"/>
      <c r="DL84" s="43"/>
      <c r="DM84" s="43"/>
      <c r="DN84" s="43"/>
      <c r="DO84" s="43"/>
      <c r="DP84" s="43"/>
      <c r="DQ84" s="43"/>
      <c r="DR84" s="43"/>
      <c r="DS84" s="43"/>
      <c r="DT84" s="43"/>
      <c r="DU84" s="43"/>
      <c r="DV84" s="43"/>
      <c r="DW84" s="43"/>
      <c r="DX84" s="43"/>
      <c r="DY84" s="43"/>
      <c r="DZ84" s="43"/>
      <c r="EA84" s="43"/>
      <c r="EB84" s="43"/>
      <c r="EC84" s="43"/>
      <c r="ED84" s="43"/>
      <c r="EE84" s="43"/>
      <c r="EF84" s="43"/>
      <c r="EG84" s="43"/>
      <c r="EH84" s="43"/>
      <c r="EI84" s="43"/>
      <c r="EJ84" s="43"/>
      <c r="EK84" s="43"/>
      <c r="EL84" s="43"/>
      <c r="EM84" s="43"/>
      <c r="EN84" s="43"/>
      <c r="EO84" s="43"/>
      <c r="EP84" s="43"/>
      <c r="EQ84" s="43"/>
      <c r="ER84" s="43"/>
      <c r="ES84" s="43"/>
      <c r="ET84" s="43"/>
      <c r="EU84" s="43"/>
      <c r="EV84" s="43"/>
      <c r="EW84" s="43"/>
      <c r="EX84" s="43"/>
      <c r="EY84" s="43"/>
      <c r="EZ84" s="43"/>
      <c r="FA84" s="43"/>
      <c r="FB84" s="43"/>
      <c r="FC84" s="43"/>
      <c r="FD84" s="43"/>
      <c r="FE84" s="43"/>
      <c r="FF84" s="43"/>
      <c r="FG84" s="43"/>
      <c r="FH84" s="43"/>
      <c r="FI84" s="43"/>
      <c r="FJ84" s="43"/>
      <c r="FK84" s="43"/>
      <c r="FL84" s="43"/>
      <c r="FM84" s="43"/>
      <c r="FN84" s="43"/>
      <c r="FO84" s="43"/>
      <c r="FP84" s="43"/>
      <c r="FQ84" s="43"/>
      <c r="FR84" s="43"/>
      <c r="FS84" s="43"/>
      <c r="FT84" s="43"/>
      <c r="FU84" s="43"/>
      <c r="FV84" s="43"/>
      <c r="FW84" s="43"/>
      <c r="FX84" s="43"/>
      <c r="FY84" s="43"/>
      <c r="FZ84" s="43"/>
      <c r="GA84" s="43"/>
      <c r="GB84" s="43"/>
      <c r="GC84" s="43"/>
      <c r="GD84" s="43"/>
      <c r="GE84" s="43"/>
      <c r="GF84" s="43"/>
      <c r="GG84" s="43"/>
      <c r="GH84" s="43"/>
      <c r="GI84" s="43"/>
      <c r="GJ84" s="43"/>
      <c r="GK84" s="43"/>
      <c r="GL84" s="43"/>
      <c r="GM84" s="43"/>
      <c r="GN84" s="43"/>
      <c r="GO84" s="43"/>
      <c r="GP84" s="43"/>
      <c r="GQ84" s="43"/>
      <c r="GR84" s="43"/>
      <c r="GS84" s="43"/>
      <c r="GT84" s="43"/>
      <c r="GU84" s="43"/>
      <c r="GV84" s="43"/>
      <c r="GW84" s="43"/>
      <c r="GX84" s="43"/>
      <c r="GY84" s="43"/>
      <c r="GZ84" s="43"/>
      <c r="HA84" s="43"/>
      <c r="HB84" s="43"/>
      <c r="HC84" s="43"/>
      <c r="HD84" s="43"/>
      <c r="HE84" s="43"/>
      <c r="HF84" s="43"/>
      <c r="HG84" s="43"/>
      <c r="HH84" s="43"/>
      <c r="HI84" s="43"/>
      <c r="HJ84" s="43"/>
      <c r="HK84" s="43"/>
      <c r="HL84" s="43"/>
      <c r="HM84" s="43"/>
      <c r="HN84" s="43"/>
      <c r="HO84" s="43"/>
      <c r="HP84" s="43"/>
      <c r="HQ84" s="43"/>
      <c r="HR84" s="43"/>
      <c r="HS84" s="43"/>
      <c r="HT84" s="43"/>
      <c r="HU84" s="43"/>
      <c r="HV84" s="43"/>
      <c r="HW84" s="43"/>
      <c r="HX84" s="43"/>
      <c r="HY84" s="43"/>
      <c r="HZ84" s="43"/>
      <c r="IA84" s="43"/>
      <c r="IB84" s="43"/>
      <c r="IC84" s="43"/>
      <c r="ID84" s="43"/>
      <c r="IE84" s="43"/>
      <c r="IF84" s="43"/>
      <c r="IG84" s="43"/>
      <c r="IH84" s="43"/>
      <c r="II84" s="43"/>
      <c r="IJ84" s="43"/>
      <c r="IK84" s="43"/>
      <c r="IL84" s="43"/>
      <c r="IM84" s="43"/>
      <c r="IN84" s="43"/>
      <c r="IO84" s="43"/>
      <c r="IP84" s="43"/>
      <c r="IQ84" s="43"/>
      <c r="IR84" s="43"/>
      <c r="IS84" s="43"/>
      <c r="IT84" s="43"/>
      <c r="IU84" s="43"/>
      <c r="IV84" s="43"/>
      <c r="IW84" s="43"/>
      <c r="IX84" s="43"/>
      <c r="IY84" s="43"/>
      <c r="IZ84" s="43"/>
      <c r="JA84" s="43"/>
      <c r="JB84" s="43"/>
      <c r="JC84" s="43"/>
      <c r="JD84" s="43"/>
      <c r="JE84" s="43"/>
      <c r="JF84" s="43"/>
      <c r="JG84" s="43"/>
      <c r="JH84" s="43"/>
      <c r="JI84" s="43"/>
      <c r="JJ84" s="43"/>
      <c r="JK84" s="43"/>
      <c r="JL84" s="43"/>
      <c r="JM84" s="43"/>
      <c r="JN84" s="43"/>
      <c r="JO84" s="43"/>
      <c r="JP84" s="43"/>
      <c r="JQ84" s="43"/>
      <c r="JR84" s="43"/>
      <c r="JS84" s="43"/>
      <c r="JT84" s="43"/>
      <c r="JU84" s="43"/>
      <c r="JV84" s="43"/>
      <c r="JW84" s="43"/>
      <c r="JX84" s="43"/>
      <c r="JY84" s="43"/>
      <c r="JZ84" s="43"/>
      <c r="KA84" s="43"/>
      <c r="KB84" s="43"/>
      <c r="KC84" s="43"/>
      <c r="KD84" s="43"/>
      <c r="KE84" s="43"/>
      <c r="KF84" s="43"/>
      <c r="KG84" s="43"/>
      <c r="KH84" s="43"/>
      <c r="KI84" s="43"/>
      <c r="KJ84" s="43"/>
      <c r="KK84" s="43"/>
      <c r="KL84" s="43"/>
      <c r="KM84" s="43"/>
      <c r="KN84" s="43"/>
      <c r="KO84" s="43"/>
      <c r="KP84" s="43"/>
      <c r="KQ84" s="43"/>
      <c r="KR84" s="43"/>
      <c r="KS84" s="43"/>
      <c r="KT84" s="43"/>
      <c r="KU84" s="43"/>
      <c r="KV84" s="43"/>
      <c r="KW84" s="43"/>
      <c r="KX84" s="43"/>
      <c r="KY84" s="43"/>
      <c r="KZ84" s="43"/>
      <c r="LA84" s="43"/>
      <c r="LB84" s="43"/>
      <c r="LC84" s="43"/>
      <c r="LD84" s="43"/>
      <c r="LE84" s="43"/>
      <c r="LF84" s="43"/>
      <c r="LG84" s="43"/>
      <c r="LH84" s="43"/>
      <c r="LI84" s="43"/>
      <c r="LJ84" s="43"/>
      <c r="LK84" s="43"/>
      <c r="LL84" s="43"/>
      <c r="LM84" s="43"/>
      <c r="LN84" s="43"/>
      <c r="LO84" s="43"/>
      <c r="LP84" s="43"/>
      <c r="LQ84" s="43"/>
      <c r="LR84" s="43"/>
      <c r="LS84" s="43"/>
      <c r="LT84" s="43"/>
      <c r="LU84" s="43"/>
      <c r="LV84" s="43"/>
      <c r="LW84" s="43"/>
      <c r="LX84" s="43"/>
      <c r="LY84" s="43"/>
      <c r="LZ84" s="43"/>
      <c r="MA84" s="43"/>
      <c r="MB84" s="43"/>
      <c r="MC84" s="43"/>
      <c r="MD84" s="43"/>
      <c r="ME84" s="43"/>
      <c r="MF84" s="43"/>
      <c r="MG84" s="43"/>
      <c r="MH84" s="43"/>
      <c r="MI84" s="43"/>
      <c r="MJ84" s="43"/>
      <c r="MK84" s="43"/>
      <c r="ML84" s="43"/>
      <c r="MM84" s="43"/>
      <c r="MN84" s="43"/>
      <c r="MO84" s="43"/>
      <c r="MP84" s="43"/>
      <c r="MQ84" s="43"/>
      <c r="MR84" s="43"/>
      <c r="MS84" s="43"/>
      <c r="MT84" s="43"/>
      <c r="MU84" s="43"/>
      <c r="MV84" s="43"/>
      <c r="MW84" s="43"/>
      <c r="MX84" s="43"/>
      <c r="MY84" s="43"/>
      <c r="MZ84" s="43"/>
      <c r="NA84" s="43"/>
      <c r="NB84" s="43"/>
      <c r="NC84" s="43"/>
      <c r="ND84" s="43"/>
      <c r="NE84" s="43"/>
      <c r="NF84" s="43"/>
      <c r="NG84" s="43"/>
      <c r="NH84" s="43"/>
      <c r="NI84" s="43"/>
      <c r="NJ84" s="43"/>
      <c r="NK84" s="43"/>
      <c r="NL84" s="43"/>
      <c r="NM84" s="43"/>
      <c r="NN84" s="43"/>
      <c r="NO84" s="43"/>
      <c r="NP84" s="43"/>
      <c r="NQ84" s="43"/>
      <c r="NR84" s="43"/>
      <c r="NS84" s="43"/>
      <c r="NT84" s="43"/>
      <c r="NU84" s="43"/>
      <c r="NV84" s="43"/>
      <c r="NW84" s="43"/>
      <c r="NX84" s="43"/>
      <c r="NY84" s="43"/>
      <c r="NZ84" s="43"/>
      <c r="OA84" s="43"/>
      <c r="OB84" s="43"/>
      <c r="OC84" s="43"/>
      <c r="OD84" s="43"/>
      <c r="OE84" s="43"/>
      <c r="OF84" s="43"/>
      <c r="OG84" s="43"/>
      <c r="OH84" s="43"/>
      <c r="OI84" s="43"/>
      <c r="OJ84" s="43"/>
      <c r="OK84" s="43"/>
      <c r="OL84" s="43"/>
      <c r="OM84" s="43"/>
      <c r="ON84" s="43"/>
      <c r="OO84" s="43"/>
      <c r="OP84" s="43"/>
      <c r="OQ84" s="43"/>
      <c r="OR84" s="43"/>
      <c r="OS84" s="43"/>
      <c r="OT84" s="43"/>
      <c r="OU84" s="43"/>
      <c r="OV84" s="43"/>
      <c r="OW84" s="43"/>
      <c r="OX84" s="43"/>
      <c r="OY84" s="43"/>
      <c r="OZ84" s="43"/>
      <c r="PA84" s="43"/>
      <c r="PB84" s="43"/>
      <c r="PC84" s="43"/>
      <c r="PD84" s="43"/>
      <c r="PE84" s="43"/>
      <c r="PF84" s="43"/>
      <c r="PG84" s="43"/>
      <c r="PH84" s="43"/>
      <c r="PI84" s="43"/>
      <c r="PJ84" s="43"/>
      <c r="PK84" s="43"/>
      <c r="PL84" s="43"/>
      <c r="PM84" s="43"/>
      <c r="PN84" s="43"/>
      <c r="PO84" s="43"/>
      <c r="PP84" s="43"/>
      <c r="PQ84" s="43"/>
      <c r="PR84" s="43"/>
      <c r="PS84" s="43"/>
      <c r="PT84" s="43"/>
      <c r="PU84" s="43"/>
      <c r="PV84" s="43"/>
      <c r="PW84" s="43"/>
      <c r="PX84" s="43"/>
      <c r="PY84" s="43"/>
      <c r="PZ84" s="43"/>
      <c r="QA84" s="43"/>
      <c r="QB84" s="43"/>
      <c r="QC84" s="43"/>
    </row>
    <row r="85" spans="1:445" x14ac:dyDescent="0.3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6" t="str">
        <f t="shared" si="7"/>
        <v/>
      </c>
      <c r="U85" s="46" t="str">
        <f t="shared" si="8"/>
        <v/>
      </c>
      <c r="V85" s="72" t="str">
        <f t="shared" si="9"/>
        <v/>
      </c>
      <c r="W85" s="48"/>
      <c r="X85" s="73" t="str">
        <f t="shared" si="10"/>
        <v/>
      </c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3"/>
      <c r="BT85" s="43"/>
      <c r="BU85" s="43"/>
      <c r="BV85" s="43"/>
      <c r="BW85" s="43"/>
      <c r="BX85" s="43"/>
      <c r="BY85" s="43"/>
      <c r="BZ85" s="43"/>
      <c r="CA85" s="43"/>
      <c r="CB85" s="43"/>
      <c r="CC85" s="4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43"/>
      <c r="CY85" s="43"/>
      <c r="CZ85" s="43"/>
      <c r="DA85" s="43"/>
      <c r="DB85" s="43"/>
      <c r="DC85" s="43"/>
      <c r="DD85" s="43"/>
      <c r="DE85" s="43"/>
      <c r="DF85" s="43"/>
      <c r="DG85" s="43"/>
      <c r="DH85" s="43"/>
      <c r="DI85" s="43"/>
      <c r="DJ85" s="43"/>
      <c r="DK85" s="43"/>
      <c r="DL85" s="43"/>
      <c r="DM85" s="43"/>
      <c r="DN85" s="43"/>
      <c r="DO85" s="43"/>
      <c r="DP85" s="43"/>
      <c r="DQ85" s="43"/>
      <c r="DR85" s="43"/>
      <c r="DS85" s="43"/>
      <c r="DT85" s="43"/>
      <c r="DU85" s="43"/>
      <c r="DV85" s="43"/>
      <c r="DW85" s="43"/>
      <c r="DX85" s="43"/>
      <c r="DY85" s="43"/>
      <c r="DZ85" s="43"/>
      <c r="EA85" s="43"/>
      <c r="EB85" s="43"/>
      <c r="EC85" s="43"/>
      <c r="ED85" s="43"/>
      <c r="EE85" s="43"/>
      <c r="EF85" s="43"/>
      <c r="EG85" s="43"/>
      <c r="EH85" s="43"/>
      <c r="EI85" s="43"/>
      <c r="EJ85" s="43"/>
      <c r="EK85" s="43"/>
      <c r="EL85" s="43"/>
      <c r="EM85" s="43"/>
      <c r="EN85" s="43"/>
      <c r="EO85" s="43"/>
      <c r="EP85" s="43"/>
      <c r="EQ85" s="43"/>
      <c r="ER85" s="43"/>
      <c r="ES85" s="43"/>
      <c r="ET85" s="43"/>
      <c r="EU85" s="43"/>
      <c r="EV85" s="43"/>
      <c r="EW85" s="43"/>
      <c r="EX85" s="43"/>
      <c r="EY85" s="43"/>
      <c r="EZ85" s="43"/>
      <c r="FA85" s="43"/>
      <c r="FB85" s="43"/>
      <c r="FC85" s="43"/>
      <c r="FD85" s="43"/>
      <c r="FE85" s="43"/>
      <c r="FF85" s="43"/>
      <c r="FG85" s="43"/>
      <c r="FH85" s="43"/>
      <c r="FI85" s="43"/>
      <c r="FJ85" s="43"/>
      <c r="FK85" s="43"/>
      <c r="FL85" s="43"/>
      <c r="FM85" s="43"/>
      <c r="FN85" s="43"/>
      <c r="FO85" s="43"/>
      <c r="FP85" s="43"/>
      <c r="FQ85" s="43"/>
      <c r="FR85" s="43"/>
      <c r="FS85" s="43"/>
      <c r="FT85" s="43"/>
      <c r="FU85" s="43"/>
      <c r="FV85" s="43"/>
      <c r="FW85" s="43"/>
      <c r="FX85" s="43"/>
      <c r="FY85" s="43"/>
      <c r="FZ85" s="43"/>
      <c r="GA85" s="43"/>
      <c r="GB85" s="43"/>
      <c r="GC85" s="43"/>
      <c r="GD85" s="43"/>
      <c r="GE85" s="43"/>
      <c r="GF85" s="43"/>
      <c r="GG85" s="43"/>
      <c r="GH85" s="43"/>
      <c r="GI85" s="43"/>
      <c r="GJ85" s="43"/>
      <c r="GK85" s="43"/>
      <c r="GL85" s="43"/>
      <c r="GM85" s="43"/>
      <c r="GN85" s="43"/>
      <c r="GO85" s="43"/>
      <c r="GP85" s="43"/>
      <c r="GQ85" s="43"/>
      <c r="GR85" s="43"/>
      <c r="GS85" s="43"/>
      <c r="GT85" s="43"/>
      <c r="GU85" s="43"/>
      <c r="GV85" s="43"/>
      <c r="GW85" s="43"/>
      <c r="GX85" s="43"/>
      <c r="GY85" s="43"/>
      <c r="GZ85" s="43"/>
      <c r="HA85" s="43"/>
      <c r="HB85" s="43"/>
      <c r="HC85" s="43"/>
      <c r="HD85" s="43"/>
      <c r="HE85" s="43"/>
      <c r="HF85" s="43"/>
      <c r="HG85" s="43"/>
      <c r="HH85" s="43"/>
      <c r="HI85" s="43"/>
      <c r="HJ85" s="43"/>
      <c r="HK85" s="43"/>
      <c r="HL85" s="43"/>
      <c r="HM85" s="43"/>
      <c r="HN85" s="43"/>
      <c r="HO85" s="43"/>
      <c r="HP85" s="43"/>
      <c r="HQ85" s="43"/>
      <c r="HR85" s="43"/>
      <c r="HS85" s="43"/>
      <c r="HT85" s="43"/>
      <c r="HU85" s="43"/>
      <c r="HV85" s="43"/>
      <c r="HW85" s="43"/>
      <c r="HX85" s="43"/>
      <c r="HY85" s="43"/>
      <c r="HZ85" s="43"/>
      <c r="IA85" s="43"/>
      <c r="IB85" s="43"/>
      <c r="IC85" s="43"/>
      <c r="ID85" s="43"/>
      <c r="IE85" s="43"/>
      <c r="IF85" s="43"/>
      <c r="IG85" s="43"/>
      <c r="IH85" s="43"/>
      <c r="II85" s="43"/>
      <c r="IJ85" s="43"/>
      <c r="IK85" s="43"/>
      <c r="IL85" s="43"/>
      <c r="IM85" s="43"/>
      <c r="IN85" s="43"/>
      <c r="IO85" s="43"/>
      <c r="IP85" s="43"/>
      <c r="IQ85" s="43"/>
      <c r="IR85" s="43"/>
      <c r="IS85" s="43"/>
      <c r="IT85" s="43"/>
      <c r="IU85" s="43"/>
      <c r="IV85" s="43"/>
      <c r="IW85" s="43"/>
      <c r="IX85" s="43"/>
      <c r="IY85" s="43"/>
      <c r="IZ85" s="43"/>
      <c r="JA85" s="43"/>
      <c r="JB85" s="43"/>
      <c r="JC85" s="43"/>
      <c r="JD85" s="43"/>
      <c r="JE85" s="43"/>
      <c r="JF85" s="43"/>
      <c r="JG85" s="43"/>
      <c r="JH85" s="43"/>
      <c r="JI85" s="43"/>
      <c r="JJ85" s="43"/>
      <c r="JK85" s="43"/>
      <c r="JL85" s="43"/>
      <c r="JM85" s="43"/>
      <c r="JN85" s="43"/>
      <c r="JO85" s="43"/>
      <c r="JP85" s="43"/>
      <c r="JQ85" s="43"/>
      <c r="JR85" s="43"/>
      <c r="JS85" s="43"/>
      <c r="JT85" s="43"/>
      <c r="JU85" s="43"/>
      <c r="JV85" s="43"/>
      <c r="JW85" s="43"/>
      <c r="JX85" s="43"/>
      <c r="JY85" s="43"/>
      <c r="JZ85" s="43"/>
      <c r="KA85" s="43"/>
      <c r="KB85" s="43"/>
      <c r="KC85" s="43"/>
      <c r="KD85" s="43"/>
      <c r="KE85" s="43"/>
      <c r="KF85" s="43"/>
      <c r="KG85" s="43"/>
      <c r="KH85" s="43"/>
      <c r="KI85" s="43"/>
      <c r="KJ85" s="43"/>
      <c r="KK85" s="43"/>
      <c r="KL85" s="43"/>
      <c r="KM85" s="43"/>
      <c r="KN85" s="43"/>
      <c r="KO85" s="43"/>
      <c r="KP85" s="43"/>
      <c r="KQ85" s="43"/>
      <c r="KR85" s="43"/>
      <c r="KS85" s="43"/>
      <c r="KT85" s="43"/>
      <c r="KU85" s="43"/>
      <c r="KV85" s="43"/>
      <c r="KW85" s="43"/>
      <c r="KX85" s="43"/>
      <c r="KY85" s="43"/>
      <c r="KZ85" s="43"/>
      <c r="LA85" s="43"/>
      <c r="LB85" s="43"/>
      <c r="LC85" s="43"/>
      <c r="LD85" s="43"/>
      <c r="LE85" s="43"/>
      <c r="LF85" s="43"/>
      <c r="LG85" s="43"/>
      <c r="LH85" s="43"/>
      <c r="LI85" s="43"/>
      <c r="LJ85" s="43"/>
      <c r="LK85" s="43"/>
      <c r="LL85" s="43"/>
      <c r="LM85" s="43"/>
      <c r="LN85" s="43"/>
      <c r="LO85" s="43"/>
      <c r="LP85" s="43"/>
      <c r="LQ85" s="43"/>
      <c r="LR85" s="43"/>
      <c r="LS85" s="43"/>
      <c r="LT85" s="43"/>
      <c r="LU85" s="43"/>
      <c r="LV85" s="43"/>
      <c r="LW85" s="43"/>
      <c r="LX85" s="43"/>
      <c r="LY85" s="43"/>
      <c r="LZ85" s="43"/>
      <c r="MA85" s="43"/>
      <c r="MB85" s="43"/>
      <c r="MC85" s="43"/>
      <c r="MD85" s="43"/>
      <c r="ME85" s="43"/>
      <c r="MF85" s="43"/>
      <c r="MG85" s="43"/>
      <c r="MH85" s="43"/>
      <c r="MI85" s="43"/>
      <c r="MJ85" s="43"/>
      <c r="MK85" s="43"/>
      <c r="ML85" s="43"/>
      <c r="MM85" s="43"/>
      <c r="MN85" s="43"/>
      <c r="MO85" s="43"/>
      <c r="MP85" s="43"/>
      <c r="MQ85" s="43"/>
      <c r="MR85" s="43"/>
      <c r="MS85" s="43"/>
      <c r="MT85" s="43"/>
      <c r="MU85" s="43"/>
      <c r="MV85" s="43"/>
      <c r="MW85" s="43"/>
      <c r="MX85" s="43"/>
      <c r="MY85" s="43"/>
      <c r="MZ85" s="43"/>
      <c r="NA85" s="43"/>
      <c r="NB85" s="43"/>
      <c r="NC85" s="43"/>
      <c r="ND85" s="43"/>
      <c r="NE85" s="43"/>
      <c r="NF85" s="43"/>
      <c r="NG85" s="43"/>
      <c r="NH85" s="43"/>
      <c r="NI85" s="43"/>
      <c r="NJ85" s="43"/>
      <c r="NK85" s="43"/>
      <c r="NL85" s="43"/>
      <c r="NM85" s="43"/>
      <c r="NN85" s="43"/>
      <c r="NO85" s="43"/>
      <c r="NP85" s="43"/>
      <c r="NQ85" s="43"/>
      <c r="NR85" s="43"/>
      <c r="NS85" s="43"/>
      <c r="NT85" s="43"/>
      <c r="NU85" s="43"/>
      <c r="NV85" s="43"/>
      <c r="NW85" s="43"/>
      <c r="NX85" s="43"/>
      <c r="NY85" s="43"/>
      <c r="NZ85" s="43"/>
      <c r="OA85" s="43"/>
      <c r="OB85" s="43"/>
      <c r="OC85" s="43"/>
      <c r="OD85" s="43"/>
      <c r="OE85" s="43"/>
      <c r="OF85" s="43"/>
      <c r="OG85" s="43"/>
      <c r="OH85" s="43"/>
      <c r="OI85" s="43"/>
      <c r="OJ85" s="43"/>
      <c r="OK85" s="43"/>
      <c r="OL85" s="43"/>
      <c r="OM85" s="43"/>
      <c r="ON85" s="43"/>
      <c r="OO85" s="43"/>
      <c r="OP85" s="43"/>
      <c r="OQ85" s="43"/>
      <c r="OR85" s="43"/>
      <c r="OS85" s="43"/>
      <c r="OT85" s="43"/>
      <c r="OU85" s="43"/>
      <c r="OV85" s="43"/>
      <c r="OW85" s="43"/>
      <c r="OX85" s="43"/>
      <c r="OY85" s="43"/>
      <c r="OZ85" s="43"/>
      <c r="PA85" s="43"/>
      <c r="PB85" s="43"/>
      <c r="PC85" s="43"/>
      <c r="PD85" s="43"/>
      <c r="PE85" s="43"/>
      <c r="PF85" s="43"/>
      <c r="PG85" s="43"/>
      <c r="PH85" s="43"/>
      <c r="PI85" s="43"/>
      <c r="PJ85" s="43"/>
      <c r="PK85" s="43"/>
      <c r="PL85" s="43"/>
      <c r="PM85" s="43"/>
      <c r="PN85" s="43"/>
      <c r="PO85" s="43"/>
      <c r="PP85" s="43"/>
      <c r="PQ85" s="43"/>
      <c r="PR85" s="43"/>
      <c r="PS85" s="43"/>
      <c r="PT85" s="43"/>
      <c r="PU85" s="43"/>
      <c r="PV85" s="43"/>
      <c r="PW85" s="43"/>
      <c r="PX85" s="43"/>
      <c r="PY85" s="43"/>
      <c r="PZ85" s="43"/>
      <c r="QA85" s="43"/>
      <c r="QB85" s="43"/>
      <c r="QC85" s="43"/>
    </row>
    <row r="86" spans="1:445" x14ac:dyDescent="0.3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6" t="str">
        <f t="shared" si="7"/>
        <v/>
      </c>
      <c r="U86" s="46" t="str">
        <f t="shared" si="8"/>
        <v/>
      </c>
      <c r="V86" s="72" t="str">
        <f t="shared" si="9"/>
        <v/>
      </c>
      <c r="W86" s="48"/>
      <c r="X86" s="73" t="str">
        <f t="shared" si="10"/>
        <v/>
      </c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43"/>
      <c r="BO86" s="43"/>
      <c r="BP86" s="43"/>
      <c r="BQ86" s="43"/>
      <c r="BR86" s="43"/>
      <c r="BS86" s="43"/>
      <c r="BT86" s="43"/>
      <c r="BU86" s="43"/>
      <c r="BV86" s="43"/>
      <c r="BW86" s="43"/>
      <c r="BX86" s="43"/>
      <c r="BY86" s="43"/>
      <c r="BZ86" s="43"/>
      <c r="CA86" s="43"/>
      <c r="CB86" s="43"/>
      <c r="CC86" s="43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43"/>
      <c r="CY86" s="43"/>
      <c r="CZ86" s="43"/>
      <c r="DA86" s="43"/>
      <c r="DB86" s="43"/>
      <c r="DC86" s="43"/>
      <c r="DD86" s="43"/>
      <c r="DE86" s="43"/>
      <c r="DF86" s="43"/>
      <c r="DG86" s="43"/>
      <c r="DH86" s="43"/>
      <c r="DI86" s="43"/>
      <c r="DJ86" s="43"/>
      <c r="DK86" s="43"/>
      <c r="DL86" s="43"/>
      <c r="DM86" s="43"/>
      <c r="DN86" s="43"/>
      <c r="DO86" s="43"/>
      <c r="DP86" s="43"/>
      <c r="DQ86" s="43"/>
      <c r="DR86" s="43"/>
      <c r="DS86" s="43"/>
      <c r="DT86" s="43"/>
      <c r="DU86" s="43"/>
      <c r="DV86" s="43"/>
      <c r="DW86" s="43"/>
      <c r="DX86" s="43"/>
      <c r="DY86" s="43"/>
      <c r="DZ86" s="43"/>
      <c r="EA86" s="43"/>
      <c r="EB86" s="43"/>
      <c r="EC86" s="43"/>
      <c r="ED86" s="43"/>
      <c r="EE86" s="43"/>
      <c r="EF86" s="43"/>
      <c r="EG86" s="43"/>
      <c r="EH86" s="43"/>
      <c r="EI86" s="43"/>
      <c r="EJ86" s="43"/>
      <c r="EK86" s="43"/>
      <c r="EL86" s="43"/>
      <c r="EM86" s="43"/>
      <c r="EN86" s="43"/>
      <c r="EO86" s="43"/>
      <c r="EP86" s="43"/>
      <c r="EQ86" s="43"/>
      <c r="ER86" s="43"/>
      <c r="ES86" s="43"/>
      <c r="ET86" s="43"/>
      <c r="EU86" s="43"/>
      <c r="EV86" s="43"/>
      <c r="EW86" s="43"/>
      <c r="EX86" s="43"/>
      <c r="EY86" s="43"/>
      <c r="EZ86" s="43"/>
      <c r="FA86" s="43"/>
      <c r="FB86" s="43"/>
      <c r="FC86" s="43"/>
      <c r="FD86" s="43"/>
      <c r="FE86" s="43"/>
      <c r="FF86" s="43"/>
      <c r="FG86" s="43"/>
      <c r="FH86" s="43"/>
      <c r="FI86" s="43"/>
      <c r="FJ86" s="43"/>
      <c r="FK86" s="43"/>
      <c r="FL86" s="43"/>
      <c r="FM86" s="43"/>
      <c r="FN86" s="43"/>
      <c r="FO86" s="43"/>
      <c r="FP86" s="43"/>
      <c r="FQ86" s="43"/>
      <c r="FR86" s="43"/>
      <c r="FS86" s="43"/>
      <c r="FT86" s="43"/>
      <c r="FU86" s="43"/>
      <c r="FV86" s="43"/>
      <c r="FW86" s="43"/>
      <c r="FX86" s="43"/>
      <c r="FY86" s="43"/>
      <c r="FZ86" s="43"/>
      <c r="GA86" s="43"/>
      <c r="GB86" s="43"/>
      <c r="GC86" s="43"/>
      <c r="GD86" s="43"/>
      <c r="GE86" s="43"/>
      <c r="GF86" s="43"/>
      <c r="GG86" s="43"/>
      <c r="GH86" s="43"/>
      <c r="GI86" s="43"/>
      <c r="GJ86" s="43"/>
      <c r="GK86" s="43"/>
      <c r="GL86" s="43"/>
      <c r="GM86" s="43"/>
      <c r="GN86" s="43"/>
      <c r="GO86" s="43"/>
      <c r="GP86" s="43"/>
      <c r="GQ86" s="43"/>
      <c r="GR86" s="43"/>
      <c r="GS86" s="43"/>
      <c r="GT86" s="43"/>
      <c r="GU86" s="43"/>
      <c r="GV86" s="43"/>
      <c r="GW86" s="43"/>
      <c r="GX86" s="43"/>
      <c r="GY86" s="43"/>
      <c r="GZ86" s="43"/>
      <c r="HA86" s="43"/>
      <c r="HB86" s="43"/>
      <c r="HC86" s="43"/>
      <c r="HD86" s="43"/>
      <c r="HE86" s="43"/>
      <c r="HF86" s="43"/>
      <c r="HG86" s="43"/>
      <c r="HH86" s="43"/>
      <c r="HI86" s="43"/>
      <c r="HJ86" s="43"/>
      <c r="HK86" s="43"/>
      <c r="HL86" s="43"/>
      <c r="HM86" s="43"/>
      <c r="HN86" s="43"/>
      <c r="HO86" s="43"/>
      <c r="HP86" s="43"/>
      <c r="HQ86" s="43"/>
      <c r="HR86" s="43"/>
      <c r="HS86" s="43"/>
      <c r="HT86" s="43"/>
      <c r="HU86" s="43"/>
      <c r="HV86" s="43"/>
      <c r="HW86" s="43"/>
      <c r="HX86" s="43"/>
      <c r="HY86" s="43"/>
      <c r="HZ86" s="43"/>
      <c r="IA86" s="43"/>
      <c r="IB86" s="43"/>
      <c r="IC86" s="43"/>
      <c r="ID86" s="43"/>
      <c r="IE86" s="43"/>
      <c r="IF86" s="43"/>
      <c r="IG86" s="43"/>
      <c r="IH86" s="43"/>
      <c r="II86" s="43"/>
      <c r="IJ86" s="43"/>
      <c r="IK86" s="43"/>
      <c r="IL86" s="43"/>
      <c r="IM86" s="43"/>
      <c r="IN86" s="43"/>
      <c r="IO86" s="43"/>
      <c r="IP86" s="43"/>
      <c r="IQ86" s="43"/>
      <c r="IR86" s="43"/>
      <c r="IS86" s="43"/>
      <c r="IT86" s="43"/>
      <c r="IU86" s="43"/>
      <c r="IV86" s="43"/>
      <c r="IW86" s="43"/>
      <c r="IX86" s="43"/>
      <c r="IY86" s="43"/>
      <c r="IZ86" s="43"/>
      <c r="JA86" s="43"/>
      <c r="JB86" s="43"/>
      <c r="JC86" s="43"/>
      <c r="JD86" s="43"/>
      <c r="JE86" s="43"/>
      <c r="JF86" s="43"/>
      <c r="JG86" s="43"/>
      <c r="JH86" s="43"/>
      <c r="JI86" s="43"/>
      <c r="JJ86" s="43"/>
      <c r="JK86" s="43"/>
      <c r="JL86" s="43"/>
      <c r="JM86" s="43"/>
      <c r="JN86" s="43"/>
      <c r="JO86" s="43"/>
      <c r="JP86" s="43"/>
      <c r="JQ86" s="43"/>
      <c r="JR86" s="43"/>
      <c r="JS86" s="43"/>
      <c r="JT86" s="43"/>
      <c r="JU86" s="43"/>
      <c r="JV86" s="43"/>
      <c r="JW86" s="43"/>
      <c r="JX86" s="43"/>
      <c r="JY86" s="43"/>
      <c r="JZ86" s="43"/>
      <c r="KA86" s="43"/>
      <c r="KB86" s="43"/>
      <c r="KC86" s="43"/>
      <c r="KD86" s="43"/>
      <c r="KE86" s="43"/>
      <c r="KF86" s="43"/>
      <c r="KG86" s="43"/>
      <c r="KH86" s="43"/>
      <c r="KI86" s="43"/>
      <c r="KJ86" s="43"/>
      <c r="KK86" s="43"/>
      <c r="KL86" s="43"/>
      <c r="KM86" s="43"/>
      <c r="KN86" s="43"/>
      <c r="KO86" s="43"/>
      <c r="KP86" s="43"/>
      <c r="KQ86" s="43"/>
      <c r="KR86" s="43"/>
      <c r="KS86" s="43"/>
      <c r="KT86" s="43"/>
      <c r="KU86" s="43"/>
      <c r="KV86" s="43"/>
      <c r="KW86" s="43"/>
      <c r="KX86" s="43"/>
      <c r="KY86" s="43"/>
      <c r="KZ86" s="43"/>
      <c r="LA86" s="43"/>
      <c r="LB86" s="43"/>
      <c r="LC86" s="43"/>
      <c r="LD86" s="43"/>
      <c r="LE86" s="43"/>
      <c r="LF86" s="43"/>
      <c r="LG86" s="43"/>
      <c r="LH86" s="43"/>
      <c r="LI86" s="43"/>
      <c r="LJ86" s="43"/>
      <c r="LK86" s="43"/>
      <c r="LL86" s="43"/>
      <c r="LM86" s="43"/>
      <c r="LN86" s="43"/>
      <c r="LO86" s="43"/>
      <c r="LP86" s="43"/>
      <c r="LQ86" s="43"/>
      <c r="LR86" s="43"/>
      <c r="LS86" s="43"/>
      <c r="LT86" s="43"/>
      <c r="LU86" s="43"/>
      <c r="LV86" s="43"/>
      <c r="LW86" s="43"/>
      <c r="LX86" s="43"/>
      <c r="LY86" s="43"/>
      <c r="LZ86" s="43"/>
      <c r="MA86" s="43"/>
      <c r="MB86" s="43"/>
      <c r="MC86" s="43"/>
      <c r="MD86" s="43"/>
      <c r="ME86" s="43"/>
      <c r="MF86" s="43"/>
      <c r="MG86" s="43"/>
      <c r="MH86" s="43"/>
      <c r="MI86" s="43"/>
      <c r="MJ86" s="43"/>
      <c r="MK86" s="43"/>
      <c r="ML86" s="43"/>
      <c r="MM86" s="43"/>
      <c r="MN86" s="43"/>
      <c r="MO86" s="43"/>
      <c r="MP86" s="43"/>
      <c r="MQ86" s="43"/>
      <c r="MR86" s="43"/>
      <c r="MS86" s="43"/>
      <c r="MT86" s="43"/>
      <c r="MU86" s="43"/>
      <c r="MV86" s="43"/>
      <c r="MW86" s="43"/>
      <c r="MX86" s="43"/>
      <c r="MY86" s="43"/>
      <c r="MZ86" s="43"/>
      <c r="NA86" s="43"/>
      <c r="NB86" s="43"/>
      <c r="NC86" s="43"/>
      <c r="ND86" s="43"/>
      <c r="NE86" s="43"/>
      <c r="NF86" s="43"/>
      <c r="NG86" s="43"/>
      <c r="NH86" s="43"/>
      <c r="NI86" s="43"/>
      <c r="NJ86" s="43"/>
      <c r="NK86" s="43"/>
      <c r="NL86" s="43"/>
      <c r="NM86" s="43"/>
      <c r="NN86" s="43"/>
      <c r="NO86" s="43"/>
      <c r="NP86" s="43"/>
      <c r="NQ86" s="43"/>
      <c r="NR86" s="43"/>
      <c r="NS86" s="43"/>
      <c r="NT86" s="43"/>
      <c r="NU86" s="43"/>
      <c r="NV86" s="43"/>
      <c r="NW86" s="43"/>
      <c r="NX86" s="43"/>
      <c r="NY86" s="43"/>
      <c r="NZ86" s="43"/>
      <c r="OA86" s="43"/>
      <c r="OB86" s="43"/>
      <c r="OC86" s="43"/>
      <c r="OD86" s="43"/>
      <c r="OE86" s="43"/>
      <c r="OF86" s="43"/>
      <c r="OG86" s="43"/>
      <c r="OH86" s="43"/>
      <c r="OI86" s="43"/>
      <c r="OJ86" s="43"/>
      <c r="OK86" s="43"/>
      <c r="OL86" s="43"/>
      <c r="OM86" s="43"/>
      <c r="ON86" s="43"/>
      <c r="OO86" s="43"/>
      <c r="OP86" s="43"/>
      <c r="OQ86" s="43"/>
      <c r="OR86" s="43"/>
      <c r="OS86" s="43"/>
      <c r="OT86" s="43"/>
      <c r="OU86" s="43"/>
      <c r="OV86" s="43"/>
      <c r="OW86" s="43"/>
      <c r="OX86" s="43"/>
      <c r="OY86" s="43"/>
      <c r="OZ86" s="43"/>
      <c r="PA86" s="43"/>
      <c r="PB86" s="43"/>
      <c r="PC86" s="43"/>
      <c r="PD86" s="43"/>
      <c r="PE86" s="43"/>
      <c r="PF86" s="43"/>
      <c r="PG86" s="43"/>
      <c r="PH86" s="43"/>
      <c r="PI86" s="43"/>
      <c r="PJ86" s="43"/>
      <c r="PK86" s="43"/>
      <c r="PL86" s="43"/>
      <c r="PM86" s="43"/>
      <c r="PN86" s="43"/>
      <c r="PO86" s="43"/>
      <c r="PP86" s="43"/>
      <c r="PQ86" s="43"/>
      <c r="PR86" s="43"/>
      <c r="PS86" s="43"/>
      <c r="PT86" s="43"/>
      <c r="PU86" s="43"/>
      <c r="PV86" s="43"/>
      <c r="PW86" s="43"/>
      <c r="PX86" s="43"/>
      <c r="PY86" s="43"/>
      <c r="PZ86" s="43"/>
      <c r="QA86" s="43"/>
      <c r="QB86" s="43"/>
      <c r="QC86" s="43"/>
    </row>
    <row r="87" spans="1:445" x14ac:dyDescent="0.3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6" t="str">
        <f t="shared" si="7"/>
        <v/>
      </c>
      <c r="U87" s="46" t="str">
        <f t="shared" si="8"/>
        <v/>
      </c>
      <c r="V87" s="72" t="str">
        <f t="shared" si="9"/>
        <v/>
      </c>
      <c r="W87" s="48"/>
      <c r="X87" s="73" t="str">
        <f t="shared" si="10"/>
        <v/>
      </c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43"/>
      <c r="BN87" s="43"/>
      <c r="BO87" s="43"/>
      <c r="BP87" s="43"/>
      <c r="BQ87" s="43"/>
      <c r="BR87" s="43"/>
      <c r="BS87" s="43"/>
      <c r="BT87" s="43"/>
      <c r="BU87" s="43"/>
      <c r="BV87" s="43"/>
      <c r="BW87" s="43"/>
      <c r="BX87" s="43"/>
      <c r="BY87" s="43"/>
      <c r="BZ87" s="43"/>
      <c r="CA87" s="43"/>
      <c r="CB87" s="43"/>
      <c r="CC87" s="4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43"/>
      <c r="CY87" s="43"/>
      <c r="CZ87" s="43"/>
      <c r="DA87" s="43"/>
      <c r="DB87" s="43"/>
      <c r="DC87" s="43"/>
      <c r="DD87" s="43"/>
      <c r="DE87" s="43"/>
      <c r="DF87" s="43"/>
      <c r="DG87" s="43"/>
      <c r="DH87" s="43"/>
      <c r="DI87" s="43"/>
      <c r="DJ87" s="43"/>
      <c r="DK87" s="43"/>
      <c r="DL87" s="43"/>
      <c r="DM87" s="43"/>
      <c r="DN87" s="43"/>
      <c r="DO87" s="43"/>
      <c r="DP87" s="43"/>
      <c r="DQ87" s="43"/>
      <c r="DR87" s="43"/>
      <c r="DS87" s="43"/>
      <c r="DT87" s="43"/>
      <c r="DU87" s="43"/>
      <c r="DV87" s="43"/>
      <c r="DW87" s="43"/>
      <c r="DX87" s="43"/>
      <c r="DY87" s="43"/>
      <c r="DZ87" s="43"/>
      <c r="EA87" s="43"/>
      <c r="EB87" s="43"/>
      <c r="EC87" s="43"/>
      <c r="ED87" s="43"/>
      <c r="EE87" s="43"/>
      <c r="EF87" s="43"/>
      <c r="EG87" s="43"/>
      <c r="EH87" s="43"/>
      <c r="EI87" s="43"/>
      <c r="EJ87" s="43"/>
      <c r="EK87" s="43"/>
      <c r="EL87" s="43"/>
      <c r="EM87" s="43"/>
      <c r="EN87" s="43"/>
      <c r="EO87" s="43"/>
      <c r="EP87" s="43"/>
      <c r="EQ87" s="43"/>
      <c r="ER87" s="43"/>
      <c r="ES87" s="43"/>
      <c r="ET87" s="43"/>
      <c r="EU87" s="43"/>
      <c r="EV87" s="43"/>
      <c r="EW87" s="43"/>
      <c r="EX87" s="43"/>
      <c r="EY87" s="43"/>
      <c r="EZ87" s="43"/>
      <c r="FA87" s="43"/>
      <c r="FB87" s="43"/>
      <c r="FC87" s="43"/>
      <c r="FD87" s="43"/>
      <c r="FE87" s="43"/>
      <c r="FF87" s="43"/>
      <c r="FG87" s="43"/>
      <c r="FH87" s="43"/>
      <c r="FI87" s="43"/>
      <c r="FJ87" s="43"/>
      <c r="FK87" s="43"/>
      <c r="FL87" s="43"/>
      <c r="FM87" s="43"/>
      <c r="FN87" s="43"/>
      <c r="FO87" s="43"/>
      <c r="FP87" s="43"/>
      <c r="FQ87" s="43"/>
      <c r="FR87" s="43"/>
      <c r="FS87" s="43"/>
      <c r="FT87" s="43"/>
      <c r="FU87" s="43"/>
      <c r="FV87" s="43"/>
      <c r="FW87" s="43"/>
      <c r="FX87" s="43"/>
      <c r="FY87" s="43"/>
      <c r="FZ87" s="43"/>
      <c r="GA87" s="43"/>
      <c r="GB87" s="43"/>
      <c r="GC87" s="43"/>
      <c r="GD87" s="43"/>
      <c r="GE87" s="43"/>
      <c r="GF87" s="43"/>
      <c r="GG87" s="43"/>
      <c r="GH87" s="43"/>
      <c r="GI87" s="43"/>
      <c r="GJ87" s="43"/>
      <c r="GK87" s="43"/>
      <c r="GL87" s="43"/>
      <c r="GM87" s="43"/>
      <c r="GN87" s="43"/>
      <c r="GO87" s="43"/>
      <c r="GP87" s="43"/>
      <c r="GQ87" s="43"/>
      <c r="GR87" s="43"/>
      <c r="GS87" s="43"/>
      <c r="GT87" s="43"/>
      <c r="GU87" s="43"/>
      <c r="GV87" s="43"/>
      <c r="GW87" s="43"/>
      <c r="GX87" s="43"/>
      <c r="GY87" s="43"/>
      <c r="GZ87" s="43"/>
      <c r="HA87" s="43"/>
      <c r="HB87" s="43"/>
      <c r="HC87" s="43"/>
      <c r="HD87" s="43"/>
      <c r="HE87" s="43"/>
      <c r="HF87" s="43"/>
      <c r="HG87" s="43"/>
      <c r="HH87" s="43"/>
      <c r="HI87" s="43"/>
      <c r="HJ87" s="43"/>
      <c r="HK87" s="43"/>
      <c r="HL87" s="43"/>
      <c r="HM87" s="43"/>
      <c r="HN87" s="43"/>
      <c r="HO87" s="43"/>
      <c r="HP87" s="43"/>
      <c r="HQ87" s="43"/>
      <c r="HR87" s="43"/>
      <c r="HS87" s="43"/>
      <c r="HT87" s="43"/>
      <c r="HU87" s="43"/>
      <c r="HV87" s="43"/>
      <c r="HW87" s="43"/>
      <c r="HX87" s="43"/>
      <c r="HY87" s="43"/>
      <c r="HZ87" s="43"/>
      <c r="IA87" s="43"/>
      <c r="IB87" s="43"/>
      <c r="IC87" s="43"/>
      <c r="ID87" s="43"/>
      <c r="IE87" s="43"/>
      <c r="IF87" s="43"/>
      <c r="IG87" s="43"/>
      <c r="IH87" s="43"/>
      <c r="II87" s="43"/>
      <c r="IJ87" s="43"/>
      <c r="IK87" s="43"/>
      <c r="IL87" s="43"/>
      <c r="IM87" s="43"/>
      <c r="IN87" s="43"/>
      <c r="IO87" s="43"/>
      <c r="IP87" s="43"/>
      <c r="IQ87" s="43"/>
      <c r="IR87" s="43"/>
      <c r="IS87" s="43"/>
      <c r="IT87" s="43"/>
      <c r="IU87" s="43"/>
      <c r="IV87" s="43"/>
      <c r="IW87" s="43"/>
      <c r="IX87" s="43"/>
      <c r="IY87" s="43"/>
      <c r="IZ87" s="43"/>
      <c r="JA87" s="43"/>
      <c r="JB87" s="43"/>
      <c r="JC87" s="43"/>
      <c r="JD87" s="43"/>
      <c r="JE87" s="43"/>
      <c r="JF87" s="43"/>
      <c r="JG87" s="43"/>
      <c r="JH87" s="43"/>
      <c r="JI87" s="43"/>
      <c r="JJ87" s="43"/>
      <c r="JK87" s="43"/>
      <c r="JL87" s="43"/>
      <c r="JM87" s="43"/>
      <c r="JN87" s="43"/>
      <c r="JO87" s="43"/>
      <c r="JP87" s="43"/>
      <c r="JQ87" s="43"/>
      <c r="JR87" s="43"/>
      <c r="JS87" s="43"/>
      <c r="JT87" s="43"/>
      <c r="JU87" s="43"/>
      <c r="JV87" s="43"/>
      <c r="JW87" s="43"/>
      <c r="JX87" s="43"/>
      <c r="JY87" s="43"/>
      <c r="JZ87" s="43"/>
      <c r="KA87" s="43"/>
      <c r="KB87" s="43"/>
      <c r="KC87" s="43"/>
      <c r="KD87" s="43"/>
      <c r="KE87" s="43"/>
      <c r="KF87" s="43"/>
      <c r="KG87" s="43"/>
      <c r="KH87" s="43"/>
      <c r="KI87" s="43"/>
      <c r="KJ87" s="43"/>
      <c r="KK87" s="43"/>
      <c r="KL87" s="43"/>
      <c r="KM87" s="43"/>
      <c r="KN87" s="43"/>
      <c r="KO87" s="43"/>
      <c r="KP87" s="43"/>
      <c r="KQ87" s="43"/>
      <c r="KR87" s="43"/>
      <c r="KS87" s="43"/>
      <c r="KT87" s="43"/>
      <c r="KU87" s="43"/>
      <c r="KV87" s="43"/>
      <c r="KW87" s="43"/>
      <c r="KX87" s="43"/>
      <c r="KY87" s="43"/>
      <c r="KZ87" s="43"/>
      <c r="LA87" s="43"/>
      <c r="LB87" s="43"/>
      <c r="LC87" s="43"/>
      <c r="LD87" s="43"/>
      <c r="LE87" s="43"/>
      <c r="LF87" s="43"/>
      <c r="LG87" s="43"/>
      <c r="LH87" s="43"/>
      <c r="LI87" s="43"/>
      <c r="LJ87" s="43"/>
      <c r="LK87" s="43"/>
      <c r="LL87" s="43"/>
      <c r="LM87" s="43"/>
      <c r="LN87" s="43"/>
      <c r="LO87" s="43"/>
      <c r="LP87" s="43"/>
      <c r="LQ87" s="43"/>
      <c r="LR87" s="43"/>
      <c r="LS87" s="43"/>
      <c r="LT87" s="43"/>
      <c r="LU87" s="43"/>
      <c r="LV87" s="43"/>
      <c r="LW87" s="43"/>
      <c r="LX87" s="43"/>
      <c r="LY87" s="43"/>
      <c r="LZ87" s="43"/>
      <c r="MA87" s="43"/>
      <c r="MB87" s="43"/>
      <c r="MC87" s="43"/>
      <c r="MD87" s="43"/>
      <c r="ME87" s="43"/>
      <c r="MF87" s="43"/>
      <c r="MG87" s="43"/>
      <c r="MH87" s="43"/>
      <c r="MI87" s="43"/>
      <c r="MJ87" s="43"/>
      <c r="MK87" s="43"/>
      <c r="ML87" s="43"/>
      <c r="MM87" s="43"/>
      <c r="MN87" s="43"/>
      <c r="MO87" s="43"/>
      <c r="MP87" s="43"/>
      <c r="MQ87" s="43"/>
      <c r="MR87" s="43"/>
      <c r="MS87" s="43"/>
      <c r="MT87" s="43"/>
      <c r="MU87" s="43"/>
      <c r="MV87" s="43"/>
      <c r="MW87" s="43"/>
      <c r="MX87" s="43"/>
      <c r="MY87" s="43"/>
      <c r="MZ87" s="43"/>
      <c r="NA87" s="43"/>
      <c r="NB87" s="43"/>
      <c r="NC87" s="43"/>
      <c r="ND87" s="43"/>
      <c r="NE87" s="43"/>
      <c r="NF87" s="43"/>
      <c r="NG87" s="43"/>
      <c r="NH87" s="43"/>
      <c r="NI87" s="43"/>
      <c r="NJ87" s="43"/>
      <c r="NK87" s="43"/>
      <c r="NL87" s="43"/>
      <c r="NM87" s="43"/>
      <c r="NN87" s="43"/>
      <c r="NO87" s="43"/>
      <c r="NP87" s="43"/>
      <c r="NQ87" s="43"/>
      <c r="NR87" s="43"/>
      <c r="NS87" s="43"/>
      <c r="NT87" s="43"/>
      <c r="NU87" s="43"/>
      <c r="NV87" s="43"/>
      <c r="NW87" s="43"/>
      <c r="NX87" s="43"/>
      <c r="NY87" s="43"/>
      <c r="NZ87" s="43"/>
      <c r="OA87" s="43"/>
      <c r="OB87" s="43"/>
      <c r="OC87" s="43"/>
      <c r="OD87" s="43"/>
      <c r="OE87" s="43"/>
      <c r="OF87" s="43"/>
      <c r="OG87" s="43"/>
      <c r="OH87" s="43"/>
      <c r="OI87" s="43"/>
      <c r="OJ87" s="43"/>
      <c r="OK87" s="43"/>
      <c r="OL87" s="43"/>
      <c r="OM87" s="43"/>
      <c r="ON87" s="43"/>
      <c r="OO87" s="43"/>
      <c r="OP87" s="43"/>
      <c r="OQ87" s="43"/>
      <c r="OR87" s="43"/>
      <c r="OS87" s="43"/>
      <c r="OT87" s="43"/>
      <c r="OU87" s="43"/>
      <c r="OV87" s="43"/>
      <c r="OW87" s="43"/>
      <c r="OX87" s="43"/>
      <c r="OY87" s="43"/>
      <c r="OZ87" s="43"/>
      <c r="PA87" s="43"/>
      <c r="PB87" s="43"/>
      <c r="PC87" s="43"/>
      <c r="PD87" s="43"/>
      <c r="PE87" s="43"/>
      <c r="PF87" s="43"/>
      <c r="PG87" s="43"/>
      <c r="PH87" s="43"/>
      <c r="PI87" s="43"/>
      <c r="PJ87" s="43"/>
      <c r="PK87" s="43"/>
      <c r="PL87" s="43"/>
      <c r="PM87" s="43"/>
      <c r="PN87" s="43"/>
      <c r="PO87" s="43"/>
      <c r="PP87" s="43"/>
      <c r="PQ87" s="43"/>
      <c r="PR87" s="43"/>
      <c r="PS87" s="43"/>
      <c r="PT87" s="43"/>
      <c r="PU87" s="43"/>
      <c r="PV87" s="43"/>
      <c r="PW87" s="43"/>
      <c r="PX87" s="43"/>
      <c r="PY87" s="43"/>
      <c r="PZ87" s="43"/>
      <c r="QA87" s="43"/>
      <c r="QB87" s="43"/>
      <c r="QC87" s="43"/>
    </row>
    <row r="88" spans="1:445" x14ac:dyDescent="0.3">
      <c r="B88" s="45"/>
      <c r="C88" s="45"/>
      <c r="D88" s="45"/>
      <c r="E88" s="45"/>
      <c r="F88" s="45"/>
      <c r="G88" s="45"/>
      <c r="H88" s="55"/>
      <c r="I88" s="45"/>
      <c r="J88" s="48"/>
      <c r="K88" s="45"/>
      <c r="L88" s="45"/>
      <c r="M88" s="45"/>
      <c r="N88" s="45"/>
      <c r="O88" s="45"/>
      <c r="P88" s="45"/>
      <c r="Q88" s="45"/>
      <c r="R88" s="45"/>
      <c r="S88" s="45"/>
      <c r="T88" s="46" t="str">
        <f t="shared" si="7"/>
        <v/>
      </c>
      <c r="U88" s="46" t="str">
        <f t="shared" si="8"/>
        <v/>
      </c>
      <c r="V88" s="72" t="str">
        <f t="shared" si="9"/>
        <v/>
      </c>
      <c r="W88" s="48"/>
      <c r="X88" s="73" t="str">
        <f t="shared" si="10"/>
        <v/>
      </c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43"/>
      <c r="BN88" s="43"/>
      <c r="BO88" s="43"/>
      <c r="BP88" s="43"/>
      <c r="BQ88" s="43"/>
      <c r="BR88" s="43"/>
      <c r="BS88" s="43"/>
      <c r="BT88" s="43"/>
      <c r="BU88" s="43"/>
      <c r="BV88" s="43"/>
      <c r="BW88" s="43"/>
      <c r="BX88" s="43"/>
      <c r="BY88" s="43"/>
      <c r="BZ88" s="43"/>
      <c r="CA88" s="43"/>
      <c r="CB88" s="43"/>
      <c r="CC88" s="43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43"/>
      <c r="CY88" s="43"/>
      <c r="CZ88" s="43"/>
      <c r="DA88" s="43"/>
      <c r="DB88" s="43"/>
      <c r="DC88" s="43"/>
      <c r="DD88" s="43"/>
      <c r="DE88" s="43"/>
      <c r="DF88" s="43"/>
      <c r="DG88" s="43"/>
      <c r="DH88" s="43"/>
      <c r="DI88" s="43"/>
      <c r="DJ88" s="43"/>
      <c r="DK88" s="43"/>
      <c r="DL88" s="43"/>
      <c r="DM88" s="43"/>
      <c r="DN88" s="43"/>
      <c r="DO88" s="43"/>
      <c r="DP88" s="43"/>
      <c r="DQ88" s="43"/>
      <c r="DR88" s="43"/>
      <c r="DS88" s="43"/>
      <c r="DT88" s="43"/>
      <c r="DU88" s="43"/>
      <c r="DV88" s="43"/>
      <c r="DW88" s="43"/>
      <c r="DX88" s="43"/>
      <c r="DY88" s="43"/>
      <c r="DZ88" s="43"/>
      <c r="EA88" s="43"/>
      <c r="EB88" s="43"/>
      <c r="EC88" s="43"/>
      <c r="ED88" s="43"/>
      <c r="EE88" s="43"/>
      <c r="EF88" s="43"/>
      <c r="EG88" s="43"/>
      <c r="EH88" s="43"/>
      <c r="EI88" s="43"/>
      <c r="EJ88" s="43"/>
      <c r="EK88" s="43"/>
      <c r="EL88" s="43"/>
      <c r="EM88" s="43"/>
      <c r="EN88" s="43"/>
      <c r="EO88" s="43"/>
      <c r="EP88" s="43"/>
      <c r="EQ88" s="43"/>
      <c r="ER88" s="43"/>
      <c r="ES88" s="43"/>
      <c r="ET88" s="43"/>
      <c r="EU88" s="43"/>
      <c r="EV88" s="43"/>
      <c r="EW88" s="43"/>
      <c r="EX88" s="43"/>
      <c r="EY88" s="43"/>
      <c r="EZ88" s="43"/>
      <c r="FA88" s="43"/>
      <c r="FB88" s="43"/>
      <c r="FC88" s="43"/>
      <c r="FD88" s="43"/>
      <c r="FE88" s="43"/>
      <c r="FF88" s="43"/>
      <c r="FG88" s="43"/>
      <c r="FH88" s="43"/>
      <c r="FI88" s="43"/>
      <c r="FJ88" s="43"/>
      <c r="FK88" s="43"/>
      <c r="FL88" s="43"/>
      <c r="FM88" s="43"/>
      <c r="FN88" s="43"/>
      <c r="FO88" s="43"/>
      <c r="FP88" s="43"/>
      <c r="FQ88" s="43"/>
      <c r="FR88" s="43"/>
      <c r="FS88" s="43"/>
      <c r="FT88" s="43"/>
      <c r="FU88" s="43"/>
      <c r="FV88" s="43"/>
      <c r="FW88" s="43"/>
      <c r="FX88" s="43"/>
      <c r="FY88" s="43"/>
      <c r="FZ88" s="43"/>
      <c r="GA88" s="43"/>
      <c r="GB88" s="43"/>
      <c r="GC88" s="43"/>
      <c r="GD88" s="43"/>
      <c r="GE88" s="43"/>
      <c r="GF88" s="43"/>
      <c r="GG88" s="43"/>
      <c r="GH88" s="43"/>
      <c r="GI88" s="43"/>
      <c r="GJ88" s="43"/>
      <c r="GK88" s="43"/>
      <c r="GL88" s="43"/>
      <c r="GM88" s="43"/>
      <c r="GN88" s="43"/>
      <c r="GO88" s="43"/>
      <c r="GP88" s="43"/>
      <c r="GQ88" s="43"/>
      <c r="GR88" s="43"/>
      <c r="GS88" s="43"/>
      <c r="GT88" s="43"/>
      <c r="GU88" s="43"/>
      <c r="GV88" s="43"/>
      <c r="GW88" s="43"/>
      <c r="GX88" s="43"/>
      <c r="GY88" s="43"/>
      <c r="GZ88" s="43"/>
      <c r="HA88" s="43"/>
      <c r="HB88" s="43"/>
      <c r="HC88" s="43"/>
      <c r="HD88" s="43"/>
      <c r="HE88" s="43"/>
      <c r="HF88" s="43"/>
      <c r="HG88" s="43"/>
      <c r="HH88" s="43"/>
      <c r="HI88" s="43"/>
      <c r="HJ88" s="43"/>
      <c r="HK88" s="43"/>
      <c r="HL88" s="43"/>
      <c r="HM88" s="43"/>
      <c r="HN88" s="43"/>
      <c r="HO88" s="43"/>
      <c r="HP88" s="43"/>
      <c r="HQ88" s="43"/>
      <c r="HR88" s="43"/>
      <c r="HS88" s="43"/>
      <c r="HT88" s="43"/>
      <c r="HU88" s="43"/>
      <c r="HV88" s="43"/>
      <c r="HW88" s="43"/>
      <c r="HX88" s="43"/>
      <c r="HY88" s="43"/>
      <c r="HZ88" s="43"/>
      <c r="IA88" s="43"/>
      <c r="IB88" s="43"/>
      <c r="IC88" s="43"/>
      <c r="ID88" s="43"/>
      <c r="IE88" s="43"/>
      <c r="IF88" s="43"/>
      <c r="IG88" s="43"/>
      <c r="IH88" s="43"/>
      <c r="II88" s="43"/>
      <c r="IJ88" s="43"/>
      <c r="IK88" s="43"/>
      <c r="IL88" s="43"/>
      <c r="IM88" s="43"/>
      <c r="IN88" s="43"/>
      <c r="IO88" s="43"/>
      <c r="IP88" s="43"/>
      <c r="IQ88" s="43"/>
      <c r="IR88" s="43"/>
      <c r="IS88" s="43"/>
      <c r="IT88" s="43"/>
      <c r="IU88" s="43"/>
      <c r="IV88" s="43"/>
      <c r="IW88" s="43"/>
      <c r="IX88" s="43"/>
      <c r="IY88" s="43"/>
      <c r="IZ88" s="43"/>
      <c r="JA88" s="43"/>
      <c r="JB88" s="43"/>
      <c r="JC88" s="43"/>
      <c r="JD88" s="43"/>
      <c r="JE88" s="43"/>
      <c r="JF88" s="43"/>
      <c r="JG88" s="43"/>
      <c r="JH88" s="43"/>
      <c r="JI88" s="43"/>
      <c r="JJ88" s="43"/>
      <c r="JK88" s="43"/>
      <c r="JL88" s="43"/>
      <c r="JM88" s="43"/>
      <c r="JN88" s="43"/>
      <c r="JO88" s="43"/>
      <c r="JP88" s="43"/>
      <c r="JQ88" s="43"/>
      <c r="JR88" s="43"/>
      <c r="JS88" s="43"/>
      <c r="JT88" s="43"/>
      <c r="JU88" s="43"/>
      <c r="JV88" s="43"/>
      <c r="JW88" s="43"/>
      <c r="JX88" s="43"/>
      <c r="JY88" s="43"/>
      <c r="JZ88" s="43"/>
      <c r="KA88" s="43"/>
      <c r="KB88" s="43"/>
      <c r="KC88" s="43"/>
      <c r="KD88" s="43"/>
      <c r="KE88" s="43"/>
      <c r="KF88" s="43"/>
      <c r="KG88" s="43"/>
      <c r="KH88" s="43"/>
      <c r="KI88" s="43"/>
      <c r="KJ88" s="43"/>
      <c r="KK88" s="43"/>
      <c r="KL88" s="43"/>
      <c r="KM88" s="43"/>
      <c r="KN88" s="43"/>
      <c r="KO88" s="43"/>
      <c r="KP88" s="43"/>
      <c r="KQ88" s="43"/>
      <c r="KR88" s="43"/>
      <c r="KS88" s="43"/>
      <c r="KT88" s="43"/>
      <c r="KU88" s="43"/>
      <c r="KV88" s="43"/>
      <c r="KW88" s="43"/>
      <c r="KX88" s="43"/>
      <c r="KY88" s="43"/>
      <c r="KZ88" s="43"/>
      <c r="LA88" s="43"/>
      <c r="LB88" s="43"/>
      <c r="LC88" s="43"/>
      <c r="LD88" s="43"/>
      <c r="LE88" s="43"/>
      <c r="LF88" s="43"/>
      <c r="LG88" s="43"/>
      <c r="LH88" s="43"/>
      <c r="LI88" s="43"/>
      <c r="LJ88" s="43"/>
      <c r="LK88" s="43"/>
      <c r="LL88" s="43"/>
      <c r="LM88" s="43"/>
      <c r="LN88" s="43"/>
      <c r="LO88" s="43"/>
      <c r="LP88" s="43"/>
      <c r="LQ88" s="43"/>
      <c r="LR88" s="43"/>
      <c r="LS88" s="43"/>
      <c r="LT88" s="43"/>
      <c r="LU88" s="43"/>
      <c r="LV88" s="43"/>
      <c r="LW88" s="43"/>
      <c r="LX88" s="43"/>
      <c r="LY88" s="43"/>
      <c r="LZ88" s="43"/>
      <c r="MA88" s="43"/>
      <c r="MB88" s="43"/>
      <c r="MC88" s="43"/>
      <c r="MD88" s="43"/>
      <c r="ME88" s="43"/>
      <c r="MF88" s="43"/>
      <c r="MG88" s="43"/>
      <c r="MH88" s="43"/>
      <c r="MI88" s="43"/>
      <c r="MJ88" s="43"/>
      <c r="MK88" s="43"/>
      <c r="ML88" s="43"/>
      <c r="MM88" s="43"/>
      <c r="MN88" s="43"/>
      <c r="MO88" s="43"/>
      <c r="MP88" s="43"/>
      <c r="MQ88" s="43"/>
      <c r="MR88" s="43"/>
      <c r="MS88" s="43"/>
      <c r="MT88" s="43"/>
      <c r="MU88" s="43"/>
      <c r="MV88" s="43"/>
      <c r="MW88" s="43"/>
      <c r="MX88" s="43"/>
      <c r="MY88" s="43"/>
      <c r="MZ88" s="43"/>
      <c r="NA88" s="43"/>
      <c r="NB88" s="43"/>
      <c r="NC88" s="43"/>
      <c r="ND88" s="43"/>
      <c r="NE88" s="43"/>
      <c r="NF88" s="43"/>
      <c r="NG88" s="43"/>
      <c r="NH88" s="43"/>
      <c r="NI88" s="43"/>
      <c r="NJ88" s="43"/>
      <c r="NK88" s="43"/>
      <c r="NL88" s="43"/>
      <c r="NM88" s="43"/>
      <c r="NN88" s="43"/>
      <c r="NO88" s="43"/>
      <c r="NP88" s="43"/>
      <c r="NQ88" s="43"/>
      <c r="NR88" s="43"/>
      <c r="NS88" s="43"/>
      <c r="NT88" s="43"/>
      <c r="NU88" s="43"/>
      <c r="NV88" s="43"/>
      <c r="NW88" s="43"/>
      <c r="NX88" s="43"/>
      <c r="NY88" s="43"/>
      <c r="NZ88" s="43"/>
      <c r="OA88" s="43"/>
      <c r="OB88" s="43"/>
      <c r="OC88" s="43"/>
      <c r="OD88" s="43"/>
      <c r="OE88" s="43"/>
      <c r="OF88" s="43"/>
      <c r="OG88" s="43"/>
      <c r="OH88" s="43"/>
      <c r="OI88" s="43"/>
      <c r="OJ88" s="43"/>
      <c r="OK88" s="43"/>
      <c r="OL88" s="43"/>
      <c r="OM88" s="43"/>
      <c r="ON88" s="43"/>
      <c r="OO88" s="43"/>
      <c r="OP88" s="43"/>
      <c r="OQ88" s="43"/>
      <c r="OR88" s="43"/>
      <c r="OS88" s="43"/>
      <c r="OT88" s="43"/>
      <c r="OU88" s="43"/>
      <c r="OV88" s="43"/>
      <c r="OW88" s="43"/>
      <c r="OX88" s="43"/>
      <c r="OY88" s="43"/>
      <c r="OZ88" s="43"/>
      <c r="PA88" s="43"/>
      <c r="PB88" s="43"/>
      <c r="PC88" s="43"/>
      <c r="PD88" s="43"/>
      <c r="PE88" s="43"/>
      <c r="PF88" s="43"/>
      <c r="PG88" s="43"/>
      <c r="PH88" s="43"/>
      <c r="PI88" s="43"/>
      <c r="PJ88" s="43"/>
      <c r="PK88" s="43"/>
      <c r="PL88" s="43"/>
      <c r="PM88" s="43"/>
      <c r="PN88" s="43"/>
      <c r="PO88" s="43"/>
      <c r="PP88" s="43"/>
      <c r="PQ88" s="43"/>
      <c r="PR88" s="43"/>
      <c r="PS88" s="43"/>
      <c r="PT88" s="43"/>
      <c r="PU88" s="43"/>
      <c r="PV88" s="43"/>
      <c r="PW88" s="43"/>
      <c r="PX88" s="43"/>
      <c r="PY88" s="43"/>
      <c r="PZ88" s="43"/>
      <c r="QA88" s="43"/>
      <c r="QB88" s="43"/>
      <c r="QC88" s="43"/>
    </row>
    <row r="89" spans="1:445" x14ac:dyDescent="0.3">
      <c r="B89" s="45"/>
      <c r="C89" s="45"/>
      <c r="D89" s="45"/>
      <c r="E89" s="45"/>
      <c r="F89" s="45"/>
      <c r="G89" s="45"/>
      <c r="H89" s="45"/>
      <c r="I89" s="45"/>
      <c r="J89" s="51"/>
      <c r="K89" s="45"/>
      <c r="L89" s="45"/>
      <c r="M89" s="45"/>
      <c r="N89" s="45"/>
      <c r="O89" s="45"/>
      <c r="P89" s="45"/>
      <c r="Q89" s="45"/>
      <c r="R89" s="45"/>
      <c r="S89" s="45"/>
      <c r="T89" s="46" t="str">
        <f t="shared" si="7"/>
        <v/>
      </c>
      <c r="U89" s="46" t="str">
        <f t="shared" si="8"/>
        <v/>
      </c>
      <c r="V89" s="72" t="str">
        <f t="shared" si="9"/>
        <v/>
      </c>
      <c r="W89" s="48"/>
      <c r="X89" s="73" t="str">
        <f t="shared" si="10"/>
        <v/>
      </c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43"/>
      <c r="BN89" s="43"/>
      <c r="BO89" s="43"/>
      <c r="BP89" s="43"/>
      <c r="BQ89" s="43"/>
      <c r="BR89" s="43"/>
      <c r="BS89" s="43"/>
      <c r="BT89" s="43"/>
      <c r="BU89" s="43"/>
      <c r="BV89" s="43"/>
      <c r="BW89" s="43"/>
      <c r="BX89" s="43"/>
      <c r="BY89" s="43"/>
      <c r="BZ89" s="43"/>
      <c r="CA89" s="43"/>
      <c r="CB89" s="43"/>
      <c r="CC89" s="43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43"/>
      <c r="CY89" s="43"/>
      <c r="CZ89" s="43"/>
      <c r="DA89" s="43"/>
      <c r="DB89" s="43"/>
      <c r="DC89" s="43"/>
      <c r="DD89" s="43"/>
      <c r="DE89" s="43"/>
      <c r="DF89" s="43"/>
      <c r="DG89" s="43"/>
      <c r="DH89" s="43"/>
      <c r="DI89" s="43"/>
      <c r="DJ89" s="43"/>
      <c r="DK89" s="43"/>
      <c r="DL89" s="43"/>
      <c r="DM89" s="43"/>
      <c r="DN89" s="43"/>
      <c r="DO89" s="43"/>
      <c r="DP89" s="43"/>
      <c r="DQ89" s="43"/>
      <c r="DR89" s="43"/>
      <c r="DS89" s="43"/>
      <c r="DT89" s="43"/>
      <c r="DU89" s="43"/>
      <c r="DV89" s="43"/>
      <c r="DW89" s="43"/>
      <c r="DX89" s="43"/>
      <c r="DY89" s="43"/>
      <c r="DZ89" s="43"/>
      <c r="EA89" s="43"/>
      <c r="EB89" s="43"/>
      <c r="EC89" s="43"/>
      <c r="ED89" s="43"/>
      <c r="EE89" s="43"/>
      <c r="EF89" s="43"/>
      <c r="EG89" s="43"/>
      <c r="EH89" s="43"/>
      <c r="EI89" s="43"/>
      <c r="EJ89" s="43"/>
      <c r="EK89" s="43"/>
      <c r="EL89" s="43"/>
      <c r="EM89" s="43"/>
      <c r="EN89" s="43"/>
      <c r="EO89" s="43"/>
      <c r="EP89" s="43"/>
      <c r="EQ89" s="43"/>
      <c r="ER89" s="43"/>
      <c r="ES89" s="43"/>
      <c r="ET89" s="43"/>
      <c r="EU89" s="43"/>
      <c r="EV89" s="43"/>
      <c r="EW89" s="43"/>
      <c r="EX89" s="43"/>
      <c r="EY89" s="43"/>
      <c r="EZ89" s="43"/>
      <c r="FA89" s="43"/>
      <c r="FB89" s="43"/>
      <c r="FC89" s="43"/>
      <c r="FD89" s="43"/>
      <c r="FE89" s="43"/>
      <c r="FF89" s="43"/>
      <c r="FG89" s="43"/>
      <c r="FH89" s="43"/>
      <c r="FI89" s="43"/>
      <c r="FJ89" s="43"/>
      <c r="FK89" s="43"/>
      <c r="FL89" s="43"/>
      <c r="FM89" s="43"/>
      <c r="FN89" s="43"/>
      <c r="FO89" s="43"/>
      <c r="FP89" s="43"/>
      <c r="FQ89" s="43"/>
      <c r="FR89" s="43"/>
      <c r="FS89" s="43"/>
      <c r="FT89" s="43"/>
      <c r="FU89" s="43"/>
      <c r="FV89" s="43"/>
      <c r="FW89" s="43"/>
      <c r="FX89" s="43"/>
      <c r="FY89" s="43"/>
      <c r="FZ89" s="43"/>
      <c r="GA89" s="43"/>
      <c r="GB89" s="43"/>
      <c r="GC89" s="43"/>
      <c r="GD89" s="43"/>
      <c r="GE89" s="43"/>
      <c r="GF89" s="43"/>
      <c r="GG89" s="43"/>
      <c r="GH89" s="43"/>
      <c r="GI89" s="43"/>
      <c r="GJ89" s="43"/>
      <c r="GK89" s="43"/>
      <c r="GL89" s="43"/>
      <c r="GM89" s="43"/>
      <c r="GN89" s="43"/>
      <c r="GO89" s="43"/>
      <c r="GP89" s="43"/>
      <c r="GQ89" s="43"/>
      <c r="GR89" s="43"/>
      <c r="GS89" s="43"/>
      <c r="GT89" s="43"/>
      <c r="GU89" s="43"/>
      <c r="GV89" s="43"/>
      <c r="GW89" s="43"/>
      <c r="GX89" s="43"/>
      <c r="GY89" s="43"/>
      <c r="GZ89" s="43"/>
      <c r="HA89" s="43"/>
      <c r="HB89" s="43"/>
      <c r="HC89" s="43"/>
      <c r="HD89" s="43"/>
      <c r="HE89" s="43"/>
      <c r="HF89" s="43"/>
      <c r="HG89" s="43"/>
      <c r="HH89" s="43"/>
      <c r="HI89" s="43"/>
      <c r="HJ89" s="43"/>
      <c r="HK89" s="43"/>
      <c r="HL89" s="43"/>
      <c r="HM89" s="43"/>
      <c r="HN89" s="43"/>
      <c r="HO89" s="43"/>
      <c r="HP89" s="43"/>
      <c r="HQ89" s="43"/>
      <c r="HR89" s="43"/>
      <c r="HS89" s="43"/>
      <c r="HT89" s="43"/>
      <c r="HU89" s="43"/>
      <c r="HV89" s="43"/>
      <c r="HW89" s="43"/>
      <c r="HX89" s="43"/>
      <c r="HY89" s="43"/>
      <c r="HZ89" s="43"/>
      <c r="IA89" s="43"/>
      <c r="IB89" s="43"/>
      <c r="IC89" s="43"/>
      <c r="ID89" s="43"/>
      <c r="IE89" s="43"/>
      <c r="IF89" s="43"/>
      <c r="IG89" s="43"/>
      <c r="IH89" s="43"/>
      <c r="II89" s="43"/>
      <c r="IJ89" s="43"/>
      <c r="IK89" s="43"/>
      <c r="IL89" s="43"/>
      <c r="IM89" s="43"/>
      <c r="IN89" s="43"/>
      <c r="IO89" s="43"/>
      <c r="IP89" s="43"/>
      <c r="IQ89" s="43"/>
      <c r="IR89" s="43"/>
      <c r="IS89" s="43"/>
      <c r="IT89" s="43"/>
      <c r="IU89" s="43"/>
      <c r="IV89" s="43"/>
      <c r="IW89" s="43"/>
      <c r="IX89" s="43"/>
      <c r="IY89" s="43"/>
      <c r="IZ89" s="43"/>
      <c r="JA89" s="43"/>
      <c r="JB89" s="43"/>
      <c r="JC89" s="43"/>
      <c r="JD89" s="43"/>
      <c r="JE89" s="43"/>
      <c r="JF89" s="43"/>
      <c r="JG89" s="43"/>
      <c r="JH89" s="43"/>
      <c r="JI89" s="43"/>
      <c r="JJ89" s="43"/>
      <c r="JK89" s="43"/>
      <c r="JL89" s="43"/>
      <c r="JM89" s="43"/>
      <c r="JN89" s="43"/>
      <c r="JO89" s="43"/>
      <c r="JP89" s="43"/>
      <c r="JQ89" s="43"/>
      <c r="JR89" s="43"/>
      <c r="JS89" s="43"/>
      <c r="JT89" s="43"/>
      <c r="JU89" s="43"/>
      <c r="JV89" s="43"/>
      <c r="JW89" s="43"/>
      <c r="JX89" s="43"/>
      <c r="JY89" s="43"/>
      <c r="JZ89" s="43"/>
      <c r="KA89" s="43"/>
      <c r="KB89" s="43"/>
      <c r="KC89" s="43"/>
      <c r="KD89" s="43"/>
      <c r="KE89" s="43"/>
      <c r="KF89" s="43"/>
      <c r="KG89" s="43"/>
      <c r="KH89" s="43"/>
      <c r="KI89" s="43"/>
      <c r="KJ89" s="43"/>
      <c r="KK89" s="43"/>
      <c r="KL89" s="43"/>
      <c r="KM89" s="43"/>
      <c r="KN89" s="43"/>
      <c r="KO89" s="43"/>
      <c r="KP89" s="43"/>
      <c r="KQ89" s="43"/>
      <c r="KR89" s="43"/>
      <c r="KS89" s="43"/>
      <c r="KT89" s="43"/>
      <c r="KU89" s="43"/>
      <c r="KV89" s="43"/>
      <c r="KW89" s="43"/>
      <c r="KX89" s="43"/>
      <c r="KY89" s="43"/>
      <c r="KZ89" s="43"/>
      <c r="LA89" s="43"/>
      <c r="LB89" s="43"/>
      <c r="LC89" s="43"/>
      <c r="LD89" s="43"/>
      <c r="LE89" s="43"/>
      <c r="LF89" s="43"/>
      <c r="LG89" s="43"/>
      <c r="LH89" s="43"/>
      <c r="LI89" s="43"/>
      <c r="LJ89" s="43"/>
      <c r="LK89" s="43"/>
      <c r="LL89" s="43"/>
      <c r="LM89" s="43"/>
      <c r="LN89" s="43"/>
      <c r="LO89" s="43"/>
      <c r="LP89" s="43"/>
      <c r="LQ89" s="43"/>
      <c r="LR89" s="43"/>
      <c r="LS89" s="43"/>
      <c r="LT89" s="43"/>
      <c r="LU89" s="43"/>
      <c r="LV89" s="43"/>
      <c r="LW89" s="43"/>
      <c r="LX89" s="43"/>
      <c r="LY89" s="43"/>
      <c r="LZ89" s="43"/>
      <c r="MA89" s="43"/>
      <c r="MB89" s="43"/>
      <c r="MC89" s="43"/>
      <c r="MD89" s="43"/>
      <c r="ME89" s="43"/>
      <c r="MF89" s="43"/>
      <c r="MG89" s="43"/>
      <c r="MH89" s="43"/>
      <c r="MI89" s="43"/>
      <c r="MJ89" s="43"/>
      <c r="MK89" s="43"/>
      <c r="ML89" s="43"/>
      <c r="MM89" s="43"/>
      <c r="MN89" s="43"/>
      <c r="MO89" s="43"/>
      <c r="MP89" s="43"/>
      <c r="MQ89" s="43"/>
      <c r="MR89" s="43"/>
      <c r="MS89" s="43"/>
      <c r="MT89" s="43"/>
      <c r="MU89" s="43"/>
      <c r="MV89" s="43"/>
      <c r="MW89" s="43"/>
      <c r="MX89" s="43"/>
      <c r="MY89" s="43"/>
      <c r="MZ89" s="43"/>
      <c r="NA89" s="43"/>
      <c r="NB89" s="43"/>
      <c r="NC89" s="43"/>
      <c r="ND89" s="43"/>
      <c r="NE89" s="43"/>
      <c r="NF89" s="43"/>
      <c r="NG89" s="43"/>
      <c r="NH89" s="43"/>
      <c r="NI89" s="43"/>
      <c r="NJ89" s="43"/>
      <c r="NK89" s="43"/>
      <c r="NL89" s="43"/>
      <c r="NM89" s="43"/>
      <c r="NN89" s="43"/>
      <c r="NO89" s="43"/>
      <c r="NP89" s="43"/>
      <c r="NQ89" s="43"/>
      <c r="NR89" s="43"/>
      <c r="NS89" s="43"/>
      <c r="NT89" s="43"/>
      <c r="NU89" s="43"/>
      <c r="NV89" s="43"/>
      <c r="NW89" s="43"/>
      <c r="NX89" s="43"/>
      <c r="NY89" s="43"/>
      <c r="NZ89" s="43"/>
      <c r="OA89" s="43"/>
      <c r="OB89" s="43"/>
      <c r="OC89" s="43"/>
      <c r="OD89" s="43"/>
      <c r="OE89" s="43"/>
      <c r="OF89" s="43"/>
      <c r="OG89" s="43"/>
      <c r="OH89" s="43"/>
      <c r="OI89" s="43"/>
      <c r="OJ89" s="43"/>
      <c r="OK89" s="43"/>
      <c r="OL89" s="43"/>
      <c r="OM89" s="43"/>
      <c r="ON89" s="43"/>
      <c r="OO89" s="43"/>
      <c r="OP89" s="43"/>
      <c r="OQ89" s="43"/>
      <c r="OR89" s="43"/>
      <c r="OS89" s="43"/>
      <c r="OT89" s="43"/>
      <c r="OU89" s="43"/>
      <c r="OV89" s="43"/>
      <c r="OW89" s="43"/>
      <c r="OX89" s="43"/>
      <c r="OY89" s="43"/>
      <c r="OZ89" s="43"/>
      <c r="PA89" s="43"/>
      <c r="PB89" s="43"/>
      <c r="PC89" s="43"/>
      <c r="PD89" s="43"/>
      <c r="PE89" s="43"/>
      <c r="PF89" s="43"/>
      <c r="PG89" s="43"/>
      <c r="PH89" s="43"/>
      <c r="PI89" s="43"/>
      <c r="PJ89" s="43"/>
      <c r="PK89" s="43"/>
      <c r="PL89" s="43"/>
      <c r="PM89" s="43"/>
      <c r="PN89" s="43"/>
      <c r="PO89" s="43"/>
      <c r="PP89" s="43"/>
      <c r="PQ89" s="43"/>
      <c r="PR89" s="43"/>
      <c r="PS89" s="43"/>
      <c r="PT89" s="43"/>
      <c r="PU89" s="43"/>
      <c r="PV89" s="43"/>
      <c r="PW89" s="43"/>
      <c r="PX89" s="43"/>
      <c r="PY89" s="43"/>
      <c r="PZ89" s="43"/>
      <c r="QA89" s="43"/>
      <c r="QB89" s="43"/>
      <c r="QC89" s="43"/>
    </row>
    <row r="90" spans="1:445" x14ac:dyDescent="0.3">
      <c r="B90" s="45"/>
      <c r="C90" s="45"/>
      <c r="D90" s="45"/>
      <c r="E90" s="45"/>
      <c r="F90" s="45"/>
      <c r="G90" s="45"/>
      <c r="H90" s="45"/>
      <c r="I90" s="45"/>
      <c r="K90" s="45"/>
      <c r="L90" s="45"/>
      <c r="M90" s="45"/>
      <c r="N90" s="45"/>
      <c r="O90" s="45"/>
      <c r="P90" s="45"/>
      <c r="Q90" s="45"/>
      <c r="R90" s="45"/>
      <c r="S90" s="45"/>
      <c r="T90" s="46" t="str">
        <f t="shared" si="7"/>
        <v/>
      </c>
      <c r="U90" s="46" t="str">
        <f t="shared" si="8"/>
        <v/>
      </c>
      <c r="V90" s="72" t="str">
        <f t="shared" si="9"/>
        <v/>
      </c>
      <c r="W90" s="48"/>
      <c r="X90" s="73" t="str">
        <f t="shared" si="10"/>
        <v/>
      </c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43"/>
      <c r="BN90" s="43"/>
      <c r="BO90" s="43"/>
      <c r="BP90" s="43"/>
      <c r="BQ90" s="43"/>
      <c r="BR90" s="43"/>
      <c r="BS90" s="43"/>
      <c r="BT90" s="43"/>
      <c r="BU90" s="43"/>
      <c r="BV90" s="43"/>
      <c r="BW90" s="43"/>
      <c r="BX90" s="43"/>
      <c r="BY90" s="43"/>
      <c r="BZ90" s="43"/>
      <c r="CA90" s="43"/>
      <c r="CB90" s="43"/>
      <c r="CC90" s="43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43"/>
      <c r="CY90" s="43"/>
      <c r="CZ90" s="43"/>
      <c r="DA90" s="43"/>
      <c r="DB90" s="43"/>
      <c r="DC90" s="43"/>
      <c r="DD90" s="43"/>
      <c r="DE90" s="43"/>
      <c r="DF90" s="43"/>
      <c r="DG90" s="43"/>
      <c r="DH90" s="43"/>
      <c r="DI90" s="43"/>
      <c r="DJ90" s="43"/>
      <c r="DK90" s="43"/>
      <c r="DL90" s="43"/>
      <c r="DM90" s="43"/>
      <c r="DN90" s="43"/>
      <c r="DO90" s="43"/>
      <c r="DP90" s="43"/>
      <c r="DQ90" s="43"/>
      <c r="DR90" s="43"/>
      <c r="DS90" s="43"/>
      <c r="DT90" s="43"/>
      <c r="DU90" s="43"/>
      <c r="DV90" s="43"/>
      <c r="DW90" s="43"/>
      <c r="DX90" s="43"/>
      <c r="DY90" s="43"/>
      <c r="DZ90" s="43"/>
      <c r="EA90" s="43"/>
      <c r="EB90" s="43"/>
      <c r="EC90" s="43"/>
      <c r="ED90" s="43"/>
      <c r="EE90" s="43"/>
      <c r="EF90" s="43"/>
      <c r="EG90" s="43"/>
      <c r="EH90" s="43"/>
      <c r="EI90" s="43"/>
      <c r="EJ90" s="43"/>
      <c r="EK90" s="43"/>
      <c r="EL90" s="43"/>
      <c r="EM90" s="43"/>
      <c r="EN90" s="43"/>
      <c r="EO90" s="43"/>
      <c r="EP90" s="43"/>
      <c r="EQ90" s="43"/>
      <c r="ER90" s="43"/>
      <c r="ES90" s="43"/>
      <c r="ET90" s="43"/>
      <c r="EU90" s="43"/>
      <c r="EV90" s="43"/>
      <c r="EW90" s="43"/>
      <c r="EX90" s="43"/>
      <c r="EY90" s="43"/>
      <c r="EZ90" s="43"/>
      <c r="FA90" s="43"/>
      <c r="FB90" s="43"/>
      <c r="FC90" s="43"/>
      <c r="FD90" s="43"/>
      <c r="FE90" s="43"/>
      <c r="FF90" s="43"/>
      <c r="FG90" s="43"/>
      <c r="FH90" s="43"/>
      <c r="FI90" s="43"/>
      <c r="FJ90" s="43"/>
      <c r="FK90" s="43"/>
      <c r="FL90" s="43"/>
      <c r="FM90" s="43"/>
      <c r="FN90" s="43"/>
      <c r="FO90" s="43"/>
      <c r="FP90" s="43"/>
      <c r="FQ90" s="43"/>
      <c r="FR90" s="43"/>
      <c r="FS90" s="43"/>
      <c r="FT90" s="43"/>
      <c r="FU90" s="43"/>
      <c r="FV90" s="43"/>
      <c r="FW90" s="43"/>
      <c r="FX90" s="43"/>
      <c r="FY90" s="43"/>
      <c r="FZ90" s="43"/>
      <c r="GA90" s="43"/>
      <c r="GB90" s="43"/>
      <c r="GC90" s="43"/>
      <c r="GD90" s="43"/>
      <c r="GE90" s="43"/>
      <c r="GF90" s="43"/>
      <c r="GG90" s="43"/>
      <c r="GH90" s="43"/>
      <c r="GI90" s="43"/>
      <c r="GJ90" s="43"/>
      <c r="GK90" s="43"/>
      <c r="GL90" s="43"/>
      <c r="GM90" s="43"/>
      <c r="GN90" s="43"/>
      <c r="GO90" s="43"/>
      <c r="GP90" s="43"/>
      <c r="GQ90" s="43"/>
      <c r="GR90" s="43"/>
      <c r="GS90" s="43"/>
      <c r="GT90" s="43"/>
      <c r="GU90" s="43"/>
      <c r="GV90" s="43"/>
      <c r="GW90" s="43"/>
      <c r="GX90" s="43"/>
      <c r="GY90" s="43"/>
      <c r="GZ90" s="43"/>
      <c r="HA90" s="43"/>
      <c r="HB90" s="43"/>
      <c r="HC90" s="43"/>
      <c r="HD90" s="43"/>
      <c r="HE90" s="43"/>
      <c r="HF90" s="43"/>
      <c r="HG90" s="43"/>
      <c r="HH90" s="43"/>
      <c r="HI90" s="43"/>
      <c r="HJ90" s="43"/>
      <c r="HK90" s="43"/>
      <c r="HL90" s="43"/>
      <c r="HM90" s="43"/>
      <c r="HN90" s="43"/>
      <c r="HO90" s="43"/>
      <c r="HP90" s="43"/>
      <c r="HQ90" s="43"/>
      <c r="HR90" s="43"/>
      <c r="HS90" s="43"/>
      <c r="HT90" s="43"/>
      <c r="HU90" s="43"/>
      <c r="HV90" s="43"/>
      <c r="HW90" s="43"/>
      <c r="HX90" s="43"/>
      <c r="HY90" s="43"/>
      <c r="HZ90" s="43"/>
      <c r="IA90" s="43"/>
      <c r="IB90" s="43"/>
      <c r="IC90" s="43"/>
      <c r="ID90" s="43"/>
      <c r="IE90" s="43"/>
      <c r="IF90" s="43"/>
      <c r="IG90" s="43"/>
      <c r="IH90" s="43"/>
      <c r="II90" s="43"/>
      <c r="IJ90" s="43"/>
      <c r="IK90" s="43"/>
      <c r="IL90" s="43"/>
      <c r="IM90" s="43"/>
      <c r="IN90" s="43"/>
      <c r="IO90" s="43"/>
      <c r="IP90" s="43"/>
      <c r="IQ90" s="43"/>
      <c r="IR90" s="43"/>
      <c r="IS90" s="43"/>
      <c r="IT90" s="43"/>
      <c r="IU90" s="43"/>
      <c r="IV90" s="43"/>
      <c r="IW90" s="43"/>
      <c r="IX90" s="43"/>
      <c r="IY90" s="43"/>
      <c r="IZ90" s="43"/>
      <c r="JA90" s="43"/>
      <c r="JB90" s="43"/>
      <c r="JC90" s="43"/>
      <c r="JD90" s="43"/>
      <c r="JE90" s="43"/>
      <c r="JF90" s="43"/>
      <c r="JG90" s="43"/>
      <c r="JH90" s="43"/>
      <c r="JI90" s="43"/>
      <c r="JJ90" s="43"/>
      <c r="JK90" s="43"/>
      <c r="JL90" s="43"/>
      <c r="JM90" s="43"/>
      <c r="JN90" s="43"/>
      <c r="JO90" s="43"/>
      <c r="JP90" s="43"/>
      <c r="JQ90" s="43"/>
      <c r="JR90" s="43"/>
      <c r="JS90" s="43"/>
      <c r="JT90" s="43"/>
      <c r="JU90" s="43"/>
      <c r="JV90" s="43"/>
      <c r="JW90" s="43"/>
      <c r="JX90" s="43"/>
      <c r="JY90" s="43"/>
      <c r="JZ90" s="43"/>
      <c r="KA90" s="43"/>
      <c r="KB90" s="43"/>
      <c r="KC90" s="43"/>
      <c r="KD90" s="43"/>
      <c r="KE90" s="43"/>
      <c r="KF90" s="43"/>
      <c r="KG90" s="43"/>
      <c r="KH90" s="43"/>
      <c r="KI90" s="43"/>
      <c r="KJ90" s="43"/>
      <c r="KK90" s="43"/>
      <c r="KL90" s="43"/>
      <c r="KM90" s="43"/>
      <c r="KN90" s="43"/>
      <c r="KO90" s="43"/>
      <c r="KP90" s="43"/>
      <c r="KQ90" s="43"/>
      <c r="KR90" s="43"/>
      <c r="KS90" s="43"/>
      <c r="KT90" s="43"/>
      <c r="KU90" s="43"/>
      <c r="KV90" s="43"/>
      <c r="KW90" s="43"/>
      <c r="KX90" s="43"/>
      <c r="KY90" s="43"/>
      <c r="KZ90" s="43"/>
      <c r="LA90" s="43"/>
      <c r="LB90" s="43"/>
      <c r="LC90" s="43"/>
      <c r="LD90" s="43"/>
      <c r="LE90" s="43"/>
      <c r="LF90" s="43"/>
      <c r="LG90" s="43"/>
      <c r="LH90" s="43"/>
      <c r="LI90" s="43"/>
      <c r="LJ90" s="43"/>
      <c r="LK90" s="43"/>
      <c r="LL90" s="43"/>
      <c r="LM90" s="43"/>
      <c r="LN90" s="43"/>
      <c r="LO90" s="43"/>
      <c r="LP90" s="43"/>
      <c r="LQ90" s="43"/>
      <c r="LR90" s="43"/>
      <c r="LS90" s="43"/>
      <c r="LT90" s="43"/>
      <c r="LU90" s="43"/>
      <c r="LV90" s="43"/>
      <c r="LW90" s="43"/>
      <c r="LX90" s="43"/>
      <c r="LY90" s="43"/>
      <c r="LZ90" s="43"/>
      <c r="MA90" s="43"/>
      <c r="MB90" s="43"/>
      <c r="MC90" s="43"/>
      <c r="MD90" s="43"/>
      <c r="ME90" s="43"/>
      <c r="MF90" s="43"/>
      <c r="MG90" s="43"/>
      <c r="MH90" s="43"/>
      <c r="MI90" s="43"/>
      <c r="MJ90" s="43"/>
      <c r="MK90" s="43"/>
      <c r="ML90" s="43"/>
      <c r="MM90" s="43"/>
      <c r="MN90" s="43"/>
      <c r="MO90" s="43"/>
      <c r="MP90" s="43"/>
      <c r="MQ90" s="43"/>
      <c r="MR90" s="43"/>
      <c r="MS90" s="43"/>
      <c r="MT90" s="43"/>
      <c r="MU90" s="43"/>
      <c r="MV90" s="43"/>
      <c r="MW90" s="43"/>
      <c r="MX90" s="43"/>
      <c r="MY90" s="43"/>
      <c r="MZ90" s="43"/>
      <c r="NA90" s="43"/>
      <c r="NB90" s="43"/>
      <c r="NC90" s="43"/>
      <c r="ND90" s="43"/>
      <c r="NE90" s="43"/>
      <c r="NF90" s="43"/>
      <c r="NG90" s="43"/>
      <c r="NH90" s="43"/>
      <c r="NI90" s="43"/>
      <c r="NJ90" s="43"/>
      <c r="NK90" s="43"/>
      <c r="NL90" s="43"/>
      <c r="NM90" s="43"/>
      <c r="NN90" s="43"/>
      <c r="NO90" s="43"/>
      <c r="NP90" s="43"/>
      <c r="NQ90" s="43"/>
      <c r="NR90" s="43"/>
      <c r="NS90" s="43"/>
      <c r="NT90" s="43"/>
      <c r="NU90" s="43"/>
      <c r="NV90" s="43"/>
      <c r="NW90" s="43"/>
      <c r="NX90" s="43"/>
      <c r="NY90" s="43"/>
      <c r="NZ90" s="43"/>
      <c r="OA90" s="43"/>
      <c r="OB90" s="43"/>
      <c r="OC90" s="43"/>
      <c r="OD90" s="43"/>
      <c r="OE90" s="43"/>
      <c r="OF90" s="43"/>
      <c r="OG90" s="43"/>
      <c r="OH90" s="43"/>
      <c r="OI90" s="43"/>
      <c r="OJ90" s="43"/>
      <c r="OK90" s="43"/>
      <c r="OL90" s="43"/>
      <c r="OM90" s="43"/>
      <c r="ON90" s="43"/>
      <c r="OO90" s="43"/>
      <c r="OP90" s="43"/>
      <c r="OQ90" s="43"/>
      <c r="OR90" s="43"/>
      <c r="OS90" s="43"/>
      <c r="OT90" s="43"/>
      <c r="OU90" s="43"/>
      <c r="OV90" s="43"/>
      <c r="OW90" s="43"/>
      <c r="OX90" s="43"/>
      <c r="OY90" s="43"/>
      <c r="OZ90" s="43"/>
      <c r="PA90" s="43"/>
      <c r="PB90" s="43"/>
      <c r="PC90" s="43"/>
      <c r="PD90" s="43"/>
      <c r="PE90" s="43"/>
      <c r="PF90" s="43"/>
      <c r="PG90" s="43"/>
      <c r="PH90" s="43"/>
      <c r="PI90" s="43"/>
      <c r="PJ90" s="43"/>
      <c r="PK90" s="43"/>
      <c r="PL90" s="43"/>
      <c r="PM90" s="43"/>
      <c r="PN90" s="43"/>
      <c r="PO90" s="43"/>
      <c r="PP90" s="43"/>
      <c r="PQ90" s="43"/>
      <c r="PR90" s="43"/>
      <c r="PS90" s="43"/>
      <c r="PT90" s="43"/>
      <c r="PU90" s="43"/>
      <c r="PV90" s="43"/>
      <c r="PW90" s="43"/>
      <c r="PX90" s="43"/>
      <c r="PY90" s="43"/>
      <c r="PZ90" s="43"/>
      <c r="QA90" s="43"/>
      <c r="QB90" s="43"/>
      <c r="QC90" s="43"/>
    </row>
    <row r="91" spans="1:445" s="56" customFormat="1" x14ac:dyDescent="0.3">
      <c r="A91" s="47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6" t="str">
        <f t="shared" si="7"/>
        <v/>
      </c>
      <c r="U91" s="46" t="str">
        <f t="shared" si="8"/>
        <v/>
      </c>
      <c r="V91" s="72" t="str">
        <f t="shared" si="9"/>
        <v/>
      </c>
      <c r="W91" s="48"/>
      <c r="X91" s="73" t="str">
        <f t="shared" si="10"/>
        <v/>
      </c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43"/>
      <c r="BN91" s="43"/>
      <c r="BO91" s="43"/>
      <c r="BP91" s="43"/>
      <c r="BQ91" s="43"/>
      <c r="BR91" s="43"/>
      <c r="BS91" s="43"/>
      <c r="BT91" s="43"/>
      <c r="BU91" s="43"/>
      <c r="BV91" s="43"/>
      <c r="BW91" s="43"/>
      <c r="BX91" s="43"/>
      <c r="BY91" s="43"/>
      <c r="BZ91" s="43"/>
      <c r="CA91" s="43"/>
      <c r="CB91" s="43"/>
      <c r="CC91" s="43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43"/>
      <c r="CY91" s="43"/>
      <c r="CZ91" s="43"/>
      <c r="DA91" s="43"/>
      <c r="DB91" s="43"/>
      <c r="DC91" s="43"/>
      <c r="DD91" s="43"/>
      <c r="DE91" s="43"/>
      <c r="DF91" s="43"/>
      <c r="DG91" s="43"/>
      <c r="DH91" s="43"/>
      <c r="DI91" s="43"/>
      <c r="DJ91" s="43"/>
      <c r="DK91" s="43"/>
      <c r="DL91" s="43"/>
      <c r="DM91" s="43"/>
      <c r="DN91" s="43"/>
      <c r="DO91" s="43"/>
      <c r="DP91" s="43"/>
      <c r="DQ91" s="43"/>
      <c r="DR91" s="43"/>
      <c r="DS91" s="43"/>
      <c r="DT91" s="43"/>
      <c r="DU91" s="43"/>
      <c r="DV91" s="43"/>
      <c r="DW91" s="43"/>
      <c r="DX91" s="43"/>
      <c r="DY91" s="43"/>
      <c r="DZ91" s="43"/>
      <c r="EA91" s="43"/>
      <c r="EB91" s="43"/>
      <c r="EC91" s="43"/>
      <c r="ED91" s="43"/>
      <c r="EE91" s="43"/>
      <c r="EF91" s="43"/>
      <c r="EG91" s="43"/>
      <c r="EH91" s="43"/>
      <c r="EI91" s="43"/>
      <c r="EJ91" s="43"/>
      <c r="EK91" s="43"/>
      <c r="EL91" s="43"/>
      <c r="EM91" s="43"/>
      <c r="EN91" s="43"/>
      <c r="EO91" s="43"/>
      <c r="EP91" s="43"/>
      <c r="EQ91" s="43"/>
      <c r="ER91" s="43"/>
      <c r="ES91" s="43"/>
      <c r="ET91" s="43"/>
      <c r="EU91" s="43"/>
      <c r="EV91" s="43"/>
      <c r="EW91" s="43"/>
      <c r="EX91" s="43"/>
      <c r="EY91" s="43"/>
      <c r="EZ91" s="43"/>
      <c r="FA91" s="43"/>
      <c r="FB91" s="43"/>
      <c r="FC91" s="43"/>
      <c r="FD91" s="43"/>
      <c r="FE91" s="43"/>
      <c r="FF91" s="43"/>
      <c r="FG91" s="43"/>
      <c r="FH91" s="43"/>
      <c r="FI91" s="43"/>
      <c r="FJ91" s="43"/>
      <c r="FK91" s="43"/>
      <c r="FL91" s="43"/>
      <c r="FM91" s="43"/>
      <c r="FN91" s="43"/>
      <c r="FO91" s="43"/>
      <c r="FP91" s="43"/>
      <c r="FQ91" s="43"/>
      <c r="FR91" s="43"/>
      <c r="FS91" s="43"/>
      <c r="FT91" s="43"/>
      <c r="FU91" s="43"/>
      <c r="FV91" s="43"/>
      <c r="FW91" s="43"/>
      <c r="FX91" s="43"/>
      <c r="FY91" s="43"/>
      <c r="FZ91" s="43"/>
      <c r="GA91" s="43"/>
      <c r="GB91" s="43"/>
      <c r="GC91" s="43"/>
      <c r="GD91" s="43"/>
      <c r="GE91" s="43"/>
      <c r="GF91" s="43"/>
      <c r="GG91" s="43"/>
      <c r="GH91" s="43"/>
      <c r="GI91" s="43"/>
      <c r="GJ91" s="43"/>
      <c r="GK91" s="43"/>
      <c r="GL91" s="43"/>
      <c r="GM91" s="43"/>
      <c r="GN91" s="43"/>
      <c r="GO91" s="43"/>
      <c r="GP91" s="43"/>
      <c r="GQ91" s="43"/>
      <c r="GR91" s="43"/>
      <c r="GS91" s="43"/>
      <c r="GT91" s="43"/>
      <c r="GU91" s="43"/>
      <c r="GV91" s="43"/>
      <c r="GW91" s="43"/>
      <c r="GX91" s="43"/>
      <c r="GY91" s="43"/>
      <c r="GZ91" s="43"/>
      <c r="HA91" s="43"/>
      <c r="HB91" s="43"/>
      <c r="HC91" s="43"/>
      <c r="HD91" s="43"/>
      <c r="HE91" s="43"/>
      <c r="HF91" s="43"/>
      <c r="HG91" s="43"/>
      <c r="HH91" s="43"/>
      <c r="HI91" s="43"/>
      <c r="HJ91" s="43"/>
      <c r="HK91" s="43"/>
      <c r="HL91" s="43"/>
      <c r="HM91" s="43"/>
      <c r="HN91" s="43"/>
      <c r="HO91" s="43"/>
      <c r="HP91" s="43"/>
      <c r="HQ91" s="43"/>
      <c r="HR91" s="43"/>
      <c r="HS91" s="43"/>
      <c r="HT91" s="43"/>
      <c r="HU91" s="43"/>
      <c r="HV91" s="43"/>
      <c r="HW91" s="43"/>
      <c r="HX91" s="43"/>
      <c r="HY91" s="43"/>
      <c r="HZ91" s="43"/>
      <c r="IA91" s="43"/>
      <c r="IB91" s="43"/>
      <c r="IC91" s="43"/>
      <c r="ID91" s="43"/>
      <c r="IE91" s="43"/>
      <c r="IF91" s="43"/>
      <c r="IG91" s="43"/>
      <c r="IH91" s="43"/>
      <c r="II91" s="43"/>
      <c r="IJ91" s="43"/>
      <c r="IK91" s="43"/>
      <c r="IL91" s="43"/>
      <c r="IM91" s="43"/>
      <c r="IN91" s="43"/>
      <c r="IO91" s="43"/>
      <c r="IP91" s="43"/>
      <c r="IQ91" s="43"/>
      <c r="IR91" s="43"/>
      <c r="IS91" s="43"/>
      <c r="IT91" s="43"/>
      <c r="IU91" s="43"/>
      <c r="IV91" s="43"/>
      <c r="IW91" s="43"/>
      <c r="IX91" s="43"/>
      <c r="IY91" s="43"/>
      <c r="IZ91" s="43"/>
      <c r="JA91" s="43"/>
      <c r="JB91" s="43"/>
      <c r="JC91" s="43"/>
      <c r="JD91" s="43"/>
      <c r="JE91" s="43"/>
      <c r="JF91" s="43"/>
      <c r="JG91" s="43"/>
      <c r="JH91" s="43"/>
      <c r="JI91" s="43"/>
      <c r="JJ91" s="43"/>
      <c r="JK91" s="43"/>
      <c r="JL91" s="43"/>
      <c r="JM91" s="43"/>
      <c r="JN91" s="43"/>
      <c r="JO91" s="43"/>
      <c r="JP91" s="43"/>
      <c r="JQ91" s="43"/>
      <c r="JR91" s="43"/>
      <c r="JS91" s="43"/>
      <c r="JT91" s="43"/>
      <c r="JU91" s="43"/>
      <c r="JV91" s="43"/>
      <c r="JW91" s="43"/>
      <c r="JX91" s="43"/>
      <c r="JY91" s="43"/>
      <c r="JZ91" s="43"/>
      <c r="KA91" s="43"/>
      <c r="KB91" s="43"/>
      <c r="KC91" s="43"/>
      <c r="KD91" s="43"/>
      <c r="KE91" s="43"/>
      <c r="KF91" s="43"/>
      <c r="KG91" s="43"/>
      <c r="KH91" s="43"/>
      <c r="KI91" s="43"/>
      <c r="KJ91" s="43"/>
      <c r="KK91" s="43"/>
      <c r="KL91" s="43"/>
      <c r="KM91" s="43"/>
      <c r="KN91" s="43"/>
      <c r="KO91" s="43"/>
      <c r="KP91" s="43"/>
      <c r="KQ91" s="43"/>
      <c r="KR91" s="43"/>
      <c r="KS91" s="43"/>
      <c r="KT91" s="43"/>
      <c r="KU91" s="43"/>
      <c r="KV91" s="43"/>
      <c r="KW91" s="43"/>
      <c r="KX91" s="43"/>
      <c r="KY91" s="43"/>
      <c r="KZ91" s="43"/>
      <c r="LA91" s="43"/>
      <c r="LB91" s="43"/>
      <c r="LC91" s="43"/>
      <c r="LD91" s="43"/>
      <c r="LE91" s="43"/>
      <c r="LF91" s="43"/>
      <c r="LG91" s="43"/>
      <c r="LH91" s="43"/>
      <c r="LI91" s="43"/>
      <c r="LJ91" s="43"/>
      <c r="LK91" s="43"/>
      <c r="LL91" s="43"/>
      <c r="LM91" s="43"/>
      <c r="LN91" s="43"/>
      <c r="LO91" s="43"/>
      <c r="LP91" s="43"/>
      <c r="LQ91" s="43"/>
      <c r="LR91" s="43"/>
      <c r="LS91" s="43"/>
      <c r="LT91" s="43"/>
      <c r="LU91" s="43"/>
      <c r="LV91" s="43"/>
      <c r="LW91" s="43"/>
      <c r="LX91" s="43"/>
      <c r="LY91" s="43"/>
      <c r="LZ91" s="43"/>
      <c r="MA91" s="43"/>
      <c r="MB91" s="43"/>
      <c r="MC91" s="43"/>
      <c r="MD91" s="43"/>
      <c r="ME91" s="43"/>
      <c r="MF91" s="43"/>
      <c r="MG91" s="43"/>
      <c r="MH91" s="43"/>
      <c r="MI91" s="43"/>
      <c r="MJ91" s="43"/>
      <c r="MK91" s="43"/>
      <c r="ML91" s="43"/>
      <c r="MM91" s="43"/>
      <c r="MN91" s="43"/>
      <c r="MO91" s="43"/>
      <c r="MP91" s="43"/>
      <c r="MQ91" s="43"/>
      <c r="MR91" s="43"/>
      <c r="MS91" s="43"/>
      <c r="MT91" s="43"/>
      <c r="MU91" s="43"/>
      <c r="MV91" s="43"/>
      <c r="MW91" s="43"/>
      <c r="MX91" s="43"/>
      <c r="MY91" s="43"/>
      <c r="MZ91" s="43"/>
      <c r="NA91" s="43"/>
      <c r="NB91" s="43"/>
      <c r="NC91" s="43"/>
      <c r="ND91" s="43"/>
      <c r="NE91" s="43"/>
      <c r="NF91" s="43"/>
      <c r="NG91" s="43"/>
      <c r="NH91" s="43"/>
      <c r="NI91" s="43"/>
      <c r="NJ91" s="43"/>
      <c r="NK91" s="43"/>
      <c r="NL91" s="43"/>
      <c r="NM91" s="43"/>
      <c r="NN91" s="43"/>
      <c r="NO91" s="43"/>
      <c r="NP91" s="43"/>
      <c r="NQ91" s="43"/>
      <c r="NR91" s="43"/>
      <c r="NS91" s="43"/>
      <c r="NT91" s="43"/>
      <c r="NU91" s="43"/>
      <c r="NV91" s="43"/>
      <c r="NW91" s="43"/>
      <c r="NX91" s="43"/>
      <c r="NY91" s="43"/>
      <c r="NZ91" s="43"/>
      <c r="OA91" s="43"/>
      <c r="OB91" s="43"/>
      <c r="OC91" s="43"/>
      <c r="OD91" s="43"/>
      <c r="OE91" s="43"/>
      <c r="OF91" s="43"/>
      <c r="OG91" s="43"/>
      <c r="OH91" s="43"/>
      <c r="OI91" s="43"/>
      <c r="OJ91" s="43"/>
      <c r="OK91" s="43"/>
      <c r="OL91" s="43"/>
      <c r="OM91" s="43"/>
      <c r="ON91" s="43"/>
      <c r="OO91" s="43"/>
      <c r="OP91" s="43"/>
      <c r="OQ91" s="43"/>
      <c r="OR91" s="43"/>
      <c r="OS91" s="43"/>
      <c r="OT91" s="43"/>
      <c r="OU91" s="43"/>
      <c r="OV91" s="43"/>
      <c r="OW91" s="43"/>
      <c r="OX91" s="43"/>
      <c r="OY91" s="43"/>
      <c r="OZ91" s="43"/>
      <c r="PA91" s="43"/>
      <c r="PB91" s="43"/>
      <c r="PC91" s="43"/>
      <c r="PD91" s="43"/>
      <c r="PE91" s="43"/>
      <c r="PF91" s="43"/>
      <c r="PG91" s="43"/>
      <c r="PH91" s="43"/>
      <c r="PI91" s="43"/>
      <c r="PJ91" s="43"/>
      <c r="PK91" s="43"/>
      <c r="PL91" s="43"/>
      <c r="PM91" s="43"/>
      <c r="PN91" s="43"/>
      <c r="PO91" s="43"/>
      <c r="PP91" s="43"/>
      <c r="PQ91" s="43"/>
      <c r="PR91" s="43"/>
      <c r="PS91" s="43"/>
      <c r="PT91" s="43"/>
      <c r="PU91" s="43"/>
      <c r="PV91" s="43"/>
      <c r="PW91" s="43"/>
      <c r="PX91" s="43"/>
      <c r="PY91" s="43"/>
      <c r="PZ91" s="43"/>
      <c r="QA91" s="43"/>
      <c r="QB91" s="43"/>
      <c r="QC91" s="43"/>
    </row>
    <row r="92" spans="1:445" x14ac:dyDescent="0.3"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6" t="str">
        <f t="shared" si="7"/>
        <v/>
      </c>
      <c r="U92" s="46" t="str">
        <f t="shared" si="8"/>
        <v/>
      </c>
      <c r="V92" s="72" t="str">
        <f t="shared" si="9"/>
        <v/>
      </c>
      <c r="X92" s="73" t="str">
        <f t="shared" si="10"/>
        <v/>
      </c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43"/>
      <c r="BN92" s="43"/>
      <c r="BO92" s="43"/>
      <c r="BP92" s="43"/>
      <c r="BQ92" s="43"/>
      <c r="BR92" s="43"/>
      <c r="BS92" s="43"/>
      <c r="BT92" s="43"/>
      <c r="BU92" s="43"/>
      <c r="BV92" s="43"/>
      <c r="BW92" s="43"/>
      <c r="BX92" s="43"/>
      <c r="BY92" s="43"/>
      <c r="BZ92" s="43"/>
      <c r="CA92" s="43"/>
      <c r="CB92" s="43"/>
      <c r="CC92" s="4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43"/>
      <c r="CY92" s="43"/>
      <c r="CZ92" s="43"/>
      <c r="DA92" s="43"/>
      <c r="DB92" s="43"/>
      <c r="DC92" s="43"/>
      <c r="DD92" s="43"/>
      <c r="DE92" s="43"/>
      <c r="DF92" s="43"/>
      <c r="DG92" s="43"/>
      <c r="DH92" s="43"/>
      <c r="DI92" s="43"/>
      <c r="DJ92" s="43"/>
      <c r="DK92" s="43"/>
      <c r="DL92" s="43"/>
      <c r="DM92" s="43"/>
      <c r="DN92" s="43"/>
      <c r="DO92" s="43"/>
      <c r="DP92" s="43"/>
      <c r="DQ92" s="43"/>
      <c r="DR92" s="43"/>
      <c r="DS92" s="43"/>
      <c r="DT92" s="43"/>
      <c r="DU92" s="43"/>
      <c r="DV92" s="43"/>
      <c r="DW92" s="43"/>
      <c r="DX92" s="43"/>
      <c r="DY92" s="43"/>
      <c r="DZ92" s="43"/>
      <c r="EA92" s="43"/>
      <c r="EB92" s="43"/>
      <c r="EC92" s="43"/>
      <c r="ED92" s="43"/>
      <c r="EE92" s="43"/>
      <c r="EF92" s="43"/>
      <c r="EG92" s="43"/>
      <c r="EH92" s="43"/>
      <c r="EI92" s="43"/>
      <c r="EJ92" s="43"/>
      <c r="EK92" s="43"/>
      <c r="EL92" s="43"/>
      <c r="EM92" s="43"/>
      <c r="EN92" s="43"/>
      <c r="EO92" s="43"/>
      <c r="EP92" s="43"/>
      <c r="EQ92" s="43"/>
      <c r="ER92" s="43"/>
      <c r="ES92" s="43"/>
      <c r="ET92" s="43"/>
      <c r="EU92" s="43"/>
      <c r="EV92" s="43"/>
      <c r="EW92" s="43"/>
      <c r="EX92" s="43"/>
      <c r="EY92" s="43"/>
      <c r="EZ92" s="43"/>
      <c r="FA92" s="43"/>
      <c r="FB92" s="43"/>
      <c r="FC92" s="43"/>
      <c r="FD92" s="43"/>
      <c r="FE92" s="43"/>
      <c r="FF92" s="43"/>
      <c r="FG92" s="43"/>
      <c r="FH92" s="43"/>
      <c r="FI92" s="43"/>
      <c r="FJ92" s="43"/>
      <c r="FK92" s="43"/>
      <c r="FL92" s="43"/>
      <c r="FM92" s="43"/>
      <c r="FN92" s="43"/>
      <c r="FO92" s="43"/>
      <c r="FP92" s="43"/>
      <c r="FQ92" s="43"/>
      <c r="FR92" s="43"/>
      <c r="FS92" s="43"/>
      <c r="FT92" s="43"/>
      <c r="FU92" s="43"/>
      <c r="FV92" s="43"/>
      <c r="FW92" s="43"/>
      <c r="FX92" s="43"/>
      <c r="FY92" s="43"/>
      <c r="FZ92" s="43"/>
      <c r="GA92" s="43"/>
      <c r="GB92" s="43"/>
      <c r="GC92" s="43"/>
      <c r="GD92" s="43"/>
      <c r="GE92" s="43"/>
      <c r="GF92" s="43"/>
      <c r="GG92" s="43"/>
      <c r="GH92" s="43"/>
      <c r="GI92" s="43"/>
      <c r="GJ92" s="43"/>
      <c r="GK92" s="43"/>
      <c r="GL92" s="43"/>
      <c r="GM92" s="43"/>
      <c r="GN92" s="43"/>
      <c r="GO92" s="43"/>
      <c r="GP92" s="43"/>
      <c r="GQ92" s="43"/>
      <c r="GR92" s="43"/>
      <c r="GS92" s="43"/>
      <c r="GT92" s="43"/>
      <c r="GU92" s="43"/>
      <c r="GV92" s="43"/>
      <c r="GW92" s="43"/>
      <c r="GX92" s="43"/>
      <c r="GY92" s="43"/>
      <c r="GZ92" s="43"/>
      <c r="HA92" s="43"/>
      <c r="HB92" s="43"/>
      <c r="HC92" s="43"/>
      <c r="HD92" s="43"/>
      <c r="HE92" s="43"/>
      <c r="HF92" s="43"/>
      <c r="HG92" s="43"/>
      <c r="HH92" s="43"/>
      <c r="HI92" s="43"/>
      <c r="HJ92" s="43"/>
      <c r="HK92" s="43"/>
      <c r="HL92" s="43"/>
      <c r="HM92" s="43"/>
      <c r="HN92" s="43"/>
      <c r="HO92" s="43"/>
      <c r="HP92" s="43"/>
      <c r="HQ92" s="43"/>
      <c r="HR92" s="43"/>
      <c r="HS92" s="43"/>
      <c r="HT92" s="43"/>
      <c r="HU92" s="43"/>
      <c r="HV92" s="43"/>
      <c r="HW92" s="43"/>
      <c r="HX92" s="43"/>
      <c r="HY92" s="43"/>
      <c r="HZ92" s="43"/>
      <c r="IA92" s="43"/>
      <c r="IB92" s="43"/>
      <c r="IC92" s="43"/>
      <c r="ID92" s="43"/>
      <c r="IE92" s="43"/>
      <c r="IF92" s="43"/>
      <c r="IG92" s="43"/>
      <c r="IH92" s="43"/>
      <c r="II92" s="43"/>
      <c r="IJ92" s="43"/>
      <c r="IK92" s="43"/>
      <c r="IL92" s="43"/>
      <c r="IM92" s="43"/>
      <c r="IN92" s="43"/>
      <c r="IO92" s="43"/>
      <c r="IP92" s="43"/>
      <c r="IQ92" s="43"/>
      <c r="IR92" s="43"/>
      <c r="IS92" s="43"/>
      <c r="IT92" s="43"/>
      <c r="IU92" s="43"/>
      <c r="IV92" s="43"/>
      <c r="IW92" s="43"/>
      <c r="IX92" s="43"/>
      <c r="IY92" s="43"/>
      <c r="IZ92" s="43"/>
      <c r="JA92" s="43"/>
      <c r="JB92" s="43"/>
      <c r="JC92" s="43"/>
      <c r="JD92" s="43"/>
      <c r="JE92" s="43"/>
      <c r="JF92" s="43"/>
      <c r="JG92" s="43"/>
      <c r="JH92" s="43"/>
      <c r="JI92" s="43"/>
      <c r="JJ92" s="43"/>
      <c r="JK92" s="43"/>
      <c r="JL92" s="43"/>
      <c r="JM92" s="43"/>
      <c r="JN92" s="43"/>
      <c r="JO92" s="43"/>
      <c r="JP92" s="43"/>
      <c r="JQ92" s="43"/>
      <c r="JR92" s="43"/>
      <c r="JS92" s="43"/>
      <c r="JT92" s="43"/>
      <c r="JU92" s="43"/>
      <c r="JV92" s="43"/>
      <c r="JW92" s="43"/>
      <c r="JX92" s="43"/>
      <c r="JY92" s="43"/>
      <c r="JZ92" s="43"/>
      <c r="KA92" s="43"/>
      <c r="KB92" s="43"/>
      <c r="KC92" s="43"/>
      <c r="KD92" s="43"/>
      <c r="KE92" s="43"/>
      <c r="KF92" s="43"/>
      <c r="KG92" s="43"/>
      <c r="KH92" s="43"/>
      <c r="KI92" s="43"/>
      <c r="KJ92" s="43"/>
      <c r="KK92" s="43"/>
      <c r="KL92" s="43"/>
      <c r="KM92" s="43"/>
      <c r="KN92" s="43"/>
      <c r="KO92" s="43"/>
      <c r="KP92" s="43"/>
      <c r="KQ92" s="43"/>
      <c r="KR92" s="43"/>
      <c r="KS92" s="43"/>
      <c r="KT92" s="43"/>
      <c r="KU92" s="43"/>
      <c r="KV92" s="43"/>
      <c r="KW92" s="43"/>
      <c r="KX92" s="43"/>
      <c r="KY92" s="43"/>
      <c r="KZ92" s="43"/>
      <c r="LA92" s="43"/>
      <c r="LB92" s="43"/>
      <c r="LC92" s="43"/>
      <c r="LD92" s="43"/>
      <c r="LE92" s="43"/>
      <c r="LF92" s="43"/>
      <c r="LG92" s="43"/>
      <c r="LH92" s="43"/>
      <c r="LI92" s="43"/>
      <c r="LJ92" s="43"/>
      <c r="LK92" s="43"/>
      <c r="LL92" s="43"/>
      <c r="LM92" s="43"/>
      <c r="LN92" s="43"/>
      <c r="LO92" s="43"/>
      <c r="LP92" s="43"/>
      <c r="LQ92" s="43"/>
      <c r="LR92" s="43"/>
      <c r="LS92" s="43"/>
      <c r="LT92" s="43"/>
      <c r="LU92" s="43"/>
      <c r="LV92" s="43"/>
      <c r="LW92" s="43"/>
      <c r="LX92" s="43"/>
      <c r="LY92" s="43"/>
      <c r="LZ92" s="43"/>
      <c r="MA92" s="43"/>
      <c r="MB92" s="43"/>
      <c r="MC92" s="43"/>
      <c r="MD92" s="43"/>
      <c r="ME92" s="43"/>
      <c r="MF92" s="43"/>
      <c r="MG92" s="43"/>
      <c r="MH92" s="43"/>
      <c r="MI92" s="43"/>
      <c r="MJ92" s="43"/>
      <c r="MK92" s="43"/>
      <c r="ML92" s="43"/>
      <c r="MM92" s="43"/>
      <c r="MN92" s="43"/>
      <c r="MO92" s="43"/>
      <c r="MP92" s="43"/>
      <c r="MQ92" s="43"/>
      <c r="MR92" s="43"/>
      <c r="MS92" s="43"/>
      <c r="MT92" s="43"/>
      <c r="MU92" s="43"/>
      <c r="MV92" s="43"/>
      <c r="MW92" s="43"/>
      <c r="MX92" s="43"/>
      <c r="MY92" s="43"/>
      <c r="MZ92" s="43"/>
      <c r="NA92" s="43"/>
      <c r="NB92" s="43"/>
      <c r="NC92" s="43"/>
      <c r="ND92" s="43"/>
      <c r="NE92" s="43"/>
      <c r="NF92" s="43"/>
      <c r="NG92" s="43"/>
      <c r="NH92" s="43"/>
      <c r="NI92" s="43"/>
      <c r="NJ92" s="43"/>
      <c r="NK92" s="43"/>
      <c r="NL92" s="43"/>
      <c r="NM92" s="43"/>
      <c r="NN92" s="43"/>
      <c r="NO92" s="43"/>
      <c r="NP92" s="43"/>
      <c r="NQ92" s="43"/>
      <c r="NR92" s="43"/>
      <c r="NS92" s="43"/>
      <c r="NT92" s="43"/>
      <c r="NU92" s="43"/>
      <c r="NV92" s="43"/>
      <c r="NW92" s="43"/>
      <c r="NX92" s="43"/>
      <c r="NY92" s="43"/>
      <c r="NZ92" s="43"/>
      <c r="OA92" s="43"/>
      <c r="OB92" s="43"/>
      <c r="OC92" s="43"/>
      <c r="OD92" s="43"/>
      <c r="OE92" s="43"/>
      <c r="OF92" s="43"/>
      <c r="OG92" s="43"/>
      <c r="OH92" s="43"/>
      <c r="OI92" s="43"/>
      <c r="OJ92" s="43"/>
      <c r="OK92" s="43"/>
      <c r="OL92" s="43"/>
      <c r="OM92" s="43"/>
      <c r="ON92" s="43"/>
      <c r="OO92" s="43"/>
      <c r="OP92" s="43"/>
      <c r="OQ92" s="43"/>
      <c r="OR92" s="43"/>
      <c r="OS92" s="43"/>
      <c r="OT92" s="43"/>
      <c r="OU92" s="43"/>
      <c r="OV92" s="43"/>
      <c r="OW92" s="43"/>
      <c r="OX92" s="43"/>
      <c r="OY92" s="43"/>
      <c r="OZ92" s="43"/>
      <c r="PA92" s="43"/>
      <c r="PB92" s="43"/>
      <c r="PC92" s="43"/>
      <c r="PD92" s="43"/>
      <c r="PE92" s="43"/>
      <c r="PF92" s="43"/>
      <c r="PG92" s="43"/>
      <c r="PH92" s="43"/>
      <c r="PI92" s="43"/>
      <c r="PJ92" s="43"/>
      <c r="PK92" s="43"/>
      <c r="PL92" s="43"/>
      <c r="PM92" s="43"/>
      <c r="PN92" s="43"/>
      <c r="PO92" s="43"/>
      <c r="PP92" s="43"/>
      <c r="PQ92" s="43"/>
      <c r="PR92" s="43"/>
      <c r="PS92" s="43"/>
      <c r="PT92" s="43"/>
      <c r="PU92" s="43"/>
      <c r="PV92" s="43"/>
      <c r="PW92" s="43"/>
      <c r="PX92" s="43"/>
      <c r="PY92" s="43"/>
      <c r="PZ92" s="43"/>
      <c r="QA92" s="43"/>
      <c r="QB92" s="43"/>
      <c r="QC92" s="43"/>
    </row>
    <row r="93" spans="1:445" x14ac:dyDescent="0.3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6" t="str">
        <f t="shared" si="7"/>
        <v/>
      </c>
      <c r="U93" s="46" t="str">
        <f t="shared" si="8"/>
        <v/>
      </c>
      <c r="V93" s="72" t="str">
        <f t="shared" si="9"/>
        <v/>
      </c>
      <c r="X93" s="73" t="str">
        <f t="shared" si="10"/>
        <v/>
      </c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43"/>
      <c r="BN93" s="43"/>
      <c r="BO93" s="43"/>
      <c r="BP93" s="43"/>
      <c r="BQ93" s="43"/>
      <c r="BR93" s="43"/>
      <c r="BS93" s="43"/>
      <c r="BT93" s="43"/>
      <c r="BU93" s="43"/>
      <c r="BV93" s="43"/>
      <c r="BW93" s="43"/>
      <c r="BX93" s="43"/>
      <c r="BY93" s="43"/>
      <c r="BZ93" s="43"/>
      <c r="CA93" s="43"/>
      <c r="CB93" s="43"/>
      <c r="CC93" s="43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43"/>
      <c r="CY93" s="43"/>
      <c r="CZ93" s="43"/>
      <c r="DA93" s="43"/>
      <c r="DB93" s="43"/>
      <c r="DC93" s="43"/>
      <c r="DD93" s="43"/>
      <c r="DE93" s="43"/>
      <c r="DF93" s="43"/>
      <c r="DG93" s="43"/>
      <c r="DH93" s="43"/>
      <c r="DI93" s="43"/>
      <c r="DJ93" s="43"/>
      <c r="DK93" s="43"/>
      <c r="DL93" s="43"/>
      <c r="DM93" s="43"/>
      <c r="DN93" s="43"/>
      <c r="DO93" s="43"/>
      <c r="DP93" s="43"/>
      <c r="DQ93" s="43"/>
      <c r="DR93" s="43"/>
      <c r="DS93" s="43"/>
      <c r="DT93" s="43"/>
      <c r="DU93" s="43"/>
      <c r="DV93" s="43"/>
      <c r="DW93" s="43"/>
      <c r="DX93" s="43"/>
      <c r="DY93" s="43"/>
      <c r="DZ93" s="43"/>
      <c r="EA93" s="43"/>
      <c r="EB93" s="43"/>
      <c r="EC93" s="43"/>
      <c r="ED93" s="43"/>
      <c r="EE93" s="43"/>
      <c r="EF93" s="43"/>
      <c r="EG93" s="43"/>
      <c r="EH93" s="43"/>
      <c r="EI93" s="43"/>
      <c r="EJ93" s="43"/>
      <c r="EK93" s="43"/>
      <c r="EL93" s="43"/>
      <c r="EM93" s="43"/>
      <c r="EN93" s="43"/>
      <c r="EO93" s="43"/>
      <c r="EP93" s="43"/>
      <c r="EQ93" s="43"/>
      <c r="ER93" s="43"/>
      <c r="ES93" s="43"/>
      <c r="ET93" s="43"/>
      <c r="EU93" s="43"/>
      <c r="EV93" s="43"/>
      <c r="EW93" s="43"/>
      <c r="EX93" s="43"/>
      <c r="EY93" s="43"/>
      <c r="EZ93" s="43"/>
      <c r="FA93" s="43"/>
      <c r="FB93" s="43"/>
      <c r="FC93" s="43"/>
      <c r="FD93" s="43"/>
      <c r="FE93" s="43"/>
      <c r="FF93" s="43"/>
      <c r="FG93" s="43"/>
      <c r="FH93" s="43"/>
      <c r="FI93" s="43"/>
      <c r="FJ93" s="43"/>
      <c r="FK93" s="43"/>
      <c r="FL93" s="43"/>
      <c r="FM93" s="43"/>
      <c r="FN93" s="43"/>
      <c r="FO93" s="43"/>
      <c r="FP93" s="43"/>
      <c r="FQ93" s="43"/>
      <c r="FR93" s="43"/>
      <c r="FS93" s="43"/>
      <c r="FT93" s="43"/>
      <c r="FU93" s="43"/>
      <c r="FV93" s="43"/>
      <c r="FW93" s="43"/>
      <c r="FX93" s="43"/>
      <c r="FY93" s="43"/>
      <c r="FZ93" s="43"/>
      <c r="GA93" s="43"/>
      <c r="GB93" s="43"/>
      <c r="GC93" s="43"/>
      <c r="GD93" s="43"/>
      <c r="GE93" s="43"/>
      <c r="GF93" s="43"/>
      <c r="GG93" s="43"/>
      <c r="GH93" s="43"/>
      <c r="GI93" s="43"/>
      <c r="GJ93" s="43"/>
      <c r="GK93" s="43"/>
      <c r="GL93" s="43"/>
      <c r="GM93" s="43"/>
      <c r="GN93" s="43"/>
      <c r="GO93" s="43"/>
      <c r="GP93" s="43"/>
      <c r="GQ93" s="43"/>
      <c r="GR93" s="43"/>
      <c r="GS93" s="43"/>
      <c r="GT93" s="43"/>
      <c r="GU93" s="43"/>
      <c r="GV93" s="43"/>
      <c r="GW93" s="43"/>
      <c r="GX93" s="43"/>
      <c r="GY93" s="43"/>
      <c r="GZ93" s="43"/>
      <c r="HA93" s="43"/>
      <c r="HB93" s="43"/>
      <c r="HC93" s="43"/>
      <c r="HD93" s="43"/>
      <c r="HE93" s="43"/>
      <c r="HF93" s="43"/>
      <c r="HG93" s="43"/>
      <c r="HH93" s="43"/>
      <c r="HI93" s="43"/>
      <c r="HJ93" s="43"/>
      <c r="HK93" s="43"/>
      <c r="HL93" s="43"/>
      <c r="HM93" s="43"/>
      <c r="HN93" s="43"/>
      <c r="HO93" s="43"/>
      <c r="HP93" s="43"/>
      <c r="HQ93" s="43"/>
      <c r="HR93" s="43"/>
      <c r="HS93" s="43"/>
      <c r="HT93" s="43"/>
      <c r="HU93" s="43"/>
      <c r="HV93" s="43"/>
      <c r="HW93" s="43"/>
      <c r="HX93" s="43"/>
      <c r="HY93" s="43"/>
      <c r="HZ93" s="43"/>
      <c r="IA93" s="43"/>
      <c r="IB93" s="43"/>
      <c r="IC93" s="43"/>
      <c r="ID93" s="43"/>
      <c r="IE93" s="43"/>
      <c r="IF93" s="43"/>
      <c r="IG93" s="43"/>
      <c r="IH93" s="43"/>
      <c r="II93" s="43"/>
      <c r="IJ93" s="43"/>
      <c r="IK93" s="43"/>
      <c r="IL93" s="43"/>
      <c r="IM93" s="43"/>
      <c r="IN93" s="43"/>
      <c r="IO93" s="43"/>
      <c r="IP93" s="43"/>
      <c r="IQ93" s="43"/>
      <c r="IR93" s="43"/>
      <c r="IS93" s="43"/>
      <c r="IT93" s="43"/>
      <c r="IU93" s="43"/>
      <c r="IV93" s="43"/>
      <c r="IW93" s="43"/>
      <c r="IX93" s="43"/>
      <c r="IY93" s="43"/>
      <c r="IZ93" s="43"/>
      <c r="JA93" s="43"/>
      <c r="JB93" s="43"/>
      <c r="JC93" s="43"/>
      <c r="JD93" s="43"/>
      <c r="JE93" s="43"/>
      <c r="JF93" s="43"/>
      <c r="JG93" s="43"/>
      <c r="JH93" s="43"/>
      <c r="JI93" s="43"/>
      <c r="JJ93" s="43"/>
      <c r="JK93" s="43"/>
      <c r="JL93" s="43"/>
      <c r="JM93" s="43"/>
      <c r="JN93" s="43"/>
      <c r="JO93" s="43"/>
      <c r="JP93" s="43"/>
      <c r="JQ93" s="43"/>
      <c r="JR93" s="43"/>
      <c r="JS93" s="43"/>
      <c r="JT93" s="43"/>
      <c r="JU93" s="43"/>
      <c r="JV93" s="43"/>
      <c r="JW93" s="43"/>
      <c r="JX93" s="43"/>
      <c r="JY93" s="43"/>
      <c r="JZ93" s="43"/>
      <c r="KA93" s="43"/>
      <c r="KB93" s="43"/>
      <c r="KC93" s="43"/>
      <c r="KD93" s="43"/>
      <c r="KE93" s="43"/>
      <c r="KF93" s="43"/>
      <c r="KG93" s="43"/>
      <c r="KH93" s="43"/>
      <c r="KI93" s="43"/>
      <c r="KJ93" s="43"/>
      <c r="KK93" s="43"/>
      <c r="KL93" s="43"/>
      <c r="KM93" s="43"/>
      <c r="KN93" s="43"/>
      <c r="KO93" s="43"/>
      <c r="KP93" s="43"/>
      <c r="KQ93" s="43"/>
      <c r="KR93" s="43"/>
      <c r="KS93" s="43"/>
      <c r="KT93" s="43"/>
      <c r="KU93" s="43"/>
      <c r="KV93" s="43"/>
      <c r="KW93" s="43"/>
      <c r="KX93" s="43"/>
      <c r="KY93" s="43"/>
      <c r="KZ93" s="43"/>
      <c r="LA93" s="43"/>
      <c r="LB93" s="43"/>
      <c r="LC93" s="43"/>
      <c r="LD93" s="43"/>
      <c r="LE93" s="43"/>
      <c r="LF93" s="43"/>
      <c r="LG93" s="43"/>
      <c r="LH93" s="43"/>
      <c r="LI93" s="43"/>
      <c r="LJ93" s="43"/>
      <c r="LK93" s="43"/>
      <c r="LL93" s="43"/>
      <c r="LM93" s="43"/>
      <c r="LN93" s="43"/>
      <c r="LO93" s="43"/>
      <c r="LP93" s="43"/>
      <c r="LQ93" s="43"/>
      <c r="LR93" s="43"/>
      <c r="LS93" s="43"/>
      <c r="LT93" s="43"/>
      <c r="LU93" s="43"/>
      <c r="LV93" s="43"/>
      <c r="LW93" s="43"/>
      <c r="LX93" s="43"/>
      <c r="LY93" s="43"/>
      <c r="LZ93" s="43"/>
      <c r="MA93" s="43"/>
      <c r="MB93" s="43"/>
      <c r="MC93" s="43"/>
      <c r="MD93" s="43"/>
      <c r="ME93" s="43"/>
      <c r="MF93" s="43"/>
      <c r="MG93" s="43"/>
      <c r="MH93" s="43"/>
      <c r="MI93" s="43"/>
      <c r="MJ93" s="43"/>
      <c r="MK93" s="43"/>
      <c r="ML93" s="43"/>
      <c r="MM93" s="43"/>
      <c r="MN93" s="43"/>
      <c r="MO93" s="43"/>
      <c r="MP93" s="43"/>
      <c r="MQ93" s="43"/>
      <c r="MR93" s="43"/>
      <c r="MS93" s="43"/>
      <c r="MT93" s="43"/>
      <c r="MU93" s="43"/>
      <c r="MV93" s="43"/>
      <c r="MW93" s="43"/>
      <c r="MX93" s="43"/>
      <c r="MY93" s="43"/>
      <c r="MZ93" s="43"/>
      <c r="NA93" s="43"/>
      <c r="NB93" s="43"/>
      <c r="NC93" s="43"/>
      <c r="ND93" s="43"/>
      <c r="NE93" s="43"/>
      <c r="NF93" s="43"/>
      <c r="NG93" s="43"/>
      <c r="NH93" s="43"/>
      <c r="NI93" s="43"/>
      <c r="NJ93" s="43"/>
      <c r="NK93" s="43"/>
      <c r="NL93" s="43"/>
      <c r="NM93" s="43"/>
      <c r="NN93" s="43"/>
      <c r="NO93" s="43"/>
      <c r="NP93" s="43"/>
      <c r="NQ93" s="43"/>
      <c r="NR93" s="43"/>
      <c r="NS93" s="43"/>
      <c r="NT93" s="43"/>
      <c r="NU93" s="43"/>
      <c r="NV93" s="43"/>
      <c r="NW93" s="43"/>
      <c r="NX93" s="43"/>
      <c r="NY93" s="43"/>
      <c r="NZ93" s="43"/>
      <c r="OA93" s="43"/>
      <c r="OB93" s="43"/>
      <c r="OC93" s="43"/>
      <c r="OD93" s="43"/>
      <c r="OE93" s="43"/>
      <c r="OF93" s="43"/>
      <c r="OG93" s="43"/>
      <c r="OH93" s="43"/>
      <c r="OI93" s="43"/>
      <c r="OJ93" s="43"/>
      <c r="OK93" s="43"/>
      <c r="OL93" s="43"/>
      <c r="OM93" s="43"/>
      <c r="ON93" s="43"/>
      <c r="OO93" s="43"/>
      <c r="OP93" s="43"/>
      <c r="OQ93" s="43"/>
      <c r="OR93" s="43"/>
      <c r="OS93" s="43"/>
      <c r="OT93" s="43"/>
      <c r="OU93" s="43"/>
      <c r="OV93" s="43"/>
      <c r="OW93" s="43"/>
      <c r="OX93" s="43"/>
      <c r="OY93" s="43"/>
      <c r="OZ93" s="43"/>
      <c r="PA93" s="43"/>
      <c r="PB93" s="43"/>
      <c r="PC93" s="43"/>
      <c r="PD93" s="43"/>
      <c r="PE93" s="43"/>
      <c r="PF93" s="43"/>
      <c r="PG93" s="43"/>
      <c r="PH93" s="43"/>
      <c r="PI93" s="43"/>
      <c r="PJ93" s="43"/>
      <c r="PK93" s="43"/>
      <c r="PL93" s="43"/>
      <c r="PM93" s="43"/>
      <c r="PN93" s="43"/>
      <c r="PO93" s="43"/>
      <c r="PP93" s="43"/>
      <c r="PQ93" s="43"/>
      <c r="PR93" s="43"/>
      <c r="PS93" s="43"/>
      <c r="PT93" s="43"/>
      <c r="PU93" s="43"/>
      <c r="PV93" s="43"/>
      <c r="PW93" s="43"/>
      <c r="PX93" s="43"/>
      <c r="PY93" s="43"/>
      <c r="PZ93" s="43"/>
      <c r="QA93" s="43"/>
      <c r="QB93" s="43"/>
      <c r="QC93" s="43"/>
    </row>
    <row r="94" spans="1:445" x14ac:dyDescent="0.3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6" t="str">
        <f t="shared" si="7"/>
        <v/>
      </c>
      <c r="U94" s="46" t="str">
        <f t="shared" si="8"/>
        <v/>
      </c>
      <c r="V94" s="72" t="str">
        <f t="shared" si="9"/>
        <v/>
      </c>
      <c r="X94" s="73" t="str">
        <f t="shared" si="10"/>
        <v/>
      </c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43"/>
      <c r="BN94" s="43"/>
      <c r="BO94" s="43"/>
      <c r="BP94" s="43"/>
      <c r="BQ94" s="43"/>
      <c r="BR94" s="43"/>
      <c r="BS94" s="43"/>
      <c r="BT94" s="43"/>
      <c r="BU94" s="43"/>
      <c r="BV94" s="43"/>
      <c r="BW94" s="43"/>
      <c r="BX94" s="43"/>
      <c r="BY94" s="43"/>
      <c r="BZ94" s="43"/>
      <c r="CA94" s="43"/>
      <c r="CB94" s="43"/>
      <c r="CC94" s="43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43"/>
      <c r="CY94" s="43"/>
      <c r="CZ94" s="43"/>
      <c r="DA94" s="43"/>
      <c r="DB94" s="43"/>
      <c r="DC94" s="43"/>
      <c r="DD94" s="43"/>
      <c r="DE94" s="43"/>
      <c r="DF94" s="43"/>
      <c r="DG94" s="43"/>
      <c r="DH94" s="43"/>
      <c r="DI94" s="43"/>
      <c r="DJ94" s="43"/>
      <c r="DK94" s="43"/>
      <c r="DL94" s="43"/>
      <c r="DM94" s="43"/>
      <c r="DN94" s="43"/>
      <c r="DO94" s="43"/>
      <c r="DP94" s="43"/>
      <c r="DQ94" s="43"/>
      <c r="DR94" s="43"/>
      <c r="DS94" s="43"/>
      <c r="DT94" s="43"/>
      <c r="DU94" s="43"/>
      <c r="DV94" s="43"/>
      <c r="DW94" s="43"/>
      <c r="DX94" s="43"/>
      <c r="DY94" s="43"/>
      <c r="DZ94" s="43"/>
      <c r="EA94" s="43"/>
      <c r="EB94" s="43"/>
      <c r="EC94" s="43"/>
      <c r="ED94" s="43"/>
      <c r="EE94" s="43"/>
      <c r="EF94" s="43"/>
      <c r="EG94" s="43"/>
      <c r="EH94" s="43"/>
      <c r="EI94" s="43"/>
      <c r="EJ94" s="43"/>
      <c r="EK94" s="43"/>
      <c r="EL94" s="43"/>
      <c r="EM94" s="43"/>
      <c r="EN94" s="43"/>
      <c r="EO94" s="43"/>
      <c r="EP94" s="43"/>
      <c r="EQ94" s="43"/>
      <c r="ER94" s="43"/>
      <c r="ES94" s="43"/>
      <c r="ET94" s="43"/>
      <c r="EU94" s="43"/>
      <c r="EV94" s="43"/>
      <c r="EW94" s="43"/>
      <c r="EX94" s="43"/>
      <c r="EY94" s="43"/>
      <c r="EZ94" s="43"/>
      <c r="FA94" s="43"/>
      <c r="FB94" s="43"/>
      <c r="FC94" s="43"/>
      <c r="FD94" s="43"/>
      <c r="FE94" s="43"/>
      <c r="FF94" s="43"/>
      <c r="FG94" s="43"/>
      <c r="FH94" s="43"/>
      <c r="FI94" s="43"/>
      <c r="FJ94" s="43"/>
      <c r="FK94" s="43"/>
      <c r="FL94" s="43"/>
      <c r="FM94" s="43"/>
      <c r="FN94" s="43"/>
      <c r="FO94" s="43"/>
      <c r="FP94" s="43"/>
      <c r="FQ94" s="43"/>
      <c r="FR94" s="43"/>
      <c r="FS94" s="43"/>
      <c r="FT94" s="43"/>
      <c r="FU94" s="43"/>
      <c r="FV94" s="43"/>
      <c r="FW94" s="43"/>
      <c r="FX94" s="43"/>
      <c r="FY94" s="43"/>
      <c r="FZ94" s="43"/>
      <c r="GA94" s="43"/>
      <c r="GB94" s="43"/>
      <c r="GC94" s="43"/>
      <c r="GD94" s="43"/>
      <c r="GE94" s="43"/>
      <c r="GF94" s="43"/>
      <c r="GG94" s="43"/>
      <c r="GH94" s="43"/>
      <c r="GI94" s="43"/>
      <c r="GJ94" s="43"/>
      <c r="GK94" s="43"/>
      <c r="GL94" s="43"/>
      <c r="GM94" s="43"/>
      <c r="GN94" s="43"/>
      <c r="GO94" s="43"/>
      <c r="GP94" s="43"/>
      <c r="GQ94" s="43"/>
      <c r="GR94" s="43"/>
      <c r="GS94" s="43"/>
      <c r="GT94" s="43"/>
      <c r="GU94" s="43"/>
      <c r="GV94" s="43"/>
      <c r="GW94" s="43"/>
      <c r="GX94" s="43"/>
      <c r="GY94" s="43"/>
      <c r="GZ94" s="43"/>
      <c r="HA94" s="43"/>
      <c r="HB94" s="43"/>
      <c r="HC94" s="43"/>
      <c r="HD94" s="43"/>
      <c r="HE94" s="43"/>
      <c r="HF94" s="43"/>
      <c r="HG94" s="43"/>
      <c r="HH94" s="43"/>
      <c r="HI94" s="43"/>
      <c r="HJ94" s="43"/>
      <c r="HK94" s="43"/>
      <c r="HL94" s="43"/>
      <c r="HM94" s="43"/>
      <c r="HN94" s="43"/>
      <c r="HO94" s="43"/>
      <c r="HP94" s="43"/>
      <c r="HQ94" s="43"/>
      <c r="HR94" s="43"/>
      <c r="HS94" s="43"/>
      <c r="HT94" s="43"/>
      <c r="HU94" s="43"/>
      <c r="HV94" s="43"/>
      <c r="HW94" s="43"/>
      <c r="HX94" s="43"/>
      <c r="HY94" s="43"/>
      <c r="HZ94" s="43"/>
      <c r="IA94" s="43"/>
      <c r="IB94" s="43"/>
      <c r="IC94" s="43"/>
      <c r="ID94" s="43"/>
      <c r="IE94" s="43"/>
      <c r="IF94" s="43"/>
      <c r="IG94" s="43"/>
      <c r="IH94" s="43"/>
      <c r="II94" s="43"/>
      <c r="IJ94" s="43"/>
      <c r="IK94" s="43"/>
      <c r="IL94" s="43"/>
      <c r="IM94" s="43"/>
      <c r="IN94" s="43"/>
      <c r="IO94" s="43"/>
      <c r="IP94" s="43"/>
      <c r="IQ94" s="43"/>
      <c r="IR94" s="43"/>
      <c r="IS94" s="43"/>
      <c r="IT94" s="43"/>
      <c r="IU94" s="43"/>
      <c r="IV94" s="43"/>
      <c r="IW94" s="43"/>
      <c r="IX94" s="43"/>
      <c r="IY94" s="43"/>
      <c r="IZ94" s="43"/>
      <c r="JA94" s="43"/>
      <c r="JB94" s="43"/>
      <c r="JC94" s="43"/>
      <c r="JD94" s="43"/>
      <c r="JE94" s="43"/>
      <c r="JF94" s="43"/>
      <c r="JG94" s="43"/>
      <c r="JH94" s="43"/>
      <c r="JI94" s="43"/>
      <c r="JJ94" s="43"/>
      <c r="JK94" s="43"/>
      <c r="JL94" s="43"/>
      <c r="JM94" s="43"/>
      <c r="JN94" s="43"/>
      <c r="JO94" s="43"/>
      <c r="JP94" s="43"/>
      <c r="JQ94" s="43"/>
      <c r="JR94" s="43"/>
      <c r="JS94" s="43"/>
      <c r="JT94" s="43"/>
      <c r="JU94" s="43"/>
      <c r="JV94" s="43"/>
      <c r="JW94" s="43"/>
      <c r="JX94" s="43"/>
      <c r="JY94" s="43"/>
      <c r="JZ94" s="43"/>
      <c r="KA94" s="43"/>
      <c r="KB94" s="43"/>
      <c r="KC94" s="43"/>
      <c r="KD94" s="43"/>
      <c r="KE94" s="43"/>
      <c r="KF94" s="43"/>
      <c r="KG94" s="43"/>
      <c r="KH94" s="43"/>
      <c r="KI94" s="43"/>
      <c r="KJ94" s="43"/>
      <c r="KK94" s="43"/>
      <c r="KL94" s="43"/>
      <c r="KM94" s="43"/>
      <c r="KN94" s="43"/>
      <c r="KO94" s="43"/>
      <c r="KP94" s="43"/>
      <c r="KQ94" s="43"/>
      <c r="KR94" s="43"/>
      <c r="KS94" s="43"/>
      <c r="KT94" s="43"/>
      <c r="KU94" s="43"/>
      <c r="KV94" s="43"/>
      <c r="KW94" s="43"/>
      <c r="KX94" s="43"/>
      <c r="KY94" s="43"/>
      <c r="KZ94" s="43"/>
      <c r="LA94" s="43"/>
      <c r="LB94" s="43"/>
      <c r="LC94" s="43"/>
      <c r="LD94" s="43"/>
      <c r="LE94" s="43"/>
      <c r="LF94" s="43"/>
      <c r="LG94" s="43"/>
      <c r="LH94" s="43"/>
      <c r="LI94" s="43"/>
      <c r="LJ94" s="43"/>
      <c r="LK94" s="43"/>
      <c r="LL94" s="43"/>
      <c r="LM94" s="43"/>
      <c r="LN94" s="43"/>
      <c r="LO94" s="43"/>
      <c r="LP94" s="43"/>
      <c r="LQ94" s="43"/>
      <c r="LR94" s="43"/>
      <c r="LS94" s="43"/>
      <c r="LT94" s="43"/>
      <c r="LU94" s="43"/>
      <c r="LV94" s="43"/>
      <c r="LW94" s="43"/>
      <c r="LX94" s="43"/>
      <c r="LY94" s="43"/>
      <c r="LZ94" s="43"/>
      <c r="MA94" s="43"/>
      <c r="MB94" s="43"/>
      <c r="MC94" s="43"/>
      <c r="MD94" s="43"/>
      <c r="ME94" s="43"/>
      <c r="MF94" s="43"/>
      <c r="MG94" s="43"/>
      <c r="MH94" s="43"/>
      <c r="MI94" s="43"/>
      <c r="MJ94" s="43"/>
      <c r="MK94" s="43"/>
      <c r="ML94" s="43"/>
      <c r="MM94" s="43"/>
      <c r="MN94" s="43"/>
      <c r="MO94" s="43"/>
      <c r="MP94" s="43"/>
      <c r="MQ94" s="43"/>
      <c r="MR94" s="43"/>
      <c r="MS94" s="43"/>
      <c r="MT94" s="43"/>
      <c r="MU94" s="43"/>
      <c r="MV94" s="43"/>
      <c r="MW94" s="43"/>
      <c r="MX94" s="43"/>
      <c r="MY94" s="43"/>
      <c r="MZ94" s="43"/>
      <c r="NA94" s="43"/>
      <c r="NB94" s="43"/>
      <c r="NC94" s="43"/>
      <c r="ND94" s="43"/>
      <c r="NE94" s="43"/>
      <c r="NF94" s="43"/>
      <c r="NG94" s="43"/>
      <c r="NH94" s="43"/>
      <c r="NI94" s="43"/>
      <c r="NJ94" s="43"/>
      <c r="NK94" s="43"/>
      <c r="NL94" s="43"/>
      <c r="NM94" s="43"/>
      <c r="NN94" s="43"/>
      <c r="NO94" s="43"/>
      <c r="NP94" s="43"/>
      <c r="NQ94" s="43"/>
      <c r="NR94" s="43"/>
      <c r="NS94" s="43"/>
      <c r="NT94" s="43"/>
      <c r="NU94" s="43"/>
      <c r="NV94" s="43"/>
      <c r="NW94" s="43"/>
      <c r="NX94" s="43"/>
      <c r="NY94" s="43"/>
      <c r="NZ94" s="43"/>
      <c r="OA94" s="43"/>
      <c r="OB94" s="43"/>
      <c r="OC94" s="43"/>
      <c r="OD94" s="43"/>
      <c r="OE94" s="43"/>
      <c r="OF94" s="43"/>
      <c r="OG94" s="43"/>
      <c r="OH94" s="43"/>
      <c r="OI94" s="43"/>
      <c r="OJ94" s="43"/>
      <c r="OK94" s="43"/>
      <c r="OL94" s="43"/>
      <c r="OM94" s="43"/>
      <c r="ON94" s="43"/>
      <c r="OO94" s="43"/>
      <c r="OP94" s="43"/>
      <c r="OQ94" s="43"/>
      <c r="OR94" s="43"/>
      <c r="OS94" s="43"/>
      <c r="OT94" s="43"/>
      <c r="OU94" s="43"/>
      <c r="OV94" s="43"/>
      <c r="OW94" s="43"/>
      <c r="OX94" s="43"/>
      <c r="OY94" s="43"/>
      <c r="OZ94" s="43"/>
      <c r="PA94" s="43"/>
      <c r="PB94" s="43"/>
      <c r="PC94" s="43"/>
      <c r="PD94" s="43"/>
      <c r="PE94" s="43"/>
      <c r="PF94" s="43"/>
      <c r="PG94" s="43"/>
      <c r="PH94" s="43"/>
      <c r="PI94" s="43"/>
      <c r="PJ94" s="43"/>
      <c r="PK94" s="43"/>
      <c r="PL94" s="43"/>
      <c r="PM94" s="43"/>
      <c r="PN94" s="43"/>
      <c r="PO94" s="43"/>
      <c r="PP94" s="43"/>
      <c r="PQ94" s="43"/>
      <c r="PR94" s="43"/>
      <c r="PS94" s="43"/>
      <c r="PT94" s="43"/>
      <c r="PU94" s="43"/>
      <c r="PV94" s="43"/>
      <c r="PW94" s="43"/>
      <c r="PX94" s="43"/>
      <c r="PY94" s="43"/>
      <c r="PZ94" s="43"/>
      <c r="QA94" s="43"/>
      <c r="QB94" s="43"/>
      <c r="QC94" s="43"/>
    </row>
    <row r="95" spans="1:445" x14ac:dyDescent="0.3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6" t="str">
        <f t="shared" si="7"/>
        <v/>
      </c>
      <c r="U95" s="46" t="str">
        <f t="shared" si="8"/>
        <v/>
      </c>
      <c r="V95" s="72" t="str">
        <f t="shared" si="9"/>
        <v/>
      </c>
      <c r="W95" s="48"/>
      <c r="X95" s="73" t="str">
        <f t="shared" si="10"/>
        <v/>
      </c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43"/>
      <c r="BN95" s="43"/>
      <c r="BO95" s="43"/>
      <c r="BP95" s="43"/>
      <c r="BQ95" s="43"/>
      <c r="BR95" s="43"/>
      <c r="BS95" s="43"/>
      <c r="BT95" s="43"/>
      <c r="BU95" s="43"/>
      <c r="BV95" s="43"/>
      <c r="BW95" s="43"/>
      <c r="BX95" s="43"/>
      <c r="BY95" s="43"/>
      <c r="BZ95" s="43"/>
      <c r="CA95" s="43"/>
      <c r="CB95" s="43"/>
      <c r="CC95" s="43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43"/>
      <c r="CY95" s="43"/>
      <c r="CZ95" s="43"/>
      <c r="DA95" s="43"/>
      <c r="DB95" s="43"/>
      <c r="DC95" s="43"/>
      <c r="DD95" s="43"/>
      <c r="DE95" s="43"/>
      <c r="DF95" s="43"/>
      <c r="DG95" s="43"/>
      <c r="DH95" s="43"/>
      <c r="DI95" s="43"/>
      <c r="DJ95" s="43"/>
      <c r="DK95" s="43"/>
      <c r="DL95" s="43"/>
      <c r="DM95" s="43"/>
      <c r="DN95" s="43"/>
      <c r="DO95" s="43"/>
      <c r="DP95" s="43"/>
      <c r="DQ95" s="43"/>
      <c r="DR95" s="43"/>
      <c r="DS95" s="43"/>
      <c r="DT95" s="43"/>
      <c r="DU95" s="43"/>
      <c r="DV95" s="43"/>
      <c r="DW95" s="43"/>
      <c r="DX95" s="43"/>
      <c r="DY95" s="43"/>
      <c r="DZ95" s="43"/>
      <c r="EA95" s="43"/>
      <c r="EB95" s="43"/>
      <c r="EC95" s="43"/>
      <c r="ED95" s="43"/>
      <c r="EE95" s="43"/>
      <c r="EF95" s="43"/>
      <c r="EG95" s="43"/>
      <c r="EH95" s="43"/>
      <c r="EI95" s="43"/>
      <c r="EJ95" s="43"/>
      <c r="EK95" s="43"/>
      <c r="EL95" s="43"/>
      <c r="EM95" s="43"/>
      <c r="EN95" s="43"/>
      <c r="EO95" s="43"/>
      <c r="EP95" s="43"/>
      <c r="EQ95" s="43"/>
      <c r="ER95" s="43"/>
      <c r="ES95" s="43"/>
      <c r="ET95" s="43"/>
      <c r="EU95" s="43"/>
      <c r="EV95" s="43"/>
      <c r="EW95" s="43"/>
      <c r="EX95" s="43"/>
      <c r="EY95" s="43"/>
      <c r="EZ95" s="43"/>
      <c r="FA95" s="43"/>
      <c r="FB95" s="43"/>
      <c r="FC95" s="43"/>
      <c r="FD95" s="43"/>
      <c r="FE95" s="43"/>
      <c r="FF95" s="43"/>
      <c r="FG95" s="43"/>
      <c r="FH95" s="43"/>
      <c r="FI95" s="43"/>
      <c r="FJ95" s="43"/>
      <c r="FK95" s="43"/>
      <c r="FL95" s="43"/>
      <c r="FM95" s="43"/>
      <c r="FN95" s="43"/>
      <c r="FO95" s="43"/>
      <c r="FP95" s="43"/>
      <c r="FQ95" s="43"/>
      <c r="FR95" s="43"/>
      <c r="FS95" s="43"/>
      <c r="FT95" s="43"/>
      <c r="FU95" s="43"/>
      <c r="FV95" s="43"/>
      <c r="FW95" s="43"/>
      <c r="FX95" s="43"/>
      <c r="FY95" s="43"/>
      <c r="FZ95" s="43"/>
      <c r="GA95" s="43"/>
      <c r="GB95" s="43"/>
      <c r="GC95" s="43"/>
      <c r="GD95" s="43"/>
      <c r="GE95" s="43"/>
      <c r="GF95" s="43"/>
      <c r="GG95" s="43"/>
      <c r="GH95" s="43"/>
      <c r="GI95" s="43"/>
      <c r="GJ95" s="43"/>
      <c r="GK95" s="43"/>
      <c r="GL95" s="43"/>
      <c r="GM95" s="43"/>
      <c r="GN95" s="43"/>
      <c r="GO95" s="43"/>
      <c r="GP95" s="43"/>
      <c r="GQ95" s="43"/>
      <c r="GR95" s="43"/>
      <c r="GS95" s="43"/>
      <c r="GT95" s="43"/>
      <c r="GU95" s="43"/>
      <c r="GV95" s="43"/>
      <c r="GW95" s="43"/>
      <c r="GX95" s="43"/>
      <c r="GY95" s="43"/>
      <c r="GZ95" s="43"/>
      <c r="HA95" s="43"/>
      <c r="HB95" s="43"/>
      <c r="HC95" s="43"/>
      <c r="HD95" s="43"/>
      <c r="HE95" s="43"/>
      <c r="HF95" s="43"/>
      <c r="HG95" s="43"/>
      <c r="HH95" s="43"/>
      <c r="HI95" s="43"/>
      <c r="HJ95" s="43"/>
      <c r="HK95" s="43"/>
      <c r="HL95" s="43"/>
      <c r="HM95" s="43"/>
      <c r="HN95" s="43"/>
      <c r="HO95" s="43"/>
      <c r="HP95" s="43"/>
      <c r="HQ95" s="43"/>
      <c r="HR95" s="43"/>
      <c r="HS95" s="43"/>
      <c r="HT95" s="43"/>
      <c r="HU95" s="43"/>
      <c r="HV95" s="43"/>
      <c r="HW95" s="43"/>
      <c r="HX95" s="43"/>
      <c r="HY95" s="43"/>
      <c r="HZ95" s="43"/>
      <c r="IA95" s="43"/>
      <c r="IB95" s="43"/>
      <c r="IC95" s="43"/>
      <c r="ID95" s="43"/>
      <c r="IE95" s="43"/>
      <c r="IF95" s="43"/>
      <c r="IG95" s="43"/>
      <c r="IH95" s="43"/>
      <c r="II95" s="43"/>
      <c r="IJ95" s="43"/>
      <c r="IK95" s="43"/>
      <c r="IL95" s="43"/>
      <c r="IM95" s="43"/>
      <c r="IN95" s="43"/>
      <c r="IO95" s="43"/>
      <c r="IP95" s="43"/>
      <c r="IQ95" s="43"/>
      <c r="IR95" s="43"/>
      <c r="IS95" s="43"/>
      <c r="IT95" s="43"/>
      <c r="IU95" s="43"/>
      <c r="IV95" s="43"/>
      <c r="IW95" s="43"/>
      <c r="IX95" s="43"/>
      <c r="IY95" s="43"/>
      <c r="IZ95" s="43"/>
      <c r="JA95" s="43"/>
      <c r="JB95" s="43"/>
      <c r="JC95" s="43"/>
      <c r="JD95" s="43"/>
      <c r="JE95" s="43"/>
      <c r="JF95" s="43"/>
      <c r="JG95" s="43"/>
      <c r="JH95" s="43"/>
      <c r="JI95" s="43"/>
      <c r="JJ95" s="43"/>
      <c r="JK95" s="43"/>
      <c r="JL95" s="43"/>
      <c r="JM95" s="43"/>
      <c r="JN95" s="43"/>
      <c r="JO95" s="43"/>
      <c r="JP95" s="43"/>
      <c r="JQ95" s="43"/>
      <c r="JR95" s="43"/>
      <c r="JS95" s="43"/>
      <c r="JT95" s="43"/>
      <c r="JU95" s="43"/>
      <c r="JV95" s="43"/>
      <c r="JW95" s="43"/>
      <c r="JX95" s="43"/>
      <c r="JY95" s="43"/>
      <c r="JZ95" s="43"/>
      <c r="KA95" s="43"/>
      <c r="KB95" s="43"/>
      <c r="KC95" s="43"/>
      <c r="KD95" s="43"/>
      <c r="KE95" s="43"/>
      <c r="KF95" s="43"/>
      <c r="KG95" s="43"/>
      <c r="KH95" s="43"/>
      <c r="KI95" s="43"/>
      <c r="KJ95" s="43"/>
      <c r="KK95" s="43"/>
      <c r="KL95" s="43"/>
      <c r="KM95" s="43"/>
      <c r="KN95" s="43"/>
      <c r="KO95" s="43"/>
      <c r="KP95" s="43"/>
      <c r="KQ95" s="43"/>
      <c r="KR95" s="43"/>
      <c r="KS95" s="43"/>
      <c r="KT95" s="43"/>
      <c r="KU95" s="43"/>
      <c r="KV95" s="43"/>
      <c r="KW95" s="43"/>
      <c r="KX95" s="43"/>
      <c r="KY95" s="43"/>
      <c r="KZ95" s="43"/>
      <c r="LA95" s="43"/>
      <c r="LB95" s="43"/>
      <c r="LC95" s="43"/>
      <c r="LD95" s="43"/>
      <c r="LE95" s="43"/>
      <c r="LF95" s="43"/>
      <c r="LG95" s="43"/>
      <c r="LH95" s="43"/>
      <c r="LI95" s="43"/>
      <c r="LJ95" s="43"/>
      <c r="LK95" s="43"/>
      <c r="LL95" s="43"/>
      <c r="LM95" s="43"/>
      <c r="LN95" s="43"/>
      <c r="LO95" s="43"/>
      <c r="LP95" s="43"/>
      <c r="LQ95" s="43"/>
      <c r="LR95" s="43"/>
      <c r="LS95" s="43"/>
      <c r="LT95" s="43"/>
      <c r="LU95" s="43"/>
      <c r="LV95" s="43"/>
      <c r="LW95" s="43"/>
      <c r="LX95" s="43"/>
      <c r="LY95" s="43"/>
      <c r="LZ95" s="43"/>
      <c r="MA95" s="43"/>
      <c r="MB95" s="43"/>
      <c r="MC95" s="43"/>
      <c r="MD95" s="43"/>
      <c r="ME95" s="43"/>
      <c r="MF95" s="43"/>
      <c r="MG95" s="43"/>
      <c r="MH95" s="43"/>
      <c r="MI95" s="43"/>
      <c r="MJ95" s="43"/>
      <c r="MK95" s="43"/>
      <c r="ML95" s="43"/>
      <c r="MM95" s="43"/>
      <c r="MN95" s="43"/>
      <c r="MO95" s="43"/>
      <c r="MP95" s="43"/>
      <c r="MQ95" s="43"/>
      <c r="MR95" s="43"/>
      <c r="MS95" s="43"/>
      <c r="MT95" s="43"/>
      <c r="MU95" s="43"/>
      <c r="MV95" s="43"/>
      <c r="MW95" s="43"/>
      <c r="MX95" s="43"/>
      <c r="MY95" s="43"/>
      <c r="MZ95" s="43"/>
      <c r="NA95" s="43"/>
      <c r="NB95" s="43"/>
      <c r="NC95" s="43"/>
      <c r="ND95" s="43"/>
      <c r="NE95" s="43"/>
      <c r="NF95" s="43"/>
      <c r="NG95" s="43"/>
      <c r="NH95" s="43"/>
      <c r="NI95" s="43"/>
      <c r="NJ95" s="43"/>
      <c r="NK95" s="43"/>
      <c r="NL95" s="43"/>
      <c r="NM95" s="43"/>
      <c r="NN95" s="43"/>
      <c r="NO95" s="43"/>
      <c r="NP95" s="43"/>
      <c r="NQ95" s="43"/>
      <c r="NR95" s="43"/>
      <c r="NS95" s="43"/>
      <c r="NT95" s="43"/>
      <c r="NU95" s="43"/>
      <c r="NV95" s="43"/>
      <c r="NW95" s="43"/>
      <c r="NX95" s="43"/>
      <c r="NY95" s="43"/>
      <c r="NZ95" s="43"/>
      <c r="OA95" s="43"/>
      <c r="OB95" s="43"/>
      <c r="OC95" s="43"/>
      <c r="OD95" s="43"/>
      <c r="OE95" s="43"/>
      <c r="OF95" s="43"/>
      <c r="OG95" s="43"/>
      <c r="OH95" s="43"/>
      <c r="OI95" s="43"/>
      <c r="OJ95" s="43"/>
      <c r="OK95" s="43"/>
      <c r="OL95" s="43"/>
      <c r="OM95" s="43"/>
      <c r="ON95" s="43"/>
      <c r="OO95" s="43"/>
      <c r="OP95" s="43"/>
      <c r="OQ95" s="43"/>
      <c r="OR95" s="43"/>
      <c r="OS95" s="43"/>
      <c r="OT95" s="43"/>
      <c r="OU95" s="43"/>
      <c r="OV95" s="43"/>
      <c r="OW95" s="43"/>
      <c r="OX95" s="43"/>
      <c r="OY95" s="43"/>
      <c r="OZ95" s="43"/>
      <c r="PA95" s="43"/>
      <c r="PB95" s="43"/>
      <c r="PC95" s="43"/>
      <c r="PD95" s="43"/>
      <c r="PE95" s="43"/>
      <c r="PF95" s="43"/>
      <c r="PG95" s="43"/>
      <c r="PH95" s="43"/>
      <c r="PI95" s="43"/>
      <c r="PJ95" s="43"/>
      <c r="PK95" s="43"/>
      <c r="PL95" s="43"/>
      <c r="PM95" s="43"/>
      <c r="PN95" s="43"/>
      <c r="PO95" s="43"/>
      <c r="PP95" s="43"/>
      <c r="PQ95" s="43"/>
      <c r="PR95" s="43"/>
      <c r="PS95" s="43"/>
      <c r="PT95" s="43"/>
      <c r="PU95" s="43"/>
      <c r="PV95" s="43"/>
      <c r="PW95" s="43"/>
      <c r="PX95" s="43"/>
      <c r="PY95" s="43"/>
      <c r="PZ95" s="43"/>
      <c r="QA95" s="43"/>
      <c r="QB95" s="43"/>
      <c r="QC95" s="43"/>
    </row>
    <row r="96" spans="1:445" x14ac:dyDescent="0.3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6" t="str">
        <f t="shared" si="7"/>
        <v/>
      </c>
      <c r="U96" s="46" t="str">
        <f t="shared" si="8"/>
        <v/>
      </c>
      <c r="V96" s="72" t="str">
        <f t="shared" si="9"/>
        <v/>
      </c>
      <c r="W96" s="48"/>
      <c r="X96" s="73" t="str">
        <f t="shared" si="10"/>
        <v/>
      </c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43"/>
      <c r="BN96" s="43"/>
      <c r="BO96" s="43"/>
      <c r="BP96" s="43"/>
      <c r="BQ96" s="43"/>
      <c r="BR96" s="43"/>
      <c r="BS96" s="43"/>
      <c r="BT96" s="43"/>
      <c r="BU96" s="43"/>
      <c r="BV96" s="43"/>
      <c r="BW96" s="43"/>
      <c r="BX96" s="43"/>
      <c r="BY96" s="43"/>
      <c r="BZ96" s="43"/>
      <c r="CA96" s="43"/>
      <c r="CB96" s="43"/>
      <c r="CC96" s="4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43"/>
      <c r="CY96" s="43"/>
      <c r="CZ96" s="43"/>
      <c r="DA96" s="43"/>
      <c r="DB96" s="43"/>
      <c r="DC96" s="43"/>
      <c r="DD96" s="43"/>
      <c r="DE96" s="43"/>
      <c r="DF96" s="43"/>
      <c r="DG96" s="43"/>
      <c r="DH96" s="43"/>
      <c r="DI96" s="43"/>
      <c r="DJ96" s="43"/>
      <c r="DK96" s="43"/>
      <c r="DL96" s="43"/>
      <c r="DM96" s="43"/>
      <c r="DN96" s="43"/>
      <c r="DO96" s="43"/>
      <c r="DP96" s="43"/>
      <c r="DQ96" s="43"/>
      <c r="DR96" s="43"/>
      <c r="DS96" s="43"/>
      <c r="DT96" s="43"/>
      <c r="DU96" s="43"/>
      <c r="DV96" s="43"/>
      <c r="DW96" s="43"/>
      <c r="DX96" s="43"/>
      <c r="DY96" s="43"/>
      <c r="DZ96" s="43"/>
      <c r="EA96" s="43"/>
      <c r="EB96" s="43"/>
      <c r="EC96" s="43"/>
      <c r="ED96" s="43"/>
      <c r="EE96" s="43"/>
      <c r="EF96" s="43"/>
      <c r="EG96" s="43"/>
      <c r="EH96" s="43"/>
      <c r="EI96" s="43"/>
      <c r="EJ96" s="43"/>
      <c r="EK96" s="43"/>
      <c r="EL96" s="43"/>
      <c r="EM96" s="43"/>
      <c r="EN96" s="43"/>
      <c r="EO96" s="43"/>
      <c r="EP96" s="43"/>
      <c r="EQ96" s="43"/>
      <c r="ER96" s="43"/>
      <c r="ES96" s="43"/>
      <c r="ET96" s="43"/>
      <c r="EU96" s="43"/>
      <c r="EV96" s="43"/>
      <c r="EW96" s="43"/>
      <c r="EX96" s="43"/>
      <c r="EY96" s="43"/>
      <c r="EZ96" s="43"/>
      <c r="FA96" s="43"/>
      <c r="FB96" s="43"/>
      <c r="FC96" s="43"/>
      <c r="FD96" s="43"/>
      <c r="FE96" s="43"/>
      <c r="FF96" s="43"/>
      <c r="FG96" s="43"/>
      <c r="FH96" s="43"/>
      <c r="FI96" s="43"/>
      <c r="FJ96" s="43"/>
      <c r="FK96" s="43"/>
      <c r="FL96" s="43"/>
      <c r="FM96" s="43"/>
      <c r="FN96" s="43"/>
      <c r="FO96" s="43"/>
      <c r="FP96" s="43"/>
      <c r="FQ96" s="43"/>
      <c r="FR96" s="43"/>
      <c r="FS96" s="43"/>
      <c r="FT96" s="43"/>
      <c r="FU96" s="43"/>
      <c r="FV96" s="43"/>
      <c r="FW96" s="43"/>
      <c r="FX96" s="43"/>
      <c r="FY96" s="43"/>
      <c r="FZ96" s="43"/>
      <c r="GA96" s="43"/>
      <c r="GB96" s="43"/>
      <c r="GC96" s="43"/>
      <c r="GD96" s="43"/>
      <c r="GE96" s="43"/>
      <c r="GF96" s="43"/>
      <c r="GG96" s="43"/>
      <c r="GH96" s="43"/>
      <c r="GI96" s="43"/>
      <c r="GJ96" s="43"/>
      <c r="GK96" s="43"/>
      <c r="GL96" s="43"/>
      <c r="GM96" s="43"/>
      <c r="GN96" s="43"/>
      <c r="GO96" s="43"/>
      <c r="GP96" s="43"/>
      <c r="GQ96" s="43"/>
      <c r="GR96" s="43"/>
      <c r="GS96" s="43"/>
      <c r="GT96" s="43"/>
      <c r="GU96" s="43"/>
      <c r="GV96" s="43"/>
      <c r="GW96" s="43"/>
      <c r="GX96" s="43"/>
      <c r="GY96" s="43"/>
      <c r="GZ96" s="43"/>
      <c r="HA96" s="43"/>
      <c r="HB96" s="43"/>
      <c r="HC96" s="43"/>
      <c r="HD96" s="43"/>
      <c r="HE96" s="43"/>
      <c r="HF96" s="43"/>
      <c r="HG96" s="43"/>
      <c r="HH96" s="43"/>
      <c r="HI96" s="43"/>
      <c r="HJ96" s="43"/>
      <c r="HK96" s="43"/>
      <c r="HL96" s="43"/>
      <c r="HM96" s="43"/>
      <c r="HN96" s="43"/>
      <c r="HO96" s="43"/>
      <c r="HP96" s="43"/>
      <c r="HQ96" s="43"/>
      <c r="HR96" s="43"/>
      <c r="HS96" s="43"/>
      <c r="HT96" s="43"/>
      <c r="HU96" s="43"/>
      <c r="HV96" s="43"/>
      <c r="HW96" s="43"/>
      <c r="HX96" s="43"/>
      <c r="HY96" s="43"/>
      <c r="HZ96" s="43"/>
      <c r="IA96" s="43"/>
      <c r="IB96" s="43"/>
      <c r="IC96" s="43"/>
      <c r="ID96" s="43"/>
      <c r="IE96" s="43"/>
      <c r="IF96" s="43"/>
      <c r="IG96" s="43"/>
      <c r="IH96" s="43"/>
      <c r="II96" s="43"/>
      <c r="IJ96" s="43"/>
      <c r="IK96" s="43"/>
      <c r="IL96" s="43"/>
      <c r="IM96" s="43"/>
      <c r="IN96" s="43"/>
      <c r="IO96" s="43"/>
      <c r="IP96" s="43"/>
      <c r="IQ96" s="43"/>
      <c r="IR96" s="43"/>
      <c r="IS96" s="43"/>
      <c r="IT96" s="43"/>
      <c r="IU96" s="43"/>
      <c r="IV96" s="43"/>
      <c r="IW96" s="43"/>
      <c r="IX96" s="43"/>
      <c r="IY96" s="43"/>
      <c r="IZ96" s="43"/>
      <c r="JA96" s="43"/>
      <c r="JB96" s="43"/>
      <c r="JC96" s="43"/>
      <c r="JD96" s="43"/>
      <c r="JE96" s="43"/>
      <c r="JF96" s="43"/>
      <c r="JG96" s="43"/>
      <c r="JH96" s="43"/>
      <c r="JI96" s="43"/>
      <c r="JJ96" s="43"/>
      <c r="JK96" s="43"/>
      <c r="JL96" s="43"/>
      <c r="JM96" s="43"/>
      <c r="JN96" s="43"/>
      <c r="JO96" s="43"/>
      <c r="JP96" s="43"/>
      <c r="JQ96" s="43"/>
      <c r="JR96" s="43"/>
      <c r="JS96" s="43"/>
      <c r="JT96" s="43"/>
      <c r="JU96" s="43"/>
      <c r="JV96" s="43"/>
      <c r="JW96" s="43"/>
      <c r="JX96" s="43"/>
      <c r="JY96" s="43"/>
      <c r="JZ96" s="43"/>
      <c r="KA96" s="43"/>
      <c r="KB96" s="43"/>
      <c r="KC96" s="43"/>
      <c r="KD96" s="43"/>
      <c r="KE96" s="43"/>
      <c r="KF96" s="43"/>
      <c r="KG96" s="43"/>
      <c r="KH96" s="43"/>
      <c r="KI96" s="43"/>
      <c r="KJ96" s="43"/>
      <c r="KK96" s="43"/>
      <c r="KL96" s="43"/>
      <c r="KM96" s="43"/>
      <c r="KN96" s="43"/>
      <c r="KO96" s="43"/>
      <c r="KP96" s="43"/>
      <c r="KQ96" s="43"/>
      <c r="KR96" s="43"/>
      <c r="KS96" s="43"/>
      <c r="KT96" s="43"/>
      <c r="KU96" s="43"/>
      <c r="KV96" s="43"/>
      <c r="KW96" s="43"/>
      <c r="KX96" s="43"/>
      <c r="KY96" s="43"/>
      <c r="KZ96" s="43"/>
      <c r="LA96" s="43"/>
      <c r="LB96" s="43"/>
      <c r="LC96" s="43"/>
      <c r="LD96" s="43"/>
      <c r="LE96" s="43"/>
      <c r="LF96" s="43"/>
      <c r="LG96" s="43"/>
      <c r="LH96" s="43"/>
      <c r="LI96" s="43"/>
      <c r="LJ96" s="43"/>
      <c r="LK96" s="43"/>
      <c r="LL96" s="43"/>
      <c r="LM96" s="43"/>
      <c r="LN96" s="43"/>
      <c r="LO96" s="43"/>
      <c r="LP96" s="43"/>
      <c r="LQ96" s="43"/>
      <c r="LR96" s="43"/>
      <c r="LS96" s="43"/>
      <c r="LT96" s="43"/>
      <c r="LU96" s="43"/>
      <c r="LV96" s="43"/>
      <c r="LW96" s="43"/>
      <c r="LX96" s="43"/>
      <c r="LY96" s="43"/>
      <c r="LZ96" s="43"/>
      <c r="MA96" s="43"/>
      <c r="MB96" s="43"/>
      <c r="MC96" s="43"/>
      <c r="MD96" s="43"/>
      <c r="ME96" s="43"/>
      <c r="MF96" s="43"/>
      <c r="MG96" s="43"/>
      <c r="MH96" s="43"/>
      <c r="MI96" s="43"/>
      <c r="MJ96" s="43"/>
      <c r="MK96" s="43"/>
      <c r="ML96" s="43"/>
      <c r="MM96" s="43"/>
      <c r="MN96" s="43"/>
      <c r="MO96" s="43"/>
      <c r="MP96" s="43"/>
      <c r="MQ96" s="43"/>
      <c r="MR96" s="43"/>
      <c r="MS96" s="43"/>
      <c r="MT96" s="43"/>
      <c r="MU96" s="43"/>
      <c r="MV96" s="43"/>
      <c r="MW96" s="43"/>
      <c r="MX96" s="43"/>
      <c r="MY96" s="43"/>
      <c r="MZ96" s="43"/>
      <c r="NA96" s="43"/>
      <c r="NB96" s="43"/>
      <c r="NC96" s="43"/>
      <c r="ND96" s="43"/>
      <c r="NE96" s="43"/>
      <c r="NF96" s="43"/>
      <c r="NG96" s="43"/>
      <c r="NH96" s="43"/>
      <c r="NI96" s="43"/>
      <c r="NJ96" s="43"/>
      <c r="NK96" s="43"/>
      <c r="NL96" s="43"/>
      <c r="NM96" s="43"/>
      <c r="NN96" s="43"/>
      <c r="NO96" s="43"/>
      <c r="NP96" s="43"/>
      <c r="NQ96" s="43"/>
      <c r="NR96" s="43"/>
      <c r="NS96" s="43"/>
      <c r="NT96" s="43"/>
      <c r="NU96" s="43"/>
      <c r="NV96" s="43"/>
      <c r="NW96" s="43"/>
      <c r="NX96" s="43"/>
      <c r="NY96" s="43"/>
      <c r="NZ96" s="43"/>
      <c r="OA96" s="43"/>
      <c r="OB96" s="43"/>
      <c r="OC96" s="43"/>
      <c r="OD96" s="43"/>
      <c r="OE96" s="43"/>
      <c r="OF96" s="43"/>
      <c r="OG96" s="43"/>
      <c r="OH96" s="43"/>
      <c r="OI96" s="43"/>
      <c r="OJ96" s="43"/>
      <c r="OK96" s="43"/>
      <c r="OL96" s="43"/>
      <c r="OM96" s="43"/>
      <c r="ON96" s="43"/>
      <c r="OO96" s="43"/>
      <c r="OP96" s="43"/>
      <c r="OQ96" s="43"/>
      <c r="OR96" s="43"/>
      <c r="OS96" s="43"/>
      <c r="OT96" s="43"/>
      <c r="OU96" s="43"/>
      <c r="OV96" s="43"/>
      <c r="OW96" s="43"/>
      <c r="OX96" s="43"/>
      <c r="OY96" s="43"/>
      <c r="OZ96" s="43"/>
      <c r="PA96" s="43"/>
      <c r="PB96" s="43"/>
      <c r="PC96" s="43"/>
      <c r="PD96" s="43"/>
      <c r="PE96" s="43"/>
      <c r="PF96" s="43"/>
      <c r="PG96" s="43"/>
      <c r="PH96" s="43"/>
      <c r="PI96" s="43"/>
      <c r="PJ96" s="43"/>
      <c r="PK96" s="43"/>
      <c r="PL96" s="43"/>
      <c r="PM96" s="43"/>
      <c r="PN96" s="43"/>
      <c r="PO96" s="43"/>
      <c r="PP96" s="43"/>
      <c r="PQ96" s="43"/>
      <c r="PR96" s="43"/>
      <c r="PS96" s="43"/>
      <c r="PT96" s="43"/>
      <c r="PU96" s="43"/>
      <c r="PV96" s="43"/>
      <c r="PW96" s="43"/>
      <c r="PX96" s="43"/>
      <c r="PY96" s="43"/>
      <c r="PZ96" s="43"/>
      <c r="QA96" s="43"/>
      <c r="QB96" s="43"/>
      <c r="QC96" s="43"/>
    </row>
    <row r="97" spans="2:445" x14ac:dyDescent="0.3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6" t="str">
        <f t="shared" si="7"/>
        <v/>
      </c>
      <c r="U97" s="46" t="str">
        <f t="shared" si="8"/>
        <v/>
      </c>
      <c r="V97" s="72" t="str">
        <f t="shared" si="9"/>
        <v/>
      </c>
      <c r="W97" s="48"/>
      <c r="X97" s="73" t="str">
        <f t="shared" si="10"/>
        <v/>
      </c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43"/>
      <c r="BN97" s="43"/>
      <c r="BO97" s="43"/>
      <c r="BP97" s="43"/>
      <c r="BQ97" s="43"/>
      <c r="BR97" s="43"/>
      <c r="BS97" s="43"/>
      <c r="BT97" s="43"/>
      <c r="BU97" s="43"/>
      <c r="BV97" s="43"/>
      <c r="BW97" s="43"/>
      <c r="BX97" s="43"/>
      <c r="BY97" s="43"/>
      <c r="BZ97" s="43"/>
      <c r="CA97" s="43"/>
      <c r="CB97" s="43"/>
      <c r="CC97" s="43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43"/>
      <c r="CY97" s="43"/>
      <c r="CZ97" s="43"/>
      <c r="DA97" s="43"/>
      <c r="DB97" s="43"/>
      <c r="DC97" s="43"/>
      <c r="DD97" s="43"/>
      <c r="DE97" s="43"/>
      <c r="DF97" s="43"/>
      <c r="DG97" s="43"/>
      <c r="DH97" s="43"/>
      <c r="DI97" s="43"/>
      <c r="DJ97" s="43"/>
      <c r="DK97" s="43"/>
      <c r="DL97" s="43"/>
      <c r="DM97" s="43"/>
      <c r="DN97" s="43"/>
      <c r="DO97" s="43"/>
      <c r="DP97" s="43"/>
      <c r="DQ97" s="43"/>
      <c r="DR97" s="43"/>
      <c r="DS97" s="43"/>
      <c r="DT97" s="43"/>
      <c r="DU97" s="43"/>
      <c r="DV97" s="43"/>
      <c r="DW97" s="43"/>
      <c r="DX97" s="43"/>
      <c r="DY97" s="43"/>
      <c r="DZ97" s="43"/>
      <c r="EA97" s="43"/>
      <c r="EB97" s="43"/>
      <c r="EC97" s="43"/>
      <c r="ED97" s="43"/>
      <c r="EE97" s="43"/>
      <c r="EF97" s="43"/>
      <c r="EG97" s="43"/>
      <c r="EH97" s="43"/>
      <c r="EI97" s="43"/>
      <c r="EJ97" s="43"/>
      <c r="EK97" s="43"/>
      <c r="EL97" s="43"/>
      <c r="EM97" s="43"/>
      <c r="EN97" s="43"/>
      <c r="EO97" s="43"/>
      <c r="EP97" s="43"/>
      <c r="EQ97" s="43"/>
      <c r="ER97" s="43"/>
      <c r="ES97" s="43"/>
      <c r="ET97" s="43"/>
      <c r="EU97" s="43"/>
      <c r="EV97" s="43"/>
      <c r="EW97" s="43"/>
      <c r="EX97" s="43"/>
      <c r="EY97" s="43"/>
      <c r="EZ97" s="43"/>
      <c r="FA97" s="43"/>
      <c r="FB97" s="43"/>
      <c r="FC97" s="43"/>
      <c r="FD97" s="43"/>
      <c r="FE97" s="43"/>
      <c r="FF97" s="43"/>
      <c r="FG97" s="43"/>
      <c r="FH97" s="43"/>
      <c r="FI97" s="43"/>
      <c r="FJ97" s="43"/>
      <c r="FK97" s="43"/>
      <c r="FL97" s="43"/>
      <c r="FM97" s="43"/>
      <c r="FN97" s="43"/>
      <c r="FO97" s="43"/>
      <c r="FP97" s="43"/>
      <c r="FQ97" s="43"/>
      <c r="FR97" s="43"/>
      <c r="FS97" s="43"/>
      <c r="FT97" s="43"/>
      <c r="FU97" s="43"/>
      <c r="FV97" s="43"/>
      <c r="FW97" s="43"/>
      <c r="FX97" s="43"/>
      <c r="FY97" s="43"/>
      <c r="FZ97" s="43"/>
      <c r="GA97" s="43"/>
      <c r="GB97" s="43"/>
      <c r="GC97" s="43"/>
      <c r="GD97" s="43"/>
      <c r="GE97" s="43"/>
      <c r="GF97" s="43"/>
      <c r="GG97" s="43"/>
      <c r="GH97" s="43"/>
      <c r="GI97" s="43"/>
      <c r="GJ97" s="43"/>
      <c r="GK97" s="43"/>
      <c r="GL97" s="43"/>
      <c r="GM97" s="43"/>
      <c r="GN97" s="43"/>
      <c r="GO97" s="43"/>
      <c r="GP97" s="43"/>
      <c r="GQ97" s="43"/>
      <c r="GR97" s="43"/>
      <c r="GS97" s="43"/>
      <c r="GT97" s="43"/>
      <c r="GU97" s="43"/>
      <c r="GV97" s="43"/>
      <c r="GW97" s="43"/>
      <c r="GX97" s="43"/>
      <c r="GY97" s="43"/>
      <c r="GZ97" s="43"/>
      <c r="HA97" s="43"/>
      <c r="HB97" s="43"/>
      <c r="HC97" s="43"/>
      <c r="HD97" s="43"/>
      <c r="HE97" s="43"/>
      <c r="HF97" s="43"/>
      <c r="HG97" s="43"/>
      <c r="HH97" s="43"/>
      <c r="HI97" s="43"/>
      <c r="HJ97" s="43"/>
      <c r="HK97" s="43"/>
      <c r="HL97" s="43"/>
      <c r="HM97" s="43"/>
      <c r="HN97" s="43"/>
      <c r="HO97" s="43"/>
      <c r="HP97" s="43"/>
      <c r="HQ97" s="43"/>
      <c r="HR97" s="43"/>
      <c r="HS97" s="43"/>
      <c r="HT97" s="43"/>
      <c r="HU97" s="43"/>
      <c r="HV97" s="43"/>
      <c r="HW97" s="43"/>
      <c r="HX97" s="43"/>
      <c r="HY97" s="43"/>
      <c r="HZ97" s="43"/>
      <c r="IA97" s="43"/>
      <c r="IB97" s="43"/>
      <c r="IC97" s="43"/>
      <c r="ID97" s="43"/>
      <c r="IE97" s="43"/>
      <c r="IF97" s="43"/>
      <c r="IG97" s="43"/>
      <c r="IH97" s="43"/>
      <c r="II97" s="43"/>
      <c r="IJ97" s="43"/>
      <c r="IK97" s="43"/>
      <c r="IL97" s="43"/>
      <c r="IM97" s="43"/>
      <c r="IN97" s="43"/>
      <c r="IO97" s="43"/>
      <c r="IP97" s="43"/>
      <c r="IQ97" s="43"/>
      <c r="IR97" s="43"/>
      <c r="IS97" s="43"/>
      <c r="IT97" s="43"/>
      <c r="IU97" s="43"/>
      <c r="IV97" s="43"/>
      <c r="IW97" s="43"/>
      <c r="IX97" s="43"/>
      <c r="IY97" s="43"/>
      <c r="IZ97" s="43"/>
      <c r="JA97" s="43"/>
      <c r="JB97" s="43"/>
      <c r="JC97" s="43"/>
      <c r="JD97" s="43"/>
      <c r="JE97" s="43"/>
      <c r="JF97" s="43"/>
      <c r="JG97" s="43"/>
      <c r="JH97" s="43"/>
      <c r="JI97" s="43"/>
      <c r="JJ97" s="43"/>
      <c r="JK97" s="43"/>
      <c r="JL97" s="43"/>
      <c r="JM97" s="43"/>
      <c r="JN97" s="43"/>
      <c r="JO97" s="43"/>
      <c r="JP97" s="43"/>
      <c r="JQ97" s="43"/>
      <c r="JR97" s="43"/>
      <c r="JS97" s="43"/>
      <c r="JT97" s="43"/>
      <c r="JU97" s="43"/>
      <c r="JV97" s="43"/>
      <c r="JW97" s="43"/>
      <c r="JX97" s="43"/>
      <c r="JY97" s="43"/>
      <c r="JZ97" s="43"/>
      <c r="KA97" s="43"/>
      <c r="KB97" s="43"/>
      <c r="KC97" s="43"/>
      <c r="KD97" s="43"/>
      <c r="KE97" s="43"/>
      <c r="KF97" s="43"/>
      <c r="KG97" s="43"/>
      <c r="KH97" s="43"/>
      <c r="KI97" s="43"/>
      <c r="KJ97" s="43"/>
      <c r="KK97" s="43"/>
      <c r="KL97" s="43"/>
      <c r="KM97" s="43"/>
      <c r="KN97" s="43"/>
      <c r="KO97" s="43"/>
      <c r="KP97" s="43"/>
      <c r="KQ97" s="43"/>
      <c r="KR97" s="43"/>
      <c r="KS97" s="43"/>
      <c r="KT97" s="43"/>
      <c r="KU97" s="43"/>
      <c r="KV97" s="43"/>
      <c r="KW97" s="43"/>
      <c r="KX97" s="43"/>
      <c r="KY97" s="43"/>
      <c r="KZ97" s="43"/>
      <c r="LA97" s="43"/>
      <c r="LB97" s="43"/>
      <c r="LC97" s="43"/>
      <c r="LD97" s="43"/>
      <c r="LE97" s="43"/>
      <c r="LF97" s="43"/>
      <c r="LG97" s="43"/>
      <c r="LH97" s="43"/>
      <c r="LI97" s="43"/>
      <c r="LJ97" s="43"/>
      <c r="LK97" s="43"/>
      <c r="LL97" s="43"/>
      <c r="LM97" s="43"/>
      <c r="LN97" s="43"/>
      <c r="LO97" s="43"/>
      <c r="LP97" s="43"/>
      <c r="LQ97" s="43"/>
      <c r="LR97" s="43"/>
      <c r="LS97" s="43"/>
      <c r="LT97" s="43"/>
      <c r="LU97" s="43"/>
      <c r="LV97" s="43"/>
      <c r="LW97" s="43"/>
      <c r="LX97" s="43"/>
      <c r="LY97" s="43"/>
      <c r="LZ97" s="43"/>
      <c r="MA97" s="43"/>
      <c r="MB97" s="43"/>
      <c r="MC97" s="43"/>
      <c r="MD97" s="43"/>
      <c r="ME97" s="43"/>
      <c r="MF97" s="43"/>
      <c r="MG97" s="43"/>
      <c r="MH97" s="43"/>
      <c r="MI97" s="43"/>
      <c r="MJ97" s="43"/>
      <c r="MK97" s="43"/>
      <c r="ML97" s="43"/>
      <c r="MM97" s="43"/>
      <c r="MN97" s="43"/>
      <c r="MO97" s="43"/>
      <c r="MP97" s="43"/>
      <c r="MQ97" s="43"/>
      <c r="MR97" s="43"/>
      <c r="MS97" s="43"/>
      <c r="MT97" s="43"/>
      <c r="MU97" s="43"/>
      <c r="MV97" s="43"/>
      <c r="MW97" s="43"/>
      <c r="MX97" s="43"/>
      <c r="MY97" s="43"/>
      <c r="MZ97" s="43"/>
      <c r="NA97" s="43"/>
      <c r="NB97" s="43"/>
      <c r="NC97" s="43"/>
      <c r="ND97" s="43"/>
      <c r="NE97" s="43"/>
      <c r="NF97" s="43"/>
      <c r="NG97" s="43"/>
      <c r="NH97" s="43"/>
      <c r="NI97" s="43"/>
      <c r="NJ97" s="43"/>
      <c r="NK97" s="43"/>
      <c r="NL97" s="43"/>
      <c r="NM97" s="43"/>
      <c r="NN97" s="43"/>
      <c r="NO97" s="43"/>
      <c r="NP97" s="43"/>
      <c r="NQ97" s="43"/>
      <c r="NR97" s="43"/>
      <c r="NS97" s="43"/>
      <c r="NT97" s="43"/>
      <c r="NU97" s="43"/>
      <c r="NV97" s="43"/>
      <c r="NW97" s="43"/>
      <c r="NX97" s="43"/>
      <c r="NY97" s="43"/>
      <c r="NZ97" s="43"/>
      <c r="OA97" s="43"/>
      <c r="OB97" s="43"/>
      <c r="OC97" s="43"/>
      <c r="OD97" s="43"/>
      <c r="OE97" s="43"/>
      <c r="OF97" s="43"/>
      <c r="OG97" s="43"/>
      <c r="OH97" s="43"/>
      <c r="OI97" s="43"/>
      <c r="OJ97" s="43"/>
      <c r="OK97" s="43"/>
      <c r="OL97" s="43"/>
      <c r="OM97" s="43"/>
      <c r="ON97" s="43"/>
      <c r="OO97" s="43"/>
      <c r="OP97" s="43"/>
      <c r="OQ97" s="43"/>
      <c r="OR97" s="43"/>
      <c r="OS97" s="43"/>
      <c r="OT97" s="43"/>
      <c r="OU97" s="43"/>
      <c r="OV97" s="43"/>
      <c r="OW97" s="43"/>
      <c r="OX97" s="43"/>
      <c r="OY97" s="43"/>
      <c r="OZ97" s="43"/>
      <c r="PA97" s="43"/>
      <c r="PB97" s="43"/>
      <c r="PC97" s="43"/>
      <c r="PD97" s="43"/>
      <c r="PE97" s="43"/>
      <c r="PF97" s="43"/>
      <c r="PG97" s="43"/>
      <c r="PH97" s="43"/>
      <c r="PI97" s="43"/>
      <c r="PJ97" s="43"/>
      <c r="PK97" s="43"/>
      <c r="PL97" s="43"/>
      <c r="PM97" s="43"/>
      <c r="PN97" s="43"/>
      <c r="PO97" s="43"/>
      <c r="PP97" s="43"/>
      <c r="PQ97" s="43"/>
      <c r="PR97" s="43"/>
      <c r="PS97" s="43"/>
      <c r="PT97" s="43"/>
      <c r="PU97" s="43"/>
      <c r="PV97" s="43"/>
      <c r="PW97" s="43"/>
      <c r="PX97" s="43"/>
      <c r="PY97" s="43"/>
      <c r="PZ97" s="43"/>
      <c r="QA97" s="43"/>
      <c r="QB97" s="43"/>
      <c r="QC97" s="43"/>
    </row>
    <row r="98" spans="2:445" x14ac:dyDescent="0.3"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51"/>
      <c r="O98" s="45"/>
      <c r="P98" s="45"/>
      <c r="Q98" s="45"/>
      <c r="R98" s="45"/>
      <c r="S98" s="45"/>
      <c r="T98" s="46" t="str">
        <f t="shared" si="7"/>
        <v/>
      </c>
      <c r="U98" s="46" t="str">
        <f t="shared" si="8"/>
        <v/>
      </c>
      <c r="V98" s="72" t="str">
        <f t="shared" si="9"/>
        <v/>
      </c>
      <c r="W98" s="48"/>
      <c r="X98" s="73" t="str">
        <f t="shared" si="10"/>
        <v/>
      </c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43"/>
      <c r="BN98" s="43"/>
      <c r="BO98" s="43"/>
      <c r="BP98" s="43"/>
      <c r="BQ98" s="43"/>
      <c r="BR98" s="43"/>
      <c r="BS98" s="43"/>
      <c r="BT98" s="43"/>
      <c r="BU98" s="43"/>
      <c r="BV98" s="43"/>
      <c r="BW98" s="43"/>
      <c r="BX98" s="43"/>
      <c r="BY98" s="43"/>
      <c r="BZ98" s="43"/>
      <c r="CA98" s="43"/>
      <c r="CB98" s="43"/>
      <c r="CC98" s="4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43"/>
      <c r="CY98" s="43"/>
      <c r="CZ98" s="43"/>
      <c r="DA98" s="43"/>
      <c r="DB98" s="43"/>
      <c r="DC98" s="43"/>
      <c r="DD98" s="43"/>
      <c r="DE98" s="43"/>
      <c r="DF98" s="43"/>
      <c r="DG98" s="43"/>
      <c r="DH98" s="43"/>
      <c r="DI98" s="43"/>
      <c r="DJ98" s="43"/>
      <c r="DK98" s="43"/>
      <c r="DL98" s="43"/>
      <c r="DM98" s="43"/>
      <c r="DN98" s="43"/>
      <c r="DO98" s="43"/>
      <c r="DP98" s="43"/>
      <c r="DQ98" s="43"/>
      <c r="DR98" s="43"/>
      <c r="DS98" s="43"/>
      <c r="DT98" s="43"/>
      <c r="DU98" s="43"/>
      <c r="DV98" s="43"/>
      <c r="DW98" s="43"/>
      <c r="DX98" s="43"/>
      <c r="DY98" s="43"/>
      <c r="DZ98" s="43"/>
      <c r="EA98" s="43"/>
      <c r="EB98" s="43"/>
      <c r="EC98" s="43"/>
      <c r="ED98" s="43"/>
      <c r="EE98" s="43"/>
      <c r="EF98" s="43"/>
      <c r="EG98" s="43"/>
      <c r="EH98" s="43"/>
      <c r="EI98" s="43"/>
      <c r="EJ98" s="43"/>
      <c r="EK98" s="43"/>
      <c r="EL98" s="43"/>
      <c r="EM98" s="43"/>
      <c r="EN98" s="43"/>
      <c r="EO98" s="43"/>
      <c r="EP98" s="43"/>
      <c r="EQ98" s="43"/>
      <c r="ER98" s="43"/>
      <c r="ES98" s="43"/>
      <c r="ET98" s="43"/>
      <c r="EU98" s="43"/>
      <c r="EV98" s="43"/>
      <c r="EW98" s="43"/>
      <c r="EX98" s="43"/>
      <c r="EY98" s="43"/>
      <c r="EZ98" s="43"/>
      <c r="FA98" s="43"/>
      <c r="FB98" s="43"/>
      <c r="FC98" s="43"/>
      <c r="FD98" s="43"/>
      <c r="FE98" s="43"/>
      <c r="FF98" s="43"/>
      <c r="FG98" s="43"/>
      <c r="FH98" s="43"/>
      <c r="FI98" s="43"/>
      <c r="FJ98" s="43"/>
      <c r="FK98" s="43"/>
      <c r="FL98" s="43"/>
      <c r="FM98" s="43"/>
      <c r="FN98" s="43"/>
      <c r="FO98" s="43"/>
      <c r="FP98" s="43"/>
      <c r="FQ98" s="43"/>
      <c r="FR98" s="43"/>
      <c r="FS98" s="43"/>
      <c r="FT98" s="43"/>
      <c r="FU98" s="43"/>
      <c r="FV98" s="43"/>
      <c r="FW98" s="43"/>
      <c r="FX98" s="43"/>
      <c r="FY98" s="43"/>
      <c r="FZ98" s="43"/>
      <c r="GA98" s="43"/>
      <c r="GB98" s="43"/>
      <c r="GC98" s="43"/>
      <c r="GD98" s="43"/>
      <c r="GE98" s="43"/>
      <c r="GF98" s="43"/>
      <c r="GG98" s="43"/>
      <c r="GH98" s="43"/>
      <c r="GI98" s="43"/>
      <c r="GJ98" s="43"/>
      <c r="GK98" s="43"/>
      <c r="GL98" s="43"/>
      <c r="GM98" s="43"/>
      <c r="GN98" s="43"/>
      <c r="GO98" s="43"/>
      <c r="GP98" s="43"/>
      <c r="GQ98" s="43"/>
      <c r="GR98" s="43"/>
      <c r="GS98" s="43"/>
      <c r="GT98" s="43"/>
      <c r="GU98" s="43"/>
      <c r="GV98" s="43"/>
      <c r="GW98" s="43"/>
      <c r="GX98" s="43"/>
      <c r="GY98" s="43"/>
      <c r="GZ98" s="43"/>
      <c r="HA98" s="43"/>
      <c r="HB98" s="43"/>
      <c r="HC98" s="43"/>
      <c r="HD98" s="43"/>
      <c r="HE98" s="43"/>
      <c r="HF98" s="43"/>
      <c r="HG98" s="43"/>
      <c r="HH98" s="43"/>
      <c r="HI98" s="43"/>
      <c r="HJ98" s="43"/>
      <c r="HK98" s="43"/>
      <c r="HL98" s="43"/>
      <c r="HM98" s="43"/>
      <c r="HN98" s="43"/>
      <c r="HO98" s="43"/>
      <c r="HP98" s="43"/>
      <c r="HQ98" s="43"/>
      <c r="HR98" s="43"/>
      <c r="HS98" s="43"/>
      <c r="HT98" s="43"/>
      <c r="HU98" s="43"/>
      <c r="HV98" s="43"/>
      <c r="HW98" s="43"/>
      <c r="HX98" s="43"/>
      <c r="HY98" s="43"/>
      <c r="HZ98" s="43"/>
      <c r="IA98" s="43"/>
      <c r="IB98" s="43"/>
      <c r="IC98" s="43"/>
      <c r="ID98" s="43"/>
      <c r="IE98" s="43"/>
      <c r="IF98" s="43"/>
      <c r="IG98" s="43"/>
      <c r="IH98" s="43"/>
      <c r="II98" s="43"/>
      <c r="IJ98" s="43"/>
      <c r="IK98" s="43"/>
      <c r="IL98" s="43"/>
      <c r="IM98" s="43"/>
      <c r="IN98" s="43"/>
      <c r="IO98" s="43"/>
      <c r="IP98" s="43"/>
      <c r="IQ98" s="43"/>
      <c r="IR98" s="43"/>
      <c r="IS98" s="43"/>
      <c r="IT98" s="43"/>
      <c r="IU98" s="43"/>
      <c r="IV98" s="43"/>
      <c r="IW98" s="43"/>
      <c r="IX98" s="43"/>
      <c r="IY98" s="43"/>
      <c r="IZ98" s="43"/>
      <c r="JA98" s="43"/>
      <c r="JB98" s="43"/>
      <c r="JC98" s="43"/>
      <c r="JD98" s="43"/>
      <c r="JE98" s="43"/>
      <c r="JF98" s="43"/>
      <c r="JG98" s="43"/>
      <c r="JH98" s="43"/>
      <c r="JI98" s="43"/>
      <c r="JJ98" s="43"/>
      <c r="JK98" s="43"/>
      <c r="JL98" s="43"/>
      <c r="JM98" s="43"/>
      <c r="JN98" s="43"/>
      <c r="JO98" s="43"/>
      <c r="JP98" s="43"/>
      <c r="JQ98" s="43"/>
      <c r="JR98" s="43"/>
      <c r="JS98" s="43"/>
      <c r="JT98" s="43"/>
      <c r="JU98" s="43"/>
      <c r="JV98" s="43"/>
      <c r="JW98" s="43"/>
      <c r="JX98" s="43"/>
      <c r="JY98" s="43"/>
      <c r="JZ98" s="43"/>
      <c r="KA98" s="43"/>
      <c r="KB98" s="43"/>
      <c r="KC98" s="43"/>
      <c r="KD98" s="43"/>
      <c r="KE98" s="43"/>
      <c r="KF98" s="43"/>
      <c r="KG98" s="43"/>
      <c r="KH98" s="43"/>
      <c r="KI98" s="43"/>
      <c r="KJ98" s="43"/>
      <c r="KK98" s="43"/>
      <c r="KL98" s="43"/>
      <c r="KM98" s="43"/>
      <c r="KN98" s="43"/>
      <c r="KO98" s="43"/>
      <c r="KP98" s="43"/>
      <c r="KQ98" s="43"/>
      <c r="KR98" s="43"/>
      <c r="KS98" s="43"/>
      <c r="KT98" s="43"/>
      <c r="KU98" s="43"/>
      <c r="KV98" s="43"/>
      <c r="KW98" s="43"/>
      <c r="KX98" s="43"/>
      <c r="KY98" s="43"/>
      <c r="KZ98" s="43"/>
      <c r="LA98" s="43"/>
      <c r="LB98" s="43"/>
      <c r="LC98" s="43"/>
      <c r="LD98" s="43"/>
      <c r="LE98" s="43"/>
      <c r="LF98" s="43"/>
      <c r="LG98" s="43"/>
      <c r="LH98" s="43"/>
      <c r="LI98" s="43"/>
      <c r="LJ98" s="43"/>
      <c r="LK98" s="43"/>
      <c r="LL98" s="43"/>
      <c r="LM98" s="43"/>
      <c r="LN98" s="43"/>
      <c r="LO98" s="43"/>
      <c r="LP98" s="43"/>
      <c r="LQ98" s="43"/>
      <c r="LR98" s="43"/>
      <c r="LS98" s="43"/>
      <c r="LT98" s="43"/>
      <c r="LU98" s="43"/>
      <c r="LV98" s="43"/>
      <c r="LW98" s="43"/>
      <c r="LX98" s="43"/>
      <c r="LY98" s="43"/>
      <c r="LZ98" s="43"/>
      <c r="MA98" s="43"/>
      <c r="MB98" s="43"/>
      <c r="MC98" s="43"/>
      <c r="MD98" s="43"/>
      <c r="ME98" s="43"/>
      <c r="MF98" s="43"/>
      <c r="MG98" s="43"/>
      <c r="MH98" s="43"/>
      <c r="MI98" s="43"/>
      <c r="MJ98" s="43"/>
      <c r="MK98" s="43"/>
      <c r="ML98" s="43"/>
      <c r="MM98" s="43"/>
      <c r="MN98" s="43"/>
      <c r="MO98" s="43"/>
      <c r="MP98" s="43"/>
      <c r="MQ98" s="43"/>
      <c r="MR98" s="43"/>
      <c r="MS98" s="43"/>
      <c r="MT98" s="43"/>
      <c r="MU98" s="43"/>
      <c r="MV98" s="43"/>
      <c r="MW98" s="43"/>
      <c r="MX98" s="43"/>
      <c r="MY98" s="43"/>
      <c r="MZ98" s="43"/>
      <c r="NA98" s="43"/>
      <c r="NB98" s="43"/>
      <c r="NC98" s="43"/>
      <c r="ND98" s="43"/>
      <c r="NE98" s="43"/>
      <c r="NF98" s="43"/>
      <c r="NG98" s="43"/>
      <c r="NH98" s="43"/>
      <c r="NI98" s="43"/>
      <c r="NJ98" s="43"/>
      <c r="NK98" s="43"/>
      <c r="NL98" s="43"/>
      <c r="NM98" s="43"/>
      <c r="NN98" s="43"/>
      <c r="NO98" s="43"/>
      <c r="NP98" s="43"/>
      <c r="NQ98" s="43"/>
      <c r="NR98" s="43"/>
      <c r="NS98" s="43"/>
      <c r="NT98" s="43"/>
      <c r="NU98" s="43"/>
      <c r="NV98" s="43"/>
      <c r="NW98" s="43"/>
      <c r="NX98" s="43"/>
      <c r="NY98" s="43"/>
      <c r="NZ98" s="43"/>
      <c r="OA98" s="43"/>
      <c r="OB98" s="43"/>
      <c r="OC98" s="43"/>
      <c r="OD98" s="43"/>
      <c r="OE98" s="43"/>
      <c r="OF98" s="43"/>
      <c r="OG98" s="43"/>
      <c r="OH98" s="43"/>
      <c r="OI98" s="43"/>
      <c r="OJ98" s="43"/>
      <c r="OK98" s="43"/>
      <c r="OL98" s="43"/>
      <c r="OM98" s="43"/>
      <c r="ON98" s="43"/>
      <c r="OO98" s="43"/>
      <c r="OP98" s="43"/>
      <c r="OQ98" s="43"/>
      <c r="OR98" s="43"/>
      <c r="OS98" s="43"/>
      <c r="OT98" s="43"/>
      <c r="OU98" s="43"/>
      <c r="OV98" s="43"/>
      <c r="OW98" s="43"/>
      <c r="OX98" s="43"/>
      <c r="OY98" s="43"/>
      <c r="OZ98" s="43"/>
      <c r="PA98" s="43"/>
      <c r="PB98" s="43"/>
      <c r="PC98" s="43"/>
      <c r="PD98" s="43"/>
      <c r="PE98" s="43"/>
      <c r="PF98" s="43"/>
      <c r="PG98" s="43"/>
      <c r="PH98" s="43"/>
      <c r="PI98" s="43"/>
      <c r="PJ98" s="43"/>
      <c r="PK98" s="43"/>
      <c r="PL98" s="43"/>
      <c r="PM98" s="43"/>
      <c r="PN98" s="43"/>
      <c r="PO98" s="43"/>
      <c r="PP98" s="43"/>
      <c r="PQ98" s="43"/>
      <c r="PR98" s="43"/>
      <c r="PS98" s="43"/>
      <c r="PT98" s="43"/>
      <c r="PU98" s="43"/>
      <c r="PV98" s="43"/>
      <c r="PW98" s="43"/>
      <c r="PX98" s="43"/>
      <c r="PY98" s="43"/>
      <c r="PZ98" s="43"/>
      <c r="QA98" s="43"/>
      <c r="QB98" s="43"/>
      <c r="QC98" s="43"/>
    </row>
    <row r="99" spans="2:445" x14ac:dyDescent="0.3"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8"/>
      <c r="O99" s="45"/>
      <c r="P99" s="45"/>
      <c r="Q99" s="45"/>
      <c r="R99" s="45"/>
      <c r="S99" s="45"/>
      <c r="T99" s="46" t="str">
        <f t="shared" si="7"/>
        <v/>
      </c>
      <c r="U99" s="46" t="str">
        <f t="shared" si="8"/>
        <v/>
      </c>
      <c r="V99" s="72" t="str">
        <f t="shared" si="9"/>
        <v/>
      </c>
      <c r="W99" s="48"/>
      <c r="X99" s="73" t="str">
        <f t="shared" si="10"/>
        <v/>
      </c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43"/>
      <c r="BN99" s="43"/>
      <c r="BO99" s="43"/>
      <c r="BP99" s="43"/>
      <c r="BQ99" s="43"/>
      <c r="BR99" s="43"/>
      <c r="BS99" s="43"/>
      <c r="BT99" s="43"/>
      <c r="BU99" s="43"/>
      <c r="BV99" s="43"/>
      <c r="BW99" s="43"/>
      <c r="BX99" s="43"/>
      <c r="BY99" s="43"/>
      <c r="BZ99" s="43"/>
      <c r="CA99" s="43"/>
      <c r="CB99" s="43"/>
      <c r="CC99" s="4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43"/>
      <c r="CY99" s="43"/>
      <c r="CZ99" s="43"/>
      <c r="DA99" s="43"/>
      <c r="DB99" s="43"/>
      <c r="DC99" s="43"/>
      <c r="DD99" s="43"/>
      <c r="DE99" s="43"/>
      <c r="DF99" s="43"/>
      <c r="DG99" s="43"/>
      <c r="DH99" s="43"/>
      <c r="DI99" s="43"/>
      <c r="DJ99" s="43"/>
      <c r="DK99" s="43"/>
      <c r="DL99" s="43"/>
      <c r="DM99" s="43"/>
      <c r="DN99" s="43"/>
      <c r="DO99" s="43"/>
      <c r="DP99" s="43"/>
      <c r="DQ99" s="43"/>
      <c r="DR99" s="43"/>
      <c r="DS99" s="43"/>
      <c r="DT99" s="43"/>
      <c r="DU99" s="43"/>
      <c r="DV99" s="43"/>
      <c r="DW99" s="43"/>
      <c r="DX99" s="43"/>
      <c r="DY99" s="43"/>
      <c r="DZ99" s="43"/>
      <c r="EA99" s="43"/>
      <c r="EB99" s="43"/>
      <c r="EC99" s="43"/>
      <c r="ED99" s="43"/>
      <c r="EE99" s="43"/>
      <c r="EF99" s="43"/>
      <c r="EG99" s="43"/>
      <c r="EH99" s="43"/>
      <c r="EI99" s="43"/>
      <c r="EJ99" s="43"/>
      <c r="EK99" s="43"/>
      <c r="EL99" s="43"/>
      <c r="EM99" s="43"/>
      <c r="EN99" s="43"/>
      <c r="EO99" s="43"/>
      <c r="EP99" s="43"/>
      <c r="EQ99" s="43"/>
      <c r="ER99" s="43"/>
      <c r="ES99" s="43"/>
      <c r="ET99" s="43"/>
      <c r="EU99" s="43"/>
      <c r="EV99" s="43"/>
      <c r="EW99" s="43"/>
      <c r="EX99" s="43"/>
      <c r="EY99" s="43"/>
      <c r="EZ99" s="43"/>
      <c r="FA99" s="43"/>
      <c r="FB99" s="43"/>
      <c r="FC99" s="43"/>
      <c r="FD99" s="43"/>
      <c r="FE99" s="43"/>
      <c r="FF99" s="43"/>
      <c r="FG99" s="43"/>
      <c r="FH99" s="43"/>
      <c r="FI99" s="43"/>
      <c r="FJ99" s="43"/>
      <c r="FK99" s="43"/>
      <c r="FL99" s="43"/>
      <c r="FM99" s="43"/>
      <c r="FN99" s="43"/>
      <c r="FO99" s="43"/>
      <c r="FP99" s="43"/>
      <c r="FQ99" s="43"/>
      <c r="FR99" s="43"/>
      <c r="FS99" s="43"/>
      <c r="FT99" s="43"/>
      <c r="FU99" s="43"/>
      <c r="FV99" s="43"/>
      <c r="FW99" s="43"/>
      <c r="FX99" s="43"/>
      <c r="FY99" s="43"/>
      <c r="FZ99" s="43"/>
      <c r="GA99" s="43"/>
      <c r="GB99" s="43"/>
      <c r="GC99" s="43"/>
      <c r="GD99" s="43"/>
      <c r="GE99" s="43"/>
      <c r="GF99" s="43"/>
      <c r="GG99" s="43"/>
      <c r="GH99" s="43"/>
      <c r="GI99" s="43"/>
      <c r="GJ99" s="43"/>
      <c r="GK99" s="43"/>
      <c r="GL99" s="43"/>
      <c r="GM99" s="43"/>
      <c r="GN99" s="43"/>
      <c r="GO99" s="43"/>
      <c r="GP99" s="43"/>
      <c r="GQ99" s="43"/>
      <c r="GR99" s="43"/>
      <c r="GS99" s="43"/>
      <c r="GT99" s="43"/>
      <c r="GU99" s="43"/>
      <c r="GV99" s="43"/>
      <c r="GW99" s="43"/>
      <c r="GX99" s="43"/>
      <c r="GY99" s="43"/>
      <c r="GZ99" s="43"/>
      <c r="HA99" s="43"/>
      <c r="HB99" s="43"/>
      <c r="HC99" s="43"/>
      <c r="HD99" s="43"/>
      <c r="HE99" s="43"/>
      <c r="HF99" s="43"/>
      <c r="HG99" s="43"/>
      <c r="HH99" s="43"/>
      <c r="HI99" s="43"/>
      <c r="HJ99" s="43"/>
      <c r="HK99" s="43"/>
      <c r="HL99" s="43"/>
      <c r="HM99" s="43"/>
      <c r="HN99" s="43"/>
      <c r="HO99" s="43"/>
      <c r="HP99" s="43"/>
      <c r="HQ99" s="43"/>
      <c r="HR99" s="43"/>
      <c r="HS99" s="43"/>
      <c r="HT99" s="43"/>
      <c r="HU99" s="43"/>
      <c r="HV99" s="43"/>
      <c r="HW99" s="43"/>
      <c r="HX99" s="43"/>
      <c r="HY99" s="43"/>
      <c r="HZ99" s="43"/>
      <c r="IA99" s="43"/>
      <c r="IB99" s="43"/>
      <c r="IC99" s="43"/>
      <c r="ID99" s="43"/>
      <c r="IE99" s="43"/>
      <c r="IF99" s="43"/>
      <c r="IG99" s="43"/>
      <c r="IH99" s="43"/>
      <c r="II99" s="43"/>
      <c r="IJ99" s="43"/>
      <c r="IK99" s="43"/>
      <c r="IL99" s="43"/>
      <c r="IM99" s="43"/>
      <c r="IN99" s="43"/>
      <c r="IO99" s="43"/>
      <c r="IP99" s="43"/>
      <c r="IQ99" s="43"/>
      <c r="IR99" s="43"/>
      <c r="IS99" s="43"/>
      <c r="IT99" s="43"/>
      <c r="IU99" s="43"/>
      <c r="IV99" s="43"/>
      <c r="IW99" s="43"/>
      <c r="IX99" s="43"/>
      <c r="IY99" s="43"/>
      <c r="IZ99" s="43"/>
      <c r="JA99" s="43"/>
      <c r="JB99" s="43"/>
      <c r="JC99" s="43"/>
      <c r="JD99" s="43"/>
      <c r="JE99" s="43"/>
      <c r="JF99" s="43"/>
      <c r="JG99" s="43"/>
      <c r="JH99" s="43"/>
      <c r="JI99" s="43"/>
      <c r="JJ99" s="43"/>
      <c r="JK99" s="43"/>
      <c r="JL99" s="43"/>
      <c r="JM99" s="43"/>
      <c r="JN99" s="43"/>
      <c r="JO99" s="43"/>
      <c r="JP99" s="43"/>
      <c r="JQ99" s="43"/>
      <c r="JR99" s="43"/>
      <c r="JS99" s="43"/>
      <c r="JT99" s="43"/>
      <c r="JU99" s="43"/>
      <c r="JV99" s="43"/>
      <c r="JW99" s="43"/>
      <c r="JX99" s="43"/>
      <c r="JY99" s="43"/>
      <c r="JZ99" s="43"/>
      <c r="KA99" s="43"/>
      <c r="KB99" s="43"/>
      <c r="KC99" s="43"/>
      <c r="KD99" s="43"/>
      <c r="KE99" s="43"/>
      <c r="KF99" s="43"/>
      <c r="KG99" s="43"/>
      <c r="KH99" s="43"/>
      <c r="KI99" s="43"/>
      <c r="KJ99" s="43"/>
      <c r="KK99" s="43"/>
      <c r="KL99" s="43"/>
      <c r="KM99" s="43"/>
      <c r="KN99" s="43"/>
      <c r="KO99" s="43"/>
      <c r="KP99" s="43"/>
      <c r="KQ99" s="43"/>
      <c r="KR99" s="43"/>
      <c r="KS99" s="43"/>
      <c r="KT99" s="43"/>
      <c r="KU99" s="43"/>
      <c r="KV99" s="43"/>
      <c r="KW99" s="43"/>
      <c r="KX99" s="43"/>
      <c r="KY99" s="43"/>
      <c r="KZ99" s="43"/>
      <c r="LA99" s="43"/>
      <c r="LB99" s="43"/>
      <c r="LC99" s="43"/>
      <c r="LD99" s="43"/>
      <c r="LE99" s="43"/>
      <c r="LF99" s="43"/>
      <c r="LG99" s="43"/>
      <c r="LH99" s="43"/>
      <c r="LI99" s="43"/>
      <c r="LJ99" s="43"/>
      <c r="LK99" s="43"/>
      <c r="LL99" s="43"/>
      <c r="LM99" s="43"/>
      <c r="LN99" s="43"/>
      <c r="LO99" s="43"/>
      <c r="LP99" s="43"/>
      <c r="LQ99" s="43"/>
      <c r="LR99" s="43"/>
      <c r="LS99" s="43"/>
      <c r="LT99" s="43"/>
      <c r="LU99" s="43"/>
      <c r="LV99" s="43"/>
      <c r="LW99" s="43"/>
      <c r="LX99" s="43"/>
      <c r="LY99" s="43"/>
      <c r="LZ99" s="43"/>
      <c r="MA99" s="43"/>
      <c r="MB99" s="43"/>
      <c r="MC99" s="43"/>
      <c r="MD99" s="43"/>
      <c r="ME99" s="43"/>
      <c r="MF99" s="43"/>
      <c r="MG99" s="43"/>
      <c r="MH99" s="43"/>
      <c r="MI99" s="43"/>
      <c r="MJ99" s="43"/>
      <c r="MK99" s="43"/>
      <c r="ML99" s="43"/>
      <c r="MM99" s="43"/>
      <c r="MN99" s="43"/>
      <c r="MO99" s="43"/>
      <c r="MP99" s="43"/>
      <c r="MQ99" s="43"/>
      <c r="MR99" s="43"/>
      <c r="MS99" s="43"/>
      <c r="MT99" s="43"/>
      <c r="MU99" s="43"/>
      <c r="MV99" s="43"/>
      <c r="MW99" s="43"/>
      <c r="MX99" s="43"/>
      <c r="MY99" s="43"/>
      <c r="MZ99" s="43"/>
      <c r="NA99" s="43"/>
      <c r="NB99" s="43"/>
      <c r="NC99" s="43"/>
      <c r="ND99" s="43"/>
      <c r="NE99" s="43"/>
      <c r="NF99" s="43"/>
      <c r="NG99" s="43"/>
      <c r="NH99" s="43"/>
      <c r="NI99" s="43"/>
      <c r="NJ99" s="43"/>
      <c r="NK99" s="43"/>
      <c r="NL99" s="43"/>
      <c r="NM99" s="43"/>
      <c r="NN99" s="43"/>
      <c r="NO99" s="43"/>
      <c r="NP99" s="43"/>
      <c r="NQ99" s="43"/>
      <c r="NR99" s="43"/>
      <c r="NS99" s="43"/>
      <c r="NT99" s="43"/>
      <c r="NU99" s="43"/>
      <c r="NV99" s="43"/>
      <c r="NW99" s="43"/>
      <c r="NX99" s="43"/>
      <c r="NY99" s="43"/>
      <c r="NZ99" s="43"/>
      <c r="OA99" s="43"/>
      <c r="OB99" s="43"/>
      <c r="OC99" s="43"/>
      <c r="OD99" s="43"/>
      <c r="OE99" s="43"/>
      <c r="OF99" s="43"/>
      <c r="OG99" s="43"/>
      <c r="OH99" s="43"/>
      <c r="OI99" s="43"/>
      <c r="OJ99" s="43"/>
      <c r="OK99" s="43"/>
      <c r="OL99" s="43"/>
      <c r="OM99" s="43"/>
      <c r="ON99" s="43"/>
      <c r="OO99" s="43"/>
      <c r="OP99" s="43"/>
      <c r="OQ99" s="43"/>
      <c r="OR99" s="43"/>
      <c r="OS99" s="43"/>
      <c r="OT99" s="43"/>
      <c r="OU99" s="43"/>
      <c r="OV99" s="43"/>
      <c r="OW99" s="43"/>
      <c r="OX99" s="43"/>
      <c r="OY99" s="43"/>
      <c r="OZ99" s="43"/>
      <c r="PA99" s="43"/>
      <c r="PB99" s="43"/>
      <c r="PC99" s="43"/>
      <c r="PD99" s="43"/>
      <c r="PE99" s="43"/>
      <c r="PF99" s="43"/>
      <c r="PG99" s="43"/>
      <c r="PH99" s="43"/>
      <c r="PI99" s="43"/>
      <c r="PJ99" s="43"/>
      <c r="PK99" s="43"/>
      <c r="PL99" s="43"/>
      <c r="PM99" s="43"/>
      <c r="PN99" s="43"/>
      <c r="PO99" s="43"/>
      <c r="PP99" s="43"/>
      <c r="PQ99" s="43"/>
      <c r="PR99" s="43"/>
      <c r="PS99" s="43"/>
      <c r="PT99" s="43"/>
      <c r="PU99" s="43"/>
      <c r="PV99" s="43"/>
      <c r="PW99" s="43"/>
      <c r="PX99" s="43"/>
      <c r="PY99" s="43"/>
      <c r="PZ99" s="43"/>
      <c r="QA99" s="43"/>
      <c r="QB99" s="43"/>
      <c r="QC99" s="43"/>
    </row>
    <row r="100" spans="2:445" x14ac:dyDescent="0.3"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6" t="str">
        <f t="shared" si="7"/>
        <v/>
      </c>
      <c r="U100" s="46" t="str">
        <f t="shared" si="8"/>
        <v/>
      </c>
      <c r="V100" s="72" t="str">
        <f t="shared" si="9"/>
        <v/>
      </c>
      <c r="W100" s="48"/>
      <c r="X100" s="73" t="str">
        <f t="shared" ref="X100:X131" si="11">IF(W100&lt;&gt;"",F100 - (SUM(G100:S100)),"")</f>
        <v/>
      </c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43"/>
      <c r="BN100" s="43"/>
      <c r="BO100" s="43"/>
      <c r="BP100" s="43"/>
      <c r="BQ100" s="43"/>
      <c r="BR100" s="43"/>
      <c r="BS100" s="43"/>
      <c r="BT100" s="43"/>
      <c r="BU100" s="43"/>
      <c r="BV100" s="43"/>
      <c r="BW100" s="43"/>
      <c r="BX100" s="43"/>
      <c r="BY100" s="43"/>
      <c r="BZ100" s="43"/>
      <c r="CA100" s="43"/>
      <c r="CB100" s="43"/>
      <c r="CC100" s="43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43"/>
      <c r="CY100" s="43"/>
      <c r="CZ100" s="43"/>
      <c r="DA100" s="43"/>
      <c r="DB100" s="43"/>
      <c r="DC100" s="43"/>
      <c r="DD100" s="43"/>
      <c r="DE100" s="43"/>
      <c r="DF100" s="43"/>
      <c r="DG100" s="43"/>
      <c r="DH100" s="43"/>
      <c r="DI100" s="43"/>
      <c r="DJ100" s="43"/>
      <c r="DK100" s="43"/>
      <c r="DL100" s="43"/>
      <c r="DM100" s="43"/>
      <c r="DN100" s="43"/>
      <c r="DO100" s="43"/>
      <c r="DP100" s="43"/>
      <c r="DQ100" s="43"/>
      <c r="DR100" s="43"/>
      <c r="DS100" s="43"/>
      <c r="DT100" s="43"/>
      <c r="DU100" s="43"/>
      <c r="DV100" s="43"/>
      <c r="DW100" s="43"/>
      <c r="DX100" s="43"/>
      <c r="DY100" s="43"/>
      <c r="DZ100" s="43"/>
      <c r="EA100" s="43"/>
      <c r="EB100" s="43"/>
      <c r="EC100" s="43"/>
      <c r="ED100" s="43"/>
      <c r="EE100" s="43"/>
      <c r="EF100" s="43"/>
      <c r="EG100" s="43"/>
      <c r="EH100" s="43"/>
      <c r="EI100" s="43"/>
      <c r="EJ100" s="43"/>
      <c r="EK100" s="43"/>
      <c r="EL100" s="43"/>
      <c r="EM100" s="43"/>
      <c r="EN100" s="43"/>
      <c r="EO100" s="43"/>
      <c r="EP100" s="43"/>
      <c r="EQ100" s="43"/>
      <c r="ER100" s="43"/>
      <c r="ES100" s="43"/>
      <c r="ET100" s="43"/>
      <c r="EU100" s="43"/>
      <c r="EV100" s="43"/>
      <c r="EW100" s="43"/>
      <c r="EX100" s="43"/>
      <c r="EY100" s="43"/>
      <c r="EZ100" s="43"/>
      <c r="FA100" s="43"/>
      <c r="FB100" s="43"/>
      <c r="FC100" s="43"/>
      <c r="FD100" s="43"/>
      <c r="FE100" s="43"/>
      <c r="FF100" s="43"/>
      <c r="FG100" s="43"/>
      <c r="FH100" s="43"/>
      <c r="FI100" s="43"/>
      <c r="FJ100" s="43"/>
      <c r="FK100" s="43"/>
      <c r="FL100" s="43"/>
      <c r="FM100" s="43"/>
      <c r="FN100" s="43"/>
      <c r="FO100" s="43"/>
      <c r="FP100" s="43"/>
      <c r="FQ100" s="43"/>
      <c r="FR100" s="43"/>
      <c r="FS100" s="43"/>
      <c r="FT100" s="43"/>
      <c r="FU100" s="43"/>
      <c r="FV100" s="43"/>
      <c r="FW100" s="43"/>
      <c r="FX100" s="43"/>
      <c r="FY100" s="43"/>
      <c r="FZ100" s="43"/>
      <c r="GA100" s="43"/>
      <c r="GB100" s="43"/>
      <c r="GC100" s="43"/>
      <c r="GD100" s="43"/>
      <c r="GE100" s="43"/>
      <c r="GF100" s="43"/>
      <c r="GG100" s="43"/>
      <c r="GH100" s="43"/>
      <c r="GI100" s="43"/>
      <c r="GJ100" s="43"/>
      <c r="GK100" s="43"/>
      <c r="GL100" s="43"/>
      <c r="GM100" s="43"/>
      <c r="GN100" s="43"/>
      <c r="GO100" s="43"/>
      <c r="GP100" s="43"/>
      <c r="GQ100" s="43"/>
      <c r="GR100" s="43"/>
      <c r="GS100" s="43"/>
      <c r="GT100" s="43"/>
      <c r="GU100" s="43"/>
      <c r="GV100" s="43"/>
      <c r="GW100" s="43"/>
      <c r="GX100" s="43"/>
      <c r="GY100" s="43"/>
      <c r="GZ100" s="43"/>
      <c r="HA100" s="43"/>
      <c r="HB100" s="43"/>
      <c r="HC100" s="43"/>
      <c r="HD100" s="43"/>
      <c r="HE100" s="43"/>
      <c r="HF100" s="43"/>
      <c r="HG100" s="43"/>
      <c r="HH100" s="43"/>
      <c r="HI100" s="43"/>
      <c r="HJ100" s="43"/>
      <c r="HK100" s="43"/>
      <c r="HL100" s="43"/>
      <c r="HM100" s="43"/>
      <c r="HN100" s="43"/>
      <c r="HO100" s="43"/>
      <c r="HP100" s="43"/>
      <c r="HQ100" s="43"/>
      <c r="HR100" s="43"/>
      <c r="HS100" s="43"/>
      <c r="HT100" s="43"/>
      <c r="HU100" s="43"/>
      <c r="HV100" s="43"/>
      <c r="HW100" s="43"/>
      <c r="HX100" s="43"/>
      <c r="HY100" s="43"/>
      <c r="HZ100" s="43"/>
      <c r="IA100" s="43"/>
      <c r="IB100" s="43"/>
      <c r="IC100" s="43"/>
      <c r="ID100" s="43"/>
      <c r="IE100" s="43"/>
      <c r="IF100" s="43"/>
      <c r="IG100" s="43"/>
      <c r="IH100" s="43"/>
      <c r="II100" s="43"/>
      <c r="IJ100" s="43"/>
      <c r="IK100" s="43"/>
      <c r="IL100" s="43"/>
      <c r="IM100" s="43"/>
      <c r="IN100" s="43"/>
      <c r="IO100" s="43"/>
      <c r="IP100" s="43"/>
      <c r="IQ100" s="43"/>
      <c r="IR100" s="43"/>
      <c r="IS100" s="43"/>
      <c r="IT100" s="43"/>
      <c r="IU100" s="43"/>
      <c r="IV100" s="43"/>
      <c r="IW100" s="43"/>
      <c r="IX100" s="43"/>
      <c r="IY100" s="43"/>
      <c r="IZ100" s="43"/>
      <c r="JA100" s="43"/>
      <c r="JB100" s="43"/>
      <c r="JC100" s="43"/>
      <c r="JD100" s="43"/>
      <c r="JE100" s="43"/>
      <c r="JF100" s="43"/>
      <c r="JG100" s="43"/>
      <c r="JH100" s="43"/>
      <c r="JI100" s="43"/>
      <c r="JJ100" s="43"/>
      <c r="JK100" s="43"/>
      <c r="JL100" s="43"/>
      <c r="JM100" s="43"/>
      <c r="JN100" s="43"/>
      <c r="JO100" s="43"/>
      <c r="JP100" s="43"/>
      <c r="JQ100" s="43"/>
      <c r="JR100" s="43"/>
      <c r="JS100" s="43"/>
      <c r="JT100" s="43"/>
      <c r="JU100" s="43"/>
      <c r="JV100" s="43"/>
      <c r="JW100" s="43"/>
      <c r="JX100" s="43"/>
      <c r="JY100" s="43"/>
      <c r="JZ100" s="43"/>
      <c r="KA100" s="43"/>
      <c r="KB100" s="43"/>
      <c r="KC100" s="43"/>
      <c r="KD100" s="43"/>
      <c r="KE100" s="43"/>
      <c r="KF100" s="43"/>
      <c r="KG100" s="43"/>
      <c r="KH100" s="43"/>
      <c r="KI100" s="43"/>
      <c r="KJ100" s="43"/>
      <c r="KK100" s="43"/>
      <c r="KL100" s="43"/>
      <c r="KM100" s="43"/>
      <c r="KN100" s="43"/>
      <c r="KO100" s="43"/>
      <c r="KP100" s="43"/>
      <c r="KQ100" s="43"/>
      <c r="KR100" s="43"/>
      <c r="KS100" s="43"/>
      <c r="KT100" s="43"/>
      <c r="KU100" s="43"/>
      <c r="KV100" s="43"/>
      <c r="KW100" s="43"/>
      <c r="KX100" s="43"/>
      <c r="KY100" s="43"/>
      <c r="KZ100" s="43"/>
      <c r="LA100" s="43"/>
      <c r="LB100" s="43"/>
      <c r="LC100" s="43"/>
      <c r="LD100" s="43"/>
      <c r="LE100" s="43"/>
      <c r="LF100" s="43"/>
      <c r="LG100" s="43"/>
      <c r="LH100" s="43"/>
      <c r="LI100" s="43"/>
      <c r="LJ100" s="43"/>
      <c r="LK100" s="43"/>
      <c r="LL100" s="43"/>
      <c r="LM100" s="43"/>
      <c r="LN100" s="43"/>
      <c r="LO100" s="43"/>
      <c r="LP100" s="43"/>
      <c r="LQ100" s="43"/>
      <c r="LR100" s="43"/>
      <c r="LS100" s="43"/>
      <c r="LT100" s="43"/>
      <c r="LU100" s="43"/>
      <c r="LV100" s="43"/>
      <c r="LW100" s="43"/>
      <c r="LX100" s="43"/>
      <c r="LY100" s="43"/>
      <c r="LZ100" s="43"/>
      <c r="MA100" s="43"/>
      <c r="MB100" s="43"/>
      <c r="MC100" s="43"/>
      <c r="MD100" s="43"/>
      <c r="ME100" s="43"/>
      <c r="MF100" s="43"/>
      <c r="MG100" s="43"/>
      <c r="MH100" s="43"/>
      <c r="MI100" s="43"/>
      <c r="MJ100" s="43"/>
      <c r="MK100" s="43"/>
      <c r="ML100" s="43"/>
      <c r="MM100" s="43"/>
      <c r="MN100" s="43"/>
      <c r="MO100" s="43"/>
      <c r="MP100" s="43"/>
      <c r="MQ100" s="43"/>
      <c r="MR100" s="43"/>
      <c r="MS100" s="43"/>
      <c r="MT100" s="43"/>
      <c r="MU100" s="43"/>
      <c r="MV100" s="43"/>
      <c r="MW100" s="43"/>
      <c r="MX100" s="43"/>
      <c r="MY100" s="43"/>
      <c r="MZ100" s="43"/>
      <c r="NA100" s="43"/>
      <c r="NB100" s="43"/>
      <c r="NC100" s="43"/>
      <c r="ND100" s="43"/>
      <c r="NE100" s="43"/>
      <c r="NF100" s="43"/>
      <c r="NG100" s="43"/>
      <c r="NH100" s="43"/>
      <c r="NI100" s="43"/>
      <c r="NJ100" s="43"/>
      <c r="NK100" s="43"/>
      <c r="NL100" s="43"/>
      <c r="NM100" s="43"/>
      <c r="NN100" s="43"/>
      <c r="NO100" s="43"/>
      <c r="NP100" s="43"/>
      <c r="NQ100" s="43"/>
      <c r="NR100" s="43"/>
      <c r="NS100" s="43"/>
      <c r="NT100" s="43"/>
      <c r="NU100" s="43"/>
      <c r="NV100" s="43"/>
      <c r="NW100" s="43"/>
      <c r="NX100" s="43"/>
      <c r="NY100" s="43"/>
      <c r="NZ100" s="43"/>
      <c r="OA100" s="43"/>
      <c r="OB100" s="43"/>
      <c r="OC100" s="43"/>
      <c r="OD100" s="43"/>
      <c r="OE100" s="43"/>
      <c r="OF100" s="43"/>
      <c r="OG100" s="43"/>
      <c r="OH100" s="43"/>
      <c r="OI100" s="43"/>
      <c r="OJ100" s="43"/>
      <c r="OK100" s="43"/>
      <c r="OL100" s="43"/>
      <c r="OM100" s="43"/>
      <c r="ON100" s="43"/>
      <c r="OO100" s="43"/>
      <c r="OP100" s="43"/>
      <c r="OQ100" s="43"/>
      <c r="OR100" s="43"/>
      <c r="OS100" s="43"/>
      <c r="OT100" s="43"/>
      <c r="OU100" s="43"/>
      <c r="OV100" s="43"/>
      <c r="OW100" s="43"/>
      <c r="OX100" s="43"/>
      <c r="OY100" s="43"/>
      <c r="OZ100" s="43"/>
      <c r="PA100" s="43"/>
      <c r="PB100" s="43"/>
      <c r="PC100" s="43"/>
      <c r="PD100" s="43"/>
      <c r="PE100" s="43"/>
      <c r="PF100" s="43"/>
      <c r="PG100" s="43"/>
      <c r="PH100" s="43"/>
      <c r="PI100" s="43"/>
      <c r="PJ100" s="43"/>
      <c r="PK100" s="43"/>
      <c r="PL100" s="43"/>
      <c r="PM100" s="43"/>
      <c r="PN100" s="43"/>
      <c r="PO100" s="43"/>
      <c r="PP100" s="43"/>
      <c r="PQ100" s="43"/>
      <c r="PR100" s="43"/>
      <c r="PS100" s="43"/>
      <c r="PT100" s="43"/>
      <c r="PU100" s="43"/>
      <c r="PV100" s="43"/>
      <c r="PW100" s="43"/>
      <c r="PX100" s="43"/>
      <c r="PY100" s="43"/>
      <c r="PZ100" s="43"/>
      <c r="QA100" s="43"/>
      <c r="QB100" s="43"/>
      <c r="QC100" s="43"/>
    </row>
    <row r="101" spans="2:445" x14ac:dyDescent="0.3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6" t="str">
        <f t="shared" si="7"/>
        <v/>
      </c>
      <c r="U101" s="46" t="str">
        <f t="shared" si="8"/>
        <v/>
      </c>
      <c r="V101" s="72" t="str">
        <f t="shared" si="9"/>
        <v/>
      </c>
      <c r="W101" s="48"/>
      <c r="X101" s="73" t="str">
        <f t="shared" si="11"/>
        <v/>
      </c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43"/>
      <c r="BN101" s="43"/>
      <c r="BO101" s="43"/>
      <c r="BP101" s="43"/>
      <c r="BQ101" s="43"/>
      <c r="BR101" s="43"/>
      <c r="BS101" s="43"/>
      <c r="BT101" s="43"/>
      <c r="BU101" s="43"/>
      <c r="BV101" s="43"/>
      <c r="BW101" s="43"/>
      <c r="BX101" s="43"/>
      <c r="BY101" s="43"/>
      <c r="BZ101" s="43"/>
      <c r="CA101" s="43"/>
      <c r="CB101" s="43"/>
      <c r="CC101" s="4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43"/>
      <c r="CY101" s="43"/>
      <c r="CZ101" s="43"/>
      <c r="DA101" s="43"/>
      <c r="DB101" s="43"/>
      <c r="DC101" s="43"/>
      <c r="DD101" s="43"/>
      <c r="DE101" s="43"/>
      <c r="DF101" s="43"/>
      <c r="DG101" s="43"/>
      <c r="DH101" s="43"/>
      <c r="DI101" s="43"/>
      <c r="DJ101" s="43"/>
      <c r="DK101" s="43"/>
      <c r="DL101" s="43"/>
      <c r="DM101" s="43"/>
      <c r="DN101" s="43"/>
      <c r="DO101" s="43"/>
      <c r="DP101" s="43"/>
      <c r="DQ101" s="43"/>
      <c r="DR101" s="43"/>
      <c r="DS101" s="43"/>
      <c r="DT101" s="43"/>
      <c r="DU101" s="43"/>
      <c r="DV101" s="43"/>
      <c r="DW101" s="43"/>
      <c r="DX101" s="43"/>
      <c r="DY101" s="43"/>
      <c r="DZ101" s="43"/>
      <c r="EA101" s="43"/>
      <c r="EB101" s="43"/>
      <c r="EC101" s="43"/>
      <c r="ED101" s="43"/>
      <c r="EE101" s="43"/>
      <c r="EF101" s="43"/>
      <c r="EG101" s="43"/>
      <c r="EH101" s="43"/>
      <c r="EI101" s="43"/>
      <c r="EJ101" s="43"/>
      <c r="EK101" s="43"/>
      <c r="EL101" s="43"/>
      <c r="EM101" s="43"/>
      <c r="EN101" s="43"/>
      <c r="EO101" s="43"/>
      <c r="EP101" s="43"/>
      <c r="EQ101" s="43"/>
      <c r="ER101" s="43"/>
      <c r="ES101" s="43"/>
      <c r="ET101" s="43"/>
      <c r="EU101" s="43"/>
      <c r="EV101" s="43"/>
      <c r="EW101" s="43"/>
      <c r="EX101" s="43"/>
      <c r="EY101" s="43"/>
      <c r="EZ101" s="43"/>
      <c r="FA101" s="43"/>
      <c r="FB101" s="43"/>
      <c r="FC101" s="43"/>
      <c r="FD101" s="43"/>
      <c r="FE101" s="43"/>
      <c r="FF101" s="43"/>
      <c r="FG101" s="43"/>
      <c r="FH101" s="43"/>
      <c r="FI101" s="43"/>
      <c r="FJ101" s="43"/>
      <c r="FK101" s="43"/>
      <c r="FL101" s="43"/>
      <c r="FM101" s="43"/>
      <c r="FN101" s="43"/>
      <c r="FO101" s="43"/>
      <c r="FP101" s="43"/>
      <c r="FQ101" s="43"/>
      <c r="FR101" s="43"/>
      <c r="FS101" s="43"/>
      <c r="FT101" s="43"/>
      <c r="FU101" s="43"/>
      <c r="FV101" s="43"/>
      <c r="FW101" s="43"/>
      <c r="FX101" s="43"/>
      <c r="FY101" s="43"/>
      <c r="FZ101" s="43"/>
      <c r="GA101" s="43"/>
      <c r="GB101" s="43"/>
      <c r="GC101" s="43"/>
      <c r="GD101" s="43"/>
      <c r="GE101" s="43"/>
      <c r="GF101" s="43"/>
      <c r="GG101" s="43"/>
      <c r="GH101" s="43"/>
      <c r="GI101" s="43"/>
      <c r="GJ101" s="43"/>
      <c r="GK101" s="43"/>
      <c r="GL101" s="43"/>
      <c r="GM101" s="43"/>
      <c r="GN101" s="43"/>
      <c r="GO101" s="43"/>
      <c r="GP101" s="43"/>
      <c r="GQ101" s="43"/>
      <c r="GR101" s="43"/>
      <c r="GS101" s="43"/>
      <c r="GT101" s="43"/>
      <c r="GU101" s="43"/>
      <c r="GV101" s="43"/>
      <c r="GW101" s="43"/>
      <c r="GX101" s="43"/>
      <c r="GY101" s="43"/>
      <c r="GZ101" s="43"/>
      <c r="HA101" s="43"/>
      <c r="HB101" s="43"/>
      <c r="HC101" s="43"/>
      <c r="HD101" s="43"/>
      <c r="HE101" s="43"/>
      <c r="HF101" s="43"/>
      <c r="HG101" s="43"/>
      <c r="HH101" s="43"/>
      <c r="HI101" s="43"/>
      <c r="HJ101" s="43"/>
      <c r="HK101" s="43"/>
      <c r="HL101" s="43"/>
      <c r="HM101" s="43"/>
      <c r="HN101" s="43"/>
      <c r="HO101" s="43"/>
      <c r="HP101" s="43"/>
      <c r="HQ101" s="43"/>
      <c r="HR101" s="43"/>
      <c r="HS101" s="43"/>
      <c r="HT101" s="43"/>
      <c r="HU101" s="43"/>
      <c r="HV101" s="43"/>
      <c r="HW101" s="43"/>
      <c r="HX101" s="43"/>
      <c r="HY101" s="43"/>
      <c r="HZ101" s="43"/>
      <c r="IA101" s="43"/>
      <c r="IB101" s="43"/>
      <c r="IC101" s="43"/>
      <c r="ID101" s="43"/>
      <c r="IE101" s="43"/>
      <c r="IF101" s="43"/>
      <c r="IG101" s="43"/>
      <c r="IH101" s="43"/>
      <c r="II101" s="43"/>
      <c r="IJ101" s="43"/>
      <c r="IK101" s="43"/>
      <c r="IL101" s="43"/>
      <c r="IM101" s="43"/>
      <c r="IN101" s="43"/>
      <c r="IO101" s="43"/>
      <c r="IP101" s="43"/>
      <c r="IQ101" s="43"/>
      <c r="IR101" s="43"/>
      <c r="IS101" s="43"/>
      <c r="IT101" s="43"/>
      <c r="IU101" s="43"/>
      <c r="IV101" s="43"/>
      <c r="IW101" s="43"/>
      <c r="IX101" s="43"/>
      <c r="IY101" s="43"/>
      <c r="IZ101" s="43"/>
      <c r="JA101" s="43"/>
      <c r="JB101" s="43"/>
      <c r="JC101" s="43"/>
      <c r="JD101" s="43"/>
      <c r="JE101" s="43"/>
      <c r="JF101" s="43"/>
      <c r="JG101" s="43"/>
      <c r="JH101" s="43"/>
      <c r="JI101" s="43"/>
      <c r="JJ101" s="43"/>
      <c r="JK101" s="43"/>
      <c r="JL101" s="43"/>
      <c r="JM101" s="43"/>
      <c r="JN101" s="43"/>
      <c r="JO101" s="43"/>
      <c r="JP101" s="43"/>
      <c r="JQ101" s="43"/>
      <c r="JR101" s="43"/>
      <c r="JS101" s="43"/>
      <c r="JT101" s="43"/>
      <c r="JU101" s="43"/>
      <c r="JV101" s="43"/>
      <c r="JW101" s="43"/>
      <c r="JX101" s="43"/>
      <c r="JY101" s="43"/>
      <c r="JZ101" s="43"/>
      <c r="KA101" s="43"/>
      <c r="KB101" s="43"/>
      <c r="KC101" s="43"/>
      <c r="KD101" s="43"/>
      <c r="KE101" s="43"/>
      <c r="KF101" s="43"/>
      <c r="KG101" s="43"/>
      <c r="KH101" s="43"/>
      <c r="KI101" s="43"/>
      <c r="KJ101" s="43"/>
      <c r="KK101" s="43"/>
      <c r="KL101" s="43"/>
      <c r="KM101" s="43"/>
      <c r="KN101" s="43"/>
      <c r="KO101" s="43"/>
      <c r="KP101" s="43"/>
      <c r="KQ101" s="43"/>
      <c r="KR101" s="43"/>
      <c r="KS101" s="43"/>
      <c r="KT101" s="43"/>
      <c r="KU101" s="43"/>
      <c r="KV101" s="43"/>
      <c r="KW101" s="43"/>
      <c r="KX101" s="43"/>
      <c r="KY101" s="43"/>
      <c r="KZ101" s="43"/>
      <c r="LA101" s="43"/>
      <c r="LB101" s="43"/>
      <c r="LC101" s="43"/>
      <c r="LD101" s="43"/>
      <c r="LE101" s="43"/>
      <c r="LF101" s="43"/>
      <c r="LG101" s="43"/>
      <c r="LH101" s="43"/>
      <c r="LI101" s="43"/>
      <c r="LJ101" s="43"/>
      <c r="LK101" s="43"/>
      <c r="LL101" s="43"/>
      <c r="LM101" s="43"/>
      <c r="LN101" s="43"/>
      <c r="LO101" s="43"/>
      <c r="LP101" s="43"/>
      <c r="LQ101" s="43"/>
      <c r="LR101" s="43"/>
      <c r="LS101" s="43"/>
      <c r="LT101" s="43"/>
      <c r="LU101" s="43"/>
      <c r="LV101" s="43"/>
      <c r="LW101" s="43"/>
      <c r="LX101" s="43"/>
      <c r="LY101" s="43"/>
      <c r="LZ101" s="43"/>
      <c r="MA101" s="43"/>
      <c r="MB101" s="43"/>
      <c r="MC101" s="43"/>
      <c r="MD101" s="43"/>
      <c r="ME101" s="43"/>
      <c r="MF101" s="43"/>
      <c r="MG101" s="43"/>
      <c r="MH101" s="43"/>
      <c r="MI101" s="43"/>
      <c r="MJ101" s="43"/>
      <c r="MK101" s="43"/>
      <c r="ML101" s="43"/>
      <c r="MM101" s="43"/>
      <c r="MN101" s="43"/>
      <c r="MO101" s="43"/>
      <c r="MP101" s="43"/>
      <c r="MQ101" s="43"/>
      <c r="MR101" s="43"/>
      <c r="MS101" s="43"/>
      <c r="MT101" s="43"/>
      <c r="MU101" s="43"/>
      <c r="MV101" s="43"/>
      <c r="MW101" s="43"/>
      <c r="MX101" s="43"/>
      <c r="MY101" s="43"/>
      <c r="MZ101" s="43"/>
      <c r="NA101" s="43"/>
      <c r="NB101" s="43"/>
      <c r="NC101" s="43"/>
      <c r="ND101" s="43"/>
      <c r="NE101" s="43"/>
      <c r="NF101" s="43"/>
      <c r="NG101" s="43"/>
      <c r="NH101" s="43"/>
      <c r="NI101" s="43"/>
      <c r="NJ101" s="43"/>
      <c r="NK101" s="43"/>
      <c r="NL101" s="43"/>
      <c r="NM101" s="43"/>
      <c r="NN101" s="43"/>
      <c r="NO101" s="43"/>
      <c r="NP101" s="43"/>
      <c r="NQ101" s="43"/>
      <c r="NR101" s="43"/>
      <c r="NS101" s="43"/>
      <c r="NT101" s="43"/>
      <c r="NU101" s="43"/>
      <c r="NV101" s="43"/>
      <c r="NW101" s="43"/>
      <c r="NX101" s="43"/>
      <c r="NY101" s="43"/>
      <c r="NZ101" s="43"/>
      <c r="OA101" s="43"/>
      <c r="OB101" s="43"/>
      <c r="OC101" s="43"/>
      <c r="OD101" s="43"/>
      <c r="OE101" s="43"/>
      <c r="OF101" s="43"/>
      <c r="OG101" s="43"/>
      <c r="OH101" s="43"/>
      <c r="OI101" s="43"/>
      <c r="OJ101" s="43"/>
      <c r="OK101" s="43"/>
      <c r="OL101" s="43"/>
      <c r="OM101" s="43"/>
      <c r="ON101" s="43"/>
      <c r="OO101" s="43"/>
      <c r="OP101" s="43"/>
      <c r="OQ101" s="43"/>
      <c r="OR101" s="43"/>
      <c r="OS101" s="43"/>
      <c r="OT101" s="43"/>
      <c r="OU101" s="43"/>
      <c r="OV101" s="43"/>
      <c r="OW101" s="43"/>
      <c r="OX101" s="43"/>
      <c r="OY101" s="43"/>
      <c r="OZ101" s="43"/>
      <c r="PA101" s="43"/>
      <c r="PB101" s="43"/>
      <c r="PC101" s="43"/>
      <c r="PD101" s="43"/>
      <c r="PE101" s="43"/>
      <c r="PF101" s="43"/>
      <c r="PG101" s="43"/>
      <c r="PH101" s="43"/>
      <c r="PI101" s="43"/>
      <c r="PJ101" s="43"/>
      <c r="PK101" s="43"/>
      <c r="PL101" s="43"/>
      <c r="PM101" s="43"/>
      <c r="PN101" s="43"/>
      <c r="PO101" s="43"/>
      <c r="PP101" s="43"/>
      <c r="PQ101" s="43"/>
      <c r="PR101" s="43"/>
      <c r="PS101" s="43"/>
      <c r="PT101" s="43"/>
      <c r="PU101" s="43"/>
      <c r="PV101" s="43"/>
      <c r="PW101" s="43"/>
      <c r="PX101" s="43"/>
      <c r="PY101" s="43"/>
      <c r="PZ101" s="43"/>
      <c r="QA101" s="43"/>
      <c r="QB101" s="43"/>
      <c r="QC101" s="43"/>
    </row>
    <row r="102" spans="2:445" x14ac:dyDescent="0.3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6" t="str">
        <f t="shared" si="7"/>
        <v/>
      </c>
      <c r="U102" s="46" t="str">
        <f t="shared" si="8"/>
        <v/>
      </c>
      <c r="V102" s="72" t="str">
        <f t="shared" si="9"/>
        <v/>
      </c>
      <c r="W102" s="48"/>
      <c r="X102" s="73" t="str">
        <f t="shared" si="11"/>
        <v/>
      </c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43"/>
      <c r="CY102" s="43"/>
      <c r="CZ102" s="43"/>
      <c r="DA102" s="43"/>
      <c r="DB102" s="43"/>
      <c r="DC102" s="43"/>
      <c r="DD102" s="43"/>
      <c r="DE102" s="43"/>
      <c r="DF102" s="43"/>
      <c r="DG102" s="43"/>
      <c r="DH102" s="43"/>
      <c r="DI102" s="43"/>
      <c r="DJ102" s="43"/>
      <c r="DK102" s="43"/>
      <c r="DL102" s="43"/>
      <c r="DM102" s="43"/>
      <c r="DN102" s="43"/>
      <c r="DO102" s="43"/>
      <c r="DP102" s="43"/>
      <c r="DQ102" s="43"/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43"/>
      <c r="EM102" s="43"/>
      <c r="EN102" s="43"/>
      <c r="EO102" s="43"/>
      <c r="EP102" s="43"/>
      <c r="EQ102" s="43"/>
      <c r="ER102" s="43"/>
      <c r="ES102" s="43"/>
      <c r="ET102" s="43"/>
      <c r="EU102" s="43"/>
      <c r="EV102" s="43"/>
      <c r="EW102" s="43"/>
      <c r="EX102" s="43"/>
      <c r="EY102" s="43"/>
      <c r="EZ102" s="43"/>
      <c r="FA102" s="43"/>
      <c r="FB102" s="43"/>
      <c r="FC102" s="43"/>
      <c r="FD102" s="43"/>
      <c r="FE102" s="43"/>
      <c r="FF102" s="43"/>
      <c r="FG102" s="43"/>
      <c r="FH102" s="43"/>
      <c r="FI102" s="43"/>
      <c r="FJ102" s="43"/>
      <c r="FK102" s="43"/>
      <c r="FL102" s="43"/>
      <c r="FM102" s="43"/>
      <c r="FN102" s="43"/>
      <c r="FO102" s="43"/>
      <c r="FP102" s="43"/>
      <c r="FQ102" s="43"/>
      <c r="FR102" s="43"/>
      <c r="FS102" s="43"/>
      <c r="FT102" s="43"/>
      <c r="FU102" s="43"/>
      <c r="FV102" s="43"/>
      <c r="FW102" s="43"/>
      <c r="FX102" s="43"/>
      <c r="FY102" s="43"/>
      <c r="FZ102" s="43"/>
      <c r="GA102" s="43"/>
      <c r="GB102" s="43"/>
      <c r="GC102" s="43"/>
      <c r="GD102" s="43"/>
      <c r="GE102" s="43"/>
      <c r="GF102" s="43"/>
      <c r="GG102" s="43"/>
      <c r="GH102" s="43"/>
      <c r="GI102" s="43"/>
      <c r="GJ102" s="43"/>
      <c r="GK102" s="43"/>
      <c r="GL102" s="43"/>
      <c r="GM102" s="43"/>
      <c r="GN102" s="43"/>
      <c r="GO102" s="43"/>
      <c r="GP102" s="43"/>
      <c r="GQ102" s="43"/>
      <c r="GR102" s="43"/>
      <c r="GS102" s="43"/>
      <c r="GT102" s="43"/>
      <c r="GU102" s="43"/>
      <c r="GV102" s="43"/>
      <c r="GW102" s="43"/>
      <c r="GX102" s="43"/>
      <c r="GY102" s="43"/>
      <c r="GZ102" s="43"/>
      <c r="HA102" s="43"/>
      <c r="HB102" s="43"/>
      <c r="HC102" s="43"/>
      <c r="HD102" s="43"/>
      <c r="HE102" s="43"/>
      <c r="HF102" s="43"/>
      <c r="HG102" s="43"/>
      <c r="HH102" s="43"/>
      <c r="HI102" s="43"/>
      <c r="HJ102" s="43"/>
      <c r="HK102" s="43"/>
      <c r="HL102" s="43"/>
      <c r="HM102" s="43"/>
      <c r="HN102" s="43"/>
      <c r="HO102" s="43"/>
      <c r="HP102" s="43"/>
      <c r="HQ102" s="43"/>
      <c r="HR102" s="43"/>
      <c r="HS102" s="43"/>
      <c r="HT102" s="43"/>
      <c r="HU102" s="43"/>
      <c r="HV102" s="43"/>
      <c r="HW102" s="43"/>
      <c r="HX102" s="43"/>
      <c r="HY102" s="43"/>
      <c r="HZ102" s="43"/>
      <c r="IA102" s="43"/>
      <c r="IB102" s="43"/>
      <c r="IC102" s="43"/>
      <c r="ID102" s="43"/>
      <c r="IE102" s="43"/>
      <c r="IF102" s="43"/>
      <c r="IG102" s="43"/>
      <c r="IH102" s="43"/>
      <c r="II102" s="43"/>
      <c r="IJ102" s="43"/>
      <c r="IK102" s="43"/>
      <c r="IL102" s="43"/>
      <c r="IM102" s="43"/>
      <c r="IN102" s="43"/>
      <c r="IO102" s="43"/>
      <c r="IP102" s="43"/>
      <c r="IQ102" s="43"/>
      <c r="IR102" s="43"/>
      <c r="IS102" s="43"/>
      <c r="IT102" s="43"/>
      <c r="IU102" s="43"/>
      <c r="IV102" s="43"/>
      <c r="IW102" s="43"/>
      <c r="IX102" s="43"/>
      <c r="IY102" s="43"/>
      <c r="IZ102" s="43"/>
      <c r="JA102" s="43"/>
      <c r="JB102" s="43"/>
      <c r="JC102" s="43"/>
      <c r="JD102" s="43"/>
      <c r="JE102" s="43"/>
      <c r="JF102" s="43"/>
      <c r="JG102" s="43"/>
      <c r="JH102" s="43"/>
      <c r="JI102" s="43"/>
      <c r="JJ102" s="43"/>
      <c r="JK102" s="43"/>
      <c r="JL102" s="43"/>
      <c r="JM102" s="43"/>
      <c r="JN102" s="43"/>
      <c r="JO102" s="43"/>
      <c r="JP102" s="43"/>
      <c r="JQ102" s="43"/>
      <c r="JR102" s="43"/>
      <c r="JS102" s="43"/>
      <c r="JT102" s="43"/>
      <c r="JU102" s="43"/>
      <c r="JV102" s="43"/>
      <c r="JW102" s="43"/>
      <c r="JX102" s="43"/>
      <c r="JY102" s="43"/>
      <c r="JZ102" s="43"/>
      <c r="KA102" s="43"/>
      <c r="KB102" s="43"/>
      <c r="KC102" s="43"/>
      <c r="KD102" s="43"/>
      <c r="KE102" s="43"/>
      <c r="KF102" s="43"/>
      <c r="KG102" s="43"/>
      <c r="KH102" s="43"/>
      <c r="KI102" s="43"/>
      <c r="KJ102" s="43"/>
      <c r="KK102" s="43"/>
      <c r="KL102" s="43"/>
      <c r="KM102" s="43"/>
      <c r="KN102" s="43"/>
      <c r="KO102" s="43"/>
      <c r="KP102" s="43"/>
      <c r="KQ102" s="43"/>
      <c r="KR102" s="43"/>
      <c r="KS102" s="43"/>
      <c r="KT102" s="43"/>
      <c r="KU102" s="43"/>
      <c r="KV102" s="43"/>
      <c r="KW102" s="43"/>
      <c r="KX102" s="43"/>
      <c r="KY102" s="43"/>
      <c r="KZ102" s="43"/>
      <c r="LA102" s="43"/>
      <c r="LB102" s="43"/>
      <c r="LC102" s="43"/>
      <c r="LD102" s="43"/>
      <c r="LE102" s="43"/>
      <c r="LF102" s="43"/>
      <c r="LG102" s="43"/>
      <c r="LH102" s="43"/>
      <c r="LI102" s="43"/>
      <c r="LJ102" s="43"/>
      <c r="LK102" s="43"/>
      <c r="LL102" s="43"/>
      <c r="LM102" s="43"/>
      <c r="LN102" s="43"/>
      <c r="LO102" s="43"/>
      <c r="LP102" s="43"/>
      <c r="LQ102" s="43"/>
      <c r="LR102" s="43"/>
      <c r="LS102" s="43"/>
      <c r="LT102" s="43"/>
      <c r="LU102" s="43"/>
      <c r="LV102" s="43"/>
      <c r="LW102" s="43"/>
      <c r="LX102" s="43"/>
      <c r="LY102" s="43"/>
      <c r="LZ102" s="43"/>
      <c r="MA102" s="43"/>
      <c r="MB102" s="43"/>
      <c r="MC102" s="43"/>
      <c r="MD102" s="43"/>
      <c r="ME102" s="43"/>
      <c r="MF102" s="43"/>
      <c r="MG102" s="43"/>
      <c r="MH102" s="43"/>
      <c r="MI102" s="43"/>
      <c r="MJ102" s="43"/>
      <c r="MK102" s="43"/>
      <c r="ML102" s="43"/>
      <c r="MM102" s="43"/>
      <c r="MN102" s="43"/>
      <c r="MO102" s="43"/>
      <c r="MP102" s="43"/>
      <c r="MQ102" s="43"/>
      <c r="MR102" s="43"/>
      <c r="MS102" s="43"/>
      <c r="MT102" s="43"/>
      <c r="MU102" s="43"/>
      <c r="MV102" s="43"/>
      <c r="MW102" s="43"/>
      <c r="MX102" s="43"/>
      <c r="MY102" s="43"/>
      <c r="MZ102" s="43"/>
      <c r="NA102" s="43"/>
      <c r="NB102" s="43"/>
      <c r="NC102" s="43"/>
      <c r="ND102" s="43"/>
      <c r="NE102" s="43"/>
      <c r="NF102" s="43"/>
      <c r="NG102" s="43"/>
      <c r="NH102" s="43"/>
      <c r="NI102" s="43"/>
      <c r="NJ102" s="43"/>
      <c r="NK102" s="43"/>
      <c r="NL102" s="43"/>
      <c r="NM102" s="43"/>
      <c r="NN102" s="43"/>
      <c r="NO102" s="43"/>
      <c r="NP102" s="43"/>
      <c r="NQ102" s="43"/>
      <c r="NR102" s="43"/>
      <c r="NS102" s="43"/>
      <c r="NT102" s="43"/>
      <c r="NU102" s="43"/>
      <c r="NV102" s="43"/>
      <c r="NW102" s="43"/>
      <c r="NX102" s="43"/>
      <c r="NY102" s="43"/>
      <c r="NZ102" s="43"/>
      <c r="OA102" s="43"/>
      <c r="OB102" s="43"/>
      <c r="OC102" s="43"/>
      <c r="OD102" s="43"/>
      <c r="OE102" s="43"/>
      <c r="OF102" s="43"/>
      <c r="OG102" s="43"/>
      <c r="OH102" s="43"/>
      <c r="OI102" s="43"/>
      <c r="OJ102" s="43"/>
      <c r="OK102" s="43"/>
      <c r="OL102" s="43"/>
      <c r="OM102" s="43"/>
      <c r="ON102" s="43"/>
      <c r="OO102" s="43"/>
      <c r="OP102" s="43"/>
      <c r="OQ102" s="43"/>
      <c r="OR102" s="43"/>
      <c r="OS102" s="43"/>
      <c r="OT102" s="43"/>
      <c r="OU102" s="43"/>
      <c r="OV102" s="43"/>
      <c r="OW102" s="43"/>
      <c r="OX102" s="43"/>
      <c r="OY102" s="43"/>
      <c r="OZ102" s="43"/>
      <c r="PA102" s="43"/>
      <c r="PB102" s="43"/>
      <c r="PC102" s="43"/>
      <c r="PD102" s="43"/>
      <c r="PE102" s="43"/>
      <c r="PF102" s="43"/>
      <c r="PG102" s="43"/>
      <c r="PH102" s="43"/>
      <c r="PI102" s="43"/>
      <c r="PJ102" s="43"/>
      <c r="PK102" s="43"/>
      <c r="PL102" s="43"/>
      <c r="PM102" s="43"/>
      <c r="PN102" s="43"/>
      <c r="PO102" s="43"/>
      <c r="PP102" s="43"/>
      <c r="PQ102" s="43"/>
      <c r="PR102" s="43"/>
      <c r="PS102" s="43"/>
      <c r="PT102" s="43"/>
      <c r="PU102" s="43"/>
      <c r="PV102" s="43"/>
      <c r="PW102" s="43"/>
      <c r="PX102" s="43"/>
      <c r="PY102" s="43"/>
      <c r="PZ102" s="43"/>
      <c r="QA102" s="43"/>
      <c r="QB102" s="43"/>
      <c r="QC102" s="43"/>
    </row>
    <row r="103" spans="2:445" x14ac:dyDescent="0.3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6" t="str">
        <f t="shared" si="7"/>
        <v/>
      </c>
      <c r="U103" s="46" t="str">
        <f t="shared" si="8"/>
        <v/>
      </c>
      <c r="V103" s="72" t="str">
        <f t="shared" si="9"/>
        <v/>
      </c>
      <c r="W103" s="48"/>
      <c r="X103" s="73" t="str">
        <f t="shared" si="11"/>
        <v/>
      </c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43"/>
      <c r="BO103" s="43"/>
      <c r="BP103" s="43"/>
      <c r="BQ103" s="43"/>
      <c r="BR103" s="43"/>
      <c r="BS103" s="43"/>
      <c r="BT103" s="43"/>
      <c r="BU103" s="43"/>
      <c r="BV103" s="43"/>
      <c r="BW103" s="43"/>
      <c r="BX103" s="43"/>
      <c r="BY103" s="43"/>
      <c r="BZ103" s="43"/>
      <c r="CA103" s="43"/>
      <c r="CB103" s="43"/>
      <c r="CC103" s="4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43"/>
      <c r="CY103" s="43"/>
      <c r="CZ103" s="43"/>
      <c r="DA103" s="43"/>
      <c r="DB103" s="43"/>
      <c r="DC103" s="43"/>
      <c r="DD103" s="43"/>
      <c r="DE103" s="43"/>
      <c r="DF103" s="43"/>
      <c r="DG103" s="43"/>
      <c r="DH103" s="43"/>
      <c r="DI103" s="43"/>
      <c r="DJ103" s="43"/>
      <c r="DK103" s="43"/>
      <c r="DL103" s="43"/>
      <c r="DM103" s="43"/>
      <c r="DN103" s="43"/>
      <c r="DO103" s="43"/>
      <c r="DP103" s="43"/>
      <c r="DQ103" s="43"/>
      <c r="DR103" s="43"/>
      <c r="DS103" s="43"/>
      <c r="DT103" s="43"/>
      <c r="DU103" s="43"/>
      <c r="DV103" s="43"/>
      <c r="DW103" s="43"/>
      <c r="DX103" s="43"/>
      <c r="DY103" s="43"/>
      <c r="DZ103" s="43"/>
      <c r="EA103" s="43"/>
      <c r="EB103" s="43"/>
      <c r="EC103" s="43"/>
      <c r="ED103" s="43"/>
      <c r="EE103" s="43"/>
      <c r="EF103" s="43"/>
      <c r="EG103" s="43"/>
      <c r="EH103" s="43"/>
      <c r="EI103" s="43"/>
      <c r="EJ103" s="43"/>
      <c r="EK103" s="43"/>
      <c r="EL103" s="43"/>
      <c r="EM103" s="43"/>
      <c r="EN103" s="43"/>
      <c r="EO103" s="43"/>
      <c r="EP103" s="43"/>
      <c r="EQ103" s="43"/>
      <c r="ER103" s="43"/>
      <c r="ES103" s="43"/>
      <c r="ET103" s="43"/>
      <c r="EU103" s="43"/>
      <c r="EV103" s="43"/>
      <c r="EW103" s="43"/>
      <c r="EX103" s="43"/>
      <c r="EY103" s="43"/>
      <c r="EZ103" s="43"/>
      <c r="FA103" s="43"/>
      <c r="FB103" s="43"/>
      <c r="FC103" s="43"/>
      <c r="FD103" s="43"/>
      <c r="FE103" s="43"/>
      <c r="FF103" s="43"/>
      <c r="FG103" s="43"/>
      <c r="FH103" s="43"/>
      <c r="FI103" s="43"/>
      <c r="FJ103" s="43"/>
      <c r="FK103" s="43"/>
      <c r="FL103" s="43"/>
      <c r="FM103" s="43"/>
      <c r="FN103" s="43"/>
      <c r="FO103" s="43"/>
      <c r="FP103" s="43"/>
      <c r="FQ103" s="43"/>
      <c r="FR103" s="43"/>
      <c r="FS103" s="43"/>
      <c r="FT103" s="43"/>
      <c r="FU103" s="43"/>
      <c r="FV103" s="43"/>
      <c r="FW103" s="43"/>
      <c r="FX103" s="43"/>
      <c r="FY103" s="43"/>
      <c r="FZ103" s="43"/>
      <c r="GA103" s="43"/>
      <c r="GB103" s="43"/>
      <c r="GC103" s="43"/>
      <c r="GD103" s="43"/>
      <c r="GE103" s="43"/>
      <c r="GF103" s="43"/>
      <c r="GG103" s="43"/>
      <c r="GH103" s="43"/>
      <c r="GI103" s="43"/>
      <c r="GJ103" s="43"/>
      <c r="GK103" s="43"/>
      <c r="GL103" s="43"/>
      <c r="GM103" s="43"/>
      <c r="GN103" s="43"/>
      <c r="GO103" s="43"/>
      <c r="GP103" s="43"/>
      <c r="GQ103" s="43"/>
      <c r="GR103" s="43"/>
      <c r="GS103" s="43"/>
      <c r="GT103" s="43"/>
      <c r="GU103" s="43"/>
      <c r="GV103" s="43"/>
      <c r="GW103" s="43"/>
      <c r="GX103" s="43"/>
      <c r="GY103" s="43"/>
      <c r="GZ103" s="43"/>
      <c r="HA103" s="43"/>
      <c r="HB103" s="43"/>
      <c r="HC103" s="43"/>
      <c r="HD103" s="43"/>
      <c r="HE103" s="43"/>
      <c r="HF103" s="43"/>
      <c r="HG103" s="43"/>
      <c r="HH103" s="43"/>
      <c r="HI103" s="43"/>
      <c r="HJ103" s="43"/>
      <c r="HK103" s="43"/>
      <c r="HL103" s="43"/>
      <c r="HM103" s="43"/>
      <c r="HN103" s="43"/>
      <c r="HO103" s="43"/>
      <c r="HP103" s="43"/>
      <c r="HQ103" s="43"/>
      <c r="HR103" s="43"/>
      <c r="HS103" s="43"/>
      <c r="HT103" s="43"/>
      <c r="HU103" s="43"/>
      <c r="HV103" s="43"/>
      <c r="HW103" s="43"/>
      <c r="HX103" s="43"/>
      <c r="HY103" s="43"/>
      <c r="HZ103" s="43"/>
      <c r="IA103" s="43"/>
      <c r="IB103" s="43"/>
      <c r="IC103" s="43"/>
      <c r="ID103" s="43"/>
      <c r="IE103" s="43"/>
      <c r="IF103" s="43"/>
      <c r="IG103" s="43"/>
      <c r="IH103" s="43"/>
      <c r="II103" s="43"/>
      <c r="IJ103" s="43"/>
      <c r="IK103" s="43"/>
      <c r="IL103" s="43"/>
      <c r="IM103" s="43"/>
      <c r="IN103" s="43"/>
      <c r="IO103" s="43"/>
      <c r="IP103" s="43"/>
      <c r="IQ103" s="43"/>
      <c r="IR103" s="43"/>
      <c r="IS103" s="43"/>
      <c r="IT103" s="43"/>
      <c r="IU103" s="43"/>
      <c r="IV103" s="43"/>
      <c r="IW103" s="43"/>
      <c r="IX103" s="43"/>
      <c r="IY103" s="43"/>
      <c r="IZ103" s="43"/>
      <c r="JA103" s="43"/>
      <c r="JB103" s="43"/>
      <c r="JC103" s="43"/>
      <c r="JD103" s="43"/>
      <c r="JE103" s="43"/>
      <c r="JF103" s="43"/>
      <c r="JG103" s="43"/>
      <c r="JH103" s="43"/>
      <c r="JI103" s="43"/>
      <c r="JJ103" s="43"/>
      <c r="JK103" s="43"/>
      <c r="JL103" s="43"/>
      <c r="JM103" s="43"/>
      <c r="JN103" s="43"/>
      <c r="JO103" s="43"/>
      <c r="JP103" s="43"/>
      <c r="JQ103" s="43"/>
      <c r="JR103" s="43"/>
      <c r="JS103" s="43"/>
      <c r="JT103" s="43"/>
      <c r="JU103" s="43"/>
      <c r="JV103" s="43"/>
      <c r="JW103" s="43"/>
      <c r="JX103" s="43"/>
      <c r="JY103" s="43"/>
      <c r="JZ103" s="43"/>
      <c r="KA103" s="43"/>
      <c r="KB103" s="43"/>
      <c r="KC103" s="43"/>
      <c r="KD103" s="43"/>
      <c r="KE103" s="43"/>
      <c r="KF103" s="43"/>
      <c r="KG103" s="43"/>
      <c r="KH103" s="43"/>
      <c r="KI103" s="43"/>
      <c r="KJ103" s="43"/>
      <c r="KK103" s="43"/>
      <c r="KL103" s="43"/>
      <c r="KM103" s="43"/>
      <c r="KN103" s="43"/>
      <c r="KO103" s="43"/>
      <c r="KP103" s="43"/>
      <c r="KQ103" s="43"/>
      <c r="KR103" s="43"/>
      <c r="KS103" s="43"/>
      <c r="KT103" s="43"/>
      <c r="KU103" s="43"/>
      <c r="KV103" s="43"/>
      <c r="KW103" s="43"/>
      <c r="KX103" s="43"/>
      <c r="KY103" s="43"/>
      <c r="KZ103" s="43"/>
      <c r="LA103" s="43"/>
      <c r="LB103" s="43"/>
      <c r="LC103" s="43"/>
      <c r="LD103" s="43"/>
      <c r="LE103" s="43"/>
      <c r="LF103" s="43"/>
      <c r="LG103" s="43"/>
      <c r="LH103" s="43"/>
      <c r="LI103" s="43"/>
      <c r="LJ103" s="43"/>
      <c r="LK103" s="43"/>
      <c r="LL103" s="43"/>
      <c r="LM103" s="43"/>
      <c r="LN103" s="43"/>
      <c r="LO103" s="43"/>
      <c r="LP103" s="43"/>
      <c r="LQ103" s="43"/>
      <c r="LR103" s="43"/>
      <c r="LS103" s="43"/>
      <c r="LT103" s="43"/>
      <c r="LU103" s="43"/>
      <c r="LV103" s="43"/>
      <c r="LW103" s="43"/>
      <c r="LX103" s="43"/>
      <c r="LY103" s="43"/>
      <c r="LZ103" s="43"/>
      <c r="MA103" s="43"/>
      <c r="MB103" s="43"/>
      <c r="MC103" s="43"/>
      <c r="MD103" s="43"/>
      <c r="ME103" s="43"/>
      <c r="MF103" s="43"/>
      <c r="MG103" s="43"/>
      <c r="MH103" s="43"/>
      <c r="MI103" s="43"/>
      <c r="MJ103" s="43"/>
      <c r="MK103" s="43"/>
      <c r="ML103" s="43"/>
      <c r="MM103" s="43"/>
      <c r="MN103" s="43"/>
      <c r="MO103" s="43"/>
      <c r="MP103" s="43"/>
      <c r="MQ103" s="43"/>
      <c r="MR103" s="43"/>
      <c r="MS103" s="43"/>
      <c r="MT103" s="43"/>
      <c r="MU103" s="43"/>
      <c r="MV103" s="43"/>
      <c r="MW103" s="43"/>
      <c r="MX103" s="43"/>
      <c r="MY103" s="43"/>
      <c r="MZ103" s="43"/>
      <c r="NA103" s="43"/>
      <c r="NB103" s="43"/>
      <c r="NC103" s="43"/>
      <c r="ND103" s="43"/>
      <c r="NE103" s="43"/>
      <c r="NF103" s="43"/>
      <c r="NG103" s="43"/>
      <c r="NH103" s="43"/>
      <c r="NI103" s="43"/>
      <c r="NJ103" s="43"/>
      <c r="NK103" s="43"/>
      <c r="NL103" s="43"/>
      <c r="NM103" s="43"/>
      <c r="NN103" s="43"/>
      <c r="NO103" s="43"/>
      <c r="NP103" s="43"/>
      <c r="NQ103" s="43"/>
      <c r="NR103" s="43"/>
      <c r="NS103" s="43"/>
      <c r="NT103" s="43"/>
      <c r="NU103" s="43"/>
      <c r="NV103" s="43"/>
      <c r="NW103" s="43"/>
      <c r="NX103" s="43"/>
      <c r="NY103" s="43"/>
      <c r="NZ103" s="43"/>
      <c r="OA103" s="43"/>
      <c r="OB103" s="43"/>
      <c r="OC103" s="43"/>
      <c r="OD103" s="43"/>
      <c r="OE103" s="43"/>
      <c r="OF103" s="43"/>
      <c r="OG103" s="43"/>
      <c r="OH103" s="43"/>
      <c r="OI103" s="43"/>
      <c r="OJ103" s="43"/>
      <c r="OK103" s="43"/>
      <c r="OL103" s="43"/>
      <c r="OM103" s="43"/>
      <c r="ON103" s="43"/>
      <c r="OO103" s="43"/>
      <c r="OP103" s="43"/>
      <c r="OQ103" s="43"/>
      <c r="OR103" s="43"/>
      <c r="OS103" s="43"/>
      <c r="OT103" s="43"/>
      <c r="OU103" s="43"/>
      <c r="OV103" s="43"/>
      <c r="OW103" s="43"/>
      <c r="OX103" s="43"/>
      <c r="OY103" s="43"/>
      <c r="OZ103" s="43"/>
      <c r="PA103" s="43"/>
      <c r="PB103" s="43"/>
      <c r="PC103" s="43"/>
      <c r="PD103" s="43"/>
      <c r="PE103" s="43"/>
      <c r="PF103" s="43"/>
      <c r="PG103" s="43"/>
      <c r="PH103" s="43"/>
      <c r="PI103" s="43"/>
      <c r="PJ103" s="43"/>
      <c r="PK103" s="43"/>
      <c r="PL103" s="43"/>
      <c r="PM103" s="43"/>
      <c r="PN103" s="43"/>
      <c r="PO103" s="43"/>
      <c r="PP103" s="43"/>
      <c r="PQ103" s="43"/>
      <c r="PR103" s="43"/>
      <c r="PS103" s="43"/>
      <c r="PT103" s="43"/>
      <c r="PU103" s="43"/>
      <c r="PV103" s="43"/>
      <c r="PW103" s="43"/>
      <c r="PX103" s="43"/>
      <c r="PY103" s="43"/>
      <c r="PZ103" s="43"/>
      <c r="QA103" s="43"/>
      <c r="QB103" s="43"/>
      <c r="QC103" s="43"/>
    </row>
    <row r="104" spans="2:445" x14ac:dyDescent="0.3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6" t="str">
        <f t="shared" si="7"/>
        <v/>
      </c>
      <c r="U104" s="46" t="str">
        <f t="shared" si="8"/>
        <v/>
      </c>
      <c r="V104" s="72" t="str">
        <f t="shared" si="9"/>
        <v/>
      </c>
      <c r="W104" s="48"/>
      <c r="X104" s="73" t="str">
        <f t="shared" si="11"/>
        <v/>
      </c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43"/>
      <c r="BN104" s="43"/>
      <c r="BO104" s="43"/>
      <c r="BP104" s="43"/>
      <c r="BQ104" s="43"/>
      <c r="BR104" s="43"/>
      <c r="BS104" s="43"/>
      <c r="BT104" s="43"/>
      <c r="BU104" s="43"/>
      <c r="BV104" s="43"/>
      <c r="BW104" s="43"/>
      <c r="BX104" s="43"/>
      <c r="BY104" s="43"/>
      <c r="BZ104" s="43"/>
      <c r="CA104" s="43"/>
      <c r="CB104" s="43"/>
      <c r="CC104" s="43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43"/>
      <c r="CY104" s="43"/>
      <c r="CZ104" s="43"/>
      <c r="DA104" s="43"/>
      <c r="DB104" s="43"/>
      <c r="DC104" s="43"/>
      <c r="DD104" s="43"/>
      <c r="DE104" s="43"/>
      <c r="DF104" s="43"/>
      <c r="DG104" s="43"/>
      <c r="DH104" s="43"/>
      <c r="DI104" s="43"/>
      <c r="DJ104" s="43"/>
      <c r="DK104" s="43"/>
      <c r="DL104" s="43"/>
      <c r="DM104" s="43"/>
      <c r="DN104" s="43"/>
      <c r="DO104" s="43"/>
      <c r="DP104" s="43"/>
      <c r="DQ104" s="43"/>
      <c r="DR104" s="43"/>
      <c r="DS104" s="43"/>
      <c r="DT104" s="43"/>
      <c r="DU104" s="43"/>
      <c r="DV104" s="43"/>
      <c r="DW104" s="43"/>
      <c r="DX104" s="43"/>
      <c r="DY104" s="43"/>
      <c r="DZ104" s="43"/>
      <c r="EA104" s="43"/>
      <c r="EB104" s="43"/>
      <c r="EC104" s="43"/>
      <c r="ED104" s="43"/>
      <c r="EE104" s="43"/>
      <c r="EF104" s="43"/>
      <c r="EG104" s="43"/>
      <c r="EH104" s="43"/>
      <c r="EI104" s="43"/>
      <c r="EJ104" s="43"/>
      <c r="EK104" s="43"/>
      <c r="EL104" s="43"/>
      <c r="EM104" s="43"/>
      <c r="EN104" s="43"/>
      <c r="EO104" s="43"/>
      <c r="EP104" s="43"/>
      <c r="EQ104" s="43"/>
      <c r="ER104" s="43"/>
      <c r="ES104" s="43"/>
      <c r="ET104" s="43"/>
      <c r="EU104" s="43"/>
      <c r="EV104" s="43"/>
      <c r="EW104" s="43"/>
      <c r="EX104" s="43"/>
      <c r="EY104" s="43"/>
      <c r="EZ104" s="43"/>
      <c r="FA104" s="43"/>
      <c r="FB104" s="43"/>
      <c r="FC104" s="43"/>
      <c r="FD104" s="43"/>
      <c r="FE104" s="43"/>
      <c r="FF104" s="43"/>
      <c r="FG104" s="43"/>
      <c r="FH104" s="43"/>
      <c r="FI104" s="43"/>
      <c r="FJ104" s="43"/>
      <c r="FK104" s="43"/>
      <c r="FL104" s="43"/>
      <c r="FM104" s="43"/>
      <c r="FN104" s="43"/>
      <c r="FO104" s="43"/>
      <c r="FP104" s="43"/>
      <c r="FQ104" s="43"/>
      <c r="FR104" s="43"/>
      <c r="FS104" s="43"/>
      <c r="FT104" s="43"/>
      <c r="FU104" s="43"/>
      <c r="FV104" s="43"/>
      <c r="FW104" s="43"/>
      <c r="FX104" s="43"/>
      <c r="FY104" s="43"/>
      <c r="FZ104" s="43"/>
      <c r="GA104" s="43"/>
      <c r="GB104" s="43"/>
      <c r="GC104" s="43"/>
      <c r="GD104" s="43"/>
      <c r="GE104" s="43"/>
      <c r="GF104" s="43"/>
      <c r="GG104" s="43"/>
      <c r="GH104" s="43"/>
      <c r="GI104" s="43"/>
      <c r="GJ104" s="43"/>
      <c r="GK104" s="43"/>
      <c r="GL104" s="43"/>
      <c r="GM104" s="43"/>
      <c r="GN104" s="43"/>
      <c r="GO104" s="43"/>
      <c r="GP104" s="43"/>
      <c r="GQ104" s="43"/>
      <c r="GR104" s="43"/>
      <c r="GS104" s="43"/>
      <c r="GT104" s="43"/>
      <c r="GU104" s="43"/>
      <c r="GV104" s="43"/>
      <c r="GW104" s="43"/>
      <c r="GX104" s="43"/>
      <c r="GY104" s="43"/>
      <c r="GZ104" s="43"/>
      <c r="HA104" s="43"/>
      <c r="HB104" s="43"/>
      <c r="HC104" s="43"/>
      <c r="HD104" s="43"/>
      <c r="HE104" s="43"/>
      <c r="HF104" s="43"/>
      <c r="HG104" s="43"/>
      <c r="HH104" s="43"/>
      <c r="HI104" s="43"/>
      <c r="HJ104" s="43"/>
      <c r="HK104" s="43"/>
      <c r="HL104" s="43"/>
      <c r="HM104" s="43"/>
      <c r="HN104" s="43"/>
      <c r="HO104" s="43"/>
      <c r="HP104" s="43"/>
      <c r="HQ104" s="43"/>
      <c r="HR104" s="43"/>
      <c r="HS104" s="43"/>
      <c r="HT104" s="43"/>
      <c r="HU104" s="43"/>
      <c r="HV104" s="43"/>
      <c r="HW104" s="43"/>
      <c r="HX104" s="43"/>
      <c r="HY104" s="43"/>
      <c r="HZ104" s="43"/>
      <c r="IA104" s="43"/>
      <c r="IB104" s="43"/>
      <c r="IC104" s="43"/>
      <c r="ID104" s="43"/>
      <c r="IE104" s="43"/>
      <c r="IF104" s="43"/>
      <c r="IG104" s="43"/>
      <c r="IH104" s="43"/>
      <c r="II104" s="43"/>
      <c r="IJ104" s="43"/>
      <c r="IK104" s="43"/>
      <c r="IL104" s="43"/>
      <c r="IM104" s="43"/>
      <c r="IN104" s="43"/>
      <c r="IO104" s="43"/>
      <c r="IP104" s="43"/>
      <c r="IQ104" s="43"/>
      <c r="IR104" s="43"/>
      <c r="IS104" s="43"/>
      <c r="IT104" s="43"/>
      <c r="IU104" s="43"/>
      <c r="IV104" s="43"/>
      <c r="IW104" s="43"/>
      <c r="IX104" s="43"/>
      <c r="IY104" s="43"/>
      <c r="IZ104" s="43"/>
      <c r="JA104" s="43"/>
      <c r="JB104" s="43"/>
      <c r="JC104" s="43"/>
      <c r="JD104" s="43"/>
      <c r="JE104" s="43"/>
      <c r="JF104" s="43"/>
      <c r="JG104" s="43"/>
      <c r="JH104" s="43"/>
      <c r="JI104" s="43"/>
      <c r="JJ104" s="43"/>
      <c r="JK104" s="43"/>
      <c r="JL104" s="43"/>
      <c r="JM104" s="43"/>
      <c r="JN104" s="43"/>
      <c r="JO104" s="43"/>
      <c r="JP104" s="43"/>
      <c r="JQ104" s="43"/>
      <c r="JR104" s="43"/>
      <c r="JS104" s="43"/>
      <c r="JT104" s="43"/>
      <c r="JU104" s="43"/>
      <c r="JV104" s="43"/>
      <c r="JW104" s="43"/>
      <c r="JX104" s="43"/>
      <c r="JY104" s="43"/>
      <c r="JZ104" s="43"/>
      <c r="KA104" s="43"/>
      <c r="KB104" s="43"/>
      <c r="KC104" s="43"/>
      <c r="KD104" s="43"/>
      <c r="KE104" s="43"/>
      <c r="KF104" s="43"/>
      <c r="KG104" s="43"/>
      <c r="KH104" s="43"/>
      <c r="KI104" s="43"/>
      <c r="KJ104" s="43"/>
      <c r="KK104" s="43"/>
      <c r="KL104" s="43"/>
      <c r="KM104" s="43"/>
      <c r="KN104" s="43"/>
      <c r="KO104" s="43"/>
      <c r="KP104" s="43"/>
      <c r="KQ104" s="43"/>
      <c r="KR104" s="43"/>
      <c r="KS104" s="43"/>
      <c r="KT104" s="43"/>
      <c r="KU104" s="43"/>
      <c r="KV104" s="43"/>
      <c r="KW104" s="43"/>
      <c r="KX104" s="43"/>
      <c r="KY104" s="43"/>
      <c r="KZ104" s="43"/>
      <c r="LA104" s="43"/>
      <c r="LB104" s="43"/>
      <c r="LC104" s="43"/>
      <c r="LD104" s="43"/>
      <c r="LE104" s="43"/>
      <c r="LF104" s="43"/>
      <c r="LG104" s="43"/>
      <c r="LH104" s="43"/>
      <c r="LI104" s="43"/>
      <c r="LJ104" s="43"/>
      <c r="LK104" s="43"/>
      <c r="LL104" s="43"/>
      <c r="LM104" s="43"/>
      <c r="LN104" s="43"/>
      <c r="LO104" s="43"/>
      <c r="LP104" s="43"/>
      <c r="LQ104" s="43"/>
      <c r="LR104" s="43"/>
      <c r="LS104" s="43"/>
      <c r="LT104" s="43"/>
      <c r="LU104" s="43"/>
      <c r="LV104" s="43"/>
      <c r="LW104" s="43"/>
      <c r="LX104" s="43"/>
      <c r="LY104" s="43"/>
      <c r="LZ104" s="43"/>
      <c r="MA104" s="43"/>
      <c r="MB104" s="43"/>
      <c r="MC104" s="43"/>
      <c r="MD104" s="43"/>
      <c r="ME104" s="43"/>
      <c r="MF104" s="43"/>
      <c r="MG104" s="43"/>
      <c r="MH104" s="43"/>
      <c r="MI104" s="43"/>
      <c r="MJ104" s="43"/>
      <c r="MK104" s="43"/>
      <c r="ML104" s="43"/>
      <c r="MM104" s="43"/>
      <c r="MN104" s="43"/>
      <c r="MO104" s="43"/>
      <c r="MP104" s="43"/>
      <c r="MQ104" s="43"/>
      <c r="MR104" s="43"/>
      <c r="MS104" s="43"/>
      <c r="MT104" s="43"/>
      <c r="MU104" s="43"/>
      <c r="MV104" s="43"/>
      <c r="MW104" s="43"/>
      <c r="MX104" s="43"/>
      <c r="MY104" s="43"/>
      <c r="MZ104" s="43"/>
      <c r="NA104" s="43"/>
      <c r="NB104" s="43"/>
      <c r="NC104" s="43"/>
      <c r="ND104" s="43"/>
      <c r="NE104" s="43"/>
      <c r="NF104" s="43"/>
      <c r="NG104" s="43"/>
      <c r="NH104" s="43"/>
      <c r="NI104" s="43"/>
      <c r="NJ104" s="43"/>
      <c r="NK104" s="43"/>
      <c r="NL104" s="43"/>
      <c r="NM104" s="43"/>
      <c r="NN104" s="43"/>
      <c r="NO104" s="43"/>
      <c r="NP104" s="43"/>
      <c r="NQ104" s="43"/>
      <c r="NR104" s="43"/>
      <c r="NS104" s="43"/>
      <c r="NT104" s="43"/>
      <c r="NU104" s="43"/>
      <c r="NV104" s="43"/>
      <c r="NW104" s="43"/>
      <c r="NX104" s="43"/>
      <c r="NY104" s="43"/>
      <c r="NZ104" s="43"/>
      <c r="OA104" s="43"/>
      <c r="OB104" s="43"/>
      <c r="OC104" s="43"/>
      <c r="OD104" s="43"/>
      <c r="OE104" s="43"/>
      <c r="OF104" s="43"/>
      <c r="OG104" s="43"/>
      <c r="OH104" s="43"/>
      <c r="OI104" s="43"/>
      <c r="OJ104" s="43"/>
      <c r="OK104" s="43"/>
      <c r="OL104" s="43"/>
      <c r="OM104" s="43"/>
      <c r="ON104" s="43"/>
      <c r="OO104" s="43"/>
      <c r="OP104" s="43"/>
      <c r="OQ104" s="43"/>
      <c r="OR104" s="43"/>
      <c r="OS104" s="43"/>
      <c r="OT104" s="43"/>
      <c r="OU104" s="43"/>
      <c r="OV104" s="43"/>
      <c r="OW104" s="43"/>
      <c r="OX104" s="43"/>
      <c r="OY104" s="43"/>
      <c r="OZ104" s="43"/>
      <c r="PA104" s="43"/>
      <c r="PB104" s="43"/>
      <c r="PC104" s="43"/>
      <c r="PD104" s="43"/>
      <c r="PE104" s="43"/>
      <c r="PF104" s="43"/>
      <c r="PG104" s="43"/>
      <c r="PH104" s="43"/>
      <c r="PI104" s="43"/>
      <c r="PJ104" s="43"/>
      <c r="PK104" s="43"/>
      <c r="PL104" s="43"/>
      <c r="PM104" s="43"/>
      <c r="PN104" s="43"/>
      <c r="PO104" s="43"/>
      <c r="PP104" s="43"/>
      <c r="PQ104" s="43"/>
      <c r="PR104" s="43"/>
      <c r="PS104" s="43"/>
      <c r="PT104" s="43"/>
      <c r="PU104" s="43"/>
      <c r="PV104" s="43"/>
      <c r="PW104" s="43"/>
      <c r="PX104" s="43"/>
      <c r="PY104" s="43"/>
      <c r="PZ104" s="43"/>
      <c r="QA104" s="43"/>
      <c r="QB104" s="43"/>
      <c r="QC104" s="43"/>
    </row>
    <row r="105" spans="2:445" x14ac:dyDescent="0.3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6" t="str">
        <f t="shared" si="7"/>
        <v/>
      </c>
      <c r="U105" s="46" t="str">
        <f t="shared" si="8"/>
        <v/>
      </c>
      <c r="V105" s="72" t="str">
        <f t="shared" si="9"/>
        <v/>
      </c>
      <c r="W105" s="48"/>
      <c r="X105" s="73" t="str">
        <f t="shared" si="11"/>
        <v/>
      </c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43"/>
      <c r="BO105" s="43"/>
      <c r="BP105" s="43"/>
      <c r="BQ105" s="43"/>
      <c r="BR105" s="43"/>
      <c r="BS105" s="43"/>
      <c r="BT105" s="43"/>
      <c r="BU105" s="43"/>
      <c r="BV105" s="43"/>
      <c r="BW105" s="43"/>
      <c r="BX105" s="43"/>
      <c r="BY105" s="43"/>
      <c r="BZ105" s="43"/>
      <c r="CA105" s="43"/>
      <c r="CB105" s="43"/>
      <c r="CC105" s="4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43"/>
      <c r="CY105" s="43"/>
      <c r="CZ105" s="43"/>
      <c r="DA105" s="43"/>
      <c r="DB105" s="43"/>
      <c r="DC105" s="43"/>
      <c r="DD105" s="43"/>
      <c r="DE105" s="43"/>
      <c r="DF105" s="43"/>
      <c r="DG105" s="43"/>
      <c r="DH105" s="43"/>
      <c r="DI105" s="43"/>
      <c r="DJ105" s="43"/>
      <c r="DK105" s="43"/>
      <c r="DL105" s="43"/>
      <c r="DM105" s="43"/>
      <c r="DN105" s="43"/>
      <c r="DO105" s="43"/>
      <c r="DP105" s="43"/>
      <c r="DQ105" s="43"/>
      <c r="DR105" s="43"/>
      <c r="DS105" s="43"/>
      <c r="DT105" s="43"/>
      <c r="DU105" s="43"/>
      <c r="DV105" s="43"/>
      <c r="DW105" s="43"/>
      <c r="DX105" s="43"/>
      <c r="DY105" s="43"/>
      <c r="DZ105" s="43"/>
      <c r="EA105" s="43"/>
      <c r="EB105" s="43"/>
      <c r="EC105" s="43"/>
      <c r="ED105" s="43"/>
      <c r="EE105" s="43"/>
      <c r="EF105" s="43"/>
      <c r="EG105" s="43"/>
      <c r="EH105" s="43"/>
      <c r="EI105" s="43"/>
      <c r="EJ105" s="43"/>
      <c r="EK105" s="43"/>
      <c r="EL105" s="43"/>
      <c r="EM105" s="43"/>
      <c r="EN105" s="43"/>
      <c r="EO105" s="43"/>
      <c r="EP105" s="43"/>
      <c r="EQ105" s="43"/>
      <c r="ER105" s="43"/>
      <c r="ES105" s="43"/>
      <c r="ET105" s="43"/>
      <c r="EU105" s="43"/>
      <c r="EV105" s="43"/>
      <c r="EW105" s="43"/>
      <c r="EX105" s="43"/>
      <c r="EY105" s="43"/>
      <c r="EZ105" s="43"/>
      <c r="FA105" s="43"/>
      <c r="FB105" s="43"/>
      <c r="FC105" s="43"/>
      <c r="FD105" s="43"/>
      <c r="FE105" s="43"/>
      <c r="FF105" s="43"/>
      <c r="FG105" s="43"/>
      <c r="FH105" s="43"/>
      <c r="FI105" s="43"/>
      <c r="FJ105" s="43"/>
      <c r="FK105" s="43"/>
      <c r="FL105" s="43"/>
      <c r="FM105" s="43"/>
      <c r="FN105" s="43"/>
      <c r="FO105" s="43"/>
      <c r="FP105" s="43"/>
      <c r="FQ105" s="43"/>
      <c r="FR105" s="43"/>
      <c r="FS105" s="43"/>
      <c r="FT105" s="43"/>
      <c r="FU105" s="43"/>
      <c r="FV105" s="43"/>
      <c r="FW105" s="43"/>
      <c r="FX105" s="43"/>
      <c r="FY105" s="43"/>
      <c r="FZ105" s="43"/>
      <c r="GA105" s="43"/>
      <c r="GB105" s="43"/>
      <c r="GC105" s="43"/>
      <c r="GD105" s="43"/>
      <c r="GE105" s="43"/>
      <c r="GF105" s="43"/>
      <c r="GG105" s="43"/>
      <c r="GH105" s="43"/>
      <c r="GI105" s="43"/>
      <c r="GJ105" s="43"/>
      <c r="GK105" s="43"/>
      <c r="GL105" s="43"/>
      <c r="GM105" s="43"/>
      <c r="GN105" s="43"/>
      <c r="GO105" s="43"/>
      <c r="GP105" s="43"/>
      <c r="GQ105" s="43"/>
      <c r="GR105" s="43"/>
      <c r="GS105" s="43"/>
      <c r="GT105" s="43"/>
      <c r="GU105" s="43"/>
      <c r="GV105" s="43"/>
      <c r="GW105" s="43"/>
      <c r="GX105" s="43"/>
      <c r="GY105" s="43"/>
      <c r="GZ105" s="43"/>
      <c r="HA105" s="43"/>
      <c r="HB105" s="43"/>
      <c r="HC105" s="43"/>
      <c r="HD105" s="43"/>
      <c r="HE105" s="43"/>
      <c r="HF105" s="43"/>
      <c r="HG105" s="43"/>
      <c r="HH105" s="43"/>
      <c r="HI105" s="43"/>
      <c r="HJ105" s="43"/>
      <c r="HK105" s="43"/>
      <c r="HL105" s="43"/>
      <c r="HM105" s="43"/>
      <c r="HN105" s="43"/>
      <c r="HO105" s="43"/>
      <c r="HP105" s="43"/>
      <c r="HQ105" s="43"/>
      <c r="HR105" s="43"/>
      <c r="HS105" s="43"/>
      <c r="HT105" s="43"/>
      <c r="HU105" s="43"/>
      <c r="HV105" s="43"/>
      <c r="HW105" s="43"/>
      <c r="HX105" s="43"/>
      <c r="HY105" s="43"/>
      <c r="HZ105" s="43"/>
      <c r="IA105" s="43"/>
      <c r="IB105" s="43"/>
      <c r="IC105" s="43"/>
      <c r="ID105" s="43"/>
      <c r="IE105" s="43"/>
      <c r="IF105" s="43"/>
      <c r="IG105" s="43"/>
      <c r="IH105" s="43"/>
      <c r="II105" s="43"/>
      <c r="IJ105" s="43"/>
      <c r="IK105" s="43"/>
      <c r="IL105" s="43"/>
      <c r="IM105" s="43"/>
      <c r="IN105" s="43"/>
      <c r="IO105" s="43"/>
      <c r="IP105" s="43"/>
      <c r="IQ105" s="43"/>
      <c r="IR105" s="43"/>
      <c r="IS105" s="43"/>
      <c r="IT105" s="43"/>
      <c r="IU105" s="43"/>
      <c r="IV105" s="43"/>
      <c r="IW105" s="43"/>
      <c r="IX105" s="43"/>
      <c r="IY105" s="43"/>
      <c r="IZ105" s="43"/>
      <c r="JA105" s="43"/>
      <c r="JB105" s="43"/>
      <c r="JC105" s="43"/>
      <c r="JD105" s="43"/>
      <c r="JE105" s="43"/>
      <c r="JF105" s="43"/>
      <c r="JG105" s="43"/>
      <c r="JH105" s="43"/>
      <c r="JI105" s="43"/>
      <c r="JJ105" s="43"/>
      <c r="JK105" s="43"/>
      <c r="JL105" s="43"/>
      <c r="JM105" s="43"/>
      <c r="JN105" s="43"/>
      <c r="JO105" s="43"/>
      <c r="JP105" s="43"/>
      <c r="JQ105" s="43"/>
      <c r="JR105" s="43"/>
      <c r="JS105" s="43"/>
      <c r="JT105" s="43"/>
      <c r="JU105" s="43"/>
      <c r="JV105" s="43"/>
      <c r="JW105" s="43"/>
      <c r="JX105" s="43"/>
      <c r="JY105" s="43"/>
      <c r="JZ105" s="43"/>
      <c r="KA105" s="43"/>
      <c r="KB105" s="43"/>
      <c r="KC105" s="43"/>
      <c r="KD105" s="43"/>
      <c r="KE105" s="43"/>
      <c r="KF105" s="43"/>
      <c r="KG105" s="43"/>
      <c r="KH105" s="43"/>
      <c r="KI105" s="43"/>
      <c r="KJ105" s="43"/>
      <c r="KK105" s="43"/>
      <c r="KL105" s="43"/>
      <c r="KM105" s="43"/>
      <c r="KN105" s="43"/>
      <c r="KO105" s="43"/>
      <c r="KP105" s="43"/>
      <c r="KQ105" s="43"/>
      <c r="KR105" s="43"/>
      <c r="KS105" s="43"/>
      <c r="KT105" s="43"/>
      <c r="KU105" s="43"/>
      <c r="KV105" s="43"/>
      <c r="KW105" s="43"/>
      <c r="KX105" s="43"/>
      <c r="KY105" s="43"/>
      <c r="KZ105" s="43"/>
      <c r="LA105" s="43"/>
      <c r="LB105" s="43"/>
      <c r="LC105" s="43"/>
      <c r="LD105" s="43"/>
      <c r="LE105" s="43"/>
      <c r="LF105" s="43"/>
      <c r="LG105" s="43"/>
      <c r="LH105" s="43"/>
      <c r="LI105" s="43"/>
      <c r="LJ105" s="43"/>
      <c r="LK105" s="43"/>
      <c r="LL105" s="43"/>
      <c r="LM105" s="43"/>
      <c r="LN105" s="43"/>
      <c r="LO105" s="43"/>
      <c r="LP105" s="43"/>
      <c r="LQ105" s="43"/>
      <c r="LR105" s="43"/>
      <c r="LS105" s="43"/>
      <c r="LT105" s="43"/>
      <c r="LU105" s="43"/>
      <c r="LV105" s="43"/>
      <c r="LW105" s="43"/>
      <c r="LX105" s="43"/>
      <c r="LY105" s="43"/>
      <c r="LZ105" s="43"/>
      <c r="MA105" s="43"/>
      <c r="MB105" s="43"/>
      <c r="MC105" s="43"/>
      <c r="MD105" s="43"/>
      <c r="ME105" s="43"/>
      <c r="MF105" s="43"/>
      <c r="MG105" s="43"/>
      <c r="MH105" s="43"/>
      <c r="MI105" s="43"/>
      <c r="MJ105" s="43"/>
      <c r="MK105" s="43"/>
      <c r="ML105" s="43"/>
      <c r="MM105" s="43"/>
      <c r="MN105" s="43"/>
      <c r="MO105" s="43"/>
      <c r="MP105" s="43"/>
      <c r="MQ105" s="43"/>
      <c r="MR105" s="43"/>
      <c r="MS105" s="43"/>
      <c r="MT105" s="43"/>
      <c r="MU105" s="43"/>
      <c r="MV105" s="43"/>
      <c r="MW105" s="43"/>
      <c r="MX105" s="43"/>
      <c r="MY105" s="43"/>
      <c r="MZ105" s="43"/>
      <c r="NA105" s="43"/>
      <c r="NB105" s="43"/>
      <c r="NC105" s="43"/>
      <c r="ND105" s="43"/>
      <c r="NE105" s="43"/>
      <c r="NF105" s="43"/>
      <c r="NG105" s="43"/>
      <c r="NH105" s="43"/>
      <c r="NI105" s="43"/>
      <c r="NJ105" s="43"/>
      <c r="NK105" s="43"/>
      <c r="NL105" s="43"/>
      <c r="NM105" s="43"/>
      <c r="NN105" s="43"/>
      <c r="NO105" s="43"/>
      <c r="NP105" s="43"/>
      <c r="NQ105" s="43"/>
      <c r="NR105" s="43"/>
      <c r="NS105" s="43"/>
      <c r="NT105" s="43"/>
      <c r="NU105" s="43"/>
      <c r="NV105" s="43"/>
      <c r="NW105" s="43"/>
      <c r="NX105" s="43"/>
      <c r="NY105" s="43"/>
      <c r="NZ105" s="43"/>
      <c r="OA105" s="43"/>
      <c r="OB105" s="43"/>
      <c r="OC105" s="43"/>
      <c r="OD105" s="43"/>
      <c r="OE105" s="43"/>
      <c r="OF105" s="43"/>
      <c r="OG105" s="43"/>
      <c r="OH105" s="43"/>
      <c r="OI105" s="43"/>
      <c r="OJ105" s="43"/>
      <c r="OK105" s="43"/>
      <c r="OL105" s="43"/>
      <c r="OM105" s="43"/>
      <c r="ON105" s="43"/>
      <c r="OO105" s="43"/>
      <c r="OP105" s="43"/>
      <c r="OQ105" s="43"/>
      <c r="OR105" s="43"/>
      <c r="OS105" s="43"/>
      <c r="OT105" s="43"/>
      <c r="OU105" s="43"/>
      <c r="OV105" s="43"/>
      <c r="OW105" s="43"/>
      <c r="OX105" s="43"/>
      <c r="OY105" s="43"/>
      <c r="OZ105" s="43"/>
      <c r="PA105" s="43"/>
      <c r="PB105" s="43"/>
      <c r="PC105" s="43"/>
      <c r="PD105" s="43"/>
      <c r="PE105" s="43"/>
      <c r="PF105" s="43"/>
      <c r="PG105" s="43"/>
      <c r="PH105" s="43"/>
      <c r="PI105" s="43"/>
      <c r="PJ105" s="43"/>
      <c r="PK105" s="43"/>
      <c r="PL105" s="43"/>
      <c r="PM105" s="43"/>
      <c r="PN105" s="43"/>
      <c r="PO105" s="43"/>
      <c r="PP105" s="43"/>
      <c r="PQ105" s="43"/>
      <c r="PR105" s="43"/>
      <c r="PS105" s="43"/>
      <c r="PT105" s="43"/>
      <c r="PU105" s="43"/>
      <c r="PV105" s="43"/>
      <c r="PW105" s="43"/>
      <c r="PX105" s="43"/>
      <c r="PY105" s="43"/>
      <c r="PZ105" s="43"/>
      <c r="QA105" s="43"/>
      <c r="QB105" s="43"/>
      <c r="QC105" s="43"/>
    </row>
    <row r="106" spans="2:445" x14ac:dyDescent="0.3"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6" t="str">
        <f t="shared" si="7"/>
        <v/>
      </c>
      <c r="U106" s="46" t="str">
        <f t="shared" si="8"/>
        <v/>
      </c>
      <c r="V106" s="72" t="str">
        <f t="shared" si="9"/>
        <v/>
      </c>
      <c r="W106" s="48"/>
      <c r="X106" s="73" t="str">
        <f t="shared" si="11"/>
        <v/>
      </c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43"/>
      <c r="BN106" s="43"/>
      <c r="BO106" s="43"/>
      <c r="BP106" s="43"/>
      <c r="BQ106" s="43"/>
      <c r="BR106" s="43"/>
      <c r="BS106" s="43"/>
      <c r="BT106" s="43"/>
      <c r="BU106" s="43"/>
      <c r="BV106" s="43"/>
      <c r="BW106" s="43"/>
      <c r="BX106" s="43"/>
      <c r="BY106" s="43"/>
      <c r="BZ106" s="43"/>
      <c r="CA106" s="43"/>
      <c r="CB106" s="43"/>
      <c r="CC106" s="43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43"/>
      <c r="CY106" s="43"/>
      <c r="CZ106" s="43"/>
      <c r="DA106" s="43"/>
      <c r="DB106" s="43"/>
      <c r="DC106" s="43"/>
      <c r="DD106" s="43"/>
      <c r="DE106" s="43"/>
      <c r="DF106" s="43"/>
      <c r="DG106" s="43"/>
      <c r="DH106" s="43"/>
      <c r="DI106" s="43"/>
      <c r="DJ106" s="43"/>
      <c r="DK106" s="43"/>
      <c r="DL106" s="43"/>
      <c r="DM106" s="43"/>
      <c r="DN106" s="43"/>
      <c r="DO106" s="43"/>
      <c r="DP106" s="43"/>
      <c r="DQ106" s="43"/>
      <c r="DR106" s="43"/>
      <c r="DS106" s="43"/>
      <c r="DT106" s="43"/>
      <c r="DU106" s="43"/>
      <c r="DV106" s="43"/>
      <c r="DW106" s="43"/>
      <c r="DX106" s="43"/>
      <c r="DY106" s="43"/>
      <c r="DZ106" s="43"/>
      <c r="EA106" s="43"/>
      <c r="EB106" s="43"/>
      <c r="EC106" s="43"/>
      <c r="ED106" s="43"/>
      <c r="EE106" s="43"/>
      <c r="EF106" s="43"/>
      <c r="EG106" s="43"/>
      <c r="EH106" s="43"/>
      <c r="EI106" s="43"/>
      <c r="EJ106" s="43"/>
      <c r="EK106" s="43"/>
      <c r="EL106" s="43"/>
      <c r="EM106" s="43"/>
      <c r="EN106" s="43"/>
      <c r="EO106" s="43"/>
      <c r="EP106" s="43"/>
      <c r="EQ106" s="43"/>
      <c r="ER106" s="43"/>
      <c r="ES106" s="43"/>
      <c r="ET106" s="43"/>
      <c r="EU106" s="43"/>
      <c r="EV106" s="43"/>
      <c r="EW106" s="43"/>
      <c r="EX106" s="43"/>
      <c r="EY106" s="43"/>
      <c r="EZ106" s="43"/>
      <c r="FA106" s="43"/>
      <c r="FB106" s="43"/>
      <c r="FC106" s="43"/>
      <c r="FD106" s="43"/>
      <c r="FE106" s="43"/>
      <c r="FF106" s="43"/>
      <c r="FG106" s="43"/>
      <c r="FH106" s="43"/>
      <c r="FI106" s="43"/>
      <c r="FJ106" s="43"/>
      <c r="FK106" s="43"/>
      <c r="FL106" s="43"/>
      <c r="FM106" s="43"/>
      <c r="FN106" s="43"/>
      <c r="FO106" s="43"/>
      <c r="FP106" s="43"/>
      <c r="FQ106" s="43"/>
      <c r="FR106" s="43"/>
      <c r="FS106" s="43"/>
      <c r="FT106" s="43"/>
      <c r="FU106" s="43"/>
      <c r="FV106" s="43"/>
      <c r="FW106" s="43"/>
      <c r="FX106" s="43"/>
      <c r="FY106" s="43"/>
      <c r="FZ106" s="43"/>
      <c r="GA106" s="43"/>
      <c r="GB106" s="43"/>
      <c r="GC106" s="43"/>
      <c r="GD106" s="43"/>
      <c r="GE106" s="43"/>
      <c r="GF106" s="43"/>
      <c r="GG106" s="43"/>
      <c r="GH106" s="43"/>
      <c r="GI106" s="43"/>
      <c r="GJ106" s="43"/>
      <c r="GK106" s="43"/>
      <c r="GL106" s="43"/>
      <c r="GM106" s="43"/>
      <c r="GN106" s="43"/>
      <c r="GO106" s="43"/>
      <c r="GP106" s="43"/>
      <c r="GQ106" s="43"/>
      <c r="GR106" s="43"/>
      <c r="GS106" s="43"/>
      <c r="GT106" s="43"/>
      <c r="GU106" s="43"/>
      <c r="GV106" s="43"/>
      <c r="GW106" s="43"/>
      <c r="GX106" s="43"/>
      <c r="GY106" s="43"/>
      <c r="GZ106" s="43"/>
      <c r="HA106" s="43"/>
      <c r="HB106" s="43"/>
      <c r="HC106" s="43"/>
      <c r="HD106" s="43"/>
      <c r="HE106" s="43"/>
      <c r="HF106" s="43"/>
      <c r="HG106" s="43"/>
      <c r="HH106" s="43"/>
      <c r="HI106" s="43"/>
      <c r="HJ106" s="43"/>
      <c r="HK106" s="43"/>
      <c r="HL106" s="43"/>
      <c r="HM106" s="43"/>
      <c r="HN106" s="43"/>
      <c r="HO106" s="43"/>
      <c r="HP106" s="43"/>
      <c r="HQ106" s="43"/>
      <c r="HR106" s="43"/>
      <c r="HS106" s="43"/>
      <c r="HT106" s="43"/>
      <c r="HU106" s="43"/>
      <c r="HV106" s="43"/>
      <c r="HW106" s="43"/>
      <c r="HX106" s="43"/>
      <c r="HY106" s="43"/>
      <c r="HZ106" s="43"/>
      <c r="IA106" s="43"/>
      <c r="IB106" s="43"/>
      <c r="IC106" s="43"/>
      <c r="ID106" s="43"/>
      <c r="IE106" s="43"/>
      <c r="IF106" s="43"/>
      <c r="IG106" s="43"/>
      <c r="IH106" s="43"/>
      <c r="II106" s="43"/>
      <c r="IJ106" s="43"/>
      <c r="IK106" s="43"/>
      <c r="IL106" s="43"/>
      <c r="IM106" s="43"/>
      <c r="IN106" s="43"/>
      <c r="IO106" s="43"/>
      <c r="IP106" s="43"/>
      <c r="IQ106" s="43"/>
      <c r="IR106" s="43"/>
      <c r="IS106" s="43"/>
      <c r="IT106" s="43"/>
      <c r="IU106" s="43"/>
      <c r="IV106" s="43"/>
      <c r="IW106" s="43"/>
      <c r="IX106" s="43"/>
      <c r="IY106" s="43"/>
      <c r="IZ106" s="43"/>
      <c r="JA106" s="43"/>
      <c r="JB106" s="43"/>
      <c r="JC106" s="43"/>
      <c r="JD106" s="43"/>
      <c r="JE106" s="43"/>
      <c r="JF106" s="43"/>
      <c r="JG106" s="43"/>
      <c r="JH106" s="43"/>
      <c r="JI106" s="43"/>
      <c r="JJ106" s="43"/>
      <c r="JK106" s="43"/>
      <c r="JL106" s="43"/>
      <c r="JM106" s="43"/>
      <c r="JN106" s="43"/>
      <c r="JO106" s="43"/>
      <c r="JP106" s="43"/>
      <c r="JQ106" s="43"/>
      <c r="JR106" s="43"/>
      <c r="JS106" s="43"/>
      <c r="JT106" s="43"/>
      <c r="JU106" s="43"/>
      <c r="JV106" s="43"/>
      <c r="JW106" s="43"/>
      <c r="JX106" s="43"/>
      <c r="JY106" s="43"/>
      <c r="JZ106" s="43"/>
      <c r="KA106" s="43"/>
      <c r="KB106" s="43"/>
      <c r="KC106" s="43"/>
      <c r="KD106" s="43"/>
      <c r="KE106" s="43"/>
      <c r="KF106" s="43"/>
      <c r="KG106" s="43"/>
      <c r="KH106" s="43"/>
      <c r="KI106" s="43"/>
      <c r="KJ106" s="43"/>
      <c r="KK106" s="43"/>
      <c r="KL106" s="43"/>
      <c r="KM106" s="43"/>
      <c r="KN106" s="43"/>
      <c r="KO106" s="43"/>
      <c r="KP106" s="43"/>
      <c r="KQ106" s="43"/>
      <c r="KR106" s="43"/>
      <c r="KS106" s="43"/>
      <c r="KT106" s="43"/>
      <c r="KU106" s="43"/>
      <c r="KV106" s="43"/>
      <c r="KW106" s="43"/>
      <c r="KX106" s="43"/>
      <c r="KY106" s="43"/>
      <c r="KZ106" s="43"/>
      <c r="LA106" s="43"/>
      <c r="LB106" s="43"/>
      <c r="LC106" s="43"/>
      <c r="LD106" s="43"/>
      <c r="LE106" s="43"/>
      <c r="LF106" s="43"/>
      <c r="LG106" s="43"/>
      <c r="LH106" s="43"/>
      <c r="LI106" s="43"/>
      <c r="LJ106" s="43"/>
      <c r="LK106" s="43"/>
      <c r="LL106" s="43"/>
      <c r="LM106" s="43"/>
      <c r="LN106" s="43"/>
      <c r="LO106" s="43"/>
      <c r="LP106" s="43"/>
      <c r="LQ106" s="43"/>
      <c r="LR106" s="43"/>
      <c r="LS106" s="43"/>
      <c r="LT106" s="43"/>
      <c r="LU106" s="43"/>
      <c r="LV106" s="43"/>
      <c r="LW106" s="43"/>
      <c r="LX106" s="43"/>
      <c r="LY106" s="43"/>
      <c r="LZ106" s="43"/>
      <c r="MA106" s="43"/>
      <c r="MB106" s="43"/>
      <c r="MC106" s="43"/>
      <c r="MD106" s="43"/>
      <c r="ME106" s="43"/>
      <c r="MF106" s="43"/>
      <c r="MG106" s="43"/>
      <c r="MH106" s="43"/>
      <c r="MI106" s="43"/>
      <c r="MJ106" s="43"/>
      <c r="MK106" s="43"/>
      <c r="ML106" s="43"/>
      <c r="MM106" s="43"/>
      <c r="MN106" s="43"/>
      <c r="MO106" s="43"/>
      <c r="MP106" s="43"/>
      <c r="MQ106" s="43"/>
      <c r="MR106" s="43"/>
      <c r="MS106" s="43"/>
      <c r="MT106" s="43"/>
      <c r="MU106" s="43"/>
      <c r="MV106" s="43"/>
      <c r="MW106" s="43"/>
      <c r="MX106" s="43"/>
      <c r="MY106" s="43"/>
      <c r="MZ106" s="43"/>
      <c r="NA106" s="43"/>
      <c r="NB106" s="43"/>
      <c r="NC106" s="43"/>
      <c r="ND106" s="43"/>
      <c r="NE106" s="43"/>
      <c r="NF106" s="43"/>
      <c r="NG106" s="43"/>
      <c r="NH106" s="43"/>
      <c r="NI106" s="43"/>
      <c r="NJ106" s="43"/>
      <c r="NK106" s="43"/>
      <c r="NL106" s="43"/>
      <c r="NM106" s="43"/>
      <c r="NN106" s="43"/>
      <c r="NO106" s="43"/>
      <c r="NP106" s="43"/>
      <c r="NQ106" s="43"/>
      <c r="NR106" s="43"/>
      <c r="NS106" s="43"/>
      <c r="NT106" s="43"/>
      <c r="NU106" s="43"/>
      <c r="NV106" s="43"/>
      <c r="NW106" s="43"/>
      <c r="NX106" s="43"/>
      <c r="NY106" s="43"/>
      <c r="NZ106" s="43"/>
      <c r="OA106" s="43"/>
      <c r="OB106" s="43"/>
      <c r="OC106" s="43"/>
      <c r="OD106" s="43"/>
      <c r="OE106" s="43"/>
      <c r="OF106" s="43"/>
      <c r="OG106" s="43"/>
      <c r="OH106" s="43"/>
      <c r="OI106" s="43"/>
      <c r="OJ106" s="43"/>
      <c r="OK106" s="43"/>
      <c r="OL106" s="43"/>
      <c r="OM106" s="43"/>
      <c r="ON106" s="43"/>
      <c r="OO106" s="43"/>
      <c r="OP106" s="43"/>
      <c r="OQ106" s="43"/>
      <c r="OR106" s="43"/>
      <c r="OS106" s="43"/>
      <c r="OT106" s="43"/>
      <c r="OU106" s="43"/>
      <c r="OV106" s="43"/>
      <c r="OW106" s="43"/>
      <c r="OX106" s="43"/>
      <c r="OY106" s="43"/>
      <c r="OZ106" s="43"/>
      <c r="PA106" s="43"/>
      <c r="PB106" s="43"/>
      <c r="PC106" s="43"/>
      <c r="PD106" s="43"/>
      <c r="PE106" s="43"/>
      <c r="PF106" s="43"/>
      <c r="PG106" s="43"/>
      <c r="PH106" s="43"/>
      <c r="PI106" s="43"/>
      <c r="PJ106" s="43"/>
      <c r="PK106" s="43"/>
      <c r="PL106" s="43"/>
      <c r="PM106" s="43"/>
      <c r="PN106" s="43"/>
      <c r="PO106" s="43"/>
      <c r="PP106" s="43"/>
      <c r="PQ106" s="43"/>
      <c r="PR106" s="43"/>
      <c r="PS106" s="43"/>
      <c r="PT106" s="43"/>
      <c r="PU106" s="43"/>
      <c r="PV106" s="43"/>
      <c r="PW106" s="43"/>
      <c r="PX106" s="43"/>
      <c r="PY106" s="43"/>
      <c r="PZ106" s="43"/>
      <c r="QA106" s="43"/>
      <c r="QB106" s="43"/>
      <c r="QC106" s="43"/>
    </row>
    <row r="107" spans="2:445" x14ac:dyDescent="0.3"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6" t="str">
        <f t="shared" si="7"/>
        <v/>
      </c>
      <c r="U107" s="46" t="str">
        <f t="shared" si="8"/>
        <v/>
      </c>
      <c r="V107" s="72" t="str">
        <f t="shared" si="9"/>
        <v/>
      </c>
      <c r="W107" s="48"/>
      <c r="X107" s="73" t="str">
        <f t="shared" si="11"/>
        <v/>
      </c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43"/>
      <c r="BN107" s="43"/>
      <c r="BO107" s="43"/>
      <c r="BP107" s="43"/>
      <c r="BQ107" s="43"/>
      <c r="BR107" s="43"/>
      <c r="BS107" s="43"/>
      <c r="BT107" s="43"/>
      <c r="BU107" s="43"/>
      <c r="BV107" s="43"/>
      <c r="BW107" s="43"/>
      <c r="BX107" s="43"/>
      <c r="BY107" s="43"/>
      <c r="BZ107" s="43"/>
      <c r="CA107" s="43"/>
      <c r="CB107" s="43"/>
      <c r="CC107" s="43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43"/>
      <c r="CY107" s="43"/>
      <c r="CZ107" s="43"/>
      <c r="DA107" s="43"/>
      <c r="DB107" s="43"/>
      <c r="DC107" s="43"/>
      <c r="DD107" s="43"/>
      <c r="DE107" s="43"/>
      <c r="DF107" s="43"/>
      <c r="DG107" s="43"/>
      <c r="DH107" s="43"/>
      <c r="DI107" s="43"/>
      <c r="DJ107" s="43"/>
      <c r="DK107" s="43"/>
      <c r="DL107" s="43"/>
      <c r="DM107" s="43"/>
      <c r="DN107" s="43"/>
      <c r="DO107" s="43"/>
      <c r="DP107" s="43"/>
      <c r="DQ107" s="43"/>
      <c r="DR107" s="43"/>
      <c r="DS107" s="43"/>
      <c r="DT107" s="43"/>
      <c r="DU107" s="43"/>
      <c r="DV107" s="43"/>
      <c r="DW107" s="43"/>
      <c r="DX107" s="43"/>
      <c r="DY107" s="43"/>
      <c r="DZ107" s="43"/>
      <c r="EA107" s="43"/>
      <c r="EB107" s="43"/>
      <c r="EC107" s="43"/>
      <c r="ED107" s="43"/>
      <c r="EE107" s="43"/>
      <c r="EF107" s="43"/>
      <c r="EG107" s="43"/>
      <c r="EH107" s="43"/>
      <c r="EI107" s="43"/>
      <c r="EJ107" s="43"/>
      <c r="EK107" s="43"/>
      <c r="EL107" s="43"/>
      <c r="EM107" s="43"/>
      <c r="EN107" s="43"/>
      <c r="EO107" s="43"/>
      <c r="EP107" s="43"/>
      <c r="EQ107" s="43"/>
      <c r="ER107" s="43"/>
      <c r="ES107" s="43"/>
      <c r="ET107" s="43"/>
      <c r="EU107" s="43"/>
      <c r="EV107" s="43"/>
      <c r="EW107" s="43"/>
      <c r="EX107" s="43"/>
      <c r="EY107" s="43"/>
      <c r="EZ107" s="43"/>
      <c r="FA107" s="43"/>
      <c r="FB107" s="43"/>
      <c r="FC107" s="43"/>
      <c r="FD107" s="43"/>
      <c r="FE107" s="43"/>
      <c r="FF107" s="43"/>
      <c r="FG107" s="43"/>
      <c r="FH107" s="43"/>
      <c r="FI107" s="43"/>
      <c r="FJ107" s="43"/>
      <c r="FK107" s="43"/>
      <c r="FL107" s="43"/>
      <c r="FM107" s="43"/>
      <c r="FN107" s="43"/>
      <c r="FO107" s="43"/>
      <c r="FP107" s="43"/>
      <c r="FQ107" s="43"/>
      <c r="FR107" s="43"/>
      <c r="FS107" s="43"/>
      <c r="FT107" s="43"/>
      <c r="FU107" s="43"/>
      <c r="FV107" s="43"/>
      <c r="FW107" s="43"/>
      <c r="FX107" s="43"/>
      <c r="FY107" s="43"/>
      <c r="FZ107" s="43"/>
      <c r="GA107" s="43"/>
      <c r="GB107" s="43"/>
      <c r="GC107" s="43"/>
      <c r="GD107" s="43"/>
      <c r="GE107" s="43"/>
      <c r="GF107" s="43"/>
      <c r="GG107" s="43"/>
      <c r="GH107" s="43"/>
      <c r="GI107" s="43"/>
      <c r="GJ107" s="43"/>
      <c r="GK107" s="43"/>
      <c r="GL107" s="43"/>
      <c r="GM107" s="43"/>
      <c r="GN107" s="43"/>
      <c r="GO107" s="43"/>
      <c r="GP107" s="43"/>
      <c r="GQ107" s="43"/>
      <c r="GR107" s="43"/>
      <c r="GS107" s="43"/>
      <c r="GT107" s="43"/>
      <c r="GU107" s="43"/>
      <c r="GV107" s="43"/>
      <c r="GW107" s="43"/>
      <c r="GX107" s="43"/>
      <c r="GY107" s="43"/>
      <c r="GZ107" s="43"/>
      <c r="HA107" s="43"/>
      <c r="HB107" s="43"/>
      <c r="HC107" s="43"/>
      <c r="HD107" s="43"/>
      <c r="HE107" s="43"/>
      <c r="HF107" s="43"/>
      <c r="HG107" s="43"/>
      <c r="HH107" s="43"/>
      <c r="HI107" s="43"/>
      <c r="HJ107" s="43"/>
      <c r="HK107" s="43"/>
      <c r="HL107" s="43"/>
      <c r="HM107" s="43"/>
      <c r="HN107" s="43"/>
      <c r="HO107" s="43"/>
      <c r="HP107" s="43"/>
      <c r="HQ107" s="43"/>
      <c r="HR107" s="43"/>
      <c r="HS107" s="43"/>
      <c r="HT107" s="43"/>
      <c r="HU107" s="43"/>
      <c r="HV107" s="43"/>
      <c r="HW107" s="43"/>
      <c r="HX107" s="43"/>
      <c r="HY107" s="43"/>
      <c r="HZ107" s="43"/>
      <c r="IA107" s="43"/>
      <c r="IB107" s="43"/>
      <c r="IC107" s="43"/>
      <c r="ID107" s="43"/>
      <c r="IE107" s="43"/>
      <c r="IF107" s="43"/>
      <c r="IG107" s="43"/>
      <c r="IH107" s="43"/>
      <c r="II107" s="43"/>
      <c r="IJ107" s="43"/>
      <c r="IK107" s="43"/>
      <c r="IL107" s="43"/>
      <c r="IM107" s="43"/>
      <c r="IN107" s="43"/>
      <c r="IO107" s="43"/>
      <c r="IP107" s="43"/>
      <c r="IQ107" s="43"/>
      <c r="IR107" s="43"/>
      <c r="IS107" s="43"/>
      <c r="IT107" s="43"/>
      <c r="IU107" s="43"/>
      <c r="IV107" s="43"/>
      <c r="IW107" s="43"/>
      <c r="IX107" s="43"/>
      <c r="IY107" s="43"/>
      <c r="IZ107" s="43"/>
      <c r="JA107" s="43"/>
      <c r="JB107" s="43"/>
      <c r="JC107" s="43"/>
      <c r="JD107" s="43"/>
      <c r="JE107" s="43"/>
      <c r="JF107" s="43"/>
      <c r="JG107" s="43"/>
      <c r="JH107" s="43"/>
      <c r="JI107" s="43"/>
      <c r="JJ107" s="43"/>
      <c r="JK107" s="43"/>
      <c r="JL107" s="43"/>
      <c r="JM107" s="43"/>
      <c r="JN107" s="43"/>
      <c r="JO107" s="43"/>
      <c r="JP107" s="43"/>
      <c r="JQ107" s="43"/>
      <c r="JR107" s="43"/>
      <c r="JS107" s="43"/>
      <c r="JT107" s="43"/>
      <c r="JU107" s="43"/>
      <c r="JV107" s="43"/>
      <c r="JW107" s="43"/>
      <c r="JX107" s="43"/>
      <c r="JY107" s="43"/>
      <c r="JZ107" s="43"/>
      <c r="KA107" s="43"/>
      <c r="KB107" s="43"/>
      <c r="KC107" s="43"/>
      <c r="KD107" s="43"/>
      <c r="KE107" s="43"/>
      <c r="KF107" s="43"/>
      <c r="KG107" s="43"/>
      <c r="KH107" s="43"/>
      <c r="KI107" s="43"/>
      <c r="KJ107" s="43"/>
      <c r="KK107" s="43"/>
      <c r="KL107" s="43"/>
      <c r="KM107" s="43"/>
      <c r="KN107" s="43"/>
      <c r="KO107" s="43"/>
      <c r="KP107" s="43"/>
      <c r="KQ107" s="43"/>
      <c r="KR107" s="43"/>
      <c r="KS107" s="43"/>
      <c r="KT107" s="43"/>
      <c r="KU107" s="43"/>
      <c r="KV107" s="43"/>
      <c r="KW107" s="43"/>
      <c r="KX107" s="43"/>
      <c r="KY107" s="43"/>
      <c r="KZ107" s="43"/>
      <c r="LA107" s="43"/>
      <c r="LB107" s="43"/>
      <c r="LC107" s="43"/>
      <c r="LD107" s="43"/>
      <c r="LE107" s="43"/>
      <c r="LF107" s="43"/>
      <c r="LG107" s="43"/>
      <c r="LH107" s="43"/>
      <c r="LI107" s="43"/>
      <c r="LJ107" s="43"/>
      <c r="LK107" s="43"/>
      <c r="LL107" s="43"/>
      <c r="LM107" s="43"/>
      <c r="LN107" s="43"/>
      <c r="LO107" s="43"/>
      <c r="LP107" s="43"/>
      <c r="LQ107" s="43"/>
      <c r="LR107" s="43"/>
      <c r="LS107" s="43"/>
      <c r="LT107" s="43"/>
      <c r="LU107" s="43"/>
      <c r="LV107" s="43"/>
      <c r="LW107" s="43"/>
      <c r="LX107" s="43"/>
      <c r="LY107" s="43"/>
      <c r="LZ107" s="43"/>
      <c r="MA107" s="43"/>
      <c r="MB107" s="43"/>
      <c r="MC107" s="43"/>
      <c r="MD107" s="43"/>
      <c r="ME107" s="43"/>
      <c r="MF107" s="43"/>
      <c r="MG107" s="43"/>
      <c r="MH107" s="43"/>
      <c r="MI107" s="43"/>
      <c r="MJ107" s="43"/>
      <c r="MK107" s="43"/>
      <c r="ML107" s="43"/>
      <c r="MM107" s="43"/>
      <c r="MN107" s="43"/>
      <c r="MO107" s="43"/>
      <c r="MP107" s="43"/>
      <c r="MQ107" s="43"/>
      <c r="MR107" s="43"/>
      <c r="MS107" s="43"/>
      <c r="MT107" s="43"/>
      <c r="MU107" s="43"/>
      <c r="MV107" s="43"/>
      <c r="MW107" s="43"/>
      <c r="MX107" s="43"/>
      <c r="MY107" s="43"/>
      <c r="MZ107" s="43"/>
      <c r="NA107" s="43"/>
      <c r="NB107" s="43"/>
      <c r="NC107" s="43"/>
      <c r="ND107" s="43"/>
      <c r="NE107" s="43"/>
      <c r="NF107" s="43"/>
      <c r="NG107" s="43"/>
      <c r="NH107" s="43"/>
      <c r="NI107" s="43"/>
      <c r="NJ107" s="43"/>
      <c r="NK107" s="43"/>
      <c r="NL107" s="43"/>
      <c r="NM107" s="43"/>
      <c r="NN107" s="43"/>
      <c r="NO107" s="43"/>
      <c r="NP107" s="43"/>
      <c r="NQ107" s="43"/>
      <c r="NR107" s="43"/>
      <c r="NS107" s="43"/>
      <c r="NT107" s="43"/>
      <c r="NU107" s="43"/>
      <c r="NV107" s="43"/>
      <c r="NW107" s="43"/>
      <c r="NX107" s="43"/>
      <c r="NY107" s="43"/>
      <c r="NZ107" s="43"/>
      <c r="OA107" s="43"/>
      <c r="OB107" s="43"/>
      <c r="OC107" s="43"/>
      <c r="OD107" s="43"/>
      <c r="OE107" s="43"/>
      <c r="OF107" s="43"/>
      <c r="OG107" s="43"/>
      <c r="OH107" s="43"/>
      <c r="OI107" s="43"/>
      <c r="OJ107" s="43"/>
      <c r="OK107" s="43"/>
      <c r="OL107" s="43"/>
      <c r="OM107" s="43"/>
      <c r="ON107" s="43"/>
      <c r="OO107" s="43"/>
      <c r="OP107" s="43"/>
      <c r="OQ107" s="43"/>
      <c r="OR107" s="43"/>
      <c r="OS107" s="43"/>
      <c r="OT107" s="43"/>
      <c r="OU107" s="43"/>
      <c r="OV107" s="43"/>
      <c r="OW107" s="43"/>
      <c r="OX107" s="43"/>
      <c r="OY107" s="43"/>
      <c r="OZ107" s="43"/>
      <c r="PA107" s="43"/>
      <c r="PB107" s="43"/>
      <c r="PC107" s="43"/>
      <c r="PD107" s="43"/>
      <c r="PE107" s="43"/>
      <c r="PF107" s="43"/>
      <c r="PG107" s="43"/>
      <c r="PH107" s="43"/>
      <c r="PI107" s="43"/>
      <c r="PJ107" s="43"/>
      <c r="PK107" s="43"/>
      <c r="PL107" s="43"/>
      <c r="PM107" s="43"/>
      <c r="PN107" s="43"/>
      <c r="PO107" s="43"/>
      <c r="PP107" s="43"/>
      <c r="PQ107" s="43"/>
      <c r="PR107" s="43"/>
      <c r="PS107" s="43"/>
      <c r="PT107" s="43"/>
      <c r="PU107" s="43"/>
      <c r="PV107" s="43"/>
      <c r="PW107" s="43"/>
      <c r="PX107" s="43"/>
      <c r="PY107" s="43"/>
      <c r="PZ107" s="43"/>
      <c r="QA107" s="43"/>
      <c r="QB107" s="43"/>
      <c r="QC107" s="43"/>
    </row>
    <row r="108" spans="2:445" x14ac:dyDescent="0.3"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6" t="str">
        <f t="shared" si="7"/>
        <v/>
      </c>
      <c r="U108" s="46" t="str">
        <f t="shared" si="8"/>
        <v/>
      </c>
      <c r="V108" s="72" t="str">
        <f t="shared" si="9"/>
        <v/>
      </c>
      <c r="W108" s="48"/>
      <c r="X108" s="73" t="str">
        <f t="shared" si="11"/>
        <v/>
      </c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43"/>
      <c r="BN108" s="43"/>
      <c r="BO108" s="43"/>
      <c r="BP108" s="43"/>
      <c r="BQ108" s="43"/>
      <c r="BR108" s="43"/>
      <c r="BS108" s="43"/>
      <c r="BT108" s="43"/>
      <c r="BU108" s="43"/>
      <c r="BV108" s="43"/>
      <c r="BW108" s="43"/>
      <c r="BX108" s="43"/>
      <c r="BY108" s="43"/>
      <c r="BZ108" s="43"/>
      <c r="CA108" s="43"/>
      <c r="CB108" s="43"/>
      <c r="CC108" s="4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43"/>
      <c r="CY108" s="43"/>
      <c r="CZ108" s="43"/>
      <c r="DA108" s="43"/>
      <c r="DB108" s="43"/>
      <c r="DC108" s="43"/>
      <c r="DD108" s="43"/>
      <c r="DE108" s="43"/>
      <c r="DF108" s="43"/>
      <c r="DG108" s="43"/>
      <c r="DH108" s="43"/>
      <c r="DI108" s="43"/>
      <c r="DJ108" s="43"/>
      <c r="DK108" s="43"/>
      <c r="DL108" s="43"/>
      <c r="DM108" s="43"/>
      <c r="DN108" s="43"/>
      <c r="DO108" s="43"/>
      <c r="DP108" s="43"/>
      <c r="DQ108" s="43"/>
      <c r="DR108" s="43"/>
      <c r="DS108" s="43"/>
      <c r="DT108" s="43"/>
      <c r="DU108" s="43"/>
      <c r="DV108" s="43"/>
      <c r="DW108" s="43"/>
      <c r="DX108" s="43"/>
      <c r="DY108" s="43"/>
      <c r="DZ108" s="43"/>
      <c r="EA108" s="43"/>
      <c r="EB108" s="43"/>
      <c r="EC108" s="43"/>
      <c r="ED108" s="43"/>
      <c r="EE108" s="43"/>
      <c r="EF108" s="43"/>
      <c r="EG108" s="43"/>
      <c r="EH108" s="43"/>
      <c r="EI108" s="43"/>
      <c r="EJ108" s="43"/>
      <c r="EK108" s="43"/>
      <c r="EL108" s="43"/>
      <c r="EM108" s="43"/>
      <c r="EN108" s="43"/>
      <c r="EO108" s="43"/>
      <c r="EP108" s="43"/>
      <c r="EQ108" s="43"/>
      <c r="ER108" s="43"/>
      <c r="ES108" s="43"/>
      <c r="ET108" s="43"/>
      <c r="EU108" s="43"/>
      <c r="EV108" s="43"/>
      <c r="EW108" s="43"/>
      <c r="EX108" s="43"/>
      <c r="EY108" s="43"/>
      <c r="EZ108" s="43"/>
      <c r="FA108" s="43"/>
      <c r="FB108" s="43"/>
      <c r="FC108" s="43"/>
      <c r="FD108" s="43"/>
      <c r="FE108" s="43"/>
      <c r="FF108" s="43"/>
      <c r="FG108" s="43"/>
      <c r="FH108" s="43"/>
      <c r="FI108" s="43"/>
      <c r="FJ108" s="43"/>
      <c r="FK108" s="43"/>
      <c r="FL108" s="43"/>
      <c r="FM108" s="43"/>
      <c r="FN108" s="43"/>
      <c r="FO108" s="43"/>
      <c r="FP108" s="43"/>
      <c r="FQ108" s="43"/>
      <c r="FR108" s="43"/>
      <c r="FS108" s="43"/>
      <c r="FT108" s="43"/>
      <c r="FU108" s="43"/>
      <c r="FV108" s="43"/>
      <c r="FW108" s="43"/>
      <c r="FX108" s="43"/>
      <c r="FY108" s="43"/>
      <c r="FZ108" s="43"/>
      <c r="GA108" s="43"/>
      <c r="GB108" s="43"/>
      <c r="GC108" s="43"/>
      <c r="GD108" s="43"/>
      <c r="GE108" s="43"/>
      <c r="GF108" s="43"/>
      <c r="GG108" s="43"/>
      <c r="GH108" s="43"/>
      <c r="GI108" s="43"/>
      <c r="GJ108" s="43"/>
      <c r="GK108" s="43"/>
      <c r="GL108" s="43"/>
      <c r="GM108" s="43"/>
      <c r="GN108" s="43"/>
      <c r="GO108" s="43"/>
      <c r="GP108" s="43"/>
      <c r="GQ108" s="43"/>
      <c r="GR108" s="43"/>
      <c r="GS108" s="43"/>
      <c r="GT108" s="43"/>
      <c r="GU108" s="43"/>
      <c r="GV108" s="43"/>
      <c r="GW108" s="43"/>
      <c r="GX108" s="43"/>
      <c r="GY108" s="43"/>
      <c r="GZ108" s="43"/>
      <c r="HA108" s="43"/>
      <c r="HB108" s="43"/>
      <c r="HC108" s="43"/>
      <c r="HD108" s="43"/>
      <c r="HE108" s="43"/>
      <c r="HF108" s="43"/>
      <c r="HG108" s="43"/>
      <c r="HH108" s="43"/>
      <c r="HI108" s="43"/>
      <c r="HJ108" s="43"/>
      <c r="HK108" s="43"/>
      <c r="HL108" s="43"/>
      <c r="HM108" s="43"/>
      <c r="HN108" s="43"/>
      <c r="HO108" s="43"/>
      <c r="HP108" s="43"/>
      <c r="HQ108" s="43"/>
      <c r="HR108" s="43"/>
      <c r="HS108" s="43"/>
      <c r="HT108" s="43"/>
      <c r="HU108" s="43"/>
      <c r="HV108" s="43"/>
      <c r="HW108" s="43"/>
      <c r="HX108" s="43"/>
      <c r="HY108" s="43"/>
      <c r="HZ108" s="43"/>
      <c r="IA108" s="43"/>
      <c r="IB108" s="43"/>
      <c r="IC108" s="43"/>
      <c r="ID108" s="43"/>
      <c r="IE108" s="43"/>
      <c r="IF108" s="43"/>
      <c r="IG108" s="43"/>
      <c r="IH108" s="43"/>
      <c r="II108" s="43"/>
      <c r="IJ108" s="43"/>
      <c r="IK108" s="43"/>
      <c r="IL108" s="43"/>
      <c r="IM108" s="43"/>
      <c r="IN108" s="43"/>
      <c r="IO108" s="43"/>
      <c r="IP108" s="43"/>
      <c r="IQ108" s="43"/>
      <c r="IR108" s="43"/>
      <c r="IS108" s="43"/>
      <c r="IT108" s="43"/>
      <c r="IU108" s="43"/>
      <c r="IV108" s="43"/>
      <c r="IW108" s="43"/>
      <c r="IX108" s="43"/>
      <c r="IY108" s="43"/>
      <c r="IZ108" s="43"/>
      <c r="JA108" s="43"/>
      <c r="JB108" s="43"/>
      <c r="JC108" s="43"/>
      <c r="JD108" s="43"/>
      <c r="JE108" s="43"/>
      <c r="JF108" s="43"/>
      <c r="JG108" s="43"/>
      <c r="JH108" s="43"/>
      <c r="JI108" s="43"/>
      <c r="JJ108" s="43"/>
      <c r="JK108" s="43"/>
      <c r="JL108" s="43"/>
      <c r="JM108" s="43"/>
      <c r="JN108" s="43"/>
      <c r="JO108" s="43"/>
      <c r="JP108" s="43"/>
      <c r="JQ108" s="43"/>
      <c r="JR108" s="43"/>
      <c r="JS108" s="43"/>
      <c r="JT108" s="43"/>
      <c r="JU108" s="43"/>
      <c r="JV108" s="43"/>
      <c r="JW108" s="43"/>
      <c r="JX108" s="43"/>
      <c r="JY108" s="43"/>
      <c r="JZ108" s="43"/>
      <c r="KA108" s="43"/>
      <c r="KB108" s="43"/>
      <c r="KC108" s="43"/>
      <c r="KD108" s="43"/>
      <c r="KE108" s="43"/>
      <c r="KF108" s="43"/>
      <c r="KG108" s="43"/>
      <c r="KH108" s="43"/>
      <c r="KI108" s="43"/>
      <c r="KJ108" s="43"/>
      <c r="KK108" s="43"/>
      <c r="KL108" s="43"/>
      <c r="KM108" s="43"/>
      <c r="KN108" s="43"/>
      <c r="KO108" s="43"/>
      <c r="KP108" s="43"/>
      <c r="KQ108" s="43"/>
      <c r="KR108" s="43"/>
      <c r="KS108" s="43"/>
      <c r="KT108" s="43"/>
      <c r="KU108" s="43"/>
      <c r="KV108" s="43"/>
      <c r="KW108" s="43"/>
      <c r="KX108" s="43"/>
      <c r="KY108" s="43"/>
      <c r="KZ108" s="43"/>
      <c r="LA108" s="43"/>
      <c r="LB108" s="43"/>
      <c r="LC108" s="43"/>
      <c r="LD108" s="43"/>
      <c r="LE108" s="43"/>
      <c r="LF108" s="43"/>
      <c r="LG108" s="43"/>
      <c r="LH108" s="43"/>
      <c r="LI108" s="43"/>
      <c r="LJ108" s="43"/>
      <c r="LK108" s="43"/>
      <c r="LL108" s="43"/>
      <c r="LM108" s="43"/>
      <c r="LN108" s="43"/>
      <c r="LO108" s="43"/>
      <c r="LP108" s="43"/>
      <c r="LQ108" s="43"/>
      <c r="LR108" s="43"/>
      <c r="LS108" s="43"/>
      <c r="LT108" s="43"/>
      <c r="LU108" s="43"/>
      <c r="LV108" s="43"/>
      <c r="LW108" s="43"/>
      <c r="LX108" s="43"/>
      <c r="LY108" s="43"/>
      <c r="LZ108" s="43"/>
      <c r="MA108" s="43"/>
      <c r="MB108" s="43"/>
      <c r="MC108" s="43"/>
      <c r="MD108" s="43"/>
      <c r="ME108" s="43"/>
      <c r="MF108" s="43"/>
      <c r="MG108" s="43"/>
      <c r="MH108" s="43"/>
      <c r="MI108" s="43"/>
      <c r="MJ108" s="43"/>
      <c r="MK108" s="43"/>
      <c r="ML108" s="43"/>
      <c r="MM108" s="43"/>
      <c r="MN108" s="43"/>
      <c r="MO108" s="43"/>
      <c r="MP108" s="43"/>
      <c r="MQ108" s="43"/>
      <c r="MR108" s="43"/>
      <c r="MS108" s="43"/>
      <c r="MT108" s="43"/>
      <c r="MU108" s="43"/>
      <c r="MV108" s="43"/>
      <c r="MW108" s="43"/>
      <c r="MX108" s="43"/>
      <c r="MY108" s="43"/>
      <c r="MZ108" s="43"/>
      <c r="NA108" s="43"/>
      <c r="NB108" s="43"/>
      <c r="NC108" s="43"/>
      <c r="ND108" s="43"/>
      <c r="NE108" s="43"/>
      <c r="NF108" s="43"/>
      <c r="NG108" s="43"/>
      <c r="NH108" s="43"/>
      <c r="NI108" s="43"/>
      <c r="NJ108" s="43"/>
      <c r="NK108" s="43"/>
      <c r="NL108" s="43"/>
      <c r="NM108" s="43"/>
      <c r="NN108" s="43"/>
      <c r="NO108" s="43"/>
      <c r="NP108" s="43"/>
      <c r="NQ108" s="43"/>
      <c r="NR108" s="43"/>
      <c r="NS108" s="43"/>
      <c r="NT108" s="43"/>
      <c r="NU108" s="43"/>
      <c r="NV108" s="43"/>
      <c r="NW108" s="43"/>
      <c r="NX108" s="43"/>
      <c r="NY108" s="43"/>
      <c r="NZ108" s="43"/>
      <c r="OA108" s="43"/>
      <c r="OB108" s="43"/>
      <c r="OC108" s="43"/>
      <c r="OD108" s="43"/>
      <c r="OE108" s="43"/>
      <c r="OF108" s="43"/>
      <c r="OG108" s="43"/>
      <c r="OH108" s="43"/>
      <c r="OI108" s="43"/>
      <c r="OJ108" s="43"/>
      <c r="OK108" s="43"/>
      <c r="OL108" s="43"/>
      <c r="OM108" s="43"/>
      <c r="ON108" s="43"/>
      <c r="OO108" s="43"/>
      <c r="OP108" s="43"/>
      <c r="OQ108" s="43"/>
      <c r="OR108" s="43"/>
      <c r="OS108" s="43"/>
      <c r="OT108" s="43"/>
      <c r="OU108" s="43"/>
      <c r="OV108" s="43"/>
      <c r="OW108" s="43"/>
      <c r="OX108" s="43"/>
      <c r="OY108" s="43"/>
      <c r="OZ108" s="43"/>
      <c r="PA108" s="43"/>
      <c r="PB108" s="43"/>
      <c r="PC108" s="43"/>
      <c r="PD108" s="43"/>
      <c r="PE108" s="43"/>
      <c r="PF108" s="43"/>
      <c r="PG108" s="43"/>
      <c r="PH108" s="43"/>
      <c r="PI108" s="43"/>
      <c r="PJ108" s="43"/>
      <c r="PK108" s="43"/>
      <c r="PL108" s="43"/>
      <c r="PM108" s="43"/>
      <c r="PN108" s="43"/>
      <c r="PO108" s="43"/>
      <c r="PP108" s="43"/>
      <c r="PQ108" s="43"/>
      <c r="PR108" s="43"/>
      <c r="PS108" s="43"/>
      <c r="PT108" s="43"/>
      <c r="PU108" s="43"/>
      <c r="PV108" s="43"/>
      <c r="PW108" s="43"/>
      <c r="PX108" s="43"/>
      <c r="PY108" s="43"/>
      <c r="PZ108" s="43"/>
      <c r="QA108" s="43"/>
      <c r="QB108" s="43"/>
      <c r="QC108" s="43"/>
    </row>
    <row r="109" spans="2:445" x14ac:dyDescent="0.3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8"/>
      <c r="P109" s="45"/>
      <c r="Q109" s="45"/>
      <c r="R109" s="45"/>
      <c r="S109" s="45"/>
      <c r="T109" s="46" t="str">
        <f t="shared" si="7"/>
        <v/>
      </c>
      <c r="U109" s="46" t="str">
        <f t="shared" si="8"/>
        <v/>
      </c>
      <c r="V109" s="72" t="str">
        <f t="shared" si="9"/>
        <v/>
      </c>
      <c r="W109" s="48"/>
      <c r="X109" s="73" t="str">
        <f t="shared" si="11"/>
        <v/>
      </c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43"/>
      <c r="BN109" s="43"/>
      <c r="BO109" s="43"/>
      <c r="BP109" s="43"/>
      <c r="BQ109" s="43"/>
      <c r="BR109" s="43"/>
      <c r="BS109" s="43"/>
      <c r="BT109" s="43"/>
      <c r="BU109" s="43"/>
      <c r="BV109" s="43"/>
      <c r="BW109" s="43"/>
      <c r="BX109" s="43"/>
      <c r="BY109" s="43"/>
      <c r="BZ109" s="43"/>
      <c r="CA109" s="43"/>
      <c r="CB109" s="43"/>
      <c r="CC109" s="4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43"/>
      <c r="CY109" s="43"/>
      <c r="CZ109" s="43"/>
      <c r="DA109" s="43"/>
      <c r="DB109" s="43"/>
      <c r="DC109" s="43"/>
      <c r="DD109" s="43"/>
      <c r="DE109" s="43"/>
      <c r="DF109" s="43"/>
      <c r="DG109" s="43"/>
      <c r="DH109" s="43"/>
      <c r="DI109" s="43"/>
      <c r="DJ109" s="43"/>
      <c r="DK109" s="43"/>
      <c r="DL109" s="43"/>
      <c r="DM109" s="43"/>
      <c r="DN109" s="43"/>
      <c r="DO109" s="43"/>
      <c r="DP109" s="43"/>
      <c r="DQ109" s="43"/>
      <c r="DR109" s="43"/>
      <c r="DS109" s="43"/>
      <c r="DT109" s="43"/>
      <c r="DU109" s="43"/>
      <c r="DV109" s="43"/>
      <c r="DW109" s="43"/>
      <c r="DX109" s="43"/>
      <c r="DY109" s="43"/>
      <c r="DZ109" s="43"/>
      <c r="EA109" s="43"/>
      <c r="EB109" s="43"/>
      <c r="EC109" s="43"/>
      <c r="ED109" s="43"/>
      <c r="EE109" s="43"/>
      <c r="EF109" s="43"/>
      <c r="EG109" s="43"/>
      <c r="EH109" s="43"/>
      <c r="EI109" s="43"/>
      <c r="EJ109" s="43"/>
      <c r="EK109" s="43"/>
      <c r="EL109" s="43"/>
      <c r="EM109" s="43"/>
      <c r="EN109" s="43"/>
      <c r="EO109" s="43"/>
      <c r="EP109" s="43"/>
      <c r="EQ109" s="43"/>
      <c r="ER109" s="43"/>
      <c r="ES109" s="43"/>
      <c r="ET109" s="43"/>
      <c r="EU109" s="43"/>
      <c r="EV109" s="43"/>
      <c r="EW109" s="43"/>
      <c r="EX109" s="43"/>
      <c r="EY109" s="43"/>
      <c r="EZ109" s="43"/>
      <c r="FA109" s="43"/>
      <c r="FB109" s="43"/>
      <c r="FC109" s="43"/>
      <c r="FD109" s="43"/>
      <c r="FE109" s="43"/>
      <c r="FF109" s="43"/>
      <c r="FG109" s="43"/>
      <c r="FH109" s="43"/>
      <c r="FI109" s="43"/>
      <c r="FJ109" s="43"/>
      <c r="FK109" s="43"/>
      <c r="FL109" s="43"/>
      <c r="FM109" s="43"/>
      <c r="FN109" s="43"/>
      <c r="FO109" s="43"/>
      <c r="FP109" s="43"/>
      <c r="FQ109" s="43"/>
      <c r="FR109" s="43"/>
      <c r="FS109" s="43"/>
      <c r="FT109" s="43"/>
      <c r="FU109" s="43"/>
      <c r="FV109" s="43"/>
      <c r="FW109" s="43"/>
      <c r="FX109" s="43"/>
      <c r="FY109" s="43"/>
      <c r="FZ109" s="43"/>
      <c r="GA109" s="43"/>
      <c r="GB109" s="43"/>
      <c r="GC109" s="43"/>
      <c r="GD109" s="43"/>
      <c r="GE109" s="43"/>
      <c r="GF109" s="43"/>
      <c r="GG109" s="43"/>
      <c r="GH109" s="43"/>
      <c r="GI109" s="43"/>
      <c r="GJ109" s="43"/>
      <c r="GK109" s="43"/>
      <c r="GL109" s="43"/>
      <c r="GM109" s="43"/>
      <c r="GN109" s="43"/>
      <c r="GO109" s="43"/>
      <c r="GP109" s="43"/>
      <c r="GQ109" s="43"/>
      <c r="GR109" s="43"/>
      <c r="GS109" s="43"/>
      <c r="GT109" s="43"/>
      <c r="GU109" s="43"/>
      <c r="GV109" s="43"/>
      <c r="GW109" s="43"/>
      <c r="GX109" s="43"/>
      <c r="GY109" s="43"/>
      <c r="GZ109" s="43"/>
      <c r="HA109" s="43"/>
      <c r="HB109" s="43"/>
      <c r="HC109" s="43"/>
      <c r="HD109" s="43"/>
      <c r="HE109" s="43"/>
      <c r="HF109" s="43"/>
      <c r="HG109" s="43"/>
      <c r="HH109" s="43"/>
      <c r="HI109" s="43"/>
      <c r="HJ109" s="43"/>
      <c r="HK109" s="43"/>
      <c r="HL109" s="43"/>
      <c r="HM109" s="43"/>
      <c r="HN109" s="43"/>
      <c r="HO109" s="43"/>
      <c r="HP109" s="43"/>
      <c r="HQ109" s="43"/>
      <c r="HR109" s="43"/>
      <c r="HS109" s="43"/>
      <c r="HT109" s="43"/>
      <c r="HU109" s="43"/>
      <c r="HV109" s="43"/>
      <c r="HW109" s="43"/>
      <c r="HX109" s="43"/>
      <c r="HY109" s="43"/>
      <c r="HZ109" s="43"/>
      <c r="IA109" s="43"/>
      <c r="IB109" s="43"/>
      <c r="IC109" s="43"/>
      <c r="ID109" s="43"/>
      <c r="IE109" s="43"/>
      <c r="IF109" s="43"/>
      <c r="IG109" s="43"/>
      <c r="IH109" s="43"/>
      <c r="II109" s="43"/>
      <c r="IJ109" s="43"/>
      <c r="IK109" s="43"/>
      <c r="IL109" s="43"/>
      <c r="IM109" s="43"/>
      <c r="IN109" s="43"/>
      <c r="IO109" s="43"/>
      <c r="IP109" s="43"/>
      <c r="IQ109" s="43"/>
      <c r="IR109" s="43"/>
      <c r="IS109" s="43"/>
      <c r="IT109" s="43"/>
      <c r="IU109" s="43"/>
      <c r="IV109" s="43"/>
      <c r="IW109" s="43"/>
      <c r="IX109" s="43"/>
      <c r="IY109" s="43"/>
      <c r="IZ109" s="43"/>
      <c r="JA109" s="43"/>
      <c r="JB109" s="43"/>
      <c r="JC109" s="43"/>
      <c r="JD109" s="43"/>
      <c r="JE109" s="43"/>
      <c r="JF109" s="43"/>
      <c r="JG109" s="43"/>
      <c r="JH109" s="43"/>
      <c r="JI109" s="43"/>
      <c r="JJ109" s="43"/>
      <c r="JK109" s="43"/>
      <c r="JL109" s="43"/>
      <c r="JM109" s="43"/>
      <c r="JN109" s="43"/>
      <c r="JO109" s="43"/>
      <c r="JP109" s="43"/>
      <c r="JQ109" s="43"/>
      <c r="JR109" s="43"/>
      <c r="JS109" s="43"/>
      <c r="JT109" s="43"/>
      <c r="JU109" s="43"/>
      <c r="JV109" s="43"/>
      <c r="JW109" s="43"/>
      <c r="JX109" s="43"/>
      <c r="JY109" s="43"/>
      <c r="JZ109" s="43"/>
      <c r="KA109" s="43"/>
      <c r="KB109" s="43"/>
      <c r="KC109" s="43"/>
      <c r="KD109" s="43"/>
      <c r="KE109" s="43"/>
      <c r="KF109" s="43"/>
      <c r="KG109" s="43"/>
      <c r="KH109" s="43"/>
      <c r="KI109" s="43"/>
      <c r="KJ109" s="43"/>
      <c r="KK109" s="43"/>
      <c r="KL109" s="43"/>
      <c r="KM109" s="43"/>
      <c r="KN109" s="43"/>
      <c r="KO109" s="43"/>
      <c r="KP109" s="43"/>
      <c r="KQ109" s="43"/>
      <c r="KR109" s="43"/>
      <c r="KS109" s="43"/>
      <c r="KT109" s="43"/>
      <c r="KU109" s="43"/>
      <c r="KV109" s="43"/>
      <c r="KW109" s="43"/>
      <c r="KX109" s="43"/>
      <c r="KY109" s="43"/>
      <c r="KZ109" s="43"/>
      <c r="LA109" s="43"/>
      <c r="LB109" s="43"/>
      <c r="LC109" s="43"/>
      <c r="LD109" s="43"/>
      <c r="LE109" s="43"/>
      <c r="LF109" s="43"/>
      <c r="LG109" s="43"/>
      <c r="LH109" s="43"/>
      <c r="LI109" s="43"/>
      <c r="LJ109" s="43"/>
      <c r="LK109" s="43"/>
      <c r="LL109" s="43"/>
      <c r="LM109" s="43"/>
      <c r="LN109" s="43"/>
      <c r="LO109" s="43"/>
      <c r="LP109" s="43"/>
      <c r="LQ109" s="43"/>
      <c r="LR109" s="43"/>
      <c r="LS109" s="43"/>
      <c r="LT109" s="43"/>
      <c r="LU109" s="43"/>
      <c r="LV109" s="43"/>
      <c r="LW109" s="43"/>
      <c r="LX109" s="43"/>
      <c r="LY109" s="43"/>
      <c r="LZ109" s="43"/>
      <c r="MA109" s="43"/>
      <c r="MB109" s="43"/>
      <c r="MC109" s="43"/>
      <c r="MD109" s="43"/>
      <c r="ME109" s="43"/>
      <c r="MF109" s="43"/>
      <c r="MG109" s="43"/>
      <c r="MH109" s="43"/>
      <c r="MI109" s="43"/>
      <c r="MJ109" s="43"/>
      <c r="MK109" s="43"/>
      <c r="ML109" s="43"/>
      <c r="MM109" s="43"/>
      <c r="MN109" s="43"/>
      <c r="MO109" s="43"/>
      <c r="MP109" s="43"/>
      <c r="MQ109" s="43"/>
      <c r="MR109" s="43"/>
      <c r="MS109" s="43"/>
      <c r="MT109" s="43"/>
      <c r="MU109" s="43"/>
      <c r="MV109" s="43"/>
      <c r="MW109" s="43"/>
      <c r="MX109" s="43"/>
      <c r="MY109" s="43"/>
      <c r="MZ109" s="43"/>
      <c r="NA109" s="43"/>
      <c r="NB109" s="43"/>
      <c r="NC109" s="43"/>
      <c r="ND109" s="43"/>
      <c r="NE109" s="43"/>
      <c r="NF109" s="43"/>
      <c r="NG109" s="43"/>
      <c r="NH109" s="43"/>
      <c r="NI109" s="43"/>
      <c r="NJ109" s="43"/>
      <c r="NK109" s="43"/>
      <c r="NL109" s="43"/>
      <c r="NM109" s="43"/>
      <c r="NN109" s="43"/>
      <c r="NO109" s="43"/>
      <c r="NP109" s="43"/>
      <c r="NQ109" s="43"/>
      <c r="NR109" s="43"/>
      <c r="NS109" s="43"/>
      <c r="NT109" s="43"/>
      <c r="NU109" s="43"/>
      <c r="NV109" s="43"/>
      <c r="NW109" s="43"/>
      <c r="NX109" s="43"/>
      <c r="NY109" s="43"/>
      <c r="NZ109" s="43"/>
      <c r="OA109" s="43"/>
      <c r="OB109" s="43"/>
      <c r="OC109" s="43"/>
      <c r="OD109" s="43"/>
      <c r="OE109" s="43"/>
      <c r="OF109" s="43"/>
      <c r="OG109" s="43"/>
      <c r="OH109" s="43"/>
      <c r="OI109" s="43"/>
      <c r="OJ109" s="43"/>
      <c r="OK109" s="43"/>
      <c r="OL109" s="43"/>
      <c r="OM109" s="43"/>
      <c r="ON109" s="43"/>
      <c r="OO109" s="43"/>
      <c r="OP109" s="43"/>
      <c r="OQ109" s="43"/>
      <c r="OR109" s="43"/>
      <c r="OS109" s="43"/>
      <c r="OT109" s="43"/>
      <c r="OU109" s="43"/>
      <c r="OV109" s="43"/>
      <c r="OW109" s="43"/>
      <c r="OX109" s="43"/>
      <c r="OY109" s="43"/>
      <c r="OZ109" s="43"/>
      <c r="PA109" s="43"/>
      <c r="PB109" s="43"/>
      <c r="PC109" s="43"/>
      <c r="PD109" s="43"/>
      <c r="PE109" s="43"/>
      <c r="PF109" s="43"/>
      <c r="PG109" s="43"/>
      <c r="PH109" s="43"/>
      <c r="PI109" s="43"/>
      <c r="PJ109" s="43"/>
      <c r="PK109" s="43"/>
      <c r="PL109" s="43"/>
      <c r="PM109" s="43"/>
      <c r="PN109" s="43"/>
      <c r="PO109" s="43"/>
      <c r="PP109" s="43"/>
      <c r="PQ109" s="43"/>
      <c r="PR109" s="43"/>
      <c r="PS109" s="43"/>
      <c r="PT109" s="43"/>
      <c r="PU109" s="43"/>
      <c r="PV109" s="43"/>
      <c r="PW109" s="43"/>
      <c r="PX109" s="43"/>
      <c r="PY109" s="43"/>
      <c r="PZ109" s="43"/>
      <c r="QA109" s="43"/>
      <c r="QB109" s="43"/>
      <c r="QC109" s="43"/>
    </row>
    <row r="110" spans="2:445" x14ac:dyDescent="0.3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6" t="str">
        <f t="shared" si="7"/>
        <v/>
      </c>
      <c r="U110" s="46" t="str">
        <f t="shared" si="8"/>
        <v/>
      </c>
      <c r="V110" s="72" t="str">
        <f t="shared" si="9"/>
        <v/>
      </c>
      <c r="X110" s="73" t="str">
        <f t="shared" si="11"/>
        <v/>
      </c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43"/>
      <c r="BN110" s="43"/>
      <c r="BO110" s="43"/>
      <c r="BP110" s="43"/>
      <c r="BQ110" s="43"/>
      <c r="BR110" s="43"/>
      <c r="BS110" s="43"/>
      <c r="BT110" s="43"/>
      <c r="BU110" s="43"/>
      <c r="BV110" s="43"/>
      <c r="BW110" s="43"/>
      <c r="BX110" s="43"/>
      <c r="BY110" s="43"/>
      <c r="BZ110" s="43"/>
      <c r="CA110" s="43"/>
      <c r="CB110" s="43"/>
      <c r="CC110" s="4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43"/>
      <c r="CY110" s="43"/>
      <c r="CZ110" s="43"/>
      <c r="DA110" s="43"/>
      <c r="DB110" s="43"/>
      <c r="DC110" s="43"/>
      <c r="DD110" s="43"/>
      <c r="DE110" s="43"/>
      <c r="DF110" s="43"/>
      <c r="DG110" s="43"/>
      <c r="DH110" s="43"/>
      <c r="DI110" s="43"/>
      <c r="DJ110" s="43"/>
      <c r="DK110" s="43"/>
      <c r="DL110" s="43"/>
      <c r="DM110" s="43"/>
      <c r="DN110" s="43"/>
      <c r="DO110" s="43"/>
      <c r="DP110" s="43"/>
      <c r="DQ110" s="43"/>
      <c r="DR110" s="43"/>
      <c r="DS110" s="43"/>
      <c r="DT110" s="43"/>
      <c r="DU110" s="43"/>
      <c r="DV110" s="43"/>
      <c r="DW110" s="43"/>
      <c r="DX110" s="43"/>
      <c r="DY110" s="43"/>
      <c r="DZ110" s="43"/>
      <c r="EA110" s="43"/>
      <c r="EB110" s="43"/>
      <c r="EC110" s="43"/>
      <c r="ED110" s="43"/>
      <c r="EE110" s="43"/>
      <c r="EF110" s="43"/>
      <c r="EG110" s="43"/>
      <c r="EH110" s="43"/>
      <c r="EI110" s="43"/>
      <c r="EJ110" s="43"/>
      <c r="EK110" s="43"/>
      <c r="EL110" s="43"/>
      <c r="EM110" s="43"/>
      <c r="EN110" s="43"/>
      <c r="EO110" s="43"/>
      <c r="EP110" s="43"/>
      <c r="EQ110" s="43"/>
      <c r="ER110" s="43"/>
      <c r="ES110" s="43"/>
      <c r="ET110" s="43"/>
      <c r="EU110" s="43"/>
      <c r="EV110" s="43"/>
      <c r="EW110" s="43"/>
      <c r="EX110" s="43"/>
      <c r="EY110" s="43"/>
      <c r="EZ110" s="43"/>
      <c r="FA110" s="43"/>
      <c r="FB110" s="43"/>
      <c r="FC110" s="43"/>
      <c r="FD110" s="43"/>
      <c r="FE110" s="43"/>
      <c r="FF110" s="43"/>
      <c r="FG110" s="43"/>
      <c r="FH110" s="43"/>
      <c r="FI110" s="43"/>
      <c r="FJ110" s="43"/>
      <c r="FK110" s="43"/>
      <c r="FL110" s="43"/>
      <c r="FM110" s="43"/>
      <c r="FN110" s="43"/>
      <c r="FO110" s="43"/>
      <c r="FP110" s="43"/>
      <c r="FQ110" s="43"/>
      <c r="FR110" s="43"/>
      <c r="FS110" s="43"/>
      <c r="FT110" s="43"/>
      <c r="FU110" s="43"/>
      <c r="FV110" s="43"/>
      <c r="FW110" s="43"/>
      <c r="FX110" s="43"/>
      <c r="FY110" s="43"/>
      <c r="FZ110" s="43"/>
      <c r="GA110" s="43"/>
      <c r="GB110" s="43"/>
      <c r="GC110" s="43"/>
      <c r="GD110" s="43"/>
      <c r="GE110" s="43"/>
      <c r="GF110" s="43"/>
      <c r="GG110" s="43"/>
      <c r="GH110" s="43"/>
      <c r="GI110" s="43"/>
      <c r="GJ110" s="43"/>
      <c r="GK110" s="43"/>
      <c r="GL110" s="43"/>
      <c r="GM110" s="43"/>
      <c r="GN110" s="43"/>
      <c r="GO110" s="43"/>
      <c r="GP110" s="43"/>
      <c r="GQ110" s="43"/>
      <c r="GR110" s="43"/>
      <c r="GS110" s="43"/>
      <c r="GT110" s="43"/>
      <c r="GU110" s="43"/>
      <c r="GV110" s="43"/>
      <c r="GW110" s="43"/>
      <c r="GX110" s="43"/>
      <c r="GY110" s="43"/>
      <c r="GZ110" s="43"/>
      <c r="HA110" s="43"/>
      <c r="HB110" s="43"/>
      <c r="HC110" s="43"/>
      <c r="HD110" s="43"/>
      <c r="HE110" s="43"/>
      <c r="HF110" s="43"/>
      <c r="HG110" s="43"/>
      <c r="HH110" s="43"/>
      <c r="HI110" s="43"/>
      <c r="HJ110" s="43"/>
      <c r="HK110" s="43"/>
      <c r="HL110" s="43"/>
      <c r="HM110" s="43"/>
      <c r="HN110" s="43"/>
      <c r="HO110" s="43"/>
      <c r="HP110" s="43"/>
      <c r="HQ110" s="43"/>
      <c r="HR110" s="43"/>
      <c r="HS110" s="43"/>
      <c r="HT110" s="43"/>
      <c r="HU110" s="43"/>
      <c r="HV110" s="43"/>
      <c r="HW110" s="43"/>
      <c r="HX110" s="43"/>
      <c r="HY110" s="43"/>
      <c r="HZ110" s="43"/>
      <c r="IA110" s="43"/>
      <c r="IB110" s="43"/>
      <c r="IC110" s="43"/>
      <c r="ID110" s="43"/>
      <c r="IE110" s="43"/>
      <c r="IF110" s="43"/>
      <c r="IG110" s="43"/>
      <c r="IH110" s="43"/>
      <c r="II110" s="43"/>
      <c r="IJ110" s="43"/>
      <c r="IK110" s="43"/>
      <c r="IL110" s="43"/>
      <c r="IM110" s="43"/>
      <c r="IN110" s="43"/>
      <c r="IO110" s="43"/>
      <c r="IP110" s="43"/>
      <c r="IQ110" s="43"/>
      <c r="IR110" s="43"/>
      <c r="IS110" s="43"/>
      <c r="IT110" s="43"/>
      <c r="IU110" s="43"/>
      <c r="IV110" s="43"/>
      <c r="IW110" s="43"/>
      <c r="IX110" s="43"/>
      <c r="IY110" s="43"/>
      <c r="IZ110" s="43"/>
      <c r="JA110" s="43"/>
      <c r="JB110" s="43"/>
      <c r="JC110" s="43"/>
      <c r="JD110" s="43"/>
      <c r="JE110" s="43"/>
      <c r="JF110" s="43"/>
      <c r="JG110" s="43"/>
      <c r="JH110" s="43"/>
      <c r="JI110" s="43"/>
      <c r="JJ110" s="43"/>
      <c r="JK110" s="43"/>
      <c r="JL110" s="43"/>
      <c r="JM110" s="43"/>
      <c r="JN110" s="43"/>
      <c r="JO110" s="43"/>
      <c r="JP110" s="43"/>
      <c r="JQ110" s="43"/>
      <c r="JR110" s="43"/>
      <c r="JS110" s="43"/>
      <c r="JT110" s="43"/>
      <c r="JU110" s="43"/>
      <c r="JV110" s="43"/>
      <c r="JW110" s="43"/>
      <c r="JX110" s="43"/>
      <c r="JY110" s="43"/>
      <c r="JZ110" s="43"/>
      <c r="KA110" s="43"/>
      <c r="KB110" s="43"/>
      <c r="KC110" s="43"/>
      <c r="KD110" s="43"/>
      <c r="KE110" s="43"/>
      <c r="KF110" s="43"/>
      <c r="KG110" s="43"/>
      <c r="KH110" s="43"/>
      <c r="KI110" s="43"/>
      <c r="KJ110" s="43"/>
      <c r="KK110" s="43"/>
      <c r="KL110" s="43"/>
      <c r="KM110" s="43"/>
      <c r="KN110" s="43"/>
      <c r="KO110" s="43"/>
      <c r="KP110" s="43"/>
      <c r="KQ110" s="43"/>
      <c r="KR110" s="43"/>
      <c r="KS110" s="43"/>
      <c r="KT110" s="43"/>
      <c r="KU110" s="43"/>
      <c r="KV110" s="43"/>
      <c r="KW110" s="43"/>
      <c r="KX110" s="43"/>
      <c r="KY110" s="43"/>
      <c r="KZ110" s="43"/>
      <c r="LA110" s="43"/>
      <c r="LB110" s="43"/>
      <c r="LC110" s="43"/>
      <c r="LD110" s="43"/>
      <c r="LE110" s="43"/>
      <c r="LF110" s="43"/>
      <c r="LG110" s="43"/>
      <c r="LH110" s="43"/>
      <c r="LI110" s="43"/>
      <c r="LJ110" s="43"/>
      <c r="LK110" s="43"/>
      <c r="LL110" s="43"/>
      <c r="LM110" s="43"/>
      <c r="LN110" s="43"/>
      <c r="LO110" s="43"/>
      <c r="LP110" s="43"/>
      <c r="LQ110" s="43"/>
      <c r="LR110" s="43"/>
      <c r="LS110" s="43"/>
      <c r="LT110" s="43"/>
      <c r="LU110" s="43"/>
      <c r="LV110" s="43"/>
      <c r="LW110" s="43"/>
      <c r="LX110" s="43"/>
      <c r="LY110" s="43"/>
      <c r="LZ110" s="43"/>
      <c r="MA110" s="43"/>
      <c r="MB110" s="43"/>
      <c r="MC110" s="43"/>
      <c r="MD110" s="43"/>
      <c r="ME110" s="43"/>
      <c r="MF110" s="43"/>
      <c r="MG110" s="43"/>
      <c r="MH110" s="43"/>
      <c r="MI110" s="43"/>
      <c r="MJ110" s="43"/>
      <c r="MK110" s="43"/>
      <c r="ML110" s="43"/>
      <c r="MM110" s="43"/>
      <c r="MN110" s="43"/>
      <c r="MO110" s="43"/>
      <c r="MP110" s="43"/>
      <c r="MQ110" s="43"/>
      <c r="MR110" s="43"/>
      <c r="MS110" s="43"/>
      <c r="MT110" s="43"/>
      <c r="MU110" s="43"/>
      <c r="MV110" s="43"/>
      <c r="MW110" s="43"/>
      <c r="MX110" s="43"/>
      <c r="MY110" s="43"/>
      <c r="MZ110" s="43"/>
      <c r="NA110" s="43"/>
      <c r="NB110" s="43"/>
      <c r="NC110" s="43"/>
      <c r="ND110" s="43"/>
      <c r="NE110" s="43"/>
      <c r="NF110" s="43"/>
      <c r="NG110" s="43"/>
      <c r="NH110" s="43"/>
      <c r="NI110" s="43"/>
      <c r="NJ110" s="43"/>
      <c r="NK110" s="43"/>
      <c r="NL110" s="43"/>
      <c r="NM110" s="43"/>
      <c r="NN110" s="43"/>
      <c r="NO110" s="43"/>
      <c r="NP110" s="43"/>
      <c r="NQ110" s="43"/>
      <c r="NR110" s="43"/>
      <c r="NS110" s="43"/>
      <c r="NT110" s="43"/>
      <c r="NU110" s="43"/>
      <c r="NV110" s="43"/>
      <c r="NW110" s="43"/>
      <c r="NX110" s="43"/>
      <c r="NY110" s="43"/>
      <c r="NZ110" s="43"/>
      <c r="OA110" s="43"/>
      <c r="OB110" s="43"/>
      <c r="OC110" s="43"/>
      <c r="OD110" s="43"/>
      <c r="OE110" s="43"/>
      <c r="OF110" s="43"/>
      <c r="OG110" s="43"/>
      <c r="OH110" s="43"/>
      <c r="OI110" s="43"/>
      <c r="OJ110" s="43"/>
      <c r="OK110" s="43"/>
      <c r="OL110" s="43"/>
      <c r="OM110" s="43"/>
      <c r="ON110" s="43"/>
      <c r="OO110" s="43"/>
      <c r="OP110" s="43"/>
      <c r="OQ110" s="43"/>
      <c r="OR110" s="43"/>
      <c r="OS110" s="43"/>
      <c r="OT110" s="43"/>
      <c r="OU110" s="43"/>
      <c r="OV110" s="43"/>
      <c r="OW110" s="43"/>
      <c r="OX110" s="43"/>
      <c r="OY110" s="43"/>
      <c r="OZ110" s="43"/>
      <c r="PA110" s="43"/>
      <c r="PB110" s="43"/>
      <c r="PC110" s="43"/>
      <c r="PD110" s="43"/>
      <c r="PE110" s="43"/>
      <c r="PF110" s="43"/>
      <c r="PG110" s="43"/>
      <c r="PH110" s="43"/>
      <c r="PI110" s="43"/>
      <c r="PJ110" s="43"/>
      <c r="PK110" s="43"/>
      <c r="PL110" s="43"/>
      <c r="PM110" s="43"/>
      <c r="PN110" s="43"/>
      <c r="PO110" s="43"/>
      <c r="PP110" s="43"/>
      <c r="PQ110" s="43"/>
      <c r="PR110" s="43"/>
      <c r="PS110" s="43"/>
      <c r="PT110" s="43"/>
      <c r="PU110" s="43"/>
      <c r="PV110" s="43"/>
      <c r="PW110" s="43"/>
      <c r="PX110" s="43"/>
      <c r="PY110" s="43"/>
      <c r="PZ110" s="43"/>
      <c r="QA110" s="43"/>
      <c r="QB110" s="43"/>
      <c r="QC110" s="43"/>
    </row>
    <row r="111" spans="2:445" x14ac:dyDescent="0.3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6" t="str">
        <f t="shared" si="7"/>
        <v/>
      </c>
      <c r="U111" s="46" t="str">
        <f t="shared" si="8"/>
        <v/>
      </c>
      <c r="V111" s="72" t="str">
        <f t="shared" si="9"/>
        <v/>
      </c>
      <c r="W111" s="48"/>
      <c r="X111" s="73" t="str">
        <f t="shared" si="11"/>
        <v/>
      </c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43"/>
      <c r="BN111" s="43"/>
      <c r="BO111" s="43"/>
      <c r="BP111" s="43"/>
      <c r="BQ111" s="43"/>
      <c r="BR111" s="43"/>
      <c r="BS111" s="43"/>
      <c r="BT111" s="43"/>
      <c r="BU111" s="43"/>
      <c r="BV111" s="43"/>
      <c r="BW111" s="43"/>
      <c r="BX111" s="43"/>
      <c r="BY111" s="43"/>
      <c r="BZ111" s="43"/>
      <c r="CA111" s="43"/>
      <c r="CB111" s="43"/>
      <c r="CC111" s="43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43"/>
      <c r="CY111" s="43"/>
      <c r="CZ111" s="43"/>
      <c r="DA111" s="43"/>
      <c r="DB111" s="43"/>
      <c r="DC111" s="43"/>
      <c r="DD111" s="43"/>
      <c r="DE111" s="43"/>
      <c r="DF111" s="43"/>
      <c r="DG111" s="43"/>
      <c r="DH111" s="43"/>
      <c r="DI111" s="43"/>
      <c r="DJ111" s="43"/>
      <c r="DK111" s="43"/>
      <c r="DL111" s="43"/>
      <c r="DM111" s="43"/>
      <c r="DN111" s="43"/>
      <c r="DO111" s="43"/>
      <c r="DP111" s="43"/>
      <c r="DQ111" s="43"/>
      <c r="DR111" s="43"/>
      <c r="DS111" s="43"/>
      <c r="DT111" s="43"/>
      <c r="DU111" s="43"/>
      <c r="DV111" s="43"/>
      <c r="DW111" s="43"/>
      <c r="DX111" s="43"/>
      <c r="DY111" s="43"/>
      <c r="DZ111" s="43"/>
      <c r="EA111" s="43"/>
      <c r="EB111" s="43"/>
      <c r="EC111" s="43"/>
      <c r="ED111" s="43"/>
      <c r="EE111" s="43"/>
      <c r="EF111" s="43"/>
      <c r="EG111" s="43"/>
      <c r="EH111" s="43"/>
      <c r="EI111" s="43"/>
      <c r="EJ111" s="43"/>
      <c r="EK111" s="43"/>
      <c r="EL111" s="43"/>
      <c r="EM111" s="43"/>
      <c r="EN111" s="43"/>
      <c r="EO111" s="43"/>
      <c r="EP111" s="43"/>
      <c r="EQ111" s="43"/>
      <c r="ER111" s="43"/>
      <c r="ES111" s="43"/>
      <c r="ET111" s="43"/>
      <c r="EU111" s="43"/>
      <c r="EV111" s="43"/>
      <c r="EW111" s="43"/>
      <c r="EX111" s="43"/>
      <c r="EY111" s="43"/>
      <c r="EZ111" s="43"/>
      <c r="FA111" s="43"/>
      <c r="FB111" s="43"/>
      <c r="FC111" s="43"/>
      <c r="FD111" s="43"/>
      <c r="FE111" s="43"/>
      <c r="FF111" s="43"/>
      <c r="FG111" s="43"/>
      <c r="FH111" s="43"/>
      <c r="FI111" s="43"/>
      <c r="FJ111" s="43"/>
      <c r="FK111" s="43"/>
      <c r="FL111" s="43"/>
      <c r="FM111" s="43"/>
      <c r="FN111" s="43"/>
      <c r="FO111" s="43"/>
      <c r="FP111" s="43"/>
      <c r="FQ111" s="43"/>
      <c r="FR111" s="43"/>
      <c r="FS111" s="43"/>
      <c r="FT111" s="43"/>
      <c r="FU111" s="43"/>
      <c r="FV111" s="43"/>
      <c r="FW111" s="43"/>
      <c r="FX111" s="43"/>
      <c r="FY111" s="43"/>
      <c r="FZ111" s="43"/>
      <c r="GA111" s="43"/>
      <c r="GB111" s="43"/>
      <c r="GC111" s="43"/>
      <c r="GD111" s="43"/>
      <c r="GE111" s="43"/>
      <c r="GF111" s="43"/>
      <c r="GG111" s="43"/>
      <c r="GH111" s="43"/>
      <c r="GI111" s="43"/>
      <c r="GJ111" s="43"/>
      <c r="GK111" s="43"/>
      <c r="GL111" s="43"/>
      <c r="GM111" s="43"/>
      <c r="GN111" s="43"/>
      <c r="GO111" s="43"/>
      <c r="GP111" s="43"/>
      <c r="GQ111" s="43"/>
      <c r="GR111" s="43"/>
      <c r="GS111" s="43"/>
      <c r="GT111" s="43"/>
      <c r="GU111" s="43"/>
      <c r="GV111" s="43"/>
      <c r="GW111" s="43"/>
      <c r="GX111" s="43"/>
      <c r="GY111" s="43"/>
      <c r="GZ111" s="43"/>
      <c r="HA111" s="43"/>
      <c r="HB111" s="43"/>
      <c r="HC111" s="43"/>
      <c r="HD111" s="43"/>
      <c r="HE111" s="43"/>
      <c r="HF111" s="43"/>
      <c r="HG111" s="43"/>
      <c r="HH111" s="43"/>
      <c r="HI111" s="43"/>
      <c r="HJ111" s="43"/>
      <c r="HK111" s="43"/>
      <c r="HL111" s="43"/>
      <c r="HM111" s="43"/>
      <c r="HN111" s="43"/>
      <c r="HO111" s="43"/>
      <c r="HP111" s="43"/>
      <c r="HQ111" s="43"/>
      <c r="HR111" s="43"/>
      <c r="HS111" s="43"/>
      <c r="HT111" s="43"/>
      <c r="HU111" s="43"/>
      <c r="HV111" s="43"/>
      <c r="HW111" s="43"/>
      <c r="HX111" s="43"/>
      <c r="HY111" s="43"/>
      <c r="HZ111" s="43"/>
      <c r="IA111" s="43"/>
      <c r="IB111" s="43"/>
      <c r="IC111" s="43"/>
      <c r="ID111" s="43"/>
      <c r="IE111" s="43"/>
      <c r="IF111" s="43"/>
      <c r="IG111" s="43"/>
      <c r="IH111" s="43"/>
      <c r="II111" s="43"/>
      <c r="IJ111" s="43"/>
      <c r="IK111" s="43"/>
      <c r="IL111" s="43"/>
      <c r="IM111" s="43"/>
      <c r="IN111" s="43"/>
      <c r="IO111" s="43"/>
      <c r="IP111" s="43"/>
      <c r="IQ111" s="43"/>
      <c r="IR111" s="43"/>
      <c r="IS111" s="43"/>
      <c r="IT111" s="43"/>
      <c r="IU111" s="43"/>
      <c r="IV111" s="43"/>
      <c r="IW111" s="43"/>
      <c r="IX111" s="43"/>
      <c r="IY111" s="43"/>
      <c r="IZ111" s="43"/>
      <c r="JA111" s="43"/>
      <c r="JB111" s="43"/>
      <c r="JC111" s="43"/>
      <c r="JD111" s="43"/>
      <c r="JE111" s="43"/>
      <c r="JF111" s="43"/>
      <c r="JG111" s="43"/>
      <c r="JH111" s="43"/>
      <c r="JI111" s="43"/>
      <c r="JJ111" s="43"/>
      <c r="JK111" s="43"/>
      <c r="JL111" s="43"/>
      <c r="JM111" s="43"/>
      <c r="JN111" s="43"/>
      <c r="JO111" s="43"/>
      <c r="JP111" s="43"/>
      <c r="JQ111" s="43"/>
      <c r="JR111" s="43"/>
      <c r="JS111" s="43"/>
      <c r="JT111" s="43"/>
      <c r="JU111" s="43"/>
      <c r="JV111" s="43"/>
      <c r="JW111" s="43"/>
      <c r="JX111" s="43"/>
      <c r="JY111" s="43"/>
      <c r="JZ111" s="43"/>
      <c r="KA111" s="43"/>
      <c r="KB111" s="43"/>
      <c r="KC111" s="43"/>
      <c r="KD111" s="43"/>
      <c r="KE111" s="43"/>
      <c r="KF111" s="43"/>
      <c r="KG111" s="43"/>
      <c r="KH111" s="43"/>
      <c r="KI111" s="43"/>
      <c r="KJ111" s="43"/>
      <c r="KK111" s="43"/>
      <c r="KL111" s="43"/>
      <c r="KM111" s="43"/>
      <c r="KN111" s="43"/>
      <c r="KO111" s="43"/>
      <c r="KP111" s="43"/>
      <c r="KQ111" s="43"/>
      <c r="KR111" s="43"/>
      <c r="KS111" s="43"/>
      <c r="KT111" s="43"/>
      <c r="KU111" s="43"/>
      <c r="KV111" s="43"/>
      <c r="KW111" s="43"/>
      <c r="KX111" s="43"/>
      <c r="KY111" s="43"/>
      <c r="KZ111" s="43"/>
      <c r="LA111" s="43"/>
      <c r="LB111" s="43"/>
      <c r="LC111" s="43"/>
      <c r="LD111" s="43"/>
      <c r="LE111" s="43"/>
      <c r="LF111" s="43"/>
      <c r="LG111" s="43"/>
      <c r="LH111" s="43"/>
      <c r="LI111" s="43"/>
      <c r="LJ111" s="43"/>
      <c r="LK111" s="43"/>
      <c r="LL111" s="43"/>
      <c r="LM111" s="43"/>
      <c r="LN111" s="43"/>
      <c r="LO111" s="43"/>
      <c r="LP111" s="43"/>
      <c r="LQ111" s="43"/>
      <c r="LR111" s="43"/>
      <c r="LS111" s="43"/>
      <c r="LT111" s="43"/>
      <c r="LU111" s="43"/>
      <c r="LV111" s="43"/>
      <c r="LW111" s="43"/>
      <c r="LX111" s="43"/>
      <c r="LY111" s="43"/>
      <c r="LZ111" s="43"/>
      <c r="MA111" s="43"/>
      <c r="MB111" s="43"/>
      <c r="MC111" s="43"/>
      <c r="MD111" s="43"/>
      <c r="ME111" s="43"/>
      <c r="MF111" s="43"/>
      <c r="MG111" s="43"/>
      <c r="MH111" s="43"/>
      <c r="MI111" s="43"/>
      <c r="MJ111" s="43"/>
      <c r="MK111" s="43"/>
      <c r="ML111" s="43"/>
      <c r="MM111" s="43"/>
      <c r="MN111" s="43"/>
      <c r="MO111" s="43"/>
      <c r="MP111" s="43"/>
      <c r="MQ111" s="43"/>
      <c r="MR111" s="43"/>
      <c r="MS111" s="43"/>
      <c r="MT111" s="43"/>
      <c r="MU111" s="43"/>
      <c r="MV111" s="43"/>
      <c r="MW111" s="43"/>
      <c r="MX111" s="43"/>
      <c r="MY111" s="43"/>
      <c r="MZ111" s="43"/>
      <c r="NA111" s="43"/>
      <c r="NB111" s="43"/>
      <c r="NC111" s="43"/>
      <c r="ND111" s="43"/>
      <c r="NE111" s="43"/>
      <c r="NF111" s="43"/>
      <c r="NG111" s="43"/>
      <c r="NH111" s="43"/>
      <c r="NI111" s="43"/>
      <c r="NJ111" s="43"/>
      <c r="NK111" s="43"/>
      <c r="NL111" s="43"/>
      <c r="NM111" s="43"/>
      <c r="NN111" s="43"/>
      <c r="NO111" s="43"/>
      <c r="NP111" s="43"/>
      <c r="NQ111" s="43"/>
      <c r="NR111" s="43"/>
      <c r="NS111" s="43"/>
      <c r="NT111" s="43"/>
      <c r="NU111" s="43"/>
      <c r="NV111" s="43"/>
      <c r="NW111" s="43"/>
      <c r="NX111" s="43"/>
      <c r="NY111" s="43"/>
      <c r="NZ111" s="43"/>
      <c r="OA111" s="43"/>
      <c r="OB111" s="43"/>
      <c r="OC111" s="43"/>
      <c r="OD111" s="43"/>
      <c r="OE111" s="43"/>
      <c r="OF111" s="43"/>
      <c r="OG111" s="43"/>
      <c r="OH111" s="43"/>
      <c r="OI111" s="43"/>
      <c r="OJ111" s="43"/>
      <c r="OK111" s="43"/>
      <c r="OL111" s="43"/>
      <c r="OM111" s="43"/>
      <c r="ON111" s="43"/>
      <c r="OO111" s="43"/>
      <c r="OP111" s="43"/>
      <c r="OQ111" s="43"/>
      <c r="OR111" s="43"/>
      <c r="OS111" s="43"/>
      <c r="OT111" s="43"/>
      <c r="OU111" s="43"/>
      <c r="OV111" s="43"/>
      <c r="OW111" s="43"/>
      <c r="OX111" s="43"/>
      <c r="OY111" s="43"/>
      <c r="OZ111" s="43"/>
      <c r="PA111" s="43"/>
      <c r="PB111" s="43"/>
      <c r="PC111" s="43"/>
      <c r="PD111" s="43"/>
      <c r="PE111" s="43"/>
      <c r="PF111" s="43"/>
      <c r="PG111" s="43"/>
      <c r="PH111" s="43"/>
      <c r="PI111" s="43"/>
      <c r="PJ111" s="43"/>
      <c r="PK111" s="43"/>
      <c r="PL111" s="43"/>
      <c r="PM111" s="43"/>
      <c r="PN111" s="43"/>
      <c r="PO111" s="43"/>
      <c r="PP111" s="43"/>
      <c r="PQ111" s="43"/>
      <c r="PR111" s="43"/>
      <c r="PS111" s="43"/>
      <c r="PT111" s="43"/>
      <c r="PU111" s="43"/>
      <c r="PV111" s="43"/>
      <c r="PW111" s="43"/>
      <c r="PX111" s="43"/>
      <c r="PY111" s="43"/>
      <c r="PZ111" s="43"/>
      <c r="QA111" s="43"/>
      <c r="QB111" s="43"/>
      <c r="QC111" s="43"/>
    </row>
    <row r="112" spans="2:445" x14ac:dyDescent="0.3">
      <c r="B112" s="45"/>
      <c r="C112" s="45"/>
      <c r="D112" s="45"/>
      <c r="E112" s="45"/>
      <c r="F112" s="45"/>
      <c r="G112" s="45"/>
      <c r="H112" s="45"/>
      <c r="I112" s="45"/>
      <c r="J112" s="45"/>
      <c r="K112" s="51"/>
      <c r="L112" s="45"/>
      <c r="M112" s="45"/>
      <c r="N112" s="45"/>
      <c r="O112" s="45"/>
      <c r="P112" s="45"/>
      <c r="Q112" s="45"/>
      <c r="R112" s="45"/>
      <c r="S112" s="45"/>
      <c r="T112" s="46" t="str">
        <f t="shared" si="7"/>
        <v/>
      </c>
      <c r="U112" s="46" t="str">
        <f t="shared" si="8"/>
        <v/>
      </c>
      <c r="V112" s="72" t="str">
        <f t="shared" si="9"/>
        <v/>
      </c>
      <c r="W112" s="48"/>
      <c r="X112" s="73" t="str">
        <f t="shared" si="11"/>
        <v/>
      </c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43"/>
      <c r="BN112" s="43"/>
      <c r="BO112" s="43"/>
      <c r="BP112" s="43"/>
      <c r="BQ112" s="43"/>
      <c r="BR112" s="43"/>
      <c r="BS112" s="43"/>
      <c r="BT112" s="43"/>
      <c r="BU112" s="43"/>
      <c r="BV112" s="43"/>
      <c r="BW112" s="43"/>
      <c r="BX112" s="43"/>
      <c r="BY112" s="43"/>
      <c r="BZ112" s="43"/>
      <c r="CA112" s="43"/>
      <c r="CB112" s="43"/>
      <c r="CC112" s="43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43"/>
      <c r="CY112" s="43"/>
      <c r="CZ112" s="43"/>
      <c r="DA112" s="43"/>
      <c r="DB112" s="43"/>
      <c r="DC112" s="43"/>
      <c r="DD112" s="43"/>
      <c r="DE112" s="43"/>
      <c r="DF112" s="43"/>
      <c r="DG112" s="43"/>
      <c r="DH112" s="43"/>
      <c r="DI112" s="43"/>
      <c r="DJ112" s="43"/>
      <c r="DK112" s="43"/>
      <c r="DL112" s="43"/>
      <c r="DM112" s="43"/>
      <c r="DN112" s="43"/>
      <c r="DO112" s="43"/>
      <c r="DP112" s="43"/>
      <c r="DQ112" s="43"/>
      <c r="DR112" s="43"/>
      <c r="DS112" s="43"/>
      <c r="DT112" s="43"/>
      <c r="DU112" s="43"/>
      <c r="DV112" s="43"/>
      <c r="DW112" s="43"/>
      <c r="DX112" s="43"/>
      <c r="DY112" s="43"/>
      <c r="DZ112" s="43"/>
      <c r="EA112" s="43"/>
      <c r="EB112" s="43"/>
      <c r="EC112" s="43"/>
      <c r="ED112" s="43"/>
      <c r="EE112" s="43"/>
      <c r="EF112" s="43"/>
      <c r="EG112" s="43"/>
      <c r="EH112" s="43"/>
      <c r="EI112" s="43"/>
      <c r="EJ112" s="43"/>
      <c r="EK112" s="43"/>
      <c r="EL112" s="43"/>
      <c r="EM112" s="43"/>
      <c r="EN112" s="43"/>
      <c r="EO112" s="43"/>
      <c r="EP112" s="43"/>
      <c r="EQ112" s="43"/>
      <c r="ER112" s="43"/>
      <c r="ES112" s="43"/>
      <c r="ET112" s="43"/>
      <c r="EU112" s="43"/>
      <c r="EV112" s="43"/>
      <c r="EW112" s="43"/>
      <c r="EX112" s="43"/>
      <c r="EY112" s="43"/>
      <c r="EZ112" s="43"/>
      <c r="FA112" s="43"/>
      <c r="FB112" s="43"/>
      <c r="FC112" s="43"/>
      <c r="FD112" s="43"/>
      <c r="FE112" s="43"/>
      <c r="FF112" s="43"/>
      <c r="FG112" s="43"/>
      <c r="FH112" s="43"/>
      <c r="FI112" s="43"/>
      <c r="FJ112" s="43"/>
      <c r="FK112" s="43"/>
      <c r="FL112" s="43"/>
      <c r="FM112" s="43"/>
      <c r="FN112" s="43"/>
      <c r="FO112" s="43"/>
      <c r="FP112" s="43"/>
      <c r="FQ112" s="43"/>
      <c r="FR112" s="43"/>
      <c r="FS112" s="43"/>
      <c r="FT112" s="43"/>
      <c r="FU112" s="43"/>
      <c r="FV112" s="43"/>
      <c r="FW112" s="43"/>
      <c r="FX112" s="43"/>
      <c r="FY112" s="43"/>
      <c r="FZ112" s="43"/>
      <c r="GA112" s="43"/>
      <c r="GB112" s="43"/>
      <c r="GC112" s="43"/>
      <c r="GD112" s="43"/>
      <c r="GE112" s="43"/>
      <c r="GF112" s="43"/>
      <c r="GG112" s="43"/>
      <c r="GH112" s="43"/>
      <c r="GI112" s="43"/>
      <c r="GJ112" s="43"/>
      <c r="GK112" s="43"/>
      <c r="GL112" s="43"/>
      <c r="GM112" s="43"/>
      <c r="GN112" s="43"/>
      <c r="GO112" s="43"/>
      <c r="GP112" s="43"/>
      <c r="GQ112" s="43"/>
      <c r="GR112" s="43"/>
      <c r="GS112" s="43"/>
      <c r="GT112" s="43"/>
      <c r="GU112" s="43"/>
      <c r="GV112" s="43"/>
      <c r="GW112" s="43"/>
      <c r="GX112" s="43"/>
      <c r="GY112" s="43"/>
      <c r="GZ112" s="43"/>
      <c r="HA112" s="43"/>
      <c r="HB112" s="43"/>
      <c r="HC112" s="43"/>
      <c r="HD112" s="43"/>
      <c r="HE112" s="43"/>
      <c r="HF112" s="43"/>
      <c r="HG112" s="43"/>
      <c r="HH112" s="43"/>
      <c r="HI112" s="43"/>
      <c r="HJ112" s="43"/>
      <c r="HK112" s="43"/>
      <c r="HL112" s="43"/>
      <c r="HM112" s="43"/>
      <c r="HN112" s="43"/>
      <c r="HO112" s="43"/>
      <c r="HP112" s="43"/>
      <c r="HQ112" s="43"/>
      <c r="HR112" s="43"/>
      <c r="HS112" s="43"/>
      <c r="HT112" s="43"/>
      <c r="HU112" s="43"/>
      <c r="HV112" s="43"/>
      <c r="HW112" s="43"/>
      <c r="HX112" s="43"/>
      <c r="HY112" s="43"/>
      <c r="HZ112" s="43"/>
      <c r="IA112" s="43"/>
      <c r="IB112" s="43"/>
      <c r="IC112" s="43"/>
      <c r="ID112" s="43"/>
      <c r="IE112" s="43"/>
      <c r="IF112" s="43"/>
      <c r="IG112" s="43"/>
      <c r="IH112" s="43"/>
      <c r="II112" s="43"/>
      <c r="IJ112" s="43"/>
      <c r="IK112" s="43"/>
      <c r="IL112" s="43"/>
      <c r="IM112" s="43"/>
      <c r="IN112" s="43"/>
      <c r="IO112" s="43"/>
      <c r="IP112" s="43"/>
      <c r="IQ112" s="43"/>
      <c r="IR112" s="43"/>
      <c r="IS112" s="43"/>
      <c r="IT112" s="43"/>
      <c r="IU112" s="43"/>
      <c r="IV112" s="43"/>
      <c r="IW112" s="43"/>
      <c r="IX112" s="43"/>
      <c r="IY112" s="43"/>
      <c r="IZ112" s="43"/>
      <c r="JA112" s="43"/>
      <c r="JB112" s="43"/>
      <c r="JC112" s="43"/>
      <c r="JD112" s="43"/>
      <c r="JE112" s="43"/>
      <c r="JF112" s="43"/>
      <c r="JG112" s="43"/>
      <c r="JH112" s="43"/>
      <c r="JI112" s="43"/>
      <c r="JJ112" s="43"/>
      <c r="JK112" s="43"/>
      <c r="JL112" s="43"/>
      <c r="JM112" s="43"/>
      <c r="JN112" s="43"/>
      <c r="JO112" s="43"/>
      <c r="JP112" s="43"/>
      <c r="JQ112" s="43"/>
      <c r="JR112" s="43"/>
      <c r="JS112" s="43"/>
      <c r="JT112" s="43"/>
      <c r="JU112" s="43"/>
      <c r="JV112" s="43"/>
      <c r="JW112" s="43"/>
      <c r="JX112" s="43"/>
      <c r="JY112" s="43"/>
      <c r="JZ112" s="43"/>
      <c r="KA112" s="43"/>
      <c r="KB112" s="43"/>
      <c r="KC112" s="43"/>
      <c r="KD112" s="43"/>
      <c r="KE112" s="43"/>
      <c r="KF112" s="43"/>
      <c r="KG112" s="43"/>
      <c r="KH112" s="43"/>
      <c r="KI112" s="43"/>
      <c r="KJ112" s="43"/>
      <c r="KK112" s="43"/>
      <c r="KL112" s="43"/>
      <c r="KM112" s="43"/>
      <c r="KN112" s="43"/>
      <c r="KO112" s="43"/>
      <c r="KP112" s="43"/>
      <c r="KQ112" s="43"/>
      <c r="KR112" s="43"/>
      <c r="KS112" s="43"/>
      <c r="KT112" s="43"/>
      <c r="KU112" s="43"/>
      <c r="KV112" s="43"/>
      <c r="KW112" s="43"/>
      <c r="KX112" s="43"/>
      <c r="KY112" s="43"/>
      <c r="KZ112" s="43"/>
      <c r="LA112" s="43"/>
      <c r="LB112" s="43"/>
      <c r="LC112" s="43"/>
      <c r="LD112" s="43"/>
      <c r="LE112" s="43"/>
      <c r="LF112" s="43"/>
      <c r="LG112" s="43"/>
      <c r="LH112" s="43"/>
      <c r="LI112" s="43"/>
      <c r="LJ112" s="43"/>
      <c r="LK112" s="43"/>
      <c r="LL112" s="43"/>
      <c r="LM112" s="43"/>
      <c r="LN112" s="43"/>
      <c r="LO112" s="43"/>
      <c r="LP112" s="43"/>
      <c r="LQ112" s="43"/>
      <c r="LR112" s="43"/>
      <c r="LS112" s="43"/>
      <c r="LT112" s="43"/>
      <c r="LU112" s="43"/>
      <c r="LV112" s="43"/>
      <c r="LW112" s="43"/>
      <c r="LX112" s="43"/>
      <c r="LY112" s="43"/>
      <c r="LZ112" s="43"/>
      <c r="MA112" s="43"/>
      <c r="MB112" s="43"/>
      <c r="MC112" s="43"/>
      <c r="MD112" s="43"/>
      <c r="ME112" s="43"/>
      <c r="MF112" s="43"/>
      <c r="MG112" s="43"/>
      <c r="MH112" s="43"/>
      <c r="MI112" s="43"/>
      <c r="MJ112" s="43"/>
      <c r="MK112" s="43"/>
      <c r="ML112" s="43"/>
      <c r="MM112" s="43"/>
      <c r="MN112" s="43"/>
      <c r="MO112" s="43"/>
      <c r="MP112" s="43"/>
      <c r="MQ112" s="43"/>
      <c r="MR112" s="43"/>
      <c r="MS112" s="43"/>
      <c r="MT112" s="43"/>
      <c r="MU112" s="43"/>
      <c r="MV112" s="43"/>
      <c r="MW112" s="43"/>
      <c r="MX112" s="43"/>
      <c r="MY112" s="43"/>
      <c r="MZ112" s="43"/>
      <c r="NA112" s="43"/>
      <c r="NB112" s="43"/>
      <c r="NC112" s="43"/>
      <c r="ND112" s="43"/>
      <c r="NE112" s="43"/>
      <c r="NF112" s="43"/>
      <c r="NG112" s="43"/>
      <c r="NH112" s="43"/>
      <c r="NI112" s="43"/>
      <c r="NJ112" s="43"/>
      <c r="NK112" s="43"/>
      <c r="NL112" s="43"/>
      <c r="NM112" s="43"/>
      <c r="NN112" s="43"/>
      <c r="NO112" s="43"/>
      <c r="NP112" s="43"/>
      <c r="NQ112" s="43"/>
      <c r="NR112" s="43"/>
      <c r="NS112" s="43"/>
      <c r="NT112" s="43"/>
      <c r="NU112" s="43"/>
      <c r="NV112" s="43"/>
      <c r="NW112" s="43"/>
      <c r="NX112" s="43"/>
      <c r="NY112" s="43"/>
      <c r="NZ112" s="43"/>
      <c r="OA112" s="43"/>
      <c r="OB112" s="43"/>
      <c r="OC112" s="43"/>
      <c r="OD112" s="43"/>
      <c r="OE112" s="43"/>
      <c r="OF112" s="43"/>
      <c r="OG112" s="43"/>
      <c r="OH112" s="43"/>
      <c r="OI112" s="43"/>
      <c r="OJ112" s="43"/>
      <c r="OK112" s="43"/>
      <c r="OL112" s="43"/>
      <c r="OM112" s="43"/>
      <c r="ON112" s="43"/>
      <c r="OO112" s="43"/>
      <c r="OP112" s="43"/>
      <c r="OQ112" s="43"/>
      <c r="OR112" s="43"/>
      <c r="OS112" s="43"/>
      <c r="OT112" s="43"/>
      <c r="OU112" s="43"/>
      <c r="OV112" s="43"/>
      <c r="OW112" s="43"/>
      <c r="OX112" s="43"/>
      <c r="OY112" s="43"/>
      <c r="OZ112" s="43"/>
      <c r="PA112" s="43"/>
      <c r="PB112" s="43"/>
      <c r="PC112" s="43"/>
      <c r="PD112" s="43"/>
      <c r="PE112" s="43"/>
      <c r="PF112" s="43"/>
      <c r="PG112" s="43"/>
      <c r="PH112" s="43"/>
      <c r="PI112" s="43"/>
      <c r="PJ112" s="43"/>
      <c r="PK112" s="43"/>
      <c r="PL112" s="43"/>
      <c r="PM112" s="43"/>
      <c r="PN112" s="43"/>
      <c r="PO112" s="43"/>
      <c r="PP112" s="43"/>
      <c r="PQ112" s="43"/>
      <c r="PR112" s="43"/>
      <c r="PS112" s="43"/>
      <c r="PT112" s="43"/>
      <c r="PU112" s="43"/>
      <c r="PV112" s="43"/>
      <c r="PW112" s="43"/>
      <c r="PX112" s="43"/>
      <c r="PY112" s="43"/>
      <c r="PZ112" s="43"/>
      <c r="QA112" s="43"/>
      <c r="QB112" s="43"/>
      <c r="QC112" s="43"/>
    </row>
    <row r="113" spans="1:445" x14ac:dyDescent="0.3">
      <c r="B113" s="45"/>
      <c r="C113" s="45"/>
      <c r="D113" s="45"/>
      <c r="E113" s="45"/>
      <c r="F113" s="45"/>
      <c r="G113" s="45"/>
      <c r="H113" s="45"/>
      <c r="I113" s="45"/>
      <c r="J113" s="45"/>
      <c r="K113" s="51"/>
      <c r="L113" s="45"/>
      <c r="M113" s="45"/>
      <c r="N113" s="45"/>
      <c r="O113" s="45"/>
      <c r="P113" s="45"/>
      <c r="Q113" s="45"/>
      <c r="R113" s="45"/>
      <c r="S113" s="45"/>
      <c r="T113" s="46" t="str">
        <f t="shared" si="7"/>
        <v/>
      </c>
      <c r="U113" s="46" t="str">
        <f t="shared" si="8"/>
        <v/>
      </c>
      <c r="V113" s="72" t="str">
        <f t="shared" si="9"/>
        <v/>
      </c>
      <c r="W113" s="48"/>
      <c r="X113" s="73" t="str">
        <f t="shared" si="11"/>
        <v/>
      </c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43"/>
      <c r="BN113" s="43"/>
      <c r="BO113" s="43"/>
      <c r="BP113" s="43"/>
      <c r="BQ113" s="43"/>
      <c r="BR113" s="43"/>
      <c r="BS113" s="43"/>
      <c r="BT113" s="43"/>
      <c r="BU113" s="43"/>
      <c r="BV113" s="43"/>
      <c r="BW113" s="43"/>
      <c r="BX113" s="43"/>
      <c r="BY113" s="43"/>
      <c r="BZ113" s="43"/>
      <c r="CA113" s="43"/>
      <c r="CB113" s="43"/>
      <c r="CC113" s="4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43"/>
      <c r="CY113" s="43"/>
      <c r="CZ113" s="43"/>
      <c r="DA113" s="43"/>
      <c r="DB113" s="43"/>
      <c r="DC113" s="43"/>
      <c r="DD113" s="43"/>
      <c r="DE113" s="43"/>
      <c r="DF113" s="43"/>
      <c r="DG113" s="43"/>
      <c r="DH113" s="43"/>
      <c r="DI113" s="43"/>
      <c r="DJ113" s="43"/>
      <c r="DK113" s="43"/>
      <c r="DL113" s="43"/>
      <c r="DM113" s="43"/>
      <c r="DN113" s="43"/>
      <c r="DO113" s="43"/>
      <c r="DP113" s="43"/>
      <c r="DQ113" s="43"/>
      <c r="DR113" s="43"/>
      <c r="DS113" s="43"/>
      <c r="DT113" s="43"/>
      <c r="DU113" s="43"/>
      <c r="DV113" s="43"/>
      <c r="DW113" s="43"/>
      <c r="DX113" s="43"/>
      <c r="DY113" s="43"/>
      <c r="DZ113" s="43"/>
      <c r="EA113" s="43"/>
      <c r="EB113" s="43"/>
      <c r="EC113" s="43"/>
      <c r="ED113" s="43"/>
      <c r="EE113" s="43"/>
      <c r="EF113" s="43"/>
      <c r="EG113" s="43"/>
      <c r="EH113" s="43"/>
      <c r="EI113" s="43"/>
      <c r="EJ113" s="43"/>
      <c r="EK113" s="43"/>
      <c r="EL113" s="43"/>
      <c r="EM113" s="43"/>
      <c r="EN113" s="43"/>
      <c r="EO113" s="43"/>
      <c r="EP113" s="43"/>
      <c r="EQ113" s="43"/>
      <c r="ER113" s="43"/>
      <c r="ES113" s="43"/>
      <c r="ET113" s="43"/>
      <c r="EU113" s="43"/>
      <c r="EV113" s="43"/>
      <c r="EW113" s="43"/>
      <c r="EX113" s="43"/>
      <c r="EY113" s="43"/>
      <c r="EZ113" s="43"/>
      <c r="FA113" s="43"/>
      <c r="FB113" s="43"/>
      <c r="FC113" s="43"/>
      <c r="FD113" s="43"/>
      <c r="FE113" s="43"/>
      <c r="FF113" s="43"/>
      <c r="FG113" s="43"/>
      <c r="FH113" s="43"/>
      <c r="FI113" s="43"/>
      <c r="FJ113" s="43"/>
      <c r="FK113" s="43"/>
      <c r="FL113" s="43"/>
      <c r="FM113" s="43"/>
      <c r="FN113" s="43"/>
      <c r="FO113" s="43"/>
      <c r="FP113" s="43"/>
      <c r="FQ113" s="43"/>
      <c r="FR113" s="43"/>
      <c r="FS113" s="43"/>
      <c r="FT113" s="43"/>
      <c r="FU113" s="43"/>
      <c r="FV113" s="43"/>
      <c r="FW113" s="43"/>
      <c r="FX113" s="43"/>
      <c r="FY113" s="43"/>
      <c r="FZ113" s="43"/>
      <c r="GA113" s="43"/>
      <c r="GB113" s="43"/>
      <c r="GC113" s="43"/>
      <c r="GD113" s="43"/>
      <c r="GE113" s="43"/>
      <c r="GF113" s="43"/>
      <c r="GG113" s="43"/>
      <c r="GH113" s="43"/>
      <c r="GI113" s="43"/>
      <c r="GJ113" s="43"/>
      <c r="GK113" s="43"/>
      <c r="GL113" s="43"/>
      <c r="GM113" s="43"/>
      <c r="GN113" s="43"/>
      <c r="GO113" s="43"/>
      <c r="GP113" s="43"/>
      <c r="GQ113" s="43"/>
      <c r="GR113" s="43"/>
      <c r="GS113" s="43"/>
      <c r="GT113" s="43"/>
      <c r="GU113" s="43"/>
      <c r="GV113" s="43"/>
      <c r="GW113" s="43"/>
      <c r="GX113" s="43"/>
      <c r="GY113" s="43"/>
      <c r="GZ113" s="43"/>
      <c r="HA113" s="43"/>
      <c r="HB113" s="43"/>
      <c r="HC113" s="43"/>
      <c r="HD113" s="43"/>
      <c r="HE113" s="43"/>
      <c r="HF113" s="43"/>
      <c r="HG113" s="43"/>
      <c r="HH113" s="43"/>
      <c r="HI113" s="43"/>
      <c r="HJ113" s="43"/>
      <c r="HK113" s="43"/>
      <c r="HL113" s="43"/>
      <c r="HM113" s="43"/>
      <c r="HN113" s="43"/>
      <c r="HO113" s="43"/>
      <c r="HP113" s="43"/>
      <c r="HQ113" s="43"/>
      <c r="HR113" s="43"/>
      <c r="HS113" s="43"/>
      <c r="HT113" s="43"/>
      <c r="HU113" s="43"/>
      <c r="HV113" s="43"/>
      <c r="HW113" s="43"/>
      <c r="HX113" s="43"/>
      <c r="HY113" s="43"/>
      <c r="HZ113" s="43"/>
      <c r="IA113" s="43"/>
      <c r="IB113" s="43"/>
      <c r="IC113" s="43"/>
      <c r="ID113" s="43"/>
      <c r="IE113" s="43"/>
      <c r="IF113" s="43"/>
      <c r="IG113" s="43"/>
      <c r="IH113" s="43"/>
      <c r="II113" s="43"/>
      <c r="IJ113" s="43"/>
      <c r="IK113" s="43"/>
      <c r="IL113" s="43"/>
      <c r="IM113" s="43"/>
      <c r="IN113" s="43"/>
      <c r="IO113" s="43"/>
      <c r="IP113" s="43"/>
      <c r="IQ113" s="43"/>
      <c r="IR113" s="43"/>
      <c r="IS113" s="43"/>
      <c r="IT113" s="43"/>
      <c r="IU113" s="43"/>
      <c r="IV113" s="43"/>
      <c r="IW113" s="43"/>
      <c r="IX113" s="43"/>
      <c r="IY113" s="43"/>
      <c r="IZ113" s="43"/>
      <c r="JA113" s="43"/>
      <c r="JB113" s="43"/>
      <c r="JC113" s="43"/>
      <c r="JD113" s="43"/>
      <c r="JE113" s="43"/>
      <c r="JF113" s="43"/>
      <c r="JG113" s="43"/>
      <c r="JH113" s="43"/>
      <c r="JI113" s="43"/>
      <c r="JJ113" s="43"/>
      <c r="JK113" s="43"/>
      <c r="JL113" s="43"/>
      <c r="JM113" s="43"/>
      <c r="JN113" s="43"/>
      <c r="JO113" s="43"/>
      <c r="JP113" s="43"/>
      <c r="JQ113" s="43"/>
      <c r="JR113" s="43"/>
      <c r="JS113" s="43"/>
      <c r="JT113" s="43"/>
      <c r="JU113" s="43"/>
      <c r="JV113" s="43"/>
      <c r="JW113" s="43"/>
      <c r="JX113" s="43"/>
      <c r="JY113" s="43"/>
      <c r="JZ113" s="43"/>
      <c r="KA113" s="43"/>
      <c r="KB113" s="43"/>
      <c r="KC113" s="43"/>
      <c r="KD113" s="43"/>
      <c r="KE113" s="43"/>
      <c r="KF113" s="43"/>
      <c r="KG113" s="43"/>
      <c r="KH113" s="43"/>
      <c r="KI113" s="43"/>
      <c r="KJ113" s="43"/>
      <c r="KK113" s="43"/>
      <c r="KL113" s="43"/>
      <c r="KM113" s="43"/>
      <c r="KN113" s="43"/>
      <c r="KO113" s="43"/>
      <c r="KP113" s="43"/>
      <c r="KQ113" s="43"/>
      <c r="KR113" s="43"/>
      <c r="KS113" s="43"/>
      <c r="KT113" s="43"/>
      <c r="KU113" s="43"/>
      <c r="KV113" s="43"/>
      <c r="KW113" s="43"/>
      <c r="KX113" s="43"/>
      <c r="KY113" s="43"/>
      <c r="KZ113" s="43"/>
      <c r="LA113" s="43"/>
      <c r="LB113" s="43"/>
      <c r="LC113" s="43"/>
      <c r="LD113" s="43"/>
      <c r="LE113" s="43"/>
      <c r="LF113" s="43"/>
      <c r="LG113" s="43"/>
      <c r="LH113" s="43"/>
      <c r="LI113" s="43"/>
      <c r="LJ113" s="43"/>
      <c r="LK113" s="43"/>
      <c r="LL113" s="43"/>
      <c r="LM113" s="43"/>
      <c r="LN113" s="43"/>
      <c r="LO113" s="43"/>
      <c r="LP113" s="43"/>
      <c r="LQ113" s="43"/>
      <c r="LR113" s="43"/>
      <c r="LS113" s="43"/>
      <c r="LT113" s="43"/>
      <c r="LU113" s="43"/>
      <c r="LV113" s="43"/>
      <c r="LW113" s="43"/>
      <c r="LX113" s="43"/>
      <c r="LY113" s="43"/>
      <c r="LZ113" s="43"/>
      <c r="MA113" s="43"/>
      <c r="MB113" s="43"/>
      <c r="MC113" s="43"/>
      <c r="MD113" s="43"/>
      <c r="ME113" s="43"/>
      <c r="MF113" s="43"/>
      <c r="MG113" s="43"/>
      <c r="MH113" s="43"/>
      <c r="MI113" s="43"/>
      <c r="MJ113" s="43"/>
      <c r="MK113" s="43"/>
      <c r="ML113" s="43"/>
      <c r="MM113" s="43"/>
      <c r="MN113" s="43"/>
      <c r="MO113" s="43"/>
      <c r="MP113" s="43"/>
      <c r="MQ113" s="43"/>
      <c r="MR113" s="43"/>
      <c r="MS113" s="43"/>
      <c r="MT113" s="43"/>
      <c r="MU113" s="43"/>
      <c r="MV113" s="43"/>
      <c r="MW113" s="43"/>
      <c r="MX113" s="43"/>
      <c r="MY113" s="43"/>
      <c r="MZ113" s="43"/>
      <c r="NA113" s="43"/>
      <c r="NB113" s="43"/>
      <c r="NC113" s="43"/>
      <c r="ND113" s="43"/>
      <c r="NE113" s="43"/>
      <c r="NF113" s="43"/>
      <c r="NG113" s="43"/>
      <c r="NH113" s="43"/>
      <c r="NI113" s="43"/>
      <c r="NJ113" s="43"/>
      <c r="NK113" s="43"/>
      <c r="NL113" s="43"/>
      <c r="NM113" s="43"/>
      <c r="NN113" s="43"/>
      <c r="NO113" s="43"/>
      <c r="NP113" s="43"/>
      <c r="NQ113" s="43"/>
      <c r="NR113" s="43"/>
      <c r="NS113" s="43"/>
      <c r="NT113" s="43"/>
      <c r="NU113" s="43"/>
      <c r="NV113" s="43"/>
      <c r="NW113" s="43"/>
      <c r="NX113" s="43"/>
      <c r="NY113" s="43"/>
      <c r="NZ113" s="43"/>
      <c r="OA113" s="43"/>
      <c r="OB113" s="43"/>
      <c r="OC113" s="43"/>
      <c r="OD113" s="43"/>
      <c r="OE113" s="43"/>
      <c r="OF113" s="43"/>
      <c r="OG113" s="43"/>
      <c r="OH113" s="43"/>
      <c r="OI113" s="43"/>
      <c r="OJ113" s="43"/>
      <c r="OK113" s="43"/>
      <c r="OL113" s="43"/>
      <c r="OM113" s="43"/>
      <c r="ON113" s="43"/>
      <c r="OO113" s="43"/>
      <c r="OP113" s="43"/>
      <c r="OQ113" s="43"/>
      <c r="OR113" s="43"/>
      <c r="OS113" s="43"/>
      <c r="OT113" s="43"/>
      <c r="OU113" s="43"/>
      <c r="OV113" s="43"/>
      <c r="OW113" s="43"/>
      <c r="OX113" s="43"/>
      <c r="OY113" s="43"/>
      <c r="OZ113" s="43"/>
      <c r="PA113" s="43"/>
      <c r="PB113" s="43"/>
      <c r="PC113" s="43"/>
      <c r="PD113" s="43"/>
      <c r="PE113" s="43"/>
      <c r="PF113" s="43"/>
      <c r="PG113" s="43"/>
      <c r="PH113" s="43"/>
      <c r="PI113" s="43"/>
      <c r="PJ113" s="43"/>
      <c r="PK113" s="43"/>
      <c r="PL113" s="43"/>
      <c r="PM113" s="43"/>
      <c r="PN113" s="43"/>
      <c r="PO113" s="43"/>
      <c r="PP113" s="43"/>
      <c r="PQ113" s="43"/>
      <c r="PR113" s="43"/>
      <c r="PS113" s="43"/>
      <c r="PT113" s="43"/>
      <c r="PU113" s="43"/>
      <c r="PV113" s="43"/>
      <c r="PW113" s="43"/>
      <c r="PX113" s="43"/>
      <c r="PY113" s="43"/>
      <c r="PZ113" s="43"/>
      <c r="QA113" s="43"/>
      <c r="QB113" s="43"/>
      <c r="QC113" s="43"/>
    </row>
    <row r="114" spans="1:445" x14ac:dyDescent="0.3">
      <c r="B114" s="45"/>
      <c r="C114" s="45"/>
      <c r="D114" s="45"/>
      <c r="E114" s="45"/>
      <c r="F114" s="45"/>
      <c r="G114" s="45"/>
      <c r="H114" s="45"/>
      <c r="I114" s="45"/>
      <c r="J114" s="45"/>
      <c r="K114" s="48"/>
      <c r="L114" s="45"/>
      <c r="M114" s="45"/>
      <c r="N114" s="45"/>
      <c r="O114" s="51"/>
      <c r="P114" s="45"/>
      <c r="Q114" s="45"/>
      <c r="R114" s="45"/>
      <c r="S114" s="45"/>
      <c r="T114" s="46" t="str">
        <f t="shared" si="7"/>
        <v/>
      </c>
      <c r="U114" s="46" t="str">
        <f t="shared" si="8"/>
        <v/>
      </c>
      <c r="V114" s="72" t="str">
        <f t="shared" si="9"/>
        <v/>
      </c>
      <c r="W114" s="48"/>
      <c r="X114" s="73" t="str">
        <f t="shared" si="11"/>
        <v/>
      </c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43"/>
      <c r="BO114" s="43"/>
      <c r="BP114" s="43"/>
      <c r="BQ114" s="43"/>
      <c r="BR114" s="43"/>
      <c r="BS114" s="43"/>
      <c r="BT114" s="43"/>
      <c r="BU114" s="43"/>
      <c r="BV114" s="43"/>
      <c r="BW114" s="43"/>
      <c r="BX114" s="43"/>
      <c r="BY114" s="43"/>
      <c r="BZ114" s="43"/>
      <c r="CA114" s="43"/>
      <c r="CB114" s="43"/>
      <c r="CC114" s="4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43"/>
      <c r="CY114" s="43"/>
      <c r="CZ114" s="43"/>
      <c r="DA114" s="43"/>
      <c r="DB114" s="43"/>
      <c r="DC114" s="43"/>
      <c r="DD114" s="43"/>
      <c r="DE114" s="43"/>
      <c r="DF114" s="43"/>
      <c r="DG114" s="43"/>
      <c r="DH114" s="43"/>
      <c r="DI114" s="43"/>
      <c r="DJ114" s="43"/>
      <c r="DK114" s="43"/>
      <c r="DL114" s="43"/>
      <c r="DM114" s="43"/>
      <c r="DN114" s="43"/>
      <c r="DO114" s="43"/>
      <c r="DP114" s="43"/>
      <c r="DQ114" s="43"/>
      <c r="DR114" s="43"/>
      <c r="DS114" s="43"/>
      <c r="DT114" s="43"/>
      <c r="DU114" s="43"/>
      <c r="DV114" s="43"/>
      <c r="DW114" s="43"/>
      <c r="DX114" s="43"/>
      <c r="DY114" s="43"/>
      <c r="DZ114" s="43"/>
      <c r="EA114" s="43"/>
      <c r="EB114" s="43"/>
      <c r="EC114" s="43"/>
      <c r="ED114" s="43"/>
      <c r="EE114" s="43"/>
      <c r="EF114" s="43"/>
      <c r="EG114" s="43"/>
      <c r="EH114" s="43"/>
      <c r="EI114" s="43"/>
      <c r="EJ114" s="43"/>
      <c r="EK114" s="43"/>
      <c r="EL114" s="43"/>
      <c r="EM114" s="43"/>
      <c r="EN114" s="43"/>
      <c r="EO114" s="43"/>
      <c r="EP114" s="43"/>
      <c r="EQ114" s="43"/>
      <c r="ER114" s="43"/>
      <c r="ES114" s="43"/>
      <c r="ET114" s="43"/>
      <c r="EU114" s="43"/>
      <c r="EV114" s="43"/>
      <c r="EW114" s="43"/>
      <c r="EX114" s="43"/>
      <c r="EY114" s="43"/>
      <c r="EZ114" s="43"/>
      <c r="FA114" s="43"/>
      <c r="FB114" s="43"/>
      <c r="FC114" s="43"/>
      <c r="FD114" s="43"/>
      <c r="FE114" s="43"/>
      <c r="FF114" s="43"/>
      <c r="FG114" s="43"/>
      <c r="FH114" s="43"/>
      <c r="FI114" s="43"/>
      <c r="FJ114" s="43"/>
      <c r="FK114" s="43"/>
      <c r="FL114" s="43"/>
      <c r="FM114" s="43"/>
      <c r="FN114" s="43"/>
      <c r="FO114" s="43"/>
      <c r="FP114" s="43"/>
      <c r="FQ114" s="43"/>
      <c r="FR114" s="43"/>
      <c r="FS114" s="43"/>
      <c r="FT114" s="43"/>
      <c r="FU114" s="43"/>
      <c r="FV114" s="43"/>
      <c r="FW114" s="43"/>
      <c r="FX114" s="43"/>
      <c r="FY114" s="43"/>
      <c r="FZ114" s="43"/>
      <c r="GA114" s="43"/>
      <c r="GB114" s="43"/>
      <c r="GC114" s="43"/>
      <c r="GD114" s="43"/>
      <c r="GE114" s="43"/>
      <c r="GF114" s="43"/>
      <c r="GG114" s="43"/>
      <c r="GH114" s="43"/>
      <c r="GI114" s="43"/>
      <c r="GJ114" s="43"/>
      <c r="GK114" s="43"/>
      <c r="GL114" s="43"/>
      <c r="GM114" s="43"/>
      <c r="GN114" s="43"/>
      <c r="GO114" s="43"/>
      <c r="GP114" s="43"/>
      <c r="GQ114" s="43"/>
      <c r="GR114" s="43"/>
      <c r="GS114" s="43"/>
      <c r="GT114" s="43"/>
      <c r="GU114" s="43"/>
      <c r="GV114" s="43"/>
      <c r="GW114" s="43"/>
      <c r="GX114" s="43"/>
      <c r="GY114" s="43"/>
      <c r="GZ114" s="43"/>
      <c r="HA114" s="43"/>
      <c r="HB114" s="43"/>
      <c r="HC114" s="43"/>
      <c r="HD114" s="43"/>
      <c r="HE114" s="43"/>
      <c r="HF114" s="43"/>
      <c r="HG114" s="43"/>
      <c r="HH114" s="43"/>
      <c r="HI114" s="43"/>
      <c r="HJ114" s="43"/>
      <c r="HK114" s="43"/>
      <c r="HL114" s="43"/>
      <c r="HM114" s="43"/>
      <c r="HN114" s="43"/>
      <c r="HO114" s="43"/>
      <c r="HP114" s="43"/>
      <c r="HQ114" s="43"/>
      <c r="HR114" s="43"/>
      <c r="HS114" s="43"/>
      <c r="HT114" s="43"/>
      <c r="HU114" s="43"/>
      <c r="HV114" s="43"/>
      <c r="HW114" s="43"/>
      <c r="HX114" s="43"/>
      <c r="HY114" s="43"/>
      <c r="HZ114" s="43"/>
      <c r="IA114" s="43"/>
      <c r="IB114" s="43"/>
      <c r="IC114" s="43"/>
      <c r="ID114" s="43"/>
      <c r="IE114" s="43"/>
      <c r="IF114" s="43"/>
      <c r="IG114" s="43"/>
      <c r="IH114" s="43"/>
      <c r="II114" s="43"/>
      <c r="IJ114" s="43"/>
      <c r="IK114" s="43"/>
      <c r="IL114" s="43"/>
      <c r="IM114" s="43"/>
      <c r="IN114" s="43"/>
      <c r="IO114" s="43"/>
      <c r="IP114" s="43"/>
      <c r="IQ114" s="43"/>
      <c r="IR114" s="43"/>
      <c r="IS114" s="43"/>
      <c r="IT114" s="43"/>
      <c r="IU114" s="43"/>
      <c r="IV114" s="43"/>
      <c r="IW114" s="43"/>
      <c r="IX114" s="43"/>
      <c r="IY114" s="43"/>
      <c r="IZ114" s="43"/>
      <c r="JA114" s="43"/>
      <c r="JB114" s="43"/>
      <c r="JC114" s="43"/>
      <c r="JD114" s="43"/>
      <c r="JE114" s="43"/>
      <c r="JF114" s="43"/>
      <c r="JG114" s="43"/>
      <c r="JH114" s="43"/>
      <c r="JI114" s="43"/>
      <c r="JJ114" s="43"/>
      <c r="JK114" s="43"/>
      <c r="JL114" s="43"/>
      <c r="JM114" s="43"/>
      <c r="JN114" s="43"/>
      <c r="JO114" s="43"/>
      <c r="JP114" s="43"/>
      <c r="JQ114" s="43"/>
      <c r="JR114" s="43"/>
      <c r="JS114" s="43"/>
      <c r="JT114" s="43"/>
      <c r="JU114" s="43"/>
      <c r="JV114" s="43"/>
      <c r="JW114" s="43"/>
      <c r="JX114" s="43"/>
      <c r="JY114" s="43"/>
      <c r="JZ114" s="43"/>
      <c r="KA114" s="43"/>
      <c r="KB114" s="43"/>
      <c r="KC114" s="43"/>
      <c r="KD114" s="43"/>
      <c r="KE114" s="43"/>
      <c r="KF114" s="43"/>
      <c r="KG114" s="43"/>
      <c r="KH114" s="43"/>
      <c r="KI114" s="43"/>
      <c r="KJ114" s="43"/>
      <c r="KK114" s="43"/>
      <c r="KL114" s="43"/>
      <c r="KM114" s="43"/>
      <c r="KN114" s="43"/>
      <c r="KO114" s="43"/>
      <c r="KP114" s="43"/>
      <c r="KQ114" s="43"/>
      <c r="KR114" s="43"/>
      <c r="KS114" s="43"/>
      <c r="KT114" s="43"/>
      <c r="KU114" s="43"/>
      <c r="KV114" s="43"/>
      <c r="KW114" s="43"/>
      <c r="KX114" s="43"/>
      <c r="KY114" s="43"/>
      <c r="KZ114" s="43"/>
      <c r="LA114" s="43"/>
      <c r="LB114" s="43"/>
      <c r="LC114" s="43"/>
      <c r="LD114" s="43"/>
      <c r="LE114" s="43"/>
      <c r="LF114" s="43"/>
      <c r="LG114" s="43"/>
      <c r="LH114" s="43"/>
      <c r="LI114" s="43"/>
      <c r="LJ114" s="43"/>
      <c r="LK114" s="43"/>
      <c r="LL114" s="43"/>
      <c r="LM114" s="43"/>
      <c r="LN114" s="43"/>
      <c r="LO114" s="43"/>
      <c r="LP114" s="43"/>
      <c r="LQ114" s="43"/>
      <c r="LR114" s="43"/>
      <c r="LS114" s="43"/>
      <c r="LT114" s="43"/>
      <c r="LU114" s="43"/>
      <c r="LV114" s="43"/>
      <c r="LW114" s="43"/>
      <c r="LX114" s="43"/>
      <c r="LY114" s="43"/>
      <c r="LZ114" s="43"/>
      <c r="MA114" s="43"/>
      <c r="MB114" s="43"/>
      <c r="MC114" s="43"/>
      <c r="MD114" s="43"/>
      <c r="ME114" s="43"/>
      <c r="MF114" s="43"/>
      <c r="MG114" s="43"/>
      <c r="MH114" s="43"/>
      <c r="MI114" s="43"/>
      <c r="MJ114" s="43"/>
      <c r="MK114" s="43"/>
      <c r="ML114" s="43"/>
      <c r="MM114" s="43"/>
      <c r="MN114" s="43"/>
      <c r="MO114" s="43"/>
      <c r="MP114" s="43"/>
      <c r="MQ114" s="43"/>
      <c r="MR114" s="43"/>
      <c r="MS114" s="43"/>
      <c r="MT114" s="43"/>
      <c r="MU114" s="43"/>
      <c r="MV114" s="43"/>
      <c r="MW114" s="43"/>
      <c r="MX114" s="43"/>
      <c r="MY114" s="43"/>
      <c r="MZ114" s="43"/>
      <c r="NA114" s="43"/>
      <c r="NB114" s="43"/>
      <c r="NC114" s="43"/>
      <c r="ND114" s="43"/>
      <c r="NE114" s="43"/>
      <c r="NF114" s="43"/>
      <c r="NG114" s="43"/>
      <c r="NH114" s="43"/>
      <c r="NI114" s="43"/>
      <c r="NJ114" s="43"/>
      <c r="NK114" s="43"/>
      <c r="NL114" s="43"/>
      <c r="NM114" s="43"/>
      <c r="NN114" s="43"/>
      <c r="NO114" s="43"/>
      <c r="NP114" s="43"/>
      <c r="NQ114" s="43"/>
      <c r="NR114" s="43"/>
      <c r="NS114" s="43"/>
      <c r="NT114" s="43"/>
      <c r="NU114" s="43"/>
      <c r="NV114" s="43"/>
      <c r="NW114" s="43"/>
      <c r="NX114" s="43"/>
      <c r="NY114" s="43"/>
      <c r="NZ114" s="43"/>
      <c r="OA114" s="43"/>
      <c r="OB114" s="43"/>
      <c r="OC114" s="43"/>
      <c r="OD114" s="43"/>
      <c r="OE114" s="43"/>
      <c r="OF114" s="43"/>
      <c r="OG114" s="43"/>
      <c r="OH114" s="43"/>
      <c r="OI114" s="43"/>
      <c r="OJ114" s="43"/>
      <c r="OK114" s="43"/>
      <c r="OL114" s="43"/>
      <c r="OM114" s="43"/>
      <c r="ON114" s="43"/>
      <c r="OO114" s="43"/>
      <c r="OP114" s="43"/>
      <c r="OQ114" s="43"/>
      <c r="OR114" s="43"/>
      <c r="OS114" s="43"/>
      <c r="OT114" s="43"/>
      <c r="OU114" s="43"/>
      <c r="OV114" s="43"/>
      <c r="OW114" s="43"/>
      <c r="OX114" s="43"/>
      <c r="OY114" s="43"/>
      <c r="OZ114" s="43"/>
      <c r="PA114" s="43"/>
      <c r="PB114" s="43"/>
      <c r="PC114" s="43"/>
      <c r="PD114" s="43"/>
      <c r="PE114" s="43"/>
      <c r="PF114" s="43"/>
      <c r="PG114" s="43"/>
      <c r="PH114" s="43"/>
      <c r="PI114" s="43"/>
      <c r="PJ114" s="43"/>
      <c r="PK114" s="43"/>
      <c r="PL114" s="43"/>
      <c r="PM114" s="43"/>
      <c r="PN114" s="43"/>
      <c r="PO114" s="43"/>
      <c r="PP114" s="43"/>
      <c r="PQ114" s="43"/>
      <c r="PR114" s="43"/>
      <c r="PS114" s="43"/>
      <c r="PT114" s="43"/>
      <c r="PU114" s="43"/>
      <c r="PV114" s="43"/>
      <c r="PW114" s="43"/>
      <c r="PX114" s="43"/>
      <c r="PY114" s="43"/>
      <c r="PZ114" s="43"/>
      <c r="QA114" s="43"/>
      <c r="QB114" s="43"/>
      <c r="QC114" s="43"/>
    </row>
    <row r="115" spans="1:445" x14ac:dyDescent="0.3">
      <c r="B115" s="45"/>
      <c r="C115" s="45"/>
      <c r="D115" s="45"/>
      <c r="E115" s="45"/>
      <c r="F115" s="45"/>
      <c r="G115" s="45"/>
      <c r="H115" s="45"/>
      <c r="I115" s="45"/>
      <c r="J115" s="45"/>
      <c r="K115" s="48"/>
      <c r="L115" s="45"/>
      <c r="M115" s="45"/>
      <c r="N115" s="45"/>
      <c r="O115" s="45"/>
      <c r="P115" s="45"/>
      <c r="Q115" s="45"/>
      <c r="R115" s="45"/>
      <c r="S115" s="45"/>
      <c r="T115" s="46" t="str">
        <f t="shared" si="7"/>
        <v/>
      </c>
      <c r="U115" s="46" t="str">
        <f t="shared" si="8"/>
        <v/>
      </c>
      <c r="V115" s="72" t="str">
        <f t="shared" si="9"/>
        <v/>
      </c>
      <c r="X115" s="73" t="str">
        <f t="shared" si="11"/>
        <v/>
      </c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43"/>
      <c r="BN115" s="43"/>
      <c r="BO115" s="43"/>
      <c r="BP115" s="43"/>
      <c r="BQ115" s="43"/>
      <c r="BR115" s="43"/>
      <c r="BS115" s="43"/>
      <c r="BT115" s="43"/>
      <c r="BU115" s="43"/>
      <c r="BV115" s="43"/>
      <c r="BW115" s="43"/>
      <c r="BX115" s="43"/>
      <c r="BY115" s="43"/>
      <c r="BZ115" s="43"/>
      <c r="CA115" s="43"/>
      <c r="CB115" s="43"/>
      <c r="CC115" s="43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43"/>
      <c r="CY115" s="43"/>
      <c r="CZ115" s="43"/>
      <c r="DA115" s="43"/>
      <c r="DB115" s="43"/>
      <c r="DC115" s="43"/>
      <c r="DD115" s="43"/>
      <c r="DE115" s="43"/>
      <c r="DF115" s="43"/>
      <c r="DG115" s="43"/>
      <c r="DH115" s="43"/>
      <c r="DI115" s="43"/>
      <c r="DJ115" s="43"/>
      <c r="DK115" s="43"/>
      <c r="DL115" s="43"/>
      <c r="DM115" s="43"/>
      <c r="DN115" s="43"/>
      <c r="DO115" s="43"/>
      <c r="DP115" s="43"/>
      <c r="DQ115" s="43"/>
      <c r="DR115" s="43"/>
      <c r="DS115" s="43"/>
      <c r="DT115" s="43"/>
      <c r="DU115" s="43"/>
      <c r="DV115" s="43"/>
      <c r="DW115" s="43"/>
      <c r="DX115" s="43"/>
      <c r="DY115" s="43"/>
      <c r="DZ115" s="43"/>
      <c r="EA115" s="43"/>
      <c r="EB115" s="43"/>
      <c r="EC115" s="43"/>
      <c r="ED115" s="43"/>
      <c r="EE115" s="43"/>
      <c r="EF115" s="43"/>
      <c r="EG115" s="43"/>
      <c r="EH115" s="43"/>
      <c r="EI115" s="43"/>
      <c r="EJ115" s="43"/>
      <c r="EK115" s="43"/>
      <c r="EL115" s="43"/>
      <c r="EM115" s="43"/>
      <c r="EN115" s="43"/>
      <c r="EO115" s="43"/>
      <c r="EP115" s="43"/>
      <c r="EQ115" s="43"/>
      <c r="ER115" s="43"/>
      <c r="ES115" s="43"/>
      <c r="ET115" s="43"/>
      <c r="EU115" s="43"/>
      <c r="EV115" s="43"/>
      <c r="EW115" s="43"/>
      <c r="EX115" s="43"/>
      <c r="EY115" s="43"/>
      <c r="EZ115" s="43"/>
      <c r="FA115" s="43"/>
      <c r="FB115" s="43"/>
      <c r="FC115" s="43"/>
      <c r="FD115" s="43"/>
      <c r="FE115" s="43"/>
      <c r="FF115" s="43"/>
      <c r="FG115" s="43"/>
      <c r="FH115" s="43"/>
      <c r="FI115" s="43"/>
      <c r="FJ115" s="43"/>
      <c r="FK115" s="43"/>
      <c r="FL115" s="43"/>
      <c r="FM115" s="43"/>
      <c r="FN115" s="43"/>
      <c r="FO115" s="43"/>
      <c r="FP115" s="43"/>
      <c r="FQ115" s="43"/>
      <c r="FR115" s="43"/>
      <c r="FS115" s="43"/>
      <c r="FT115" s="43"/>
      <c r="FU115" s="43"/>
      <c r="FV115" s="43"/>
      <c r="FW115" s="43"/>
      <c r="FX115" s="43"/>
      <c r="FY115" s="43"/>
      <c r="FZ115" s="43"/>
      <c r="GA115" s="43"/>
      <c r="GB115" s="43"/>
      <c r="GC115" s="43"/>
      <c r="GD115" s="43"/>
      <c r="GE115" s="43"/>
      <c r="GF115" s="43"/>
      <c r="GG115" s="43"/>
      <c r="GH115" s="43"/>
      <c r="GI115" s="43"/>
      <c r="GJ115" s="43"/>
      <c r="GK115" s="43"/>
      <c r="GL115" s="43"/>
      <c r="GM115" s="43"/>
      <c r="GN115" s="43"/>
      <c r="GO115" s="43"/>
      <c r="GP115" s="43"/>
      <c r="GQ115" s="43"/>
      <c r="GR115" s="43"/>
      <c r="GS115" s="43"/>
      <c r="GT115" s="43"/>
      <c r="GU115" s="43"/>
      <c r="GV115" s="43"/>
      <c r="GW115" s="43"/>
      <c r="GX115" s="43"/>
      <c r="GY115" s="43"/>
      <c r="GZ115" s="43"/>
      <c r="HA115" s="43"/>
      <c r="HB115" s="43"/>
      <c r="HC115" s="43"/>
      <c r="HD115" s="43"/>
      <c r="HE115" s="43"/>
      <c r="HF115" s="43"/>
      <c r="HG115" s="43"/>
      <c r="HH115" s="43"/>
      <c r="HI115" s="43"/>
      <c r="HJ115" s="43"/>
      <c r="HK115" s="43"/>
      <c r="HL115" s="43"/>
      <c r="HM115" s="43"/>
      <c r="HN115" s="43"/>
      <c r="HO115" s="43"/>
      <c r="HP115" s="43"/>
      <c r="HQ115" s="43"/>
      <c r="HR115" s="43"/>
      <c r="HS115" s="43"/>
      <c r="HT115" s="43"/>
      <c r="HU115" s="43"/>
      <c r="HV115" s="43"/>
      <c r="HW115" s="43"/>
      <c r="HX115" s="43"/>
      <c r="HY115" s="43"/>
      <c r="HZ115" s="43"/>
      <c r="IA115" s="43"/>
      <c r="IB115" s="43"/>
      <c r="IC115" s="43"/>
      <c r="ID115" s="43"/>
      <c r="IE115" s="43"/>
      <c r="IF115" s="43"/>
      <c r="IG115" s="43"/>
      <c r="IH115" s="43"/>
      <c r="II115" s="43"/>
      <c r="IJ115" s="43"/>
      <c r="IK115" s="43"/>
      <c r="IL115" s="43"/>
      <c r="IM115" s="43"/>
      <c r="IN115" s="43"/>
      <c r="IO115" s="43"/>
      <c r="IP115" s="43"/>
      <c r="IQ115" s="43"/>
      <c r="IR115" s="43"/>
      <c r="IS115" s="43"/>
      <c r="IT115" s="43"/>
      <c r="IU115" s="43"/>
      <c r="IV115" s="43"/>
      <c r="IW115" s="43"/>
      <c r="IX115" s="43"/>
      <c r="IY115" s="43"/>
      <c r="IZ115" s="43"/>
      <c r="JA115" s="43"/>
      <c r="JB115" s="43"/>
      <c r="JC115" s="43"/>
      <c r="JD115" s="43"/>
      <c r="JE115" s="43"/>
      <c r="JF115" s="43"/>
      <c r="JG115" s="43"/>
      <c r="JH115" s="43"/>
      <c r="JI115" s="43"/>
      <c r="JJ115" s="43"/>
      <c r="JK115" s="43"/>
      <c r="JL115" s="43"/>
      <c r="JM115" s="43"/>
      <c r="JN115" s="43"/>
      <c r="JO115" s="43"/>
      <c r="JP115" s="43"/>
      <c r="JQ115" s="43"/>
      <c r="JR115" s="43"/>
      <c r="JS115" s="43"/>
      <c r="JT115" s="43"/>
      <c r="JU115" s="43"/>
      <c r="JV115" s="43"/>
      <c r="JW115" s="43"/>
      <c r="JX115" s="43"/>
      <c r="JY115" s="43"/>
      <c r="JZ115" s="43"/>
      <c r="KA115" s="43"/>
      <c r="KB115" s="43"/>
      <c r="KC115" s="43"/>
      <c r="KD115" s="43"/>
      <c r="KE115" s="43"/>
      <c r="KF115" s="43"/>
      <c r="KG115" s="43"/>
      <c r="KH115" s="43"/>
      <c r="KI115" s="43"/>
      <c r="KJ115" s="43"/>
      <c r="KK115" s="43"/>
      <c r="KL115" s="43"/>
      <c r="KM115" s="43"/>
      <c r="KN115" s="43"/>
      <c r="KO115" s="43"/>
      <c r="KP115" s="43"/>
      <c r="KQ115" s="43"/>
      <c r="KR115" s="43"/>
      <c r="KS115" s="43"/>
      <c r="KT115" s="43"/>
      <c r="KU115" s="43"/>
      <c r="KV115" s="43"/>
      <c r="KW115" s="43"/>
      <c r="KX115" s="43"/>
      <c r="KY115" s="43"/>
      <c r="KZ115" s="43"/>
      <c r="LA115" s="43"/>
      <c r="LB115" s="43"/>
      <c r="LC115" s="43"/>
      <c r="LD115" s="43"/>
      <c r="LE115" s="43"/>
      <c r="LF115" s="43"/>
      <c r="LG115" s="43"/>
      <c r="LH115" s="43"/>
      <c r="LI115" s="43"/>
      <c r="LJ115" s="43"/>
      <c r="LK115" s="43"/>
      <c r="LL115" s="43"/>
      <c r="LM115" s="43"/>
      <c r="LN115" s="43"/>
      <c r="LO115" s="43"/>
      <c r="LP115" s="43"/>
      <c r="LQ115" s="43"/>
      <c r="LR115" s="43"/>
      <c r="LS115" s="43"/>
      <c r="LT115" s="43"/>
      <c r="LU115" s="43"/>
      <c r="LV115" s="43"/>
      <c r="LW115" s="43"/>
      <c r="LX115" s="43"/>
      <c r="LY115" s="43"/>
      <c r="LZ115" s="43"/>
      <c r="MA115" s="43"/>
      <c r="MB115" s="43"/>
      <c r="MC115" s="43"/>
      <c r="MD115" s="43"/>
      <c r="ME115" s="43"/>
      <c r="MF115" s="43"/>
      <c r="MG115" s="43"/>
      <c r="MH115" s="43"/>
      <c r="MI115" s="43"/>
      <c r="MJ115" s="43"/>
      <c r="MK115" s="43"/>
      <c r="ML115" s="43"/>
      <c r="MM115" s="43"/>
      <c r="MN115" s="43"/>
      <c r="MO115" s="43"/>
      <c r="MP115" s="43"/>
      <c r="MQ115" s="43"/>
      <c r="MR115" s="43"/>
      <c r="MS115" s="43"/>
      <c r="MT115" s="43"/>
      <c r="MU115" s="43"/>
      <c r="MV115" s="43"/>
      <c r="MW115" s="43"/>
      <c r="MX115" s="43"/>
      <c r="MY115" s="43"/>
      <c r="MZ115" s="43"/>
      <c r="NA115" s="43"/>
      <c r="NB115" s="43"/>
      <c r="NC115" s="43"/>
      <c r="ND115" s="43"/>
      <c r="NE115" s="43"/>
      <c r="NF115" s="43"/>
      <c r="NG115" s="43"/>
      <c r="NH115" s="43"/>
      <c r="NI115" s="43"/>
      <c r="NJ115" s="43"/>
      <c r="NK115" s="43"/>
      <c r="NL115" s="43"/>
      <c r="NM115" s="43"/>
      <c r="NN115" s="43"/>
      <c r="NO115" s="43"/>
      <c r="NP115" s="43"/>
      <c r="NQ115" s="43"/>
      <c r="NR115" s="43"/>
      <c r="NS115" s="43"/>
      <c r="NT115" s="43"/>
      <c r="NU115" s="43"/>
      <c r="NV115" s="43"/>
      <c r="NW115" s="43"/>
      <c r="NX115" s="43"/>
      <c r="NY115" s="43"/>
      <c r="NZ115" s="43"/>
      <c r="OA115" s="43"/>
      <c r="OB115" s="43"/>
      <c r="OC115" s="43"/>
      <c r="OD115" s="43"/>
      <c r="OE115" s="43"/>
      <c r="OF115" s="43"/>
      <c r="OG115" s="43"/>
      <c r="OH115" s="43"/>
      <c r="OI115" s="43"/>
      <c r="OJ115" s="43"/>
      <c r="OK115" s="43"/>
      <c r="OL115" s="43"/>
      <c r="OM115" s="43"/>
      <c r="ON115" s="43"/>
      <c r="OO115" s="43"/>
      <c r="OP115" s="43"/>
      <c r="OQ115" s="43"/>
      <c r="OR115" s="43"/>
      <c r="OS115" s="43"/>
      <c r="OT115" s="43"/>
      <c r="OU115" s="43"/>
      <c r="OV115" s="43"/>
      <c r="OW115" s="43"/>
      <c r="OX115" s="43"/>
      <c r="OY115" s="43"/>
      <c r="OZ115" s="43"/>
      <c r="PA115" s="43"/>
      <c r="PB115" s="43"/>
      <c r="PC115" s="43"/>
      <c r="PD115" s="43"/>
      <c r="PE115" s="43"/>
      <c r="PF115" s="43"/>
      <c r="PG115" s="43"/>
      <c r="PH115" s="43"/>
      <c r="PI115" s="43"/>
      <c r="PJ115" s="43"/>
      <c r="PK115" s="43"/>
      <c r="PL115" s="43"/>
      <c r="PM115" s="43"/>
      <c r="PN115" s="43"/>
      <c r="PO115" s="43"/>
      <c r="PP115" s="43"/>
      <c r="PQ115" s="43"/>
      <c r="PR115" s="43"/>
      <c r="PS115" s="43"/>
      <c r="PT115" s="43"/>
      <c r="PU115" s="43"/>
      <c r="PV115" s="43"/>
      <c r="PW115" s="43"/>
      <c r="PX115" s="43"/>
      <c r="PY115" s="43"/>
      <c r="PZ115" s="43"/>
      <c r="QA115" s="43"/>
      <c r="QB115" s="43"/>
      <c r="QC115" s="43"/>
    </row>
    <row r="116" spans="1:445" x14ac:dyDescent="0.3"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6" t="str">
        <f t="shared" si="7"/>
        <v/>
      </c>
      <c r="U116" s="46" t="str">
        <f t="shared" si="8"/>
        <v/>
      </c>
      <c r="V116" s="72" t="str">
        <f t="shared" si="9"/>
        <v/>
      </c>
      <c r="W116" s="48"/>
      <c r="X116" s="73" t="str">
        <f t="shared" si="11"/>
        <v/>
      </c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43"/>
      <c r="CY116" s="43"/>
      <c r="CZ116" s="43"/>
      <c r="DA116" s="43"/>
      <c r="DB116" s="43"/>
      <c r="DC116" s="43"/>
      <c r="DD116" s="43"/>
      <c r="DE116" s="43"/>
      <c r="DF116" s="43"/>
      <c r="DG116" s="43"/>
      <c r="DH116" s="43"/>
      <c r="DI116" s="43"/>
      <c r="DJ116" s="43"/>
      <c r="DK116" s="43"/>
      <c r="DL116" s="43"/>
      <c r="DM116" s="43"/>
      <c r="DN116" s="43"/>
      <c r="DO116" s="43"/>
      <c r="DP116" s="43"/>
      <c r="DQ116" s="43"/>
      <c r="DR116" s="43"/>
      <c r="DS116" s="43"/>
      <c r="DT116" s="43"/>
      <c r="DU116" s="43"/>
      <c r="DV116" s="43"/>
      <c r="DW116" s="43"/>
      <c r="DX116" s="43"/>
      <c r="DY116" s="43"/>
      <c r="DZ116" s="43"/>
      <c r="EA116" s="43"/>
      <c r="EB116" s="43"/>
      <c r="EC116" s="43"/>
      <c r="ED116" s="43"/>
      <c r="EE116" s="43"/>
      <c r="EF116" s="43"/>
      <c r="EG116" s="43"/>
      <c r="EH116" s="43"/>
      <c r="EI116" s="43"/>
      <c r="EJ116" s="43"/>
      <c r="EK116" s="43"/>
      <c r="EL116" s="43"/>
      <c r="EM116" s="43"/>
      <c r="EN116" s="43"/>
      <c r="EO116" s="43"/>
      <c r="EP116" s="43"/>
      <c r="EQ116" s="43"/>
      <c r="ER116" s="43"/>
      <c r="ES116" s="43"/>
      <c r="ET116" s="43"/>
      <c r="EU116" s="43"/>
      <c r="EV116" s="43"/>
      <c r="EW116" s="43"/>
      <c r="EX116" s="43"/>
      <c r="EY116" s="43"/>
      <c r="EZ116" s="43"/>
      <c r="FA116" s="43"/>
      <c r="FB116" s="43"/>
      <c r="FC116" s="43"/>
      <c r="FD116" s="43"/>
      <c r="FE116" s="43"/>
      <c r="FF116" s="43"/>
      <c r="FG116" s="43"/>
      <c r="FH116" s="43"/>
      <c r="FI116" s="43"/>
      <c r="FJ116" s="43"/>
      <c r="FK116" s="43"/>
      <c r="FL116" s="43"/>
      <c r="FM116" s="43"/>
      <c r="FN116" s="43"/>
      <c r="FO116" s="43"/>
      <c r="FP116" s="43"/>
      <c r="FQ116" s="43"/>
      <c r="FR116" s="43"/>
      <c r="FS116" s="43"/>
      <c r="FT116" s="43"/>
      <c r="FU116" s="43"/>
      <c r="FV116" s="43"/>
      <c r="FW116" s="43"/>
      <c r="FX116" s="43"/>
      <c r="FY116" s="43"/>
      <c r="FZ116" s="43"/>
      <c r="GA116" s="43"/>
      <c r="GB116" s="43"/>
      <c r="GC116" s="43"/>
      <c r="GD116" s="43"/>
      <c r="GE116" s="43"/>
      <c r="GF116" s="43"/>
      <c r="GG116" s="43"/>
      <c r="GH116" s="43"/>
      <c r="GI116" s="43"/>
      <c r="GJ116" s="43"/>
      <c r="GK116" s="43"/>
      <c r="GL116" s="43"/>
      <c r="GM116" s="43"/>
      <c r="GN116" s="43"/>
      <c r="GO116" s="43"/>
      <c r="GP116" s="43"/>
      <c r="GQ116" s="43"/>
      <c r="GR116" s="43"/>
      <c r="GS116" s="43"/>
      <c r="GT116" s="43"/>
      <c r="GU116" s="43"/>
      <c r="GV116" s="43"/>
      <c r="GW116" s="43"/>
      <c r="GX116" s="43"/>
      <c r="GY116" s="43"/>
      <c r="GZ116" s="43"/>
      <c r="HA116" s="43"/>
      <c r="HB116" s="43"/>
      <c r="HC116" s="43"/>
      <c r="HD116" s="43"/>
      <c r="HE116" s="43"/>
      <c r="HF116" s="43"/>
      <c r="HG116" s="43"/>
      <c r="HH116" s="43"/>
      <c r="HI116" s="43"/>
      <c r="HJ116" s="43"/>
      <c r="HK116" s="43"/>
      <c r="HL116" s="43"/>
      <c r="HM116" s="43"/>
      <c r="HN116" s="43"/>
      <c r="HO116" s="43"/>
      <c r="HP116" s="43"/>
      <c r="HQ116" s="43"/>
      <c r="HR116" s="43"/>
      <c r="HS116" s="43"/>
      <c r="HT116" s="43"/>
      <c r="HU116" s="43"/>
      <c r="HV116" s="43"/>
      <c r="HW116" s="43"/>
      <c r="HX116" s="43"/>
      <c r="HY116" s="43"/>
      <c r="HZ116" s="43"/>
      <c r="IA116" s="43"/>
      <c r="IB116" s="43"/>
      <c r="IC116" s="43"/>
      <c r="ID116" s="43"/>
      <c r="IE116" s="43"/>
      <c r="IF116" s="43"/>
      <c r="IG116" s="43"/>
      <c r="IH116" s="43"/>
      <c r="II116" s="43"/>
      <c r="IJ116" s="43"/>
      <c r="IK116" s="43"/>
      <c r="IL116" s="43"/>
      <c r="IM116" s="43"/>
      <c r="IN116" s="43"/>
      <c r="IO116" s="43"/>
      <c r="IP116" s="43"/>
      <c r="IQ116" s="43"/>
      <c r="IR116" s="43"/>
      <c r="IS116" s="43"/>
      <c r="IT116" s="43"/>
      <c r="IU116" s="43"/>
      <c r="IV116" s="43"/>
      <c r="IW116" s="43"/>
      <c r="IX116" s="43"/>
      <c r="IY116" s="43"/>
      <c r="IZ116" s="43"/>
      <c r="JA116" s="43"/>
      <c r="JB116" s="43"/>
      <c r="JC116" s="43"/>
      <c r="JD116" s="43"/>
      <c r="JE116" s="43"/>
      <c r="JF116" s="43"/>
      <c r="JG116" s="43"/>
      <c r="JH116" s="43"/>
      <c r="JI116" s="43"/>
      <c r="JJ116" s="43"/>
      <c r="JK116" s="43"/>
      <c r="JL116" s="43"/>
      <c r="JM116" s="43"/>
      <c r="JN116" s="43"/>
      <c r="JO116" s="43"/>
      <c r="JP116" s="43"/>
      <c r="JQ116" s="43"/>
      <c r="JR116" s="43"/>
      <c r="JS116" s="43"/>
      <c r="JT116" s="43"/>
      <c r="JU116" s="43"/>
      <c r="JV116" s="43"/>
      <c r="JW116" s="43"/>
      <c r="JX116" s="43"/>
      <c r="JY116" s="43"/>
      <c r="JZ116" s="43"/>
      <c r="KA116" s="43"/>
      <c r="KB116" s="43"/>
      <c r="KC116" s="43"/>
      <c r="KD116" s="43"/>
      <c r="KE116" s="43"/>
      <c r="KF116" s="43"/>
      <c r="KG116" s="43"/>
      <c r="KH116" s="43"/>
      <c r="KI116" s="43"/>
      <c r="KJ116" s="43"/>
      <c r="KK116" s="43"/>
      <c r="KL116" s="43"/>
      <c r="KM116" s="43"/>
      <c r="KN116" s="43"/>
      <c r="KO116" s="43"/>
      <c r="KP116" s="43"/>
      <c r="KQ116" s="43"/>
      <c r="KR116" s="43"/>
      <c r="KS116" s="43"/>
      <c r="KT116" s="43"/>
      <c r="KU116" s="43"/>
      <c r="KV116" s="43"/>
      <c r="KW116" s="43"/>
      <c r="KX116" s="43"/>
      <c r="KY116" s="43"/>
      <c r="KZ116" s="43"/>
      <c r="LA116" s="43"/>
      <c r="LB116" s="43"/>
      <c r="LC116" s="43"/>
      <c r="LD116" s="43"/>
      <c r="LE116" s="43"/>
      <c r="LF116" s="43"/>
      <c r="LG116" s="43"/>
      <c r="LH116" s="43"/>
      <c r="LI116" s="43"/>
      <c r="LJ116" s="43"/>
      <c r="LK116" s="43"/>
      <c r="LL116" s="43"/>
      <c r="LM116" s="43"/>
      <c r="LN116" s="43"/>
      <c r="LO116" s="43"/>
      <c r="LP116" s="43"/>
      <c r="LQ116" s="43"/>
      <c r="LR116" s="43"/>
      <c r="LS116" s="43"/>
      <c r="LT116" s="43"/>
      <c r="LU116" s="43"/>
      <c r="LV116" s="43"/>
      <c r="LW116" s="43"/>
      <c r="LX116" s="43"/>
      <c r="LY116" s="43"/>
      <c r="LZ116" s="43"/>
      <c r="MA116" s="43"/>
      <c r="MB116" s="43"/>
      <c r="MC116" s="43"/>
      <c r="MD116" s="43"/>
      <c r="ME116" s="43"/>
      <c r="MF116" s="43"/>
      <c r="MG116" s="43"/>
      <c r="MH116" s="43"/>
      <c r="MI116" s="43"/>
      <c r="MJ116" s="43"/>
      <c r="MK116" s="43"/>
      <c r="ML116" s="43"/>
      <c r="MM116" s="43"/>
      <c r="MN116" s="43"/>
      <c r="MO116" s="43"/>
      <c r="MP116" s="43"/>
      <c r="MQ116" s="43"/>
      <c r="MR116" s="43"/>
      <c r="MS116" s="43"/>
      <c r="MT116" s="43"/>
      <c r="MU116" s="43"/>
      <c r="MV116" s="43"/>
      <c r="MW116" s="43"/>
      <c r="MX116" s="43"/>
      <c r="MY116" s="43"/>
      <c r="MZ116" s="43"/>
      <c r="NA116" s="43"/>
      <c r="NB116" s="43"/>
      <c r="NC116" s="43"/>
      <c r="ND116" s="43"/>
      <c r="NE116" s="43"/>
      <c r="NF116" s="43"/>
      <c r="NG116" s="43"/>
      <c r="NH116" s="43"/>
      <c r="NI116" s="43"/>
      <c r="NJ116" s="43"/>
      <c r="NK116" s="43"/>
      <c r="NL116" s="43"/>
      <c r="NM116" s="43"/>
      <c r="NN116" s="43"/>
      <c r="NO116" s="43"/>
      <c r="NP116" s="43"/>
      <c r="NQ116" s="43"/>
      <c r="NR116" s="43"/>
      <c r="NS116" s="43"/>
      <c r="NT116" s="43"/>
      <c r="NU116" s="43"/>
      <c r="NV116" s="43"/>
      <c r="NW116" s="43"/>
      <c r="NX116" s="43"/>
      <c r="NY116" s="43"/>
      <c r="NZ116" s="43"/>
      <c r="OA116" s="43"/>
      <c r="OB116" s="43"/>
      <c r="OC116" s="43"/>
      <c r="OD116" s="43"/>
      <c r="OE116" s="43"/>
      <c r="OF116" s="43"/>
      <c r="OG116" s="43"/>
      <c r="OH116" s="43"/>
      <c r="OI116" s="43"/>
      <c r="OJ116" s="43"/>
      <c r="OK116" s="43"/>
      <c r="OL116" s="43"/>
      <c r="OM116" s="43"/>
      <c r="ON116" s="43"/>
      <c r="OO116" s="43"/>
      <c r="OP116" s="43"/>
      <c r="OQ116" s="43"/>
      <c r="OR116" s="43"/>
      <c r="OS116" s="43"/>
      <c r="OT116" s="43"/>
      <c r="OU116" s="43"/>
      <c r="OV116" s="43"/>
      <c r="OW116" s="43"/>
      <c r="OX116" s="43"/>
      <c r="OY116" s="43"/>
      <c r="OZ116" s="43"/>
      <c r="PA116" s="43"/>
      <c r="PB116" s="43"/>
      <c r="PC116" s="43"/>
      <c r="PD116" s="43"/>
      <c r="PE116" s="43"/>
      <c r="PF116" s="43"/>
      <c r="PG116" s="43"/>
      <c r="PH116" s="43"/>
      <c r="PI116" s="43"/>
      <c r="PJ116" s="43"/>
      <c r="PK116" s="43"/>
      <c r="PL116" s="43"/>
      <c r="PM116" s="43"/>
      <c r="PN116" s="43"/>
      <c r="PO116" s="43"/>
      <c r="PP116" s="43"/>
      <c r="PQ116" s="43"/>
      <c r="PR116" s="43"/>
      <c r="PS116" s="43"/>
      <c r="PT116" s="43"/>
      <c r="PU116" s="43"/>
      <c r="PV116" s="43"/>
      <c r="PW116" s="43"/>
      <c r="PX116" s="43"/>
      <c r="PY116" s="43"/>
      <c r="PZ116" s="43"/>
      <c r="QA116" s="43"/>
      <c r="QB116" s="43"/>
      <c r="QC116" s="43"/>
    </row>
    <row r="117" spans="1:445" x14ac:dyDescent="0.3">
      <c r="A117" s="57"/>
      <c r="B117" s="45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46" t="str">
        <f t="shared" si="7"/>
        <v/>
      </c>
      <c r="U117" s="46" t="str">
        <f t="shared" si="8"/>
        <v/>
      </c>
      <c r="V117" s="72" t="str">
        <f t="shared" si="9"/>
        <v/>
      </c>
      <c r="W117" s="59"/>
      <c r="X117" s="75" t="str">
        <f t="shared" si="11"/>
        <v/>
      </c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43"/>
      <c r="BN117" s="43"/>
      <c r="BO117" s="43"/>
      <c r="BP117" s="43"/>
      <c r="BQ117" s="43"/>
      <c r="BR117" s="43"/>
      <c r="BS117" s="43"/>
      <c r="BT117" s="43"/>
      <c r="BU117" s="43"/>
      <c r="BV117" s="43"/>
      <c r="BW117" s="43"/>
      <c r="BX117" s="43"/>
      <c r="BY117" s="43"/>
      <c r="BZ117" s="43"/>
      <c r="CA117" s="43"/>
      <c r="CB117" s="43"/>
      <c r="CC117" s="4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43"/>
      <c r="CY117" s="43"/>
      <c r="CZ117" s="43"/>
      <c r="DA117" s="43"/>
      <c r="DB117" s="43"/>
      <c r="DC117" s="43"/>
      <c r="DD117" s="43"/>
      <c r="DE117" s="43"/>
      <c r="DF117" s="43"/>
      <c r="DG117" s="43"/>
      <c r="DH117" s="43"/>
      <c r="DI117" s="43"/>
      <c r="DJ117" s="43"/>
      <c r="DK117" s="43"/>
      <c r="DL117" s="43"/>
      <c r="DM117" s="43"/>
      <c r="DN117" s="43"/>
      <c r="DO117" s="43"/>
      <c r="DP117" s="43"/>
      <c r="DQ117" s="43"/>
      <c r="DR117" s="43"/>
      <c r="DS117" s="43"/>
      <c r="DT117" s="43"/>
      <c r="DU117" s="43"/>
      <c r="DV117" s="43"/>
      <c r="DW117" s="43"/>
      <c r="DX117" s="43"/>
      <c r="DY117" s="43"/>
      <c r="DZ117" s="43"/>
      <c r="EA117" s="43"/>
      <c r="EB117" s="43"/>
      <c r="EC117" s="43"/>
      <c r="ED117" s="43"/>
      <c r="EE117" s="43"/>
      <c r="EF117" s="43"/>
      <c r="EG117" s="43"/>
      <c r="EH117" s="43"/>
      <c r="EI117" s="43"/>
      <c r="EJ117" s="43"/>
      <c r="EK117" s="43"/>
      <c r="EL117" s="43"/>
      <c r="EM117" s="43"/>
      <c r="EN117" s="43"/>
      <c r="EO117" s="43"/>
      <c r="EP117" s="43"/>
      <c r="EQ117" s="43"/>
      <c r="ER117" s="43"/>
      <c r="ES117" s="43"/>
      <c r="ET117" s="43"/>
      <c r="EU117" s="43"/>
      <c r="EV117" s="43"/>
      <c r="EW117" s="43"/>
      <c r="EX117" s="43"/>
      <c r="EY117" s="43"/>
      <c r="EZ117" s="43"/>
      <c r="FA117" s="43"/>
      <c r="FB117" s="43"/>
      <c r="FC117" s="43"/>
      <c r="FD117" s="43"/>
      <c r="FE117" s="43"/>
      <c r="FF117" s="43"/>
      <c r="FG117" s="43"/>
      <c r="FH117" s="43"/>
      <c r="FI117" s="43"/>
      <c r="FJ117" s="43"/>
      <c r="FK117" s="43"/>
      <c r="FL117" s="43"/>
      <c r="FM117" s="43"/>
      <c r="FN117" s="43"/>
      <c r="FO117" s="43"/>
      <c r="FP117" s="43"/>
      <c r="FQ117" s="43"/>
      <c r="FR117" s="43"/>
      <c r="FS117" s="43"/>
      <c r="FT117" s="43"/>
      <c r="FU117" s="43"/>
      <c r="FV117" s="43"/>
      <c r="FW117" s="43"/>
      <c r="FX117" s="43"/>
      <c r="FY117" s="43"/>
      <c r="FZ117" s="43"/>
      <c r="GA117" s="43"/>
      <c r="GB117" s="43"/>
      <c r="GC117" s="43"/>
      <c r="GD117" s="43"/>
      <c r="GE117" s="43"/>
      <c r="GF117" s="43"/>
      <c r="GG117" s="43"/>
      <c r="GH117" s="43"/>
      <c r="GI117" s="43"/>
      <c r="GJ117" s="43"/>
      <c r="GK117" s="43"/>
      <c r="GL117" s="43"/>
      <c r="GM117" s="43"/>
      <c r="GN117" s="43"/>
      <c r="GO117" s="43"/>
      <c r="GP117" s="43"/>
      <c r="GQ117" s="43"/>
      <c r="GR117" s="43"/>
      <c r="GS117" s="43"/>
      <c r="GT117" s="43"/>
      <c r="GU117" s="43"/>
      <c r="GV117" s="43"/>
      <c r="GW117" s="43"/>
      <c r="GX117" s="43"/>
      <c r="GY117" s="43"/>
      <c r="GZ117" s="43"/>
      <c r="HA117" s="43"/>
      <c r="HB117" s="43"/>
      <c r="HC117" s="43"/>
      <c r="HD117" s="43"/>
      <c r="HE117" s="43"/>
      <c r="HF117" s="43"/>
      <c r="HG117" s="43"/>
      <c r="HH117" s="43"/>
      <c r="HI117" s="43"/>
      <c r="HJ117" s="43"/>
      <c r="HK117" s="43"/>
      <c r="HL117" s="43"/>
      <c r="HM117" s="43"/>
      <c r="HN117" s="43"/>
      <c r="HO117" s="43"/>
      <c r="HP117" s="43"/>
      <c r="HQ117" s="43"/>
      <c r="HR117" s="43"/>
      <c r="HS117" s="43"/>
      <c r="HT117" s="43"/>
      <c r="HU117" s="43"/>
      <c r="HV117" s="43"/>
      <c r="HW117" s="43"/>
      <c r="HX117" s="43"/>
      <c r="HY117" s="43"/>
      <c r="HZ117" s="43"/>
      <c r="IA117" s="43"/>
      <c r="IB117" s="43"/>
      <c r="IC117" s="43"/>
      <c r="ID117" s="43"/>
      <c r="IE117" s="43"/>
      <c r="IF117" s="43"/>
      <c r="IG117" s="43"/>
      <c r="IH117" s="43"/>
      <c r="II117" s="43"/>
      <c r="IJ117" s="43"/>
      <c r="IK117" s="43"/>
      <c r="IL117" s="43"/>
      <c r="IM117" s="43"/>
      <c r="IN117" s="43"/>
      <c r="IO117" s="43"/>
      <c r="IP117" s="43"/>
      <c r="IQ117" s="43"/>
      <c r="IR117" s="43"/>
      <c r="IS117" s="43"/>
      <c r="IT117" s="43"/>
      <c r="IU117" s="43"/>
      <c r="IV117" s="43"/>
      <c r="IW117" s="43"/>
      <c r="IX117" s="43"/>
      <c r="IY117" s="43"/>
      <c r="IZ117" s="43"/>
      <c r="JA117" s="43"/>
      <c r="JB117" s="43"/>
      <c r="JC117" s="43"/>
      <c r="JD117" s="43"/>
      <c r="JE117" s="43"/>
      <c r="JF117" s="43"/>
      <c r="JG117" s="43"/>
      <c r="JH117" s="43"/>
      <c r="JI117" s="43"/>
      <c r="JJ117" s="43"/>
      <c r="JK117" s="43"/>
      <c r="JL117" s="43"/>
      <c r="JM117" s="43"/>
      <c r="JN117" s="43"/>
      <c r="JO117" s="43"/>
      <c r="JP117" s="43"/>
      <c r="JQ117" s="43"/>
      <c r="JR117" s="43"/>
      <c r="JS117" s="43"/>
      <c r="JT117" s="43"/>
      <c r="JU117" s="43"/>
      <c r="JV117" s="43"/>
      <c r="JW117" s="43"/>
      <c r="JX117" s="43"/>
      <c r="JY117" s="43"/>
      <c r="JZ117" s="43"/>
      <c r="KA117" s="43"/>
      <c r="KB117" s="43"/>
      <c r="KC117" s="43"/>
      <c r="KD117" s="43"/>
      <c r="KE117" s="43"/>
      <c r="KF117" s="43"/>
      <c r="KG117" s="43"/>
      <c r="KH117" s="43"/>
      <c r="KI117" s="43"/>
      <c r="KJ117" s="43"/>
      <c r="KK117" s="43"/>
      <c r="KL117" s="43"/>
      <c r="KM117" s="43"/>
      <c r="KN117" s="43"/>
      <c r="KO117" s="43"/>
      <c r="KP117" s="43"/>
      <c r="KQ117" s="43"/>
      <c r="KR117" s="43"/>
      <c r="KS117" s="43"/>
      <c r="KT117" s="43"/>
      <c r="KU117" s="43"/>
      <c r="KV117" s="43"/>
      <c r="KW117" s="43"/>
      <c r="KX117" s="43"/>
      <c r="KY117" s="43"/>
      <c r="KZ117" s="43"/>
      <c r="LA117" s="43"/>
      <c r="LB117" s="43"/>
      <c r="LC117" s="43"/>
      <c r="LD117" s="43"/>
      <c r="LE117" s="43"/>
      <c r="LF117" s="43"/>
      <c r="LG117" s="43"/>
      <c r="LH117" s="43"/>
      <c r="LI117" s="43"/>
      <c r="LJ117" s="43"/>
      <c r="LK117" s="43"/>
      <c r="LL117" s="43"/>
      <c r="LM117" s="43"/>
      <c r="LN117" s="43"/>
      <c r="LO117" s="43"/>
      <c r="LP117" s="43"/>
      <c r="LQ117" s="43"/>
      <c r="LR117" s="43"/>
      <c r="LS117" s="43"/>
      <c r="LT117" s="43"/>
      <c r="LU117" s="43"/>
      <c r="LV117" s="43"/>
      <c r="LW117" s="43"/>
      <c r="LX117" s="43"/>
      <c r="LY117" s="43"/>
      <c r="LZ117" s="43"/>
      <c r="MA117" s="43"/>
      <c r="MB117" s="43"/>
      <c r="MC117" s="43"/>
      <c r="MD117" s="43"/>
      <c r="ME117" s="43"/>
      <c r="MF117" s="43"/>
      <c r="MG117" s="43"/>
      <c r="MH117" s="43"/>
      <c r="MI117" s="43"/>
      <c r="MJ117" s="43"/>
      <c r="MK117" s="43"/>
      <c r="ML117" s="43"/>
      <c r="MM117" s="43"/>
      <c r="MN117" s="43"/>
      <c r="MO117" s="43"/>
      <c r="MP117" s="43"/>
      <c r="MQ117" s="43"/>
      <c r="MR117" s="43"/>
      <c r="MS117" s="43"/>
      <c r="MT117" s="43"/>
      <c r="MU117" s="43"/>
      <c r="MV117" s="43"/>
      <c r="MW117" s="43"/>
      <c r="MX117" s="43"/>
      <c r="MY117" s="43"/>
      <c r="MZ117" s="43"/>
      <c r="NA117" s="43"/>
      <c r="NB117" s="43"/>
      <c r="NC117" s="43"/>
      <c r="ND117" s="43"/>
      <c r="NE117" s="43"/>
      <c r="NF117" s="43"/>
      <c r="NG117" s="43"/>
      <c r="NH117" s="43"/>
      <c r="NI117" s="43"/>
      <c r="NJ117" s="43"/>
      <c r="NK117" s="43"/>
      <c r="NL117" s="43"/>
      <c r="NM117" s="43"/>
      <c r="NN117" s="43"/>
      <c r="NO117" s="43"/>
      <c r="NP117" s="43"/>
      <c r="NQ117" s="43"/>
      <c r="NR117" s="43"/>
      <c r="NS117" s="43"/>
      <c r="NT117" s="43"/>
      <c r="NU117" s="43"/>
      <c r="NV117" s="43"/>
      <c r="NW117" s="43"/>
      <c r="NX117" s="43"/>
      <c r="NY117" s="43"/>
      <c r="NZ117" s="43"/>
      <c r="OA117" s="43"/>
      <c r="OB117" s="43"/>
      <c r="OC117" s="43"/>
      <c r="OD117" s="43"/>
      <c r="OE117" s="43"/>
      <c r="OF117" s="43"/>
      <c r="OG117" s="43"/>
      <c r="OH117" s="43"/>
      <c r="OI117" s="43"/>
      <c r="OJ117" s="43"/>
      <c r="OK117" s="43"/>
      <c r="OL117" s="43"/>
      <c r="OM117" s="43"/>
      <c r="ON117" s="43"/>
      <c r="OO117" s="43"/>
      <c r="OP117" s="43"/>
      <c r="OQ117" s="43"/>
      <c r="OR117" s="43"/>
      <c r="OS117" s="43"/>
      <c r="OT117" s="43"/>
      <c r="OU117" s="43"/>
      <c r="OV117" s="43"/>
      <c r="OW117" s="43"/>
      <c r="OX117" s="43"/>
      <c r="OY117" s="43"/>
      <c r="OZ117" s="43"/>
      <c r="PA117" s="43"/>
      <c r="PB117" s="43"/>
      <c r="PC117" s="43"/>
      <c r="PD117" s="43"/>
      <c r="PE117" s="43"/>
      <c r="PF117" s="43"/>
      <c r="PG117" s="43"/>
      <c r="PH117" s="43"/>
      <c r="PI117" s="43"/>
      <c r="PJ117" s="43"/>
      <c r="PK117" s="43"/>
      <c r="PL117" s="43"/>
      <c r="PM117" s="43"/>
      <c r="PN117" s="43"/>
      <c r="PO117" s="43"/>
      <c r="PP117" s="43"/>
      <c r="PQ117" s="43"/>
      <c r="PR117" s="43"/>
      <c r="PS117" s="43"/>
      <c r="PT117" s="43"/>
      <c r="PU117" s="43"/>
      <c r="PV117" s="43"/>
      <c r="PW117" s="43"/>
      <c r="PX117" s="43"/>
      <c r="PY117" s="43"/>
      <c r="PZ117" s="43"/>
      <c r="QA117" s="43"/>
      <c r="QB117" s="43"/>
      <c r="QC117" s="43"/>
    </row>
    <row r="118" spans="1:445" x14ac:dyDescent="0.3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6" t="str">
        <f t="shared" si="7"/>
        <v/>
      </c>
      <c r="U118" s="46" t="str">
        <f t="shared" si="8"/>
        <v/>
      </c>
      <c r="V118" s="72" t="str">
        <f t="shared" si="9"/>
        <v/>
      </c>
      <c r="W118" s="48"/>
      <c r="X118" s="73" t="str">
        <f t="shared" si="11"/>
        <v/>
      </c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43"/>
      <c r="BN118" s="43"/>
      <c r="BO118" s="43"/>
      <c r="BP118" s="43"/>
      <c r="BQ118" s="43"/>
      <c r="BR118" s="43"/>
      <c r="BS118" s="43"/>
      <c r="BT118" s="43"/>
      <c r="BU118" s="43"/>
      <c r="BV118" s="43"/>
      <c r="BW118" s="43"/>
      <c r="BX118" s="43"/>
      <c r="BY118" s="43"/>
      <c r="BZ118" s="43"/>
      <c r="CA118" s="43"/>
      <c r="CB118" s="43"/>
      <c r="CC118" s="4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43"/>
      <c r="CY118" s="43"/>
      <c r="CZ118" s="43"/>
      <c r="DA118" s="43"/>
      <c r="DB118" s="43"/>
      <c r="DC118" s="43"/>
      <c r="DD118" s="43"/>
      <c r="DE118" s="43"/>
      <c r="DF118" s="43"/>
      <c r="DG118" s="43"/>
      <c r="DH118" s="43"/>
      <c r="DI118" s="43"/>
      <c r="DJ118" s="43"/>
      <c r="DK118" s="43"/>
      <c r="DL118" s="43"/>
      <c r="DM118" s="43"/>
      <c r="DN118" s="43"/>
      <c r="DO118" s="43"/>
      <c r="DP118" s="43"/>
      <c r="DQ118" s="43"/>
      <c r="DR118" s="43"/>
      <c r="DS118" s="43"/>
      <c r="DT118" s="43"/>
      <c r="DU118" s="43"/>
      <c r="DV118" s="43"/>
      <c r="DW118" s="43"/>
      <c r="DX118" s="43"/>
      <c r="DY118" s="43"/>
      <c r="DZ118" s="43"/>
      <c r="EA118" s="43"/>
      <c r="EB118" s="43"/>
      <c r="EC118" s="43"/>
      <c r="ED118" s="43"/>
      <c r="EE118" s="43"/>
      <c r="EF118" s="43"/>
      <c r="EG118" s="43"/>
      <c r="EH118" s="43"/>
      <c r="EI118" s="43"/>
      <c r="EJ118" s="43"/>
      <c r="EK118" s="43"/>
      <c r="EL118" s="43"/>
      <c r="EM118" s="43"/>
      <c r="EN118" s="43"/>
      <c r="EO118" s="43"/>
      <c r="EP118" s="43"/>
      <c r="EQ118" s="43"/>
      <c r="ER118" s="43"/>
      <c r="ES118" s="43"/>
      <c r="ET118" s="43"/>
      <c r="EU118" s="43"/>
      <c r="EV118" s="43"/>
      <c r="EW118" s="43"/>
      <c r="EX118" s="43"/>
      <c r="EY118" s="43"/>
      <c r="EZ118" s="43"/>
      <c r="FA118" s="43"/>
      <c r="FB118" s="43"/>
      <c r="FC118" s="43"/>
      <c r="FD118" s="43"/>
      <c r="FE118" s="43"/>
      <c r="FF118" s="43"/>
      <c r="FG118" s="43"/>
      <c r="FH118" s="43"/>
      <c r="FI118" s="43"/>
      <c r="FJ118" s="43"/>
      <c r="FK118" s="43"/>
      <c r="FL118" s="43"/>
      <c r="FM118" s="43"/>
      <c r="FN118" s="43"/>
      <c r="FO118" s="43"/>
      <c r="FP118" s="43"/>
      <c r="FQ118" s="43"/>
      <c r="FR118" s="43"/>
      <c r="FS118" s="43"/>
      <c r="FT118" s="43"/>
      <c r="FU118" s="43"/>
      <c r="FV118" s="43"/>
      <c r="FW118" s="43"/>
      <c r="FX118" s="43"/>
      <c r="FY118" s="43"/>
      <c r="FZ118" s="43"/>
      <c r="GA118" s="43"/>
      <c r="GB118" s="43"/>
      <c r="GC118" s="43"/>
      <c r="GD118" s="43"/>
      <c r="GE118" s="43"/>
      <c r="GF118" s="43"/>
      <c r="GG118" s="43"/>
      <c r="GH118" s="43"/>
      <c r="GI118" s="43"/>
      <c r="GJ118" s="43"/>
      <c r="GK118" s="43"/>
      <c r="GL118" s="43"/>
      <c r="GM118" s="43"/>
      <c r="GN118" s="43"/>
      <c r="GO118" s="43"/>
      <c r="GP118" s="43"/>
      <c r="GQ118" s="43"/>
      <c r="GR118" s="43"/>
      <c r="GS118" s="43"/>
      <c r="GT118" s="43"/>
      <c r="GU118" s="43"/>
      <c r="GV118" s="43"/>
      <c r="GW118" s="43"/>
      <c r="GX118" s="43"/>
      <c r="GY118" s="43"/>
      <c r="GZ118" s="43"/>
      <c r="HA118" s="43"/>
      <c r="HB118" s="43"/>
      <c r="HC118" s="43"/>
      <c r="HD118" s="43"/>
      <c r="HE118" s="43"/>
      <c r="HF118" s="43"/>
      <c r="HG118" s="43"/>
      <c r="HH118" s="43"/>
      <c r="HI118" s="43"/>
      <c r="HJ118" s="43"/>
      <c r="HK118" s="43"/>
      <c r="HL118" s="43"/>
      <c r="HM118" s="43"/>
      <c r="HN118" s="43"/>
      <c r="HO118" s="43"/>
      <c r="HP118" s="43"/>
      <c r="HQ118" s="43"/>
      <c r="HR118" s="43"/>
      <c r="HS118" s="43"/>
      <c r="HT118" s="43"/>
      <c r="HU118" s="43"/>
      <c r="HV118" s="43"/>
      <c r="HW118" s="43"/>
      <c r="HX118" s="43"/>
      <c r="HY118" s="43"/>
      <c r="HZ118" s="43"/>
      <c r="IA118" s="43"/>
      <c r="IB118" s="43"/>
      <c r="IC118" s="43"/>
      <c r="ID118" s="43"/>
      <c r="IE118" s="43"/>
      <c r="IF118" s="43"/>
      <c r="IG118" s="43"/>
      <c r="IH118" s="43"/>
      <c r="II118" s="43"/>
      <c r="IJ118" s="43"/>
      <c r="IK118" s="43"/>
      <c r="IL118" s="43"/>
      <c r="IM118" s="43"/>
      <c r="IN118" s="43"/>
      <c r="IO118" s="43"/>
      <c r="IP118" s="43"/>
      <c r="IQ118" s="43"/>
      <c r="IR118" s="43"/>
      <c r="IS118" s="43"/>
      <c r="IT118" s="43"/>
      <c r="IU118" s="43"/>
      <c r="IV118" s="43"/>
      <c r="IW118" s="43"/>
      <c r="IX118" s="43"/>
      <c r="IY118" s="43"/>
      <c r="IZ118" s="43"/>
      <c r="JA118" s="43"/>
      <c r="JB118" s="43"/>
      <c r="JC118" s="43"/>
      <c r="JD118" s="43"/>
      <c r="JE118" s="43"/>
      <c r="JF118" s="43"/>
      <c r="JG118" s="43"/>
      <c r="JH118" s="43"/>
      <c r="JI118" s="43"/>
      <c r="JJ118" s="43"/>
      <c r="JK118" s="43"/>
      <c r="JL118" s="43"/>
      <c r="JM118" s="43"/>
      <c r="JN118" s="43"/>
      <c r="JO118" s="43"/>
      <c r="JP118" s="43"/>
      <c r="JQ118" s="43"/>
      <c r="JR118" s="43"/>
      <c r="JS118" s="43"/>
      <c r="JT118" s="43"/>
      <c r="JU118" s="43"/>
      <c r="JV118" s="43"/>
      <c r="JW118" s="43"/>
      <c r="JX118" s="43"/>
      <c r="JY118" s="43"/>
      <c r="JZ118" s="43"/>
      <c r="KA118" s="43"/>
      <c r="KB118" s="43"/>
      <c r="KC118" s="43"/>
      <c r="KD118" s="43"/>
      <c r="KE118" s="43"/>
      <c r="KF118" s="43"/>
      <c r="KG118" s="43"/>
      <c r="KH118" s="43"/>
      <c r="KI118" s="43"/>
      <c r="KJ118" s="43"/>
      <c r="KK118" s="43"/>
      <c r="KL118" s="43"/>
      <c r="KM118" s="43"/>
      <c r="KN118" s="43"/>
      <c r="KO118" s="43"/>
      <c r="KP118" s="43"/>
      <c r="KQ118" s="43"/>
      <c r="KR118" s="43"/>
      <c r="KS118" s="43"/>
      <c r="KT118" s="43"/>
      <c r="KU118" s="43"/>
      <c r="KV118" s="43"/>
      <c r="KW118" s="43"/>
      <c r="KX118" s="43"/>
      <c r="KY118" s="43"/>
      <c r="KZ118" s="43"/>
      <c r="LA118" s="43"/>
      <c r="LB118" s="43"/>
      <c r="LC118" s="43"/>
      <c r="LD118" s="43"/>
      <c r="LE118" s="43"/>
      <c r="LF118" s="43"/>
      <c r="LG118" s="43"/>
      <c r="LH118" s="43"/>
      <c r="LI118" s="43"/>
      <c r="LJ118" s="43"/>
      <c r="LK118" s="43"/>
      <c r="LL118" s="43"/>
      <c r="LM118" s="43"/>
      <c r="LN118" s="43"/>
      <c r="LO118" s="43"/>
      <c r="LP118" s="43"/>
      <c r="LQ118" s="43"/>
      <c r="LR118" s="43"/>
      <c r="LS118" s="43"/>
      <c r="LT118" s="43"/>
      <c r="LU118" s="43"/>
      <c r="LV118" s="43"/>
      <c r="LW118" s="43"/>
      <c r="LX118" s="43"/>
      <c r="LY118" s="43"/>
      <c r="LZ118" s="43"/>
      <c r="MA118" s="43"/>
      <c r="MB118" s="43"/>
      <c r="MC118" s="43"/>
      <c r="MD118" s="43"/>
      <c r="ME118" s="43"/>
      <c r="MF118" s="43"/>
      <c r="MG118" s="43"/>
      <c r="MH118" s="43"/>
      <c r="MI118" s="43"/>
      <c r="MJ118" s="43"/>
      <c r="MK118" s="43"/>
      <c r="ML118" s="43"/>
      <c r="MM118" s="43"/>
      <c r="MN118" s="43"/>
      <c r="MO118" s="43"/>
      <c r="MP118" s="43"/>
      <c r="MQ118" s="43"/>
      <c r="MR118" s="43"/>
      <c r="MS118" s="43"/>
      <c r="MT118" s="43"/>
      <c r="MU118" s="43"/>
      <c r="MV118" s="43"/>
      <c r="MW118" s="43"/>
      <c r="MX118" s="43"/>
      <c r="MY118" s="43"/>
      <c r="MZ118" s="43"/>
      <c r="NA118" s="43"/>
      <c r="NB118" s="43"/>
      <c r="NC118" s="43"/>
      <c r="ND118" s="43"/>
      <c r="NE118" s="43"/>
      <c r="NF118" s="43"/>
      <c r="NG118" s="43"/>
      <c r="NH118" s="43"/>
      <c r="NI118" s="43"/>
      <c r="NJ118" s="43"/>
      <c r="NK118" s="43"/>
      <c r="NL118" s="43"/>
      <c r="NM118" s="43"/>
      <c r="NN118" s="43"/>
      <c r="NO118" s="43"/>
      <c r="NP118" s="43"/>
      <c r="NQ118" s="43"/>
      <c r="NR118" s="43"/>
      <c r="NS118" s="43"/>
      <c r="NT118" s="43"/>
      <c r="NU118" s="43"/>
      <c r="NV118" s="43"/>
      <c r="NW118" s="43"/>
      <c r="NX118" s="43"/>
      <c r="NY118" s="43"/>
      <c r="NZ118" s="43"/>
      <c r="OA118" s="43"/>
      <c r="OB118" s="43"/>
      <c r="OC118" s="43"/>
      <c r="OD118" s="43"/>
      <c r="OE118" s="43"/>
      <c r="OF118" s="43"/>
      <c r="OG118" s="43"/>
      <c r="OH118" s="43"/>
      <c r="OI118" s="43"/>
      <c r="OJ118" s="43"/>
      <c r="OK118" s="43"/>
      <c r="OL118" s="43"/>
      <c r="OM118" s="43"/>
      <c r="ON118" s="43"/>
      <c r="OO118" s="43"/>
      <c r="OP118" s="43"/>
      <c r="OQ118" s="43"/>
      <c r="OR118" s="43"/>
      <c r="OS118" s="43"/>
      <c r="OT118" s="43"/>
      <c r="OU118" s="43"/>
      <c r="OV118" s="43"/>
      <c r="OW118" s="43"/>
      <c r="OX118" s="43"/>
      <c r="OY118" s="43"/>
      <c r="OZ118" s="43"/>
      <c r="PA118" s="43"/>
      <c r="PB118" s="43"/>
      <c r="PC118" s="43"/>
      <c r="PD118" s="43"/>
      <c r="PE118" s="43"/>
      <c r="PF118" s="43"/>
      <c r="PG118" s="43"/>
      <c r="PH118" s="43"/>
      <c r="PI118" s="43"/>
      <c r="PJ118" s="43"/>
      <c r="PK118" s="43"/>
      <c r="PL118" s="43"/>
      <c r="PM118" s="43"/>
      <c r="PN118" s="43"/>
      <c r="PO118" s="43"/>
      <c r="PP118" s="43"/>
      <c r="PQ118" s="43"/>
      <c r="PR118" s="43"/>
      <c r="PS118" s="43"/>
      <c r="PT118" s="43"/>
      <c r="PU118" s="43"/>
      <c r="PV118" s="43"/>
      <c r="PW118" s="43"/>
      <c r="PX118" s="43"/>
      <c r="PY118" s="43"/>
      <c r="PZ118" s="43"/>
      <c r="QA118" s="43"/>
      <c r="QB118" s="43"/>
      <c r="QC118" s="43"/>
    </row>
    <row r="119" spans="1:445" s="54" customFormat="1" x14ac:dyDescent="0.3">
      <c r="A119" s="47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6" t="str">
        <f t="shared" si="7"/>
        <v/>
      </c>
      <c r="U119" s="46" t="str">
        <f t="shared" si="8"/>
        <v/>
      </c>
      <c r="V119" s="72" t="str">
        <f t="shared" si="9"/>
        <v/>
      </c>
      <c r="W119" s="48"/>
      <c r="X119" s="73" t="str">
        <f t="shared" si="11"/>
        <v/>
      </c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  <c r="AK119" s="60"/>
      <c r="AL119" s="60"/>
      <c r="AM119" s="60"/>
      <c r="AN119" s="60"/>
      <c r="AO119" s="60"/>
      <c r="AP119" s="60"/>
      <c r="AQ119" s="60"/>
      <c r="AR119" s="60"/>
      <c r="AS119" s="60"/>
      <c r="AT119" s="60"/>
      <c r="AU119" s="60"/>
      <c r="AV119" s="60"/>
      <c r="AW119" s="60"/>
      <c r="AX119" s="60"/>
      <c r="AY119" s="60"/>
      <c r="AZ119" s="60"/>
      <c r="BA119" s="60"/>
      <c r="BB119" s="60"/>
      <c r="BC119" s="60"/>
      <c r="BD119" s="60"/>
      <c r="BE119" s="60"/>
      <c r="BF119" s="60"/>
      <c r="BG119" s="60"/>
      <c r="BH119" s="60"/>
      <c r="BI119" s="60"/>
      <c r="BJ119" s="60"/>
      <c r="BK119" s="60"/>
      <c r="BL119" s="60"/>
      <c r="BM119" s="60"/>
      <c r="BN119" s="60"/>
      <c r="BO119" s="60"/>
      <c r="BP119" s="60"/>
      <c r="BQ119" s="60"/>
      <c r="BR119" s="60"/>
      <c r="BS119" s="60"/>
      <c r="BT119" s="60"/>
      <c r="BU119" s="60"/>
      <c r="BV119" s="60"/>
      <c r="BW119" s="60"/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60"/>
      <c r="CU119" s="60"/>
      <c r="CV119" s="60"/>
      <c r="CW119" s="60"/>
      <c r="CX119" s="60"/>
      <c r="CY119" s="60"/>
      <c r="CZ119" s="60"/>
      <c r="DA119" s="60"/>
      <c r="DB119" s="60"/>
      <c r="DC119" s="60"/>
      <c r="DD119" s="60"/>
      <c r="DE119" s="60"/>
      <c r="DF119" s="60"/>
      <c r="DG119" s="60"/>
      <c r="DH119" s="60"/>
      <c r="DI119" s="60"/>
      <c r="DJ119" s="60"/>
      <c r="DK119" s="60"/>
      <c r="DL119" s="60"/>
      <c r="DM119" s="60"/>
      <c r="DN119" s="60"/>
      <c r="DO119" s="60"/>
      <c r="DP119" s="60"/>
      <c r="DQ119" s="60"/>
      <c r="DR119" s="60"/>
      <c r="DS119" s="60"/>
      <c r="DT119" s="60"/>
      <c r="DU119" s="60"/>
      <c r="DV119" s="60"/>
      <c r="DW119" s="60"/>
      <c r="DX119" s="60"/>
      <c r="DY119" s="60"/>
      <c r="DZ119" s="60"/>
      <c r="EA119" s="60"/>
      <c r="EB119" s="60"/>
      <c r="EC119" s="60"/>
      <c r="ED119" s="60"/>
      <c r="EE119" s="60"/>
      <c r="EF119" s="60"/>
      <c r="EG119" s="60"/>
      <c r="EH119" s="60"/>
      <c r="EI119" s="60"/>
      <c r="EJ119" s="60"/>
      <c r="EK119" s="60"/>
      <c r="EL119" s="60"/>
      <c r="EM119" s="60"/>
      <c r="EN119" s="60"/>
      <c r="EO119" s="60"/>
      <c r="EP119" s="60"/>
      <c r="EQ119" s="60"/>
      <c r="ER119" s="60"/>
      <c r="ES119" s="60"/>
      <c r="ET119" s="60"/>
      <c r="EU119" s="60"/>
      <c r="EV119" s="60"/>
      <c r="EW119" s="60"/>
      <c r="EX119" s="60"/>
      <c r="EY119" s="60"/>
      <c r="EZ119" s="60"/>
      <c r="FA119" s="60"/>
      <c r="FB119" s="60"/>
      <c r="FC119" s="60"/>
      <c r="FD119" s="60"/>
      <c r="FE119" s="60"/>
      <c r="FF119" s="60"/>
      <c r="FG119" s="60"/>
      <c r="FH119" s="60"/>
      <c r="FI119" s="60"/>
      <c r="FJ119" s="60"/>
      <c r="FK119" s="60"/>
      <c r="FL119" s="60"/>
      <c r="FM119" s="60"/>
      <c r="FN119" s="60"/>
      <c r="FO119" s="60"/>
      <c r="FP119" s="60"/>
      <c r="FQ119" s="60"/>
      <c r="FR119" s="60"/>
      <c r="FS119" s="60"/>
      <c r="FT119" s="60"/>
      <c r="FU119" s="60"/>
      <c r="FV119" s="60"/>
      <c r="FW119" s="60"/>
      <c r="FX119" s="60"/>
      <c r="FY119" s="60"/>
      <c r="FZ119" s="60"/>
      <c r="GA119" s="60"/>
      <c r="GB119" s="60"/>
      <c r="GC119" s="60"/>
      <c r="GD119" s="60"/>
      <c r="GE119" s="60"/>
      <c r="GF119" s="60"/>
      <c r="GG119" s="60"/>
      <c r="GH119" s="60"/>
      <c r="GI119" s="60"/>
      <c r="GJ119" s="60"/>
      <c r="GK119" s="60"/>
      <c r="GL119" s="60"/>
      <c r="GM119" s="60"/>
      <c r="GN119" s="60"/>
      <c r="GO119" s="60"/>
      <c r="GP119" s="60"/>
      <c r="GQ119" s="60"/>
      <c r="GR119" s="60"/>
      <c r="GS119" s="60"/>
      <c r="GT119" s="60"/>
      <c r="GU119" s="60"/>
      <c r="GV119" s="60"/>
      <c r="GW119" s="60"/>
      <c r="GX119" s="60"/>
      <c r="GY119" s="60"/>
      <c r="GZ119" s="60"/>
      <c r="HA119" s="60"/>
      <c r="HB119" s="60"/>
      <c r="HC119" s="60"/>
      <c r="HD119" s="60"/>
      <c r="HE119" s="60"/>
      <c r="HF119" s="60"/>
      <c r="HG119" s="60"/>
      <c r="HH119" s="60"/>
      <c r="HI119" s="60"/>
      <c r="HJ119" s="60"/>
      <c r="HK119" s="60"/>
      <c r="HL119" s="60"/>
      <c r="HM119" s="60"/>
      <c r="HN119" s="60"/>
      <c r="HO119" s="60"/>
      <c r="HP119" s="60"/>
      <c r="HQ119" s="60"/>
      <c r="HR119" s="60"/>
      <c r="HS119" s="60"/>
      <c r="HT119" s="60"/>
      <c r="HU119" s="60"/>
      <c r="HV119" s="60"/>
      <c r="HW119" s="60"/>
      <c r="HX119" s="60"/>
      <c r="HY119" s="60"/>
      <c r="HZ119" s="60"/>
      <c r="IA119" s="60"/>
      <c r="IB119" s="60"/>
      <c r="IC119" s="60"/>
      <c r="ID119" s="60"/>
      <c r="IE119" s="60"/>
      <c r="IF119" s="60"/>
      <c r="IG119" s="60"/>
      <c r="IH119" s="60"/>
      <c r="II119" s="60"/>
      <c r="IJ119" s="60"/>
      <c r="IK119" s="60"/>
      <c r="IL119" s="60"/>
      <c r="IM119" s="60"/>
      <c r="IN119" s="60"/>
      <c r="IO119" s="60"/>
      <c r="IP119" s="60"/>
      <c r="IQ119" s="60"/>
      <c r="IR119" s="60"/>
      <c r="IS119" s="60"/>
      <c r="IT119" s="60"/>
      <c r="IU119" s="60"/>
      <c r="IV119" s="60"/>
      <c r="IW119" s="60"/>
      <c r="IX119" s="60"/>
      <c r="IY119" s="60"/>
      <c r="IZ119" s="60"/>
      <c r="JA119" s="60"/>
      <c r="JB119" s="60"/>
      <c r="JC119" s="60"/>
      <c r="JD119" s="60"/>
      <c r="JE119" s="60"/>
      <c r="JF119" s="60"/>
      <c r="JG119" s="60"/>
      <c r="JH119" s="60"/>
      <c r="JI119" s="60"/>
      <c r="JJ119" s="60"/>
      <c r="JK119" s="60"/>
      <c r="JL119" s="60"/>
      <c r="JM119" s="60"/>
      <c r="JN119" s="60"/>
      <c r="JO119" s="60"/>
      <c r="JP119" s="60"/>
      <c r="JQ119" s="60"/>
      <c r="JR119" s="60"/>
      <c r="JS119" s="60"/>
      <c r="JT119" s="60"/>
      <c r="JU119" s="60"/>
      <c r="JV119" s="60"/>
      <c r="JW119" s="60"/>
      <c r="JX119" s="60"/>
      <c r="JY119" s="60"/>
      <c r="JZ119" s="60"/>
      <c r="KA119" s="60"/>
      <c r="KB119" s="60"/>
      <c r="KC119" s="60"/>
      <c r="KD119" s="60"/>
      <c r="KE119" s="60"/>
      <c r="KF119" s="60"/>
      <c r="KG119" s="60"/>
      <c r="KH119" s="60"/>
      <c r="KI119" s="60"/>
      <c r="KJ119" s="60"/>
      <c r="KK119" s="60"/>
      <c r="KL119" s="60"/>
      <c r="KM119" s="60"/>
      <c r="KN119" s="60"/>
      <c r="KO119" s="60"/>
      <c r="KP119" s="60"/>
      <c r="KQ119" s="60"/>
      <c r="KR119" s="60"/>
      <c r="KS119" s="60"/>
      <c r="KT119" s="60"/>
      <c r="KU119" s="60"/>
      <c r="KV119" s="60"/>
      <c r="KW119" s="60"/>
      <c r="KX119" s="60"/>
      <c r="KY119" s="60"/>
      <c r="KZ119" s="60"/>
      <c r="LA119" s="60"/>
      <c r="LB119" s="60"/>
      <c r="LC119" s="60"/>
      <c r="LD119" s="60"/>
      <c r="LE119" s="60"/>
      <c r="LF119" s="60"/>
      <c r="LG119" s="60"/>
      <c r="LH119" s="60"/>
      <c r="LI119" s="60"/>
      <c r="LJ119" s="60"/>
      <c r="LK119" s="60"/>
      <c r="LL119" s="60"/>
      <c r="LM119" s="60"/>
      <c r="LN119" s="60"/>
      <c r="LO119" s="60"/>
      <c r="LP119" s="60"/>
      <c r="LQ119" s="60"/>
      <c r="LR119" s="60"/>
      <c r="LS119" s="60"/>
      <c r="LT119" s="60"/>
      <c r="LU119" s="60"/>
      <c r="LV119" s="60"/>
      <c r="LW119" s="60"/>
      <c r="LX119" s="60"/>
      <c r="LY119" s="60"/>
      <c r="LZ119" s="60"/>
      <c r="MA119" s="60"/>
      <c r="MB119" s="60"/>
      <c r="MC119" s="60"/>
      <c r="MD119" s="60"/>
      <c r="ME119" s="60"/>
      <c r="MF119" s="60"/>
      <c r="MG119" s="60"/>
      <c r="MH119" s="60"/>
      <c r="MI119" s="60"/>
      <c r="MJ119" s="60"/>
      <c r="MK119" s="60"/>
      <c r="ML119" s="60"/>
      <c r="MM119" s="60"/>
      <c r="MN119" s="60"/>
      <c r="MO119" s="60"/>
      <c r="MP119" s="60"/>
      <c r="MQ119" s="60"/>
      <c r="MR119" s="60"/>
      <c r="MS119" s="60"/>
      <c r="MT119" s="60"/>
      <c r="MU119" s="60"/>
      <c r="MV119" s="60"/>
      <c r="MW119" s="60"/>
      <c r="MX119" s="60"/>
      <c r="MY119" s="60"/>
      <c r="MZ119" s="60"/>
      <c r="NA119" s="60"/>
      <c r="NB119" s="60"/>
      <c r="NC119" s="60"/>
      <c r="ND119" s="60"/>
      <c r="NE119" s="60"/>
      <c r="NF119" s="60"/>
      <c r="NG119" s="60"/>
      <c r="NH119" s="60"/>
      <c r="NI119" s="60"/>
      <c r="NJ119" s="60"/>
      <c r="NK119" s="60"/>
      <c r="NL119" s="60"/>
      <c r="NM119" s="60"/>
      <c r="NN119" s="60"/>
      <c r="NO119" s="60"/>
      <c r="NP119" s="60"/>
      <c r="NQ119" s="60"/>
      <c r="NR119" s="60"/>
      <c r="NS119" s="60"/>
      <c r="NT119" s="60"/>
      <c r="NU119" s="60"/>
      <c r="NV119" s="60"/>
      <c r="NW119" s="60"/>
      <c r="NX119" s="60"/>
      <c r="NY119" s="60"/>
      <c r="NZ119" s="60"/>
      <c r="OA119" s="60"/>
      <c r="OB119" s="60"/>
      <c r="OC119" s="60"/>
      <c r="OD119" s="60"/>
      <c r="OE119" s="60"/>
      <c r="OF119" s="60"/>
      <c r="OG119" s="60"/>
      <c r="OH119" s="60"/>
      <c r="OI119" s="60"/>
      <c r="OJ119" s="60"/>
      <c r="OK119" s="60"/>
      <c r="OL119" s="60"/>
      <c r="OM119" s="60"/>
      <c r="ON119" s="60"/>
      <c r="OO119" s="60"/>
      <c r="OP119" s="60"/>
      <c r="OQ119" s="60"/>
      <c r="OR119" s="60"/>
      <c r="OS119" s="60"/>
      <c r="OT119" s="60"/>
      <c r="OU119" s="60"/>
      <c r="OV119" s="60"/>
      <c r="OW119" s="60"/>
      <c r="OX119" s="60"/>
      <c r="OY119" s="60"/>
      <c r="OZ119" s="60"/>
      <c r="PA119" s="60"/>
      <c r="PB119" s="60"/>
      <c r="PC119" s="60"/>
      <c r="PD119" s="60"/>
      <c r="PE119" s="60"/>
      <c r="PF119" s="60"/>
      <c r="PG119" s="60"/>
      <c r="PH119" s="60"/>
      <c r="PI119" s="60"/>
      <c r="PJ119" s="60"/>
      <c r="PK119" s="60"/>
      <c r="PL119" s="60"/>
      <c r="PM119" s="60"/>
      <c r="PN119" s="60"/>
      <c r="PO119" s="60"/>
      <c r="PP119" s="60"/>
      <c r="PQ119" s="60"/>
      <c r="PR119" s="60"/>
      <c r="PS119" s="60"/>
      <c r="PT119" s="60"/>
      <c r="PU119" s="60"/>
      <c r="PV119" s="60"/>
      <c r="PW119" s="60"/>
      <c r="PX119" s="60"/>
      <c r="PY119" s="60"/>
      <c r="PZ119" s="60"/>
      <c r="QA119" s="60"/>
      <c r="QB119" s="60"/>
      <c r="QC119" s="60"/>
    </row>
    <row r="120" spans="1:445" x14ac:dyDescent="0.3">
      <c r="B120" s="45"/>
      <c r="C120" s="45"/>
      <c r="D120" s="45"/>
      <c r="E120" s="45"/>
      <c r="F120" s="45"/>
      <c r="G120" s="45"/>
      <c r="H120" s="45"/>
      <c r="I120" s="45"/>
      <c r="J120" s="51"/>
      <c r="K120" s="45"/>
      <c r="L120" s="45"/>
      <c r="M120" s="45"/>
      <c r="N120" s="45"/>
      <c r="O120" s="45"/>
      <c r="P120" s="45"/>
      <c r="Q120" s="45"/>
      <c r="R120" s="45"/>
      <c r="S120" s="45"/>
      <c r="T120" s="46" t="str">
        <f t="shared" si="7"/>
        <v/>
      </c>
      <c r="U120" s="46" t="str">
        <f t="shared" si="8"/>
        <v/>
      </c>
      <c r="V120" s="72" t="str">
        <f t="shared" si="9"/>
        <v/>
      </c>
      <c r="W120" s="48"/>
      <c r="X120" s="73" t="str">
        <f t="shared" si="11"/>
        <v/>
      </c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43"/>
      <c r="BN120" s="43"/>
      <c r="BO120" s="43"/>
      <c r="BP120" s="43"/>
      <c r="BQ120" s="43"/>
      <c r="BR120" s="43"/>
      <c r="BS120" s="43"/>
      <c r="BT120" s="43"/>
      <c r="BU120" s="43"/>
      <c r="BV120" s="43"/>
      <c r="BW120" s="43"/>
      <c r="BX120" s="43"/>
      <c r="BY120" s="43"/>
      <c r="BZ120" s="43"/>
      <c r="CA120" s="43"/>
      <c r="CB120" s="43"/>
      <c r="CC120" s="43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43"/>
      <c r="CY120" s="43"/>
      <c r="CZ120" s="43"/>
      <c r="DA120" s="43"/>
      <c r="DB120" s="43"/>
      <c r="DC120" s="43"/>
      <c r="DD120" s="43"/>
      <c r="DE120" s="43"/>
      <c r="DF120" s="43"/>
      <c r="DG120" s="43"/>
      <c r="DH120" s="43"/>
      <c r="DI120" s="43"/>
      <c r="DJ120" s="43"/>
      <c r="DK120" s="43"/>
      <c r="DL120" s="43"/>
      <c r="DM120" s="43"/>
      <c r="DN120" s="43"/>
      <c r="DO120" s="43"/>
      <c r="DP120" s="43"/>
      <c r="DQ120" s="43"/>
      <c r="DR120" s="43"/>
      <c r="DS120" s="43"/>
      <c r="DT120" s="43"/>
      <c r="DU120" s="43"/>
      <c r="DV120" s="43"/>
      <c r="DW120" s="43"/>
      <c r="DX120" s="43"/>
      <c r="DY120" s="43"/>
      <c r="DZ120" s="43"/>
      <c r="EA120" s="43"/>
      <c r="EB120" s="43"/>
      <c r="EC120" s="43"/>
      <c r="ED120" s="43"/>
      <c r="EE120" s="43"/>
      <c r="EF120" s="43"/>
      <c r="EG120" s="43"/>
      <c r="EH120" s="43"/>
      <c r="EI120" s="43"/>
      <c r="EJ120" s="43"/>
      <c r="EK120" s="43"/>
      <c r="EL120" s="43"/>
      <c r="EM120" s="43"/>
      <c r="EN120" s="43"/>
      <c r="EO120" s="43"/>
      <c r="EP120" s="43"/>
      <c r="EQ120" s="43"/>
      <c r="ER120" s="43"/>
      <c r="ES120" s="43"/>
      <c r="ET120" s="43"/>
      <c r="EU120" s="43"/>
      <c r="EV120" s="43"/>
      <c r="EW120" s="43"/>
      <c r="EX120" s="43"/>
      <c r="EY120" s="43"/>
      <c r="EZ120" s="43"/>
      <c r="FA120" s="43"/>
      <c r="FB120" s="43"/>
      <c r="FC120" s="43"/>
      <c r="FD120" s="43"/>
      <c r="FE120" s="43"/>
      <c r="FF120" s="43"/>
      <c r="FG120" s="43"/>
      <c r="FH120" s="43"/>
      <c r="FI120" s="43"/>
      <c r="FJ120" s="43"/>
      <c r="FK120" s="43"/>
      <c r="FL120" s="43"/>
      <c r="FM120" s="43"/>
      <c r="FN120" s="43"/>
      <c r="FO120" s="43"/>
      <c r="FP120" s="43"/>
      <c r="FQ120" s="43"/>
      <c r="FR120" s="43"/>
      <c r="FS120" s="43"/>
      <c r="FT120" s="43"/>
      <c r="FU120" s="43"/>
      <c r="FV120" s="43"/>
      <c r="FW120" s="43"/>
      <c r="FX120" s="43"/>
      <c r="FY120" s="43"/>
      <c r="FZ120" s="43"/>
      <c r="GA120" s="43"/>
      <c r="GB120" s="43"/>
      <c r="GC120" s="43"/>
      <c r="GD120" s="43"/>
      <c r="GE120" s="43"/>
      <c r="GF120" s="43"/>
      <c r="GG120" s="43"/>
      <c r="GH120" s="43"/>
      <c r="GI120" s="43"/>
      <c r="GJ120" s="43"/>
      <c r="GK120" s="43"/>
      <c r="GL120" s="43"/>
      <c r="GM120" s="43"/>
      <c r="GN120" s="43"/>
      <c r="GO120" s="43"/>
      <c r="GP120" s="43"/>
      <c r="GQ120" s="43"/>
      <c r="GR120" s="43"/>
      <c r="GS120" s="43"/>
      <c r="GT120" s="43"/>
      <c r="GU120" s="43"/>
      <c r="GV120" s="43"/>
      <c r="GW120" s="43"/>
      <c r="GX120" s="43"/>
      <c r="GY120" s="43"/>
      <c r="GZ120" s="43"/>
      <c r="HA120" s="43"/>
      <c r="HB120" s="43"/>
      <c r="HC120" s="43"/>
      <c r="HD120" s="43"/>
      <c r="HE120" s="43"/>
      <c r="HF120" s="43"/>
      <c r="HG120" s="43"/>
      <c r="HH120" s="43"/>
      <c r="HI120" s="43"/>
      <c r="HJ120" s="43"/>
      <c r="HK120" s="43"/>
      <c r="HL120" s="43"/>
      <c r="HM120" s="43"/>
      <c r="HN120" s="43"/>
      <c r="HO120" s="43"/>
      <c r="HP120" s="43"/>
      <c r="HQ120" s="43"/>
      <c r="HR120" s="43"/>
      <c r="HS120" s="43"/>
      <c r="HT120" s="43"/>
      <c r="HU120" s="43"/>
      <c r="HV120" s="43"/>
      <c r="HW120" s="43"/>
      <c r="HX120" s="43"/>
      <c r="HY120" s="43"/>
      <c r="HZ120" s="43"/>
      <c r="IA120" s="43"/>
      <c r="IB120" s="43"/>
      <c r="IC120" s="43"/>
      <c r="ID120" s="43"/>
      <c r="IE120" s="43"/>
      <c r="IF120" s="43"/>
      <c r="IG120" s="43"/>
      <c r="IH120" s="43"/>
      <c r="II120" s="43"/>
      <c r="IJ120" s="43"/>
      <c r="IK120" s="43"/>
      <c r="IL120" s="43"/>
      <c r="IM120" s="43"/>
      <c r="IN120" s="43"/>
      <c r="IO120" s="43"/>
      <c r="IP120" s="43"/>
      <c r="IQ120" s="43"/>
      <c r="IR120" s="43"/>
      <c r="IS120" s="43"/>
      <c r="IT120" s="43"/>
      <c r="IU120" s="43"/>
      <c r="IV120" s="43"/>
      <c r="IW120" s="43"/>
      <c r="IX120" s="43"/>
      <c r="IY120" s="43"/>
      <c r="IZ120" s="43"/>
      <c r="JA120" s="43"/>
      <c r="JB120" s="43"/>
      <c r="JC120" s="43"/>
      <c r="JD120" s="43"/>
      <c r="JE120" s="43"/>
      <c r="JF120" s="43"/>
      <c r="JG120" s="43"/>
      <c r="JH120" s="43"/>
      <c r="JI120" s="43"/>
      <c r="JJ120" s="43"/>
      <c r="JK120" s="43"/>
      <c r="JL120" s="43"/>
      <c r="JM120" s="43"/>
      <c r="JN120" s="43"/>
      <c r="JO120" s="43"/>
      <c r="JP120" s="43"/>
      <c r="JQ120" s="43"/>
      <c r="JR120" s="43"/>
      <c r="JS120" s="43"/>
      <c r="JT120" s="43"/>
      <c r="JU120" s="43"/>
      <c r="JV120" s="43"/>
      <c r="JW120" s="43"/>
      <c r="JX120" s="43"/>
      <c r="JY120" s="43"/>
      <c r="JZ120" s="43"/>
      <c r="KA120" s="43"/>
      <c r="KB120" s="43"/>
      <c r="KC120" s="43"/>
      <c r="KD120" s="43"/>
      <c r="KE120" s="43"/>
      <c r="KF120" s="43"/>
      <c r="KG120" s="43"/>
      <c r="KH120" s="43"/>
      <c r="KI120" s="43"/>
      <c r="KJ120" s="43"/>
      <c r="KK120" s="43"/>
      <c r="KL120" s="43"/>
      <c r="KM120" s="43"/>
      <c r="KN120" s="43"/>
      <c r="KO120" s="43"/>
      <c r="KP120" s="43"/>
      <c r="KQ120" s="43"/>
      <c r="KR120" s="43"/>
      <c r="KS120" s="43"/>
      <c r="KT120" s="43"/>
      <c r="KU120" s="43"/>
      <c r="KV120" s="43"/>
      <c r="KW120" s="43"/>
      <c r="KX120" s="43"/>
      <c r="KY120" s="43"/>
      <c r="KZ120" s="43"/>
      <c r="LA120" s="43"/>
      <c r="LB120" s="43"/>
      <c r="LC120" s="43"/>
      <c r="LD120" s="43"/>
      <c r="LE120" s="43"/>
      <c r="LF120" s="43"/>
      <c r="LG120" s="43"/>
      <c r="LH120" s="43"/>
      <c r="LI120" s="43"/>
      <c r="LJ120" s="43"/>
      <c r="LK120" s="43"/>
      <c r="LL120" s="43"/>
      <c r="LM120" s="43"/>
      <c r="LN120" s="43"/>
      <c r="LO120" s="43"/>
      <c r="LP120" s="43"/>
      <c r="LQ120" s="43"/>
      <c r="LR120" s="43"/>
      <c r="LS120" s="43"/>
      <c r="LT120" s="43"/>
      <c r="LU120" s="43"/>
      <c r="LV120" s="43"/>
      <c r="LW120" s="43"/>
      <c r="LX120" s="43"/>
      <c r="LY120" s="43"/>
      <c r="LZ120" s="43"/>
      <c r="MA120" s="43"/>
      <c r="MB120" s="43"/>
      <c r="MC120" s="43"/>
      <c r="MD120" s="43"/>
      <c r="ME120" s="43"/>
      <c r="MF120" s="43"/>
      <c r="MG120" s="43"/>
      <c r="MH120" s="43"/>
      <c r="MI120" s="43"/>
      <c r="MJ120" s="43"/>
      <c r="MK120" s="43"/>
      <c r="ML120" s="43"/>
      <c r="MM120" s="43"/>
      <c r="MN120" s="43"/>
      <c r="MO120" s="43"/>
      <c r="MP120" s="43"/>
      <c r="MQ120" s="43"/>
      <c r="MR120" s="43"/>
      <c r="MS120" s="43"/>
      <c r="MT120" s="43"/>
      <c r="MU120" s="43"/>
      <c r="MV120" s="43"/>
      <c r="MW120" s="43"/>
      <c r="MX120" s="43"/>
      <c r="MY120" s="43"/>
      <c r="MZ120" s="43"/>
      <c r="NA120" s="43"/>
      <c r="NB120" s="43"/>
      <c r="NC120" s="43"/>
      <c r="ND120" s="43"/>
      <c r="NE120" s="43"/>
      <c r="NF120" s="43"/>
      <c r="NG120" s="43"/>
      <c r="NH120" s="43"/>
      <c r="NI120" s="43"/>
      <c r="NJ120" s="43"/>
      <c r="NK120" s="43"/>
      <c r="NL120" s="43"/>
      <c r="NM120" s="43"/>
      <c r="NN120" s="43"/>
      <c r="NO120" s="43"/>
      <c r="NP120" s="43"/>
      <c r="NQ120" s="43"/>
      <c r="NR120" s="43"/>
      <c r="NS120" s="43"/>
      <c r="NT120" s="43"/>
      <c r="NU120" s="43"/>
      <c r="NV120" s="43"/>
      <c r="NW120" s="43"/>
      <c r="NX120" s="43"/>
      <c r="NY120" s="43"/>
      <c r="NZ120" s="43"/>
      <c r="OA120" s="43"/>
      <c r="OB120" s="43"/>
      <c r="OC120" s="43"/>
      <c r="OD120" s="43"/>
      <c r="OE120" s="43"/>
      <c r="OF120" s="43"/>
      <c r="OG120" s="43"/>
      <c r="OH120" s="43"/>
      <c r="OI120" s="43"/>
      <c r="OJ120" s="43"/>
      <c r="OK120" s="43"/>
      <c r="OL120" s="43"/>
      <c r="OM120" s="43"/>
      <c r="ON120" s="43"/>
      <c r="OO120" s="43"/>
      <c r="OP120" s="43"/>
      <c r="OQ120" s="43"/>
      <c r="OR120" s="43"/>
      <c r="OS120" s="43"/>
      <c r="OT120" s="43"/>
      <c r="OU120" s="43"/>
      <c r="OV120" s="43"/>
      <c r="OW120" s="43"/>
      <c r="OX120" s="43"/>
      <c r="OY120" s="43"/>
      <c r="OZ120" s="43"/>
      <c r="PA120" s="43"/>
      <c r="PB120" s="43"/>
      <c r="PC120" s="43"/>
      <c r="PD120" s="43"/>
      <c r="PE120" s="43"/>
      <c r="PF120" s="43"/>
      <c r="PG120" s="43"/>
      <c r="PH120" s="43"/>
      <c r="PI120" s="43"/>
      <c r="PJ120" s="43"/>
      <c r="PK120" s="43"/>
      <c r="PL120" s="43"/>
      <c r="PM120" s="43"/>
      <c r="PN120" s="43"/>
      <c r="PO120" s="43"/>
      <c r="PP120" s="43"/>
      <c r="PQ120" s="43"/>
      <c r="PR120" s="43"/>
      <c r="PS120" s="43"/>
      <c r="PT120" s="43"/>
      <c r="PU120" s="43"/>
      <c r="PV120" s="43"/>
      <c r="PW120" s="43"/>
      <c r="PX120" s="43"/>
      <c r="PY120" s="43"/>
      <c r="PZ120" s="43"/>
      <c r="QA120" s="43"/>
      <c r="QB120" s="43"/>
      <c r="QC120" s="43"/>
    </row>
    <row r="121" spans="1:445" s="50" customFormat="1" x14ac:dyDescent="0.3">
      <c r="A121" s="47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6" t="str">
        <f t="shared" si="7"/>
        <v/>
      </c>
      <c r="U121" s="46" t="str">
        <f t="shared" si="8"/>
        <v/>
      </c>
      <c r="V121" s="72" t="str">
        <f t="shared" si="9"/>
        <v/>
      </c>
      <c r="W121" s="48"/>
      <c r="X121" s="73" t="str">
        <f t="shared" si="11"/>
        <v/>
      </c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43"/>
      <c r="BN121" s="43"/>
      <c r="BO121" s="43"/>
      <c r="BP121" s="43"/>
      <c r="BQ121" s="43"/>
      <c r="BR121" s="43"/>
      <c r="BS121" s="43"/>
      <c r="BT121" s="43"/>
      <c r="BU121" s="43"/>
      <c r="BV121" s="43"/>
      <c r="BW121" s="43"/>
      <c r="BX121" s="43"/>
      <c r="BY121" s="43"/>
      <c r="BZ121" s="43"/>
      <c r="CA121" s="43"/>
      <c r="CB121" s="43"/>
      <c r="CC121" s="43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43"/>
      <c r="CY121" s="43"/>
      <c r="CZ121" s="43"/>
      <c r="DA121" s="43"/>
      <c r="DB121" s="43"/>
      <c r="DC121" s="43"/>
      <c r="DD121" s="43"/>
      <c r="DE121" s="43"/>
      <c r="DF121" s="43"/>
      <c r="DG121" s="43"/>
      <c r="DH121" s="43"/>
      <c r="DI121" s="43"/>
      <c r="DJ121" s="43"/>
      <c r="DK121" s="43"/>
      <c r="DL121" s="43"/>
      <c r="DM121" s="43"/>
      <c r="DN121" s="43"/>
      <c r="DO121" s="43"/>
      <c r="DP121" s="43"/>
      <c r="DQ121" s="43"/>
      <c r="DR121" s="43"/>
      <c r="DS121" s="43"/>
      <c r="DT121" s="43"/>
      <c r="DU121" s="43"/>
      <c r="DV121" s="43"/>
      <c r="DW121" s="43"/>
      <c r="DX121" s="43"/>
      <c r="DY121" s="43"/>
      <c r="DZ121" s="43"/>
      <c r="EA121" s="43"/>
      <c r="EB121" s="43"/>
      <c r="EC121" s="43"/>
      <c r="ED121" s="43"/>
      <c r="EE121" s="43"/>
      <c r="EF121" s="43"/>
      <c r="EG121" s="43"/>
      <c r="EH121" s="43"/>
      <c r="EI121" s="43"/>
      <c r="EJ121" s="43"/>
      <c r="EK121" s="43"/>
      <c r="EL121" s="43"/>
      <c r="EM121" s="43"/>
      <c r="EN121" s="43"/>
      <c r="EO121" s="43"/>
      <c r="EP121" s="43"/>
      <c r="EQ121" s="43"/>
      <c r="ER121" s="43"/>
      <c r="ES121" s="43"/>
      <c r="ET121" s="43"/>
      <c r="EU121" s="43"/>
      <c r="EV121" s="43"/>
      <c r="EW121" s="43"/>
      <c r="EX121" s="43"/>
      <c r="EY121" s="43"/>
      <c r="EZ121" s="43"/>
      <c r="FA121" s="43"/>
      <c r="FB121" s="43"/>
      <c r="FC121" s="43"/>
      <c r="FD121" s="43"/>
      <c r="FE121" s="43"/>
      <c r="FF121" s="43"/>
      <c r="FG121" s="43"/>
      <c r="FH121" s="43"/>
      <c r="FI121" s="43"/>
      <c r="FJ121" s="43"/>
      <c r="FK121" s="43"/>
      <c r="FL121" s="43"/>
      <c r="FM121" s="43"/>
      <c r="FN121" s="43"/>
      <c r="FO121" s="43"/>
      <c r="FP121" s="43"/>
      <c r="FQ121" s="43"/>
      <c r="FR121" s="43"/>
      <c r="FS121" s="43"/>
      <c r="FT121" s="43"/>
      <c r="FU121" s="43"/>
      <c r="FV121" s="43"/>
      <c r="FW121" s="43"/>
      <c r="FX121" s="43"/>
      <c r="FY121" s="43"/>
      <c r="FZ121" s="43"/>
      <c r="GA121" s="43"/>
      <c r="GB121" s="43"/>
      <c r="GC121" s="43"/>
      <c r="GD121" s="43"/>
      <c r="GE121" s="43"/>
      <c r="GF121" s="43"/>
      <c r="GG121" s="43"/>
      <c r="GH121" s="43"/>
      <c r="GI121" s="43"/>
      <c r="GJ121" s="43"/>
      <c r="GK121" s="43"/>
      <c r="GL121" s="43"/>
      <c r="GM121" s="43"/>
      <c r="GN121" s="43"/>
      <c r="GO121" s="43"/>
      <c r="GP121" s="43"/>
      <c r="GQ121" s="43"/>
      <c r="GR121" s="43"/>
      <c r="GS121" s="43"/>
      <c r="GT121" s="43"/>
      <c r="GU121" s="43"/>
      <c r="GV121" s="43"/>
      <c r="GW121" s="43"/>
      <c r="GX121" s="43"/>
      <c r="GY121" s="43"/>
      <c r="GZ121" s="43"/>
      <c r="HA121" s="43"/>
      <c r="HB121" s="43"/>
      <c r="HC121" s="43"/>
      <c r="HD121" s="43"/>
      <c r="HE121" s="43"/>
      <c r="HF121" s="43"/>
      <c r="HG121" s="43"/>
      <c r="HH121" s="43"/>
      <c r="HI121" s="43"/>
      <c r="HJ121" s="43"/>
      <c r="HK121" s="43"/>
      <c r="HL121" s="43"/>
      <c r="HM121" s="43"/>
      <c r="HN121" s="43"/>
      <c r="HO121" s="43"/>
      <c r="HP121" s="43"/>
      <c r="HQ121" s="43"/>
      <c r="HR121" s="43"/>
      <c r="HS121" s="43"/>
      <c r="HT121" s="43"/>
      <c r="HU121" s="43"/>
      <c r="HV121" s="43"/>
      <c r="HW121" s="43"/>
      <c r="HX121" s="43"/>
      <c r="HY121" s="43"/>
      <c r="HZ121" s="43"/>
      <c r="IA121" s="43"/>
      <c r="IB121" s="43"/>
      <c r="IC121" s="43"/>
      <c r="ID121" s="43"/>
      <c r="IE121" s="43"/>
      <c r="IF121" s="43"/>
      <c r="IG121" s="43"/>
      <c r="IH121" s="43"/>
      <c r="II121" s="43"/>
      <c r="IJ121" s="43"/>
      <c r="IK121" s="43"/>
      <c r="IL121" s="43"/>
      <c r="IM121" s="43"/>
      <c r="IN121" s="43"/>
      <c r="IO121" s="43"/>
      <c r="IP121" s="43"/>
      <c r="IQ121" s="43"/>
      <c r="IR121" s="43"/>
      <c r="IS121" s="43"/>
      <c r="IT121" s="43"/>
      <c r="IU121" s="43"/>
      <c r="IV121" s="43"/>
      <c r="IW121" s="43"/>
      <c r="IX121" s="43"/>
      <c r="IY121" s="43"/>
      <c r="IZ121" s="43"/>
      <c r="JA121" s="43"/>
      <c r="JB121" s="43"/>
      <c r="JC121" s="43"/>
      <c r="JD121" s="43"/>
      <c r="JE121" s="43"/>
      <c r="JF121" s="43"/>
      <c r="JG121" s="43"/>
      <c r="JH121" s="43"/>
      <c r="JI121" s="43"/>
      <c r="JJ121" s="43"/>
      <c r="JK121" s="43"/>
      <c r="JL121" s="43"/>
      <c r="JM121" s="43"/>
      <c r="JN121" s="43"/>
      <c r="JO121" s="43"/>
      <c r="JP121" s="43"/>
      <c r="JQ121" s="43"/>
      <c r="JR121" s="43"/>
      <c r="JS121" s="43"/>
      <c r="JT121" s="43"/>
      <c r="JU121" s="43"/>
      <c r="JV121" s="43"/>
      <c r="JW121" s="43"/>
      <c r="JX121" s="43"/>
      <c r="JY121" s="43"/>
      <c r="JZ121" s="43"/>
      <c r="KA121" s="43"/>
      <c r="KB121" s="43"/>
      <c r="KC121" s="43"/>
      <c r="KD121" s="43"/>
      <c r="KE121" s="43"/>
      <c r="KF121" s="43"/>
      <c r="KG121" s="43"/>
      <c r="KH121" s="43"/>
      <c r="KI121" s="43"/>
      <c r="KJ121" s="43"/>
      <c r="KK121" s="43"/>
      <c r="KL121" s="43"/>
      <c r="KM121" s="43"/>
      <c r="KN121" s="43"/>
      <c r="KO121" s="43"/>
      <c r="KP121" s="43"/>
      <c r="KQ121" s="43"/>
      <c r="KR121" s="43"/>
      <c r="KS121" s="43"/>
      <c r="KT121" s="43"/>
      <c r="KU121" s="43"/>
      <c r="KV121" s="43"/>
      <c r="KW121" s="43"/>
      <c r="KX121" s="43"/>
      <c r="KY121" s="43"/>
      <c r="KZ121" s="43"/>
      <c r="LA121" s="43"/>
      <c r="LB121" s="43"/>
      <c r="LC121" s="43"/>
      <c r="LD121" s="43"/>
      <c r="LE121" s="43"/>
      <c r="LF121" s="43"/>
      <c r="LG121" s="43"/>
      <c r="LH121" s="43"/>
      <c r="LI121" s="43"/>
      <c r="LJ121" s="43"/>
      <c r="LK121" s="43"/>
      <c r="LL121" s="43"/>
      <c r="LM121" s="43"/>
      <c r="LN121" s="43"/>
      <c r="LO121" s="43"/>
      <c r="LP121" s="43"/>
      <c r="LQ121" s="43"/>
      <c r="LR121" s="43"/>
      <c r="LS121" s="43"/>
      <c r="LT121" s="43"/>
      <c r="LU121" s="43"/>
      <c r="LV121" s="43"/>
      <c r="LW121" s="43"/>
      <c r="LX121" s="43"/>
      <c r="LY121" s="43"/>
      <c r="LZ121" s="43"/>
      <c r="MA121" s="43"/>
      <c r="MB121" s="43"/>
      <c r="MC121" s="43"/>
      <c r="MD121" s="43"/>
      <c r="ME121" s="43"/>
      <c r="MF121" s="43"/>
      <c r="MG121" s="43"/>
      <c r="MH121" s="43"/>
      <c r="MI121" s="43"/>
      <c r="MJ121" s="43"/>
      <c r="MK121" s="43"/>
      <c r="ML121" s="43"/>
      <c r="MM121" s="43"/>
      <c r="MN121" s="43"/>
      <c r="MO121" s="43"/>
      <c r="MP121" s="43"/>
      <c r="MQ121" s="43"/>
      <c r="MR121" s="43"/>
      <c r="MS121" s="43"/>
      <c r="MT121" s="43"/>
      <c r="MU121" s="43"/>
      <c r="MV121" s="43"/>
      <c r="MW121" s="43"/>
      <c r="MX121" s="43"/>
      <c r="MY121" s="43"/>
      <c r="MZ121" s="43"/>
      <c r="NA121" s="43"/>
      <c r="NB121" s="43"/>
      <c r="NC121" s="43"/>
      <c r="ND121" s="43"/>
      <c r="NE121" s="43"/>
      <c r="NF121" s="43"/>
      <c r="NG121" s="43"/>
      <c r="NH121" s="43"/>
      <c r="NI121" s="43"/>
      <c r="NJ121" s="43"/>
      <c r="NK121" s="43"/>
      <c r="NL121" s="43"/>
      <c r="NM121" s="43"/>
      <c r="NN121" s="43"/>
      <c r="NO121" s="43"/>
      <c r="NP121" s="43"/>
      <c r="NQ121" s="43"/>
      <c r="NR121" s="43"/>
      <c r="NS121" s="43"/>
      <c r="NT121" s="43"/>
      <c r="NU121" s="43"/>
      <c r="NV121" s="43"/>
      <c r="NW121" s="43"/>
      <c r="NX121" s="43"/>
      <c r="NY121" s="43"/>
      <c r="NZ121" s="43"/>
      <c r="OA121" s="43"/>
      <c r="OB121" s="43"/>
      <c r="OC121" s="43"/>
      <c r="OD121" s="43"/>
      <c r="OE121" s="43"/>
      <c r="OF121" s="43"/>
      <c r="OG121" s="43"/>
      <c r="OH121" s="43"/>
      <c r="OI121" s="43"/>
      <c r="OJ121" s="43"/>
      <c r="OK121" s="43"/>
      <c r="OL121" s="43"/>
      <c r="OM121" s="43"/>
      <c r="ON121" s="43"/>
      <c r="OO121" s="43"/>
      <c r="OP121" s="43"/>
      <c r="OQ121" s="43"/>
      <c r="OR121" s="43"/>
      <c r="OS121" s="43"/>
      <c r="OT121" s="43"/>
      <c r="OU121" s="43"/>
      <c r="OV121" s="43"/>
      <c r="OW121" s="43"/>
      <c r="OX121" s="43"/>
      <c r="OY121" s="43"/>
      <c r="OZ121" s="43"/>
      <c r="PA121" s="43"/>
      <c r="PB121" s="43"/>
      <c r="PC121" s="43"/>
      <c r="PD121" s="43"/>
      <c r="PE121" s="43"/>
      <c r="PF121" s="43"/>
      <c r="PG121" s="43"/>
      <c r="PH121" s="43"/>
      <c r="PI121" s="43"/>
      <c r="PJ121" s="43"/>
      <c r="PK121" s="43"/>
      <c r="PL121" s="43"/>
      <c r="PM121" s="43"/>
      <c r="PN121" s="43"/>
      <c r="PO121" s="43"/>
      <c r="PP121" s="43"/>
      <c r="PQ121" s="43"/>
      <c r="PR121" s="43"/>
      <c r="PS121" s="43"/>
      <c r="PT121" s="43"/>
      <c r="PU121" s="43"/>
      <c r="PV121" s="43"/>
      <c r="PW121" s="43"/>
      <c r="PX121" s="43"/>
      <c r="PY121" s="43"/>
      <c r="PZ121" s="43"/>
      <c r="QA121" s="43"/>
      <c r="QB121" s="43"/>
      <c r="QC121" s="43"/>
    </row>
    <row r="122" spans="1:445" x14ac:dyDescent="0.3"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6" t="str">
        <f t="shared" si="7"/>
        <v/>
      </c>
      <c r="U122" s="46" t="str">
        <f t="shared" si="8"/>
        <v/>
      </c>
      <c r="V122" s="72" t="str">
        <f t="shared" si="9"/>
        <v/>
      </c>
      <c r="W122" s="48"/>
      <c r="X122" s="73" t="str">
        <f t="shared" si="11"/>
        <v/>
      </c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43"/>
      <c r="BN122" s="43"/>
      <c r="BO122" s="43"/>
      <c r="BP122" s="43"/>
      <c r="BQ122" s="43"/>
      <c r="BR122" s="43"/>
      <c r="BS122" s="43"/>
      <c r="BT122" s="43"/>
      <c r="BU122" s="43"/>
      <c r="BV122" s="43"/>
      <c r="BW122" s="43"/>
      <c r="BX122" s="43"/>
      <c r="BY122" s="43"/>
      <c r="BZ122" s="43"/>
      <c r="CA122" s="43"/>
      <c r="CB122" s="43"/>
      <c r="CC122" s="43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43"/>
      <c r="CY122" s="43"/>
      <c r="CZ122" s="43"/>
      <c r="DA122" s="43"/>
      <c r="DB122" s="43"/>
      <c r="DC122" s="43"/>
      <c r="DD122" s="43"/>
      <c r="DE122" s="43"/>
      <c r="DF122" s="43"/>
      <c r="DG122" s="43"/>
      <c r="DH122" s="43"/>
      <c r="DI122" s="43"/>
      <c r="DJ122" s="43"/>
      <c r="DK122" s="43"/>
      <c r="DL122" s="43"/>
      <c r="DM122" s="43"/>
      <c r="DN122" s="43"/>
      <c r="DO122" s="43"/>
      <c r="DP122" s="43"/>
      <c r="DQ122" s="43"/>
      <c r="DR122" s="43"/>
      <c r="DS122" s="43"/>
      <c r="DT122" s="43"/>
      <c r="DU122" s="43"/>
      <c r="DV122" s="43"/>
      <c r="DW122" s="43"/>
      <c r="DX122" s="43"/>
      <c r="DY122" s="43"/>
      <c r="DZ122" s="43"/>
      <c r="EA122" s="43"/>
      <c r="EB122" s="43"/>
      <c r="EC122" s="43"/>
      <c r="ED122" s="43"/>
      <c r="EE122" s="43"/>
      <c r="EF122" s="43"/>
      <c r="EG122" s="43"/>
      <c r="EH122" s="43"/>
      <c r="EI122" s="43"/>
      <c r="EJ122" s="43"/>
      <c r="EK122" s="43"/>
      <c r="EL122" s="43"/>
      <c r="EM122" s="43"/>
      <c r="EN122" s="43"/>
      <c r="EO122" s="43"/>
      <c r="EP122" s="43"/>
      <c r="EQ122" s="43"/>
      <c r="ER122" s="43"/>
      <c r="ES122" s="43"/>
      <c r="ET122" s="43"/>
      <c r="EU122" s="43"/>
      <c r="EV122" s="43"/>
      <c r="EW122" s="43"/>
      <c r="EX122" s="43"/>
      <c r="EY122" s="43"/>
      <c r="EZ122" s="43"/>
      <c r="FA122" s="43"/>
      <c r="FB122" s="43"/>
      <c r="FC122" s="43"/>
      <c r="FD122" s="43"/>
      <c r="FE122" s="43"/>
      <c r="FF122" s="43"/>
      <c r="FG122" s="43"/>
      <c r="FH122" s="43"/>
      <c r="FI122" s="43"/>
      <c r="FJ122" s="43"/>
      <c r="FK122" s="43"/>
      <c r="FL122" s="43"/>
      <c r="FM122" s="43"/>
      <c r="FN122" s="43"/>
      <c r="FO122" s="43"/>
      <c r="FP122" s="43"/>
      <c r="FQ122" s="43"/>
      <c r="FR122" s="43"/>
      <c r="FS122" s="43"/>
      <c r="FT122" s="43"/>
      <c r="FU122" s="43"/>
      <c r="FV122" s="43"/>
      <c r="FW122" s="43"/>
      <c r="FX122" s="43"/>
      <c r="FY122" s="43"/>
      <c r="FZ122" s="43"/>
      <c r="GA122" s="43"/>
      <c r="GB122" s="43"/>
      <c r="GC122" s="43"/>
      <c r="GD122" s="43"/>
      <c r="GE122" s="43"/>
      <c r="GF122" s="43"/>
      <c r="GG122" s="43"/>
      <c r="GH122" s="43"/>
      <c r="GI122" s="43"/>
      <c r="GJ122" s="43"/>
      <c r="GK122" s="43"/>
      <c r="GL122" s="43"/>
      <c r="GM122" s="43"/>
      <c r="GN122" s="43"/>
      <c r="GO122" s="43"/>
      <c r="GP122" s="43"/>
      <c r="GQ122" s="43"/>
      <c r="GR122" s="43"/>
      <c r="GS122" s="43"/>
      <c r="GT122" s="43"/>
      <c r="GU122" s="43"/>
      <c r="GV122" s="43"/>
      <c r="GW122" s="43"/>
      <c r="GX122" s="43"/>
      <c r="GY122" s="43"/>
      <c r="GZ122" s="43"/>
      <c r="HA122" s="43"/>
      <c r="HB122" s="43"/>
      <c r="HC122" s="43"/>
      <c r="HD122" s="43"/>
      <c r="HE122" s="43"/>
      <c r="HF122" s="43"/>
      <c r="HG122" s="43"/>
      <c r="HH122" s="43"/>
      <c r="HI122" s="43"/>
      <c r="HJ122" s="43"/>
      <c r="HK122" s="43"/>
      <c r="HL122" s="43"/>
      <c r="HM122" s="43"/>
      <c r="HN122" s="43"/>
      <c r="HO122" s="43"/>
      <c r="HP122" s="43"/>
      <c r="HQ122" s="43"/>
      <c r="HR122" s="43"/>
      <c r="HS122" s="43"/>
      <c r="HT122" s="43"/>
      <c r="HU122" s="43"/>
      <c r="HV122" s="43"/>
      <c r="HW122" s="43"/>
      <c r="HX122" s="43"/>
      <c r="HY122" s="43"/>
      <c r="HZ122" s="43"/>
      <c r="IA122" s="43"/>
      <c r="IB122" s="43"/>
      <c r="IC122" s="43"/>
      <c r="ID122" s="43"/>
      <c r="IE122" s="43"/>
      <c r="IF122" s="43"/>
      <c r="IG122" s="43"/>
      <c r="IH122" s="43"/>
      <c r="II122" s="43"/>
      <c r="IJ122" s="43"/>
      <c r="IK122" s="43"/>
      <c r="IL122" s="43"/>
      <c r="IM122" s="43"/>
      <c r="IN122" s="43"/>
      <c r="IO122" s="43"/>
      <c r="IP122" s="43"/>
      <c r="IQ122" s="43"/>
      <c r="IR122" s="43"/>
      <c r="IS122" s="43"/>
      <c r="IT122" s="43"/>
      <c r="IU122" s="43"/>
      <c r="IV122" s="43"/>
      <c r="IW122" s="43"/>
      <c r="IX122" s="43"/>
      <c r="IY122" s="43"/>
      <c r="IZ122" s="43"/>
      <c r="JA122" s="43"/>
      <c r="JB122" s="43"/>
      <c r="JC122" s="43"/>
      <c r="JD122" s="43"/>
      <c r="JE122" s="43"/>
      <c r="JF122" s="43"/>
      <c r="JG122" s="43"/>
      <c r="JH122" s="43"/>
      <c r="JI122" s="43"/>
      <c r="JJ122" s="43"/>
      <c r="JK122" s="43"/>
      <c r="JL122" s="43"/>
      <c r="JM122" s="43"/>
      <c r="JN122" s="43"/>
      <c r="JO122" s="43"/>
      <c r="JP122" s="43"/>
      <c r="JQ122" s="43"/>
      <c r="JR122" s="43"/>
      <c r="JS122" s="43"/>
      <c r="JT122" s="43"/>
      <c r="JU122" s="43"/>
      <c r="JV122" s="43"/>
      <c r="JW122" s="43"/>
      <c r="JX122" s="43"/>
      <c r="JY122" s="43"/>
      <c r="JZ122" s="43"/>
      <c r="KA122" s="43"/>
      <c r="KB122" s="43"/>
      <c r="KC122" s="43"/>
      <c r="KD122" s="43"/>
      <c r="KE122" s="43"/>
      <c r="KF122" s="43"/>
      <c r="KG122" s="43"/>
      <c r="KH122" s="43"/>
      <c r="KI122" s="43"/>
      <c r="KJ122" s="43"/>
      <c r="KK122" s="43"/>
      <c r="KL122" s="43"/>
      <c r="KM122" s="43"/>
      <c r="KN122" s="43"/>
      <c r="KO122" s="43"/>
      <c r="KP122" s="43"/>
      <c r="KQ122" s="43"/>
      <c r="KR122" s="43"/>
      <c r="KS122" s="43"/>
      <c r="KT122" s="43"/>
      <c r="KU122" s="43"/>
      <c r="KV122" s="43"/>
      <c r="KW122" s="43"/>
      <c r="KX122" s="43"/>
      <c r="KY122" s="43"/>
      <c r="KZ122" s="43"/>
      <c r="LA122" s="43"/>
      <c r="LB122" s="43"/>
      <c r="LC122" s="43"/>
      <c r="LD122" s="43"/>
      <c r="LE122" s="43"/>
      <c r="LF122" s="43"/>
      <c r="LG122" s="43"/>
      <c r="LH122" s="43"/>
      <c r="LI122" s="43"/>
      <c r="LJ122" s="43"/>
      <c r="LK122" s="43"/>
      <c r="LL122" s="43"/>
      <c r="LM122" s="43"/>
      <c r="LN122" s="43"/>
      <c r="LO122" s="43"/>
      <c r="LP122" s="43"/>
      <c r="LQ122" s="43"/>
      <c r="LR122" s="43"/>
      <c r="LS122" s="43"/>
      <c r="LT122" s="43"/>
      <c r="LU122" s="43"/>
      <c r="LV122" s="43"/>
      <c r="LW122" s="43"/>
      <c r="LX122" s="43"/>
      <c r="LY122" s="43"/>
      <c r="LZ122" s="43"/>
      <c r="MA122" s="43"/>
      <c r="MB122" s="43"/>
      <c r="MC122" s="43"/>
      <c r="MD122" s="43"/>
      <c r="ME122" s="43"/>
      <c r="MF122" s="43"/>
      <c r="MG122" s="43"/>
      <c r="MH122" s="43"/>
      <c r="MI122" s="43"/>
      <c r="MJ122" s="43"/>
      <c r="MK122" s="43"/>
      <c r="ML122" s="43"/>
      <c r="MM122" s="43"/>
      <c r="MN122" s="43"/>
      <c r="MO122" s="43"/>
      <c r="MP122" s="43"/>
      <c r="MQ122" s="43"/>
      <c r="MR122" s="43"/>
      <c r="MS122" s="43"/>
      <c r="MT122" s="43"/>
      <c r="MU122" s="43"/>
      <c r="MV122" s="43"/>
      <c r="MW122" s="43"/>
      <c r="MX122" s="43"/>
      <c r="MY122" s="43"/>
      <c r="MZ122" s="43"/>
      <c r="NA122" s="43"/>
      <c r="NB122" s="43"/>
      <c r="NC122" s="43"/>
      <c r="ND122" s="43"/>
      <c r="NE122" s="43"/>
      <c r="NF122" s="43"/>
      <c r="NG122" s="43"/>
      <c r="NH122" s="43"/>
      <c r="NI122" s="43"/>
      <c r="NJ122" s="43"/>
      <c r="NK122" s="43"/>
      <c r="NL122" s="43"/>
      <c r="NM122" s="43"/>
      <c r="NN122" s="43"/>
      <c r="NO122" s="43"/>
      <c r="NP122" s="43"/>
      <c r="NQ122" s="43"/>
      <c r="NR122" s="43"/>
      <c r="NS122" s="43"/>
      <c r="NT122" s="43"/>
      <c r="NU122" s="43"/>
      <c r="NV122" s="43"/>
      <c r="NW122" s="43"/>
      <c r="NX122" s="43"/>
      <c r="NY122" s="43"/>
      <c r="NZ122" s="43"/>
      <c r="OA122" s="43"/>
      <c r="OB122" s="43"/>
      <c r="OC122" s="43"/>
      <c r="OD122" s="43"/>
      <c r="OE122" s="43"/>
      <c r="OF122" s="43"/>
      <c r="OG122" s="43"/>
      <c r="OH122" s="43"/>
      <c r="OI122" s="43"/>
      <c r="OJ122" s="43"/>
      <c r="OK122" s="43"/>
      <c r="OL122" s="43"/>
      <c r="OM122" s="43"/>
      <c r="ON122" s="43"/>
      <c r="OO122" s="43"/>
      <c r="OP122" s="43"/>
      <c r="OQ122" s="43"/>
      <c r="OR122" s="43"/>
      <c r="OS122" s="43"/>
      <c r="OT122" s="43"/>
      <c r="OU122" s="43"/>
      <c r="OV122" s="43"/>
      <c r="OW122" s="43"/>
      <c r="OX122" s="43"/>
      <c r="OY122" s="43"/>
      <c r="OZ122" s="43"/>
      <c r="PA122" s="43"/>
      <c r="PB122" s="43"/>
      <c r="PC122" s="43"/>
      <c r="PD122" s="43"/>
      <c r="PE122" s="43"/>
      <c r="PF122" s="43"/>
      <c r="PG122" s="43"/>
      <c r="PH122" s="43"/>
      <c r="PI122" s="43"/>
      <c r="PJ122" s="43"/>
      <c r="PK122" s="43"/>
      <c r="PL122" s="43"/>
      <c r="PM122" s="43"/>
      <c r="PN122" s="43"/>
      <c r="PO122" s="43"/>
      <c r="PP122" s="43"/>
      <c r="PQ122" s="43"/>
      <c r="PR122" s="43"/>
      <c r="PS122" s="43"/>
      <c r="PT122" s="43"/>
      <c r="PU122" s="43"/>
      <c r="PV122" s="43"/>
      <c r="PW122" s="43"/>
      <c r="PX122" s="43"/>
      <c r="PY122" s="43"/>
      <c r="PZ122" s="43"/>
      <c r="QA122" s="43"/>
      <c r="QB122" s="43"/>
      <c r="QC122" s="43"/>
    </row>
    <row r="123" spans="1:445" x14ac:dyDescent="0.3"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6" t="str">
        <f t="shared" si="7"/>
        <v/>
      </c>
      <c r="U123" s="46" t="str">
        <f t="shared" si="8"/>
        <v/>
      </c>
      <c r="V123" s="72" t="str">
        <f t="shared" si="9"/>
        <v/>
      </c>
      <c r="W123" s="48"/>
      <c r="X123" s="73" t="str">
        <f t="shared" si="11"/>
        <v/>
      </c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43"/>
      <c r="BN123" s="43"/>
      <c r="BO123" s="43"/>
      <c r="BP123" s="43"/>
      <c r="BQ123" s="43"/>
      <c r="BR123" s="43"/>
      <c r="BS123" s="43"/>
      <c r="BT123" s="43"/>
      <c r="BU123" s="43"/>
      <c r="BV123" s="43"/>
      <c r="BW123" s="43"/>
      <c r="BX123" s="43"/>
      <c r="BY123" s="43"/>
      <c r="BZ123" s="43"/>
      <c r="CA123" s="43"/>
      <c r="CB123" s="43"/>
      <c r="CC123" s="4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43"/>
      <c r="CY123" s="43"/>
      <c r="CZ123" s="43"/>
      <c r="DA123" s="43"/>
      <c r="DB123" s="43"/>
      <c r="DC123" s="43"/>
      <c r="DD123" s="43"/>
      <c r="DE123" s="43"/>
      <c r="DF123" s="43"/>
      <c r="DG123" s="43"/>
      <c r="DH123" s="43"/>
      <c r="DI123" s="43"/>
      <c r="DJ123" s="43"/>
      <c r="DK123" s="43"/>
      <c r="DL123" s="43"/>
      <c r="DM123" s="43"/>
      <c r="DN123" s="43"/>
      <c r="DO123" s="43"/>
      <c r="DP123" s="43"/>
      <c r="DQ123" s="43"/>
      <c r="DR123" s="43"/>
      <c r="DS123" s="43"/>
      <c r="DT123" s="43"/>
      <c r="DU123" s="43"/>
      <c r="DV123" s="43"/>
      <c r="DW123" s="43"/>
      <c r="DX123" s="43"/>
      <c r="DY123" s="43"/>
      <c r="DZ123" s="43"/>
      <c r="EA123" s="43"/>
      <c r="EB123" s="43"/>
      <c r="EC123" s="43"/>
      <c r="ED123" s="43"/>
      <c r="EE123" s="43"/>
      <c r="EF123" s="43"/>
      <c r="EG123" s="43"/>
      <c r="EH123" s="43"/>
      <c r="EI123" s="43"/>
      <c r="EJ123" s="43"/>
      <c r="EK123" s="43"/>
      <c r="EL123" s="43"/>
      <c r="EM123" s="43"/>
      <c r="EN123" s="43"/>
      <c r="EO123" s="43"/>
      <c r="EP123" s="43"/>
      <c r="EQ123" s="43"/>
      <c r="ER123" s="43"/>
      <c r="ES123" s="43"/>
      <c r="ET123" s="43"/>
      <c r="EU123" s="43"/>
      <c r="EV123" s="43"/>
      <c r="EW123" s="43"/>
      <c r="EX123" s="43"/>
      <c r="EY123" s="43"/>
      <c r="EZ123" s="43"/>
      <c r="FA123" s="43"/>
      <c r="FB123" s="43"/>
      <c r="FC123" s="43"/>
      <c r="FD123" s="43"/>
      <c r="FE123" s="43"/>
      <c r="FF123" s="43"/>
      <c r="FG123" s="43"/>
      <c r="FH123" s="43"/>
      <c r="FI123" s="43"/>
      <c r="FJ123" s="43"/>
      <c r="FK123" s="43"/>
      <c r="FL123" s="43"/>
      <c r="FM123" s="43"/>
      <c r="FN123" s="43"/>
      <c r="FO123" s="43"/>
      <c r="FP123" s="43"/>
      <c r="FQ123" s="43"/>
      <c r="FR123" s="43"/>
      <c r="FS123" s="43"/>
      <c r="FT123" s="43"/>
      <c r="FU123" s="43"/>
      <c r="FV123" s="43"/>
      <c r="FW123" s="43"/>
      <c r="FX123" s="43"/>
      <c r="FY123" s="43"/>
      <c r="FZ123" s="43"/>
      <c r="GA123" s="43"/>
      <c r="GB123" s="43"/>
      <c r="GC123" s="43"/>
      <c r="GD123" s="43"/>
      <c r="GE123" s="43"/>
      <c r="GF123" s="43"/>
      <c r="GG123" s="43"/>
      <c r="GH123" s="43"/>
      <c r="GI123" s="43"/>
      <c r="GJ123" s="43"/>
      <c r="GK123" s="43"/>
      <c r="GL123" s="43"/>
      <c r="GM123" s="43"/>
      <c r="GN123" s="43"/>
      <c r="GO123" s="43"/>
      <c r="GP123" s="43"/>
      <c r="GQ123" s="43"/>
      <c r="GR123" s="43"/>
      <c r="GS123" s="43"/>
      <c r="GT123" s="43"/>
      <c r="GU123" s="43"/>
      <c r="GV123" s="43"/>
      <c r="GW123" s="43"/>
      <c r="GX123" s="43"/>
      <c r="GY123" s="43"/>
      <c r="GZ123" s="43"/>
      <c r="HA123" s="43"/>
      <c r="HB123" s="43"/>
      <c r="HC123" s="43"/>
      <c r="HD123" s="43"/>
      <c r="HE123" s="43"/>
      <c r="HF123" s="43"/>
      <c r="HG123" s="43"/>
      <c r="HH123" s="43"/>
      <c r="HI123" s="43"/>
      <c r="HJ123" s="43"/>
      <c r="HK123" s="43"/>
      <c r="HL123" s="43"/>
      <c r="HM123" s="43"/>
      <c r="HN123" s="43"/>
      <c r="HO123" s="43"/>
      <c r="HP123" s="43"/>
      <c r="HQ123" s="43"/>
      <c r="HR123" s="43"/>
      <c r="HS123" s="43"/>
      <c r="HT123" s="43"/>
      <c r="HU123" s="43"/>
      <c r="HV123" s="43"/>
      <c r="HW123" s="43"/>
      <c r="HX123" s="43"/>
      <c r="HY123" s="43"/>
      <c r="HZ123" s="43"/>
      <c r="IA123" s="43"/>
      <c r="IB123" s="43"/>
      <c r="IC123" s="43"/>
      <c r="ID123" s="43"/>
      <c r="IE123" s="43"/>
      <c r="IF123" s="43"/>
      <c r="IG123" s="43"/>
      <c r="IH123" s="43"/>
      <c r="II123" s="43"/>
      <c r="IJ123" s="43"/>
      <c r="IK123" s="43"/>
      <c r="IL123" s="43"/>
      <c r="IM123" s="43"/>
      <c r="IN123" s="43"/>
      <c r="IO123" s="43"/>
      <c r="IP123" s="43"/>
      <c r="IQ123" s="43"/>
      <c r="IR123" s="43"/>
      <c r="IS123" s="43"/>
      <c r="IT123" s="43"/>
      <c r="IU123" s="43"/>
      <c r="IV123" s="43"/>
      <c r="IW123" s="43"/>
      <c r="IX123" s="43"/>
      <c r="IY123" s="43"/>
      <c r="IZ123" s="43"/>
      <c r="JA123" s="43"/>
      <c r="JB123" s="43"/>
      <c r="JC123" s="43"/>
      <c r="JD123" s="43"/>
      <c r="JE123" s="43"/>
      <c r="JF123" s="43"/>
      <c r="JG123" s="43"/>
      <c r="JH123" s="43"/>
      <c r="JI123" s="43"/>
      <c r="JJ123" s="43"/>
      <c r="JK123" s="43"/>
      <c r="JL123" s="43"/>
      <c r="JM123" s="43"/>
      <c r="JN123" s="43"/>
      <c r="JO123" s="43"/>
      <c r="JP123" s="43"/>
      <c r="JQ123" s="43"/>
      <c r="JR123" s="43"/>
      <c r="JS123" s="43"/>
      <c r="JT123" s="43"/>
      <c r="JU123" s="43"/>
      <c r="JV123" s="43"/>
      <c r="JW123" s="43"/>
      <c r="JX123" s="43"/>
      <c r="JY123" s="43"/>
      <c r="JZ123" s="43"/>
      <c r="KA123" s="43"/>
      <c r="KB123" s="43"/>
      <c r="KC123" s="43"/>
      <c r="KD123" s="43"/>
      <c r="KE123" s="43"/>
      <c r="KF123" s="43"/>
      <c r="KG123" s="43"/>
      <c r="KH123" s="43"/>
      <c r="KI123" s="43"/>
      <c r="KJ123" s="43"/>
      <c r="KK123" s="43"/>
      <c r="KL123" s="43"/>
      <c r="KM123" s="43"/>
      <c r="KN123" s="43"/>
      <c r="KO123" s="43"/>
      <c r="KP123" s="43"/>
      <c r="KQ123" s="43"/>
      <c r="KR123" s="43"/>
      <c r="KS123" s="43"/>
      <c r="KT123" s="43"/>
      <c r="KU123" s="43"/>
      <c r="KV123" s="43"/>
      <c r="KW123" s="43"/>
      <c r="KX123" s="43"/>
      <c r="KY123" s="43"/>
      <c r="KZ123" s="43"/>
      <c r="LA123" s="43"/>
      <c r="LB123" s="43"/>
      <c r="LC123" s="43"/>
      <c r="LD123" s="43"/>
      <c r="LE123" s="43"/>
      <c r="LF123" s="43"/>
      <c r="LG123" s="43"/>
      <c r="LH123" s="43"/>
      <c r="LI123" s="43"/>
      <c r="LJ123" s="43"/>
      <c r="LK123" s="43"/>
      <c r="LL123" s="43"/>
      <c r="LM123" s="43"/>
      <c r="LN123" s="43"/>
      <c r="LO123" s="43"/>
      <c r="LP123" s="43"/>
      <c r="LQ123" s="43"/>
      <c r="LR123" s="43"/>
      <c r="LS123" s="43"/>
      <c r="LT123" s="43"/>
      <c r="LU123" s="43"/>
      <c r="LV123" s="43"/>
      <c r="LW123" s="43"/>
      <c r="LX123" s="43"/>
      <c r="LY123" s="43"/>
      <c r="LZ123" s="43"/>
      <c r="MA123" s="43"/>
      <c r="MB123" s="43"/>
      <c r="MC123" s="43"/>
      <c r="MD123" s="43"/>
      <c r="ME123" s="43"/>
      <c r="MF123" s="43"/>
      <c r="MG123" s="43"/>
      <c r="MH123" s="43"/>
      <c r="MI123" s="43"/>
      <c r="MJ123" s="43"/>
      <c r="MK123" s="43"/>
      <c r="ML123" s="43"/>
      <c r="MM123" s="43"/>
      <c r="MN123" s="43"/>
      <c r="MO123" s="43"/>
      <c r="MP123" s="43"/>
      <c r="MQ123" s="43"/>
      <c r="MR123" s="43"/>
      <c r="MS123" s="43"/>
      <c r="MT123" s="43"/>
      <c r="MU123" s="43"/>
      <c r="MV123" s="43"/>
      <c r="MW123" s="43"/>
      <c r="MX123" s="43"/>
      <c r="MY123" s="43"/>
      <c r="MZ123" s="43"/>
      <c r="NA123" s="43"/>
      <c r="NB123" s="43"/>
      <c r="NC123" s="43"/>
      <c r="ND123" s="43"/>
      <c r="NE123" s="43"/>
      <c r="NF123" s="43"/>
      <c r="NG123" s="43"/>
      <c r="NH123" s="43"/>
      <c r="NI123" s="43"/>
      <c r="NJ123" s="43"/>
      <c r="NK123" s="43"/>
      <c r="NL123" s="43"/>
      <c r="NM123" s="43"/>
      <c r="NN123" s="43"/>
      <c r="NO123" s="43"/>
      <c r="NP123" s="43"/>
      <c r="NQ123" s="43"/>
      <c r="NR123" s="43"/>
      <c r="NS123" s="43"/>
      <c r="NT123" s="43"/>
      <c r="NU123" s="43"/>
      <c r="NV123" s="43"/>
      <c r="NW123" s="43"/>
      <c r="NX123" s="43"/>
      <c r="NY123" s="43"/>
      <c r="NZ123" s="43"/>
      <c r="OA123" s="43"/>
      <c r="OB123" s="43"/>
      <c r="OC123" s="43"/>
      <c r="OD123" s="43"/>
      <c r="OE123" s="43"/>
      <c r="OF123" s="43"/>
      <c r="OG123" s="43"/>
      <c r="OH123" s="43"/>
      <c r="OI123" s="43"/>
      <c r="OJ123" s="43"/>
      <c r="OK123" s="43"/>
      <c r="OL123" s="43"/>
      <c r="OM123" s="43"/>
      <c r="ON123" s="43"/>
      <c r="OO123" s="43"/>
      <c r="OP123" s="43"/>
      <c r="OQ123" s="43"/>
      <c r="OR123" s="43"/>
      <c r="OS123" s="43"/>
      <c r="OT123" s="43"/>
      <c r="OU123" s="43"/>
      <c r="OV123" s="43"/>
      <c r="OW123" s="43"/>
      <c r="OX123" s="43"/>
      <c r="OY123" s="43"/>
      <c r="OZ123" s="43"/>
      <c r="PA123" s="43"/>
      <c r="PB123" s="43"/>
      <c r="PC123" s="43"/>
      <c r="PD123" s="43"/>
      <c r="PE123" s="43"/>
      <c r="PF123" s="43"/>
      <c r="PG123" s="43"/>
      <c r="PH123" s="43"/>
      <c r="PI123" s="43"/>
      <c r="PJ123" s="43"/>
      <c r="PK123" s="43"/>
      <c r="PL123" s="43"/>
      <c r="PM123" s="43"/>
      <c r="PN123" s="43"/>
      <c r="PO123" s="43"/>
      <c r="PP123" s="43"/>
      <c r="PQ123" s="43"/>
      <c r="PR123" s="43"/>
      <c r="PS123" s="43"/>
      <c r="PT123" s="43"/>
      <c r="PU123" s="43"/>
      <c r="PV123" s="43"/>
      <c r="PW123" s="43"/>
      <c r="PX123" s="43"/>
      <c r="PY123" s="43"/>
      <c r="PZ123" s="43"/>
      <c r="QA123" s="43"/>
      <c r="QB123" s="43"/>
      <c r="QC123" s="43"/>
    </row>
    <row r="124" spans="1:445" x14ac:dyDescent="0.3">
      <c r="B124" s="45"/>
      <c r="C124" s="45"/>
      <c r="D124" s="45"/>
      <c r="E124" s="45"/>
      <c r="F124" s="45"/>
      <c r="G124" s="45"/>
      <c r="H124" s="45"/>
      <c r="I124" s="45"/>
      <c r="J124" s="61"/>
      <c r="K124" s="45"/>
      <c r="L124" s="45"/>
      <c r="M124" s="45"/>
      <c r="N124" s="45"/>
      <c r="O124" s="45"/>
      <c r="P124" s="45"/>
      <c r="Q124" s="45"/>
      <c r="R124" s="45"/>
      <c r="S124" s="45"/>
      <c r="T124" s="46" t="str">
        <f t="shared" si="7"/>
        <v/>
      </c>
      <c r="U124" s="46" t="str">
        <f t="shared" si="8"/>
        <v/>
      </c>
      <c r="V124" s="72" t="str">
        <f t="shared" si="9"/>
        <v/>
      </c>
      <c r="W124" s="48"/>
      <c r="X124" s="73" t="str">
        <f t="shared" si="11"/>
        <v/>
      </c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43"/>
      <c r="BN124" s="43"/>
      <c r="BO124" s="43"/>
      <c r="BP124" s="43"/>
      <c r="BQ124" s="43"/>
      <c r="BR124" s="43"/>
      <c r="BS124" s="43"/>
      <c r="BT124" s="43"/>
      <c r="BU124" s="43"/>
      <c r="BV124" s="43"/>
      <c r="BW124" s="43"/>
      <c r="BX124" s="43"/>
      <c r="BY124" s="43"/>
      <c r="BZ124" s="43"/>
      <c r="CA124" s="43"/>
      <c r="CB124" s="43"/>
      <c r="CC124" s="4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43"/>
      <c r="CY124" s="43"/>
      <c r="CZ124" s="43"/>
      <c r="DA124" s="43"/>
      <c r="DB124" s="43"/>
      <c r="DC124" s="43"/>
      <c r="DD124" s="43"/>
      <c r="DE124" s="43"/>
      <c r="DF124" s="43"/>
      <c r="DG124" s="43"/>
      <c r="DH124" s="43"/>
      <c r="DI124" s="43"/>
      <c r="DJ124" s="43"/>
      <c r="DK124" s="43"/>
      <c r="DL124" s="43"/>
      <c r="DM124" s="43"/>
      <c r="DN124" s="43"/>
      <c r="DO124" s="43"/>
      <c r="DP124" s="43"/>
      <c r="DQ124" s="43"/>
      <c r="DR124" s="43"/>
      <c r="DS124" s="43"/>
      <c r="DT124" s="43"/>
      <c r="DU124" s="43"/>
      <c r="DV124" s="43"/>
      <c r="DW124" s="43"/>
      <c r="DX124" s="43"/>
      <c r="DY124" s="43"/>
      <c r="DZ124" s="43"/>
      <c r="EA124" s="43"/>
      <c r="EB124" s="43"/>
      <c r="EC124" s="43"/>
      <c r="ED124" s="43"/>
      <c r="EE124" s="43"/>
      <c r="EF124" s="43"/>
      <c r="EG124" s="43"/>
      <c r="EH124" s="43"/>
      <c r="EI124" s="43"/>
      <c r="EJ124" s="43"/>
      <c r="EK124" s="43"/>
      <c r="EL124" s="43"/>
      <c r="EM124" s="43"/>
      <c r="EN124" s="43"/>
      <c r="EO124" s="43"/>
      <c r="EP124" s="43"/>
      <c r="EQ124" s="43"/>
      <c r="ER124" s="43"/>
      <c r="ES124" s="43"/>
      <c r="ET124" s="43"/>
      <c r="EU124" s="43"/>
      <c r="EV124" s="43"/>
      <c r="EW124" s="43"/>
      <c r="EX124" s="43"/>
      <c r="EY124" s="43"/>
      <c r="EZ124" s="43"/>
      <c r="FA124" s="43"/>
      <c r="FB124" s="43"/>
      <c r="FC124" s="43"/>
      <c r="FD124" s="43"/>
      <c r="FE124" s="43"/>
      <c r="FF124" s="43"/>
      <c r="FG124" s="43"/>
      <c r="FH124" s="43"/>
      <c r="FI124" s="43"/>
      <c r="FJ124" s="43"/>
      <c r="FK124" s="43"/>
      <c r="FL124" s="43"/>
      <c r="FM124" s="43"/>
      <c r="FN124" s="43"/>
      <c r="FO124" s="43"/>
      <c r="FP124" s="43"/>
      <c r="FQ124" s="43"/>
      <c r="FR124" s="43"/>
      <c r="FS124" s="43"/>
      <c r="FT124" s="43"/>
      <c r="FU124" s="43"/>
      <c r="FV124" s="43"/>
      <c r="FW124" s="43"/>
      <c r="FX124" s="43"/>
      <c r="FY124" s="43"/>
      <c r="FZ124" s="43"/>
      <c r="GA124" s="43"/>
      <c r="GB124" s="43"/>
      <c r="GC124" s="43"/>
      <c r="GD124" s="43"/>
      <c r="GE124" s="43"/>
      <c r="GF124" s="43"/>
      <c r="GG124" s="43"/>
      <c r="GH124" s="43"/>
      <c r="GI124" s="43"/>
      <c r="GJ124" s="43"/>
      <c r="GK124" s="43"/>
      <c r="GL124" s="43"/>
      <c r="GM124" s="43"/>
      <c r="GN124" s="43"/>
      <c r="GO124" s="43"/>
      <c r="GP124" s="43"/>
      <c r="GQ124" s="43"/>
      <c r="GR124" s="43"/>
      <c r="GS124" s="43"/>
      <c r="GT124" s="43"/>
      <c r="GU124" s="43"/>
      <c r="GV124" s="43"/>
      <c r="GW124" s="43"/>
      <c r="GX124" s="43"/>
      <c r="GY124" s="43"/>
      <c r="GZ124" s="43"/>
      <c r="HA124" s="43"/>
      <c r="HB124" s="43"/>
      <c r="HC124" s="43"/>
      <c r="HD124" s="43"/>
      <c r="HE124" s="43"/>
      <c r="HF124" s="43"/>
      <c r="HG124" s="43"/>
      <c r="HH124" s="43"/>
      <c r="HI124" s="43"/>
      <c r="HJ124" s="43"/>
      <c r="HK124" s="43"/>
      <c r="HL124" s="43"/>
      <c r="HM124" s="43"/>
      <c r="HN124" s="43"/>
      <c r="HO124" s="43"/>
      <c r="HP124" s="43"/>
      <c r="HQ124" s="43"/>
      <c r="HR124" s="43"/>
      <c r="HS124" s="43"/>
      <c r="HT124" s="43"/>
      <c r="HU124" s="43"/>
      <c r="HV124" s="43"/>
      <c r="HW124" s="43"/>
      <c r="HX124" s="43"/>
      <c r="HY124" s="43"/>
      <c r="HZ124" s="43"/>
      <c r="IA124" s="43"/>
      <c r="IB124" s="43"/>
      <c r="IC124" s="43"/>
      <c r="ID124" s="43"/>
      <c r="IE124" s="43"/>
      <c r="IF124" s="43"/>
      <c r="IG124" s="43"/>
      <c r="IH124" s="43"/>
      <c r="II124" s="43"/>
      <c r="IJ124" s="43"/>
      <c r="IK124" s="43"/>
      <c r="IL124" s="43"/>
      <c r="IM124" s="43"/>
      <c r="IN124" s="43"/>
      <c r="IO124" s="43"/>
      <c r="IP124" s="43"/>
      <c r="IQ124" s="43"/>
      <c r="IR124" s="43"/>
      <c r="IS124" s="43"/>
      <c r="IT124" s="43"/>
      <c r="IU124" s="43"/>
      <c r="IV124" s="43"/>
      <c r="IW124" s="43"/>
      <c r="IX124" s="43"/>
      <c r="IY124" s="43"/>
      <c r="IZ124" s="43"/>
      <c r="JA124" s="43"/>
      <c r="JB124" s="43"/>
      <c r="JC124" s="43"/>
      <c r="JD124" s="43"/>
      <c r="JE124" s="43"/>
      <c r="JF124" s="43"/>
      <c r="JG124" s="43"/>
      <c r="JH124" s="43"/>
      <c r="JI124" s="43"/>
      <c r="JJ124" s="43"/>
      <c r="JK124" s="43"/>
      <c r="JL124" s="43"/>
      <c r="JM124" s="43"/>
      <c r="JN124" s="43"/>
      <c r="JO124" s="43"/>
      <c r="JP124" s="43"/>
      <c r="JQ124" s="43"/>
      <c r="JR124" s="43"/>
      <c r="JS124" s="43"/>
      <c r="JT124" s="43"/>
      <c r="JU124" s="43"/>
      <c r="JV124" s="43"/>
      <c r="JW124" s="43"/>
      <c r="JX124" s="43"/>
      <c r="JY124" s="43"/>
      <c r="JZ124" s="43"/>
      <c r="KA124" s="43"/>
      <c r="KB124" s="43"/>
      <c r="KC124" s="43"/>
      <c r="KD124" s="43"/>
      <c r="KE124" s="43"/>
      <c r="KF124" s="43"/>
      <c r="KG124" s="43"/>
      <c r="KH124" s="43"/>
      <c r="KI124" s="43"/>
      <c r="KJ124" s="43"/>
      <c r="KK124" s="43"/>
      <c r="KL124" s="43"/>
      <c r="KM124" s="43"/>
      <c r="KN124" s="43"/>
      <c r="KO124" s="43"/>
      <c r="KP124" s="43"/>
      <c r="KQ124" s="43"/>
      <c r="KR124" s="43"/>
      <c r="KS124" s="43"/>
      <c r="KT124" s="43"/>
      <c r="KU124" s="43"/>
      <c r="KV124" s="43"/>
      <c r="KW124" s="43"/>
      <c r="KX124" s="43"/>
      <c r="KY124" s="43"/>
      <c r="KZ124" s="43"/>
      <c r="LA124" s="43"/>
      <c r="LB124" s="43"/>
      <c r="LC124" s="43"/>
      <c r="LD124" s="43"/>
      <c r="LE124" s="43"/>
      <c r="LF124" s="43"/>
      <c r="LG124" s="43"/>
      <c r="LH124" s="43"/>
      <c r="LI124" s="43"/>
      <c r="LJ124" s="43"/>
      <c r="LK124" s="43"/>
      <c r="LL124" s="43"/>
      <c r="LM124" s="43"/>
      <c r="LN124" s="43"/>
      <c r="LO124" s="43"/>
      <c r="LP124" s="43"/>
      <c r="LQ124" s="43"/>
      <c r="LR124" s="43"/>
      <c r="LS124" s="43"/>
      <c r="LT124" s="43"/>
      <c r="LU124" s="43"/>
      <c r="LV124" s="43"/>
      <c r="LW124" s="43"/>
      <c r="LX124" s="43"/>
      <c r="LY124" s="43"/>
      <c r="LZ124" s="43"/>
      <c r="MA124" s="43"/>
      <c r="MB124" s="43"/>
      <c r="MC124" s="43"/>
      <c r="MD124" s="43"/>
      <c r="ME124" s="43"/>
      <c r="MF124" s="43"/>
      <c r="MG124" s="43"/>
      <c r="MH124" s="43"/>
      <c r="MI124" s="43"/>
      <c r="MJ124" s="43"/>
      <c r="MK124" s="43"/>
      <c r="ML124" s="43"/>
      <c r="MM124" s="43"/>
      <c r="MN124" s="43"/>
      <c r="MO124" s="43"/>
      <c r="MP124" s="43"/>
      <c r="MQ124" s="43"/>
      <c r="MR124" s="43"/>
      <c r="MS124" s="43"/>
      <c r="MT124" s="43"/>
      <c r="MU124" s="43"/>
      <c r="MV124" s="43"/>
      <c r="MW124" s="43"/>
      <c r="MX124" s="43"/>
      <c r="MY124" s="43"/>
      <c r="MZ124" s="43"/>
      <c r="NA124" s="43"/>
      <c r="NB124" s="43"/>
      <c r="NC124" s="43"/>
      <c r="ND124" s="43"/>
      <c r="NE124" s="43"/>
      <c r="NF124" s="43"/>
      <c r="NG124" s="43"/>
      <c r="NH124" s="43"/>
      <c r="NI124" s="43"/>
      <c r="NJ124" s="43"/>
      <c r="NK124" s="43"/>
      <c r="NL124" s="43"/>
      <c r="NM124" s="43"/>
      <c r="NN124" s="43"/>
      <c r="NO124" s="43"/>
      <c r="NP124" s="43"/>
      <c r="NQ124" s="43"/>
      <c r="NR124" s="43"/>
      <c r="NS124" s="43"/>
      <c r="NT124" s="43"/>
      <c r="NU124" s="43"/>
      <c r="NV124" s="43"/>
      <c r="NW124" s="43"/>
      <c r="NX124" s="43"/>
      <c r="NY124" s="43"/>
      <c r="NZ124" s="43"/>
      <c r="OA124" s="43"/>
      <c r="OB124" s="43"/>
      <c r="OC124" s="43"/>
      <c r="OD124" s="43"/>
      <c r="OE124" s="43"/>
      <c r="OF124" s="43"/>
      <c r="OG124" s="43"/>
      <c r="OH124" s="43"/>
      <c r="OI124" s="43"/>
      <c r="OJ124" s="43"/>
      <c r="OK124" s="43"/>
      <c r="OL124" s="43"/>
      <c r="OM124" s="43"/>
      <c r="ON124" s="43"/>
      <c r="OO124" s="43"/>
      <c r="OP124" s="43"/>
      <c r="OQ124" s="43"/>
      <c r="OR124" s="43"/>
      <c r="OS124" s="43"/>
      <c r="OT124" s="43"/>
      <c r="OU124" s="43"/>
      <c r="OV124" s="43"/>
      <c r="OW124" s="43"/>
      <c r="OX124" s="43"/>
      <c r="OY124" s="43"/>
      <c r="OZ124" s="43"/>
      <c r="PA124" s="43"/>
      <c r="PB124" s="43"/>
      <c r="PC124" s="43"/>
      <c r="PD124" s="43"/>
      <c r="PE124" s="43"/>
      <c r="PF124" s="43"/>
      <c r="PG124" s="43"/>
      <c r="PH124" s="43"/>
      <c r="PI124" s="43"/>
      <c r="PJ124" s="43"/>
      <c r="PK124" s="43"/>
      <c r="PL124" s="43"/>
      <c r="PM124" s="43"/>
      <c r="PN124" s="43"/>
      <c r="PO124" s="43"/>
      <c r="PP124" s="43"/>
      <c r="PQ124" s="43"/>
      <c r="PR124" s="43"/>
      <c r="PS124" s="43"/>
      <c r="PT124" s="43"/>
      <c r="PU124" s="43"/>
      <c r="PV124" s="43"/>
      <c r="PW124" s="43"/>
      <c r="PX124" s="43"/>
      <c r="PY124" s="43"/>
      <c r="PZ124" s="43"/>
      <c r="QA124" s="43"/>
      <c r="QB124" s="43"/>
      <c r="QC124" s="43"/>
    </row>
    <row r="125" spans="1:445" x14ac:dyDescent="0.3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6" t="str">
        <f t="shared" si="7"/>
        <v/>
      </c>
      <c r="U125" s="46" t="str">
        <f t="shared" si="8"/>
        <v/>
      </c>
      <c r="V125" s="72" t="str">
        <f t="shared" si="9"/>
        <v/>
      </c>
      <c r="W125" s="48"/>
      <c r="X125" s="73" t="str">
        <f t="shared" si="11"/>
        <v/>
      </c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43"/>
      <c r="BN125" s="43"/>
      <c r="BO125" s="43"/>
      <c r="BP125" s="43"/>
      <c r="BQ125" s="43"/>
      <c r="BR125" s="43"/>
      <c r="BS125" s="43"/>
      <c r="BT125" s="43"/>
      <c r="BU125" s="43"/>
      <c r="BV125" s="43"/>
      <c r="BW125" s="43"/>
      <c r="BX125" s="43"/>
      <c r="BY125" s="43"/>
      <c r="BZ125" s="43"/>
      <c r="CA125" s="43"/>
      <c r="CB125" s="43"/>
      <c r="CC125" s="43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43"/>
      <c r="CY125" s="43"/>
      <c r="CZ125" s="43"/>
      <c r="DA125" s="43"/>
      <c r="DB125" s="43"/>
      <c r="DC125" s="43"/>
      <c r="DD125" s="43"/>
      <c r="DE125" s="43"/>
      <c r="DF125" s="43"/>
      <c r="DG125" s="43"/>
      <c r="DH125" s="43"/>
      <c r="DI125" s="43"/>
      <c r="DJ125" s="43"/>
      <c r="DK125" s="43"/>
      <c r="DL125" s="43"/>
      <c r="DM125" s="43"/>
      <c r="DN125" s="43"/>
      <c r="DO125" s="43"/>
      <c r="DP125" s="43"/>
      <c r="DQ125" s="43"/>
      <c r="DR125" s="43"/>
      <c r="DS125" s="43"/>
      <c r="DT125" s="43"/>
      <c r="DU125" s="43"/>
      <c r="DV125" s="43"/>
      <c r="DW125" s="43"/>
      <c r="DX125" s="43"/>
      <c r="DY125" s="43"/>
      <c r="DZ125" s="43"/>
      <c r="EA125" s="43"/>
      <c r="EB125" s="43"/>
      <c r="EC125" s="43"/>
      <c r="ED125" s="43"/>
      <c r="EE125" s="43"/>
      <c r="EF125" s="43"/>
      <c r="EG125" s="43"/>
      <c r="EH125" s="43"/>
      <c r="EI125" s="43"/>
      <c r="EJ125" s="43"/>
      <c r="EK125" s="43"/>
      <c r="EL125" s="43"/>
      <c r="EM125" s="43"/>
      <c r="EN125" s="43"/>
      <c r="EO125" s="43"/>
      <c r="EP125" s="43"/>
      <c r="EQ125" s="43"/>
      <c r="ER125" s="43"/>
      <c r="ES125" s="43"/>
      <c r="ET125" s="43"/>
      <c r="EU125" s="43"/>
      <c r="EV125" s="43"/>
      <c r="EW125" s="43"/>
      <c r="EX125" s="43"/>
      <c r="EY125" s="43"/>
      <c r="EZ125" s="43"/>
      <c r="FA125" s="43"/>
      <c r="FB125" s="43"/>
      <c r="FC125" s="43"/>
      <c r="FD125" s="43"/>
      <c r="FE125" s="43"/>
      <c r="FF125" s="43"/>
      <c r="FG125" s="43"/>
      <c r="FH125" s="43"/>
      <c r="FI125" s="43"/>
      <c r="FJ125" s="43"/>
      <c r="FK125" s="43"/>
      <c r="FL125" s="43"/>
      <c r="FM125" s="43"/>
      <c r="FN125" s="43"/>
      <c r="FO125" s="43"/>
      <c r="FP125" s="43"/>
      <c r="FQ125" s="43"/>
      <c r="FR125" s="43"/>
      <c r="FS125" s="43"/>
      <c r="FT125" s="43"/>
      <c r="FU125" s="43"/>
      <c r="FV125" s="43"/>
      <c r="FW125" s="43"/>
      <c r="FX125" s="43"/>
      <c r="FY125" s="43"/>
      <c r="FZ125" s="43"/>
      <c r="GA125" s="43"/>
      <c r="GB125" s="43"/>
      <c r="GC125" s="43"/>
      <c r="GD125" s="43"/>
      <c r="GE125" s="43"/>
      <c r="GF125" s="43"/>
      <c r="GG125" s="43"/>
      <c r="GH125" s="43"/>
      <c r="GI125" s="43"/>
      <c r="GJ125" s="43"/>
      <c r="GK125" s="43"/>
      <c r="GL125" s="43"/>
      <c r="GM125" s="43"/>
      <c r="GN125" s="43"/>
      <c r="GO125" s="43"/>
      <c r="GP125" s="43"/>
      <c r="GQ125" s="43"/>
      <c r="GR125" s="43"/>
      <c r="GS125" s="43"/>
      <c r="GT125" s="43"/>
      <c r="GU125" s="43"/>
      <c r="GV125" s="43"/>
      <c r="GW125" s="43"/>
      <c r="GX125" s="43"/>
      <c r="GY125" s="43"/>
      <c r="GZ125" s="43"/>
      <c r="HA125" s="43"/>
      <c r="HB125" s="43"/>
      <c r="HC125" s="43"/>
      <c r="HD125" s="43"/>
      <c r="HE125" s="43"/>
      <c r="HF125" s="43"/>
      <c r="HG125" s="43"/>
      <c r="HH125" s="43"/>
      <c r="HI125" s="43"/>
      <c r="HJ125" s="43"/>
      <c r="HK125" s="43"/>
      <c r="HL125" s="43"/>
      <c r="HM125" s="43"/>
      <c r="HN125" s="43"/>
      <c r="HO125" s="43"/>
      <c r="HP125" s="43"/>
      <c r="HQ125" s="43"/>
      <c r="HR125" s="43"/>
      <c r="HS125" s="43"/>
      <c r="HT125" s="43"/>
      <c r="HU125" s="43"/>
      <c r="HV125" s="43"/>
      <c r="HW125" s="43"/>
      <c r="HX125" s="43"/>
      <c r="HY125" s="43"/>
      <c r="HZ125" s="43"/>
      <c r="IA125" s="43"/>
      <c r="IB125" s="43"/>
      <c r="IC125" s="43"/>
      <c r="ID125" s="43"/>
      <c r="IE125" s="43"/>
      <c r="IF125" s="43"/>
      <c r="IG125" s="43"/>
      <c r="IH125" s="43"/>
      <c r="II125" s="43"/>
      <c r="IJ125" s="43"/>
      <c r="IK125" s="43"/>
      <c r="IL125" s="43"/>
      <c r="IM125" s="43"/>
      <c r="IN125" s="43"/>
      <c r="IO125" s="43"/>
      <c r="IP125" s="43"/>
      <c r="IQ125" s="43"/>
      <c r="IR125" s="43"/>
      <c r="IS125" s="43"/>
      <c r="IT125" s="43"/>
      <c r="IU125" s="43"/>
      <c r="IV125" s="43"/>
      <c r="IW125" s="43"/>
      <c r="IX125" s="43"/>
      <c r="IY125" s="43"/>
      <c r="IZ125" s="43"/>
      <c r="JA125" s="43"/>
      <c r="JB125" s="43"/>
      <c r="JC125" s="43"/>
      <c r="JD125" s="43"/>
      <c r="JE125" s="43"/>
      <c r="JF125" s="43"/>
      <c r="JG125" s="43"/>
      <c r="JH125" s="43"/>
      <c r="JI125" s="43"/>
      <c r="JJ125" s="43"/>
      <c r="JK125" s="43"/>
      <c r="JL125" s="43"/>
      <c r="JM125" s="43"/>
      <c r="JN125" s="43"/>
      <c r="JO125" s="43"/>
      <c r="JP125" s="43"/>
      <c r="JQ125" s="43"/>
      <c r="JR125" s="43"/>
      <c r="JS125" s="43"/>
      <c r="JT125" s="43"/>
      <c r="JU125" s="43"/>
      <c r="JV125" s="43"/>
      <c r="JW125" s="43"/>
      <c r="JX125" s="43"/>
      <c r="JY125" s="43"/>
      <c r="JZ125" s="43"/>
      <c r="KA125" s="43"/>
      <c r="KB125" s="43"/>
      <c r="KC125" s="43"/>
      <c r="KD125" s="43"/>
      <c r="KE125" s="43"/>
      <c r="KF125" s="43"/>
      <c r="KG125" s="43"/>
      <c r="KH125" s="43"/>
      <c r="KI125" s="43"/>
      <c r="KJ125" s="43"/>
      <c r="KK125" s="43"/>
      <c r="KL125" s="43"/>
      <c r="KM125" s="43"/>
      <c r="KN125" s="43"/>
      <c r="KO125" s="43"/>
      <c r="KP125" s="43"/>
      <c r="KQ125" s="43"/>
      <c r="KR125" s="43"/>
      <c r="KS125" s="43"/>
      <c r="KT125" s="43"/>
      <c r="KU125" s="43"/>
      <c r="KV125" s="43"/>
      <c r="KW125" s="43"/>
      <c r="KX125" s="43"/>
      <c r="KY125" s="43"/>
      <c r="KZ125" s="43"/>
      <c r="LA125" s="43"/>
      <c r="LB125" s="43"/>
      <c r="LC125" s="43"/>
      <c r="LD125" s="43"/>
      <c r="LE125" s="43"/>
      <c r="LF125" s="43"/>
      <c r="LG125" s="43"/>
      <c r="LH125" s="43"/>
      <c r="LI125" s="43"/>
      <c r="LJ125" s="43"/>
      <c r="LK125" s="43"/>
      <c r="LL125" s="43"/>
      <c r="LM125" s="43"/>
      <c r="LN125" s="43"/>
      <c r="LO125" s="43"/>
      <c r="LP125" s="43"/>
      <c r="LQ125" s="43"/>
      <c r="LR125" s="43"/>
      <c r="LS125" s="43"/>
      <c r="LT125" s="43"/>
      <c r="LU125" s="43"/>
      <c r="LV125" s="43"/>
      <c r="LW125" s="43"/>
      <c r="LX125" s="43"/>
      <c r="LY125" s="43"/>
      <c r="LZ125" s="43"/>
      <c r="MA125" s="43"/>
      <c r="MB125" s="43"/>
      <c r="MC125" s="43"/>
      <c r="MD125" s="43"/>
      <c r="ME125" s="43"/>
      <c r="MF125" s="43"/>
      <c r="MG125" s="43"/>
      <c r="MH125" s="43"/>
      <c r="MI125" s="43"/>
      <c r="MJ125" s="43"/>
      <c r="MK125" s="43"/>
      <c r="ML125" s="43"/>
      <c r="MM125" s="43"/>
      <c r="MN125" s="43"/>
      <c r="MO125" s="43"/>
      <c r="MP125" s="43"/>
      <c r="MQ125" s="43"/>
      <c r="MR125" s="43"/>
      <c r="MS125" s="43"/>
      <c r="MT125" s="43"/>
      <c r="MU125" s="43"/>
      <c r="MV125" s="43"/>
      <c r="MW125" s="43"/>
      <c r="MX125" s="43"/>
      <c r="MY125" s="43"/>
      <c r="MZ125" s="43"/>
      <c r="NA125" s="43"/>
      <c r="NB125" s="43"/>
      <c r="NC125" s="43"/>
      <c r="ND125" s="43"/>
      <c r="NE125" s="43"/>
      <c r="NF125" s="43"/>
      <c r="NG125" s="43"/>
      <c r="NH125" s="43"/>
      <c r="NI125" s="43"/>
      <c r="NJ125" s="43"/>
      <c r="NK125" s="43"/>
      <c r="NL125" s="43"/>
      <c r="NM125" s="43"/>
      <c r="NN125" s="43"/>
      <c r="NO125" s="43"/>
      <c r="NP125" s="43"/>
      <c r="NQ125" s="43"/>
      <c r="NR125" s="43"/>
      <c r="NS125" s="43"/>
      <c r="NT125" s="43"/>
      <c r="NU125" s="43"/>
      <c r="NV125" s="43"/>
      <c r="NW125" s="43"/>
      <c r="NX125" s="43"/>
      <c r="NY125" s="43"/>
      <c r="NZ125" s="43"/>
      <c r="OA125" s="43"/>
      <c r="OB125" s="43"/>
      <c r="OC125" s="43"/>
      <c r="OD125" s="43"/>
      <c r="OE125" s="43"/>
      <c r="OF125" s="43"/>
      <c r="OG125" s="43"/>
      <c r="OH125" s="43"/>
      <c r="OI125" s="43"/>
      <c r="OJ125" s="43"/>
      <c r="OK125" s="43"/>
      <c r="OL125" s="43"/>
      <c r="OM125" s="43"/>
      <c r="ON125" s="43"/>
      <c r="OO125" s="43"/>
      <c r="OP125" s="43"/>
      <c r="OQ125" s="43"/>
      <c r="OR125" s="43"/>
      <c r="OS125" s="43"/>
      <c r="OT125" s="43"/>
      <c r="OU125" s="43"/>
      <c r="OV125" s="43"/>
      <c r="OW125" s="43"/>
      <c r="OX125" s="43"/>
      <c r="OY125" s="43"/>
      <c r="OZ125" s="43"/>
      <c r="PA125" s="43"/>
      <c r="PB125" s="43"/>
      <c r="PC125" s="43"/>
      <c r="PD125" s="43"/>
      <c r="PE125" s="43"/>
      <c r="PF125" s="43"/>
      <c r="PG125" s="43"/>
      <c r="PH125" s="43"/>
      <c r="PI125" s="43"/>
      <c r="PJ125" s="43"/>
      <c r="PK125" s="43"/>
      <c r="PL125" s="43"/>
      <c r="PM125" s="43"/>
      <c r="PN125" s="43"/>
      <c r="PO125" s="43"/>
      <c r="PP125" s="43"/>
      <c r="PQ125" s="43"/>
      <c r="PR125" s="43"/>
      <c r="PS125" s="43"/>
      <c r="PT125" s="43"/>
      <c r="PU125" s="43"/>
      <c r="PV125" s="43"/>
      <c r="PW125" s="43"/>
      <c r="PX125" s="43"/>
      <c r="PY125" s="43"/>
      <c r="PZ125" s="43"/>
      <c r="QA125" s="43"/>
      <c r="QB125" s="43"/>
      <c r="QC125" s="43"/>
    </row>
    <row r="126" spans="1:445" x14ac:dyDescent="0.3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6" t="str">
        <f t="shared" si="7"/>
        <v/>
      </c>
      <c r="U126" s="46" t="str">
        <f t="shared" si="8"/>
        <v/>
      </c>
      <c r="V126" s="72" t="str">
        <f t="shared" si="9"/>
        <v/>
      </c>
      <c r="W126" s="48"/>
      <c r="X126" s="73" t="str">
        <f t="shared" si="11"/>
        <v/>
      </c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43"/>
      <c r="BN126" s="43"/>
      <c r="BO126" s="43"/>
      <c r="BP126" s="43"/>
      <c r="BQ126" s="43"/>
      <c r="BR126" s="43"/>
      <c r="BS126" s="43"/>
      <c r="BT126" s="43"/>
      <c r="BU126" s="43"/>
      <c r="BV126" s="43"/>
      <c r="BW126" s="43"/>
      <c r="BX126" s="43"/>
      <c r="BY126" s="43"/>
      <c r="BZ126" s="43"/>
      <c r="CA126" s="43"/>
      <c r="CB126" s="43"/>
      <c r="CC126" s="43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43"/>
      <c r="CY126" s="43"/>
      <c r="CZ126" s="43"/>
      <c r="DA126" s="43"/>
      <c r="DB126" s="43"/>
      <c r="DC126" s="43"/>
      <c r="DD126" s="43"/>
      <c r="DE126" s="43"/>
      <c r="DF126" s="43"/>
      <c r="DG126" s="43"/>
      <c r="DH126" s="43"/>
      <c r="DI126" s="43"/>
      <c r="DJ126" s="43"/>
      <c r="DK126" s="43"/>
      <c r="DL126" s="43"/>
      <c r="DM126" s="43"/>
      <c r="DN126" s="43"/>
      <c r="DO126" s="43"/>
      <c r="DP126" s="43"/>
      <c r="DQ126" s="43"/>
      <c r="DR126" s="43"/>
      <c r="DS126" s="43"/>
      <c r="DT126" s="43"/>
      <c r="DU126" s="43"/>
      <c r="DV126" s="43"/>
      <c r="DW126" s="43"/>
      <c r="DX126" s="43"/>
      <c r="DY126" s="43"/>
      <c r="DZ126" s="43"/>
      <c r="EA126" s="43"/>
      <c r="EB126" s="43"/>
      <c r="EC126" s="43"/>
      <c r="ED126" s="43"/>
      <c r="EE126" s="43"/>
      <c r="EF126" s="43"/>
      <c r="EG126" s="43"/>
      <c r="EH126" s="43"/>
      <c r="EI126" s="43"/>
      <c r="EJ126" s="43"/>
      <c r="EK126" s="43"/>
      <c r="EL126" s="43"/>
      <c r="EM126" s="43"/>
      <c r="EN126" s="43"/>
      <c r="EO126" s="43"/>
      <c r="EP126" s="43"/>
      <c r="EQ126" s="43"/>
      <c r="ER126" s="43"/>
      <c r="ES126" s="43"/>
      <c r="ET126" s="43"/>
      <c r="EU126" s="43"/>
      <c r="EV126" s="43"/>
      <c r="EW126" s="43"/>
      <c r="EX126" s="43"/>
      <c r="EY126" s="43"/>
      <c r="EZ126" s="43"/>
      <c r="FA126" s="43"/>
      <c r="FB126" s="43"/>
      <c r="FC126" s="43"/>
      <c r="FD126" s="43"/>
      <c r="FE126" s="43"/>
      <c r="FF126" s="43"/>
      <c r="FG126" s="43"/>
      <c r="FH126" s="43"/>
      <c r="FI126" s="43"/>
      <c r="FJ126" s="43"/>
      <c r="FK126" s="43"/>
      <c r="FL126" s="43"/>
      <c r="FM126" s="43"/>
      <c r="FN126" s="43"/>
      <c r="FO126" s="43"/>
      <c r="FP126" s="43"/>
      <c r="FQ126" s="43"/>
      <c r="FR126" s="43"/>
      <c r="FS126" s="43"/>
      <c r="FT126" s="43"/>
      <c r="FU126" s="43"/>
      <c r="FV126" s="43"/>
      <c r="FW126" s="43"/>
      <c r="FX126" s="43"/>
      <c r="FY126" s="43"/>
      <c r="FZ126" s="43"/>
      <c r="GA126" s="43"/>
      <c r="GB126" s="43"/>
      <c r="GC126" s="43"/>
      <c r="GD126" s="43"/>
      <c r="GE126" s="43"/>
      <c r="GF126" s="43"/>
      <c r="GG126" s="43"/>
      <c r="GH126" s="43"/>
      <c r="GI126" s="43"/>
      <c r="GJ126" s="43"/>
      <c r="GK126" s="43"/>
      <c r="GL126" s="43"/>
      <c r="GM126" s="43"/>
      <c r="GN126" s="43"/>
      <c r="GO126" s="43"/>
      <c r="GP126" s="43"/>
      <c r="GQ126" s="43"/>
      <c r="GR126" s="43"/>
      <c r="GS126" s="43"/>
      <c r="GT126" s="43"/>
      <c r="GU126" s="43"/>
      <c r="GV126" s="43"/>
      <c r="GW126" s="43"/>
      <c r="GX126" s="43"/>
      <c r="GY126" s="43"/>
      <c r="GZ126" s="43"/>
      <c r="HA126" s="43"/>
      <c r="HB126" s="43"/>
      <c r="HC126" s="43"/>
      <c r="HD126" s="43"/>
      <c r="HE126" s="43"/>
      <c r="HF126" s="43"/>
      <c r="HG126" s="43"/>
      <c r="HH126" s="43"/>
      <c r="HI126" s="43"/>
      <c r="HJ126" s="43"/>
      <c r="HK126" s="43"/>
      <c r="HL126" s="43"/>
      <c r="HM126" s="43"/>
      <c r="HN126" s="43"/>
      <c r="HO126" s="43"/>
      <c r="HP126" s="43"/>
      <c r="HQ126" s="43"/>
      <c r="HR126" s="43"/>
      <c r="HS126" s="43"/>
      <c r="HT126" s="43"/>
      <c r="HU126" s="43"/>
      <c r="HV126" s="43"/>
      <c r="HW126" s="43"/>
      <c r="HX126" s="43"/>
      <c r="HY126" s="43"/>
      <c r="HZ126" s="43"/>
      <c r="IA126" s="43"/>
      <c r="IB126" s="43"/>
      <c r="IC126" s="43"/>
      <c r="ID126" s="43"/>
      <c r="IE126" s="43"/>
      <c r="IF126" s="43"/>
      <c r="IG126" s="43"/>
      <c r="IH126" s="43"/>
      <c r="II126" s="43"/>
      <c r="IJ126" s="43"/>
      <c r="IK126" s="43"/>
      <c r="IL126" s="43"/>
      <c r="IM126" s="43"/>
      <c r="IN126" s="43"/>
      <c r="IO126" s="43"/>
      <c r="IP126" s="43"/>
      <c r="IQ126" s="43"/>
      <c r="IR126" s="43"/>
      <c r="IS126" s="43"/>
      <c r="IT126" s="43"/>
      <c r="IU126" s="43"/>
      <c r="IV126" s="43"/>
      <c r="IW126" s="43"/>
      <c r="IX126" s="43"/>
      <c r="IY126" s="43"/>
      <c r="IZ126" s="43"/>
      <c r="JA126" s="43"/>
      <c r="JB126" s="43"/>
      <c r="JC126" s="43"/>
      <c r="JD126" s="43"/>
      <c r="JE126" s="43"/>
      <c r="JF126" s="43"/>
      <c r="JG126" s="43"/>
      <c r="JH126" s="43"/>
      <c r="JI126" s="43"/>
      <c r="JJ126" s="43"/>
      <c r="JK126" s="43"/>
      <c r="JL126" s="43"/>
      <c r="JM126" s="43"/>
      <c r="JN126" s="43"/>
      <c r="JO126" s="43"/>
      <c r="JP126" s="43"/>
      <c r="JQ126" s="43"/>
      <c r="JR126" s="43"/>
      <c r="JS126" s="43"/>
      <c r="JT126" s="43"/>
      <c r="JU126" s="43"/>
      <c r="JV126" s="43"/>
      <c r="JW126" s="43"/>
      <c r="JX126" s="43"/>
      <c r="JY126" s="43"/>
      <c r="JZ126" s="43"/>
      <c r="KA126" s="43"/>
      <c r="KB126" s="43"/>
      <c r="KC126" s="43"/>
      <c r="KD126" s="43"/>
      <c r="KE126" s="43"/>
      <c r="KF126" s="43"/>
      <c r="KG126" s="43"/>
      <c r="KH126" s="43"/>
      <c r="KI126" s="43"/>
      <c r="KJ126" s="43"/>
      <c r="KK126" s="43"/>
      <c r="KL126" s="43"/>
      <c r="KM126" s="43"/>
      <c r="KN126" s="43"/>
      <c r="KO126" s="43"/>
      <c r="KP126" s="43"/>
      <c r="KQ126" s="43"/>
      <c r="KR126" s="43"/>
      <c r="KS126" s="43"/>
      <c r="KT126" s="43"/>
      <c r="KU126" s="43"/>
      <c r="KV126" s="43"/>
      <c r="KW126" s="43"/>
      <c r="KX126" s="43"/>
      <c r="KY126" s="43"/>
      <c r="KZ126" s="43"/>
      <c r="LA126" s="43"/>
      <c r="LB126" s="43"/>
      <c r="LC126" s="43"/>
      <c r="LD126" s="43"/>
      <c r="LE126" s="43"/>
      <c r="LF126" s="43"/>
      <c r="LG126" s="43"/>
      <c r="LH126" s="43"/>
      <c r="LI126" s="43"/>
      <c r="LJ126" s="43"/>
      <c r="LK126" s="43"/>
      <c r="LL126" s="43"/>
      <c r="LM126" s="43"/>
      <c r="LN126" s="43"/>
      <c r="LO126" s="43"/>
      <c r="LP126" s="43"/>
      <c r="LQ126" s="43"/>
      <c r="LR126" s="43"/>
      <c r="LS126" s="43"/>
      <c r="LT126" s="43"/>
      <c r="LU126" s="43"/>
      <c r="LV126" s="43"/>
      <c r="LW126" s="43"/>
      <c r="LX126" s="43"/>
      <c r="LY126" s="43"/>
      <c r="LZ126" s="43"/>
      <c r="MA126" s="43"/>
      <c r="MB126" s="43"/>
      <c r="MC126" s="43"/>
      <c r="MD126" s="43"/>
      <c r="ME126" s="43"/>
      <c r="MF126" s="43"/>
      <c r="MG126" s="43"/>
      <c r="MH126" s="43"/>
      <c r="MI126" s="43"/>
      <c r="MJ126" s="43"/>
      <c r="MK126" s="43"/>
      <c r="ML126" s="43"/>
      <c r="MM126" s="43"/>
      <c r="MN126" s="43"/>
      <c r="MO126" s="43"/>
      <c r="MP126" s="43"/>
      <c r="MQ126" s="43"/>
      <c r="MR126" s="43"/>
      <c r="MS126" s="43"/>
      <c r="MT126" s="43"/>
      <c r="MU126" s="43"/>
      <c r="MV126" s="43"/>
      <c r="MW126" s="43"/>
      <c r="MX126" s="43"/>
      <c r="MY126" s="43"/>
      <c r="MZ126" s="43"/>
      <c r="NA126" s="43"/>
      <c r="NB126" s="43"/>
      <c r="NC126" s="43"/>
      <c r="ND126" s="43"/>
      <c r="NE126" s="43"/>
      <c r="NF126" s="43"/>
      <c r="NG126" s="43"/>
      <c r="NH126" s="43"/>
      <c r="NI126" s="43"/>
      <c r="NJ126" s="43"/>
      <c r="NK126" s="43"/>
      <c r="NL126" s="43"/>
      <c r="NM126" s="43"/>
      <c r="NN126" s="43"/>
      <c r="NO126" s="43"/>
      <c r="NP126" s="43"/>
      <c r="NQ126" s="43"/>
      <c r="NR126" s="43"/>
      <c r="NS126" s="43"/>
      <c r="NT126" s="43"/>
      <c r="NU126" s="43"/>
      <c r="NV126" s="43"/>
      <c r="NW126" s="43"/>
      <c r="NX126" s="43"/>
      <c r="NY126" s="43"/>
      <c r="NZ126" s="43"/>
      <c r="OA126" s="43"/>
      <c r="OB126" s="43"/>
      <c r="OC126" s="43"/>
      <c r="OD126" s="43"/>
      <c r="OE126" s="43"/>
      <c r="OF126" s="43"/>
      <c r="OG126" s="43"/>
      <c r="OH126" s="43"/>
      <c r="OI126" s="43"/>
      <c r="OJ126" s="43"/>
      <c r="OK126" s="43"/>
      <c r="OL126" s="43"/>
      <c r="OM126" s="43"/>
      <c r="ON126" s="43"/>
      <c r="OO126" s="43"/>
      <c r="OP126" s="43"/>
      <c r="OQ126" s="43"/>
      <c r="OR126" s="43"/>
      <c r="OS126" s="43"/>
      <c r="OT126" s="43"/>
      <c r="OU126" s="43"/>
      <c r="OV126" s="43"/>
      <c r="OW126" s="43"/>
      <c r="OX126" s="43"/>
      <c r="OY126" s="43"/>
      <c r="OZ126" s="43"/>
      <c r="PA126" s="43"/>
      <c r="PB126" s="43"/>
      <c r="PC126" s="43"/>
      <c r="PD126" s="43"/>
      <c r="PE126" s="43"/>
      <c r="PF126" s="43"/>
      <c r="PG126" s="43"/>
      <c r="PH126" s="43"/>
      <c r="PI126" s="43"/>
      <c r="PJ126" s="43"/>
      <c r="PK126" s="43"/>
      <c r="PL126" s="43"/>
      <c r="PM126" s="43"/>
      <c r="PN126" s="43"/>
      <c r="PO126" s="43"/>
      <c r="PP126" s="43"/>
      <c r="PQ126" s="43"/>
      <c r="PR126" s="43"/>
      <c r="PS126" s="43"/>
      <c r="PT126" s="43"/>
      <c r="PU126" s="43"/>
      <c r="PV126" s="43"/>
      <c r="PW126" s="43"/>
      <c r="PX126" s="43"/>
      <c r="PY126" s="43"/>
      <c r="PZ126" s="43"/>
      <c r="QA126" s="43"/>
      <c r="QB126" s="43"/>
      <c r="QC126" s="43"/>
    </row>
    <row r="127" spans="1:445" x14ac:dyDescent="0.3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6" t="str">
        <f t="shared" si="7"/>
        <v/>
      </c>
      <c r="U127" s="46" t="str">
        <f t="shared" si="8"/>
        <v/>
      </c>
      <c r="V127" s="72" t="str">
        <f t="shared" si="9"/>
        <v/>
      </c>
      <c r="W127" s="48"/>
      <c r="X127" s="73" t="str">
        <f t="shared" si="11"/>
        <v/>
      </c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43"/>
      <c r="BN127" s="43"/>
      <c r="BO127" s="43"/>
      <c r="BP127" s="43"/>
      <c r="BQ127" s="43"/>
      <c r="BR127" s="43"/>
      <c r="BS127" s="43"/>
      <c r="BT127" s="43"/>
      <c r="BU127" s="43"/>
      <c r="BV127" s="43"/>
      <c r="BW127" s="43"/>
      <c r="BX127" s="43"/>
      <c r="BY127" s="43"/>
      <c r="BZ127" s="43"/>
      <c r="CA127" s="43"/>
      <c r="CB127" s="43"/>
      <c r="CC127" s="43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43"/>
      <c r="CY127" s="43"/>
      <c r="CZ127" s="43"/>
      <c r="DA127" s="43"/>
      <c r="DB127" s="43"/>
      <c r="DC127" s="43"/>
      <c r="DD127" s="43"/>
      <c r="DE127" s="43"/>
      <c r="DF127" s="43"/>
      <c r="DG127" s="43"/>
      <c r="DH127" s="43"/>
      <c r="DI127" s="43"/>
      <c r="DJ127" s="43"/>
      <c r="DK127" s="43"/>
      <c r="DL127" s="43"/>
      <c r="DM127" s="43"/>
      <c r="DN127" s="43"/>
      <c r="DO127" s="43"/>
      <c r="DP127" s="43"/>
      <c r="DQ127" s="43"/>
      <c r="DR127" s="43"/>
      <c r="DS127" s="43"/>
      <c r="DT127" s="43"/>
      <c r="DU127" s="43"/>
      <c r="DV127" s="43"/>
      <c r="DW127" s="43"/>
      <c r="DX127" s="43"/>
      <c r="DY127" s="43"/>
      <c r="DZ127" s="43"/>
      <c r="EA127" s="43"/>
      <c r="EB127" s="43"/>
      <c r="EC127" s="43"/>
      <c r="ED127" s="43"/>
      <c r="EE127" s="43"/>
      <c r="EF127" s="43"/>
      <c r="EG127" s="43"/>
      <c r="EH127" s="43"/>
      <c r="EI127" s="43"/>
      <c r="EJ127" s="43"/>
      <c r="EK127" s="43"/>
      <c r="EL127" s="43"/>
      <c r="EM127" s="43"/>
      <c r="EN127" s="43"/>
      <c r="EO127" s="43"/>
      <c r="EP127" s="43"/>
      <c r="EQ127" s="43"/>
      <c r="ER127" s="43"/>
      <c r="ES127" s="43"/>
      <c r="ET127" s="43"/>
      <c r="EU127" s="43"/>
      <c r="EV127" s="43"/>
      <c r="EW127" s="43"/>
      <c r="EX127" s="43"/>
      <c r="EY127" s="43"/>
      <c r="EZ127" s="43"/>
      <c r="FA127" s="43"/>
      <c r="FB127" s="43"/>
      <c r="FC127" s="43"/>
      <c r="FD127" s="43"/>
      <c r="FE127" s="43"/>
      <c r="FF127" s="43"/>
      <c r="FG127" s="43"/>
      <c r="FH127" s="43"/>
      <c r="FI127" s="43"/>
      <c r="FJ127" s="43"/>
      <c r="FK127" s="43"/>
      <c r="FL127" s="43"/>
      <c r="FM127" s="43"/>
      <c r="FN127" s="43"/>
      <c r="FO127" s="43"/>
      <c r="FP127" s="43"/>
      <c r="FQ127" s="43"/>
      <c r="FR127" s="43"/>
      <c r="FS127" s="43"/>
      <c r="FT127" s="43"/>
      <c r="FU127" s="43"/>
      <c r="FV127" s="43"/>
      <c r="FW127" s="43"/>
      <c r="FX127" s="43"/>
      <c r="FY127" s="43"/>
      <c r="FZ127" s="43"/>
      <c r="GA127" s="43"/>
      <c r="GB127" s="43"/>
      <c r="GC127" s="43"/>
      <c r="GD127" s="43"/>
      <c r="GE127" s="43"/>
      <c r="GF127" s="43"/>
      <c r="GG127" s="43"/>
      <c r="GH127" s="43"/>
      <c r="GI127" s="43"/>
      <c r="GJ127" s="43"/>
      <c r="GK127" s="43"/>
      <c r="GL127" s="43"/>
      <c r="GM127" s="43"/>
      <c r="GN127" s="43"/>
      <c r="GO127" s="43"/>
      <c r="GP127" s="43"/>
      <c r="GQ127" s="43"/>
      <c r="GR127" s="43"/>
      <c r="GS127" s="43"/>
      <c r="GT127" s="43"/>
      <c r="GU127" s="43"/>
      <c r="GV127" s="43"/>
      <c r="GW127" s="43"/>
      <c r="GX127" s="43"/>
      <c r="GY127" s="43"/>
      <c r="GZ127" s="43"/>
      <c r="HA127" s="43"/>
      <c r="HB127" s="43"/>
      <c r="HC127" s="43"/>
      <c r="HD127" s="43"/>
      <c r="HE127" s="43"/>
      <c r="HF127" s="43"/>
      <c r="HG127" s="43"/>
      <c r="HH127" s="43"/>
      <c r="HI127" s="43"/>
      <c r="HJ127" s="43"/>
      <c r="HK127" s="43"/>
      <c r="HL127" s="43"/>
      <c r="HM127" s="43"/>
      <c r="HN127" s="43"/>
      <c r="HO127" s="43"/>
      <c r="HP127" s="43"/>
      <c r="HQ127" s="43"/>
      <c r="HR127" s="43"/>
      <c r="HS127" s="43"/>
      <c r="HT127" s="43"/>
      <c r="HU127" s="43"/>
      <c r="HV127" s="43"/>
      <c r="HW127" s="43"/>
      <c r="HX127" s="43"/>
      <c r="HY127" s="43"/>
      <c r="HZ127" s="43"/>
      <c r="IA127" s="43"/>
      <c r="IB127" s="43"/>
      <c r="IC127" s="43"/>
      <c r="ID127" s="43"/>
      <c r="IE127" s="43"/>
      <c r="IF127" s="43"/>
      <c r="IG127" s="43"/>
      <c r="IH127" s="43"/>
      <c r="II127" s="43"/>
      <c r="IJ127" s="43"/>
      <c r="IK127" s="43"/>
      <c r="IL127" s="43"/>
      <c r="IM127" s="43"/>
      <c r="IN127" s="43"/>
      <c r="IO127" s="43"/>
      <c r="IP127" s="43"/>
      <c r="IQ127" s="43"/>
      <c r="IR127" s="43"/>
      <c r="IS127" s="43"/>
      <c r="IT127" s="43"/>
      <c r="IU127" s="43"/>
      <c r="IV127" s="43"/>
      <c r="IW127" s="43"/>
      <c r="IX127" s="43"/>
      <c r="IY127" s="43"/>
      <c r="IZ127" s="43"/>
      <c r="JA127" s="43"/>
      <c r="JB127" s="43"/>
      <c r="JC127" s="43"/>
      <c r="JD127" s="43"/>
      <c r="JE127" s="43"/>
      <c r="JF127" s="43"/>
      <c r="JG127" s="43"/>
      <c r="JH127" s="43"/>
      <c r="JI127" s="43"/>
      <c r="JJ127" s="43"/>
      <c r="JK127" s="43"/>
      <c r="JL127" s="43"/>
      <c r="JM127" s="43"/>
      <c r="JN127" s="43"/>
      <c r="JO127" s="43"/>
      <c r="JP127" s="43"/>
      <c r="JQ127" s="43"/>
      <c r="JR127" s="43"/>
      <c r="JS127" s="43"/>
      <c r="JT127" s="43"/>
      <c r="JU127" s="43"/>
      <c r="JV127" s="43"/>
      <c r="JW127" s="43"/>
      <c r="JX127" s="43"/>
      <c r="JY127" s="43"/>
      <c r="JZ127" s="43"/>
      <c r="KA127" s="43"/>
      <c r="KB127" s="43"/>
      <c r="KC127" s="43"/>
      <c r="KD127" s="43"/>
      <c r="KE127" s="43"/>
      <c r="KF127" s="43"/>
      <c r="KG127" s="43"/>
      <c r="KH127" s="43"/>
      <c r="KI127" s="43"/>
      <c r="KJ127" s="43"/>
      <c r="KK127" s="43"/>
      <c r="KL127" s="43"/>
      <c r="KM127" s="43"/>
      <c r="KN127" s="43"/>
      <c r="KO127" s="43"/>
      <c r="KP127" s="43"/>
      <c r="KQ127" s="43"/>
      <c r="KR127" s="43"/>
      <c r="KS127" s="43"/>
      <c r="KT127" s="43"/>
      <c r="KU127" s="43"/>
      <c r="KV127" s="43"/>
      <c r="KW127" s="43"/>
      <c r="KX127" s="43"/>
      <c r="KY127" s="43"/>
      <c r="KZ127" s="43"/>
      <c r="LA127" s="43"/>
      <c r="LB127" s="43"/>
      <c r="LC127" s="43"/>
      <c r="LD127" s="43"/>
      <c r="LE127" s="43"/>
      <c r="LF127" s="43"/>
      <c r="LG127" s="43"/>
      <c r="LH127" s="43"/>
      <c r="LI127" s="43"/>
      <c r="LJ127" s="43"/>
      <c r="LK127" s="43"/>
      <c r="LL127" s="43"/>
      <c r="LM127" s="43"/>
      <c r="LN127" s="43"/>
      <c r="LO127" s="43"/>
      <c r="LP127" s="43"/>
      <c r="LQ127" s="43"/>
      <c r="LR127" s="43"/>
      <c r="LS127" s="43"/>
      <c r="LT127" s="43"/>
      <c r="LU127" s="43"/>
      <c r="LV127" s="43"/>
      <c r="LW127" s="43"/>
      <c r="LX127" s="43"/>
      <c r="LY127" s="43"/>
      <c r="LZ127" s="43"/>
      <c r="MA127" s="43"/>
      <c r="MB127" s="43"/>
      <c r="MC127" s="43"/>
      <c r="MD127" s="43"/>
      <c r="ME127" s="43"/>
      <c r="MF127" s="43"/>
      <c r="MG127" s="43"/>
      <c r="MH127" s="43"/>
      <c r="MI127" s="43"/>
      <c r="MJ127" s="43"/>
      <c r="MK127" s="43"/>
      <c r="ML127" s="43"/>
      <c r="MM127" s="43"/>
      <c r="MN127" s="43"/>
      <c r="MO127" s="43"/>
      <c r="MP127" s="43"/>
      <c r="MQ127" s="43"/>
      <c r="MR127" s="43"/>
      <c r="MS127" s="43"/>
      <c r="MT127" s="43"/>
      <c r="MU127" s="43"/>
      <c r="MV127" s="43"/>
      <c r="MW127" s="43"/>
      <c r="MX127" s="43"/>
      <c r="MY127" s="43"/>
      <c r="MZ127" s="43"/>
      <c r="NA127" s="43"/>
      <c r="NB127" s="43"/>
      <c r="NC127" s="43"/>
      <c r="ND127" s="43"/>
      <c r="NE127" s="43"/>
      <c r="NF127" s="43"/>
      <c r="NG127" s="43"/>
      <c r="NH127" s="43"/>
      <c r="NI127" s="43"/>
      <c r="NJ127" s="43"/>
      <c r="NK127" s="43"/>
      <c r="NL127" s="43"/>
      <c r="NM127" s="43"/>
      <c r="NN127" s="43"/>
      <c r="NO127" s="43"/>
      <c r="NP127" s="43"/>
      <c r="NQ127" s="43"/>
      <c r="NR127" s="43"/>
      <c r="NS127" s="43"/>
      <c r="NT127" s="43"/>
      <c r="NU127" s="43"/>
      <c r="NV127" s="43"/>
      <c r="NW127" s="43"/>
      <c r="NX127" s="43"/>
      <c r="NY127" s="43"/>
      <c r="NZ127" s="43"/>
      <c r="OA127" s="43"/>
      <c r="OB127" s="43"/>
      <c r="OC127" s="43"/>
      <c r="OD127" s="43"/>
      <c r="OE127" s="43"/>
      <c r="OF127" s="43"/>
      <c r="OG127" s="43"/>
      <c r="OH127" s="43"/>
      <c r="OI127" s="43"/>
      <c r="OJ127" s="43"/>
      <c r="OK127" s="43"/>
      <c r="OL127" s="43"/>
      <c r="OM127" s="43"/>
      <c r="ON127" s="43"/>
      <c r="OO127" s="43"/>
      <c r="OP127" s="43"/>
      <c r="OQ127" s="43"/>
      <c r="OR127" s="43"/>
      <c r="OS127" s="43"/>
      <c r="OT127" s="43"/>
      <c r="OU127" s="43"/>
      <c r="OV127" s="43"/>
      <c r="OW127" s="43"/>
      <c r="OX127" s="43"/>
      <c r="OY127" s="43"/>
      <c r="OZ127" s="43"/>
      <c r="PA127" s="43"/>
      <c r="PB127" s="43"/>
      <c r="PC127" s="43"/>
      <c r="PD127" s="43"/>
      <c r="PE127" s="43"/>
      <c r="PF127" s="43"/>
      <c r="PG127" s="43"/>
      <c r="PH127" s="43"/>
      <c r="PI127" s="43"/>
      <c r="PJ127" s="43"/>
      <c r="PK127" s="43"/>
      <c r="PL127" s="43"/>
      <c r="PM127" s="43"/>
      <c r="PN127" s="43"/>
      <c r="PO127" s="43"/>
      <c r="PP127" s="43"/>
      <c r="PQ127" s="43"/>
      <c r="PR127" s="43"/>
      <c r="PS127" s="43"/>
      <c r="PT127" s="43"/>
      <c r="PU127" s="43"/>
      <c r="PV127" s="43"/>
      <c r="PW127" s="43"/>
      <c r="PX127" s="43"/>
      <c r="PY127" s="43"/>
      <c r="PZ127" s="43"/>
      <c r="QA127" s="43"/>
      <c r="QB127" s="43"/>
      <c r="QC127" s="43"/>
    </row>
    <row r="128" spans="1:445" x14ac:dyDescent="0.3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6" t="str">
        <f t="shared" si="7"/>
        <v/>
      </c>
      <c r="U128" s="46" t="str">
        <f t="shared" si="8"/>
        <v/>
      </c>
      <c r="V128" s="72" t="str">
        <f t="shared" si="9"/>
        <v/>
      </c>
      <c r="W128" s="48"/>
      <c r="X128" s="73" t="str">
        <f t="shared" si="11"/>
        <v/>
      </c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43"/>
      <c r="BN128" s="43"/>
      <c r="BO128" s="43"/>
      <c r="BP128" s="43"/>
      <c r="BQ128" s="43"/>
      <c r="BR128" s="43"/>
      <c r="BS128" s="43"/>
      <c r="BT128" s="43"/>
      <c r="BU128" s="43"/>
      <c r="BV128" s="43"/>
      <c r="BW128" s="43"/>
      <c r="BX128" s="43"/>
      <c r="BY128" s="43"/>
      <c r="BZ128" s="43"/>
      <c r="CA128" s="43"/>
      <c r="CB128" s="43"/>
      <c r="CC128" s="43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43"/>
      <c r="CY128" s="43"/>
      <c r="CZ128" s="43"/>
      <c r="DA128" s="43"/>
      <c r="DB128" s="43"/>
      <c r="DC128" s="43"/>
      <c r="DD128" s="43"/>
      <c r="DE128" s="43"/>
      <c r="DF128" s="43"/>
      <c r="DG128" s="43"/>
      <c r="DH128" s="43"/>
      <c r="DI128" s="43"/>
      <c r="DJ128" s="43"/>
      <c r="DK128" s="43"/>
      <c r="DL128" s="43"/>
      <c r="DM128" s="43"/>
      <c r="DN128" s="43"/>
      <c r="DO128" s="43"/>
      <c r="DP128" s="43"/>
      <c r="DQ128" s="43"/>
      <c r="DR128" s="43"/>
      <c r="DS128" s="43"/>
      <c r="DT128" s="43"/>
      <c r="DU128" s="43"/>
      <c r="DV128" s="43"/>
      <c r="DW128" s="43"/>
      <c r="DX128" s="43"/>
      <c r="DY128" s="43"/>
      <c r="DZ128" s="43"/>
      <c r="EA128" s="43"/>
      <c r="EB128" s="43"/>
      <c r="EC128" s="43"/>
      <c r="ED128" s="43"/>
      <c r="EE128" s="43"/>
      <c r="EF128" s="43"/>
      <c r="EG128" s="43"/>
      <c r="EH128" s="43"/>
      <c r="EI128" s="43"/>
      <c r="EJ128" s="43"/>
      <c r="EK128" s="43"/>
      <c r="EL128" s="43"/>
      <c r="EM128" s="43"/>
      <c r="EN128" s="43"/>
      <c r="EO128" s="43"/>
      <c r="EP128" s="43"/>
      <c r="EQ128" s="43"/>
      <c r="ER128" s="43"/>
      <c r="ES128" s="43"/>
      <c r="ET128" s="43"/>
      <c r="EU128" s="43"/>
      <c r="EV128" s="43"/>
      <c r="EW128" s="43"/>
      <c r="EX128" s="43"/>
      <c r="EY128" s="43"/>
      <c r="EZ128" s="43"/>
      <c r="FA128" s="43"/>
      <c r="FB128" s="43"/>
      <c r="FC128" s="43"/>
      <c r="FD128" s="43"/>
      <c r="FE128" s="43"/>
      <c r="FF128" s="43"/>
      <c r="FG128" s="43"/>
      <c r="FH128" s="43"/>
      <c r="FI128" s="43"/>
      <c r="FJ128" s="43"/>
      <c r="FK128" s="43"/>
      <c r="FL128" s="43"/>
      <c r="FM128" s="43"/>
      <c r="FN128" s="43"/>
      <c r="FO128" s="43"/>
      <c r="FP128" s="43"/>
      <c r="FQ128" s="43"/>
      <c r="FR128" s="43"/>
      <c r="FS128" s="43"/>
      <c r="FT128" s="43"/>
      <c r="FU128" s="43"/>
      <c r="FV128" s="43"/>
      <c r="FW128" s="43"/>
      <c r="FX128" s="43"/>
      <c r="FY128" s="43"/>
      <c r="FZ128" s="43"/>
      <c r="GA128" s="43"/>
      <c r="GB128" s="43"/>
      <c r="GC128" s="43"/>
      <c r="GD128" s="43"/>
      <c r="GE128" s="43"/>
      <c r="GF128" s="43"/>
      <c r="GG128" s="43"/>
      <c r="GH128" s="43"/>
      <c r="GI128" s="43"/>
      <c r="GJ128" s="43"/>
      <c r="GK128" s="43"/>
      <c r="GL128" s="43"/>
      <c r="GM128" s="43"/>
      <c r="GN128" s="43"/>
      <c r="GO128" s="43"/>
      <c r="GP128" s="43"/>
      <c r="GQ128" s="43"/>
      <c r="GR128" s="43"/>
      <c r="GS128" s="43"/>
      <c r="GT128" s="43"/>
      <c r="GU128" s="43"/>
      <c r="GV128" s="43"/>
      <c r="GW128" s="43"/>
      <c r="GX128" s="43"/>
      <c r="GY128" s="43"/>
      <c r="GZ128" s="43"/>
      <c r="HA128" s="43"/>
      <c r="HB128" s="43"/>
      <c r="HC128" s="43"/>
      <c r="HD128" s="43"/>
      <c r="HE128" s="43"/>
      <c r="HF128" s="43"/>
      <c r="HG128" s="43"/>
      <c r="HH128" s="43"/>
      <c r="HI128" s="43"/>
      <c r="HJ128" s="43"/>
      <c r="HK128" s="43"/>
      <c r="HL128" s="43"/>
      <c r="HM128" s="43"/>
      <c r="HN128" s="43"/>
      <c r="HO128" s="43"/>
      <c r="HP128" s="43"/>
      <c r="HQ128" s="43"/>
      <c r="HR128" s="43"/>
      <c r="HS128" s="43"/>
      <c r="HT128" s="43"/>
      <c r="HU128" s="43"/>
      <c r="HV128" s="43"/>
      <c r="HW128" s="43"/>
      <c r="HX128" s="43"/>
      <c r="HY128" s="43"/>
      <c r="HZ128" s="43"/>
      <c r="IA128" s="43"/>
      <c r="IB128" s="43"/>
      <c r="IC128" s="43"/>
      <c r="ID128" s="43"/>
      <c r="IE128" s="43"/>
      <c r="IF128" s="43"/>
      <c r="IG128" s="43"/>
      <c r="IH128" s="43"/>
      <c r="II128" s="43"/>
      <c r="IJ128" s="43"/>
      <c r="IK128" s="43"/>
      <c r="IL128" s="43"/>
      <c r="IM128" s="43"/>
      <c r="IN128" s="43"/>
      <c r="IO128" s="43"/>
      <c r="IP128" s="43"/>
      <c r="IQ128" s="43"/>
      <c r="IR128" s="43"/>
      <c r="IS128" s="43"/>
      <c r="IT128" s="43"/>
      <c r="IU128" s="43"/>
      <c r="IV128" s="43"/>
      <c r="IW128" s="43"/>
      <c r="IX128" s="43"/>
      <c r="IY128" s="43"/>
      <c r="IZ128" s="43"/>
      <c r="JA128" s="43"/>
      <c r="JB128" s="43"/>
      <c r="JC128" s="43"/>
      <c r="JD128" s="43"/>
      <c r="JE128" s="43"/>
      <c r="JF128" s="43"/>
      <c r="JG128" s="43"/>
      <c r="JH128" s="43"/>
      <c r="JI128" s="43"/>
      <c r="JJ128" s="43"/>
      <c r="JK128" s="43"/>
      <c r="JL128" s="43"/>
      <c r="JM128" s="43"/>
      <c r="JN128" s="43"/>
      <c r="JO128" s="43"/>
      <c r="JP128" s="43"/>
      <c r="JQ128" s="43"/>
      <c r="JR128" s="43"/>
      <c r="JS128" s="43"/>
      <c r="JT128" s="43"/>
      <c r="JU128" s="43"/>
      <c r="JV128" s="43"/>
      <c r="JW128" s="43"/>
      <c r="JX128" s="43"/>
      <c r="JY128" s="43"/>
      <c r="JZ128" s="43"/>
      <c r="KA128" s="43"/>
      <c r="KB128" s="43"/>
      <c r="KC128" s="43"/>
      <c r="KD128" s="43"/>
      <c r="KE128" s="43"/>
      <c r="KF128" s="43"/>
      <c r="KG128" s="43"/>
      <c r="KH128" s="43"/>
      <c r="KI128" s="43"/>
      <c r="KJ128" s="43"/>
      <c r="KK128" s="43"/>
      <c r="KL128" s="43"/>
      <c r="KM128" s="43"/>
      <c r="KN128" s="43"/>
      <c r="KO128" s="43"/>
      <c r="KP128" s="43"/>
      <c r="KQ128" s="43"/>
      <c r="KR128" s="43"/>
      <c r="KS128" s="43"/>
      <c r="KT128" s="43"/>
      <c r="KU128" s="43"/>
      <c r="KV128" s="43"/>
      <c r="KW128" s="43"/>
      <c r="KX128" s="43"/>
      <c r="KY128" s="43"/>
      <c r="KZ128" s="43"/>
      <c r="LA128" s="43"/>
      <c r="LB128" s="43"/>
      <c r="LC128" s="43"/>
      <c r="LD128" s="43"/>
      <c r="LE128" s="43"/>
      <c r="LF128" s="43"/>
      <c r="LG128" s="43"/>
      <c r="LH128" s="43"/>
      <c r="LI128" s="43"/>
      <c r="LJ128" s="43"/>
      <c r="LK128" s="43"/>
      <c r="LL128" s="43"/>
      <c r="LM128" s="43"/>
      <c r="LN128" s="43"/>
      <c r="LO128" s="43"/>
      <c r="LP128" s="43"/>
      <c r="LQ128" s="43"/>
      <c r="LR128" s="43"/>
      <c r="LS128" s="43"/>
      <c r="LT128" s="43"/>
      <c r="LU128" s="43"/>
      <c r="LV128" s="43"/>
      <c r="LW128" s="43"/>
      <c r="LX128" s="43"/>
      <c r="LY128" s="43"/>
      <c r="LZ128" s="43"/>
      <c r="MA128" s="43"/>
      <c r="MB128" s="43"/>
      <c r="MC128" s="43"/>
      <c r="MD128" s="43"/>
      <c r="ME128" s="43"/>
      <c r="MF128" s="43"/>
      <c r="MG128" s="43"/>
      <c r="MH128" s="43"/>
      <c r="MI128" s="43"/>
      <c r="MJ128" s="43"/>
      <c r="MK128" s="43"/>
      <c r="ML128" s="43"/>
      <c r="MM128" s="43"/>
      <c r="MN128" s="43"/>
      <c r="MO128" s="43"/>
      <c r="MP128" s="43"/>
      <c r="MQ128" s="43"/>
      <c r="MR128" s="43"/>
      <c r="MS128" s="43"/>
      <c r="MT128" s="43"/>
      <c r="MU128" s="43"/>
      <c r="MV128" s="43"/>
      <c r="MW128" s="43"/>
      <c r="MX128" s="43"/>
      <c r="MY128" s="43"/>
      <c r="MZ128" s="43"/>
      <c r="NA128" s="43"/>
      <c r="NB128" s="43"/>
      <c r="NC128" s="43"/>
      <c r="ND128" s="43"/>
      <c r="NE128" s="43"/>
      <c r="NF128" s="43"/>
      <c r="NG128" s="43"/>
      <c r="NH128" s="43"/>
      <c r="NI128" s="43"/>
      <c r="NJ128" s="43"/>
      <c r="NK128" s="43"/>
      <c r="NL128" s="43"/>
      <c r="NM128" s="43"/>
      <c r="NN128" s="43"/>
      <c r="NO128" s="43"/>
      <c r="NP128" s="43"/>
      <c r="NQ128" s="43"/>
      <c r="NR128" s="43"/>
      <c r="NS128" s="43"/>
      <c r="NT128" s="43"/>
      <c r="NU128" s="43"/>
      <c r="NV128" s="43"/>
      <c r="NW128" s="43"/>
      <c r="NX128" s="43"/>
      <c r="NY128" s="43"/>
      <c r="NZ128" s="43"/>
      <c r="OA128" s="43"/>
      <c r="OB128" s="43"/>
      <c r="OC128" s="43"/>
      <c r="OD128" s="43"/>
      <c r="OE128" s="43"/>
      <c r="OF128" s="43"/>
      <c r="OG128" s="43"/>
      <c r="OH128" s="43"/>
      <c r="OI128" s="43"/>
      <c r="OJ128" s="43"/>
      <c r="OK128" s="43"/>
      <c r="OL128" s="43"/>
      <c r="OM128" s="43"/>
      <c r="ON128" s="43"/>
      <c r="OO128" s="43"/>
      <c r="OP128" s="43"/>
      <c r="OQ128" s="43"/>
      <c r="OR128" s="43"/>
      <c r="OS128" s="43"/>
      <c r="OT128" s="43"/>
      <c r="OU128" s="43"/>
      <c r="OV128" s="43"/>
      <c r="OW128" s="43"/>
      <c r="OX128" s="43"/>
      <c r="OY128" s="43"/>
      <c r="OZ128" s="43"/>
      <c r="PA128" s="43"/>
      <c r="PB128" s="43"/>
      <c r="PC128" s="43"/>
      <c r="PD128" s="43"/>
      <c r="PE128" s="43"/>
      <c r="PF128" s="43"/>
      <c r="PG128" s="43"/>
      <c r="PH128" s="43"/>
      <c r="PI128" s="43"/>
      <c r="PJ128" s="43"/>
      <c r="PK128" s="43"/>
      <c r="PL128" s="43"/>
      <c r="PM128" s="43"/>
      <c r="PN128" s="43"/>
      <c r="PO128" s="43"/>
      <c r="PP128" s="43"/>
      <c r="PQ128" s="43"/>
      <c r="PR128" s="43"/>
      <c r="PS128" s="43"/>
      <c r="PT128" s="43"/>
      <c r="PU128" s="43"/>
      <c r="PV128" s="43"/>
      <c r="PW128" s="43"/>
      <c r="PX128" s="43"/>
      <c r="PY128" s="43"/>
      <c r="PZ128" s="43"/>
      <c r="QA128" s="43"/>
      <c r="QB128" s="43"/>
      <c r="QC128" s="43"/>
    </row>
    <row r="129" spans="1:445" x14ac:dyDescent="0.3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6" t="str">
        <f t="shared" si="7"/>
        <v/>
      </c>
      <c r="U129" s="46" t="str">
        <f t="shared" si="8"/>
        <v/>
      </c>
      <c r="V129" s="72" t="str">
        <f t="shared" si="9"/>
        <v/>
      </c>
      <c r="W129" s="48"/>
      <c r="X129" s="73" t="str">
        <f t="shared" si="11"/>
        <v/>
      </c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43"/>
      <c r="BN129" s="43"/>
      <c r="BO129" s="43"/>
      <c r="BP129" s="43"/>
      <c r="BQ129" s="43"/>
      <c r="BR129" s="43"/>
      <c r="BS129" s="43"/>
      <c r="BT129" s="43"/>
      <c r="BU129" s="43"/>
      <c r="BV129" s="43"/>
      <c r="BW129" s="43"/>
      <c r="BX129" s="43"/>
      <c r="BY129" s="43"/>
      <c r="BZ129" s="43"/>
      <c r="CA129" s="43"/>
      <c r="CB129" s="43"/>
      <c r="CC129" s="43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43"/>
      <c r="CY129" s="43"/>
      <c r="CZ129" s="43"/>
      <c r="DA129" s="43"/>
      <c r="DB129" s="43"/>
      <c r="DC129" s="43"/>
      <c r="DD129" s="43"/>
      <c r="DE129" s="43"/>
      <c r="DF129" s="43"/>
      <c r="DG129" s="43"/>
      <c r="DH129" s="43"/>
      <c r="DI129" s="43"/>
      <c r="DJ129" s="43"/>
      <c r="DK129" s="43"/>
      <c r="DL129" s="43"/>
      <c r="DM129" s="43"/>
      <c r="DN129" s="43"/>
      <c r="DO129" s="43"/>
      <c r="DP129" s="43"/>
      <c r="DQ129" s="43"/>
      <c r="DR129" s="43"/>
      <c r="DS129" s="43"/>
      <c r="DT129" s="43"/>
      <c r="DU129" s="43"/>
      <c r="DV129" s="43"/>
      <c r="DW129" s="43"/>
      <c r="DX129" s="43"/>
      <c r="DY129" s="43"/>
      <c r="DZ129" s="43"/>
      <c r="EA129" s="43"/>
      <c r="EB129" s="43"/>
      <c r="EC129" s="43"/>
      <c r="ED129" s="43"/>
      <c r="EE129" s="43"/>
      <c r="EF129" s="43"/>
      <c r="EG129" s="43"/>
      <c r="EH129" s="43"/>
      <c r="EI129" s="43"/>
      <c r="EJ129" s="43"/>
      <c r="EK129" s="43"/>
      <c r="EL129" s="43"/>
      <c r="EM129" s="43"/>
      <c r="EN129" s="43"/>
      <c r="EO129" s="43"/>
      <c r="EP129" s="43"/>
      <c r="EQ129" s="43"/>
      <c r="ER129" s="43"/>
      <c r="ES129" s="43"/>
      <c r="ET129" s="43"/>
      <c r="EU129" s="43"/>
      <c r="EV129" s="43"/>
      <c r="EW129" s="43"/>
      <c r="EX129" s="43"/>
      <c r="EY129" s="43"/>
      <c r="EZ129" s="43"/>
      <c r="FA129" s="43"/>
      <c r="FB129" s="43"/>
      <c r="FC129" s="43"/>
      <c r="FD129" s="43"/>
      <c r="FE129" s="43"/>
      <c r="FF129" s="43"/>
      <c r="FG129" s="43"/>
      <c r="FH129" s="43"/>
      <c r="FI129" s="43"/>
      <c r="FJ129" s="43"/>
      <c r="FK129" s="43"/>
      <c r="FL129" s="43"/>
      <c r="FM129" s="43"/>
      <c r="FN129" s="43"/>
      <c r="FO129" s="43"/>
      <c r="FP129" s="43"/>
      <c r="FQ129" s="43"/>
      <c r="FR129" s="43"/>
      <c r="FS129" s="43"/>
      <c r="FT129" s="43"/>
      <c r="FU129" s="43"/>
      <c r="FV129" s="43"/>
      <c r="FW129" s="43"/>
      <c r="FX129" s="43"/>
      <c r="FY129" s="43"/>
      <c r="FZ129" s="43"/>
      <c r="GA129" s="43"/>
      <c r="GB129" s="43"/>
      <c r="GC129" s="43"/>
      <c r="GD129" s="43"/>
      <c r="GE129" s="43"/>
      <c r="GF129" s="43"/>
      <c r="GG129" s="43"/>
      <c r="GH129" s="43"/>
      <c r="GI129" s="43"/>
      <c r="GJ129" s="43"/>
      <c r="GK129" s="43"/>
      <c r="GL129" s="43"/>
      <c r="GM129" s="43"/>
      <c r="GN129" s="43"/>
      <c r="GO129" s="43"/>
      <c r="GP129" s="43"/>
      <c r="GQ129" s="43"/>
      <c r="GR129" s="43"/>
      <c r="GS129" s="43"/>
      <c r="GT129" s="43"/>
      <c r="GU129" s="43"/>
      <c r="GV129" s="43"/>
      <c r="GW129" s="43"/>
      <c r="GX129" s="43"/>
      <c r="GY129" s="43"/>
      <c r="GZ129" s="43"/>
      <c r="HA129" s="43"/>
      <c r="HB129" s="43"/>
      <c r="HC129" s="43"/>
      <c r="HD129" s="43"/>
      <c r="HE129" s="43"/>
      <c r="HF129" s="43"/>
      <c r="HG129" s="43"/>
      <c r="HH129" s="43"/>
      <c r="HI129" s="43"/>
      <c r="HJ129" s="43"/>
      <c r="HK129" s="43"/>
      <c r="HL129" s="43"/>
      <c r="HM129" s="43"/>
      <c r="HN129" s="43"/>
      <c r="HO129" s="43"/>
      <c r="HP129" s="43"/>
      <c r="HQ129" s="43"/>
      <c r="HR129" s="43"/>
      <c r="HS129" s="43"/>
      <c r="HT129" s="43"/>
      <c r="HU129" s="43"/>
      <c r="HV129" s="43"/>
      <c r="HW129" s="43"/>
      <c r="HX129" s="43"/>
      <c r="HY129" s="43"/>
      <c r="HZ129" s="43"/>
      <c r="IA129" s="43"/>
      <c r="IB129" s="43"/>
      <c r="IC129" s="43"/>
      <c r="ID129" s="43"/>
      <c r="IE129" s="43"/>
      <c r="IF129" s="43"/>
      <c r="IG129" s="43"/>
      <c r="IH129" s="43"/>
      <c r="II129" s="43"/>
      <c r="IJ129" s="43"/>
      <c r="IK129" s="43"/>
      <c r="IL129" s="43"/>
      <c r="IM129" s="43"/>
      <c r="IN129" s="43"/>
      <c r="IO129" s="43"/>
      <c r="IP129" s="43"/>
      <c r="IQ129" s="43"/>
      <c r="IR129" s="43"/>
      <c r="IS129" s="43"/>
      <c r="IT129" s="43"/>
      <c r="IU129" s="43"/>
      <c r="IV129" s="43"/>
      <c r="IW129" s="43"/>
      <c r="IX129" s="43"/>
      <c r="IY129" s="43"/>
      <c r="IZ129" s="43"/>
      <c r="JA129" s="43"/>
      <c r="JB129" s="43"/>
      <c r="JC129" s="43"/>
      <c r="JD129" s="43"/>
      <c r="JE129" s="43"/>
      <c r="JF129" s="43"/>
      <c r="JG129" s="43"/>
      <c r="JH129" s="43"/>
      <c r="JI129" s="43"/>
      <c r="JJ129" s="43"/>
      <c r="JK129" s="43"/>
      <c r="JL129" s="43"/>
      <c r="JM129" s="43"/>
      <c r="JN129" s="43"/>
      <c r="JO129" s="43"/>
      <c r="JP129" s="43"/>
      <c r="JQ129" s="43"/>
      <c r="JR129" s="43"/>
      <c r="JS129" s="43"/>
      <c r="JT129" s="43"/>
      <c r="JU129" s="43"/>
      <c r="JV129" s="43"/>
      <c r="JW129" s="43"/>
      <c r="JX129" s="43"/>
      <c r="JY129" s="43"/>
      <c r="JZ129" s="43"/>
      <c r="KA129" s="43"/>
      <c r="KB129" s="43"/>
      <c r="KC129" s="43"/>
      <c r="KD129" s="43"/>
      <c r="KE129" s="43"/>
      <c r="KF129" s="43"/>
      <c r="KG129" s="43"/>
      <c r="KH129" s="43"/>
      <c r="KI129" s="43"/>
      <c r="KJ129" s="43"/>
      <c r="KK129" s="43"/>
      <c r="KL129" s="43"/>
      <c r="KM129" s="43"/>
      <c r="KN129" s="43"/>
      <c r="KO129" s="43"/>
      <c r="KP129" s="43"/>
      <c r="KQ129" s="43"/>
      <c r="KR129" s="43"/>
      <c r="KS129" s="43"/>
      <c r="KT129" s="43"/>
      <c r="KU129" s="43"/>
      <c r="KV129" s="43"/>
      <c r="KW129" s="43"/>
      <c r="KX129" s="43"/>
      <c r="KY129" s="43"/>
      <c r="KZ129" s="43"/>
      <c r="LA129" s="43"/>
      <c r="LB129" s="43"/>
      <c r="LC129" s="43"/>
      <c r="LD129" s="43"/>
      <c r="LE129" s="43"/>
      <c r="LF129" s="43"/>
      <c r="LG129" s="43"/>
      <c r="LH129" s="43"/>
      <c r="LI129" s="43"/>
      <c r="LJ129" s="43"/>
      <c r="LK129" s="43"/>
      <c r="LL129" s="43"/>
      <c r="LM129" s="43"/>
      <c r="LN129" s="43"/>
      <c r="LO129" s="43"/>
      <c r="LP129" s="43"/>
      <c r="LQ129" s="43"/>
      <c r="LR129" s="43"/>
      <c r="LS129" s="43"/>
      <c r="LT129" s="43"/>
      <c r="LU129" s="43"/>
      <c r="LV129" s="43"/>
      <c r="LW129" s="43"/>
      <c r="LX129" s="43"/>
      <c r="LY129" s="43"/>
      <c r="LZ129" s="43"/>
      <c r="MA129" s="43"/>
      <c r="MB129" s="43"/>
      <c r="MC129" s="43"/>
      <c r="MD129" s="43"/>
      <c r="ME129" s="43"/>
      <c r="MF129" s="43"/>
      <c r="MG129" s="43"/>
      <c r="MH129" s="43"/>
      <c r="MI129" s="43"/>
      <c r="MJ129" s="43"/>
      <c r="MK129" s="43"/>
      <c r="ML129" s="43"/>
      <c r="MM129" s="43"/>
      <c r="MN129" s="43"/>
      <c r="MO129" s="43"/>
      <c r="MP129" s="43"/>
      <c r="MQ129" s="43"/>
      <c r="MR129" s="43"/>
      <c r="MS129" s="43"/>
      <c r="MT129" s="43"/>
      <c r="MU129" s="43"/>
      <c r="MV129" s="43"/>
      <c r="MW129" s="43"/>
      <c r="MX129" s="43"/>
      <c r="MY129" s="43"/>
      <c r="MZ129" s="43"/>
      <c r="NA129" s="43"/>
      <c r="NB129" s="43"/>
      <c r="NC129" s="43"/>
      <c r="ND129" s="43"/>
      <c r="NE129" s="43"/>
      <c r="NF129" s="43"/>
      <c r="NG129" s="43"/>
      <c r="NH129" s="43"/>
      <c r="NI129" s="43"/>
      <c r="NJ129" s="43"/>
      <c r="NK129" s="43"/>
      <c r="NL129" s="43"/>
      <c r="NM129" s="43"/>
      <c r="NN129" s="43"/>
      <c r="NO129" s="43"/>
      <c r="NP129" s="43"/>
      <c r="NQ129" s="43"/>
      <c r="NR129" s="43"/>
      <c r="NS129" s="43"/>
      <c r="NT129" s="43"/>
      <c r="NU129" s="43"/>
      <c r="NV129" s="43"/>
      <c r="NW129" s="43"/>
      <c r="NX129" s="43"/>
      <c r="NY129" s="43"/>
      <c r="NZ129" s="43"/>
      <c r="OA129" s="43"/>
      <c r="OB129" s="43"/>
      <c r="OC129" s="43"/>
      <c r="OD129" s="43"/>
      <c r="OE129" s="43"/>
      <c r="OF129" s="43"/>
      <c r="OG129" s="43"/>
      <c r="OH129" s="43"/>
      <c r="OI129" s="43"/>
      <c r="OJ129" s="43"/>
      <c r="OK129" s="43"/>
      <c r="OL129" s="43"/>
      <c r="OM129" s="43"/>
      <c r="ON129" s="43"/>
      <c r="OO129" s="43"/>
      <c r="OP129" s="43"/>
      <c r="OQ129" s="43"/>
      <c r="OR129" s="43"/>
      <c r="OS129" s="43"/>
      <c r="OT129" s="43"/>
      <c r="OU129" s="43"/>
      <c r="OV129" s="43"/>
      <c r="OW129" s="43"/>
      <c r="OX129" s="43"/>
      <c r="OY129" s="43"/>
      <c r="OZ129" s="43"/>
      <c r="PA129" s="43"/>
      <c r="PB129" s="43"/>
      <c r="PC129" s="43"/>
      <c r="PD129" s="43"/>
      <c r="PE129" s="43"/>
      <c r="PF129" s="43"/>
      <c r="PG129" s="43"/>
      <c r="PH129" s="43"/>
      <c r="PI129" s="43"/>
      <c r="PJ129" s="43"/>
      <c r="PK129" s="43"/>
      <c r="PL129" s="43"/>
      <c r="PM129" s="43"/>
      <c r="PN129" s="43"/>
      <c r="PO129" s="43"/>
      <c r="PP129" s="43"/>
      <c r="PQ129" s="43"/>
      <c r="PR129" s="43"/>
      <c r="PS129" s="43"/>
      <c r="PT129" s="43"/>
      <c r="PU129" s="43"/>
      <c r="PV129" s="43"/>
      <c r="PW129" s="43"/>
      <c r="PX129" s="43"/>
      <c r="PY129" s="43"/>
      <c r="PZ129" s="43"/>
      <c r="QA129" s="43"/>
      <c r="QB129" s="43"/>
      <c r="QC129" s="43"/>
    </row>
    <row r="130" spans="1:445" x14ac:dyDescent="0.3"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6" t="str">
        <f t="shared" si="7"/>
        <v/>
      </c>
      <c r="U130" s="46" t="str">
        <f t="shared" si="8"/>
        <v/>
      </c>
      <c r="V130" s="72" t="str">
        <f t="shared" si="9"/>
        <v/>
      </c>
      <c r="X130" s="73" t="str">
        <f t="shared" si="11"/>
        <v/>
      </c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43"/>
      <c r="BN130" s="43"/>
      <c r="BO130" s="43"/>
      <c r="BP130" s="43"/>
      <c r="BQ130" s="43"/>
      <c r="BR130" s="43"/>
      <c r="BS130" s="43"/>
      <c r="BT130" s="43"/>
      <c r="BU130" s="43"/>
      <c r="BV130" s="43"/>
      <c r="BW130" s="43"/>
      <c r="BX130" s="43"/>
      <c r="BY130" s="43"/>
      <c r="BZ130" s="43"/>
      <c r="CA130" s="43"/>
      <c r="CB130" s="43"/>
      <c r="CC130" s="4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43"/>
      <c r="CY130" s="43"/>
      <c r="CZ130" s="43"/>
      <c r="DA130" s="43"/>
      <c r="DB130" s="43"/>
      <c r="DC130" s="43"/>
      <c r="DD130" s="43"/>
      <c r="DE130" s="43"/>
      <c r="DF130" s="43"/>
      <c r="DG130" s="43"/>
      <c r="DH130" s="43"/>
      <c r="DI130" s="43"/>
      <c r="DJ130" s="43"/>
      <c r="DK130" s="43"/>
      <c r="DL130" s="43"/>
      <c r="DM130" s="43"/>
      <c r="DN130" s="43"/>
      <c r="DO130" s="43"/>
      <c r="DP130" s="43"/>
      <c r="DQ130" s="43"/>
      <c r="DR130" s="43"/>
      <c r="DS130" s="43"/>
      <c r="DT130" s="43"/>
      <c r="DU130" s="43"/>
      <c r="DV130" s="43"/>
      <c r="DW130" s="43"/>
      <c r="DX130" s="43"/>
      <c r="DY130" s="43"/>
      <c r="DZ130" s="43"/>
      <c r="EA130" s="43"/>
      <c r="EB130" s="43"/>
      <c r="EC130" s="43"/>
      <c r="ED130" s="43"/>
      <c r="EE130" s="43"/>
      <c r="EF130" s="43"/>
      <c r="EG130" s="43"/>
      <c r="EH130" s="43"/>
      <c r="EI130" s="43"/>
      <c r="EJ130" s="43"/>
      <c r="EK130" s="43"/>
      <c r="EL130" s="43"/>
      <c r="EM130" s="43"/>
      <c r="EN130" s="43"/>
      <c r="EO130" s="43"/>
      <c r="EP130" s="43"/>
      <c r="EQ130" s="43"/>
      <c r="ER130" s="43"/>
      <c r="ES130" s="43"/>
      <c r="ET130" s="43"/>
      <c r="EU130" s="43"/>
      <c r="EV130" s="43"/>
      <c r="EW130" s="43"/>
      <c r="EX130" s="43"/>
      <c r="EY130" s="43"/>
      <c r="EZ130" s="43"/>
      <c r="FA130" s="43"/>
      <c r="FB130" s="43"/>
      <c r="FC130" s="43"/>
      <c r="FD130" s="43"/>
      <c r="FE130" s="43"/>
      <c r="FF130" s="43"/>
      <c r="FG130" s="43"/>
      <c r="FH130" s="43"/>
      <c r="FI130" s="43"/>
      <c r="FJ130" s="43"/>
      <c r="FK130" s="43"/>
      <c r="FL130" s="43"/>
      <c r="FM130" s="43"/>
      <c r="FN130" s="43"/>
      <c r="FO130" s="43"/>
      <c r="FP130" s="43"/>
      <c r="FQ130" s="43"/>
      <c r="FR130" s="43"/>
      <c r="FS130" s="43"/>
      <c r="FT130" s="43"/>
      <c r="FU130" s="43"/>
      <c r="FV130" s="43"/>
      <c r="FW130" s="43"/>
      <c r="FX130" s="43"/>
      <c r="FY130" s="43"/>
      <c r="FZ130" s="43"/>
      <c r="GA130" s="43"/>
      <c r="GB130" s="43"/>
      <c r="GC130" s="43"/>
      <c r="GD130" s="43"/>
      <c r="GE130" s="43"/>
      <c r="GF130" s="43"/>
      <c r="GG130" s="43"/>
      <c r="GH130" s="43"/>
      <c r="GI130" s="43"/>
      <c r="GJ130" s="43"/>
      <c r="GK130" s="43"/>
      <c r="GL130" s="43"/>
      <c r="GM130" s="43"/>
      <c r="GN130" s="43"/>
      <c r="GO130" s="43"/>
      <c r="GP130" s="43"/>
      <c r="GQ130" s="43"/>
      <c r="GR130" s="43"/>
      <c r="GS130" s="43"/>
      <c r="GT130" s="43"/>
      <c r="GU130" s="43"/>
      <c r="GV130" s="43"/>
      <c r="GW130" s="43"/>
      <c r="GX130" s="43"/>
      <c r="GY130" s="43"/>
      <c r="GZ130" s="43"/>
      <c r="HA130" s="43"/>
      <c r="HB130" s="43"/>
      <c r="HC130" s="43"/>
      <c r="HD130" s="43"/>
      <c r="HE130" s="43"/>
      <c r="HF130" s="43"/>
      <c r="HG130" s="43"/>
      <c r="HH130" s="43"/>
      <c r="HI130" s="43"/>
      <c r="HJ130" s="43"/>
      <c r="HK130" s="43"/>
      <c r="HL130" s="43"/>
      <c r="HM130" s="43"/>
      <c r="HN130" s="43"/>
      <c r="HO130" s="43"/>
      <c r="HP130" s="43"/>
      <c r="HQ130" s="43"/>
      <c r="HR130" s="43"/>
      <c r="HS130" s="43"/>
      <c r="HT130" s="43"/>
      <c r="HU130" s="43"/>
      <c r="HV130" s="43"/>
      <c r="HW130" s="43"/>
      <c r="HX130" s="43"/>
      <c r="HY130" s="43"/>
      <c r="HZ130" s="43"/>
      <c r="IA130" s="43"/>
      <c r="IB130" s="43"/>
      <c r="IC130" s="43"/>
      <c r="ID130" s="43"/>
      <c r="IE130" s="43"/>
      <c r="IF130" s="43"/>
      <c r="IG130" s="43"/>
      <c r="IH130" s="43"/>
      <c r="II130" s="43"/>
      <c r="IJ130" s="43"/>
      <c r="IK130" s="43"/>
      <c r="IL130" s="43"/>
      <c r="IM130" s="43"/>
      <c r="IN130" s="43"/>
      <c r="IO130" s="43"/>
      <c r="IP130" s="43"/>
      <c r="IQ130" s="43"/>
      <c r="IR130" s="43"/>
      <c r="IS130" s="43"/>
      <c r="IT130" s="43"/>
      <c r="IU130" s="43"/>
      <c r="IV130" s="43"/>
      <c r="IW130" s="43"/>
      <c r="IX130" s="43"/>
      <c r="IY130" s="43"/>
      <c r="IZ130" s="43"/>
      <c r="JA130" s="43"/>
      <c r="JB130" s="43"/>
      <c r="JC130" s="43"/>
      <c r="JD130" s="43"/>
      <c r="JE130" s="43"/>
      <c r="JF130" s="43"/>
      <c r="JG130" s="43"/>
      <c r="JH130" s="43"/>
      <c r="JI130" s="43"/>
      <c r="JJ130" s="43"/>
      <c r="JK130" s="43"/>
      <c r="JL130" s="43"/>
      <c r="JM130" s="43"/>
      <c r="JN130" s="43"/>
      <c r="JO130" s="43"/>
      <c r="JP130" s="43"/>
      <c r="JQ130" s="43"/>
      <c r="JR130" s="43"/>
      <c r="JS130" s="43"/>
      <c r="JT130" s="43"/>
      <c r="JU130" s="43"/>
      <c r="JV130" s="43"/>
      <c r="JW130" s="43"/>
      <c r="JX130" s="43"/>
      <c r="JY130" s="43"/>
      <c r="JZ130" s="43"/>
      <c r="KA130" s="43"/>
      <c r="KB130" s="43"/>
      <c r="KC130" s="43"/>
      <c r="KD130" s="43"/>
      <c r="KE130" s="43"/>
      <c r="KF130" s="43"/>
      <c r="KG130" s="43"/>
      <c r="KH130" s="43"/>
      <c r="KI130" s="43"/>
      <c r="KJ130" s="43"/>
      <c r="KK130" s="43"/>
      <c r="KL130" s="43"/>
      <c r="KM130" s="43"/>
      <c r="KN130" s="43"/>
      <c r="KO130" s="43"/>
      <c r="KP130" s="43"/>
      <c r="KQ130" s="43"/>
      <c r="KR130" s="43"/>
      <c r="KS130" s="43"/>
      <c r="KT130" s="43"/>
      <c r="KU130" s="43"/>
      <c r="KV130" s="43"/>
      <c r="KW130" s="43"/>
      <c r="KX130" s="43"/>
      <c r="KY130" s="43"/>
      <c r="KZ130" s="43"/>
      <c r="LA130" s="43"/>
      <c r="LB130" s="43"/>
      <c r="LC130" s="43"/>
      <c r="LD130" s="43"/>
      <c r="LE130" s="43"/>
      <c r="LF130" s="43"/>
      <c r="LG130" s="43"/>
      <c r="LH130" s="43"/>
      <c r="LI130" s="43"/>
      <c r="LJ130" s="43"/>
      <c r="LK130" s="43"/>
      <c r="LL130" s="43"/>
      <c r="LM130" s="43"/>
      <c r="LN130" s="43"/>
      <c r="LO130" s="43"/>
      <c r="LP130" s="43"/>
      <c r="LQ130" s="43"/>
      <c r="LR130" s="43"/>
      <c r="LS130" s="43"/>
      <c r="LT130" s="43"/>
      <c r="LU130" s="43"/>
      <c r="LV130" s="43"/>
      <c r="LW130" s="43"/>
      <c r="LX130" s="43"/>
      <c r="LY130" s="43"/>
      <c r="LZ130" s="43"/>
      <c r="MA130" s="43"/>
      <c r="MB130" s="43"/>
      <c r="MC130" s="43"/>
      <c r="MD130" s="43"/>
      <c r="ME130" s="43"/>
      <c r="MF130" s="43"/>
      <c r="MG130" s="43"/>
      <c r="MH130" s="43"/>
      <c r="MI130" s="43"/>
      <c r="MJ130" s="43"/>
      <c r="MK130" s="43"/>
      <c r="ML130" s="43"/>
      <c r="MM130" s="43"/>
      <c r="MN130" s="43"/>
      <c r="MO130" s="43"/>
      <c r="MP130" s="43"/>
      <c r="MQ130" s="43"/>
      <c r="MR130" s="43"/>
      <c r="MS130" s="43"/>
      <c r="MT130" s="43"/>
      <c r="MU130" s="43"/>
      <c r="MV130" s="43"/>
      <c r="MW130" s="43"/>
      <c r="MX130" s="43"/>
      <c r="MY130" s="43"/>
      <c r="MZ130" s="43"/>
      <c r="NA130" s="43"/>
      <c r="NB130" s="43"/>
      <c r="NC130" s="43"/>
      <c r="ND130" s="43"/>
      <c r="NE130" s="43"/>
      <c r="NF130" s="43"/>
      <c r="NG130" s="43"/>
      <c r="NH130" s="43"/>
      <c r="NI130" s="43"/>
      <c r="NJ130" s="43"/>
      <c r="NK130" s="43"/>
      <c r="NL130" s="43"/>
      <c r="NM130" s="43"/>
      <c r="NN130" s="43"/>
      <c r="NO130" s="43"/>
      <c r="NP130" s="43"/>
      <c r="NQ130" s="43"/>
      <c r="NR130" s="43"/>
      <c r="NS130" s="43"/>
      <c r="NT130" s="43"/>
      <c r="NU130" s="43"/>
      <c r="NV130" s="43"/>
      <c r="NW130" s="43"/>
      <c r="NX130" s="43"/>
      <c r="NY130" s="43"/>
      <c r="NZ130" s="43"/>
      <c r="OA130" s="43"/>
      <c r="OB130" s="43"/>
      <c r="OC130" s="43"/>
      <c r="OD130" s="43"/>
      <c r="OE130" s="43"/>
      <c r="OF130" s="43"/>
      <c r="OG130" s="43"/>
      <c r="OH130" s="43"/>
      <c r="OI130" s="43"/>
      <c r="OJ130" s="43"/>
      <c r="OK130" s="43"/>
      <c r="OL130" s="43"/>
      <c r="OM130" s="43"/>
      <c r="ON130" s="43"/>
      <c r="OO130" s="43"/>
      <c r="OP130" s="43"/>
      <c r="OQ130" s="43"/>
      <c r="OR130" s="43"/>
      <c r="OS130" s="43"/>
      <c r="OT130" s="43"/>
      <c r="OU130" s="43"/>
      <c r="OV130" s="43"/>
      <c r="OW130" s="43"/>
      <c r="OX130" s="43"/>
      <c r="OY130" s="43"/>
      <c r="OZ130" s="43"/>
      <c r="PA130" s="43"/>
      <c r="PB130" s="43"/>
      <c r="PC130" s="43"/>
      <c r="PD130" s="43"/>
      <c r="PE130" s="43"/>
      <c r="PF130" s="43"/>
      <c r="PG130" s="43"/>
      <c r="PH130" s="43"/>
      <c r="PI130" s="43"/>
      <c r="PJ130" s="43"/>
      <c r="PK130" s="43"/>
      <c r="PL130" s="43"/>
      <c r="PM130" s="43"/>
      <c r="PN130" s="43"/>
      <c r="PO130" s="43"/>
      <c r="PP130" s="43"/>
      <c r="PQ130" s="43"/>
      <c r="PR130" s="43"/>
      <c r="PS130" s="43"/>
      <c r="PT130" s="43"/>
      <c r="PU130" s="43"/>
      <c r="PV130" s="43"/>
      <c r="PW130" s="43"/>
      <c r="PX130" s="43"/>
      <c r="PY130" s="43"/>
      <c r="PZ130" s="43"/>
      <c r="QA130" s="43"/>
      <c r="QB130" s="43"/>
      <c r="QC130" s="43"/>
    </row>
    <row r="131" spans="1:445" x14ac:dyDescent="0.3"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76"/>
      <c r="M131" s="76"/>
      <c r="N131" s="76"/>
      <c r="O131" s="45"/>
      <c r="P131" s="45"/>
      <c r="Q131" s="45"/>
      <c r="R131" s="45"/>
      <c r="S131" s="45"/>
      <c r="T131" s="46" t="str">
        <f t="shared" si="7"/>
        <v/>
      </c>
      <c r="U131" s="46" t="str">
        <f t="shared" si="8"/>
        <v/>
      </c>
      <c r="V131" s="72" t="str">
        <f t="shared" si="9"/>
        <v/>
      </c>
      <c r="X131" s="73" t="str">
        <f t="shared" si="11"/>
        <v/>
      </c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43"/>
      <c r="BN131" s="43"/>
      <c r="BO131" s="43"/>
      <c r="BP131" s="43"/>
      <c r="BQ131" s="43"/>
      <c r="BR131" s="43"/>
      <c r="BS131" s="43"/>
      <c r="BT131" s="43"/>
      <c r="BU131" s="43"/>
      <c r="BV131" s="43"/>
      <c r="BW131" s="43"/>
      <c r="BX131" s="43"/>
      <c r="BY131" s="43"/>
      <c r="BZ131" s="43"/>
      <c r="CA131" s="43"/>
      <c r="CB131" s="43"/>
      <c r="CC131" s="43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43"/>
      <c r="CY131" s="43"/>
      <c r="CZ131" s="43"/>
      <c r="DA131" s="43"/>
      <c r="DB131" s="43"/>
      <c r="DC131" s="43"/>
      <c r="DD131" s="43"/>
      <c r="DE131" s="43"/>
      <c r="DF131" s="43"/>
      <c r="DG131" s="43"/>
      <c r="DH131" s="43"/>
      <c r="DI131" s="43"/>
      <c r="DJ131" s="43"/>
      <c r="DK131" s="43"/>
      <c r="DL131" s="43"/>
      <c r="DM131" s="43"/>
      <c r="DN131" s="43"/>
      <c r="DO131" s="43"/>
      <c r="DP131" s="43"/>
      <c r="DQ131" s="43"/>
      <c r="DR131" s="43"/>
      <c r="DS131" s="43"/>
      <c r="DT131" s="43"/>
      <c r="DU131" s="43"/>
      <c r="DV131" s="43"/>
      <c r="DW131" s="43"/>
      <c r="DX131" s="43"/>
      <c r="DY131" s="43"/>
      <c r="DZ131" s="43"/>
      <c r="EA131" s="43"/>
      <c r="EB131" s="43"/>
      <c r="EC131" s="43"/>
      <c r="ED131" s="43"/>
      <c r="EE131" s="43"/>
      <c r="EF131" s="43"/>
      <c r="EG131" s="43"/>
      <c r="EH131" s="43"/>
      <c r="EI131" s="43"/>
      <c r="EJ131" s="43"/>
      <c r="EK131" s="43"/>
      <c r="EL131" s="43"/>
      <c r="EM131" s="43"/>
      <c r="EN131" s="43"/>
      <c r="EO131" s="43"/>
      <c r="EP131" s="43"/>
      <c r="EQ131" s="43"/>
      <c r="ER131" s="43"/>
      <c r="ES131" s="43"/>
      <c r="ET131" s="43"/>
      <c r="EU131" s="43"/>
      <c r="EV131" s="43"/>
      <c r="EW131" s="43"/>
      <c r="EX131" s="43"/>
      <c r="EY131" s="43"/>
      <c r="EZ131" s="43"/>
      <c r="FA131" s="43"/>
      <c r="FB131" s="43"/>
      <c r="FC131" s="43"/>
      <c r="FD131" s="43"/>
      <c r="FE131" s="43"/>
      <c r="FF131" s="43"/>
      <c r="FG131" s="43"/>
      <c r="FH131" s="43"/>
      <c r="FI131" s="43"/>
      <c r="FJ131" s="43"/>
      <c r="FK131" s="43"/>
      <c r="FL131" s="43"/>
      <c r="FM131" s="43"/>
      <c r="FN131" s="43"/>
      <c r="FO131" s="43"/>
      <c r="FP131" s="43"/>
      <c r="FQ131" s="43"/>
      <c r="FR131" s="43"/>
      <c r="FS131" s="43"/>
      <c r="FT131" s="43"/>
      <c r="FU131" s="43"/>
      <c r="FV131" s="43"/>
      <c r="FW131" s="43"/>
      <c r="FX131" s="43"/>
      <c r="FY131" s="43"/>
      <c r="FZ131" s="43"/>
      <c r="GA131" s="43"/>
      <c r="GB131" s="43"/>
      <c r="GC131" s="43"/>
      <c r="GD131" s="43"/>
      <c r="GE131" s="43"/>
      <c r="GF131" s="43"/>
      <c r="GG131" s="43"/>
      <c r="GH131" s="43"/>
      <c r="GI131" s="43"/>
      <c r="GJ131" s="43"/>
      <c r="GK131" s="43"/>
      <c r="GL131" s="43"/>
      <c r="GM131" s="43"/>
      <c r="GN131" s="43"/>
      <c r="GO131" s="43"/>
      <c r="GP131" s="43"/>
      <c r="GQ131" s="43"/>
      <c r="GR131" s="43"/>
      <c r="GS131" s="43"/>
      <c r="GT131" s="43"/>
      <c r="GU131" s="43"/>
      <c r="GV131" s="43"/>
      <c r="GW131" s="43"/>
      <c r="GX131" s="43"/>
      <c r="GY131" s="43"/>
      <c r="GZ131" s="43"/>
      <c r="HA131" s="43"/>
      <c r="HB131" s="43"/>
      <c r="HC131" s="43"/>
      <c r="HD131" s="43"/>
      <c r="HE131" s="43"/>
      <c r="HF131" s="43"/>
      <c r="HG131" s="43"/>
      <c r="HH131" s="43"/>
      <c r="HI131" s="43"/>
      <c r="HJ131" s="43"/>
      <c r="HK131" s="43"/>
      <c r="HL131" s="43"/>
      <c r="HM131" s="43"/>
      <c r="HN131" s="43"/>
      <c r="HO131" s="43"/>
      <c r="HP131" s="43"/>
      <c r="HQ131" s="43"/>
      <c r="HR131" s="43"/>
      <c r="HS131" s="43"/>
      <c r="HT131" s="43"/>
      <c r="HU131" s="43"/>
      <c r="HV131" s="43"/>
      <c r="HW131" s="43"/>
      <c r="HX131" s="43"/>
      <c r="HY131" s="43"/>
      <c r="HZ131" s="43"/>
      <c r="IA131" s="43"/>
      <c r="IB131" s="43"/>
      <c r="IC131" s="43"/>
      <c r="ID131" s="43"/>
      <c r="IE131" s="43"/>
      <c r="IF131" s="43"/>
      <c r="IG131" s="43"/>
      <c r="IH131" s="43"/>
      <c r="II131" s="43"/>
      <c r="IJ131" s="43"/>
      <c r="IK131" s="43"/>
      <c r="IL131" s="43"/>
      <c r="IM131" s="43"/>
      <c r="IN131" s="43"/>
      <c r="IO131" s="43"/>
      <c r="IP131" s="43"/>
      <c r="IQ131" s="43"/>
      <c r="IR131" s="43"/>
      <c r="IS131" s="43"/>
      <c r="IT131" s="43"/>
      <c r="IU131" s="43"/>
      <c r="IV131" s="43"/>
      <c r="IW131" s="43"/>
      <c r="IX131" s="43"/>
      <c r="IY131" s="43"/>
      <c r="IZ131" s="43"/>
      <c r="JA131" s="43"/>
      <c r="JB131" s="43"/>
      <c r="JC131" s="43"/>
      <c r="JD131" s="43"/>
      <c r="JE131" s="43"/>
      <c r="JF131" s="43"/>
      <c r="JG131" s="43"/>
      <c r="JH131" s="43"/>
      <c r="JI131" s="43"/>
      <c r="JJ131" s="43"/>
      <c r="JK131" s="43"/>
      <c r="JL131" s="43"/>
      <c r="JM131" s="43"/>
      <c r="JN131" s="43"/>
      <c r="JO131" s="43"/>
      <c r="JP131" s="43"/>
      <c r="JQ131" s="43"/>
      <c r="JR131" s="43"/>
      <c r="JS131" s="43"/>
      <c r="JT131" s="43"/>
      <c r="JU131" s="43"/>
      <c r="JV131" s="43"/>
      <c r="JW131" s="43"/>
      <c r="JX131" s="43"/>
      <c r="JY131" s="43"/>
      <c r="JZ131" s="43"/>
      <c r="KA131" s="43"/>
      <c r="KB131" s="43"/>
      <c r="KC131" s="43"/>
      <c r="KD131" s="43"/>
      <c r="KE131" s="43"/>
      <c r="KF131" s="43"/>
      <c r="KG131" s="43"/>
      <c r="KH131" s="43"/>
      <c r="KI131" s="43"/>
      <c r="KJ131" s="43"/>
      <c r="KK131" s="43"/>
      <c r="KL131" s="43"/>
      <c r="KM131" s="43"/>
      <c r="KN131" s="43"/>
      <c r="KO131" s="43"/>
      <c r="KP131" s="43"/>
      <c r="KQ131" s="43"/>
      <c r="KR131" s="43"/>
      <c r="KS131" s="43"/>
      <c r="KT131" s="43"/>
      <c r="KU131" s="43"/>
      <c r="KV131" s="43"/>
      <c r="KW131" s="43"/>
      <c r="KX131" s="43"/>
      <c r="KY131" s="43"/>
      <c r="KZ131" s="43"/>
      <c r="LA131" s="43"/>
      <c r="LB131" s="43"/>
      <c r="LC131" s="43"/>
      <c r="LD131" s="43"/>
      <c r="LE131" s="43"/>
      <c r="LF131" s="43"/>
      <c r="LG131" s="43"/>
      <c r="LH131" s="43"/>
      <c r="LI131" s="43"/>
      <c r="LJ131" s="43"/>
      <c r="LK131" s="43"/>
      <c r="LL131" s="43"/>
      <c r="LM131" s="43"/>
      <c r="LN131" s="43"/>
      <c r="LO131" s="43"/>
      <c r="LP131" s="43"/>
      <c r="LQ131" s="43"/>
      <c r="LR131" s="43"/>
      <c r="LS131" s="43"/>
      <c r="LT131" s="43"/>
      <c r="LU131" s="43"/>
      <c r="LV131" s="43"/>
      <c r="LW131" s="43"/>
      <c r="LX131" s="43"/>
      <c r="LY131" s="43"/>
      <c r="LZ131" s="43"/>
      <c r="MA131" s="43"/>
      <c r="MB131" s="43"/>
      <c r="MC131" s="43"/>
      <c r="MD131" s="43"/>
      <c r="ME131" s="43"/>
      <c r="MF131" s="43"/>
      <c r="MG131" s="43"/>
      <c r="MH131" s="43"/>
      <c r="MI131" s="43"/>
      <c r="MJ131" s="43"/>
      <c r="MK131" s="43"/>
      <c r="ML131" s="43"/>
      <c r="MM131" s="43"/>
      <c r="MN131" s="43"/>
      <c r="MO131" s="43"/>
      <c r="MP131" s="43"/>
      <c r="MQ131" s="43"/>
      <c r="MR131" s="43"/>
      <c r="MS131" s="43"/>
      <c r="MT131" s="43"/>
      <c r="MU131" s="43"/>
      <c r="MV131" s="43"/>
      <c r="MW131" s="43"/>
      <c r="MX131" s="43"/>
      <c r="MY131" s="43"/>
      <c r="MZ131" s="43"/>
      <c r="NA131" s="43"/>
      <c r="NB131" s="43"/>
      <c r="NC131" s="43"/>
      <c r="ND131" s="43"/>
      <c r="NE131" s="43"/>
      <c r="NF131" s="43"/>
      <c r="NG131" s="43"/>
      <c r="NH131" s="43"/>
      <c r="NI131" s="43"/>
      <c r="NJ131" s="43"/>
      <c r="NK131" s="43"/>
      <c r="NL131" s="43"/>
      <c r="NM131" s="43"/>
      <c r="NN131" s="43"/>
      <c r="NO131" s="43"/>
      <c r="NP131" s="43"/>
      <c r="NQ131" s="43"/>
      <c r="NR131" s="43"/>
      <c r="NS131" s="43"/>
      <c r="NT131" s="43"/>
      <c r="NU131" s="43"/>
      <c r="NV131" s="43"/>
      <c r="NW131" s="43"/>
      <c r="NX131" s="43"/>
      <c r="NY131" s="43"/>
      <c r="NZ131" s="43"/>
      <c r="OA131" s="43"/>
      <c r="OB131" s="43"/>
      <c r="OC131" s="43"/>
      <c r="OD131" s="43"/>
      <c r="OE131" s="43"/>
      <c r="OF131" s="43"/>
      <c r="OG131" s="43"/>
      <c r="OH131" s="43"/>
      <c r="OI131" s="43"/>
      <c r="OJ131" s="43"/>
      <c r="OK131" s="43"/>
      <c r="OL131" s="43"/>
      <c r="OM131" s="43"/>
      <c r="ON131" s="43"/>
      <c r="OO131" s="43"/>
      <c r="OP131" s="43"/>
      <c r="OQ131" s="43"/>
      <c r="OR131" s="43"/>
      <c r="OS131" s="43"/>
      <c r="OT131" s="43"/>
      <c r="OU131" s="43"/>
      <c r="OV131" s="43"/>
      <c r="OW131" s="43"/>
      <c r="OX131" s="43"/>
      <c r="OY131" s="43"/>
      <c r="OZ131" s="43"/>
      <c r="PA131" s="43"/>
      <c r="PB131" s="43"/>
      <c r="PC131" s="43"/>
      <c r="PD131" s="43"/>
      <c r="PE131" s="43"/>
      <c r="PF131" s="43"/>
      <c r="PG131" s="43"/>
      <c r="PH131" s="43"/>
      <c r="PI131" s="43"/>
      <c r="PJ131" s="43"/>
      <c r="PK131" s="43"/>
      <c r="PL131" s="43"/>
      <c r="PM131" s="43"/>
      <c r="PN131" s="43"/>
      <c r="PO131" s="43"/>
      <c r="PP131" s="43"/>
      <c r="PQ131" s="43"/>
      <c r="PR131" s="43"/>
      <c r="PS131" s="43"/>
      <c r="PT131" s="43"/>
      <c r="PU131" s="43"/>
      <c r="PV131" s="43"/>
      <c r="PW131" s="43"/>
      <c r="PX131" s="43"/>
      <c r="PY131" s="43"/>
      <c r="PZ131" s="43"/>
      <c r="QA131" s="43"/>
      <c r="QB131" s="43"/>
      <c r="QC131" s="43"/>
    </row>
    <row r="132" spans="1:445" s="50" customFormat="1" x14ac:dyDescent="0.3">
      <c r="A132" s="47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6" t="str">
        <f t="shared" ref="T132:T195" si="12">IF(AND(ISBLANK(E132),ISBLANK(F132),ISBLANK(G132),ISBLANK(H132),ISBLANK(I132),ISBLANK(J132),ISBLANK(K132), ISBLANK(L132), ISBLANK(M132), ISBLANK(N132), ISBLANK(O132), ISBLANK(P132), ISBLANK(Q132), ISBLANK(R132), ISBLANK(S132)),"",SUM(G132:S132))</f>
        <v/>
      </c>
      <c r="U132" s="46" t="str">
        <f t="shared" ref="U132:U195" si="13">IF(W132&lt;&gt;0,0,IF(AND(ISBLANK(F132),ISBLANK(G132),ISBLANK(H132),ISBLANK(I132),ISBLANK(J132),ISBLANK(K132), ISBLANK(L132), ISBLANK(M132), ISBLANK(N132), ISBLANK(O132), ISBLANK(P132), ISBLANK(Q132), ISBLANK(R132), ISBLANK(S132)),"", F132-T132))</f>
        <v/>
      </c>
      <c r="V132" s="72" t="str">
        <f t="shared" ref="V132:V195" si="14">IF(AND(ISBLANK(E132),ISBLANK(F132), ISBLANK(G132), ISBLANK(H132), ISBLANK(I132), ISBLANK(J132), ISBLANK(K132), ISBLANK(L132), ISBLANK(M132),ISBLANK(N132), ISBLANK(O132), ISBLANK(P132), ISBLANK(Q132), ISBLANK(R132), ISBLANK(S132)), "",IFERROR(((F132+E132)-U132)/F132,""))</f>
        <v/>
      </c>
      <c r="W132" s="48"/>
      <c r="X132" s="73" t="str">
        <f t="shared" ref="X132:X153" si="15">IF(W132&lt;&gt;"",F132 - (SUM(G132:S132)),"")</f>
        <v/>
      </c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43"/>
      <c r="BN132" s="43"/>
      <c r="BO132" s="43"/>
      <c r="BP132" s="43"/>
      <c r="BQ132" s="43"/>
      <c r="BR132" s="43"/>
      <c r="BS132" s="43"/>
      <c r="BT132" s="43"/>
      <c r="BU132" s="43"/>
      <c r="BV132" s="43"/>
      <c r="BW132" s="43"/>
      <c r="BX132" s="43"/>
      <c r="BY132" s="43"/>
      <c r="BZ132" s="43"/>
      <c r="CA132" s="43"/>
      <c r="CB132" s="43"/>
      <c r="CC132" s="43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43"/>
      <c r="CY132" s="43"/>
      <c r="CZ132" s="43"/>
      <c r="DA132" s="43"/>
      <c r="DB132" s="43"/>
      <c r="DC132" s="43"/>
      <c r="DD132" s="43"/>
      <c r="DE132" s="43"/>
      <c r="DF132" s="43"/>
      <c r="DG132" s="43"/>
      <c r="DH132" s="43"/>
      <c r="DI132" s="43"/>
      <c r="DJ132" s="43"/>
      <c r="DK132" s="43"/>
      <c r="DL132" s="43"/>
      <c r="DM132" s="43"/>
      <c r="DN132" s="43"/>
      <c r="DO132" s="43"/>
      <c r="DP132" s="43"/>
      <c r="DQ132" s="43"/>
      <c r="DR132" s="43"/>
      <c r="DS132" s="43"/>
      <c r="DT132" s="43"/>
      <c r="DU132" s="43"/>
      <c r="DV132" s="43"/>
      <c r="DW132" s="43"/>
      <c r="DX132" s="43"/>
      <c r="DY132" s="43"/>
      <c r="DZ132" s="43"/>
      <c r="EA132" s="43"/>
      <c r="EB132" s="43"/>
      <c r="EC132" s="43"/>
      <c r="ED132" s="43"/>
      <c r="EE132" s="43"/>
      <c r="EF132" s="43"/>
      <c r="EG132" s="43"/>
      <c r="EH132" s="43"/>
      <c r="EI132" s="43"/>
      <c r="EJ132" s="43"/>
      <c r="EK132" s="43"/>
      <c r="EL132" s="43"/>
      <c r="EM132" s="43"/>
      <c r="EN132" s="43"/>
      <c r="EO132" s="43"/>
      <c r="EP132" s="43"/>
      <c r="EQ132" s="43"/>
      <c r="ER132" s="43"/>
      <c r="ES132" s="43"/>
      <c r="ET132" s="43"/>
      <c r="EU132" s="43"/>
      <c r="EV132" s="43"/>
      <c r="EW132" s="43"/>
      <c r="EX132" s="43"/>
      <c r="EY132" s="43"/>
      <c r="EZ132" s="43"/>
      <c r="FA132" s="43"/>
      <c r="FB132" s="43"/>
      <c r="FC132" s="43"/>
      <c r="FD132" s="43"/>
      <c r="FE132" s="43"/>
      <c r="FF132" s="43"/>
      <c r="FG132" s="43"/>
      <c r="FH132" s="43"/>
      <c r="FI132" s="43"/>
      <c r="FJ132" s="43"/>
      <c r="FK132" s="43"/>
      <c r="FL132" s="43"/>
      <c r="FM132" s="43"/>
      <c r="FN132" s="43"/>
      <c r="FO132" s="43"/>
      <c r="FP132" s="43"/>
      <c r="FQ132" s="43"/>
      <c r="FR132" s="43"/>
      <c r="FS132" s="43"/>
      <c r="FT132" s="43"/>
      <c r="FU132" s="43"/>
      <c r="FV132" s="43"/>
      <c r="FW132" s="43"/>
      <c r="FX132" s="43"/>
      <c r="FY132" s="43"/>
      <c r="FZ132" s="43"/>
      <c r="GA132" s="43"/>
      <c r="GB132" s="43"/>
      <c r="GC132" s="43"/>
      <c r="GD132" s="43"/>
      <c r="GE132" s="43"/>
      <c r="GF132" s="43"/>
      <c r="GG132" s="43"/>
      <c r="GH132" s="43"/>
      <c r="GI132" s="43"/>
      <c r="GJ132" s="43"/>
      <c r="GK132" s="43"/>
      <c r="GL132" s="43"/>
      <c r="GM132" s="43"/>
      <c r="GN132" s="43"/>
      <c r="GO132" s="43"/>
      <c r="GP132" s="43"/>
      <c r="GQ132" s="43"/>
      <c r="GR132" s="43"/>
      <c r="GS132" s="43"/>
      <c r="GT132" s="43"/>
      <c r="GU132" s="43"/>
      <c r="GV132" s="43"/>
      <c r="GW132" s="43"/>
      <c r="GX132" s="43"/>
      <c r="GY132" s="43"/>
      <c r="GZ132" s="43"/>
      <c r="HA132" s="43"/>
      <c r="HB132" s="43"/>
      <c r="HC132" s="43"/>
      <c r="HD132" s="43"/>
      <c r="HE132" s="43"/>
      <c r="HF132" s="43"/>
      <c r="HG132" s="43"/>
      <c r="HH132" s="43"/>
      <c r="HI132" s="43"/>
      <c r="HJ132" s="43"/>
      <c r="HK132" s="43"/>
      <c r="HL132" s="43"/>
      <c r="HM132" s="43"/>
      <c r="HN132" s="43"/>
      <c r="HO132" s="43"/>
      <c r="HP132" s="43"/>
      <c r="HQ132" s="43"/>
      <c r="HR132" s="43"/>
      <c r="HS132" s="43"/>
      <c r="HT132" s="43"/>
      <c r="HU132" s="43"/>
      <c r="HV132" s="43"/>
      <c r="HW132" s="43"/>
      <c r="HX132" s="43"/>
      <c r="HY132" s="43"/>
      <c r="HZ132" s="43"/>
      <c r="IA132" s="43"/>
      <c r="IB132" s="43"/>
      <c r="IC132" s="43"/>
      <c r="ID132" s="43"/>
      <c r="IE132" s="43"/>
      <c r="IF132" s="43"/>
      <c r="IG132" s="43"/>
      <c r="IH132" s="43"/>
      <c r="II132" s="43"/>
      <c r="IJ132" s="43"/>
      <c r="IK132" s="43"/>
      <c r="IL132" s="43"/>
      <c r="IM132" s="43"/>
      <c r="IN132" s="43"/>
      <c r="IO132" s="43"/>
      <c r="IP132" s="43"/>
      <c r="IQ132" s="43"/>
      <c r="IR132" s="43"/>
      <c r="IS132" s="43"/>
      <c r="IT132" s="43"/>
      <c r="IU132" s="43"/>
      <c r="IV132" s="43"/>
      <c r="IW132" s="43"/>
      <c r="IX132" s="43"/>
      <c r="IY132" s="43"/>
      <c r="IZ132" s="43"/>
      <c r="JA132" s="43"/>
      <c r="JB132" s="43"/>
      <c r="JC132" s="43"/>
      <c r="JD132" s="43"/>
      <c r="JE132" s="43"/>
      <c r="JF132" s="43"/>
      <c r="JG132" s="43"/>
      <c r="JH132" s="43"/>
      <c r="JI132" s="43"/>
      <c r="JJ132" s="43"/>
      <c r="JK132" s="43"/>
      <c r="JL132" s="43"/>
      <c r="JM132" s="43"/>
      <c r="JN132" s="43"/>
      <c r="JO132" s="43"/>
      <c r="JP132" s="43"/>
      <c r="JQ132" s="43"/>
      <c r="JR132" s="43"/>
      <c r="JS132" s="43"/>
      <c r="JT132" s="43"/>
      <c r="JU132" s="43"/>
      <c r="JV132" s="43"/>
      <c r="JW132" s="43"/>
      <c r="JX132" s="43"/>
      <c r="JY132" s="43"/>
      <c r="JZ132" s="43"/>
      <c r="KA132" s="43"/>
      <c r="KB132" s="43"/>
      <c r="KC132" s="43"/>
      <c r="KD132" s="43"/>
      <c r="KE132" s="43"/>
      <c r="KF132" s="43"/>
      <c r="KG132" s="43"/>
      <c r="KH132" s="43"/>
      <c r="KI132" s="43"/>
      <c r="KJ132" s="43"/>
      <c r="KK132" s="43"/>
      <c r="KL132" s="43"/>
      <c r="KM132" s="43"/>
      <c r="KN132" s="43"/>
      <c r="KO132" s="43"/>
      <c r="KP132" s="43"/>
      <c r="KQ132" s="43"/>
      <c r="KR132" s="43"/>
      <c r="KS132" s="43"/>
      <c r="KT132" s="43"/>
      <c r="KU132" s="43"/>
      <c r="KV132" s="43"/>
      <c r="KW132" s="43"/>
      <c r="KX132" s="43"/>
      <c r="KY132" s="43"/>
      <c r="KZ132" s="43"/>
      <c r="LA132" s="43"/>
      <c r="LB132" s="43"/>
      <c r="LC132" s="43"/>
      <c r="LD132" s="43"/>
      <c r="LE132" s="43"/>
      <c r="LF132" s="43"/>
      <c r="LG132" s="43"/>
      <c r="LH132" s="43"/>
      <c r="LI132" s="43"/>
      <c r="LJ132" s="43"/>
      <c r="LK132" s="43"/>
      <c r="LL132" s="43"/>
      <c r="LM132" s="43"/>
      <c r="LN132" s="43"/>
      <c r="LO132" s="43"/>
      <c r="LP132" s="43"/>
      <c r="LQ132" s="43"/>
      <c r="LR132" s="43"/>
      <c r="LS132" s="43"/>
      <c r="LT132" s="43"/>
      <c r="LU132" s="43"/>
      <c r="LV132" s="43"/>
      <c r="LW132" s="43"/>
      <c r="LX132" s="43"/>
      <c r="LY132" s="43"/>
      <c r="LZ132" s="43"/>
      <c r="MA132" s="43"/>
      <c r="MB132" s="43"/>
      <c r="MC132" s="43"/>
      <c r="MD132" s="43"/>
      <c r="ME132" s="43"/>
      <c r="MF132" s="43"/>
      <c r="MG132" s="43"/>
      <c r="MH132" s="43"/>
      <c r="MI132" s="43"/>
      <c r="MJ132" s="43"/>
      <c r="MK132" s="43"/>
      <c r="ML132" s="43"/>
      <c r="MM132" s="43"/>
      <c r="MN132" s="43"/>
      <c r="MO132" s="43"/>
      <c r="MP132" s="43"/>
      <c r="MQ132" s="43"/>
      <c r="MR132" s="43"/>
      <c r="MS132" s="43"/>
      <c r="MT132" s="43"/>
      <c r="MU132" s="43"/>
      <c r="MV132" s="43"/>
      <c r="MW132" s="43"/>
      <c r="MX132" s="43"/>
      <c r="MY132" s="43"/>
      <c r="MZ132" s="43"/>
      <c r="NA132" s="43"/>
      <c r="NB132" s="43"/>
      <c r="NC132" s="43"/>
      <c r="ND132" s="43"/>
      <c r="NE132" s="43"/>
      <c r="NF132" s="43"/>
      <c r="NG132" s="43"/>
      <c r="NH132" s="43"/>
      <c r="NI132" s="43"/>
      <c r="NJ132" s="43"/>
      <c r="NK132" s="43"/>
      <c r="NL132" s="43"/>
      <c r="NM132" s="43"/>
      <c r="NN132" s="43"/>
      <c r="NO132" s="43"/>
      <c r="NP132" s="43"/>
      <c r="NQ132" s="43"/>
      <c r="NR132" s="43"/>
      <c r="NS132" s="43"/>
      <c r="NT132" s="43"/>
      <c r="NU132" s="43"/>
      <c r="NV132" s="43"/>
      <c r="NW132" s="43"/>
      <c r="NX132" s="43"/>
      <c r="NY132" s="43"/>
      <c r="NZ132" s="43"/>
      <c r="OA132" s="43"/>
      <c r="OB132" s="43"/>
      <c r="OC132" s="43"/>
      <c r="OD132" s="43"/>
      <c r="OE132" s="43"/>
      <c r="OF132" s="43"/>
      <c r="OG132" s="43"/>
      <c r="OH132" s="43"/>
      <c r="OI132" s="43"/>
      <c r="OJ132" s="43"/>
      <c r="OK132" s="43"/>
      <c r="OL132" s="43"/>
      <c r="OM132" s="43"/>
      <c r="ON132" s="43"/>
      <c r="OO132" s="43"/>
      <c r="OP132" s="43"/>
      <c r="OQ132" s="43"/>
      <c r="OR132" s="43"/>
      <c r="OS132" s="43"/>
      <c r="OT132" s="43"/>
      <c r="OU132" s="43"/>
      <c r="OV132" s="43"/>
      <c r="OW132" s="43"/>
      <c r="OX132" s="43"/>
      <c r="OY132" s="43"/>
      <c r="OZ132" s="43"/>
      <c r="PA132" s="43"/>
      <c r="PB132" s="43"/>
      <c r="PC132" s="43"/>
      <c r="PD132" s="43"/>
      <c r="PE132" s="43"/>
      <c r="PF132" s="43"/>
      <c r="PG132" s="43"/>
      <c r="PH132" s="43"/>
      <c r="PI132" s="43"/>
      <c r="PJ132" s="43"/>
      <c r="PK132" s="43"/>
      <c r="PL132" s="43"/>
      <c r="PM132" s="43"/>
      <c r="PN132" s="43"/>
      <c r="PO132" s="43"/>
      <c r="PP132" s="43"/>
      <c r="PQ132" s="43"/>
      <c r="PR132" s="43"/>
      <c r="PS132" s="43"/>
      <c r="PT132" s="43"/>
      <c r="PU132" s="43"/>
      <c r="PV132" s="43"/>
      <c r="PW132" s="43"/>
      <c r="PX132" s="43"/>
      <c r="PY132" s="43"/>
      <c r="PZ132" s="43"/>
      <c r="QA132" s="43"/>
      <c r="QB132" s="43"/>
      <c r="QC132" s="43"/>
    </row>
    <row r="133" spans="1:445" s="50" customFormat="1" x14ac:dyDescent="0.3">
      <c r="A133" s="47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8"/>
      <c r="M133" s="48"/>
      <c r="N133" s="48"/>
      <c r="O133" s="45"/>
      <c r="P133" s="45"/>
      <c r="Q133" s="45"/>
      <c r="R133" s="45"/>
      <c r="S133" s="45"/>
      <c r="T133" s="46" t="str">
        <f t="shared" si="12"/>
        <v/>
      </c>
      <c r="U133" s="46" t="str">
        <f t="shared" si="13"/>
        <v/>
      </c>
      <c r="V133" s="72" t="str">
        <f t="shared" si="14"/>
        <v/>
      </c>
      <c r="W133" s="49"/>
      <c r="X133" s="73" t="str">
        <f t="shared" si="15"/>
        <v/>
      </c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43"/>
      <c r="BN133" s="43"/>
      <c r="BO133" s="43"/>
      <c r="BP133" s="43"/>
      <c r="BQ133" s="43"/>
      <c r="BR133" s="43"/>
      <c r="BS133" s="43"/>
      <c r="BT133" s="43"/>
      <c r="BU133" s="43"/>
      <c r="BV133" s="43"/>
      <c r="BW133" s="43"/>
      <c r="BX133" s="43"/>
      <c r="BY133" s="43"/>
      <c r="BZ133" s="43"/>
      <c r="CA133" s="43"/>
      <c r="CB133" s="43"/>
      <c r="CC133" s="43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43"/>
      <c r="CY133" s="43"/>
      <c r="CZ133" s="43"/>
      <c r="DA133" s="43"/>
      <c r="DB133" s="43"/>
      <c r="DC133" s="43"/>
      <c r="DD133" s="43"/>
      <c r="DE133" s="43"/>
      <c r="DF133" s="43"/>
      <c r="DG133" s="43"/>
      <c r="DH133" s="43"/>
      <c r="DI133" s="43"/>
      <c r="DJ133" s="43"/>
      <c r="DK133" s="43"/>
      <c r="DL133" s="43"/>
      <c r="DM133" s="43"/>
      <c r="DN133" s="43"/>
      <c r="DO133" s="43"/>
      <c r="DP133" s="43"/>
      <c r="DQ133" s="43"/>
      <c r="DR133" s="43"/>
      <c r="DS133" s="43"/>
      <c r="DT133" s="43"/>
      <c r="DU133" s="43"/>
      <c r="DV133" s="43"/>
      <c r="DW133" s="43"/>
      <c r="DX133" s="43"/>
      <c r="DY133" s="43"/>
      <c r="DZ133" s="43"/>
      <c r="EA133" s="43"/>
      <c r="EB133" s="43"/>
      <c r="EC133" s="43"/>
      <c r="ED133" s="43"/>
      <c r="EE133" s="43"/>
      <c r="EF133" s="43"/>
      <c r="EG133" s="43"/>
      <c r="EH133" s="43"/>
      <c r="EI133" s="43"/>
      <c r="EJ133" s="43"/>
      <c r="EK133" s="43"/>
      <c r="EL133" s="43"/>
      <c r="EM133" s="43"/>
      <c r="EN133" s="43"/>
      <c r="EO133" s="43"/>
      <c r="EP133" s="43"/>
      <c r="EQ133" s="43"/>
      <c r="ER133" s="43"/>
      <c r="ES133" s="43"/>
      <c r="ET133" s="43"/>
      <c r="EU133" s="43"/>
      <c r="EV133" s="43"/>
      <c r="EW133" s="43"/>
      <c r="EX133" s="43"/>
      <c r="EY133" s="43"/>
      <c r="EZ133" s="43"/>
      <c r="FA133" s="43"/>
      <c r="FB133" s="43"/>
      <c r="FC133" s="43"/>
      <c r="FD133" s="43"/>
      <c r="FE133" s="43"/>
      <c r="FF133" s="43"/>
      <c r="FG133" s="43"/>
      <c r="FH133" s="43"/>
      <c r="FI133" s="43"/>
      <c r="FJ133" s="43"/>
      <c r="FK133" s="43"/>
      <c r="FL133" s="43"/>
      <c r="FM133" s="43"/>
      <c r="FN133" s="43"/>
      <c r="FO133" s="43"/>
      <c r="FP133" s="43"/>
      <c r="FQ133" s="43"/>
      <c r="FR133" s="43"/>
      <c r="FS133" s="43"/>
      <c r="FT133" s="43"/>
      <c r="FU133" s="43"/>
      <c r="FV133" s="43"/>
      <c r="FW133" s="43"/>
      <c r="FX133" s="43"/>
      <c r="FY133" s="43"/>
      <c r="FZ133" s="43"/>
      <c r="GA133" s="43"/>
      <c r="GB133" s="43"/>
      <c r="GC133" s="43"/>
      <c r="GD133" s="43"/>
      <c r="GE133" s="43"/>
      <c r="GF133" s="43"/>
      <c r="GG133" s="43"/>
      <c r="GH133" s="43"/>
      <c r="GI133" s="43"/>
      <c r="GJ133" s="43"/>
      <c r="GK133" s="43"/>
      <c r="GL133" s="43"/>
      <c r="GM133" s="43"/>
      <c r="GN133" s="43"/>
      <c r="GO133" s="43"/>
      <c r="GP133" s="43"/>
      <c r="GQ133" s="43"/>
      <c r="GR133" s="43"/>
      <c r="GS133" s="43"/>
      <c r="GT133" s="43"/>
      <c r="GU133" s="43"/>
      <c r="GV133" s="43"/>
      <c r="GW133" s="43"/>
      <c r="GX133" s="43"/>
      <c r="GY133" s="43"/>
      <c r="GZ133" s="43"/>
      <c r="HA133" s="43"/>
      <c r="HB133" s="43"/>
      <c r="HC133" s="43"/>
      <c r="HD133" s="43"/>
      <c r="HE133" s="43"/>
      <c r="HF133" s="43"/>
      <c r="HG133" s="43"/>
      <c r="HH133" s="43"/>
      <c r="HI133" s="43"/>
      <c r="HJ133" s="43"/>
      <c r="HK133" s="43"/>
      <c r="HL133" s="43"/>
      <c r="HM133" s="43"/>
      <c r="HN133" s="43"/>
      <c r="HO133" s="43"/>
      <c r="HP133" s="43"/>
      <c r="HQ133" s="43"/>
      <c r="HR133" s="43"/>
      <c r="HS133" s="43"/>
      <c r="HT133" s="43"/>
      <c r="HU133" s="43"/>
      <c r="HV133" s="43"/>
      <c r="HW133" s="43"/>
      <c r="HX133" s="43"/>
      <c r="HY133" s="43"/>
      <c r="HZ133" s="43"/>
      <c r="IA133" s="43"/>
      <c r="IB133" s="43"/>
      <c r="IC133" s="43"/>
      <c r="ID133" s="43"/>
      <c r="IE133" s="43"/>
      <c r="IF133" s="43"/>
      <c r="IG133" s="43"/>
      <c r="IH133" s="43"/>
      <c r="II133" s="43"/>
      <c r="IJ133" s="43"/>
      <c r="IK133" s="43"/>
      <c r="IL133" s="43"/>
      <c r="IM133" s="43"/>
      <c r="IN133" s="43"/>
      <c r="IO133" s="43"/>
      <c r="IP133" s="43"/>
      <c r="IQ133" s="43"/>
      <c r="IR133" s="43"/>
      <c r="IS133" s="43"/>
      <c r="IT133" s="43"/>
      <c r="IU133" s="43"/>
      <c r="IV133" s="43"/>
      <c r="IW133" s="43"/>
      <c r="IX133" s="43"/>
      <c r="IY133" s="43"/>
      <c r="IZ133" s="43"/>
      <c r="JA133" s="43"/>
      <c r="JB133" s="43"/>
      <c r="JC133" s="43"/>
      <c r="JD133" s="43"/>
      <c r="JE133" s="43"/>
      <c r="JF133" s="43"/>
      <c r="JG133" s="43"/>
      <c r="JH133" s="43"/>
      <c r="JI133" s="43"/>
      <c r="JJ133" s="43"/>
      <c r="JK133" s="43"/>
      <c r="JL133" s="43"/>
      <c r="JM133" s="43"/>
      <c r="JN133" s="43"/>
      <c r="JO133" s="43"/>
      <c r="JP133" s="43"/>
      <c r="JQ133" s="43"/>
      <c r="JR133" s="43"/>
      <c r="JS133" s="43"/>
      <c r="JT133" s="43"/>
      <c r="JU133" s="43"/>
      <c r="JV133" s="43"/>
      <c r="JW133" s="43"/>
      <c r="JX133" s="43"/>
      <c r="JY133" s="43"/>
      <c r="JZ133" s="43"/>
      <c r="KA133" s="43"/>
      <c r="KB133" s="43"/>
      <c r="KC133" s="43"/>
      <c r="KD133" s="43"/>
      <c r="KE133" s="43"/>
      <c r="KF133" s="43"/>
      <c r="KG133" s="43"/>
      <c r="KH133" s="43"/>
      <c r="KI133" s="43"/>
      <c r="KJ133" s="43"/>
      <c r="KK133" s="43"/>
      <c r="KL133" s="43"/>
      <c r="KM133" s="43"/>
      <c r="KN133" s="43"/>
      <c r="KO133" s="43"/>
      <c r="KP133" s="43"/>
      <c r="KQ133" s="43"/>
      <c r="KR133" s="43"/>
      <c r="KS133" s="43"/>
      <c r="KT133" s="43"/>
      <c r="KU133" s="43"/>
      <c r="KV133" s="43"/>
      <c r="KW133" s="43"/>
      <c r="KX133" s="43"/>
      <c r="KY133" s="43"/>
      <c r="KZ133" s="43"/>
      <c r="LA133" s="43"/>
      <c r="LB133" s="43"/>
      <c r="LC133" s="43"/>
      <c r="LD133" s="43"/>
      <c r="LE133" s="43"/>
      <c r="LF133" s="43"/>
      <c r="LG133" s="43"/>
      <c r="LH133" s="43"/>
      <c r="LI133" s="43"/>
      <c r="LJ133" s="43"/>
      <c r="LK133" s="43"/>
      <c r="LL133" s="43"/>
      <c r="LM133" s="43"/>
      <c r="LN133" s="43"/>
      <c r="LO133" s="43"/>
      <c r="LP133" s="43"/>
      <c r="LQ133" s="43"/>
      <c r="LR133" s="43"/>
      <c r="LS133" s="43"/>
      <c r="LT133" s="43"/>
      <c r="LU133" s="43"/>
      <c r="LV133" s="43"/>
      <c r="LW133" s="43"/>
      <c r="LX133" s="43"/>
      <c r="LY133" s="43"/>
      <c r="LZ133" s="43"/>
      <c r="MA133" s="43"/>
      <c r="MB133" s="43"/>
      <c r="MC133" s="43"/>
      <c r="MD133" s="43"/>
      <c r="ME133" s="43"/>
      <c r="MF133" s="43"/>
      <c r="MG133" s="43"/>
      <c r="MH133" s="43"/>
      <c r="MI133" s="43"/>
      <c r="MJ133" s="43"/>
      <c r="MK133" s="43"/>
      <c r="ML133" s="43"/>
      <c r="MM133" s="43"/>
      <c r="MN133" s="43"/>
      <c r="MO133" s="43"/>
      <c r="MP133" s="43"/>
      <c r="MQ133" s="43"/>
      <c r="MR133" s="43"/>
      <c r="MS133" s="43"/>
      <c r="MT133" s="43"/>
      <c r="MU133" s="43"/>
      <c r="MV133" s="43"/>
      <c r="MW133" s="43"/>
      <c r="MX133" s="43"/>
      <c r="MY133" s="43"/>
      <c r="MZ133" s="43"/>
      <c r="NA133" s="43"/>
      <c r="NB133" s="43"/>
      <c r="NC133" s="43"/>
      <c r="ND133" s="43"/>
      <c r="NE133" s="43"/>
      <c r="NF133" s="43"/>
      <c r="NG133" s="43"/>
      <c r="NH133" s="43"/>
      <c r="NI133" s="43"/>
      <c r="NJ133" s="43"/>
      <c r="NK133" s="43"/>
      <c r="NL133" s="43"/>
      <c r="NM133" s="43"/>
      <c r="NN133" s="43"/>
      <c r="NO133" s="43"/>
      <c r="NP133" s="43"/>
      <c r="NQ133" s="43"/>
      <c r="NR133" s="43"/>
      <c r="NS133" s="43"/>
      <c r="NT133" s="43"/>
      <c r="NU133" s="43"/>
      <c r="NV133" s="43"/>
      <c r="NW133" s="43"/>
      <c r="NX133" s="43"/>
      <c r="NY133" s="43"/>
      <c r="NZ133" s="43"/>
      <c r="OA133" s="43"/>
      <c r="OB133" s="43"/>
      <c r="OC133" s="43"/>
      <c r="OD133" s="43"/>
      <c r="OE133" s="43"/>
      <c r="OF133" s="43"/>
      <c r="OG133" s="43"/>
      <c r="OH133" s="43"/>
      <c r="OI133" s="43"/>
      <c r="OJ133" s="43"/>
      <c r="OK133" s="43"/>
      <c r="OL133" s="43"/>
      <c r="OM133" s="43"/>
      <c r="ON133" s="43"/>
      <c r="OO133" s="43"/>
      <c r="OP133" s="43"/>
      <c r="OQ133" s="43"/>
      <c r="OR133" s="43"/>
      <c r="OS133" s="43"/>
      <c r="OT133" s="43"/>
      <c r="OU133" s="43"/>
      <c r="OV133" s="43"/>
      <c r="OW133" s="43"/>
      <c r="OX133" s="43"/>
      <c r="OY133" s="43"/>
      <c r="OZ133" s="43"/>
      <c r="PA133" s="43"/>
      <c r="PB133" s="43"/>
      <c r="PC133" s="43"/>
      <c r="PD133" s="43"/>
      <c r="PE133" s="43"/>
      <c r="PF133" s="43"/>
      <c r="PG133" s="43"/>
      <c r="PH133" s="43"/>
      <c r="PI133" s="43"/>
      <c r="PJ133" s="43"/>
      <c r="PK133" s="43"/>
      <c r="PL133" s="43"/>
      <c r="PM133" s="43"/>
      <c r="PN133" s="43"/>
      <c r="PO133" s="43"/>
      <c r="PP133" s="43"/>
      <c r="PQ133" s="43"/>
      <c r="PR133" s="43"/>
      <c r="PS133" s="43"/>
      <c r="PT133" s="43"/>
      <c r="PU133" s="43"/>
      <c r="PV133" s="43"/>
      <c r="PW133" s="43"/>
      <c r="PX133" s="43"/>
      <c r="PY133" s="43"/>
      <c r="PZ133" s="43"/>
      <c r="QA133" s="43"/>
      <c r="QB133" s="43"/>
      <c r="QC133" s="43"/>
    </row>
    <row r="134" spans="1:445" x14ac:dyDescent="0.3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6" t="str">
        <f t="shared" si="12"/>
        <v/>
      </c>
      <c r="U134" s="46" t="str">
        <f t="shared" si="13"/>
        <v/>
      </c>
      <c r="V134" s="72" t="str">
        <f t="shared" si="14"/>
        <v/>
      </c>
      <c r="W134" s="48"/>
      <c r="X134" s="73" t="str">
        <f t="shared" si="15"/>
        <v/>
      </c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43"/>
      <c r="BN134" s="43"/>
      <c r="BO134" s="43"/>
      <c r="BP134" s="43"/>
      <c r="BQ134" s="43"/>
      <c r="BR134" s="43"/>
      <c r="BS134" s="43"/>
      <c r="BT134" s="43"/>
      <c r="BU134" s="43"/>
      <c r="BV134" s="43"/>
      <c r="BW134" s="43"/>
      <c r="BX134" s="43"/>
      <c r="BY134" s="43"/>
      <c r="BZ134" s="43"/>
      <c r="CA134" s="43"/>
      <c r="CB134" s="43"/>
      <c r="CC134" s="43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43"/>
      <c r="CY134" s="43"/>
      <c r="CZ134" s="43"/>
      <c r="DA134" s="43"/>
      <c r="DB134" s="43"/>
      <c r="DC134" s="43"/>
      <c r="DD134" s="43"/>
      <c r="DE134" s="43"/>
      <c r="DF134" s="43"/>
      <c r="DG134" s="43"/>
      <c r="DH134" s="43"/>
      <c r="DI134" s="43"/>
      <c r="DJ134" s="43"/>
      <c r="DK134" s="43"/>
      <c r="DL134" s="43"/>
      <c r="DM134" s="43"/>
      <c r="DN134" s="43"/>
      <c r="DO134" s="43"/>
      <c r="DP134" s="43"/>
      <c r="DQ134" s="43"/>
      <c r="DR134" s="43"/>
      <c r="DS134" s="43"/>
      <c r="DT134" s="43"/>
      <c r="DU134" s="43"/>
      <c r="DV134" s="43"/>
      <c r="DW134" s="43"/>
      <c r="DX134" s="43"/>
      <c r="DY134" s="43"/>
      <c r="DZ134" s="43"/>
      <c r="EA134" s="43"/>
      <c r="EB134" s="43"/>
      <c r="EC134" s="43"/>
      <c r="ED134" s="43"/>
      <c r="EE134" s="43"/>
      <c r="EF134" s="43"/>
      <c r="EG134" s="43"/>
      <c r="EH134" s="43"/>
      <c r="EI134" s="43"/>
      <c r="EJ134" s="43"/>
      <c r="EK134" s="43"/>
      <c r="EL134" s="43"/>
      <c r="EM134" s="43"/>
      <c r="EN134" s="43"/>
      <c r="EO134" s="43"/>
      <c r="EP134" s="43"/>
      <c r="EQ134" s="43"/>
      <c r="ER134" s="43"/>
      <c r="ES134" s="43"/>
      <c r="ET134" s="43"/>
      <c r="EU134" s="43"/>
      <c r="EV134" s="43"/>
      <c r="EW134" s="43"/>
      <c r="EX134" s="43"/>
      <c r="EY134" s="43"/>
      <c r="EZ134" s="43"/>
      <c r="FA134" s="43"/>
      <c r="FB134" s="43"/>
      <c r="FC134" s="43"/>
      <c r="FD134" s="43"/>
      <c r="FE134" s="43"/>
      <c r="FF134" s="43"/>
      <c r="FG134" s="43"/>
      <c r="FH134" s="43"/>
      <c r="FI134" s="43"/>
      <c r="FJ134" s="43"/>
      <c r="FK134" s="43"/>
      <c r="FL134" s="43"/>
      <c r="FM134" s="43"/>
      <c r="FN134" s="43"/>
      <c r="FO134" s="43"/>
      <c r="FP134" s="43"/>
      <c r="FQ134" s="43"/>
      <c r="FR134" s="43"/>
      <c r="FS134" s="43"/>
      <c r="FT134" s="43"/>
      <c r="FU134" s="43"/>
      <c r="FV134" s="43"/>
      <c r="FW134" s="43"/>
      <c r="FX134" s="43"/>
      <c r="FY134" s="43"/>
      <c r="FZ134" s="43"/>
      <c r="GA134" s="43"/>
      <c r="GB134" s="43"/>
      <c r="GC134" s="43"/>
      <c r="GD134" s="43"/>
      <c r="GE134" s="43"/>
      <c r="GF134" s="43"/>
      <c r="GG134" s="43"/>
      <c r="GH134" s="43"/>
      <c r="GI134" s="43"/>
      <c r="GJ134" s="43"/>
      <c r="GK134" s="43"/>
      <c r="GL134" s="43"/>
      <c r="GM134" s="43"/>
      <c r="GN134" s="43"/>
      <c r="GO134" s="43"/>
      <c r="GP134" s="43"/>
      <c r="GQ134" s="43"/>
      <c r="GR134" s="43"/>
      <c r="GS134" s="43"/>
      <c r="GT134" s="43"/>
      <c r="GU134" s="43"/>
      <c r="GV134" s="43"/>
      <c r="GW134" s="43"/>
      <c r="GX134" s="43"/>
      <c r="GY134" s="43"/>
      <c r="GZ134" s="43"/>
      <c r="HA134" s="43"/>
      <c r="HB134" s="43"/>
      <c r="HC134" s="43"/>
      <c r="HD134" s="43"/>
      <c r="HE134" s="43"/>
      <c r="HF134" s="43"/>
      <c r="HG134" s="43"/>
      <c r="HH134" s="43"/>
      <c r="HI134" s="43"/>
      <c r="HJ134" s="43"/>
      <c r="HK134" s="43"/>
      <c r="HL134" s="43"/>
      <c r="HM134" s="43"/>
      <c r="HN134" s="43"/>
      <c r="HO134" s="43"/>
      <c r="HP134" s="43"/>
      <c r="HQ134" s="43"/>
      <c r="HR134" s="43"/>
      <c r="HS134" s="43"/>
      <c r="HT134" s="43"/>
      <c r="HU134" s="43"/>
      <c r="HV134" s="43"/>
      <c r="HW134" s="43"/>
      <c r="HX134" s="43"/>
      <c r="HY134" s="43"/>
      <c r="HZ134" s="43"/>
      <c r="IA134" s="43"/>
      <c r="IB134" s="43"/>
      <c r="IC134" s="43"/>
      <c r="ID134" s="43"/>
      <c r="IE134" s="43"/>
      <c r="IF134" s="43"/>
      <c r="IG134" s="43"/>
      <c r="IH134" s="43"/>
      <c r="II134" s="43"/>
      <c r="IJ134" s="43"/>
      <c r="IK134" s="43"/>
      <c r="IL134" s="43"/>
      <c r="IM134" s="43"/>
      <c r="IN134" s="43"/>
      <c r="IO134" s="43"/>
      <c r="IP134" s="43"/>
      <c r="IQ134" s="43"/>
      <c r="IR134" s="43"/>
      <c r="IS134" s="43"/>
      <c r="IT134" s="43"/>
      <c r="IU134" s="43"/>
      <c r="IV134" s="43"/>
      <c r="IW134" s="43"/>
      <c r="IX134" s="43"/>
      <c r="IY134" s="43"/>
      <c r="IZ134" s="43"/>
      <c r="JA134" s="43"/>
      <c r="JB134" s="43"/>
      <c r="JC134" s="43"/>
      <c r="JD134" s="43"/>
      <c r="JE134" s="43"/>
      <c r="JF134" s="43"/>
      <c r="JG134" s="43"/>
      <c r="JH134" s="43"/>
      <c r="JI134" s="43"/>
      <c r="JJ134" s="43"/>
      <c r="JK134" s="43"/>
      <c r="JL134" s="43"/>
      <c r="JM134" s="43"/>
      <c r="JN134" s="43"/>
      <c r="JO134" s="43"/>
      <c r="JP134" s="43"/>
      <c r="JQ134" s="43"/>
      <c r="JR134" s="43"/>
      <c r="JS134" s="43"/>
      <c r="JT134" s="43"/>
      <c r="JU134" s="43"/>
      <c r="JV134" s="43"/>
      <c r="JW134" s="43"/>
      <c r="JX134" s="43"/>
      <c r="JY134" s="43"/>
      <c r="JZ134" s="43"/>
      <c r="KA134" s="43"/>
      <c r="KB134" s="43"/>
      <c r="KC134" s="43"/>
      <c r="KD134" s="43"/>
      <c r="KE134" s="43"/>
      <c r="KF134" s="43"/>
      <c r="KG134" s="43"/>
      <c r="KH134" s="43"/>
      <c r="KI134" s="43"/>
      <c r="KJ134" s="43"/>
      <c r="KK134" s="43"/>
      <c r="KL134" s="43"/>
      <c r="KM134" s="43"/>
      <c r="KN134" s="43"/>
      <c r="KO134" s="43"/>
      <c r="KP134" s="43"/>
      <c r="KQ134" s="43"/>
      <c r="KR134" s="43"/>
      <c r="KS134" s="43"/>
      <c r="KT134" s="43"/>
      <c r="KU134" s="43"/>
      <c r="KV134" s="43"/>
      <c r="KW134" s="43"/>
      <c r="KX134" s="43"/>
      <c r="KY134" s="43"/>
      <c r="KZ134" s="43"/>
      <c r="LA134" s="43"/>
      <c r="LB134" s="43"/>
      <c r="LC134" s="43"/>
      <c r="LD134" s="43"/>
      <c r="LE134" s="43"/>
      <c r="LF134" s="43"/>
      <c r="LG134" s="43"/>
      <c r="LH134" s="43"/>
      <c r="LI134" s="43"/>
      <c r="LJ134" s="43"/>
      <c r="LK134" s="43"/>
      <c r="LL134" s="43"/>
      <c r="LM134" s="43"/>
      <c r="LN134" s="43"/>
      <c r="LO134" s="43"/>
      <c r="LP134" s="43"/>
      <c r="LQ134" s="43"/>
      <c r="LR134" s="43"/>
      <c r="LS134" s="43"/>
      <c r="LT134" s="43"/>
      <c r="LU134" s="43"/>
      <c r="LV134" s="43"/>
      <c r="LW134" s="43"/>
      <c r="LX134" s="43"/>
      <c r="LY134" s="43"/>
      <c r="LZ134" s="43"/>
      <c r="MA134" s="43"/>
      <c r="MB134" s="43"/>
      <c r="MC134" s="43"/>
      <c r="MD134" s="43"/>
      <c r="ME134" s="43"/>
      <c r="MF134" s="43"/>
      <c r="MG134" s="43"/>
      <c r="MH134" s="43"/>
      <c r="MI134" s="43"/>
      <c r="MJ134" s="43"/>
      <c r="MK134" s="43"/>
      <c r="ML134" s="43"/>
      <c r="MM134" s="43"/>
      <c r="MN134" s="43"/>
      <c r="MO134" s="43"/>
      <c r="MP134" s="43"/>
      <c r="MQ134" s="43"/>
      <c r="MR134" s="43"/>
      <c r="MS134" s="43"/>
      <c r="MT134" s="43"/>
      <c r="MU134" s="43"/>
      <c r="MV134" s="43"/>
      <c r="MW134" s="43"/>
      <c r="MX134" s="43"/>
      <c r="MY134" s="43"/>
      <c r="MZ134" s="43"/>
      <c r="NA134" s="43"/>
      <c r="NB134" s="43"/>
      <c r="NC134" s="43"/>
      <c r="ND134" s="43"/>
      <c r="NE134" s="43"/>
      <c r="NF134" s="43"/>
      <c r="NG134" s="43"/>
      <c r="NH134" s="43"/>
      <c r="NI134" s="43"/>
      <c r="NJ134" s="43"/>
      <c r="NK134" s="43"/>
      <c r="NL134" s="43"/>
      <c r="NM134" s="43"/>
      <c r="NN134" s="43"/>
      <c r="NO134" s="43"/>
      <c r="NP134" s="43"/>
      <c r="NQ134" s="43"/>
      <c r="NR134" s="43"/>
      <c r="NS134" s="43"/>
      <c r="NT134" s="43"/>
      <c r="NU134" s="43"/>
      <c r="NV134" s="43"/>
      <c r="NW134" s="43"/>
      <c r="NX134" s="43"/>
      <c r="NY134" s="43"/>
      <c r="NZ134" s="43"/>
      <c r="OA134" s="43"/>
      <c r="OB134" s="43"/>
      <c r="OC134" s="43"/>
      <c r="OD134" s="43"/>
      <c r="OE134" s="43"/>
      <c r="OF134" s="43"/>
      <c r="OG134" s="43"/>
      <c r="OH134" s="43"/>
      <c r="OI134" s="43"/>
      <c r="OJ134" s="43"/>
      <c r="OK134" s="43"/>
      <c r="OL134" s="43"/>
      <c r="OM134" s="43"/>
      <c r="ON134" s="43"/>
      <c r="OO134" s="43"/>
      <c r="OP134" s="43"/>
      <c r="OQ134" s="43"/>
      <c r="OR134" s="43"/>
      <c r="OS134" s="43"/>
      <c r="OT134" s="43"/>
      <c r="OU134" s="43"/>
      <c r="OV134" s="43"/>
      <c r="OW134" s="43"/>
      <c r="OX134" s="43"/>
      <c r="OY134" s="43"/>
      <c r="OZ134" s="43"/>
      <c r="PA134" s="43"/>
      <c r="PB134" s="43"/>
      <c r="PC134" s="43"/>
      <c r="PD134" s="43"/>
      <c r="PE134" s="43"/>
      <c r="PF134" s="43"/>
      <c r="PG134" s="43"/>
      <c r="PH134" s="43"/>
      <c r="PI134" s="43"/>
      <c r="PJ134" s="43"/>
      <c r="PK134" s="43"/>
      <c r="PL134" s="43"/>
      <c r="PM134" s="43"/>
      <c r="PN134" s="43"/>
      <c r="PO134" s="43"/>
      <c r="PP134" s="43"/>
      <c r="PQ134" s="43"/>
      <c r="PR134" s="43"/>
      <c r="PS134" s="43"/>
      <c r="PT134" s="43"/>
      <c r="PU134" s="43"/>
      <c r="PV134" s="43"/>
      <c r="PW134" s="43"/>
      <c r="PX134" s="43"/>
      <c r="PY134" s="43"/>
      <c r="PZ134" s="43"/>
      <c r="QA134" s="43"/>
      <c r="QB134" s="43"/>
      <c r="QC134" s="43"/>
    </row>
    <row r="135" spans="1:445" x14ac:dyDescent="0.3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6" t="str">
        <f t="shared" si="12"/>
        <v/>
      </c>
      <c r="U135" s="46" t="str">
        <f t="shared" si="13"/>
        <v/>
      </c>
      <c r="V135" s="72" t="str">
        <f t="shared" si="14"/>
        <v/>
      </c>
      <c r="W135" s="48"/>
      <c r="X135" s="73" t="str">
        <f t="shared" si="15"/>
        <v/>
      </c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43"/>
      <c r="BN135" s="43"/>
      <c r="BO135" s="43"/>
      <c r="BP135" s="43"/>
      <c r="BQ135" s="43"/>
      <c r="BR135" s="43"/>
      <c r="BS135" s="43"/>
      <c r="BT135" s="43"/>
      <c r="BU135" s="43"/>
      <c r="BV135" s="43"/>
      <c r="BW135" s="43"/>
      <c r="BX135" s="43"/>
      <c r="BY135" s="43"/>
      <c r="BZ135" s="43"/>
      <c r="CA135" s="43"/>
      <c r="CB135" s="43"/>
      <c r="CC135" s="43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43"/>
      <c r="CY135" s="43"/>
      <c r="CZ135" s="43"/>
      <c r="DA135" s="43"/>
      <c r="DB135" s="43"/>
      <c r="DC135" s="43"/>
      <c r="DD135" s="43"/>
      <c r="DE135" s="43"/>
      <c r="DF135" s="43"/>
      <c r="DG135" s="43"/>
      <c r="DH135" s="43"/>
      <c r="DI135" s="43"/>
      <c r="DJ135" s="43"/>
      <c r="DK135" s="43"/>
      <c r="DL135" s="43"/>
      <c r="DM135" s="43"/>
      <c r="DN135" s="43"/>
      <c r="DO135" s="43"/>
      <c r="DP135" s="43"/>
      <c r="DQ135" s="43"/>
      <c r="DR135" s="43"/>
      <c r="DS135" s="43"/>
      <c r="DT135" s="43"/>
      <c r="DU135" s="43"/>
      <c r="DV135" s="43"/>
      <c r="DW135" s="43"/>
      <c r="DX135" s="43"/>
      <c r="DY135" s="43"/>
      <c r="DZ135" s="43"/>
      <c r="EA135" s="43"/>
      <c r="EB135" s="43"/>
      <c r="EC135" s="43"/>
      <c r="ED135" s="43"/>
      <c r="EE135" s="43"/>
      <c r="EF135" s="43"/>
      <c r="EG135" s="43"/>
      <c r="EH135" s="43"/>
      <c r="EI135" s="43"/>
      <c r="EJ135" s="43"/>
      <c r="EK135" s="43"/>
      <c r="EL135" s="43"/>
      <c r="EM135" s="43"/>
      <c r="EN135" s="43"/>
      <c r="EO135" s="43"/>
      <c r="EP135" s="43"/>
      <c r="EQ135" s="43"/>
      <c r="ER135" s="43"/>
      <c r="ES135" s="43"/>
      <c r="ET135" s="43"/>
      <c r="EU135" s="43"/>
      <c r="EV135" s="43"/>
      <c r="EW135" s="43"/>
      <c r="EX135" s="43"/>
      <c r="EY135" s="43"/>
      <c r="EZ135" s="43"/>
      <c r="FA135" s="43"/>
      <c r="FB135" s="43"/>
      <c r="FC135" s="43"/>
      <c r="FD135" s="43"/>
      <c r="FE135" s="43"/>
      <c r="FF135" s="43"/>
      <c r="FG135" s="43"/>
      <c r="FH135" s="43"/>
      <c r="FI135" s="43"/>
      <c r="FJ135" s="43"/>
      <c r="FK135" s="43"/>
      <c r="FL135" s="43"/>
      <c r="FM135" s="43"/>
      <c r="FN135" s="43"/>
      <c r="FO135" s="43"/>
      <c r="FP135" s="43"/>
      <c r="FQ135" s="43"/>
      <c r="FR135" s="43"/>
      <c r="FS135" s="43"/>
      <c r="FT135" s="43"/>
      <c r="FU135" s="43"/>
      <c r="FV135" s="43"/>
      <c r="FW135" s="43"/>
      <c r="FX135" s="43"/>
      <c r="FY135" s="43"/>
      <c r="FZ135" s="43"/>
      <c r="GA135" s="43"/>
      <c r="GB135" s="43"/>
      <c r="GC135" s="43"/>
      <c r="GD135" s="43"/>
      <c r="GE135" s="43"/>
      <c r="GF135" s="43"/>
      <c r="GG135" s="43"/>
      <c r="GH135" s="43"/>
      <c r="GI135" s="43"/>
      <c r="GJ135" s="43"/>
      <c r="GK135" s="43"/>
      <c r="GL135" s="43"/>
      <c r="GM135" s="43"/>
      <c r="GN135" s="43"/>
      <c r="GO135" s="43"/>
      <c r="GP135" s="43"/>
      <c r="GQ135" s="43"/>
      <c r="GR135" s="43"/>
      <c r="GS135" s="43"/>
      <c r="GT135" s="43"/>
      <c r="GU135" s="43"/>
      <c r="GV135" s="43"/>
      <c r="GW135" s="43"/>
      <c r="GX135" s="43"/>
      <c r="GY135" s="43"/>
      <c r="GZ135" s="43"/>
      <c r="HA135" s="43"/>
      <c r="HB135" s="43"/>
      <c r="HC135" s="43"/>
      <c r="HD135" s="43"/>
      <c r="HE135" s="43"/>
      <c r="HF135" s="43"/>
      <c r="HG135" s="43"/>
      <c r="HH135" s="43"/>
      <c r="HI135" s="43"/>
      <c r="HJ135" s="43"/>
      <c r="HK135" s="43"/>
      <c r="HL135" s="43"/>
      <c r="HM135" s="43"/>
      <c r="HN135" s="43"/>
      <c r="HO135" s="43"/>
      <c r="HP135" s="43"/>
      <c r="HQ135" s="43"/>
      <c r="HR135" s="43"/>
      <c r="HS135" s="43"/>
      <c r="HT135" s="43"/>
      <c r="HU135" s="43"/>
      <c r="HV135" s="43"/>
      <c r="HW135" s="43"/>
      <c r="HX135" s="43"/>
      <c r="HY135" s="43"/>
      <c r="HZ135" s="43"/>
      <c r="IA135" s="43"/>
      <c r="IB135" s="43"/>
      <c r="IC135" s="43"/>
      <c r="ID135" s="43"/>
      <c r="IE135" s="43"/>
      <c r="IF135" s="43"/>
      <c r="IG135" s="43"/>
      <c r="IH135" s="43"/>
      <c r="II135" s="43"/>
      <c r="IJ135" s="43"/>
      <c r="IK135" s="43"/>
      <c r="IL135" s="43"/>
      <c r="IM135" s="43"/>
      <c r="IN135" s="43"/>
      <c r="IO135" s="43"/>
      <c r="IP135" s="43"/>
      <c r="IQ135" s="43"/>
      <c r="IR135" s="43"/>
      <c r="IS135" s="43"/>
      <c r="IT135" s="43"/>
      <c r="IU135" s="43"/>
      <c r="IV135" s="43"/>
      <c r="IW135" s="43"/>
      <c r="IX135" s="43"/>
      <c r="IY135" s="43"/>
      <c r="IZ135" s="43"/>
      <c r="JA135" s="43"/>
      <c r="JB135" s="43"/>
      <c r="JC135" s="43"/>
      <c r="JD135" s="43"/>
      <c r="JE135" s="43"/>
      <c r="JF135" s="43"/>
      <c r="JG135" s="43"/>
      <c r="JH135" s="43"/>
      <c r="JI135" s="43"/>
      <c r="JJ135" s="43"/>
      <c r="JK135" s="43"/>
      <c r="JL135" s="43"/>
      <c r="JM135" s="43"/>
      <c r="JN135" s="43"/>
      <c r="JO135" s="43"/>
      <c r="JP135" s="43"/>
      <c r="JQ135" s="43"/>
      <c r="JR135" s="43"/>
      <c r="JS135" s="43"/>
      <c r="JT135" s="43"/>
      <c r="JU135" s="43"/>
      <c r="JV135" s="43"/>
      <c r="JW135" s="43"/>
      <c r="JX135" s="43"/>
      <c r="JY135" s="43"/>
      <c r="JZ135" s="43"/>
      <c r="KA135" s="43"/>
      <c r="KB135" s="43"/>
      <c r="KC135" s="43"/>
      <c r="KD135" s="43"/>
      <c r="KE135" s="43"/>
      <c r="KF135" s="43"/>
      <c r="KG135" s="43"/>
      <c r="KH135" s="43"/>
      <c r="KI135" s="43"/>
      <c r="KJ135" s="43"/>
      <c r="KK135" s="43"/>
      <c r="KL135" s="43"/>
      <c r="KM135" s="43"/>
      <c r="KN135" s="43"/>
      <c r="KO135" s="43"/>
      <c r="KP135" s="43"/>
      <c r="KQ135" s="43"/>
      <c r="KR135" s="43"/>
      <c r="KS135" s="43"/>
      <c r="KT135" s="43"/>
      <c r="KU135" s="43"/>
      <c r="KV135" s="43"/>
      <c r="KW135" s="43"/>
      <c r="KX135" s="43"/>
      <c r="KY135" s="43"/>
      <c r="KZ135" s="43"/>
      <c r="LA135" s="43"/>
      <c r="LB135" s="43"/>
      <c r="LC135" s="43"/>
      <c r="LD135" s="43"/>
      <c r="LE135" s="43"/>
      <c r="LF135" s="43"/>
      <c r="LG135" s="43"/>
      <c r="LH135" s="43"/>
      <c r="LI135" s="43"/>
      <c r="LJ135" s="43"/>
      <c r="LK135" s="43"/>
      <c r="LL135" s="43"/>
      <c r="LM135" s="43"/>
      <c r="LN135" s="43"/>
      <c r="LO135" s="43"/>
      <c r="LP135" s="43"/>
      <c r="LQ135" s="43"/>
      <c r="LR135" s="43"/>
      <c r="LS135" s="43"/>
      <c r="LT135" s="43"/>
      <c r="LU135" s="43"/>
      <c r="LV135" s="43"/>
      <c r="LW135" s="43"/>
      <c r="LX135" s="43"/>
      <c r="LY135" s="43"/>
      <c r="LZ135" s="43"/>
      <c r="MA135" s="43"/>
      <c r="MB135" s="43"/>
      <c r="MC135" s="43"/>
      <c r="MD135" s="43"/>
      <c r="ME135" s="43"/>
      <c r="MF135" s="43"/>
      <c r="MG135" s="43"/>
      <c r="MH135" s="43"/>
      <c r="MI135" s="43"/>
      <c r="MJ135" s="43"/>
      <c r="MK135" s="43"/>
      <c r="ML135" s="43"/>
      <c r="MM135" s="43"/>
      <c r="MN135" s="43"/>
      <c r="MO135" s="43"/>
      <c r="MP135" s="43"/>
      <c r="MQ135" s="43"/>
      <c r="MR135" s="43"/>
      <c r="MS135" s="43"/>
      <c r="MT135" s="43"/>
      <c r="MU135" s="43"/>
      <c r="MV135" s="43"/>
      <c r="MW135" s="43"/>
      <c r="MX135" s="43"/>
      <c r="MY135" s="43"/>
      <c r="MZ135" s="43"/>
      <c r="NA135" s="43"/>
      <c r="NB135" s="43"/>
      <c r="NC135" s="43"/>
      <c r="ND135" s="43"/>
      <c r="NE135" s="43"/>
      <c r="NF135" s="43"/>
      <c r="NG135" s="43"/>
      <c r="NH135" s="43"/>
      <c r="NI135" s="43"/>
      <c r="NJ135" s="43"/>
      <c r="NK135" s="43"/>
      <c r="NL135" s="43"/>
      <c r="NM135" s="43"/>
      <c r="NN135" s="43"/>
      <c r="NO135" s="43"/>
      <c r="NP135" s="43"/>
      <c r="NQ135" s="43"/>
      <c r="NR135" s="43"/>
      <c r="NS135" s="43"/>
      <c r="NT135" s="43"/>
      <c r="NU135" s="43"/>
      <c r="NV135" s="43"/>
      <c r="NW135" s="43"/>
      <c r="NX135" s="43"/>
      <c r="NY135" s="43"/>
      <c r="NZ135" s="43"/>
      <c r="OA135" s="43"/>
      <c r="OB135" s="43"/>
      <c r="OC135" s="43"/>
      <c r="OD135" s="43"/>
      <c r="OE135" s="43"/>
      <c r="OF135" s="43"/>
      <c r="OG135" s="43"/>
      <c r="OH135" s="43"/>
      <c r="OI135" s="43"/>
      <c r="OJ135" s="43"/>
      <c r="OK135" s="43"/>
      <c r="OL135" s="43"/>
      <c r="OM135" s="43"/>
      <c r="ON135" s="43"/>
      <c r="OO135" s="43"/>
      <c r="OP135" s="43"/>
      <c r="OQ135" s="43"/>
      <c r="OR135" s="43"/>
      <c r="OS135" s="43"/>
      <c r="OT135" s="43"/>
      <c r="OU135" s="43"/>
      <c r="OV135" s="43"/>
      <c r="OW135" s="43"/>
      <c r="OX135" s="43"/>
      <c r="OY135" s="43"/>
      <c r="OZ135" s="43"/>
      <c r="PA135" s="43"/>
      <c r="PB135" s="43"/>
      <c r="PC135" s="43"/>
      <c r="PD135" s="43"/>
      <c r="PE135" s="43"/>
      <c r="PF135" s="43"/>
      <c r="PG135" s="43"/>
      <c r="PH135" s="43"/>
      <c r="PI135" s="43"/>
      <c r="PJ135" s="43"/>
      <c r="PK135" s="43"/>
      <c r="PL135" s="43"/>
      <c r="PM135" s="43"/>
      <c r="PN135" s="43"/>
      <c r="PO135" s="43"/>
      <c r="PP135" s="43"/>
      <c r="PQ135" s="43"/>
      <c r="PR135" s="43"/>
      <c r="PS135" s="43"/>
      <c r="PT135" s="43"/>
      <c r="PU135" s="43"/>
      <c r="PV135" s="43"/>
      <c r="PW135" s="43"/>
      <c r="PX135" s="43"/>
      <c r="PY135" s="43"/>
      <c r="PZ135" s="43"/>
      <c r="QA135" s="43"/>
      <c r="QB135" s="43"/>
      <c r="QC135" s="43"/>
    </row>
    <row r="136" spans="1:445" x14ac:dyDescent="0.3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6" t="str">
        <f t="shared" si="12"/>
        <v/>
      </c>
      <c r="U136" s="46" t="str">
        <f t="shared" si="13"/>
        <v/>
      </c>
      <c r="V136" s="72" t="str">
        <f t="shared" si="14"/>
        <v/>
      </c>
      <c r="W136" s="48"/>
      <c r="X136" s="73" t="str">
        <f t="shared" si="15"/>
        <v/>
      </c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43"/>
      <c r="BN136" s="43"/>
      <c r="BO136" s="43"/>
      <c r="BP136" s="43"/>
      <c r="BQ136" s="43"/>
      <c r="BR136" s="43"/>
      <c r="BS136" s="43"/>
      <c r="BT136" s="43"/>
      <c r="BU136" s="43"/>
      <c r="BV136" s="43"/>
      <c r="BW136" s="43"/>
      <c r="BX136" s="43"/>
      <c r="BY136" s="43"/>
      <c r="BZ136" s="43"/>
      <c r="CA136" s="43"/>
      <c r="CB136" s="43"/>
      <c r="CC136" s="43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43"/>
      <c r="CY136" s="43"/>
      <c r="CZ136" s="43"/>
      <c r="DA136" s="43"/>
      <c r="DB136" s="43"/>
      <c r="DC136" s="43"/>
      <c r="DD136" s="43"/>
      <c r="DE136" s="43"/>
      <c r="DF136" s="43"/>
      <c r="DG136" s="43"/>
      <c r="DH136" s="43"/>
      <c r="DI136" s="43"/>
      <c r="DJ136" s="43"/>
      <c r="DK136" s="43"/>
      <c r="DL136" s="43"/>
      <c r="DM136" s="43"/>
      <c r="DN136" s="43"/>
      <c r="DO136" s="43"/>
      <c r="DP136" s="43"/>
      <c r="DQ136" s="43"/>
      <c r="DR136" s="43"/>
      <c r="DS136" s="43"/>
      <c r="DT136" s="43"/>
      <c r="DU136" s="43"/>
      <c r="DV136" s="43"/>
      <c r="DW136" s="43"/>
      <c r="DX136" s="43"/>
      <c r="DY136" s="43"/>
      <c r="DZ136" s="43"/>
      <c r="EA136" s="43"/>
      <c r="EB136" s="43"/>
      <c r="EC136" s="43"/>
      <c r="ED136" s="43"/>
      <c r="EE136" s="43"/>
      <c r="EF136" s="43"/>
      <c r="EG136" s="43"/>
      <c r="EH136" s="43"/>
      <c r="EI136" s="43"/>
      <c r="EJ136" s="43"/>
      <c r="EK136" s="43"/>
      <c r="EL136" s="43"/>
      <c r="EM136" s="43"/>
      <c r="EN136" s="43"/>
      <c r="EO136" s="43"/>
      <c r="EP136" s="43"/>
      <c r="EQ136" s="43"/>
      <c r="ER136" s="43"/>
      <c r="ES136" s="43"/>
      <c r="ET136" s="43"/>
      <c r="EU136" s="43"/>
      <c r="EV136" s="43"/>
      <c r="EW136" s="43"/>
      <c r="EX136" s="43"/>
      <c r="EY136" s="43"/>
      <c r="EZ136" s="43"/>
      <c r="FA136" s="43"/>
      <c r="FB136" s="43"/>
      <c r="FC136" s="43"/>
      <c r="FD136" s="43"/>
      <c r="FE136" s="43"/>
      <c r="FF136" s="43"/>
      <c r="FG136" s="43"/>
      <c r="FH136" s="43"/>
      <c r="FI136" s="43"/>
      <c r="FJ136" s="43"/>
      <c r="FK136" s="43"/>
      <c r="FL136" s="43"/>
      <c r="FM136" s="43"/>
      <c r="FN136" s="43"/>
      <c r="FO136" s="43"/>
      <c r="FP136" s="43"/>
      <c r="FQ136" s="43"/>
      <c r="FR136" s="43"/>
      <c r="FS136" s="43"/>
      <c r="FT136" s="43"/>
      <c r="FU136" s="43"/>
      <c r="FV136" s="43"/>
      <c r="FW136" s="43"/>
      <c r="FX136" s="43"/>
      <c r="FY136" s="43"/>
      <c r="FZ136" s="43"/>
      <c r="GA136" s="43"/>
      <c r="GB136" s="43"/>
      <c r="GC136" s="43"/>
      <c r="GD136" s="43"/>
      <c r="GE136" s="43"/>
      <c r="GF136" s="43"/>
      <c r="GG136" s="43"/>
      <c r="GH136" s="43"/>
      <c r="GI136" s="43"/>
      <c r="GJ136" s="43"/>
      <c r="GK136" s="43"/>
      <c r="GL136" s="43"/>
      <c r="GM136" s="43"/>
      <c r="GN136" s="43"/>
      <c r="GO136" s="43"/>
      <c r="GP136" s="43"/>
      <c r="GQ136" s="43"/>
      <c r="GR136" s="43"/>
      <c r="GS136" s="43"/>
      <c r="GT136" s="43"/>
      <c r="GU136" s="43"/>
      <c r="GV136" s="43"/>
      <c r="GW136" s="43"/>
      <c r="GX136" s="43"/>
      <c r="GY136" s="43"/>
      <c r="GZ136" s="43"/>
      <c r="HA136" s="43"/>
      <c r="HB136" s="43"/>
      <c r="HC136" s="43"/>
      <c r="HD136" s="43"/>
      <c r="HE136" s="43"/>
      <c r="HF136" s="43"/>
      <c r="HG136" s="43"/>
      <c r="HH136" s="43"/>
      <c r="HI136" s="43"/>
      <c r="HJ136" s="43"/>
      <c r="HK136" s="43"/>
      <c r="HL136" s="43"/>
      <c r="HM136" s="43"/>
      <c r="HN136" s="43"/>
      <c r="HO136" s="43"/>
      <c r="HP136" s="43"/>
      <c r="HQ136" s="43"/>
      <c r="HR136" s="43"/>
      <c r="HS136" s="43"/>
      <c r="HT136" s="43"/>
      <c r="HU136" s="43"/>
      <c r="HV136" s="43"/>
      <c r="HW136" s="43"/>
      <c r="HX136" s="43"/>
      <c r="HY136" s="43"/>
      <c r="HZ136" s="43"/>
      <c r="IA136" s="43"/>
      <c r="IB136" s="43"/>
      <c r="IC136" s="43"/>
      <c r="ID136" s="43"/>
      <c r="IE136" s="43"/>
      <c r="IF136" s="43"/>
      <c r="IG136" s="43"/>
      <c r="IH136" s="43"/>
      <c r="II136" s="43"/>
      <c r="IJ136" s="43"/>
      <c r="IK136" s="43"/>
      <c r="IL136" s="43"/>
      <c r="IM136" s="43"/>
      <c r="IN136" s="43"/>
      <c r="IO136" s="43"/>
      <c r="IP136" s="43"/>
      <c r="IQ136" s="43"/>
      <c r="IR136" s="43"/>
      <c r="IS136" s="43"/>
      <c r="IT136" s="43"/>
      <c r="IU136" s="43"/>
      <c r="IV136" s="43"/>
      <c r="IW136" s="43"/>
      <c r="IX136" s="43"/>
      <c r="IY136" s="43"/>
      <c r="IZ136" s="43"/>
      <c r="JA136" s="43"/>
      <c r="JB136" s="43"/>
      <c r="JC136" s="43"/>
      <c r="JD136" s="43"/>
      <c r="JE136" s="43"/>
      <c r="JF136" s="43"/>
      <c r="JG136" s="43"/>
      <c r="JH136" s="43"/>
      <c r="JI136" s="43"/>
      <c r="JJ136" s="43"/>
      <c r="JK136" s="43"/>
      <c r="JL136" s="43"/>
      <c r="JM136" s="43"/>
      <c r="JN136" s="43"/>
      <c r="JO136" s="43"/>
      <c r="JP136" s="43"/>
      <c r="JQ136" s="43"/>
      <c r="JR136" s="43"/>
      <c r="JS136" s="43"/>
      <c r="JT136" s="43"/>
      <c r="JU136" s="43"/>
      <c r="JV136" s="43"/>
      <c r="JW136" s="43"/>
      <c r="JX136" s="43"/>
      <c r="JY136" s="43"/>
      <c r="JZ136" s="43"/>
      <c r="KA136" s="43"/>
      <c r="KB136" s="43"/>
      <c r="KC136" s="43"/>
      <c r="KD136" s="43"/>
      <c r="KE136" s="43"/>
      <c r="KF136" s="43"/>
      <c r="KG136" s="43"/>
      <c r="KH136" s="43"/>
      <c r="KI136" s="43"/>
      <c r="KJ136" s="43"/>
      <c r="KK136" s="43"/>
      <c r="KL136" s="43"/>
      <c r="KM136" s="43"/>
      <c r="KN136" s="43"/>
      <c r="KO136" s="43"/>
      <c r="KP136" s="43"/>
      <c r="KQ136" s="43"/>
      <c r="KR136" s="43"/>
      <c r="KS136" s="43"/>
      <c r="KT136" s="43"/>
      <c r="KU136" s="43"/>
      <c r="KV136" s="43"/>
      <c r="KW136" s="43"/>
      <c r="KX136" s="43"/>
      <c r="KY136" s="43"/>
      <c r="KZ136" s="43"/>
      <c r="LA136" s="43"/>
      <c r="LB136" s="43"/>
      <c r="LC136" s="43"/>
      <c r="LD136" s="43"/>
      <c r="LE136" s="43"/>
      <c r="LF136" s="43"/>
      <c r="LG136" s="43"/>
      <c r="LH136" s="43"/>
      <c r="LI136" s="43"/>
      <c r="LJ136" s="43"/>
      <c r="LK136" s="43"/>
      <c r="LL136" s="43"/>
      <c r="LM136" s="43"/>
      <c r="LN136" s="43"/>
      <c r="LO136" s="43"/>
      <c r="LP136" s="43"/>
      <c r="LQ136" s="43"/>
      <c r="LR136" s="43"/>
      <c r="LS136" s="43"/>
      <c r="LT136" s="43"/>
      <c r="LU136" s="43"/>
      <c r="LV136" s="43"/>
      <c r="LW136" s="43"/>
      <c r="LX136" s="43"/>
      <c r="LY136" s="43"/>
      <c r="LZ136" s="43"/>
      <c r="MA136" s="43"/>
      <c r="MB136" s="43"/>
      <c r="MC136" s="43"/>
      <c r="MD136" s="43"/>
      <c r="ME136" s="43"/>
      <c r="MF136" s="43"/>
      <c r="MG136" s="43"/>
      <c r="MH136" s="43"/>
      <c r="MI136" s="43"/>
      <c r="MJ136" s="43"/>
      <c r="MK136" s="43"/>
      <c r="ML136" s="43"/>
      <c r="MM136" s="43"/>
      <c r="MN136" s="43"/>
      <c r="MO136" s="43"/>
      <c r="MP136" s="43"/>
      <c r="MQ136" s="43"/>
      <c r="MR136" s="43"/>
      <c r="MS136" s="43"/>
      <c r="MT136" s="43"/>
      <c r="MU136" s="43"/>
      <c r="MV136" s="43"/>
      <c r="MW136" s="43"/>
      <c r="MX136" s="43"/>
      <c r="MY136" s="43"/>
      <c r="MZ136" s="43"/>
      <c r="NA136" s="43"/>
      <c r="NB136" s="43"/>
      <c r="NC136" s="43"/>
      <c r="ND136" s="43"/>
      <c r="NE136" s="43"/>
      <c r="NF136" s="43"/>
      <c r="NG136" s="43"/>
      <c r="NH136" s="43"/>
      <c r="NI136" s="43"/>
      <c r="NJ136" s="43"/>
      <c r="NK136" s="43"/>
      <c r="NL136" s="43"/>
      <c r="NM136" s="43"/>
      <c r="NN136" s="43"/>
      <c r="NO136" s="43"/>
      <c r="NP136" s="43"/>
      <c r="NQ136" s="43"/>
      <c r="NR136" s="43"/>
      <c r="NS136" s="43"/>
      <c r="NT136" s="43"/>
      <c r="NU136" s="43"/>
      <c r="NV136" s="43"/>
      <c r="NW136" s="43"/>
      <c r="NX136" s="43"/>
      <c r="NY136" s="43"/>
      <c r="NZ136" s="43"/>
      <c r="OA136" s="43"/>
      <c r="OB136" s="43"/>
      <c r="OC136" s="43"/>
      <c r="OD136" s="43"/>
      <c r="OE136" s="43"/>
      <c r="OF136" s="43"/>
      <c r="OG136" s="43"/>
      <c r="OH136" s="43"/>
      <c r="OI136" s="43"/>
      <c r="OJ136" s="43"/>
      <c r="OK136" s="43"/>
      <c r="OL136" s="43"/>
      <c r="OM136" s="43"/>
      <c r="ON136" s="43"/>
      <c r="OO136" s="43"/>
      <c r="OP136" s="43"/>
      <c r="OQ136" s="43"/>
      <c r="OR136" s="43"/>
      <c r="OS136" s="43"/>
      <c r="OT136" s="43"/>
      <c r="OU136" s="43"/>
      <c r="OV136" s="43"/>
      <c r="OW136" s="43"/>
      <c r="OX136" s="43"/>
      <c r="OY136" s="43"/>
      <c r="OZ136" s="43"/>
      <c r="PA136" s="43"/>
      <c r="PB136" s="43"/>
      <c r="PC136" s="43"/>
      <c r="PD136" s="43"/>
      <c r="PE136" s="43"/>
      <c r="PF136" s="43"/>
      <c r="PG136" s="43"/>
      <c r="PH136" s="43"/>
      <c r="PI136" s="43"/>
      <c r="PJ136" s="43"/>
      <c r="PK136" s="43"/>
      <c r="PL136" s="43"/>
      <c r="PM136" s="43"/>
      <c r="PN136" s="43"/>
      <c r="PO136" s="43"/>
      <c r="PP136" s="43"/>
      <c r="PQ136" s="43"/>
      <c r="PR136" s="43"/>
      <c r="PS136" s="43"/>
      <c r="PT136" s="43"/>
      <c r="PU136" s="43"/>
      <c r="PV136" s="43"/>
      <c r="PW136" s="43"/>
      <c r="PX136" s="43"/>
      <c r="PY136" s="43"/>
      <c r="PZ136" s="43"/>
      <c r="QA136" s="43"/>
      <c r="QB136" s="43"/>
      <c r="QC136" s="43"/>
    </row>
    <row r="137" spans="1:445" x14ac:dyDescent="0.3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6" t="str">
        <f t="shared" si="12"/>
        <v/>
      </c>
      <c r="U137" s="46" t="str">
        <f t="shared" si="13"/>
        <v/>
      </c>
      <c r="V137" s="72" t="str">
        <f t="shared" si="14"/>
        <v/>
      </c>
      <c r="W137" s="48"/>
      <c r="X137" s="73" t="str">
        <f t="shared" si="15"/>
        <v/>
      </c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43"/>
      <c r="BN137" s="43"/>
      <c r="BO137" s="43"/>
      <c r="BP137" s="43"/>
      <c r="BQ137" s="43"/>
      <c r="BR137" s="43"/>
      <c r="BS137" s="43"/>
      <c r="BT137" s="43"/>
      <c r="BU137" s="43"/>
      <c r="BV137" s="43"/>
      <c r="BW137" s="43"/>
      <c r="BX137" s="43"/>
      <c r="BY137" s="43"/>
      <c r="BZ137" s="43"/>
      <c r="CA137" s="43"/>
      <c r="CB137" s="43"/>
      <c r="CC137" s="43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43"/>
      <c r="CY137" s="43"/>
      <c r="CZ137" s="43"/>
      <c r="DA137" s="43"/>
      <c r="DB137" s="43"/>
      <c r="DC137" s="43"/>
      <c r="DD137" s="43"/>
      <c r="DE137" s="43"/>
      <c r="DF137" s="43"/>
      <c r="DG137" s="43"/>
      <c r="DH137" s="43"/>
      <c r="DI137" s="43"/>
      <c r="DJ137" s="43"/>
      <c r="DK137" s="43"/>
      <c r="DL137" s="43"/>
      <c r="DM137" s="43"/>
      <c r="DN137" s="43"/>
      <c r="DO137" s="43"/>
      <c r="DP137" s="43"/>
      <c r="DQ137" s="43"/>
      <c r="DR137" s="43"/>
      <c r="DS137" s="43"/>
      <c r="DT137" s="43"/>
      <c r="DU137" s="43"/>
      <c r="DV137" s="43"/>
      <c r="DW137" s="43"/>
      <c r="DX137" s="43"/>
      <c r="DY137" s="43"/>
      <c r="DZ137" s="43"/>
      <c r="EA137" s="43"/>
      <c r="EB137" s="43"/>
      <c r="EC137" s="43"/>
      <c r="ED137" s="43"/>
      <c r="EE137" s="43"/>
      <c r="EF137" s="43"/>
      <c r="EG137" s="43"/>
      <c r="EH137" s="43"/>
      <c r="EI137" s="43"/>
      <c r="EJ137" s="43"/>
      <c r="EK137" s="43"/>
      <c r="EL137" s="43"/>
      <c r="EM137" s="43"/>
      <c r="EN137" s="43"/>
      <c r="EO137" s="43"/>
      <c r="EP137" s="43"/>
      <c r="EQ137" s="43"/>
      <c r="ER137" s="43"/>
      <c r="ES137" s="43"/>
      <c r="ET137" s="43"/>
      <c r="EU137" s="43"/>
      <c r="EV137" s="43"/>
      <c r="EW137" s="43"/>
      <c r="EX137" s="43"/>
      <c r="EY137" s="43"/>
      <c r="EZ137" s="43"/>
      <c r="FA137" s="43"/>
      <c r="FB137" s="43"/>
      <c r="FC137" s="43"/>
      <c r="FD137" s="43"/>
      <c r="FE137" s="43"/>
      <c r="FF137" s="43"/>
      <c r="FG137" s="43"/>
      <c r="FH137" s="43"/>
      <c r="FI137" s="43"/>
      <c r="FJ137" s="43"/>
      <c r="FK137" s="43"/>
      <c r="FL137" s="43"/>
      <c r="FM137" s="43"/>
      <c r="FN137" s="43"/>
      <c r="FO137" s="43"/>
      <c r="FP137" s="43"/>
      <c r="FQ137" s="43"/>
      <c r="FR137" s="43"/>
      <c r="FS137" s="43"/>
      <c r="FT137" s="43"/>
      <c r="FU137" s="43"/>
      <c r="FV137" s="43"/>
      <c r="FW137" s="43"/>
      <c r="FX137" s="43"/>
      <c r="FY137" s="43"/>
      <c r="FZ137" s="43"/>
      <c r="GA137" s="43"/>
      <c r="GB137" s="43"/>
      <c r="GC137" s="43"/>
      <c r="GD137" s="43"/>
      <c r="GE137" s="43"/>
      <c r="GF137" s="43"/>
      <c r="GG137" s="43"/>
      <c r="GH137" s="43"/>
      <c r="GI137" s="43"/>
      <c r="GJ137" s="43"/>
      <c r="GK137" s="43"/>
      <c r="GL137" s="43"/>
      <c r="GM137" s="43"/>
      <c r="GN137" s="43"/>
      <c r="GO137" s="43"/>
      <c r="GP137" s="43"/>
      <c r="GQ137" s="43"/>
      <c r="GR137" s="43"/>
      <c r="GS137" s="43"/>
      <c r="GT137" s="43"/>
      <c r="GU137" s="43"/>
      <c r="GV137" s="43"/>
      <c r="GW137" s="43"/>
      <c r="GX137" s="43"/>
      <c r="GY137" s="43"/>
      <c r="GZ137" s="43"/>
      <c r="HA137" s="43"/>
      <c r="HB137" s="43"/>
      <c r="HC137" s="43"/>
      <c r="HD137" s="43"/>
      <c r="HE137" s="43"/>
      <c r="HF137" s="43"/>
      <c r="HG137" s="43"/>
      <c r="HH137" s="43"/>
      <c r="HI137" s="43"/>
      <c r="HJ137" s="43"/>
      <c r="HK137" s="43"/>
      <c r="HL137" s="43"/>
      <c r="HM137" s="43"/>
      <c r="HN137" s="43"/>
      <c r="HO137" s="43"/>
      <c r="HP137" s="43"/>
      <c r="HQ137" s="43"/>
      <c r="HR137" s="43"/>
      <c r="HS137" s="43"/>
      <c r="HT137" s="43"/>
      <c r="HU137" s="43"/>
      <c r="HV137" s="43"/>
      <c r="HW137" s="43"/>
      <c r="HX137" s="43"/>
      <c r="HY137" s="43"/>
      <c r="HZ137" s="43"/>
      <c r="IA137" s="43"/>
      <c r="IB137" s="43"/>
      <c r="IC137" s="43"/>
      <c r="ID137" s="43"/>
      <c r="IE137" s="43"/>
      <c r="IF137" s="43"/>
      <c r="IG137" s="43"/>
      <c r="IH137" s="43"/>
      <c r="II137" s="43"/>
      <c r="IJ137" s="43"/>
      <c r="IK137" s="43"/>
      <c r="IL137" s="43"/>
      <c r="IM137" s="43"/>
      <c r="IN137" s="43"/>
      <c r="IO137" s="43"/>
      <c r="IP137" s="43"/>
      <c r="IQ137" s="43"/>
      <c r="IR137" s="43"/>
      <c r="IS137" s="43"/>
      <c r="IT137" s="43"/>
      <c r="IU137" s="43"/>
      <c r="IV137" s="43"/>
      <c r="IW137" s="43"/>
      <c r="IX137" s="43"/>
      <c r="IY137" s="43"/>
      <c r="IZ137" s="43"/>
      <c r="JA137" s="43"/>
      <c r="JB137" s="43"/>
      <c r="JC137" s="43"/>
      <c r="JD137" s="43"/>
      <c r="JE137" s="43"/>
      <c r="JF137" s="43"/>
      <c r="JG137" s="43"/>
      <c r="JH137" s="43"/>
      <c r="JI137" s="43"/>
      <c r="JJ137" s="43"/>
      <c r="JK137" s="43"/>
      <c r="JL137" s="43"/>
      <c r="JM137" s="43"/>
      <c r="JN137" s="43"/>
      <c r="JO137" s="43"/>
      <c r="JP137" s="43"/>
      <c r="JQ137" s="43"/>
      <c r="JR137" s="43"/>
      <c r="JS137" s="43"/>
      <c r="JT137" s="43"/>
      <c r="JU137" s="43"/>
      <c r="JV137" s="43"/>
      <c r="JW137" s="43"/>
      <c r="JX137" s="43"/>
      <c r="JY137" s="43"/>
      <c r="JZ137" s="43"/>
      <c r="KA137" s="43"/>
      <c r="KB137" s="43"/>
      <c r="KC137" s="43"/>
      <c r="KD137" s="43"/>
      <c r="KE137" s="43"/>
      <c r="KF137" s="43"/>
      <c r="KG137" s="43"/>
      <c r="KH137" s="43"/>
      <c r="KI137" s="43"/>
      <c r="KJ137" s="43"/>
      <c r="KK137" s="43"/>
      <c r="KL137" s="43"/>
      <c r="KM137" s="43"/>
      <c r="KN137" s="43"/>
      <c r="KO137" s="43"/>
      <c r="KP137" s="43"/>
      <c r="KQ137" s="43"/>
      <c r="KR137" s="43"/>
      <c r="KS137" s="43"/>
      <c r="KT137" s="43"/>
      <c r="KU137" s="43"/>
      <c r="KV137" s="43"/>
      <c r="KW137" s="43"/>
      <c r="KX137" s="43"/>
      <c r="KY137" s="43"/>
      <c r="KZ137" s="43"/>
      <c r="LA137" s="43"/>
      <c r="LB137" s="43"/>
      <c r="LC137" s="43"/>
      <c r="LD137" s="43"/>
      <c r="LE137" s="43"/>
      <c r="LF137" s="43"/>
      <c r="LG137" s="43"/>
      <c r="LH137" s="43"/>
      <c r="LI137" s="43"/>
      <c r="LJ137" s="43"/>
      <c r="LK137" s="43"/>
      <c r="LL137" s="43"/>
      <c r="LM137" s="43"/>
      <c r="LN137" s="43"/>
      <c r="LO137" s="43"/>
      <c r="LP137" s="43"/>
      <c r="LQ137" s="43"/>
      <c r="LR137" s="43"/>
      <c r="LS137" s="43"/>
      <c r="LT137" s="43"/>
      <c r="LU137" s="43"/>
      <c r="LV137" s="43"/>
      <c r="LW137" s="43"/>
      <c r="LX137" s="43"/>
      <c r="LY137" s="43"/>
      <c r="LZ137" s="43"/>
      <c r="MA137" s="43"/>
      <c r="MB137" s="43"/>
      <c r="MC137" s="43"/>
      <c r="MD137" s="43"/>
      <c r="ME137" s="43"/>
      <c r="MF137" s="43"/>
      <c r="MG137" s="43"/>
      <c r="MH137" s="43"/>
      <c r="MI137" s="43"/>
      <c r="MJ137" s="43"/>
      <c r="MK137" s="43"/>
      <c r="ML137" s="43"/>
      <c r="MM137" s="43"/>
      <c r="MN137" s="43"/>
      <c r="MO137" s="43"/>
      <c r="MP137" s="43"/>
      <c r="MQ137" s="43"/>
      <c r="MR137" s="43"/>
      <c r="MS137" s="43"/>
      <c r="MT137" s="43"/>
      <c r="MU137" s="43"/>
      <c r="MV137" s="43"/>
      <c r="MW137" s="43"/>
      <c r="MX137" s="43"/>
      <c r="MY137" s="43"/>
      <c r="MZ137" s="43"/>
      <c r="NA137" s="43"/>
      <c r="NB137" s="43"/>
      <c r="NC137" s="43"/>
      <c r="ND137" s="43"/>
      <c r="NE137" s="43"/>
      <c r="NF137" s="43"/>
      <c r="NG137" s="43"/>
      <c r="NH137" s="43"/>
      <c r="NI137" s="43"/>
      <c r="NJ137" s="43"/>
      <c r="NK137" s="43"/>
      <c r="NL137" s="43"/>
      <c r="NM137" s="43"/>
      <c r="NN137" s="43"/>
      <c r="NO137" s="43"/>
      <c r="NP137" s="43"/>
      <c r="NQ137" s="43"/>
      <c r="NR137" s="43"/>
      <c r="NS137" s="43"/>
      <c r="NT137" s="43"/>
      <c r="NU137" s="43"/>
      <c r="NV137" s="43"/>
      <c r="NW137" s="43"/>
      <c r="NX137" s="43"/>
      <c r="NY137" s="43"/>
      <c r="NZ137" s="43"/>
      <c r="OA137" s="43"/>
      <c r="OB137" s="43"/>
      <c r="OC137" s="43"/>
      <c r="OD137" s="43"/>
      <c r="OE137" s="43"/>
      <c r="OF137" s="43"/>
      <c r="OG137" s="43"/>
      <c r="OH137" s="43"/>
      <c r="OI137" s="43"/>
      <c r="OJ137" s="43"/>
      <c r="OK137" s="43"/>
      <c r="OL137" s="43"/>
      <c r="OM137" s="43"/>
      <c r="ON137" s="43"/>
      <c r="OO137" s="43"/>
      <c r="OP137" s="43"/>
      <c r="OQ137" s="43"/>
      <c r="OR137" s="43"/>
      <c r="OS137" s="43"/>
      <c r="OT137" s="43"/>
      <c r="OU137" s="43"/>
      <c r="OV137" s="43"/>
      <c r="OW137" s="43"/>
      <c r="OX137" s="43"/>
      <c r="OY137" s="43"/>
      <c r="OZ137" s="43"/>
      <c r="PA137" s="43"/>
      <c r="PB137" s="43"/>
      <c r="PC137" s="43"/>
      <c r="PD137" s="43"/>
      <c r="PE137" s="43"/>
      <c r="PF137" s="43"/>
      <c r="PG137" s="43"/>
      <c r="PH137" s="43"/>
      <c r="PI137" s="43"/>
      <c r="PJ137" s="43"/>
      <c r="PK137" s="43"/>
      <c r="PL137" s="43"/>
      <c r="PM137" s="43"/>
      <c r="PN137" s="43"/>
      <c r="PO137" s="43"/>
      <c r="PP137" s="43"/>
      <c r="PQ137" s="43"/>
      <c r="PR137" s="43"/>
      <c r="PS137" s="43"/>
      <c r="PT137" s="43"/>
      <c r="PU137" s="43"/>
      <c r="PV137" s="43"/>
      <c r="PW137" s="43"/>
      <c r="PX137" s="43"/>
      <c r="PY137" s="43"/>
      <c r="PZ137" s="43"/>
      <c r="QA137" s="43"/>
      <c r="QB137" s="43"/>
      <c r="QC137" s="43"/>
    </row>
    <row r="138" spans="1:445" x14ac:dyDescent="0.3"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6" t="str">
        <f t="shared" si="12"/>
        <v/>
      </c>
      <c r="U138" s="46" t="str">
        <f t="shared" si="13"/>
        <v/>
      </c>
      <c r="V138" s="72" t="str">
        <f t="shared" si="14"/>
        <v/>
      </c>
      <c r="W138" s="48"/>
      <c r="X138" s="73" t="str">
        <f t="shared" si="15"/>
        <v/>
      </c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43"/>
      <c r="BN138" s="43"/>
      <c r="BO138" s="43"/>
      <c r="BP138" s="43"/>
      <c r="BQ138" s="43"/>
      <c r="BR138" s="43"/>
      <c r="BS138" s="43"/>
      <c r="BT138" s="43"/>
      <c r="BU138" s="43"/>
      <c r="BV138" s="43"/>
      <c r="BW138" s="43"/>
      <c r="BX138" s="43"/>
      <c r="BY138" s="43"/>
      <c r="BZ138" s="43"/>
      <c r="CA138" s="43"/>
      <c r="CB138" s="43"/>
      <c r="CC138" s="43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43"/>
      <c r="CY138" s="43"/>
      <c r="CZ138" s="43"/>
      <c r="DA138" s="43"/>
      <c r="DB138" s="43"/>
      <c r="DC138" s="43"/>
      <c r="DD138" s="43"/>
      <c r="DE138" s="43"/>
      <c r="DF138" s="43"/>
      <c r="DG138" s="43"/>
      <c r="DH138" s="43"/>
      <c r="DI138" s="43"/>
      <c r="DJ138" s="43"/>
      <c r="DK138" s="43"/>
      <c r="DL138" s="43"/>
      <c r="DM138" s="43"/>
      <c r="DN138" s="43"/>
      <c r="DO138" s="43"/>
      <c r="DP138" s="43"/>
      <c r="DQ138" s="43"/>
      <c r="DR138" s="43"/>
      <c r="DS138" s="43"/>
      <c r="DT138" s="43"/>
      <c r="DU138" s="43"/>
      <c r="DV138" s="43"/>
      <c r="DW138" s="43"/>
      <c r="DX138" s="43"/>
      <c r="DY138" s="43"/>
      <c r="DZ138" s="43"/>
      <c r="EA138" s="43"/>
      <c r="EB138" s="43"/>
      <c r="EC138" s="43"/>
      <c r="ED138" s="43"/>
      <c r="EE138" s="43"/>
      <c r="EF138" s="43"/>
      <c r="EG138" s="43"/>
      <c r="EH138" s="43"/>
      <c r="EI138" s="43"/>
      <c r="EJ138" s="43"/>
      <c r="EK138" s="43"/>
      <c r="EL138" s="43"/>
      <c r="EM138" s="43"/>
      <c r="EN138" s="43"/>
      <c r="EO138" s="43"/>
      <c r="EP138" s="43"/>
      <c r="EQ138" s="43"/>
      <c r="ER138" s="43"/>
      <c r="ES138" s="43"/>
      <c r="ET138" s="43"/>
      <c r="EU138" s="43"/>
      <c r="EV138" s="43"/>
      <c r="EW138" s="43"/>
      <c r="EX138" s="43"/>
      <c r="EY138" s="43"/>
      <c r="EZ138" s="43"/>
      <c r="FA138" s="43"/>
      <c r="FB138" s="43"/>
      <c r="FC138" s="43"/>
      <c r="FD138" s="43"/>
      <c r="FE138" s="43"/>
      <c r="FF138" s="43"/>
      <c r="FG138" s="43"/>
      <c r="FH138" s="43"/>
      <c r="FI138" s="43"/>
      <c r="FJ138" s="43"/>
      <c r="FK138" s="43"/>
      <c r="FL138" s="43"/>
      <c r="FM138" s="43"/>
      <c r="FN138" s="43"/>
      <c r="FO138" s="43"/>
      <c r="FP138" s="43"/>
      <c r="FQ138" s="43"/>
      <c r="FR138" s="43"/>
      <c r="FS138" s="43"/>
      <c r="FT138" s="43"/>
      <c r="FU138" s="43"/>
      <c r="FV138" s="43"/>
      <c r="FW138" s="43"/>
      <c r="FX138" s="43"/>
      <c r="FY138" s="43"/>
      <c r="FZ138" s="43"/>
      <c r="GA138" s="43"/>
      <c r="GB138" s="43"/>
      <c r="GC138" s="43"/>
      <c r="GD138" s="43"/>
      <c r="GE138" s="43"/>
      <c r="GF138" s="43"/>
      <c r="GG138" s="43"/>
      <c r="GH138" s="43"/>
      <c r="GI138" s="43"/>
      <c r="GJ138" s="43"/>
      <c r="GK138" s="43"/>
      <c r="GL138" s="43"/>
      <c r="GM138" s="43"/>
      <c r="GN138" s="43"/>
      <c r="GO138" s="43"/>
      <c r="GP138" s="43"/>
      <c r="GQ138" s="43"/>
      <c r="GR138" s="43"/>
      <c r="GS138" s="43"/>
      <c r="GT138" s="43"/>
      <c r="GU138" s="43"/>
      <c r="GV138" s="43"/>
      <c r="GW138" s="43"/>
      <c r="GX138" s="43"/>
      <c r="GY138" s="43"/>
      <c r="GZ138" s="43"/>
      <c r="HA138" s="43"/>
      <c r="HB138" s="43"/>
      <c r="HC138" s="43"/>
      <c r="HD138" s="43"/>
      <c r="HE138" s="43"/>
      <c r="HF138" s="43"/>
      <c r="HG138" s="43"/>
      <c r="HH138" s="43"/>
      <c r="HI138" s="43"/>
      <c r="HJ138" s="43"/>
      <c r="HK138" s="43"/>
      <c r="HL138" s="43"/>
      <c r="HM138" s="43"/>
      <c r="HN138" s="43"/>
      <c r="HO138" s="43"/>
      <c r="HP138" s="43"/>
      <c r="HQ138" s="43"/>
      <c r="HR138" s="43"/>
      <c r="HS138" s="43"/>
      <c r="HT138" s="43"/>
      <c r="HU138" s="43"/>
      <c r="HV138" s="43"/>
      <c r="HW138" s="43"/>
      <c r="HX138" s="43"/>
      <c r="HY138" s="43"/>
      <c r="HZ138" s="43"/>
      <c r="IA138" s="43"/>
      <c r="IB138" s="43"/>
      <c r="IC138" s="43"/>
      <c r="ID138" s="43"/>
      <c r="IE138" s="43"/>
      <c r="IF138" s="43"/>
      <c r="IG138" s="43"/>
      <c r="IH138" s="43"/>
      <c r="II138" s="43"/>
      <c r="IJ138" s="43"/>
      <c r="IK138" s="43"/>
      <c r="IL138" s="43"/>
      <c r="IM138" s="43"/>
      <c r="IN138" s="43"/>
      <c r="IO138" s="43"/>
      <c r="IP138" s="43"/>
      <c r="IQ138" s="43"/>
      <c r="IR138" s="43"/>
      <c r="IS138" s="43"/>
      <c r="IT138" s="43"/>
      <c r="IU138" s="43"/>
      <c r="IV138" s="43"/>
      <c r="IW138" s="43"/>
      <c r="IX138" s="43"/>
      <c r="IY138" s="43"/>
      <c r="IZ138" s="43"/>
      <c r="JA138" s="43"/>
      <c r="JB138" s="43"/>
      <c r="JC138" s="43"/>
      <c r="JD138" s="43"/>
      <c r="JE138" s="43"/>
      <c r="JF138" s="43"/>
      <c r="JG138" s="43"/>
      <c r="JH138" s="43"/>
      <c r="JI138" s="43"/>
      <c r="JJ138" s="43"/>
      <c r="JK138" s="43"/>
      <c r="JL138" s="43"/>
      <c r="JM138" s="43"/>
      <c r="JN138" s="43"/>
      <c r="JO138" s="43"/>
      <c r="JP138" s="43"/>
      <c r="JQ138" s="43"/>
      <c r="JR138" s="43"/>
      <c r="JS138" s="43"/>
      <c r="JT138" s="43"/>
      <c r="JU138" s="43"/>
      <c r="JV138" s="43"/>
      <c r="JW138" s="43"/>
      <c r="JX138" s="43"/>
      <c r="JY138" s="43"/>
      <c r="JZ138" s="43"/>
      <c r="KA138" s="43"/>
      <c r="KB138" s="43"/>
      <c r="KC138" s="43"/>
      <c r="KD138" s="43"/>
      <c r="KE138" s="43"/>
      <c r="KF138" s="43"/>
      <c r="KG138" s="43"/>
      <c r="KH138" s="43"/>
      <c r="KI138" s="43"/>
      <c r="KJ138" s="43"/>
      <c r="KK138" s="43"/>
      <c r="KL138" s="43"/>
      <c r="KM138" s="43"/>
      <c r="KN138" s="43"/>
      <c r="KO138" s="43"/>
      <c r="KP138" s="43"/>
      <c r="KQ138" s="43"/>
      <c r="KR138" s="43"/>
      <c r="KS138" s="43"/>
      <c r="KT138" s="43"/>
      <c r="KU138" s="43"/>
      <c r="KV138" s="43"/>
      <c r="KW138" s="43"/>
      <c r="KX138" s="43"/>
      <c r="KY138" s="43"/>
      <c r="KZ138" s="43"/>
      <c r="LA138" s="43"/>
      <c r="LB138" s="43"/>
      <c r="LC138" s="43"/>
      <c r="LD138" s="43"/>
      <c r="LE138" s="43"/>
      <c r="LF138" s="43"/>
      <c r="LG138" s="43"/>
      <c r="LH138" s="43"/>
      <c r="LI138" s="43"/>
      <c r="LJ138" s="43"/>
      <c r="LK138" s="43"/>
      <c r="LL138" s="43"/>
      <c r="LM138" s="43"/>
      <c r="LN138" s="43"/>
      <c r="LO138" s="43"/>
      <c r="LP138" s="43"/>
      <c r="LQ138" s="43"/>
      <c r="LR138" s="43"/>
      <c r="LS138" s="43"/>
      <c r="LT138" s="43"/>
      <c r="LU138" s="43"/>
      <c r="LV138" s="43"/>
      <c r="LW138" s="43"/>
      <c r="LX138" s="43"/>
      <c r="LY138" s="43"/>
      <c r="LZ138" s="43"/>
      <c r="MA138" s="43"/>
      <c r="MB138" s="43"/>
      <c r="MC138" s="43"/>
      <c r="MD138" s="43"/>
      <c r="ME138" s="43"/>
      <c r="MF138" s="43"/>
      <c r="MG138" s="43"/>
      <c r="MH138" s="43"/>
      <c r="MI138" s="43"/>
      <c r="MJ138" s="43"/>
      <c r="MK138" s="43"/>
      <c r="ML138" s="43"/>
      <c r="MM138" s="43"/>
      <c r="MN138" s="43"/>
      <c r="MO138" s="43"/>
      <c r="MP138" s="43"/>
      <c r="MQ138" s="43"/>
      <c r="MR138" s="43"/>
      <c r="MS138" s="43"/>
      <c r="MT138" s="43"/>
      <c r="MU138" s="43"/>
      <c r="MV138" s="43"/>
      <c r="MW138" s="43"/>
      <c r="MX138" s="43"/>
      <c r="MY138" s="43"/>
      <c r="MZ138" s="43"/>
      <c r="NA138" s="43"/>
      <c r="NB138" s="43"/>
      <c r="NC138" s="43"/>
      <c r="ND138" s="43"/>
      <c r="NE138" s="43"/>
      <c r="NF138" s="43"/>
      <c r="NG138" s="43"/>
      <c r="NH138" s="43"/>
      <c r="NI138" s="43"/>
      <c r="NJ138" s="43"/>
      <c r="NK138" s="43"/>
      <c r="NL138" s="43"/>
      <c r="NM138" s="43"/>
      <c r="NN138" s="43"/>
      <c r="NO138" s="43"/>
      <c r="NP138" s="43"/>
      <c r="NQ138" s="43"/>
      <c r="NR138" s="43"/>
      <c r="NS138" s="43"/>
      <c r="NT138" s="43"/>
      <c r="NU138" s="43"/>
      <c r="NV138" s="43"/>
      <c r="NW138" s="43"/>
      <c r="NX138" s="43"/>
      <c r="NY138" s="43"/>
      <c r="NZ138" s="43"/>
      <c r="OA138" s="43"/>
      <c r="OB138" s="43"/>
      <c r="OC138" s="43"/>
      <c r="OD138" s="43"/>
      <c r="OE138" s="43"/>
      <c r="OF138" s="43"/>
      <c r="OG138" s="43"/>
      <c r="OH138" s="43"/>
      <c r="OI138" s="43"/>
      <c r="OJ138" s="43"/>
      <c r="OK138" s="43"/>
      <c r="OL138" s="43"/>
      <c r="OM138" s="43"/>
      <c r="ON138" s="43"/>
      <c r="OO138" s="43"/>
      <c r="OP138" s="43"/>
      <c r="OQ138" s="43"/>
      <c r="OR138" s="43"/>
      <c r="OS138" s="43"/>
      <c r="OT138" s="43"/>
      <c r="OU138" s="43"/>
      <c r="OV138" s="43"/>
      <c r="OW138" s="43"/>
      <c r="OX138" s="43"/>
      <c r="OY138" s="43"/>
      <c r="OZ138" s="43"/>
      <c r="PA138" s="43"/>
      <c r="PB138" s="43"/>
      <c r="PC138" s="43"/>
      <c r="PD138" s="43"/>
      <c r="PE138" s="43"/>
      <c r="PF138" s="43"/>
      <c r="PG138" s="43"/>
      <c r="PH138" s="43"/>
      <c r="PI138" s="43"/>
      <c r="PJ138" s="43"/>
      <c r="PK138" s="43"/>
      <c r="PL138" s="43"/>
      <c r="PM138" s="43"/>
      <c r="PN138" s="43"/>
      <c r="PO138" s="43"/>
      <c r="PP138" s="43"/>
      <c r="PQ138" s="43"/>
      <c r="PR138" s="43"/>
      <c r="PS138" s="43"/>
      <c r="PT138" s="43"/>
      <c r="PU138" s="43"/>
      <c r="PV138" s="43"/>
      <c r="PW138" s="43"/>
      <c r="PX138" s="43"/>
      <c r="PY138" s="43"/>
      <c r="PZ138" s="43"/>
      <c r="QA138" s="43"/>
      <c r="QB138" s="43"/>
      <c r="QC138" s="43"/>
    </row>
    <row r="139" spans="1:445" x14ac:dyDescent="0.3"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6" t="str">
        <f t="shared" si="12"/>
        <v/>
      </c>
      <c r="U139" s="46" t="str">
        <f t="shared" si="13"/>
        <v/>
      </c>
      <c r="V139" s="72" t="str">
        <f t="shared" si="14"/>
        <v/>
      </c>
      <c r="X139" s="73" t="str">
        <f t="shared" si="15"/>
        <v/>
      </c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43"/>
      <c r="BN139" s="43"/>
      <c r="BO139" s="43"/>
      <c r="BP139" s="43"/>
      <c r="BQ139" s="43"/>
      <c r="BR139" s="43"/>
      <c r="BS139" s="43"/>
      <c r="BT139" s="43"/>
      <c r="BU139" s="43"/>
      <c r="BV139" s="43"/>
      <c r="BW139" s="43"/>
      <c r="BX139" s="43"/>
      <c r="BY139" s="43"/>
      <c r="BZ139" s="43"/>
      <c r="CA139" s="43"/>
      <c r="CB139" s="43"/>
      <c r="CC139" s="43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43"/>
      <c r="CY139" s="43"/>
      <c r="CZ139" s="43"/>
      <c r="DA139" s="43"/>
      <c r="DB139" s="43"/>
      <c r="DC139" s="43"/>
      <c r="DD139" s="43"/>
      <c r="DE139" s="43"/>
      <c r="DF139" s="43"/>
      <c r="DG139" s="43"/>
      <c r="DH139" s="43"/>
      <c r="DI139" s="43"/>
      <c r="DJ139" s="43"/>
      <c r="DK139" s="43"/>
      <c r="DL139" s="43"/>
      <c r="DM139" s="43"/>
      <c r="DN139" s="43"/>
      <c r="DO139" s="43"/>
      <c r="DP139" s="43"/>
      <c r="DQ139" s="43"/>
      <c r="DR139" s="43"/>
      <c r="DS139" s="43"/>
      <c r="DT139" s="43"/>
      <c r="DU139" s="43"/>
      <c r="DV139" s="43"/>
      <c r="DW139" s="43"/>
      <c r="DX139" s="43"/>
      <c r="DY139" s="43"/>
      <c r="DZ139" s="43"/>
      <c r="EA139" s="43"/>
      <c r="EB139" s="43"/>
      <c r="EC139" s="43"/>
      <c r="ED139" s="43"/>
      <c r="EE139" s="43"/>
      <c r="EF139" s="43"/>
      <c r="EG139" s="43"/>
      <c r="EH139" s="43"/>
      <c r="EI139" s="43"/>
      <c r="EJ139" s="43"/>
      <c r="EK139" s="43"/>
      <c r="EL139" s="43"/>
      <c r="EM139" s="43"/>
      <c r="EN139" s="43"/>
      <c r="EO139" s="43"/>
      <c r="EP139" s="43"/>
      <c r="EQ139" s="43"/>
      <c r="ER139" s="43"/>
      <c r="ES139" s="43"/>
      <c r="ET139" s="43"/>
      <c r="EU139" s="43"/>
      <c r="EV139" s="43"/>
      <c r="EW139" s="43"/>
      <c r="EX139" s="43"/>
      <c r="EY139" s="43"/>
      <c r="EZ139" s="43"/>
      <c r="FA139" s="43"/>
      <c r="FB139" s="43"/>
      <c r="FC139" s="43"/>
      <c r="FD139" s="43"/>
      <c r="FE139" s="43"/>
      <c r="FF139" s="43"/>
      <c r="FG139" s="43"/>
      <c r="FH139" s="43"/>
      <c r="FI139" s="43"/>
      <c r="FJ139" s="43"/>
      <c r="FK139" s="43"/>
      <c r="FL139" s="43"/>
      <c r="FM139" s="43"/>
      <c r="FN139" s="43"/>
      <c r="FO139" s="43"/>
      <c r="FP139" s="43"/>
      <c r="FQ139" s="43"/>
      <c r="FR139" s="43"/>
      <c r="FS139" s="43"/>
      <c r="FT139" s="43"/>
      <c r="FU139" s="43"/>
      <c r="FV139" s="43"/>
      <c r="FW139" s="43"/>
      <c r="FX139" s="43"/>
      <c r="FY139" s="43"/>
      <c r="FZ139" s="43"/>
      <c r="GA139" s="43"/>
      <c r="GB139" s="43"/>
      <c r="GC139" s="43"/>
      <c r="GD139" s="43"/>
      <c r="GE139" s="43"/>
      <c r="GF139" s="43"/>
      <c r="GG139" s="43"/>
      <c r="GH139" s="43"/>
      <c r="GI139" s="43"/>
      <c r="GJ139" s="43"/>
      <c r="GK139" s="43"/>
      <c r="GL139" s="43"/>
      <c r="GM139" s="43"/>
      <c r="GN139" s="43"/>
      <c r="GO139" s="43"/>
      <c r="GP139" s="43"/>
      <c r="GQ139" s="43"/>
      <c r="GR139" s="43"/>
      <c r="GS139" s="43"/>
      <c r="GT139" s="43"/>
      <c r="GU139" s="43"/>
      <c r="GV139" s="43"/>
      <c r="GW139" s="43"/>
      <c r="GX139" s="43"/>
      <c r="GY139" s="43"/>
      <c r="GZ139" s="43"/>
      <c r="HA139" s="43"/>
      <c r="HB139" s="43"/>
      <c r="HC139" s="43"/>
      <c r="HD139" s="43"/>
      <c r="HE139" s="43"/>
      <c r="HF139" s="43"/>
      <c r="HG139" s="43"/>
      <c r="HH139" s="43"/>
      <c r="HI139" s="43"/>
      <c r="HJ139" s="43"/>
      <c r="HK139" s="43"/>
      <c r="HL139" s="43"/>
      <c r="HM139" s="43"/>
      <c r="HN139" s="43"/>
      <c r="HO139" s="43"/>
      <c r="HP139" s="43"/>
      <c r="HQ139" s="43"/>
      <c r="HR139" s="43"/>
      <c r="HS139" s="43"/>
      <c r="HT139" s="43"/>
      <c r="HU139" s="43"/>
      <c r="HV139" s="43"/>
      <c r="HW139" s="43"/>
      <c r="HX139" s="43"/>
      <c r="HY139" s="43"/>
      <c r="HZ139" s="43"/>
      <c r="IA139" s="43"/>
      <c r="IB139" s="43"/>
      <c r="IC139" s="43"/>
      <c r="ID139" s="43"/>
      <c r="IE139" s="43"/>
      <c r="IF139" s="43"/>
      <c r="IG139" s="43"/>
      <c r="IH139" s="43"/>
      <c r="II139" s="43"/>
      <c r="IJ139" s="43"/>
      <c r="IK139" s="43"/>
      <c r="IL139" s="43"/>
      <c r="IM139" s="43"/>
      <c r="IN139" s="43"/>
      <c r="IO139" s="43"/>
      <c r="IP139" s="43"/>
      <c r="IQ139" s="43"/>
      <c r="IR139" s="43"/>
      <c r="IS139" s="43"/>
      <c r="IT139" s="43"/>
      <c r="IU139" s="43"/>
      <c r="IV139" s="43"/>
      <c r="IW139" s="43"/>
      <c r="IX139" s="43"/>
      <c r="IY139" s="43"/>
      <c r="IZ139" s="43"/>
      <c r="JA139" s="43"/>
      <c r="JB139" s="43"/>
      <c r="JC139" s="43"/>
      <c r="JD139" s="43"/>
      <c r="JE139" s="43"/>
      <c r="JF139" s="43"/>
      <c r="JG139" s="43"/>
      <c r="JH139" s="43"/>
      <c r="JI139" s="43"/>
      <c r="JJ139" s="43"/>
      <c r="JK139" s="43"/>
      <c r="JL139" s="43"/>
      <c r="JM139" s="43"/>
      <c r="JN139" s="43"/>
      <c r="JO139" s="43"/>
      <c r="JP139" s="43"/>
      <c r="JQ139" s="43"/>
      <c r="JR139" s="43"/>
      <c r="JS139" s="43"/>
      <c r="JT139" s="43"/>
      <c r="JU139" s="43"/>
      <c r="JV139" s="43"/>
      <c r="JW139" s="43"/>
      <c r="JX139" s="43"/>
      <c r="JY139" s="43"/>
      <c r="JZ139" s="43"/>
      <c r="KA139" s="43"/>
      <c r="KB139" s="43"/>
      <c r="KC139" s="43"/>
      <c r="KD139" s="43"/>
      <c r="KE139" s="43"/>
      <c r="KF139" s="43"/>
      <c r="KG139" s="43"/>
      <c r="KH139" s="43"/>
      <c r="KI139" s="43"/>
      <c r="KJ139" s="43"/>
      <c r="KK139" s="43"/>
      <c r="KL139" s="43"/>
      <c r="KM139" s="43"/>
      <c r="KN139" s="43"/>
      <c r="KO139" s="43"/>
      <c r="KP139" s="43"/>
      <c r="KQ139" s="43"/>
      <c r="KR139" s="43"/>
      <c r="KS139" s="43"/>
      <c r="KT139" s="43"/>
      <c r="KU139" s="43"/>
      <c r="KV139" s="43"/>
      <c r="KW139" s="43"/>
      <c r="KX139" s="43"/>
      <c r="KY139" s="43"/>
      <c r="KZ139" s="43"/>
      <c r="LA139" s="43"/>
      <c r="LB139" s="43"/>
      <c r="LC139" s="43"/>
      <c r="LD139" s="43"/>
      <c r="LE139" s="43"/>
      <c r="LF139" s="43"/>
      <c r="LG139" s="43"/>
      <c r="LH139" s="43"/>
      <c r="LI139" s="43"/>
      <c r="LJ139" s="43"/>
      <c r="LK139" s="43"/>
      <c r="LL139" s="43"/>
      <c r="LM139" s="43"/>
      <c r="LN139" s="43"/>
      <c r="LO139" s="43"/>
      <c r="LP139" s="43"/>
      <c r="LQ139" s="43"/>
      <c r="LR139" s="43"/>
      <c r="LS139" s="43"/>
      <c r="LT139" s="43"/>
      <c r="LU139" s="43"/>
      <c r="LV139" s="43"/>
      <c r="LW139" s="43"/>
      <c r="LX139" s="43"/>
      <c r="LY139" s="43"/>
      <c r="LZ139" s="43"/>
      <c r="MA139" s="43"/>
      <c r="MB139" s="43"/>
      <c r="MC139" s="43"/>
      <c r="MD139" s="43"/>
      <c r="ME139" s="43"/>
      <c r="MF139" s="43"/>
      <c r="MG139" s="43"/>
      <c r="MH139" s="43"/>
      <c r="MI139" s="43"/>
      <c r="MJ139" s="43"/>
      <c r="MK139" s="43"/>
      <c r="ML139" s="43"/>
      <c r="MM139" s="43"/>
      <c r="MN139" s="43"/>
      <c r="MO139" s="43"/>
      <c r="MP139" s="43"/>
      <c r="MQ139" s="43"/>
      <c r="MR139" s="43"/>
      <c r="MS139" s="43"/>
      <c r="MT139" s="43"/>
      <c r="MU139" s="43"/>
      <c r="MV139" s="43"/>
      <c r="MW139" s="43"/>
      <c r="MX139" s="43"/>
      <c r="MY139" s="43"/>
      <c r="MZ139" s="43"/>
      <c r="NA139" s="43"/>
      <c r="NB139" s="43"/>
      <c r="NC139" s="43"/>
      <c r="ND139" s="43"/>
      <c r="NE139" s="43"/>
      <c r="NF139" s="43"/>
      <c r="NG139" s="43"/>
      <c r="NH139" s="43"/>
      <c r="NI139" s="43"/>
      <c r="NJ139" s="43"/>
      <c r="NK139" s="43"/>
      <c r="NL139" s="43"/>
      <c r="NM139" s="43"/>
      <c r="NN139" s="43"/>
      <c r="NO139" s="43"/>
      <c r="NP139" s="43"/>
      <c r="NQ139" s="43"/>
      <c r="NR139" s="43"/>
      <c r="NS139" s="43"/>
      <c r="NT139" s="43"/>
      <c r="NU139" s="43"/>
      <c r="NV139" s="43"/>
      <c r="NW139" s="43"/>
      <c r="NX139" s="43"/>
      <c r="NY139" s="43"/>
      <c r="NZ139" s="43"/>
      <c r="OA139" s="43"/>
      <c r="OB139" s="43"/>
      <c r="OC139" s="43"/>
      <c r="OD139" s="43"/>
      <c r="OE139" s="43"/>
      <c r="OF139" s="43"/>
      <c r="OG139" s="43"/>
      <c r="OH139" s="43"/>
      <c r="OI139" s="43"/>
      <c r="OJ139" s="43"/>
      <c r="OK139" s="43"/>
      <c r="OL139" s="43"/>
      <c r="OM139" s="43"/>
      <c r="ON139" s="43"/>
      <c r="OO139" s="43"/>
      <c r="OP139" s="43"/>
      <c r="OQ139" s="43"/>
      <c r="OR139" s="43"/>
      <c r="OS139" s="43"/>
      <c r="OT139" s="43"/>
      <c r="OU139" s="43"/>
      <c r="OV139" s="43"/>
      <c r="OW139" s="43"/>
      <c r="OX139" s="43"/>
      <c r="OY139" s="43"/>
      <c r="OZ139" s="43"/>
      <c r="PA139" s="43"/>
      <c r="PB139" s="43"/>
      <c r="PC139" s="43"/>
      <c r="PD139" s="43"/>
      <c r="PE139" s="43"/>
      <c r="PF139" s="43"/>
      <c r="PG139" s="43"/>
      <c r="PH139" s="43"/>
      <c r="PI139" s="43"/>
      <c r="PJ139" s="43"/>
      <c r="PK139" s="43"/>
      <c r="PL139" s="43"/>
      <c r="PM139" s="43"/>
      <c r="PN139" s="43"/>
      <c r="PO139" s="43"/>
      <c r="PP139" s="43"/>
      <c r="PQ139" s="43"/>
      <c r="PR139" s="43"/>
      <c r="PS139" s="43"/>
      <c r="PT139" s="43"/>
      <c r="PU139" s="43"/>
      <c r="PV139" s="43"/>
      <c r="PW139" s="43"/>
      <c r="PX139" s="43"/>
      <c r="PY139" s="43"/>
      <c r="PZ139" s="43"/>
      <c r="QA139" s="43"/>
      <c r="QB139" s="43"/>
      <c r="QC139" s="43"/>
    </row>
    <row r="140" spans="1:445" x14ac:dyDescent="0.3"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6" t="str">
        <f t="shared" si="12"/>
        <v/>
      </c>
      <c r="U140" s="46" t="str">
        <f t="shared" si="13"/>
        <v/>
      </c>
      <c r="V140" s="72" t="str">
        <f t="shared" si="14"/>
        <v/>
      </c>
      <c r="X140" s="73" t="str">
        <f t="shared" si="15"/>
        <v/>
      </c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43"/>
      <c r="BN140" s="43"/>
      <c r="BO140" s="43"/>
      <c r="BP140" s="43"/>
      <c r="BQ140" s="43"/>
      <c r="BR140" s="43"/>
      <c r="BS140" s="43"/>
      <c r="BT140" s="43"/>
      <c r="BU140" s="43"/>
      <c r="BV140" s="43"/>
      <c r="BW140" s="43"/>
      <c r="BX140" s="43"/>
      <c r="BY140" s="43"/>
      <c r="BZ140" s="43"/>
      <c r="CA140" s="43"/>
      <c r="CB140" s="43"/>
      <c r="CC140" s="43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43"/>
      <c r="CY140" s="43"/>
      <c r="CZ140" s="43"/>
      <c r="DA140" s="43"/>
      <c r="DB140" s="43"/>
      <c r="DC140" s="43"/>
      <c r="DD140" s="43"/>
      <c r="DE140" s="43"/>
      <c r="DF140" s="43"/>
      <c r="DG140" s="43"/>
      <c r="DH140" s="43"/>
      <c r="DI140" s="43"/>
      <c r="DJ140" s="43"/>
      <c r="DK140" s="43"/>
      <c r="DL140" s="43"/>
      <c r="DM140" s="43"/>
      <c r="DN140" s="43"/>
      <c r="DO140" s="43"/>
      <c r="DP140" s="43"/>
      <c r="DQ140" s="43"/>
      <c r="DR140" s="43"/>
      <c r="DS140" s="43"/>
      <c r="DT140" s="43"/>
      <c r="DU140" s="43"/>
      <c r="DV140" s="43"/>
      <c r="DW140" s="43"/>
      <c r="DX140" s="43"/>
      <c r="DY140" s="43"/>
      <c r="DZ140" s="43"/>
      <c r="EA140" s="43"/>
      <c r="EB140" s="43"/>
      <c r="EC140" s="43"/>
      <c r="ED140" s="43"/>
      <c r="EE140" s="43"/>
      <c r="EF140" s="43"/>
      <c r="EG140" s="43"/>
      <c r="EH140" s="43"/>
      <c r="EI140" s="43"/>
      <c r="EJ140" s="43"/>
      <c r="EK140" s="43"/>
      <c r="EL140" s="43"/>
      <c r="EM140" s="43"/>
      <c r="EN140" s="43"/>
      <c r="EO140" s="43"/>
      <c r="EP140" s="43"/>
      <c r="EQ140" s="43"/>
      <c r="ER140" s="43"/>
      <c r="ES140" s="43"/>
      <c r="ET140" s="43"/>
      <c r="EU140" s="43"/>
      <c r="EV140" s="43"/>
      <c r="EW140" s="43"/>
      <c r="EX140" s="43"/>
      <c r="EY140" s="43"/>
      <c r="EZ140" s="43"/>
      <c r="FA140" s="43"/>
      <c r="FB140" s="43"/>
      <c r="FC140" s="43"/>
      <c r="FD140" s="43"/>
      <c r="FE140" s="43"/>
      <c r="FF140" s="43"/>
      <c r="FG140" s="43"/>
      <c r="FH140" s="43"/>
      <c r="FI140" s="43"/>
      <c r="FJ140" s="43"/>
      <c r="FK140" s="43"/>
      <c r="FL140" s="43"/>
      <c r="FM140" s="43"/>
      <c r="FN140" s="43"/>
      <c r="FO140" s="43"/>
      <c r="FP140" s="43"/>
      <c r="FQ140" s="43"/>
      <c r="FR140" s="43"/>
      <c r="FS140" s="43"/>
      <c r="FT140" s="43"/>
      <c r="FU140" s="43"/>
      <c r="FV140" s="43"/>
      <c r="FW140" s="43"/>
      <c r="FX140" s="43"/>
      <c r="FY140" s="43"/>
      <c r="FZ140" s="43"/>
      <c r="GA140" s="43"/>
      <c r="GB140" s="43"/>
      <c r="GC140" s="43"/>
      <c r="GD140" s="43"/>
      <c r="GE140" s="43"/>
      <c r="GF140" s="43"/>
      <c r="GG140" s="43"/>
      <c r="GH140" s="43"/>
      <c r="GI140" s="43"/>
      <c r="GJ140" s="43"/>
      <c r="GK140" s="43"/>
      <c r="GL140" s="43"/>
      <c r="GM140" s="43"/>
      <c r="GN140" s="43"/>
      <c r="GO140" s="43"/>
      <c r="GP140" s="43"/>
      <c r="GQ140" s="43"/>
      <c r="GR140" s="43"/>
      <c r="GS140" s="43"/>
      <c r="GT140" s="43"/>
      <c r="GU140" s="43"/>
      <c r="GV140" s="43"/>
      <c r="GW140" s="43"/>
      <c r="GX140" s="43"/>
      <c r="GY140" s="43"/>
      <c r="GZ140" s="43"/>
      <c r="HA140" s="43"/>
      <c r="HB140" s="43"/>
      <c r="HC140" s="43"/>
      <c r="HD140" s="43"/>
      <c r="HE140" s="43"/>
      <c r="HF140" s="43"/>
      <c r="HG140" s="43"/>
      <c r="HH140" s="43"/>
      <c r="HI140" s="43"/>
      <c r="HJ140" s="43"/>
      <c r="HK140" s="43"/>
      <c r="HL140" s="43"/>
      <c r="HM140" s="43"/>
      <c r="HN140" s="43"/>
      <c r="HO140" s="43"/>
      <c r="HP140" s="43"/>
      <c r="HQ140" s="43"/>
      <c r="HR140" s="43"/>
      <c r="HS140" s="43"/>
      <c r="HT140" s="43"/>
      <c r="HU140" s="43"/>
      <c r="HV140" s="43"/>
      <c r="HW140" s="43"/>
      <c r="HX140" s="43"/>
      <c r="HY140" s="43"/>
      <c r="HZ140" s="43"/>
      <c r="IA140" s="43"/>
      <c r="IB140" s="43"/>
      <c r="IC140" s="43"/>
      <c r="ID140" s="43"/>
      <c r="IE140" s="43"/>
      <c r="IF140" s="43"/>
      <c r="IG140" s="43"/>
      <c r="IH140" s="43"/>
      <c r="II140" s="43"/>
      <c r="IJ140" s="43"/>
      <c r="IK140" s="43"/>
      <c r="IL140" s="43"/>
      <c r="IM140" s="43"/>
      <c r="IN140" s="43"/>
      <c r="IO140" s="43"/>
      <c r="IP140" s="43"/>
      <c r="IQ140" s="43"/>
      <c r="IR140" s="43"/>
      <c r="IS140" s="43"/>
      <c r="IT140" s="43"/>
      <c r="IU140" s="43"/>
      <c r="IV140" s="43"/>
      <c r="IW140" s="43"/>
      <c r="IX140" s="43"/>
      <c r="IY140" s="43"/>
      <c r="IZ140" s="43"/>
      <c r="JA140" s="43"/>
      <c r="JB140" s="43"/>
      <c r="JC140" s="43"/>
      <c r="JD140" s="43"/>
      <c r="JE140" s="43"/>
      <c r="JF140" s="43"/>
      <c r="JG140" s="43"/>
      <c r="JH140" s="43"/>
      <c r="JI140" s="43"/>
      <c r="JJ140" s="43"/>
      <c r="JK140" s="43"/>
      <c r="JL140" s="43"/>
      <c r="JM140" s="43"/>
      <c r="JN140" s="43"/>
      <c r="JO140" s="43"/>
      <c r="JP140" s="43"/>
      <c r="JQ140" s="43"/>
      <c r="JR140" s="43"/>
      <c r="JS140" s="43"/>
      <c r="JT140" s="43"/>
      <c r="JU140" s="43"/>
      <c r="JV140" s="43"/>
      <c r="JW140" s="43"/>
      <c r="JX140" s="43"/>
      <c r="JY140" s="43"/>
      <c r="JZ140" s="43"/>
      <c r="KA140" s="43"/>
      <c r="KB140" s="43"/>
      <c r="KC140" s="43"/>
      <c r="KD140" s="43"/>
      <c r="KE140" s="43"/>
      <c r="KF140" s="43"/>
      <c r="KG140" s="43"/>
      <c r="KH140" s="43"/>
      <c r="KI140" s="43"/>
      <c r="KJ140" s="43"/>
      <c r="KK140" s="43"/>
      <c r="KL140" s="43"/>
      <c r="KM140" s="43"/>
      <c r="KN140" s="43"/>
      <c r="KO140" s="43"/>
      <c r="KP140" s="43"/>
      <c r="KQ140" s="43"/>
      <c r="KR140" s="43"/>
      <c r="KS140" s="43"/>
      <c r="KT140" s="43"/>
      <c r="KU140" s="43"/>
      <c r="KV140" s="43"/>
      <c r="KW140" s="43"/>
      <c r="KX140" s="43"/>
      <c r="KY140" s="43"/>
      <c r="KZ140" s="43"/>
      <c r="LA140" s="43"/>
      <c r="LB140" s="43"/>
      <c r="LC140" s="43"/>
      <c r="LD140" s="43"/>
      <c r="LE140" s="43"/>
      <c r="LF140" s="43"/>
      <c r="LG140" s="43"/>
      <c r="LH140" s="43"/>
      <c r="LI140" s="43"/>
      <c r="LJ140" s="43"/>
      <c r="LK140" s="43"/>
      <c r="LL140" s="43"/>
      <c r="LM140" s="43"/>
      <c r="LN140" s="43"/>
      <c r="LO140" s="43"/>
      <c r="LP140" s="43"/>
      <c r="LQ140" s="43"/>
      <c r="LR140" s="43"/>
      <c r="LS140" s="43"/>
      <c r="LT140" s="43"/>
      <c r="LU140" s="43"/>
      <c r="LV140" s="43"/>
      <c r="LW140" s="43"/>
      <c r="LX140" s="43"/>
      <c r="LY140" s="43"/>
      <c r="LZ140" s="43"/>
      <c r="MA140" s="43"/>
      <c r="MB140" s="43"/>
      <c r="MC140" s="43"/>
      <c r="MD140" s="43"/>
      <c r="ME140" s="43"/>
      <c r="MF140" s="43"/>
      <c r="MG140" s="43"/>
      <c r="MH140" s="43"/>
      <c r="MI140" s="43"/>
      <c r="MJ140" s="43"/>
      <c r="MK140" s="43"/>
      <c r="ML140" s="43"/>
      <c r="MM140" s="43"/>
      <c r="MN140" s="43"/>
      <c r="MO140" s="43"/>
      <c r="MP140" s="43"/>
      <c r="MQ140" s="43"/>
      <c r="MR140" s="43"/>
      <c r="MS140" s="43"/>
      <c r="MT140" s="43"/>
      <c r="MU140" s="43"/>
      <c r="MV140" s="43"/>
      <c r="MW140" s="43"/>
      <c r="MX140" s="43"/>
      <c r="MY140" s="43"/>
      <c r="MZ140" s="43"/>
      <c r="NA140" s="43"/>
      <c r="NB140" s="43"/>
      <c r="NC140" s="43"/>
      <c r="ND140" s="43"/>
      <c r="NE140" s="43"/>
      <c r="NF140" s="43"/>
      <c r="NG140" s="43"/>
      <c r="NH140" s="43"/>
      <c r="NI140" s="43"/>
      <c r="NJ140" s="43"/>
      <c r="NK140" s="43"/>
      <c r="NL140" s="43"/>
      <c r="NM140" s="43"/>
      <c r="NN140" s="43"/>
      <c r="NO140" s="43"/>
      <c r="NP140" s="43"/>
      <c r="NQ140" s="43"/>
      <c r="NR140" s="43"/>
      <c r="NS140" s="43"/>
      <c r="NT140" s="43"/>
      <c r="NU140" s="43"/>
      <c r="NV140" s="43"/>
      <c r="NW140" s="43"/>
      <c r="NX140" s="43"/>
      <c r="NY140" s="43"/>
      <c r="NZ140" s="43"/>
      <c r="OA140" s="43"/>
      <c r="OB140" s="43"/>
      <c r="OC140" s="43"/>
      <c r="OD140" s="43"/>
      <c r="OE140" s="43"/>
      <c r="OF140" s="43"/>
      <c r="OG140" s="43"/>
      <c r="OH140" s="43"/>
      <c r="OI140" s="43"/>
      <c r="OJ140" s="43"/>
      <c r="OK140" s="43"/>
      <c r="OL140" s="43"/>
      <c r="OM140" s="43"/>
      <c r="ON140" s="43"/>
      <c r="OO140" s="43"/>
      <c r="OP140" s="43"/>
      <c r="OQ140" s="43"/>
      <c r="OR140" s="43"/>
      <c r="OS140" s="43"/>
      <c r="OT140" s="43"/>
      <c r="OU140" s="43"/>
      <c r="OV140" s="43"/>
      <c r="OW140" s="43"/>
      <c r="OX140" s="43"/>
      <c r="OY140" s="43"/>
      <c r="OZ140" s="43"/>
      <c r="PA140" s="43"/>
      <c r="PB140" s="43"/>
      <c r="PC140" s="43"/>
      <c r="PD140" s="43"/>
      <c r="PE140" s="43"/>
      <c r="PF140" s="43"/>
      <c r="PG140" s="43"/>
      <c r="PH140" s="43"/>
      <c r="PI140" s="43"/>
      <c r="PJ140" s="43"/>
      <c r="PK140" s="43"/>
      <c r="PL140" s="43"/>
      <c r="PM140" s="43"/>
      <c r="PN140" s="43"/>
      <c r="PO140" s="43"/>
      <c r="PP140" s="43"/>
      <c r="PQ140" s="43"/>
      <c r="PR140" s="43"/>
      <c r="PS140" s="43"/>
      <c r="PT140" s="43"/>
      <c r="PU140" s="43"/>
      <c r="PV140" s="43"/>
      <c r="PW140" s="43"/>
      <c r="PX140" s="43"/>
      <c r="PY140" s="43"/>
      <c r="PZ140" s="43"/>
      <c r="QA140" s="43"/>
      <c r="QB140" s="43"/>
      <c r="QC140" s="43"/>
    </row>
    <row r="141" spans="1:445" x14ac:dyDescent="0.3"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6" t="str">
        <f t="shared" si="12"/>
        <v/>
      </c>
      <c r="U141" s="46" t="str">
        <f t="shared" si="13"/>
        <v/>
      </c>
      <c r="V141" s="72" t="str">
        <f t="shared" si="14"/>
        <v/>
      </c>
      <c r="W141" s="48"/>
      <c r="X141" s="73" t="str">
        <f t="shared" si="15"/>
        <v/>
      </c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43"/>
      <c r="BN141" s="43"/>
      <c r="BO141" s="43"/>
      <c r="BP141" s="43"/>
      <c r="BQ141" s="43"/>
      <c r="BR141" s="43"/>
      <c r="BS141" s="43"/>
      <c r="BT141" s="43"/>
      <c r="BU141" s="43"/>
      <c r="BV141" s="43"/>
      <c r="BW141" s="43"/>
      <c r="BX141" s="43"/>
      <c r="BY141" s="43"/>
      <c r="BZ141" s="43"/>
      <c r="CA141" s="43"/>
      <c r="CB141" s="43"/>
      <c r="CC141" s="43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43"/>
      <c r="CY141" s="43"/>
      <c r="CZ141" s="43"/>
      <c r="DA141" s="43"/>
      <c r="DB141" s="43"/>
      <c r="DC141" s="43"/>
      <c r="DD141" s="43"/>
      <c r="DE141" s="43"/>
      <c r="DF141" s="43"/>
      <c r="DG141" s="43"/>
      <c r="DH141" s="43"/>
      <c r="DI141" s="43"/>
      <c r="DJ141" s="43"/>
      <c r="DK141" s="43"/>
      <c r="DL141" s="43"/>
      <c r="DM141" s="43"/>
      <c r="DN141" s="43"/>
      <c r="DO141" s="43"/>
      <c r="DP141" s="43"/>
      <c r="DQ141" s="43"/>
      <c r="DR141" s="43"/>
      <c r="DS141" s="43"/>
      <c r="DT141" s="43"/>
      <c r="DU141" s="43"/>
      <c r="DV141" s="43"/>
      <c r="DW141" s="43"/>
      <c r="DX141" s="43"/>
      <c r="DY141" s="43"/>
      <c r="DZ141" s="43"/>
      <c r="EA141" s="43"/>
      <c r="EB141" s="43"/>
      <c r="EC141" s="43"/>
      <c r="ED141" s="43"/>
      <c r="EE141" s="43"/>
      <c r="EF141" s="43"/>
      <c r="EG141" s="43"/>
      <c r="EH141" s="43"/>
      <c r="EI141" s="43"/>
      <c r="EJ141" s="43"/>
      <c r="EK141" s="43"/>
      <c r="EL141" s="43"/>
      <c r="EM141" s="43"/>
      <c r="EN141" s="43"/>
      <c r="EO141" s="43"/>
      <c r="EP141" s="43"/>
      <c r="EQ141" s="43"/>
      <c r="ER141" s="43"/>
      <c r="ES141" s="43"/>
      <c r="ET141" s="43"/>
      <c r="EU141" s="43"/>
      <c r="EV141" s="43"/>
      <c r="EW141" s="43"/>
      <c r="EX141" s="43"/>
      <c r="EY141" s="43"/>
      <c r="EZ141" s="43"/>
      <c r="FA141" s="43"/>
      <c r="FB141" s="43"/>
      <c r="FC141" s="43"/>
      <c r="FD141" s="43"/>
      <c r="FE141" s="43"/>
      <c r="FF141" s="43"/>
      <c r="FG141" s="43"/>
      <c r="FH141" s="43"/>
      <c r="FI141" s="43"/>
      <c r="FJ141" s="43"/>
      <c r="FK141" s="43"/>
      <c r="FL141" s="43"/>
      <c r="FM141" s="43"/>
      <c r="FN141" s="43"/>
      <c r="FO141" s="43"/>
      <c r="FP141" s="43"/>
      <c r="FQ141" s="43"/>
      <c r="FR141" s="43"/>
      <c r="FS141" s="43"/>
      <c r="FT141" s="43"/>
      <c r="FU141" s="43"/>
      <c r="FV141" s="43"/>
      <c r="FW141" s="43"/>
      <c r="FX141" s="43"/>
      <c r="FY141" s="43"/>
      <c r="FZ141" s="43"/>
      <c r="GA141" s="43"/>
      <c r="GB141" s="43"/>
      <c r="GC141" s="43"/>
      <c r="GD141" s="43"/>
      <c r="GE141" s="43"/>
      <c r="GF141" s="43"/>
      <c r="GG141" s="43"/>
      <c r="GH141" s="43"/>
      <c r="GI141" s="43"/>
      <c r="GJ141" s="43"/>
      <c r="GK141" s="43"/>
      <c r="GL141" s="43"/>
      <c r="GM141" s="43"/>
      <c r="GN141" s="43"/>
      <c r="GO141" s="43"/>
      <c r="GP141" s="43"/>
      <c r="GQ141" s="43"/>
      <c r="GR141" s="43"/>
      <c r="GS141" s="43"/>
      <c r="GT141" s="43"/>
      <c r="GU141" s="43"/>
      <c r="GV141" s="43"/>
      <c r="GW141" s="43"/>
      <c r="GX141" s="43"/>
      <c r="GY141" s="43"/>
      <c r="GZ141" s="43"/>
      <c r="HA141" s="43"/>
      <c r="HB141" s="43"/>
      <c r="HC141" s="43"/>
      <c r="HD141" s="43"/>
      <c r="HE141" s="43"/>
      <c r="HF141" s="43"/>
      <c r="HG141" s="43"/>
      <c r="HH141" s="43"/>
      <c r="HI141" s="43"/>
      <c r="HJ141" s="43"/>
      <c r="HK141" s="43"/>
      <c r="HL141" s="43"/>
      <c r="HM141" s="43"/>
      <c r="HN141" s="43"/>
      <c r="HO141" s="43"/>
      <c r="HP141" s="43"/>
      <c r="HQ141" s="43"/>
      <c r="HR141" s="43"/>
      <c r="HS141" s="43"/>
      <c r="HT141" s="43"/>
      <c r="HU141" s="43"/>
      <c r="HV141" s="43"/>
      <c r="HW141" s="43"/>
      <c r="HX141" s="43"/>
      <c r="HY141" s="43"/>
      <c r="HZ141" s="43"/>
      <c r="IA141" s="43"/>
      <c r="IB141" s="43"/>
      <c r="IC141" s="43"/>
      <c r="ID141" s="43"/>
      <c r="IE141" s="43"/>
      <c r="IF141" s="43"/>
      <c r="IG141" s="43"/>
      <c r="IH141" s="43"/>
      <c r="II141" s="43"/>
      <c r="IJ141" s="43"/>
      <c r="IK141" s="43"/>
      <c r="IL141" s="43"/>
      <c r="IM141" s="43"/>
      <c r="IN141" s="43"/>
      <c r="IO141" s="43"/>
      <c r="IP141" s="43"/>
      <c r="IQ141" s="43"/>
      <c r="IR141" s="43"/>
      <c r="IS141" s="43"/>
      <c r="IT141" s="43"/>
      <c r="IU141" s="43"/>
      <c r="IV141" s="43"/>
      <c r="IW141" s="43"/>
      <c r="IX141" s="43"/>
      <c r="IY141" s="43"/>
      <c r="IZ141" s="43"/>
      <c r="JA141" s="43"/>
      <c r="JB141" s="43"/>
      <c r="JC141" s="43"/>
      <c r="JD141" s="43"/>
      <c r="JE141" s="43"/>
      <c r="JF141" s="43"/>
      <c r="JG141" s="43"/>
      <c r="JH141" s="43"/>
      <c r="JI141" s="43"/>
      <c r="JJ141" s="43"/>
      <c r="JK141" s="43"/>
      <c r="JL141" s="43"/>
      <c r="JM141" s="43"/>
      <c r="JN141" s="43"/>
      <c r="JO141" s="43"/>
      <c r="JP141" s="43"/>
      <c r="JQ141" s="43"/>
      <c r="JR141" s="43"/>
      <c r="JS141" s="43"/>
      <c r="JT141" s="43"/>
      <c r="JU141" s="43"/>
      <c r="JV141" s="43"/>
      <c r="JW141" s="43"/>
      <c r="JX141" s="43"/>
      <c r="JY141" s="43"/>
      <c r="JZ141" s="43"/>
      <c r="KA141" s="43"/>
      <c r="KB141" s="43"/>
      <c r="KC141" s="43"/>
      <c r="KD141" s="43"/>
      <c r="KE141" s="43"/>
      <c r="KF141" s="43"/>
      <c r="KG141" s="43"/>
      <c r="KH141" s="43"/>
      <c r="KI141" s="43"/>
      <c r="KJ141" s="43"/>
      <c r="KK141" s="43"/>
      <c r="KL141" s="43"/>
      <c r="KM141" s="43"/>
      <c r="KN141" s="43"/>
      <c r="KO141" s="43"/>
      <c r="KP141" s="43"/>
      <c r="KQ141" s="43"/>
      <c r="KR141" s="43"/>
      <c r="KS141" s="43"/>
      <c r="KT141" s="43"/>
      <c r="KU141" s="43"/>
      <c r="KV141" s="43"/>
      <c r="KW141" s="43"/>
      <c r="KX141" s="43"/>
      <c r="KY141" s="43"/>
      <c r="KZ141" s="43"/>
      <c r="LA141" s="43"/>
      <c r="LB141" s="43"/>
      <c r="LC141" s="43"/>
      <c r="LD141" s="43"/>
      <c r="LE141" s="43"/>
      <c r="LF141" s="43"/>
      <c r="LG141" s="43"/>
      <c r="LH141" s="43"/>
      <c r="LI141" s="43"/>
      <c r="LJ141" s="43"/>
      <c r="LK141" s="43"/>
      <c r="LL141" s="43"/>
      <c r="LM141" s="43"/>
      <c r="LN141" s="43"/>
      <c r="LO141" s="43"/>
      <c r="LP141" s="43"/>
      <c r="LQ141" s="43"/>
      <c r="LR141" s="43"/>
      <c r="LS141" s="43"/>
      <c r="LT141" s="43"/>
      <c r="LU141" s="43"/>
      <c r="LV141" s="43"/>
      <c r="LW141" s="43"/>
      <c r="LX141" s="43"/>
      <c r="LY141" s="43"/>
      <c r="LZ141" s="43"/>
      <c r="MA141" s="43"/>
      <c r="MB141" s="43"/>
      <c r="MC141" s="43"/>
      <c r="MD141" s="43"/>
      <c r="ME141" s="43"/>
      <c r="MF141" s="43"/>
      <c r="MG141" s="43"/>
      <c r="MH141" s="43"/>
      <c r="MI141" s="43"/>
      <c r="MJ141" s="43"/>
      <c r="MK141" s="43"/>
      <c r="ML141" s="43"/>
      <c r="MM141" s="43"/>
      <c r="MN141" s="43"/>
      <c r="MO141" s="43"/>
      <c r="MP141" s="43"/>
      <c r="MQ141" s="43"/>
      <c r="MR141" s="43"/>
      <c r="MS141" s="43"/>
      <c r="MT141" s="43"/>
      <c r="MU141" s="43"/>
      <c r="MV141" s="43"/>
      <c r="MW141" s="43"/>
      <c r="MX141" s="43"/>
      <c r="MY141" s="43"/>
      <c r="MZ141" s="43"/>
      <c r="NA141" s="43"/>
      <c r="NB141" s="43"/>
      <c r="NC141" s="43"/>
      <c r="ND141" s="43"/>
      <c r="NE141" s="43"/>
      <c r="NF141" s="43"/>
      <c r="NG141" s="43"/>
      <c r="NH141" s="43"/>
      <c r="NI141" s="43"/>
      <c r="NJ141" s="43"/>
      <c r="NK141" s="43"/>
      <c r="NL141" s="43"/>
      <c r="NM141" s="43"/>
      <c r="NN141" s="43"/>
      <c r="NO141" s="43"/>
      <c r="NP141" s="43"/>
      <c r="NQ141" s="43"/>
      <c r="NR141" s="43"/>
      <c r="NS141" s="43"/>
      <c r="NT141" s="43"/>
      <c r="NU141" s="43"/>
      <c r="NV141" s="43"/>
      <c r="NW141" s="43"/>
      <c r="NX141" s="43"/>
      <c r="NY141" s="43"/>
      <c r="NZ141" s="43"/>
      <c r="OA141" s="43"/>
      <c r="OB141" s="43"/>
      <c r="OC141" s="43"/>
      <c r="OD141" s="43"/>
      <c r="OE141" s="43"/>
      <c r="OF141" s="43"/>
      <c r="OG141" s="43"/>
      <c r="OH141" s="43"/>
      <c r="OI141" s="43"/>
      <c r="OJ141" s="43"/>
      <c r="OK141" s="43"/>
      <c r="OL141" s="43"/>
      <c r="OM141" s="43"/>
      <c r="ON141" s="43"/>
      <c r="OO141" s="43"/>
      <c r="OP141" s="43"/>
      <c r="OQ141" s="43"/>
      <c r="OR141" s="43"/>
      <c r="OS141" s="43"/>
      <c r="OT141" s="43"/>
      <c r="OU141" s="43"/>
      <c r="OV141" s="43"/>
      <c r="OW141" s="43"/>
      <c r="OX141" s="43"/>
      <c r="OY141" s="43"/>
      <c r="OZ141" s="43"/>
      <c r="PA141" s="43"/>
      <c r="PB141" s="43"/>
      <c r="PC141" s="43"/>
      <c r="PD141" s="43"/>
      <c r="PE141" s="43"/>
      <c r="PF141" s="43"/>
      <c r="PG141" s="43"/>
      <c r="PH141" s="43"/>
      <c r="PI141" s="43"/>
      <c r="PJ141" s="43"/>
      <c r="PK141" s="43"/>
      <c r="PL141" s="43"/>
      <c r="PM141" s="43"/>
      <c r="PN141" s="43"/>
      <c r="PO141" s="43"/>
      <c r="PP141" s="43"/>
      <c r="PQ141" s="43"/>
      <c r="PR141" s="43"/>
      <c r="PS141" s="43"/>
      <c r="PT141" s="43"/>
      <c r="PU141" s="43"/>
      <c r="PV141" s="43"/>
      <c r="PW141" s="43"/>
      <c r="PX141" s="43"/>
      <c r="PY141" s="43"/>
      <c r="PZ141" s="43"/>
      <c r="QA141" s="43"/>
      <c r="QB141" s="43"/>
      <c r="QC141" s="43"/>
    </row>
    <row r="142" spans="1:445" x14ac:dyDescent="0.3"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6" t="str">
        <f t="shared" si="12"/>
        <v/>
      </c>
      <c r="U142" s="46" t="str">
        <f t="shared" si="13"/>
        <v/>
      </c>
      <c r="V142" s="72" t="str">
        <f t="shared" si="14"/>
        <v/>
      </c>
      <c r="W142" s="48"/>
      <c r="X142" s="73" t="str">
        <f t="shared" si="15"/>
        <v/>
      </c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43"/>
      <c r="BN142" s="43"/>
      <c r="BO142" s="43"/>
      <c r="BP142" s="43"/>
      <c r="BQ142" s="43"/>
      <c r="BR142" s="43"/>
      <c r="BS142" s="43"/>
      <c r="BT142" s="43"/>
      <c r="BU142" s="43"/>
      <c r="BV142" s="43"/>
      <c r="BW142" s="43"/>
      <c r="BX142" s="43"/>
      <c r="BY142" s="43"/>
      <c r="BZ142" s="43"/>
      <c r="CA142" s="43"/>
      <c r="CB142" s="43"/>
      <c r="CC142" s="43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43"/>
      <c r="CY142" s="43"/>
      <c r="CZ142" s="43"/>
      <c r="DA142" s="43"/>
      <c r="DB142" s="43"/>
      <c r="DC142" s="43"/>
      <c r="DD142" s="43"/>
      <c r="DE142" s="43"/>
      <c r="DF142" s="43"/>
      <c r="DG142" s="43"/>
      <c r="DH142" s="43"/>
      <c r="DI142" s="43"/>
      <c r="DJ142" s="43"/>
      <c r="DK142" s="43"/>
      <c r="DL142" s="43"/>
      <c r="DM142" s="43"/>
      <c r="DN142" s="43"/>
      <c r="DO142" s="43"/>
      <c r="DP142" s="43"/>
      <c r="DQ142" s="43"/>
      <c r="DR142" s="43"/>
      <c r="DS142" s="43"/>
      <c r="DT142" s="43"/>
      <c r="DU142" s="43"/>
      <c r="DV142" s="43"/>
      <c r="DW142" s="43"/>
      <c r="DX142" s="43"/>
      <c r="DY142" s="43"/>
      <c r="DZ142" s="43"/>
      <c r="EA142" s="43"/>
      <c r="EB142" s="43"/>
      <c r="EC142" s="43"/>
      <c r="ED142" s="43"/>
      <c r="EE142" s="43"/>
      <c r="EF142" s="43"/>
      <c r="EG142" s="43"/>
      <c r="EH142" s="43"/>
      <c r="EI142" s="43"/>
      <c r="EJ142" s="43"/>
      <c r="EK142" s="43"/>
      <c r="EL142" s="43"/>
      <c r="EM142" s="43"/>
      <c r="EN142" s="43"/>
      <c r="EO142" s="43"/>
      <c r="EP142" s="43"/>
      <c r="EQ142" s="43"/>
      <c r="ER142" s="43"/>
      <c r="ES142" s="43"/>
      <c r="ET142" s="43"/>
      <c r="EU142" s="43"/>
      <c r="EV142" s="43"/>
      <c r="EW142" s="43"/>
      <c r="EX142" s="43"/>
      <c r="EY142" s="43"/>
      <c r="EZ142" s="43"/>
      <c r="FA142" s="43"/>
      <c r="FB142" s="43"/>
      <c r="FC142" s="43"/>
      <c r="FD142" s="43"/>
      <c r="FE142" s="43"/>
      <c r="FF142" s="43"/>
      <c r="FG142" s="43"/>
      <c r="FH142" s="43"/>
      <c r="FI142" s="43"/>
      <c r="FJ142" s="43"/>
      <c r="FK142" s="43"/>
      <c r="FL142" s="43"/>
      <c r="FM142" s="43"/>
      <c r="FN142" s="43"/>
      <c r="FO142" s="43"/>
      <c r="FP142" s="43"/>
      <c r="FQ142" s="43"/>
      <c r="FR142" s="43"/>
      <c r="FS142" s="43"/>
      <c r="FT142" s="43"/>
      <c r="FU142" s="43"/>
      <c r="FV142" s="43"/>
      <c r="FW142" s="43"/>
      <c r="FX142" s="43"/>
      <c r="FY142" s="43"/>
      <c r="FZ142" s="43"/>
      <c r="GA142" s="43"/>
      <c r="GB142" s="43"/>
      <c r="GC142" s="43"/>
      <c r="GD142" s="43"/>
      <c r="GE142" s="43"/>
      <c r="GF142" s="43"/>
      <c r="GG142" s="43"/>
      <c r="GH142" s="43"/>
      <c r="GI142" s="43"/>
      <c r="GJ142" s="43"/>
      <c r="GK142" s="43"/>
      <c r="GL142" s="43"/>
      <c r="GM142" s="43"/>
      <c r="GN142" s="43"/>
      <c r="GO142" s="43"/>
      <c r="GP142" s="43"/>
      <c r="GQ142" s="43"/>
      <c r="GR142" s="43"/>
      <c r="GS142" s="43"/>
      <c r="GT142" s="43"/>
      <c r="GU142" s="43"/>
      <c r="GV142" s="43"/>
      <c r="GW142" s="43"/>
      <c r="GX142" s="43"/>
      <c r="GY142" s="43"/>
      <c r="GZ142" s="43"/>
      <c r="HA142" s="43"/>
      <c r="HB142" s="43"/>
      <c r="HC142" s="43"/>
      <c r="HD142" s="43"/>
      <c r="HE142" s="43"/>
      <c r="HF142" s="43"/>
      <c r="HG142" s="43"/>
      <c r="HH142" s="43"/>
      <c r="HI142" s="43"/>
      <c r="HJ142" s="43"/>
      <c r="HK142" s="43"/>
      <c r="HL142" s="43"/>
      <c r="HM142" s="43"/>
      <c r="HN142" s="43"/>
      <c r="HO142" s="43"/>
      <c r="HP142" s="43"/>
      <c r="HQ142" s="43"/>
      <c r="HR142" s="43"/>
      <c r="HS142" s="43"/>
      <c r="HT142" s="43"/>
      <c r="HU142" s="43"/>
      <c r="HV142" s="43"/>
      <c r="HW142" s="43"/>
      <c r="HX142" s="43"/>
      <c r="HY142" s="43"/>
      <c r="HZ142" s="43"/>
      <c r="IA142" s="43"/>
      <c r="IB142" s="43"/>
      <c r="IC142" s="43"/>
      <c r="ID142" s="43"/>
      <c r="IE142" s="43"/>
      <c r="IF142" s="43"/>
      <c r="IG142" s="43"/>
      <c r="IH142" s="43"/>
      <c r="II142" s="43"/>
      <c r="IJ142" s="43"/>
      <c r="IK142" s="43"/>
      <c r="IL142" s="43"/>
      <c r="IM142" s="43"/>
      <c r="IN142" s="43"/>
      <c r="IO142" s="43"/>
      <c r="IP142" s="43"/>
      <c r="IQ142" s="43"/>
      <c r="IR142" s="43"/>
      <c r="IS142" s="43"/>
      <c r="IT142" s="43"/>
      <c r="IU142" s="43"/>
      <c r="IV142" s="43"/>
      <c r="IW142" s="43"/>
      <c r="IX142" s="43"/>
      <c r="IY142" s="43"/>
      <c r="IZ142" s="43"/>
      <c r="JA142" s="43"/>
      <c r="JB142" s="43"/>
      <c r="JC142" s="43"/>
      <c r="JD142" s="43"/>
      <c r="JE142" s="43"/>
      <c r="JF142" s="43"/>
      <c r="JG142" s="43"/>
      <c r="JH142" s="43"/>
      <c r="JI142" s="43"/>
      <c r="JJ142" s="43"/>
      <c r="JK142" s="43"/>
      <c r="JL142" s="43"/>
      <c r="JM142" s="43"/>
      <c r="JN142" s="43"/>
      <c r="JO142" s="43"/>
      <c r="JP142" s="43"/>
      <c r="JQ142" s="43"/>
      <c r="JR142" s="43"/>
      <c r="JS142" s="43"/>
      <c r="JT142" s="43"/>
      <c r="JU142" s="43"/>
      <c r="JV142" s="43"/>
      <c r="JW142" s="43"/>
      <c r="JX142" s="43"/>
      <c r="JY142" s="43"/>
      <c r="JZ142" s="43"/>
      <c r="KA142" s="43"/>
      <c r="KB142" s="43"/>
      <c r="KC142" s="43"/>
      <c r="KD142" s="43"/>
      <c r="KE142" s="43"/>
      <c r="KF142" s="43"/>
      <c r="KG142" s="43"/>
      <c r="KH142" s="43"/>
      <c r="KI142" s="43"/>
      <c r="KJ142" s="43"/>
      <c r="KK142" s="43"/>
      <c r="KL142" s="43"/>
      <c r="KM142" s="43"/>
      <c r="KN142" s="43"/>
      <c r="KO142" s="43"/>
      <c r="KP142" s="43"/>
      <c r="KQ142" s="43"/>
      <c r="KR142" s="43"/>
      <c r="KS142" s="43"/>
      <c r="KT142" s="43"/>
      <c r="KU142" s="43"/>
      <c r="KV142" s="43"/>
      <c r="KW142" s="43"/>
      <c r="KX142" s="43"/>
      <c r="KY142" s="43"/>
      <c r="KZ142" s="43"/>
      <c r="LA142" s="43"/>
      <c r="LB142" s="43"/>
      <c r="LC142" s="43"/>
      <c r="LD142" s="43"/>
      <c r="LE142" s="43"/>
      <c r="LF142" s="43"/>
      <c r="LG142" s="43"/>
      <c r="LH142" s="43"/>
      <c r="LI142" s="43"/>
      <c r="LJ142" s="43"/>
      <c r="LK142" s="43"/>
      <c r="LL142" s="43"/>
      <c r="LM142" s="43"/>
      <c r="LN142" s="43"/>
      <c r="LO142" s="43"/>
      <c r="LP142" s="43"/>
      <c r="LQ142" s="43"/>
      <c r="LR142" s="43"/>
      <c r="LS142" s="43"/>
      <c r="LT142" s="43"/>
      <c r="LU142" s="43"/>
      <c r="LV142" s="43"/>
      <c r="LW142" s="43"/>
      <c r="LX142" s="43"/>
      <c r="LY142" s="43"/>
      <c r="LZ142" s="43"/>
      <c r="MA142" s="43"/>
      <c r="MB142" s="43"/>
      <c r="MC142" s="43"/>
      <c r="MD142" s="43"/>
      <c r="ME142" s="43"/>
      <c r="MF142" s="43"/>
      <c r="MG142" s="43"/>
      <c r="MH142" s="43"/>
      <c r="MI142" s="43"/>
      <c r="MJ142" s="43"/>
      <c r="MK142" s="43"/>
      <c r="ML142" s="43"/>
      <c r="MM142" s="43"/>
      <c r="MN142" s="43"/>
      <c r="MO142" s="43"/>
      <c r="MP142" s="43"/>
      <c r="MQ142" s="43"/>
      <c r="MR142" s="43"/>
      <c r="MS142" s="43"/>
      <c r="MT142" s="43"/>
      <c r="MU142" s="43"/>
      <c r="MV142" s="43"/>
      <c r="MW142" s="43"/>
      <c r="MX142" s="43"/>
      <c r="MY142" s="43"/>
      <c r="MZ142" s="43"/>
      <c r="NA142" s="43"/>
      <c r="NB142" s="43"/>
      <c r="NC142" s="43"/>
      <c r="ND142" s="43"/>
      <c r="NE142" s="43"/>
      <c r="NF142" s="43"/>
      <c r="NG142" s="43"/>
      <c r="NH142" s="43"/>
      <c r="NI142" s="43"/>
      <c r="NJ142" s="43"/>
      <c r="NK142" s="43"/>
      <c r="NL142" s="43"/>
      <c r="NM142" s="43"/>
      <c r="NN142" s="43"/>
      <c r="NO142" s="43"/>
      <c r="NP142" s="43"/>
      <c r="NQ142" s="43"/>
      <c r="NR142" s="43"/>
      <c r="NS142" s="43"/>
      <c r="NT142" s="43"/>
      <c r="NU142" s="43"/>
      <c r="NV142" s="43"/>
      <c r="NW142" s="43"/>
      <c r="NX142" s="43"/>
      <c r="NY142" s="43"/>
      <c r="NZ142" s="43"/>
      <c r="OA142" s="43"/>
      <c r="OB142" s="43"/>
      <c r="OC142" s="43"/>
      <c r="OD142" s="43"/>
      <c r="OE142" s="43"/>
      <c r="OF142" s="43"/>
      <c r="OG142" s="43"/>
      <c r="OH142" s="43"/>
      <c r="OI142" s="43"/>
      <c r="OJ142" s="43"/>
      <c r="OK142" s="43"/>
      <c r="OL142" s="43"/>
      <c r="OM142" s="43"/>
      <c r="ON142" s="43"/>
      <c r="OO142" s="43"/>
      <c r="OP142" s="43"/>
      <c r="OQ142" s="43"/>
      <c r="OR142" s="43"/>
      <c r="OS142" s="43"/>
      <c r="OT142" s="43"/>
      <c r="OU142" s="43"/>
      <c r="OV142" s="43"/>
      <c r="OW142" s="43"/>
      <c r="OX142" s="43"/>
      <c r="OY142" s="43"/>
      <c r="OZ142" s="43"/>
      <c r="PA142" s="43"/>
      <c r="PB142" s="43"/>
      <c r="PC142" s="43"/>
      <c r="PD142" s="43"/>
      <c r="PE142" s="43"/>
      <c r="PF142" s="43"/>
      <c r="PG142" s="43"/>
      <c r="PH142" s="43"/>
      <c r="PI142" s="43"/>
      <c r="PJ142" s="43"/>
      <c r="PK142" s="43"/>
      <c r="PL142" s="43"/>
      <c r="PM142" s="43"/>
      <c r="PN142" s="43"/>
      <c r="PO142" s="43"/>
      <c r="PP142" s="43"/>
      <c r="PQ142" s="43"/>
      <c r="PR142" s="43"/>
      <c r="PS142" s="43"/>
      <c r="PT142" s="43"/>
      <c r="PU142" s="43"/>
      <c r="PV142" s="43"/>
      <c r="PW142" s="43"/>
      <c r="PX142" s="43"/>
      <c r="PY142" s="43"/>
      <c r="PZ142" s="43"/>
      <c r="QA142" s="43"/>
      <c r="QB142" s="43"/>
      <c r="QC142" s="43"/>
    </row>
    <row r="143" spans="1:445" x14ac:dyDescent="0.3"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6" t="str">
        <f t="shared" si="12"/>
        <v/>
      </c>
      <c r="U143" s="46" t="str">
        <f t="shared" si="13"/>
        <v/>
      </c>
      <c r="V143" s="72" t="str">
        <f t="shared" si="14"/>
        <v/>
      </c>
      <c r="W143" s="48"/>
      <c r="X143" s="73" t="str">
        <f t="shared" si="15"/>
        <v/>
      </c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43"/>
      <c r="BN143" s="43"/>
      <c r="BO143" s="43"/>
      <c r="BP143" s="43"/>
      <c r="BQ143" s="43"/>
      <c r="BR143" s="43"/>
      <c r="BS143" s="43"/>
      <c r="BT143" s="43"/>
      <c r="BU143" s="43"/>
      <c r="BV143" s="43"/>
      <c r="BW143" s="43"/>
      <c r="BX143" s="43"/>
      <c r="BY143" s="43"/>
      <c r="BZ143" s="43"/>
      <c r="CA143" s="43"/>
      <c r="CB143" s="43"/>
      <c r="CC143" s="43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43"/>
      <c r="CY143" s="43"/>
      <c r="CZ143" s="43"/>
      <c r="DA143" s="43"/>
      <c r="DB143" s="43"/>
      <c r="DC143" s="43"/>
      <c r="DD143" s="43"/>
      <c r="DE143" s="43"/>
      <c r="DF143" s="43"/>
      <c r="DG143" s="43"/>
      <c r="DH143" s="43"/>
      <c r="DI143" s="43"/>
      <c r="DJ143" s="43"/>
      <c r="DK143" s="43"/>
      <c r="DL143" s="43"/>
      <c r="DM143" s="43"/>
      <c r="DN143" s="43"/>
      <c r="DO143" s="43"/>
      <c r="DP143" s="43"/>
      <c r="DQ143" s="43"/>
      <c r="DR143" s="43"/>
      <c r="DS143" s="43"/>
      <c r="DT143" s="43"/>
      <c r="DU143" s="43"/>
      <c r="DV143" s="43"/>
      <c r="DW143" s="43"/>
      <c r="DX143" s="43"/>
      <c r="DY143" s="43"/>
      <c r="DZ143" s="43"/>
      <c r="EA143" s="43"/>
      <c r="EB143" s="43"/>
      <c r="EC143" s="43"/>
      <c r="ED143" s="43"/>
      <c r="EE143" s="43"/>
      <c r="EF143" s="43"/>
      <c r="EG143" s="43"/>
      <c r="EH143" s="43"/>
      <c r="EI143" s="43"/>
      <c r="EJ143" s="43"/>
      <c r="EK143" s="43"/>
      <c r="EL143" s="43"/>
      <c r="EM143" s="43"/>
      <c r="EN143" s="43"/>
      <c r="EO143" s="43"/>
      <c r="EP143" s="43"/>
      <c r="EQ143" s="43"/>
      <c r="ER143" s="43"/>
      <c r="ES143" s="43"/>
      <c r="ET143" s="43"/>
      <c r="EU143" s="43"/>
      <c r="EV143" s="43"/>
      <c r="EW143" s="43"/>
      <c r="EX143" s="43"/>
      <c r="EY143" s="43"/>
      <c r="EZ143" s="43"/>
      <c r="FA143" s="43"/>
      <c r="FB143" s="43"/>
      <c r="FC143" s="43"/>
      <c r="FD143" s="43"/>
      <c r="FE143" s="43"/>
      <c r="FF143" s="43"/>
      <c r="FG143" s="43"/>
      <c r="FH143" s="43"/>
      <c r="FI143" s="43"/>
      <c r="FJ143" s="43"/>
      <c r="FK143" s="43"/>
      <c r="FL143" s="43"/>
      <c r="FM143" s="43"/>
      <c r="FN143" s="43"/>
      <c r="FO143" s="43"/>
      <c r="FP143" s="43"/>
      <c r="FQ143" s="43"/>
      <c r="FR143" s="43"/>
      <c r="FS143" s="43"/>
      <c r="FT143" s="43"/>
      <c r="FU143" s="43"/>
      <c r="FV143" s="43"/>
      <c r="FW143" s="43"/>
      <c r="FX143" s="43"/>
      <c r="FY143" s="43"/>
      <c r="FZ143" s="43"/>
      <c r="GA143" s="43"/>
      <c r="GB143" s="43"/>
      <c r="GC143" s="43"/>
      <c r="GD143" s="43"/>
      <c r="GE143" s="43"/>
      <c r="GF143" s="43"/>
      <c r="GG143" s="43"/>
      <c r="GH143" s="43"/>
      <c r="GI143" s="43"/>
      <c r="GJ143" s="43"/>
      <c r="GK143" s="43"/>
      <c r="GL143" s="43"/>
      <c r="GM143" s="43"/>
      <c r="GN143" s="43"/>
      <c r="GO143" s="43"/>
      <c r="GP143" s="43"/>
      <c r="GQ143" s="43"/>
      <c r="GR143" s="43"/>
      <c r="GS143" s="43"/>
      <c r="GT143" s="43"/>
      <c r="GU143" s="43"/>
      <c r="GV143" s="43"/>
      <c r="GW143" s="43"/>
      <c r="GX143" s="43"/>
      <c r="GY143" s="43"/>
      <c r="GZ143" s="43"/>
      <c r="HA143" s="43"/>
      <c r="HB143" s="43"/>
      <c r="HC143" s="43"/>
      <c r="HD143" s="43"/>
      <c r="HE143" s="43"/>
      <c r="HF143" s="43"/>
      <c r="HG143" s="43"/>
      <c r="HH143" s="43"/>
      <c r="HI143" s="43"/>
      <c r="HJ143" s="43"/>
      <c r="HK143" s="43"/>
      <c r="HL143" s="43"/>
      <c r="HM143" s="43"/>
      <c r="HN143" s="43"/>
      <c r="HO143" s="43"/>
      <c r="HP143" s="43"/>
      <c r="HQ143" s="43"/>
      <c r="HR143" s="43"/>
      <c r="HS143" s="43"/>
      <c r="HT143" s="43"/>
      <c r="HU143" s="43"/>
      <c r="HV143" s="43"/>
      <c r="HW143" s="43"/>
      <c r="HX143" s="43"/>
      <c r="HY143" s="43"/>
      <c r="HZ143" s="43"/>
      <c r="IA143" s="43"/>
      <c r="IB143" s="43"/>
      <c r="IC143" s="43"/>
      <c r="ID143" s="43"/>
      <c r="IE143" s="43"/>
      <c r="IF143" s="43"/>
      <c r="IG143" s="43"/>
      <c r="IH143" s="43"/>
      <c r="II143" s="43"/>
      <c r="IJ143" s="43"/>
      <c r="IK143" s="43"/>
      <c r="IL143" s="43"/>
      <c r="IM143" s="43"/>
      <c r="IN143" s="43"/>
      <c r="IO143" s="43"/>
      <c r="IP143" s="43"/>
      <c r="IQ143" s="43"/>
      <c r="IR143" s="43"/>
      <c r="IS143" s="43"/>
      <c r="IT143" s="43"/>
      <c r="IU143" s="43"/>
      <c r="IV143" s="43"/>
      <c r="IW143" s="43"/>
      <c r="IX143" s="43"/>
      <c r="IY143" s="43"/>
      <c r="IZ143" s="43"/>
      <c r="JA143" s="43"/>
      <c r="JB143" s="43"/>
      <c r="JC143" s="43"/>
      <c r="JD143" s="43"/>
      <c r="JE143" s="43"/>
      <c r="JF143" s="43"/>
      <c r="JG143" s="43"/>
      <c r="JH143" s="43"/>
      <c r="JI143" s="43"/>
      <c r="JJ143" s="43"/>
      <c r="JK143" s="43"/>
      <c r="JL143" s="43"/>
      <c r="JM143" s="43"/>
      <c r="JN143" s="43"/>
      <c r="JO143" s="43"/>
      <c r="JP143" s="43"/>
      <c r="JQ143" s="43"/>
      <c r="JR143" s="43"/>
      <c r="JS143" s="43"/>
      <c r="JT143" s="43"/>
      <c r="JU143" s="43"/>
      <c r="JV143" s="43"/>
      <c r="JW143" s="43"/>
      <c r="JX143" s="43"/>
      <c r="JY143" s="43"/>
      <c r="JZ143" s="43"/>
      <c r="KA143" s="43"/>
      <c r="KB143" s="43"/>
      <c r="KC143" s="43"/>
      <c r="KD143" s="43"/>
      <c r="KE143" s="43"/>
      <c r="KF143" s="43"/>
      <c r="KG143" s="43"/>
      <c r="KH143" s="43"/>
      <c r="KI143" s="43"/>
      <c r="KJ143" s="43"/>
      <c r="KK143" s="43"/>
      <c r="KL143" s="43"/>
      <c r="KM143" s="43"/>
      <c r="KN143" s="43"/>
      <c r="KO143" s="43"/>
      <c r="KP143" s="43"/>
      <c r="KQ143" s="43"/>
      <c r="KR143" s="43"/>
      <c r="KS143" s="43"/>
      <c r="KT143" s="43"/>
      <c r="KU143" s="43"/>
      <c r="KV143" s="43"/>
      <c r="KW143" s="43"/>
      <c r="KX143" s="43"/>
      <c r="KY143" s="43"/>
      <c r="KZ143" s="43"/>
      <c r="LA143" s="43"/>
      <c r="LB143" s="43"/>
      <c r="LC143" s="43"/>
      <c r="LD143" s="43"/>
      <c r="LE143" s="43"/>
      <c r="LF143" s="43"/>
      <c r="LG143" s="43"/>
      <c r="LH143" s="43"/>
      <c r="LI143" s="43"/>
      <c r="LJ143" s="43"/>
      <c r="LK143" s="43"/>
      <c r="LL143" s="43"/>
      <c r="LM143" s="43"/>
      <c r="LN143" s="43"/>
      <c r="LO143" s="43"/>
      <c r="LP143" s="43"/>
      <c r="LQ143" s="43"/>
      <c r="LR143" s="43"/>
      <c r="LS143" s="43"/>
      <c r="LT143" s="43"/>
      <c r="LU143" s="43"/>
      <c r="LV143" s="43"/>
      <c r="LW143" s="43"/>
      <c r="LX143" s="43"/>
      <c r="LY143" s="43"/>
      <c r="LZ143" s="43"/>
      <c r="MA143" s="43"/>
      <c r="MB143" s="43"/>
      <c r="MC143" s="43"/>
      <c r="MD143" s="43"/>
      <c r="ME143" s="43"/>
      <c r="MF143" s="43"/>
      <c r="MG143" s="43"/>
      <c r="MH143" s="43"/>
      <c r="MI143" s="43"/>
      <c r="MJ143" s="43"/>
      <c r="MK143" s="43"/>
      <c r="ML143" s="43"/>
      <c r="MM143" s="43"/>
      <c r="MN143" s="43"/>
      <c r="MO143" s="43"/>
      <c r="MP143" s="43"/>
      <c r="MQ143" s="43"/>
      <c r="MR143" s="43"/>
      <c r="MS143" s="43"/>
      <c r="MT143" s="43"/>
      <c r="MU143" s="43"/>
      <c r="MV143" s="43"/>
      <c r="MW143" s="43"/>
      <c r="MX143" s="43"/>
      <c r="MY143" s="43"/>
      <c r="MZ143" s="43"/>
      <c r="NA143" s="43"/>
      <c r="NB143" s="43"/>
      <c r="NC143" s="43"/>
      <c r="ND143" s="43"/>
      <c r="NE143" s="43"/>
      <c r="NF143" s="43"/>
      <c r="NG143" s="43"/>
      <c r="NH143" s="43"/>
      <c r="NI143" s="43"/>
      <c r="NJ143" s="43"/>
      <c r="NK143" s="43"/>
      <c r="NL143" s="43"/>
      <c r="NM143" s="43"/>
      <c r="NN143" s="43"/>
      <c r="NO143" s="43"/>
      <c r="NP143" s="43"/>
      <c r="NQ143" s="43"/>
      <c r="NR143" s="43"/>
      <c r="NS143" s="43"/>
      <c r="NT143" s="43"/>
      <c r="NU143" s="43"/>
      <c r="NV143" s="43"/>
      <c r="NW143" s="43"/>
      <c r="NX143" s="43"/>
      <c r="NY143" s="43"/>
      <c r="NZ143" s="43"/>
      <c r="OA143" s="43"/>
      <c r="OB143" s="43"/>
      <c r="OC143" s="43"/>
      <c r="OD143" s="43"/>
      <c r="OE143" s="43"/>
      <c r="OF143" s="43"/>
      <c r="OG143" s="43"/>
      <c r="OH143" s="43"/>
      <c r="OI143" s="43"/>
      <c r="OJ143" s="43"/>
      <c r="OK143" s="43"/>
      <c r="OL143" s="43"/>
      <c r="OM143" s="43"/>
      <c r="ON143" s="43"/>
      <c r="OO143" s="43"/>
      <c r="OP143" s="43"/>
      <c r="OQ143" s="43"/>
      <c r="OR143" s="43"/>
      <c r="OS143" s="43"/>
      <c r="OT143" s="43"/>
      <c r="OU143" s="43"/>
      <c r="OV143" s="43"/>
      <c r="OW143" s="43"/>
      <c r="OX143" s="43"/>
      <c r="OY143" s="43"/>
      <c r="OZ143" s="43"/>
      <c r="PA143" s="43"/>
      <c r="PB143" s="43"/>
      <c r="PC143" s="43"/>
      <c r="PD143" s="43"/>
      <c r="PE143" s="43"/>
      <c r="PF143" s="43"/>
      <c r="PG143" s="43"/>
      <c r="PH143" s="43"/>
      <c r="PI143" s="43"/>
      <c r="PJ143" s="43"/>
      <c r="PK143" s="43"/>
      <c r="PL143" s="43"/>
      <c r="PM143" s="43"/>
      <c r="PN143" s="43"/>
      <c r="PO143" s="43"/>
      <c r="PP143" s="43"/>
      <c r="PQ143" s="43"/>
      <c r="PR143" s="43"/>
      <c r="PS143" s="43"/>
      <c r="PT143" s="43"/>
      <c r="PU143" s="43"/>
      <c r="PV143" s="43"/>
      <c r="PW143" s="43"/>
      <c r="PX143" s="43"/>
      <c r="PY143" s="43"/>
      <c r="PZ143" s="43"/>
      <c r="QA143" s="43"/>
      <c r="QB143" s="43"/>
      <c r="QC143" s="43"/>
    </row>
    <row r="144" spans="1:445" x14ac:dyDescent="0.3"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6" t="str">
        <f t="shared" si="12"/>
        <v/>
      </c>
      <c r="U144" s="46" t="str">
        <f t="shared" si="13"/>
        <v/>
      </c>
      <c r="V144" s="72" t="str">
        <f t="shared" si="14"/>
        <v/>
      </c>
      <c r="X144" s="73" t="str">
        <f t="shared" si="15"/>
        <v/>
      </c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43"/>
      <c r="BN144" s="43"/>
      <c r="BO144" s="43"/>
      <c r="BP144" s="43"/>
      <c r="BQ144" s="43"/>
      <c r="BR144" s="43"/>
      <c r="BS144" s="43"/>
      <c r="BT144" s="43"/>
      <c r="BU144" s="43"/>
      <c r="BV144" s="43"/>
      <c r="BW144" s="43"/>
      <c r="BX144" s="43"/>
      <c r="BY144" s="43"/>
      <c r="BZ144" s="43"/>
      <c r="CA144" s="43"/>
      <c r="CB144" s="43"/>
      <c r="CC144" s="43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43"/>
      <c r="CY144" s="43"/>
      <c r="CZ144" s="43"/>
      <c r="DA144" s="43"/>
      <c r="DB144" s="43"/>
      <c r="DC144" s="43"/>
      <c r="DD144" s="43"/>
      <c r="DE144" s="43"/>
      <c r="DF144" s="43"/>
      <c r="DG144" s="43"/>
      <c r="DH144" s="43"/>
      <c r="DI144" s="43"/>
      <c r="DJ144" s="43"/>
      <c r="DK144" s="43"/>
      <c r="DL144" s="43"/>
      <c r="DM144" s="43"/>
      <c r="DN144" s="43"/>
      <c r="DO144" s="43"/>
      <c r="DP144" s="43"/>
      <c r="DQ144" s="43"/>
      <c r="DR144" s="43"/>
      <c r="DS144" s="43"/>
      <c r="DT144" s="43"/>
      <c r="DU144" s="43"/>
      <c r="DV144" s="43"/>
      <c r="DW144" s="43"/>
      <c r="DX144" s="43"/>
      <c r="DY144" s="43"/>
      <c r="DZ144" s="43"/>
      <c r="EA144" s="43"/>
      <c r="EB144" s="43"/>
      <c r="EC144" s="43"/>
      <c r="ED144" s="43"/>
      <c r="EE144" s="43"/>
      <c r="EF144" s="43"/>
      <c r="EG144" s="43"/>
      <c r="EH144" s="43"/>
      <c r="EI144" s="43"/>
      <c r="EJ144" s="43"/>
      <c r="EK144" s="43"/>
      <c r="EL144" s="43"/>
      <c r="EM144" s="43"/>
      <c r="EN144" s="43"/>
      <c r="EO144" s="43"/>
      <c r="EP144" s="43"/>
      <c r="EQ144" s="43"/>
      <c r="ER144" s="43"/>
      <c r="ES144" s="43"/>
      <c r="ET144" s="43"/>
      <c r="EU144" s="43"/>
      <c r="EV144" s="43"/>
      <c r="EW144" s="43"/>
      <c r="EX144" s="43"/>
      <c r="EY144" s="43"/>
      <c r="EZ144" s="43"/>
      <c r="FA144" s="43"/>
      <c r="FB144" s="43"/>
      <c r="FC144" s="43"/>
      <c r="FD144" s="43"/>
      <c r="FE144" s="43"/>
      <c r="FF144" s="43"/>
      <c r="FG144" s="43"/>
      <c r="FH144" s="43"/>
      <c r="FI144" s="43"/>
      <c r="FJ144" s="43"/>
      <c r="FK144" s="43"/>
      <c r="FL144" s="43"/>
      <c r="FM144" s="43"/>
      <c r="FN144" s="43"/>
      <c r="FO144" s="43"/>
      <c r="FP144" s="43"/>
      <c r="FQ144" s="43"/>
      <c r="FR144" s="43"/>
      <c r="FS144" s="43"/>
      <c r="FT144" s="43"/>
      <c r="FU144" s="43"/>
      <c r="FV144" s="43"/>
      <c r="FW144" s="43"/>
      <c r="FX144" s="43"/>
      <c r="FY144" s="43"/>
      <c r="FZ144" s="43"/>
      <c r="GA144" s="43"/>
      <c r="GB144" s="43"/>
      <c r="GC144" s="43"/>
      <c r="GD144" s="43"/>
      <c r="GE144" s="43"/>
      <c r="GF144" s="43"/>
      <c r="GG144" s="43"/>
      <c r="GH144" s="43"/>
      <c r="GI144" s="43"/>
      <c r="GJ144" s="43"/>
      <c r="GK144" s="43"/>
      <c r="GL144" s="43"/>
      <c r="GM144" s="43"/>
      <c r="GN144" s="43"/>
      <c r="GO144" s="43"/>
      <c r="GP144" s="43"/>
      <c r="GQ144" s="43"/>
      <c r="GR144" s="43"/>
      <c r="GS144" s="43"/>
      <c r="GT144" s="43"/>
      <c r="GU144" s="43"/>
      <c r="GV144" s="43"/>
      <c r="GW144" s="43"/>
      <c r="GX144" s="43"/>
      <c r="GY144" s="43"/>
      <c r="GZ144" s="43"/>
      <c r="HA144" s="43"/>
      <c r="HB144" s="43"/>
      <c r="HC144" s="43"/>
      <c r="HD144" s="43"/>
      <c r="HE144" s="43"/>
      <c r="HF144" s="43"/>
      <c r="HG144" s="43"/>
      <c r="HH144" s="43"/>
      <c r="HI144" s="43"/>
      <c r="HJ144" s="43"/>
      <c r="HK144" s="43"/>
      <c r="HL144" s="43"/>
      <c r="HM144" s="43"/>
      <c r="HN144" s="43"/>
      <c r="HO144" s="43"/>
      <c r="HP144" s="43"/>
      <c r="HQ144" s="43"/>
      <c r="HR144" s="43"/>
      <c r="HS144" s="43"/>
      <c r="HT144" s="43"/>
      <c r="HU144" s="43"/>
      <c r="HV144" s="43"/>
      <c r="HW144" s="43"/>
      <c r="HX144" s="43"/>
      <c r="HY144" s="43"/>
      <c r="HZ144" s="43"/>
      <c r="IA144" s="43"/>
      <c r="IB144" s="43"/>
      <c r="IC144" s="43"/>
      <c r="ID144" s="43"/>
      <c r="IE144" s="43"/>
      <c r="IF144" s="43"/>
      <c r="IG144" s="43"/>
      <c r="IH144" s="43"/>
      <c r="II144" s="43"/>
      <c r="IJ144" s="43"/>
      <c r="IK144" s="43"/>
      <c r="IL144" s="43"/>
      <c r="IM144" s="43"/>
      <c r="IN144" s="43"/>
      <c r="IO144" s="43"/>
      <c r="IP144" s="43"/>
      <c r="IQ144" s="43"/>
      <c r="IR144" s="43"/>
      <c r="IS144" s="43"/>
      <c r="IT144" s="43"/>
      <c r="IU144" s="43"/>
      <c r="IV144" s="43"/>
      <c r="IW144" s="43"/>
      <c r="IX144" s="43"/>
      <c r="IY144" s="43"/>
      <c r="IZ144" s="43"/>
      <c r="JA144" s="43"/>
      <c r="JB144" s="43"/>
      <c r="JC144" s="43"/>
      <c r="JD144" s="43"/>
      <c r="JE144" s="43"/>
      <c r="JF144" s="43"/>
      <c r="JG144" s="43"/>
      <c r="JH144" s="43"/>
      <c r="JI144" s="43"/>
      <c r="JJ144" s="43"/>
      <c r="JK144" s="43"/>
      <c r="JL144" s="43"/>
      <c r="JM144" s="43"/>
      <c r="JN144" s="43"/>
      <c r="JO144" s="43"/>
      <c r="JP144" s="43"/>
      <c r="JQ144" s="43"/>
      <c r="JR144" s="43"/>
      <c r="JS144" s="43"/>
      <c r="JT144" s="43"/>
      <c r="JU144" s="43"/>
      <c r="JV144" s="43"/>
      <c r="JW144" s="43"/>
      <c r="JX144" s="43"/>
      <c r="JY144" s="43"/>
      <c r="JZ144" s="43"/>
      <c r="KA144" s="43"/>
      <c r="KB144" s="43"/>
      <c r="KC144" s="43"/>
      <c r="KD144" s="43"/>
      <c r="KE144" s="43"/>
      <c r="KF144" s="43"/>
      <c r="KG144" s="43"/>
      <c r="KH144" s="43"/>
      <c r="KI144" s="43"/>
      <c r="KJ144" s="43"/>
      <c r="KK144" s="43"/>
      <c r="KL144" s="43"/>
      <c r="KM144" s="43"/>
      <c r="KN144" s="43"/>
      <c r="KO144" s="43"/>
      <c r="KP144" s="43"/>
      <c r="KQ144" s="43"/>
      <c r="KR144" s="43"/>
      <c r="KS144" s="43"/>
      <c r="KT144" s="43"/>
      <c r="KU144" s="43"/>
      <c r="KV144" s="43"/>
      <c r="KW144" s="43"/>
      <c r="KX144" s="43"/>
      <c r="KY144" s="43"/>
      <c r="KZ144" s="43"/>
      <c r="LA144" s="43"/>
      <c r="LB144" s="43"/>
      <c r="LC144" s="43"/>
      <c r="LD144" s="43"/>
      <c r="LE144" s="43"/>
      <c r="LF144" s="43"/>
      <c r="LG144" s="43"/>
      <c r="LH144" s="43"/>
      <c r="LI144" s="43"/>
      <c r="LJ144" s="43"/>
      <c r="LK144" s="43"/>
      <c r="LL144" s="43"/>
      <c r="LM144" s="43"/>
      <c r="LN144" s="43"/>
      <c r="LO144" s="43"/>
      <c r="LP144" s="43"/>
      <c r="LQ144" s="43"/>
      <c r="LR144" s="43"/>
      <c r="LS144" s="43"/>
      <c r="LT144" s="43"/>
      <c r="LU144" s="43"/>
      <c r="LV144" s="43"/>
      <c r="LW144" s="43"/>
      <c r="LX144" s="43"/>
      <c r="LY144" s="43"/>
      <c r="LZ144" s="43"/>
      <c r="MA144" s="43"/>
      <c r="MB144" s="43"/>
      <c r="MC144" s="43"/>
      <c r="MD144" s="43"/>
      <c r="ME144" s="43"/>
      <c r="MF144" s="43"/>
      <c r="MG144" s="43"/>
      <c r="MH144" s="43"/>
      <c r="MI144" s="43"/>
      <c r="MJ144" s="43"/>
      <c r="MK144" s="43"/>
      <c r="ML144" s="43"/>
      <c r="MM144" s="43"/>
      <c r="MN144" s="43"/>
      <c r="MO144" s="43"/>
      <c r="MP144" s="43"/>
      <c r="MQ144" s="43"/>
      <c r="MR144" s="43"/>
      <c r="MS144" s="43"/>
      <c r="MT144" s="43"/>
      <c r="MU144" s="43"/>
      <c r="MV144" s="43"/>
      <c r="MW144" s="43"/>
      <c r="MX144" s="43"/>
      <c r="MY144" s="43"/>
      <c r="MZ144" s="43"/>
      <c r="NA144" s="43"/>
      <c r="NB144" s="43"/>
      <c r="NC144" s="43"/>
      <c r="ND144" s="43"/>
      <c r="NE144" s="43"/>
      <c r="NF144" s="43"/>
      <c r="NG144" s="43"/>
      <c r="NH144" s="43"/>
      <c r="NI144" s="43"/>
      <c r="NJ144" s="43"/>
      <c r="NK144" s="43"/>
      <c r="NL144" s="43"/>
      <c r="NM144" s="43"/>
      <c r="NN144" s="43"/>
      <c r="NO144" s="43"/>
      <c r="NP144" s="43"/>
      <c r="NQ144" s="43"/>
      <c r="NR144" s="43"/>
      <c r="NS144" s="43"/>
      <c r="NT144" s="43"/>
      <c r="NU144" s="43"/>
      <c r="NV144" s="43"/>
      <c r="NW144" s="43"/>
      <c r="NX144" s="43"/>
      <c r="NY144" s="43"/>
      <c r="NZ144" s="43"/>
      <c r="OA144" s="43"/>
      <c r="OB144" s="43"/>
      <c r="OC144" s="43"/>
      <c r="OD144" s="43"/>
      <c r="OE144" s="43"/>
      <c r="OF144" s="43"/>
      <c r="OG144" s="43"/>
      <c r="OH144" s="43"/>
      <c r="OI144" s="43"/>
      <c r="OJ144" s="43"/>
      <c r="OK144" s="43"/>
      <c r="OL144" s="43"/>
      <c r="OM144" s="43"/>
      <c r="ON144" s="43"/>
      <c r="OO144" s="43"/>
      <c r="OP144" s="43"/>
      <c r="OQ144" s="43"/>
      <c r="OR144" s="43"/>
      <c r="OS144" s="43"/>
      <c r="OT144" s="43"/>
      <c r="OU144" s="43"/>
      <c r="OV144" s="43"/>
      <c r="OW144" s="43"/>
      <c r="OX144" s="43"/>
      <c r="OY144" s="43"/>
      <c r="OZ144" s="43"/>
      <c r="PA144" s="43"/>
      <c r="PB144" s="43"/>
      <c r="PC144" s="43"/>
      <c r="PD144" s="43"/>
      <c r="PE144" s="43"/>
      <c r="PF144" s="43"/>
      <c r="PG144" s="43"/>
      <c r="PH144" s="43"/>
      <c r="PI144" s="43"/>
      <c r="PJ144" s="43"/>
      <c r="PK144" s="43"/>
      <c r="PL144" s="43"/>
      <c r="PM144" s="43"/>
      <c r="PN144" s="43"/>
      <c r="PO144" s="43"/>
      <c r="PP144" s="43"/>
      <c r="PQ144" s="43"/>
      <c r="PR144" s="43"/>
      <c r="PS144" s="43"/>
      <c r="PT144" s="43"/>
      <c r="PU144" s="43"/>
      <c r="PV144" s="43"/>
      <c r="PW144" s="43"/>
      <c r="PX144" s="43"/>
      <c r="PY144" s="43"/>
      <c r="PZ144" s="43"/>
      <c r="QA144" s="43"/>
      <c r="QB144" s="43"/>
      <c r="QC144" s="43"/>
    </row>
    <row r="145" spans="1:24" s="43" customFormat="1" ht="17.25" customHeight="1" x14ac:dyDescent="0.25">
      <c r="A145" s="47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6" t="str">
        <f t="shared" si="12"/>
        <v/>
      </c>
      <c r="U145" s="46" t="str">
        <f t="shared" si="13"/>
        <v/>
      </c>
      <c r="V145" s="72" t="str">
        <f t="shared" si="14"/>
        <v/>
      </c>
      <c r="W145" s="48"/>
      <c r="X145" s="73" t="str">
        <f t="shared" si="15"/>
        <v/>
      </c>
    </row>
    <row r="146" spans="1:24" x14ac:dyDescent="0.3"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6" t="str">
        <f t="shared" si="12"/>
        <v/>
      </c>
      <c r="U146" s="46" t="str">
        <f t="shared" si="13"/>
        <v/>
      </c>
      <c r="V146" s="72" t="str">
        <f t="shared" si="14"/>
        <v/>
      </c>
      <c r="W146" s="48"/>
      <c r="X146" s="73" t="str">
        <f t="shared" si="15"/>
        <v/>
      </c>
    </row>
    <row r="147" spans="1:24" x14ac:dyDescent="0.3"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6" t="str">
        <f t="shared" si="12"/>
        <v/>
      </c>
      <c r="U147" s="46" t="str">
        <f t="shared" si="13"/>
        <v/>
      </c>
      <c r="V147" s="72" t="str">
        <f t="shared" si="14"/>
        <v/>
      </c>
      <c r="X147" s="73" t="str">
        <f t="shared" si="15"/>
        <v/>
      </c>
    </row>
    <row r="148" spans="1:24" x14ac:dyDescent="0.3"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6" t="str">
        <f t="shared" si="12"/>
        <v/>
      </c>
      <c r="U148" s="46" t="str">
        <f t="shared" si="13"/>
        <v/>
      </c>
      <c r="V148" s="72" t="str">
        <f t="shared" si="14"/>
        <v/>
      </c>
      <c r="W148" s="48"/>
      <c r="X148" s="73" t="str">
        <f t="shared" si="15"/>
        <v/>
      </c>
    </row>
    <row r="149" spans="1:24" x14ac:dyDescent="0.3"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6" t="str">
        <f t="shared" si="12"/>
        <v/>
      </c>
      <c r="U149" s="46" t="str">
        <f t="shared" si="13"/>
        <v/>
      </c>
      <c r="V149" s="72" t="str">
        <f t="shared" si="14"/>
        <v/>
      </c>
      <c r="W149" s="48"/>
      <c r="X149" s="73" t="str">
        <f t="shared" si="15"/>
        <v/>
      </c>
    </row>
    <row r="150" spans="1:24" x14ac:dyDescent="0.3"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6" t="str">
        <f t="shared" si="12"/>
        <v/>
      </c>
      <c r="U150" s="46" t="str">
        <f t="shared" si="13"/>
        <v/>
      </c>
      <c r="V150" s="72" t="str">
        <f t="shared" si="14"/>
        <v/>
      </c>
      <c r="W150" s="48"/>
      <c r="X150" s="73" t="str">
        <f t="shared" si="15"/>
        <v/>
      </c>
    </row>
    <row r="151" spans="1:24" x14ac:dyDescent="0.3">
      <c r="B151" s="45"/>
      <c r="C151" s="45"/>
      <c r="D151" s="45"/>
      <c r="E151" s="45"/>
      <c r="F151" s="45"/>
      <c r="G151" s="45"/>
      <c r="H151" s="45"/>
      <c r="I151" s="45"/>
      <c r="J151" s="51"/>
      <c r="K151" s="51"/>
      <c r="L151" s="45"/>
      <c r="M151" s="45"/>
      <c r="N151" s="45"/>
      <c r="O151" s="45"/>
      <c r="P151" s="45"/>
      <c r="Q151" s="45"/>
      <c r="R151" s="45"/>
      <c r="S151" s="45"/>
      <c r="T151" s="46" t="str">
        <f t="shared" si="12"/>
        <v/>
      </c>
      <c r="U151" s="46" t="str">
        <f t="shared" si="13"/>
        <v/>
      </c>
      <c r="V151" s="72" t="str">
        <f t="shared" si="14"/>
        <v/>
      </c>
      <c r="X151" s="73" t="str">
        <f t="shared" si="15"/>
        <v/>
      </c>
    </row>
    <row r="152" spans="1:24" x14ac:dyDescent="0.3"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6" t="str">
        <f t="shared" si="12"/>
        <v/>
      </c>
      <c r="U152" s="46" t="str">
        <f t="shared" si="13"/>
        <v/>
      </c>
      <c r="V152" s="72" t="str">
        <f t="shared" si="14"/>
        <v/>
      </c>
      <c r="W152" s="48"/>
      <c r="X152" s="73" t="str">
        <f t="shared" si="15"/>
        <v/>
      </c>
    </row>
    <row r="153" spans="1:24" x14ac:dyDescent="0.3">
      <c r="B153" s="45"/>
      <c r="C153" s="45"/>
      <c r="D153" s="45"/>
      <c r="E153" s="45"/>
      <c r="F153" s="45"/>
      <c r="G153" s="45"/>
      <c r="H153" s="45"/>
      <c r="I153" s="45"/>
      <c r="J153" s="48"/>
      <c r="K153" s="48"/>
      <c r="L153" s="45"/>
      <c r="M153" s="45"/>
      <c r="N153" s="45"/>
      <c r="O153" s="45"/>
      <c r="P153" s="45"/>
      <c r="Q153" s="45"/>
      <c r="R153" s="45"/>
      <c r="S153" s="45"/>
      <c r="T153" s="46" t="str">
        <f t="shared" si="12"/>
        <v/>
      </c>
      <c r="U153" s="46" t="str">
        <f t="shared" si="13"/>
        <v/>
      </c>
      <c r="V153" s="72" t="str">
        <f t="shared" si="14"/>
        <v/>
      </c>
      <c r="X153" s="73" t="str">
        <f t="shared" si="15"/>
        <v/>
      </c>
    </row>
    <row r="154" spans="1:24" x14ac:dyDescent="0.3"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6" t="str">
        <f t="shared" si="12"/>
        <v/>
      </c>
      <c r="U154" s="46" t="str">
        <f t="shared" si="13"/>
        <v/>
      </c>
      <c r="V154" s="72" t="str">
        <f t="shared" si="14"/>
        <v/>
      </c>
      <c r="X154" s="73"/>
    </row>
    <row r="155" spans="1:24" x14ac:dyDescent="0.3"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6" t="str">
        <f t="shared" si="12"/>
        <v/>
      </c>
      <c r="U155" s="46" t="str">
        <f t="shared" si="13"/>
        <v/>
      </c>
      <c r="V155" s="72" t="str">
        <f t="shared" si="14"/>
        <v/>
      </c>
      <c r="X155" s="73" t="str">
        <f t="shared" ref="X155:X186" si="16">IF(W155&lt;&gt;"",F155 - (SUM(G155:S155)),"")</f>
        <v/>
      </c>
    </row>
    <row r="156" spans="1:24" x14ac:dyDescent="0.3"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6" t="str">
        <f t="shared" si="12"/>
        <v/>
      </c>
      <c r="U156" s="46" t="str">
        <f t="shared" si="13"/>
        <v/>
      </c>
      <c r="V156" s="72" t="str">
        <f t="shared" si="14"/>
        <v/>
      </c>
      <c r="W156" s="48"/>
      <c r="X156" s="73" t="str">
        <f t="shared" si="16"/>
        <v/>
      </c>
    </row>
    <row r="157" spans="1:24" x14ac:dyDescent="0.3"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6" t="str">
        <f t="shared" si="12"/>
        <v/>
      </c>
      <c r="U157" s="46" t="str">
        <f t="shared" si="13"/>
        <v/>
      </c>
      <c r="V157" s="72" t="str">
        <f t="shared" si="14"/>
        <v/>
      </c>
      <c r="W157" s="48"/>
      <c r="X157" s="73" t="str">
        <f t="shared" si="16"/>
        <v/>
      </c>
    </row>
    <row r="158" spans="1:24" x14ac:dyDescent="0.3"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6" t="str">
        <f t="shared" si="12"/>
        <v/>
      </c>
      <c r="U158" s="46" t="str">
        <f t="shared" si="13"/>
        <v/>
      </c>
      <c r="V158" s="72" t="str">
        <f t="shared" si="14"/>
        <v/>
      </c>
      <c r="W158" s="48"/>
      <c r="X158" s="73" t="str">
        <f t="shared" si="16"/>
        <v/>
      </c>
    </row>
    <row r="159" spans="1:24" x14ac:dyDescent="0.3"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6" t="str">
        <f t="shared" si="12"/>
        <v/>
      </c>
      <c r="U159" s="46" t="str">
        <f t="shared" si="13"/>
        <v/>
      </c>
      <c r="V159" s="72" t="str">
        <f t="shared" si="14"/>
        <v/>
      </c>
      <c r="W159" s="48"/>
      <c r="X159" s="73" t="str">
        <f t="shared" si="16"/>
        <v/>
      </c>
    </row>
    <row r="160" spans="1:24" x14ac:dyDescent="0.3"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6" t="str">
        <f t="shared" si="12"/>
        <v/>
      </c>
      <c r="U160" s="46" t="str">
        <f t="shared" si="13"/>
        <v/>
      </c>
      <c r="V160" s="72" t="str">
        <f t="shared" si="14"/>
        <v/>
      </c>
      <c r="W160" s="48"/>
      <c r="X160" s="73" t="str">
        <f t="shared" si="16"/>
        <v/>
      </c>
    </row>
    <row r="161" spans="2:24" x14ac:dyDescent="0.3"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6" t="str">
        <f t="shared" si="12"/>
        <v/>
      </c>
      <c r="U161" s="46" t="str">
        <f t="shared" si="13"/>
        <v/>
      </c>
      <c r="V161" s="72" t="str">
        <f t="shared" si="14"/>
        <v/>
      </c>
      <c r="W161" s="48"/>
      <c r="X161" s="73" t="str">
        <f t="shared" si="16"/>
        <v/>
      </c>
    </row>
    <row r="162" spans="2:24" x14ac:dyDescent="0.3"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6" t="str">
        <f t="shared" si="12"/>
        <v/>
      </c>
      <c r="U162" s="46" t="str">
        <f t="shared" si="13"/>
        <v/>
      </c>
      <c r="V162" s="72" t="str">
        <f t="shared" si="14"/>
        <v/>
      </c>
      <c r="W162" s="48"/>
      <c r="X162" s="73" t="str">
        <f t="shared" si="16"/>
        <v/>
      </c>
    </row>
    <row r="163" spans="2:24" x14ac:dyDescent="0.3"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6" t="str">
        <f t="shared" si="12"/>
        <v/>
      </c>
      <c r="U163" s="46" t="str">
        <f t="shared" si="13"/>
        <v/>
      </c>
      <c r="V163" s="72" t="str">
        <f t="shared" si="14"/>
        <v/>
      </c>
      <c r="W163" s="48"/>
      <c r="X163" s="73" t="str">
        <f t="shared" si="16"/>
        <v/>
      </c>
    </row>
    <row r="164" spans="2:24" x14ac:dyDescent="0.3"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6" t="str">
        <f t="shared" si="12"/>
        <v/>
      </c>
      <c r="U164" s="46" t="str">
        <f t="shared" si="13"/>
        <v/>
      </c>
      <c r="V164" s="72" t="str">
        <f t="shared" si="14"/>
        <v/>
      </c>
      <c r="W164" s="48"/>
      <c r="X164" s="73" t="str">
        <f t="shared" si="16"/>
        <v/>
      </c>
    </row>
    <row r="165" spans="2:24" x14ac:dyDescent="0.3"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6" t="str">
        <f t="shared" si="12"/>
        <v/>
      </c>
      <c r="U165" s="46" t="str">
        <f t="shared" si="13"/>
        <v/>
      </c>
      <c r="V165" s="72" t="str">
        <f t="shared" si="14"/>
        <v/>
      </c>
      <c r="X165" s="73" t="str">
        <f t="shared" si="16"/>
        <v/>
      </c>
    </row>
    <row r="166" spans="2:24" x14ac:dyDescent="0.3"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6" t="str">
        <f t="shared" si="12"/>
        <v/>
      </c>
      <c r="U166" s="46" t="str">
        <f t="shared" si="13"/>
        <v/>
      </c>
      <c r="V166" s="72" t="str">
        <f t="shared" si="14"/>
        <v/>
      </c>
      <c r="W166" s="48"/>
      <c r="X166" s="73" t="str">
        <f t="shared" si="16"/>
        <v/>
      </c>
    </row>
    <row r="167" spans="2:24" x14ac:dyDescent="0.3">
      <c r="B167" s="45"/>
      <c r="C167" s="45"/>
      <c r="D167" s="45"/>
      <c r="E167" s="45"/>
      <c r="F167" s="45"/>
      <c r="G167" s="45"/>
      <c r="H167" s="48"/>
      <c r="I167" s="45"/>
      <c r="J167" s="48"/>
      <c r="K167" s="45"/>
      <c r="L167" s="45"/>
      <c r="M167" s="45"/>
      <c r="N167" s="45"/>
      <c r="O167" s="45"/>
      <c r="P167" s="45"/>
      <c r="Q167" s="45"/>
      <c r="R167" s="45"/>
      <c r="S167" s="45"/>
      <c r="T167" s="46" t="str">
        <f t="shared" si="12"/>
        <v/>
      </c>
      <c r="U167" s="46" t="str">
        <f t="shared" si="13"/>
        <v/>
      </c>
      <c r="V167" s="72" t="str">
        <f t="shared" si="14"/>
        <v/>
      </c>
      <c r="W167" s="48"/>
      <c r="X167" s="73" t="str">
        <f t="shared" si="16"/>
        <v/>
      </c>
    </row>
    <row r="168" spans="2:24" x14ac:dyDescent="0.3"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6" t="str">
        <f t="shared" si="12"/>
        <v/>
      </c>
      <c r="U168" s="46" t="str">
        <f t="shared" si="13"/>
        <v/>
      </c>
      <c r="V168" s="72" t="str">
        <f t="shared" si="14"/>
        <v/>
      </c>
      <c r="W168" s="48"/>
      <c r="X168" s="73" t="str">
        <f t="shared" si="16"/>
        <v/>
      </c>
    </row>
    <row r="169" spans="2:24" x14ac:dyDescent="0.3"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6" t="str">
        <f t="shared" si="12"/>
        <v/>
      </c>
      <c r="U169" s="46" t="str">
        <f t="shared" si="13"/>
        <v/>
      </c>
      <c r="V169" s="72" t="str">
        <f t="shared" si="14"/>
        <v/>
      </c>
      <c r="X169" s="73" t="str">
        <f t="shared" si="16"/>
        <v/>
      </c>
    </row>
    <row r="170" spans="2:24" x14ac:dyDescent="0.3"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6" t="str">
        <f t="shared" si="12"/>
        <v/>
      </c>
      <c r="U170" s="46" t="str">
        <f t="shared" si="13"/>
        <v/>
      </c>
      <c r="V170" s="72" t="str">
        <f t="shared" si="14"/>
        <v/>
      </c>
      <c r="W170" s="48"/>
      <c r="X170" s="73" t="str">
        <f t="shared" si="16"/>
        <v/>
      </c>
    </row>
    <row r="171" spans="2:24" x14ac:dyDescent="0.3"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6" t="str">
        <f t="shared" si="12"/>
        <v/>
      </c>
      <c r="U171" s="46" t="str">
        <f t="shared" si="13"/>
        <v/>
      </c>
      <c r="V171" s="72" t="str">
        <f t="shared" si="14"/>
        <v/>
      </c>
      <c r="W171" s="48"/>
      <c r="X171" s="73" t="str">
        <f t="shared" si="16"/>
        <v/>
      </c>
    </row>
    <row r="172" spans="2:24" x14ac:dyDescent="0.3"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6" t="str">
        <f t="shared" si="12"/>
        <v/>
      </c>
      <c r="U172" s="46" t="str">
        <f t="shared" si="13"/>
        <v/>
      </c>
      <c r="V172" s="72" t="str">
        <f t="shared" si="14"/>
        <v/>
      </c>
      <c r="W172" s="48"/>
      <c r="X172" s="73" t="str">
        <f t="shared" si="16"/>
        <v/>
      </c>
    </row>
    <row r="173" spans="2:24" x14ac:dyDescent="0.3"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6" t="str">
        <f t="shared" si="12"/>
        <v/>
      </c>
      <c r="U173" s="46" t="str">
        <f t="shared" si="13"/>
        <v/>
      </c>
      <c r="V173" s="72" t="str">
        <f t="shared" si="14"/>
        <v/>
      </c>
      <c r="W173" s="48"/>
      <c r="X173" s="73" t="str">
        <f t="shared" si="16"/>
        <v/>
      </c>
    </row>
    <row r="174" spans="2:24" x14ac:dyDescent="0.3"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6" t="str">
        <f t="shared" si="12"/>
        <v/>
      </c>
      <c r="U174" s="46" t="str">
        <f t="shared" si="13"/>
        <v/>
      </c>
      <c r="V174" s="72" t="str">
        <f t="shared" si="14"/>
        <v/>
      </c>
      <c r="W174" s="48"/>
      <c r="X174" s="73" t="str">
        <f t="shared" si="16"/>
        <v/>
      </c>
    </row>
    <row r="175" spans="2:24" x14ac:dyDescent="0.3"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6" t="str">
        <f t="shared" si="12"/>
        <v/>
      </c>
      <c r="U175" s="46" t="str">
        <f t="shared" si="13"/>
        <v/>
      </c>
      <c r="V175" s="72" t="str">
        <f t="shared" si="14"/>
        <v/>
      </c>
      <c r="X175" s="73" t="str">
        <f t="shared" si="16"/>
        <v/>
      </c>
    </row>
    <row r="176" spans="2:24" x14ac:dyDescent="0.3"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6" t="str">
        <f t="shared" si="12"/>
        <v/>
      </c>
      <c r="U176" s="46" t="str">
        <f t="shared" si="13"/>
        <v/>
      </c>
      <c r="V176" s="72" t="str">
        <f t="shared" si="14"/>
        <v/>
      </c>
      <c r="W176" s="48"/>
      <c r="X176" s="73" t="str">
        <f t="shared" si="16"/>
        <v/>
      </c>
    </row>
    <row r="177" spans="1:24" x14ac:dyDescent="0.3"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6" t="str">
        <f t="shared" si="12"/>
        <v/>
      </c>
      <c r="U177" s="46" t="str">
        <f t="shared" si="13"/>
        <v/>
      </c>
      <c r="V177" s="72" t="str">
        <f t="shared" si="14"/>
        <v/>
      </c>
      <c r="W177" s="48"/>
      <c r="X177" s="73" t="str">
        <f t="shared" si="16"/>
        <v/>
      </c>
    </row>
    <row r="178" spans="1:24" x14ac:dyDescent="0.3"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6" t="str">
        <f t="shared" si="12"/>
        <v/>
      </c>
      <c r="U178" s="46" t="str">
        <f t="shared" si="13"/>
        <v/>
      </c>
      <c r="V178" s="72" t="str">
        <f t="shared" si="14"/>
        <v/>
      </c>
      <c r="X178" s="73" t="str">
        <f t="shared" si="16"/>
        <v/>
      </c>
    </row>
    <row r="179" spans="1:24" x14ac:dyDescent="0.3"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6" t="str">
        <f t="shared" si="12"/>
        <v/>
      </c>
      <c r="U179" s="46" t="str">
        <f t="shared" si="13"/>
        <v/>
      </c>
      <c r="V179" s="72" t="str">
        <f t="shared" si="14"/>
        <v/>
      </c>
      <c r="W179" s="48"/>
      <c r="X179" s="73" t="str">
        <f t="shared" si="16"/>
        <v/>
      </c>
    </row>
    <row r="180" spans="1:24" x14ac:dyDescent="0.3"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6" t="str">
        <f t="shared" si="12"/>
        <v/>
      </c>
      <c r="U180" s="46" t="str">
        <f t="shared" si="13"/>
        <v/>
      </c>
      <c r="V180" s="72" t="str">
        <f t="shared" si="14"/>
        <v/>
      </c>
      <c r="W180" s="48"/>
      <c r="X180" s="73" t="str">
        <f t="shared" si="16"/>
        <v/>
      </c>
    </row>
    <row r="181" spans="1:24" x14ac:dyDescent="0.3"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6" t="str">
        <f t="shared" si="12"/>
        <v/>
      </c>
      <c r="U181" s="46" t="str">
        <f t="shared" si="13"/>
        <v/>
      </c>
      <c r="V181" s="72" t="str">
        <f t="shared" si="14"/>
        <v/>
      </c>
      <c r="W181" s="48"/>
      <c r="X181" s="73" t="str">
        <f t="shared" si="16"/>
        <v/>
      </c>
    </row>
    <row r="182" spans="1:24" x14ac:dyDescent="0.3"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6" t="str">
        <f t="shared" si="12"/>
        <v/>
      </c>
      <c r="U182" s="46" t="str">
        <f t="shared" si="13"/>
        <v/>
      </c>
      <c r="V182" s="72" t="str">
        <f t="shared" si="14"/>
        <v/>
      </c>
      <c r="X182" s="73" t="str">
        <f t="shared" si="16"/>
        <v/>
      </c>
    </row>
    <row r="183" spans="1:24" x14ac:dyDescent="0.3"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6" t="str">
        <f t="shared" si="12"/>
        <v/>
      </c>
      <c r="U183" s="46" t="str">
        <f t="shared" si="13"/>
        <v/>
      </c>
      <c r="V183" s="72" t="str">
        <f t="shared" si="14"/>
        <v/>
      </c>
      <c r="W183" s="48"/>
      <c r="X183" s="73" t="str">
        <f t="shared" si="16"/>
        <v/>
      </c>
    </row>
    <row r="184" spans="1:24" s="49" customFormat="1" x14ac:dyDescent="0.3">
      <c r="A184" s="47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6" t="str">
        <f t="shared" si="12"/>
        <v/>
      </c>
      <c r="U184" s="46" t="str">
        <f t="shared" si="13"/>
        <v/>
      </c>
      <c r="V184" s="72" t="str">
        <f t="shared" si="14"/>
        <v/>
      </c>
      <c r="X184" s="73" t="str">
        <f t="shared" si="16"/>
        <v/>
      </c>
    </row>
    <row r="185" spans="1:24" s="49" customFormat="1" x14ac:dyDescent="0.3">
      <c r="A185" s="47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6" t="str">
        <f t="shared" si="12"/>
        <v/>
      </c>
      <c r="U185" s="46" t="str">
        <f t="shared" si="13"/>
        <v/>
      </c>
      <c r="V185" s="72" t="str">
        <f t="shared" si="14"/>
        <v/>
      </c>
      <c r="W185" s="48"/>
      <c r="X185" s="73" t="str">
        <f t="shared" si="16"/>
        <v/>
      </c>
    </row>
    <row r="186" spans="1:24" s="49" customFormat="1" x14ac:dyDescent="0.3">
      <c r="A186" s="47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6" t="str">
        <f t="shared" si="12"/>
        <v/>
      </c>
      <c r="U186" s="46" t="str">
        <f t="shared" si="13"/>
        <v/>
      </c>
      <c r="V186" s="72" t="str">
        <f t="shared" si="14"/>
        <v/>
      </c>
      <c r="W186" s="48"/>
      <c r="X186" s="73" t="str">
        <f t="shared" si="16"/>
        <v/>
      </c>
    </row>
    <row r="187" spans="1:24" s="49" customFormat="1" x14ac:dyDescent="0.3">
      <c r="A187" s="47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6" t="str">
        <f t="shared" si="12"/>
        <v/>
      </c>
      <c r="U187" s="46" t="str">
        <f t="shared" si="13"/>
        <v/>
      </c>
      <c r="V187" s="72" t="str">
        <f t="shared" si="14"/>
        <v/>
      </c>
      <c r="W187" s="48"/>
      <c r="X187" s="73" t="str">
        <f t="shared" ref="X187:X218" si="17">IF(W187&lt;&gt;"",F187 - (SUM(G187:S187)),"")</f>
        <v/>
      </c>
    </row>
    <row r="188" spans="1:24" s="49" customFormat="1" x14ac:dyDescent="0.3">
      <c r="A188" s="47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6" t="str">
        <f t="shared" si="12"/>
        <v/>
      </c>
      <c r="U188" s="46" t="str">
        <f t="shared" si="13"/>
        <v/>
      </c>
      <c r="V188" s="72" t="str">
        <f t="shared" si="14"/>
        <v/>
      </c>
      <c r="W188" s="48"/>
      <c r="X188" s="73" t="str">
        <f t="shared" si="17"/>
        <v/>
      </c>
    </row>
    <row r="189" spans="1:24" s="49" customFormat="1" x14ac:dyDescent="0.3">
      <c r="A189" s="47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6" t="str">
        <f t="shared" si="12"/>
        <v/>
      </c>
      <c r="U189" s="46" t="str">
        <f t="shared" si="13"/>
        <v/>
      </c>
      <c r="V189" s="72" t="str">
        <f t="shared" si="14"/>
        <v/>
      </c>
      <c r="W189" s="48"/>
      <c r="X189" s="73" t="str">
        <f t="shared" si="17"/>
        <v/>
      </c>
    </row>
    <row r="190" spans="1:24" s="49" customFormat="1" x14ac:dyDescent="0.3">
      <c r="A190" s="47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6" t="str">
        <f t="shared" si="12"/>
        <v/>
      </c>
      <c r="U190" s="46" t="str">
        <f t="shared" si="13"/>
        <v/>
      </c>
      <c r="V190" s="72" t="str">
        <f t="shared" si="14"/>
        <v/>
      </c>
      <c r="X190" s="73" t="str">
        <f t="shared" si="17"/>
        <v/>
      </c>
    </row>
    <row r="191" spans="1:24" s="49" customFormat="1" x14ac:dyDescent="0.3">
      <c r="A191" s="47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6" t="str">
        <f t="shared" si="12"/>
        <v/>
      </c>
      <c r="U191" s="46" t="str">
        <f t="shared" si="13"/>
        <v/>
      </c>
      <c r="V191" s="72" t="str">
        <f t="shared" si="14"/>
        <v/>
      </c>
      <c r="X191" s="73" t="str">
        <f t="shared" si="17"/>
        <v/>
      </c>
    </row>
    <row r="192" spans="1:24" x14ac:dyDescent="0.3"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6" t="str">
        <f t="shared" si="12"/>
        <v/>
      </c>
      <c r="U192" s="46" t="str">
        <f t="shared" si="13"/>
        <v/>
      </c>
      <c r="V192" s="72" t="str">
        <f t="shared" si="14"/>
        <v/>
      </c>
      <c r="W192" s="48"/>
      <c r="X192" s="73" t="str">
        <f t="shared" si="17"/>
        <v/>
      </c>
    </row>
    <row r="193" spans="2:24" x14ac:dyDescent="0.3"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6" t="str">
        <f t="shared" si="12"/>
        <v/>
      </c>
      <c r="U193" s="46" t="str">
        <f t="shared" si="13"/>
        <v/>
      </c>
      <c r="V193" s="72" t="str">
        <f t="shared" si="14"/>
        <v/>
      </c>
      <c r="X193" s="73" t="str">
        <f t="shared" si="17"/>
        <v/>
      </c>
    </row>
    <row r="194" spans="2:24" x14ac:dyDescent="0.3"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6" t="str">
        <f t="shared" si="12"/>
        <v/>
      </c>
      <c r="U194" s="46" t="str">
        <f t="shared" si="13"/>
        <v/>
      </c>
      <c r="V194" s="72" t="str">
        <f t="shared" si="14"/>
        <v/>
      </c>
      <c r="X194" s="73" t="str">
        <f t="shared" si="17"/>
        <v/>
      </c>
    </row>
    <row r="195" spans="2:24" x14ac:dyDescent="0.3"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6" t="str">
        <f t="shared" si="12"/>
        <v/>
      </c>
      <c r="U195" s="46" t="str">
        <f t="shared" si="13"/>
        <v/>
      </c>
      <c r="V195" s="72" t="str">
        <f t="shared" si="14"/>
        <v/>
      </c>
      <c r="X195" s="73" t="str">
        <f t="shared" si="17"/>
        <v/>
      </c>
    </row>
    <row r="196" spans="2:24" x14ac:dyDescent="0.3"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6" t="str">
        <f t="shared" ref="T196:T259" si="18">IF(AND(ISBLANK(E196),ISBLANK(F196),ISBLANK(G196),ISBLANK(H196),ISBLANK(I196),ISBLANK(J196),ISBLANK(K196), ISBLANK(L196), ISBLANK(M196), ISBLANK(N196), ISBLANK(O196), ISBLANK(P196), ISBLANK(Q196), ISBLANK(R196), ISBLANK(S196)),"",SUM(G196:S196))</f>
        <v/>
      </c>
      <c r="U196" s="46" t="str">
        <f t="shared" ref="U196:U259" si="19">IF(W196&lt;&gt;0,0,IF(AND(ISBLANK(F196),ISBLANK(G196),ISBLANK(H196),ISBLANK(I196),ISBLANK(J196),ISBLANK(K196), ISBLANK(L196), ISBLANK(M196), ISBLANK(N196), ISBLANK(O196), ISBLANK(P196), ISBLANK(Q196), ISBLANK(R196), ISBLANK(S196)),"", F196-T196))</f>
        <v/>
      </c>
      <c r="V196" s="72" t="str">
        <f t="shared" ref="V196:V259" si="20">IF(AND(ISBLANK(E196),ISBLANK(F196), ISBLANK(G196), ISBLANK(H196), ISBLANK(I196), ISBLANK(J196), ISBLANK(K196), ISBLANK(L196), ISBLANK(M196),ISBLANK(N196), ISBLANK(O196), ISBLANK(P196), ISBLANK(Q196), ISBLANK(R196), ISBLANK(S196)), "",IFERROR(((F196+E196)-U196)/F196,""))</f>
        <v/>
      </c>
      <c r="X196" s="73" t="str">
        <f t="shared" si="17"/>
        <v/>
      </c>
    </row>
    <row r="197" spans="2:24" x14ac:dyDescent="0.3"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6" t="str">
        <f t="shared" si="18"/>
        <v/>
      </c>
      <c r="U197" s="46" t="str">
        <f t="shared" si="19"/>
        <v/>
      </c>
      <c r="V197" s="72" t="str">
        <f t="shared" si="20"/>
        <v/>
      </c>
      <c r="X197" s="73" t="str">
        <f t="shared" si="17"/>
        <v/>
      </c>
    </row>
    <row r="198" spans="2:24" x14ac:dyDescent="0.3"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6" t="str">
        <f t="shared" si="18"/>
        <v/>
      </c>
      <c r="U198" s="46" t="str">
        <f t="shared" si="19"/>
        <v/>
      </c>
      <c r="V198" s="72" t="str">
        <f t="shared" si="20"/>
        <v/>
      </c>
      <c r="X198" s="73" t="str">
        <f t="shared" si="17"/>
        <v/>
      </c>
    </row>
    <row r="199" spans="2:24" x14ac:dyDescent="0.3"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6" t="str">
        <f t="shared" si="18"/>
        <v/>
      </c>
      <c r="U199" s="46" t="str">
        <f t="shared" si="19"/>
        <v/>
      </c>
      <c r="V199" s="72" t="str">
        <f t="shared" si="20"/>
        <v/>
      </c>
      <c r="X199" s="73" t="str">
        <f t="shared" si="17"/>
        <v/>
      </c>
    </row>
    <row r="200" spans="2:24" x14ac:dyDescent="0.3"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6" t="str">
        <f t="shared" si="18"/>
        <v/>
      </c>
      <c r="U200" s="46" t="str">
        <f t="shared" si="19"/>
        <v/>
      </c>
      <c r="V200" s="72" t="str">
        <f t="shared" si="20"/>
        <v/>
      </c>
      <c r="X200" s="73" t="str">
        <f t="shared" si="17"/>
        <v/>
      </c>
    </row>
    <row r="201" spans="2:24" x14ac:dyDescent="0.3"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6" t="str">
        <f t="shared" si="18"/>
        <v/>
      </c>
      <c r="U201" s="46" t="str">
        <f t="shared" si="19"/>
        <v/>
      </c>
      <c r="V201" s="72" t="str">
        <f t="shared" si="20"/>
        <v/>
      </c>
      <c r="X201" s="73" t="str">
        <f t="shared" si="17"/>
        <v/>
      </c>
    </row>
    <row r="202" spans="2:24" x14ac:dyDescent="0.3">
      <c r="T202" s="46" t="str">
        <f t="shared" si="18"/>
        <v/>
      </c>
      <c r="U202" s="46" t="str">
        <f t="shared" si="19"/>
        <v/>
      </c>
      <c r="V202" s="72" t="str">
        <f t="shared" si="20"/>
        <v/>
      </c>
      <c r="X202" s="73" t="str">
        <f t="shared" si="17"/>
        <v/>
      </c>
    </row>
    <row r="203" spans="2:24" x14ac:dyDescent="0.3">
      <c r="T203" s="46" t="str">
        <f t="shared" si="18"/>
        <v/>
      </c>
      <c r="U203" s="46" t="str">
        <f t="shared" si="19"/>
        <v/>
      </c>
      <c r="V203" s="72" t="str">
        <f t="shared" si="20"/>
        <v/>
      </c>
      <c r="X203" s="73" t="str">
        <f t="shared" si="17"/>
        <v/>
      </c>
    </row>
    <row r="204" spans="2:24" x14ac:dyDescent="0.3">
      <c r="T204" s="46" t="str">
        <f t="shared" si="18"/>
        <v/>
      </c>
      <c r="U204" s="46" t="str">
        <f t="shared" si="19"/>
        <v/>
      </c>
      <c r="V204" s="72" t="str">
        <f t="shared" si="20"/>
        <v/>
      </c>
      <c r="X204" s="73" t="str">
        <f t="shared" si="17"/>
        <v/>
      </c>
    </row>
    <row r="205" spans="2:24" x14ac:dyDescent="0.3">
      <c r="T205" s="46" t="str">
        <f t="shared" si="18"/>
        <v/>
      </c>
      <c r="U205" s="46" t="str">
        <f t="shared" si="19"/>
        <v/>
      </c>
      <c r="V205" s="72" t="str">
        <f t="shared" si="20"/>
        <v/>
      </c>
      <c r="X205" s="73" t="str">
        <f t="shared" si="17"/>
        <v/>
      </c>
    </row>
    <row r="206" spans="2:24" x14ac:dyDescent="0.3">
      <c r="T206" s="46" t="str">
        <f t="shared" si="18"/>
        <v/>
      </c>
      <c r="U206" s="46" t="str">
        <f t="shared" si="19"/>
        <v/>
      </c>
      <c r="V206" s="72" t="str">
        <f t="shared" si="20"/>
        <v/>
      </c>
      <c r="X206" s="73" t="str">
        <f t="shared" si="17"/>
        <v/>
      </c>
    </row>
    <row r="207" spans="2:24" x14ac:dyDescent="0.3">
      <c r="T207" s="46" t="str">
        <f t="shared" si="18"/>
        <v/>
      </c>
      <c r="U207" s="46" t="str">
        <f t="shared" si="19"/>
        <v/>
      </c>
      <c r="V207" s="72" t="str">
        <f t="shared" si="20"/>
        <v/>
      </c>
      <c r="X207" s="73" t="str">
        <f t="shared" si="17"/>
        <v/>
      </c>
    </row>
    <row r="208" spans="2:24" x14ac:dyDescent="0.3">
      <c r="T208" s="46" t="str">
        <f t="shared" si="18"/>
        <v/>
      </c>
      <c r="U208" s="46" t="str">
        <f t="shared" si="19"/>
        <v/>
      </c>
      <c r="V208" s="72" t="str">
        <f t="shared" si="20"/>
        <v/>
      </c>
      <c r="X208" s="73" t="str">
        <f t="shared" si="17"/>
        <v/>
      </c>
    </row>
    <row r="209" spans="20:24" x14ac:dyDescent="0.3">
      <c r="T209" s="46" t="str">
        <f t="shared" si="18"/>
        <v/>
      </c>
      <c r="U209" s="46" t="str">
        <f t="shared" si="19"/>
        <v/>
      </c>
      <c r="V209" s="72" t="str">
        <f t="shared" si="20"/>
        <v/>
      </c>
      <c r="X209" s="73" t="str">
        <f t="shared" si="17"/>
        <v/>
      </c>
    </row>
    <row r="210" spans="20:24" x14ac:dyDescent="0.3">
      <c r="T210" s="46" t="str">
        <f t="shared" si="18"/>
        <v/>
      </c>
      <c r="U210" s="46" t="str">
        <f t="shared" si="19"/>
        <v/>
      </c>
      <c r="V210" s="72" t="str">
        <f t="shared" si="20"/>
        <v/>
      </c>
      <c r="X210" s="73" t="str">
        <f t="shared" si="17"/>
        <v/>
      </c>
    </row>
    <row r="211" spans="20:24" x14ac:dyDescent="0.3">
      <c r="T211" s="46" t="str">
        <f t="shared" si="18"/>
        <v/>
      </c>
      <c r="U211" s="46" t="str">
        <f t="shared" si="19"/>
        <v/>
      </c>
      <c r="V211" s="72" t="str">
        <f t="shared" si="20"/>
        <v/>
      </c>
      <c r="X211" s="73" t="str">
        <f t="shared" si="17"/>
        <v/>
      </c>
    </row>
    <row r="212" spans="20:24" x14ac:dyDescent="0.3">
      <c r="T212" s="46" t="str">
        <f t="shared" si="18"/>
        <v/>
      </c>
      <c r="U212" s="46" t="str">
        <f t="shared" si="19"/>
        <v/>
      </c>
      <c r="V212" s="72" t="str">
        <f t="shared" si="20"/>
        <v/>
      </c>
      <c r="X212" s="73" t="str">
        <f t="shared" si="17"/>
        <v/>
      </c>
    </row>
    <row r="213" spans="20:24" x14ac:dyDescent="0.3">
      <c r="T213" s="46" t="str">
        <f t="shared" si="18"/>
        <v/>
      </c>
      <c r="U213" s="46" t="str">
        <f t="shared" si="19"/>
        <v/>
      </c>
      <c r="V213" s="72" t="str">
        <f t="shared" si="20"/>
        <v/>
      </c>
      <c r="X213" s="73" t="str">
        <f t="shared" si="17"/>
        <v/>
      </c>
    </row>
    <row r="214" spans="20:24" x14ac:dyDescent="0.3">
      <c r="T214" s="46" t="str">
        <f t="shared" si="18"/>
        <v/>
      </c>
      <c r="U214" s="46" t="str">
        <f t="shared" si="19"/>
        <v/>
      </c>
      <c r="V214" s="72" t="str">
        <f t="shared" si="20"/>
        <v/>
      </c>
      <c r="X214" s="73" t="str">
        <f t="shared" si="17"/>
        <v/>
      </c>
    </row>
    <row r="215" spans="20:24" x14ac:dyDescent="0.3">
      <c r="T215" s="46" t="str">
        <f t="shared" si="18"/>
        <v/>
      </c>
      <c r="U215" s="46" t="str">
        <f t="shared" si="19"/>
        <v/>
      </c>
      <c r="V215" s="72" t="str">
        <f t="shared" si="20"/>
        <v/>
      </c>
      <c r="X215" s="73" t="str">
        <f t="shared" si="17"/>
        <v/>
      </c>
    </row>
    <row r="216" spans="20:24" x14ac:dyDescent="0.3">
      <c r="T216" s="46" t="str">
        <f t="shared" si="18"/>
        <v/>
      </c>
      <c r="U216" s="46" t="str">
        <f t="shared" si="19"/>
        <v/>
      </c>
      <c r="V216" s="72" t="str">
        <f t="shared" si="20"/>
        <v/>
      </c>
      <c r="X216" s="73" t="str">
        <f t="shared" si="17"/>
        <v/>
      </c>
    </row>
    <row r="217" spans="20:24" x14ac:dyDescent="0.3">
      <c r="T217" s="46" t="str">
        <f t="shared" si="18"/>
        <v/>
      </c>
      <c r="U217" s="46" t="str">
        <f t="shared" si="19"/>
        <v/>
      </c>
      <c r="V217" s="72" t="str">
        <f t="shared" si="20"/>
        <v/>
      </c>
      <c r="X217" s="73" t="str">
        <f t="shared" si="17"/>
        <v/>
      </c>
    </row>
    <row r="218" spans="20:24" x14ac:dyDescent="0.3">
      <c r="T218" s="46" t="str">
        <f t="shared" si="18"/>
        <v/>
      </c>
      <c r="U218" s="46" t="str">
        <f t="shared" si="19"/>
        <v/>
      </c>
      <c r="V218" s="72" t="str">
        <f t="shared" si="20"/>
        <v/>
      </c>
      <c r="X218" s="73" t="str">
        <f t="shared" si="17"/>
        <v/>
      </c>
    </row>
    <row r="219" spans="20:24" x14ac:dyDescent="0.3">
      <c r="T219" s="46" t="str">
        <f t="shared" si="18"/>
        <v/>
      </c>
      <c r="U219" s="46" t="str">
        <f t="shared" si="19"/>
        <v/>
      </c>
      <c r="V219" s="72" t="str">
        <f t="shared" si="20"/>
        <v/>
      </c>
      <c r="X219" s="73" t="str">
        <f t="shared" ref="X219:X250" si="21">IF(W219&lt;&gt;"",F219 - (SUM(G219:S219)),"")</f>
        <v/>
      </c>
    </row>
    <row r="220" spans="20:24" x14ac:dyDescent="0.3">
      <c r="T220" s="46" t="str">
        <f t="shared" si="18"/>
        <v/>
      </c>
      <c r="U220" s="46" t="str">
        <f t="shared" si="19"/>
        <v/>
      </c>
      <c r="V220" s="72" t="str">
        <f t="shared" si="20"/>
        <v/>
      </c>
      <c r="X220" s="73" t="str">
        <f t="shared" si="21"/>
        <v/>
      </c>
    </row>
    <row r="221" spans="20:24" x14ac:dyDescent="0.3">
      <c r="T221" s="46" t="str">
        <f t="shared" si="18"/>
        <v/>
      </c>
      <c r="U221" s="46" t="str">
        <f t="shared" si="19"/>
        <v/>
      </c>
      <c r="V221" s="72" t="str">
        <f t="shared" si="20"/>
        <v/>
      </c>
      <c r="X221" s="73" t="str">
        <f t="shared" si="21"/>
        <v/>
      </c>
    </row>
    <row r="222" spans="20:24" x14ac:dyDescent="0.3">
      <c r="T222" s="46" t="str">
        <f t="shared" si="18"/>
        <v/>
      </c>
      <c r="U222" s="46" t="str">
        <f t="shared" si="19"/>
        <v/>
      </c>
      <c r="V222" s="72" t="str">
        <f t="shared" si="20"/>
        <v/>
      </c>
      <c r="X222" s="73" t="str">
        <f t="shared" si="21"/>
        <v/>
      </c>
    </row>
    <row r="223" spans="20:24" x14ac:dyDescent="0.3">
      <c r="T223" s="46" t="str">
        <f t="shared" si="18"/>
        <v/>
      </c>
      <c r="U223" s="46" t="str">
        <f t="shared" si="19"/>
        <v/>
      </c>
      <c r="V223" s="72" t="str">
        <f t="shared" si="20"/>
        <v/>
      </c>
      <c r="X223" s="73" t="str">
        <f t="shared" si="21"/>
        <v/>
      </c>
    </row>
    <row r="224" spans="20:24" x14ac:dyDescent="0.3">
      <c r="T224" s="46" t="str">
        <f t="shared" si="18"/>
        <v/>
      </c>
      <c r="U224" s="46" t="str">
        <f t="shared" si="19"/>
        <v/>
      </c>
      <c r="V224" s="72" t="str">
        <f t="shared" si="20"/>
        <v/>
      </c>
      <c r="X224" s="73" t="str">
        <f t="shared" si="21"/>
        <v/>
      </c>
    </row>
    <row r="225" spans="20:24" x14ac:dyDescent="0.3">
      <c r="T225" s="46" t="str">
        <f t="shared" si="18"/>
        <v/>
      </c>
      <c r="U225" s="46" t="str">
        <f t="shared" si="19"/>
        <v/>
      </c>
      <c r="V225" s="72" t="str">
        <f t="shared" si="20"/>
        <v/>
      </c>
      <c r="X225" s="73" t="str">
        <f t="shared" si="21"/>
        <v/>
      </c>
    </row>
    <row r="226" spans="20:24" x14ac:dyDescent="0.3">
      <c r="T226" s="46" t="str">
        <f t="shared" si="18"/>
        <v/>
      </c>
      <c r="U226" s="46" t="str">
        <f t="shared" si="19"/>
        <v/>
      </c>
      <c r="V226" s="72" t="str">
        <f t="shared" si="20"/>
        <v/>
      </c>
      <c r="X226" s="73" t="str">
        <f t="shared" si="21"/>
        <v/>
      </c>
    </row>
    <row r="227" spans="20:24" x14ac:dyDescent="0.3">
      <c r="T227" s="46" t="str">
        <f t="shared" si="18"/>
        <v/>
      </c>
      <c r="U227" s="46" t="str">
        <f t="shared" si="19"/>
        <v/>
      </c>
      <c r="V227" s="72" t="str">
        <f t="shared" si="20"/>
        <v/>
      </c>
      <c r="X227" s="73" t="str">
        <f t="shared" si="21"/>
        <v/>
      </c>
    </row>
    <row r="228" spans="20:24" x14ac:dyDescent="0.3">
      <c r="T228" s="46" t="str">
        <f t="shared" si="18"/>
        <v/>
      </c>
      <c r="U228" s="46" t="str">
        <f t="shared" si="19"/>
        <v/>
      </c>
      <c r="V228" s="72" t="str">
        <f t="shared" si="20"/>
        <v/>
      </c>
      <c r="X228" s="73" t="str">
        <f t="shared" si="21"/>
        <v/>
      </c>
    </row>
    <row r="229" spans="20:24" x14ac:dyDescent="0.3">
      <c r="T229" s="46" t="str">
        <f t="shared" si="18"/>
        <v/>
      </c>
      <c r="U229" s="46" t="str">
        <f t="shared" si="19"/>
        <v/>
      </c>
      <c r="V229" s="72" t="str">
        <f t="shared" si="20"/>
        <v/>
      </c>
      <c r="X229" s="73" t="str">
        <f t="shared" si="21"/>
        <v/>
      </c>
    </row>
    <row r="230" spans="20:24" x14ac:dyDescent="0.3">
      <c r="T230" s="46" t="str">
        <f t="shared" si="18"/>
        <v/>
      </c>
      <c r="U230" s="46" t="str">
        <f t="shared" si="19"/>
        <v/>
      </c>
      <c r="V230" s="72" t="str">
        <f t="shared" si="20"/>
        <v/>
      </c>
      <c r="X230" s="73" t="str">
        <f t="shared" si="21"/>
        <v/>
      </c>
    </row>
    <row r="231" spans="20:24" x14ac:dyDescent="0.3">
      <c r="T231" s="46" t="str">
        <f t="shared" si="18"/>
        <v/>
      </c>
      <c r="U231" s="46" t="str">
        <f t="shared" si="19"/>
        <v/>
      </c>
      <c r="V231" s="72" t="str">
        <f t="shared" si="20"/>
        <v/>
      </c>
      <c r="X231" s="73" t="str">
        <f t="shared" si="21"/>
        <v/>
      </c>
    </row>
    <row r="232" spans="20:24" x14ac:dyDescent="0.3">
      <c r="T232" s="46" t="str">
        <f t="shared" si="18"/>
        <v/>
      </c>
      <c r="U232" s="46" t="str">
        <f t="shared" si="19"/>
        <v/>
      </c>
      <c r="V232" s="72" t="str">
        <f t="shared" si="20"/>
        <v/>
      </c>
      <c r="X232" s="73" t="str">
        <f t="shared" si="21"/>
        <v/>
      </c>
    </row>
    <row r="233" spans="20:24" x14ac:dyDescent="0.3">
      <c r="T233" s="46" t="str">
        <f t="shared" si="18"/>
        <v/>
      </c>
      <c r="U233" s="46" t="str">
        <f t="shared" si="19"/>
        <v/>
      </c>
      <c r="V233" s="72" t="str">
        <f t="shared" si="20"/>
        <v/>
      </c>
      <c r="X233" s="73" t="str">
        <f t="shared" si="21"/>
        <v/>
      </c>
    </row>
    <row r="234" spans="20:24" x14ac:dyDescent="0.3">
      <c r="T234" s="46" t="str">
        <f t="shared" si="18"/>
        <v/>
      </c>
      <c r="U234" s="46" t="str">
        <f t="shared" si="19"/>
        <v/>
      </c>
      <c r="V234" s="72" t="str">
        <f t="shared" si="20"/>
        <v/>
      </c>
      <c r="X234" s="73" t="str">
        <f t="shared" si="21"/>
        <v/>
      </c>
    </row>
    <row r="235" spans="20:24" x14ac:dyDescent="0.3">
      <c r="T235" s="46" t="str">
        <f t="shared" si="18"/>
        <v/>
      </c>
      <c r="U235" s="46" t="str">
        <f t="shared" si="19"/>
        <v/>
      </c>
      <c r="V235" s="72" t="str">
        <f t="shared" si="20"/>
        <v/>
      </c>
      <c r="X235" s="73" t="str">
        <f t="shared" si="21"/>
        <v/>
      </c>
    </row>
    <row r="236" spans="20:24" x14ac:dyDescent="0.3">
      <c r="T236" s="46" t="str">
        <f t="shared" si="18"/>
        <v/>
      </c>
      <c r="U236" s="46" t="str">
        <f t="shared" si="19"/>
        <v/>
      </c>
      <c r="V236" s="72" t="str">
        <f t="shared" si="20"/>
        <v/>
      </c>
      <c r="X236" s="73" t="str">
        <f t="shared" si="21"/>
        <v/>
      </c>
    </row>
    <row r="237" spans="20:24" x14ac:dyDescent="0.3">
      <c r="T237" s="46" t="str">
        <f t="shared" si="18"/>
        <v/>
      </c>
      <c r="U237" s="46" t="str">
        <f t="shared" si="19"/>
        <v/>
      </c>
      <c r="V237" s="72" t="str">
        <f t="shared" si="20"/>
        <v/>
      </c>
      <c r="X237" s="73" t="str">
        <f t="shared" si="21"/>
        <v/>
      </c>
    </row>
    <row r="238" spans="20:24" x14ac:dyDescent="0.3">
      <c r="T238" s="46" t="str">
        <f t="shared" si="18"/>
        <v/>
      </c>
      <c r="U238" s="46" t="str">
        <f t="shared" si="19"/>
        <v/>
      </c>
      <c r="V238" s="72" t="str">
        <f t="shared" si="20"/>
        <v/>
      </c>
      <c r="X238" s="73" t="str">
        <f t="shared" si="21"/>
        <v/>
      </c>
    </row>
    <row r="239" spans="20:24" x14ac:dyDescent="0.3">
      <c r="T239" s="46" t="str">
        <f t="shared" si="18"/>
        <v/>
      </c>
      <c r="U239" s="46" t="str">
        <f t="shared" si="19"/>
        <v/>
      </c>
      <c r="V239" s="72" t="str">
        <f t="shared" si="20"/>
        <v/>
      </c>
      <c r="X239" s="73" t="str">
        <f t="shared" si="21"/>
        <v/>
      </c>
    </row>
    <row r="240" spans="20:24" x14ac:dyDescent="0.3">
      <c r="T240" s="46" t="str">
        <f t="shared" si="18"/>
        <v/>
      </c>
      <c r="U240" s="46" t="str">
        <f t="shared" si="19"/>
        <v/>
      </c>
      <c r="V240" s="72" t="str">
        <f t="shared" si="20"/>
        <v/>
      </c>
      <c r="X240" s="73" t="str">
        <f t="shared" si="21"/>
        <v/>
      </c>
    </row>
    <row r="241" spans="20:24" x14ac:dyDescent="0.3">
      <c r="T241" s="46" t="str">
        <f t="shared" si="18"/>
        <v/>
      </c>
      <c r="U241" s="46" t="str">
        <f t="shared" si="19"/>
        <v/>
      </c>
      <c r="V241" s="72" t="str">
        <f t="shared" si="20"/>
        <v/>
      </c>
      <c r="X241" s="73" t="str">
        <f t="shared" si="21"/>
        <v/>
      </c>
    </row>
    <row r="242" spans="20:24" x14ac:dyDescent="0.3">
      <c r="T242" s="46" t="str">
        <f t="shared" si="18"/>
        <v/>
      </c>
      <c r="U242" s="46" t="str">
        <f t="shared" si="19"/>
        <v/>
      </c>
      <c r="V242" s="72" t="str">
        <f t="shared" si="20"/>
        <v/>
      </c>
      <c r="X242" s="73" t="str">
        <f t="shared" si="21"/>
        <v/>
      </c>
    </row>
    <row r="243" spans="20:24" x14ac:dyDescent="0.3">
      <c r="T243" s="46" t="str">
        <f t="shared" si="18"/>
        <v/>
      </c>
      <c r="U243" s="46" t="str">
        <f t="shared" si="19"/>
        <v/>
      </c>
      <c r="V243" s="72" t="str">
        <f t="shared" si="20"/>
        <v/>
      </c>
      <c r="X243" s="73" t="str">
        <f t="shared" si="21"/>
        <v/>
      </c>
    </row>
    <row r="244" spans="20:24" x14ac:dyDescent="0.3">
      <c r="T244" s="46" t="str">
        <f t="shared" si="18"/>
        <v/>
      </c>
      <c r="U244" s="46" t="str">
        <f t="shared" si="19"/>
        <v/>
      </c>
      <c r="V244" s="72" t="str">
        <f t="shared" si="20"/>
        <v/>
      </c>
      <c r="X244" s="73" t="str">
        <f t="shared" si="21"/>
        <v/>
      </c>
    </row>
    <row r="245" spans="20:24" x14ac:dyDescent="0.3">
      <c r="T245" s="46" t="str">
        <f t="shared" si="18"/>
        <v/>
      </c>
      <c r="U245" s="46" t="str">
        <f t="shared" si="19"/>
        <v/>
      </c>
      <c r="V245" s="72" t="str">
        <f t="shared" si="20"/>
        <v/>
      </c>
      <c r="X245" s="73" t="str">
        <f t="shared" si="21"/>
        <v/>
      </c>
    </row>
    <row r="246" spans="20:24" x14ac:dyDescent="0.3">
      <c r="T246" s="46" t="str">
        <f t="shared" si="18"/>
        <v/>
      </c>
      <c r="U246" s="46" t="str">
        <f t="shared" si="19"/>
        <v/>
      </c>
      <c r="V246" s="72" t="str">
        <f t="shared" si="20"/>
        <v/>
      </c>
      <c r="X246" s="73" t="str">
        <f t="shared" si="21"/>
        <v/>
      </c>
    </row>
    <row r="247" spans="20:24" x14ac:dyDescent="0.3">
      <c r="T247" s="46" t="str">
        <f t="shared" si="18"/>
        <v/>
      </c>
      <c r="U247" s="46" t="str">
        <f t="shared" si="19"/>
        <v/>
      </c>
      <c r="V247" s="72" t="str">
        <f t="shared" si="20"/>
        <v/>
      </c>
      <c r="X247" s="73" t="str">
        <f t="shared" si="21"/>
        <v/>
      </c>
    </row>
    <row r="248" spans="20:24" x14ac:dyDescent="0.3">
      <c r="T248" s="46" t="str">
        <f t="shared" si="18"/>
        <v/>
      </c>
      <c r="U248" s="46" t="str">
        <f t="shared" si="19"/>
        <v/>
      </c>
      <c r="V248" s="72" t="str">
        <f t="shared" si="20"/>
        <v/>
      </c>
      <c r="X248" s="73" t="str">
        <f t="shared" si="21"/>
        <v/>
      </c>
    </row>
    <row r="249" spans="20:24" x14ac:dyDescent="0.3">
      <c r="T249" s="46" t="str">
        <f t="shared" si="18"/>
        <v/>
      </c>
      <c r="U249" s="46" t="str">
        <f t="shared" si="19"/>
        <v/>
      </c>
      <c r="V249" s="72" t="str">
        <f t="shared" si="20"/>
        <v/>
      </c>
      <c r="X249" s="73" t="str">
        <f t="shared" si="21"/>
        <v/>
      </c>
    </row>
    <row r="250" spans="20:24" x14ac:dyDescent="0.3">
      <c r="T250" s="46" t="str">
        <f t="shared" si="18"/>
        <v/>
      </c>
      <c r="U250" s="46" t="str">
        <f t="shared" si="19"/>
        <v/>
      </c>
      <c r="V250" s="72" t="str">
        <f t="shared" si="20"/>
        <v/>
      </c>
      <c r="X250" s="73" t="str">
        <f t="shared" si="21"/>
        <v/>
      </c>
    </row>
    <row r="251" spans="20:24" x14ac:dyDescent="0.3">
      <c r="T251" s="46" t="str">
        <f t="shared" si="18"/>
        <v/>
      </c>
      <c r="U251" s="46" t="str">
        <f t="shared" si="19"/>
        <v/>
      </c>
      <c r="V251" s="72" t="str">
        <f t="shared" si="20"/>
        <v/>
      </c>
      <c r="X251" s="73" t="str">
        <f t="shared" ref="X251:X282" si="22">IF(W251&lt;&gt;"",F251 - (SUM(G251:S251)),"")</f>
        <v/>
      </c>
    </row>
    <row r="252" spans="20:24" x14ac:dyDescent="0.3">
      <c r="T252" s="46" t="str">
        <f t="shared" si="18"/>
        <v/>
      </c>
      <c r="U252" s="46" t="str">
        <f t="shared" si="19"/>
        <v/>
      </c>
      <c r="V252" s="72" t="str">
        <f t="shared" si="20"/>
        <v/>
      </c>
      <c r="X252" s="73" t="str">
        <f t="shared" si="22"/>
        <v/>
      </c>
    </row>
    <row r="253" spans="20:24" x14ac:dyDescent="0.3">
      <c r="T253" s="46" t="str">
        <f t="shared" si="18"/>
        <v/>
      </c>
      <c r="U253" s="46" t="str">
        <f t="shared" si="19"/>
        <v/>
      </c>
      <c r="V253" s="72" t="str">
        <f t="shared" si="20"/>
        <v/>
      </c>
      <c r="X253" s="73" t="str">
        <f t="shared" si="22"/>
        <v/>
      </c>
    </row>
    <row r="254" spans="20:24" x14ac:dyDescent="0.3">
      <c r="T254" s="46" t="str">
        <f t="shared" si="18"/>
        <v/>
      </c>
      <c r="U254" s="46" t="str">
        <f t="shared" si="19"/>
        <v/>
      </c>
      <c r="V254" s="72" t="str">
        <f t="shared" si="20"/>
        <v/>
      </c>
      <c r="X254" s="73" t="str">
        <f t="shared" si="22"/>
        <v/>
      </c>
    </row>
    <row r="255" spans="20:24" x14ac:dyDescent="0.3">
      <c r="T255" s="46" t="str">
        <f t="shared" si="18"/>
        <v/>
      </c>
      <c r="U255" s="46" t="str">
        <f t="shared" si="19"/>
        <v/>
      </c>
      <c r="V255" s="72" t="str">
        <f t="shared" si="20"/>
        <v/>
      </c>
      <c r="X255" s="73" t="str">
        <f t="shared" si="22"/>
        <v/>
      </c>
    </row>
    <row r="256" spans="20:24" x14ac:dyDescent="0.3">
      <c r="T256" s="46" t="str">
        <f t="shared" si="18"/>
        <v/>
      </c>
      <c r="U256" s="46" t="str">
        <f t="shared" si="19"/>
        <v/>
      </c>
      <c r="V256" s="72" t="str">
        <f t="shared" si="20"/>
        <v/>
      </c>
      <c r="X256" s="73" t="str">
        <f t="shared" si="22"/>
        <v/>
      </c>
    </row>
    <row r="257" spans="20:24" x14ac:dyDescent="0.3">
      <c r="T257" s="46" t="str">
        <f t="shared" si="18"/>
        <v/>
      </c>
      <c r="U257" s="46" t="str">
        <f t="shared" si="19"/>
        <v/>
      </c>
      <c r="V257" s="72" t="str">
        <f t="shared" si="20"/>
        <v/>
      </c>
      <c r="X257" s="73" t="str">
        <f t="shared" si="22"/>
        <v/>
      </c>
    </row>
    <row r="258" spans="20:24" x14ac:dyDescent="0.3">
      <c r="T258" s="46" t="str">
        <f t="shared" si="18"/>
        <v/>
      </c>
      <c r="U258" s="46" t="str">
        <f t="shared" si="19"/>
        <v/>
      </c>
      <c r="V258" s="72" t="str">
        <f t="shared" si="20"/>
        <v/>
      </c>
      <c r="X258" s="73" t="str">
        <f t="shared" si="22"/>
        <v/>
      </c>
    </row>
    <row r="259" spans="20:24" x14ac:dyDescent="0.3">
      <c r="T259" s="46" t="str">
        <f t="shared" si="18"/>
        <v/>
      </c>
      <c r="U259" s="46" t="str">
        <f t="shared" si="19"/>
        <v/>
      </c>
      <c r="V259" s="72" t="str">
        <f t="shared" si="20"/>
        <v/>
      </c>
      <c r="X259" s="73" t="str">
        <f t="shared" si="22"/>
        <v/>
      </c>
    </row>
    <row r="260" spans="20:24" x14ac:dyDescent="0.3">
      <c r="T260" s="46" t="str">
        <f t="shared" ref="T260:T301" si="23">IF(AND(ISBLANK(E260),ISBLANK(F260),ISBLANK(G260),ISBLANK(H260),ISBLANK(I260),ISBLANK(J260),ISBLANK(K260), ISBLANK(L260), ISBLANK(M260), ISBLANK(N260), ISBLANK(O260), ISBLANK(P260), ISBLANK(Q260), ISBLANK(R260), ISBLANK(S260)),"",SUM(G260:S260))</f>
        <v/>
      </c>
      <c r="U260" s="46" t="str">
        <f t="shared" ref="U260:U300" si="24">IF(W260&lt;&gt;0,0,IF(AND(ISBLANK(F260),ISBLANK(G260),ISBLANK(H260),ISBLANK(I260),ISBLANK(J260),ISBLANK(K260), ISBLANK(L260), ISBLANK(M260), ISBLANK(N260), ISBLANK(O260), ISBLANK(P260), ISBLANK(Q260), ISBLANK(R260), ISBLANK(S260)),"", F260-T260))</f>
        <v/>
      </c>
      <c r="V260" s="72" t="str">
        <f t="shared" ref="V260:V300" si="25">IF(AND(ISBLANK(E260),ISBLANK(F260), ISBLANK(G260), ISBLANK(H260), ISBLANK(I260), ISBLANK(J260), ISBLANK(K260), ISBLANK(L260), ISBLANK(M260),ISBLANK(N260), ISBLANK(O260), ISBLANK(P260), ISBLANK(Q260), ISBLANK(R260), ISBLANK(S260)), "",IFERROR(((F260+E260)-U260)/F260,""))</f>
        <v/>
      </c>
      <c r="X260" s="73" t="str">
        <f t="shared" si="22"/>
        <v/>
      </c>
    </row>
    <row r="261" spans="20:24" x14ac:dyDescent="0.3">
      <c r="T261" s="46" t="str">
        <f t="shared" si="23"/>
        <v/>
      </c>
      <c r="U261" s="46" t="str">
        <f t="shared" si="24"/>
        <v/>
      </c>
      <c r="V261" s="72" t="str">
        <f t="shared" si="25"/>
        <v/>
      </c>
      <c r="X261" s="73" t="str">
        <f t="shared" si="22"/>
        <v/>
      </c>
    </row>
    <row r="262" spans="20:24" x14ac:dyDescent="0.3">
      <c r="T262" s="46" t="str">
        <f t="shared" si="23"/>
        <v/>
      </c>
      <c r="U262" s="46" t="str">
        <f t="shared" si="24"/>
        <v/>
      </c>
      <c r="V262" s="72" t="str">
        <f t="shared" si="25"/>
        <v/>
      </c>
      <c r="X262" s="73" t="str">
        <f t="shared" si="22"/>
        <v/>
      </c>
    </row>
    <row r="263" spans="20:24" x14ac:dyDescent="0.3">
      <c r="T263" s="46" t="str">
        <f t="shared" si="23"/>
        <v/>
      </c>
      <c r="U263" s="46" t="str">
        <f t="shared" si="24"/>
        <v/>
      </c>
      <c r="V263" s="72" t="str">
        <f t="shared" si="25"/>
        <v/>
      </c>
      <c r="X263" s="73" t="str">
        <f t="shared" si="22"/>
        <v/>
      </c>
    </row>
    <row r="264" spans="20:24" x14ac:dyDescent="0.3">
      <c r="T264" s="46" t="str">
        <f t="shared" si="23"/>
        <v/>
      </c>
      <c r="U264" s="46" t="str">
        <f t="shared" si="24"/>
        <v/>
      </c>
      <c r="V264" s="72" t="str">
        <f t="shared" si="25"/>
        <v/>
      </c>
      <c r="X264" s="73" t="str">
        <f t="shared" si="22"/>
        <v/>
      </c>
    </row>
    <row r="265" spans="20:24" x14ac:dyDescent="0.3">
      <c r="T265" s="46" t="str">
        <f t="shared" si="23"/>
        <v/>
      </c>
      <c r="U265" s="46" t="str">
        <f t="shared" si="24"/>
        <v/>
      </c>
      <c r="V265" s="72" t="str">
        <f t="shared" si="25"/>
        <v/>
      </c>
      <c r="X265" s="73" t="str">
        <f t="shared" si="22"/>
        <v/>
      </c>
    </row>
    <row r="266" spans="20:24" x14ac:dyDescent="0.3">
      <c r="T266" s="46" t="str">
        <f t="shared" si="23"/>
        <v/>
      </c>
      <c r="U266" s="46" t="str">
        <f t="shared" si="24"/>
        <v/>
      </c>
      <c r="V266" s="72" t="str">
        <f t="shared" si="25"/>
        <v/>
      </c>
      <c r="X266" s="73" t="str">
        <f t="shared" si="22"/>
        <v/>
      </c>
    </row>
    <row r="267" spans="20:24" x14ac:dyDescent="0.3">
      <c r="T267" s="46" t="str">
        <f t="shared" si="23"/>
        <v/>
      </c>
      <c r="U267" s="46" t="str">
        <f t="shared" si="24"/>
        <v/>
      </c>
      <c r="V267" s="72" t="str">
        <f t="shared" si="25"/>
        <v/>
      </c>
      <c r="X267" s="73" t="str">
        <f t="shared" si="22"/>
        <v/>
      </c>
    </row>
    <row r="268" spans="20:24" x14ac:dyDescent="0.3">
      <c r="T268" s="46" t="str">
        <f t="shared" si="23"/>
        <v/>
      </c>
      <c r="U268" s="46" t="str">
        <f t="shared" si="24"/>
        <v/>
      </c>
      <c r="V268" s="72" t="str">
        <f t="shared" si="25"/>
        <v/>
      </c>
      <c r="X268" s="73" t="str">
        <f t="shared" si="22"/>
        <v/>
      </c>
    </row>
    <row r="269" spans="20:24" x14ac:dyDescent="0.3">
      <c r="T269" s="46" t="str">
        <f t="shared" si="23"/>
        <v/>
      </c>
      <c r="U269" s="46" t="str">
        <f t="shared" si="24"/>
        <v/>
      </c>
      <c r="V269" s="72" t="str">
        <f t="shared" si="25"/>
        <v/>
      </c>
      <c r="X269" s="73" t="str">
        <f t="shared" si="22"/>
        <v/>
      </c>
    </row>
    <row r="270" spans="20:24" x14ac:dyDescent="0.3">
      <c r="T270" s="46" t="str">
        <f t="shared" si="23"/>
        <v/>
      </c>
      <c r="U270" s="46" t="str">
        <f t="shared" si="24"/>
        <v/>
      </c>
      <c r="V270" s="72" t="str">
        <f t="shared" si="25"/>
        <v/>
      </c>
      <c r="X270" s="73" t="str">
        <f t="shared" si="22"/>
        <v/>
      </c>
    </row>
    <row r="271" spans="20:24" x14ac:dyDescent="0.3">
      <c r="T271" s="46" t="str">
        <f t="shared" si="23"/>
        <v/>
      </c>
      <c r="U271" s="46" t="str">
        <f t="shared" si="24"/>
        <v/>
      </c>
      <c r="V271" s="72" t="str">
        <f t="shared" si="25"/>
        <v/>
      </c>
      <c r="X271" s="73" t="str">
        <f t="shared" si="22"/>
        <v/>
      </c>
    </row>
    <row r="272" spans="20:24" x14ac:dyDescent="0.3">
      <c r="T272" s="46" t="str">
        <f t="shared" si="23"/>
        <v/>
      </c>
      <c r="U272" s="46" t="str">
        <f t="shared" si="24"/>
        <v/>
      </c>
      <c r="V272" s="72" t="str">
        <f t="shared" si="25"/>
        <v/>
      </c>
      <c r="X272" s="73" t="str">
        <f t="shared" si="22"/>
        <v/>
      </c>
    </row>
    <row r="273" spans="20:24" x14ac:dyDescent="0.3">
      <c r="T273" s="46" t="str">
        <f t="shared" si="23"/>
        <v/>
      </c>
      <c r="U273" s="46" t="str">
        <f t="shared" si="24"/>
        <v/>
      </c>
      <c r="V273" s="72" t="str">
        <f t="shared" si="25"/>
        <v/>
      </c>
      <c r="X273" s="73" t="str">
        <f t="shared" si="22"/>
        <v/>
      </c>
    </row>
    <row r="274" spans="20:24" x14ac:dyDescent="0.3">
      <c r="T274" s="46" t="str">
        <f t="shared" si="23"/>
        <v/>
      </c>
      <c r="U274" s="46" t="str">
        <f t="shared" si="24"/>
        <v/>
      </c>
      <c r="V274" s="72" t="str">
        <f t="shared" si="25"/>
        <v/>
      </c>
      <c r="X274" s="73" t="str">
        <f t="shared" si="22"/>
        <v/>
      </c>
    </row>
    <row r="275" spans="20:24" x14ac:dyDescent="0.3">
      <c r="T275" s="46" t="str">
        <f t="shared" si="23"/>
        <v/>
      </c>
      <c r="U275" s="46" t="str">
        <f t="shared" si="24"/>
        <v/>
      </c>
      <c r="V275" s="72" t="str">
        <f t="shared" si="25"/>
        <v/>
      </c>
      <c r="X275" s="73" t="str">
        <f t="shared" si="22"/>
        <v/>
      </c>
    </row>
    <row r="276" spans="20:24" x14ac:dyDescent="0.3">
      <c r="T276" s="46" t="str">
        <f t="shared" si="23"/>
        <v/>
      </c>
      <c r="U276" s="46" t="str">
        <f t="shared" si="24"/>
        <v/>
      </c>
      <c r="V276" s="72" t="str">
        <f t="shared" si="25"/>
        <v/>
      </c>
      <c r="X276" s="73" t="str">
        <f t="shared" si="22"/>
        <v/>
      </c>
    </row>
    <row r="277" spans="20:24" x14ac:dyDescent="0.3">
      <c r="T277" s="46" t="str">
        <f t="shared" si="23"/>
        <v/>
      </c>
      <c r="U277" s="46" t="str">
        <f t="shared" si="24"/>
        <v/>
      </c>
      <c r="V277" s="72" t="str">
        <f t="shared" si="25"/>
        <v/>
      </c>
      <c r="X277" s="73" t="str">
        <f t="shared" si="22"/>
        <v/>
      </c>
    </row>
    <row r="278" spans="20:24" x14ac:dyDescent="0.3">
      <c r="T278" s="46" t="str">
        <f t="shared" si="23"/>
        <v/>
      </c>
      <c r="U278" s="46" t="str">
        <f t="shared" si="24"/>
        <v/>
      </c>
      <c r="V278" s="72" t="str">
        <f t="shared" si="25"/>
        <v/>
      </c>
      <c r="X278" s="73" t="str">
        <f t="shared" si="22"/>
        <v/>
      </c>
    </row>
    <row r="279" spans="20:24" x14ac:dyDescent="0.3">
      <c r="T279" s="46" t="str">
        <f t="shared" si="23"/>
        <v/>
      </c>
      <c r="U279" s="46" t="str">
        <f t="shared" si="24"/>
        <v/>
      </c>
      <c r="V279" s="72" t="str">
        <f t="shared" si="25"/>
        <v/>
      </c>
      <c r="X279" s="73" t="str">
        <f t="shared" si="22"/>
        <v/>
      </c>
    </row>
    <row r="280" spans="20:24" x14ac:dyDescent="0.3">
      <c r="T280" s="46" t="str">
        <f t="shared" si="23"/>
        <v/>
      </c>
      <c r="U280" s="46" t="str">
        <f t="shared" si="24"/>
        <v/>
      </c>
      <c r="V280" s="72" t="str">
        <f t="shared" si="25"/>
        <v/>
      </c>
      <c r="X280" s="73" t="str">
        <f t="shared" si="22"/>
        <v/>
      </c>
    </row>
    <row r="281" spans="20:24" x14ac:dyDescent="0.3">
      <c r="T281" s="46" t="str">
        <f t="shared" si="23"/>
        <v/>
      </c>
      <c r="U281" s="46" t="str">
        <f t="shared" si="24"/>
        <v/>
      </c>
      <c r="V281" s="72" t="str">
        <f t="shared" si="25"/>
        <v/>
      </c>
      <c r="X281" s="73" t="str">
        <f t="shared" si="22"/>
        <v/>
      </c>
    </row>
    <row r="282" spans="20:24" x14ac:dyDescent="0.3">
      <c r="T282" s="46" t="str">
        <f t="shared" si="23"/>
        <v/>
      </c>
      <c r="U282" s="46" t="str">
        <f t="shared" si="24"/>
        <v/>
      </c>
      <c r="V282" s="72" t="str">
        <f t="shared" si="25"/>
        <v/>
      </c>
      <c r="X282" s="73" t="str">
        <f t="shared" si="22"/>
        <v/>
      </c>
    </row>
    <row r="283" spans="20:24" x14ac:dyDescent="0.3">
      <c r="T283" s="46" t="str">
        <f t="shared" si="23"/>
        <v/>
      </c>
      <c r="U283" s="46" t="str">
        <f t="shared" si="24"/>
        <v/>
      </c>
      <c r="V283" s="72" t="str">
        <f t="shared" si="25"/>
        <v/>
      </c>
      <c r="X283" s="73" t="str">
        <f t="shared" ref="X283:X300" si="26">IF(W283&lt;&gt;"",F283 - (SUM(G283:S283)),"")</f>
        <v/>
      </c>
    </row>
    <row r="284" spans="20:24" x14ac:dyDescent="0.3">
      <c r="T284" s="46" t="str">
        <f t="shared" si="23"/>
        <v/>
      </c>
      <c r="U284" s="46" t="str">
        <f t="shared" si="24"/>
        <v/>
      </c>
      <c r="V284" s="72" t="str">
        <f t="shared" si="25"/>
        <v/>
      </c>
      <c r="X284" s="73" t="str">
        <f t="shared" si="26"/>
        <v/>
      </c>
    </row>
    <row r="285" spans="20:24" x14ac:dyDescent="0.3">
      <c r="T285" s="46" t="str">
        <f t="shared" si="23"/>
        <v/>
      </c>
      <c r="U285" s="46" t="str">
        <f t="shared" si="24"/>
        <v/>
      </c>
      <c r="V285" s="72" t="str">
        <f t="shared" si="25"/>
        <v/>
      </c>
      <c r="X285" s="73" t="str">
        <f t="shared" si="26"/>
        <v/>
      </c>
    </row>
    <row r="286" spans="20:24" x14ac:dyDescent="0.3">
      <c r="T286" s="46" t="str">
        <f t="shared" si="23"/>
        <v/>
      </c>
      <c r="U286" s="46" t="str">
        <f t="shared" si="24"/>
        <v/>
      </c>
      <c r="V286" s="72" t="str">
        <f t="shared" si="25"/>
        <v/>
      </c>
      <c r="X286" s="73" t="str">
        <f t="shared" si="26"/>
        <v/>
      </c>
    </row>
    <row r="287" spans="20:24" x14ac:dyDescent="0.3">
      <c r="T287" s="46" t="str">
        <f t="shared" si="23"/>
        <v/>
      </c>
      <c r="U287" s="46" t="str">
        <f t="shared" si="24"/>
        <v/>
      </c>
      <c r="V287" s="72" t="str">
        <f t="shared" si="25"/>
        <v/>
      </c>
      <c r="X287" s="73" t="str">
        <f t="shared" si="26"/>
        <v/>
      </c>
    </row>
    <row r="288" spans="20:24" x14ac:dyDescent="0.3">
      <c r="T288" s="46" t="str">
        <f t="shared" si="23"/>
        <v/>
      </c>
      <c r="U288" s="46" t="str">
        <f t="shared" si="24"/>
        <v/>
      </c>
      <c r="V288" s="72" t="str">
        <f t="shared" si="25"/>
        <v/>
      </c>
      <c r="X288" s="73" t="str">
        <f t="shared" si="26"/>
        <v/>
      </c>
    </row>
    <row r="289" spans="20:24" x14ac:dyDescent="0.3">
      <c r="T289" s="46" t="str">
        <f t="shared" si="23"/>
        <v/>
      </c>
      <c r="U289" s="46" t="str">
        <f t="shared" si="24"/>
        <v/>
      </c>
      <c r="V289" s="72" t="str">
        <f t="shared" si="25"/>
        <v/>
      </c>
      <c r="X289" s="73" t="str">
        <f t="shared" si="26"/>
        <v/>
      </c>
    </row>
    <row r="290" spans="20:24" x14ac:dyDescent="0.3">
      <c r="T290" s="46" t="str">
        <f t="shared" si="23"/>
        <v/>
      </c>
      <c r="U290" s="46" t="str">
        <f t="shared" si="24"/>
        <v/>
      </c>
      <c r="V290" s="72" t="str">
        <f t="shared" si="25"/>
        <v/>
      </c>
      <c r="X290" s="73" t="str">
        <f t="shared" si="26"/>
        <v/>
      </c>
    </row>
    <row r="291" spans="20:24" x14ac:dyDescent="0.3">
      <c r="T291" s="46" t="str">
        <f t="shared" si="23"/>
        <v/>
      </c>
      <c r="U291" s="46" t="str">
        <f t="shared" si="24"/>
        <v/>
      </c>
      <c r="V291" s="72" t="str">
        <f t="shared" si="25"/>
        <v/>
      </c>
      <c r="X291" s="73" t="str">
        <f t="shared" si="26"/>
        <v/>
      </c>
    </row>
    <row r="292" spans="20:24" x14ac:dyDescent="0.3">
      <c r="T292" s="46" t="str">
        <f t="shared" si="23"/>
        <v/>
      </c>
      <c r="U292" s="46" t="str">
        <f t="shared" si="24"/>
        <v/>
      </c>
      <c r="V292" s="72" t="str">
        <f t="shared" si="25"/>
        <v/>
      </c>
      <c r="X292" s="73" t="str">
        <f t="shared" si="26"/>
        <v/>
      </c>
    </row>
    <row r="293" spans="20:24" x14ac:dyDescent="0.3">
      <c r="T293" s="46" t="str">
        <f t="shared" si="23"/>
        <v/>
      </c>
      <c r="U293" s="46" t="str">
        <f t="shared" si="24"/>
        <v/>
      </c>
      <c r="V293" s="72" t="str">
        <f t="shared" si="25"/>
        <v/>
      </c>
      <c r="X293" s="73" t="str">
        <f t="shared" si="26"/>
        <v/>
      </c>
    </row>
    <row r="294" spans="20:24" x14ac:dyDescent="0.3">
      <c r="T294" s="46" t="str">
        <f t="shared" si="23"/>
        <v/>
      </c>
      <c r="U294" s="46" t="str">
        <f t="shared" si="24"/>
        <v/>
      </c>
      <c r="V294" s="72" t="str">
        <f t="shared" si="25"/>
        <v/>
      </c>
      <c r="X294" s="73" t="str">
        <f t="shared" si="26"/>
        <v/>
      </c>
    </row>
    <row r="295" spans="20:24" x14ac:dyDescent="0.3">
      <c r="T295" s="46" t="str">
        <f t="shared" si="23"/>
        <v/>
      </c>
      <c r="U295" s="46" t="str">
        <f t="shared" si="24"/>
        <v/>
      </c>
      <c r="V295" s="72" t="str">
        <f t="shared" si="25"/>
        <v/>
      </c>
      <c r="X295" s="73" t="str">
        <f t="shared" si="26"/>
        <v/>
      </c>
    </row>
    <row r="296" spans="20:24" x14ac:dyDescent="0.3">
      <c r="T296" s="46" t="str">
        <f t="shared" si="23"/>
        <v/>
      </c>
      <c r="U296" s="46" t="str">
        <f t="shared" si="24"/>
        <v/>
      </c>
      <c r="V296" s="72" t="str">
        <f t="shared" si="25"/>
        <v/>
      </c>
      <c r="X296" s="73" t="str">
        <f t="shared" si="26"/>
        <v/>
      </c>
    </row>
    <row r="297" spans="20:24" x14ac:dyDescent="0.3">
      <c r="T297" s="46" t="str">
        <f t="shared" si="23"/>
        <v/>
      </c>
      <c r="U297" s="46" t="str">
        <f t="shared" si="24"/>
        <v/>
      </c>
      <c r="V297" s="72" t="str">
        <f t="shared" si="25"/>
        <v/>
      </c>
      <c r="X297" s="73" t="str">
        <f t="shared" si="26"/>
        <v/>
      </c>
    </row>
    <row r="298" spans="20:24" x14ac:dyDescent="0.3">
      <c r="T298" s="46" t="str">
        <f t="shared" si="23"/>
        <v/>
      </c>
      <c r="U298" s="46" t="str">
        <f t="shared" si="24"/>
        <v/>
      </c>
      <c r="V298" s="72" t="str">
        <f t="shared" si="25"/>
        <v/>
      </c>
      <c r="X298" s="73" t="str">
        <f t="shared" si="26"/>
        <v/>
      </c>
    </row>
    <row r="299" spans="20:24" x14ac:dyDescent="0.3">
      <c r="T299" s="46" t="str">
        <f t="shared" si="23"/>
        <v/>
      </c>
      <c r="U299" s="46" t="str">
        <f t="shared" si="24"/>
        <v/>
      </c>
      <c r="V299" s="72" t="str">
        <f t="shared" si="25"/>
        <v/>
      </c>
      <c r="X299" s="73" t="str">
        <f t="shared" si="26"/>
        <v/>
      </c>
    </row>
    <row r="300" spans="20:24" x14ac:dyDescent="0.3">
      <c r="T300" s="46" t="str">
        <f t="shared" si="23"/>
        <v/>
      </c>
      <c r="U300" s="46" t="str">
        <f t="shared" si="24"/>
        <v/>
      </c>
      <c r="V300" s="72" t="str">
        <f t="shared" si="25"/>
        <v/>
      </c>
      <c r="X300" s="73" t="str">
        <f t="shared" si="26"/>
        <v/>
      </c>
    </row>
    <row r="301" spans="20:24" x14ac:dyDescent="0.3">
      <c r="T301" s="46" t="str">
        <f t="shared" si="23"/>
        <v/>
      </c>
    </row>
  </sheetData>
  <sheetProtection formatColumns="0" formatRows="0" insertHyperlinks="0" sort="0" autoFilter="0" pivotTables="0"/>
  <protectedRanges>
    <protectedRange sqref="A1:X1048576" name="AllowSortRange"/>
  </protectedRanges>
  <autoFilter ref="A3:X301" xr:uid="{00000000-0009-0000-0000-000000000000}">
    <sortState xmlns:xlrd2="http://schemas.microsoft.com/office/spreadsheetml/2017/richdata2" ref="A4:X301">
      <sortCondition ref="A3:A301"/>
    </sortState>
  </autoFilter>
  <mergeCells count="1">
    <mergeCell ref="A1:X1"/>
  </mergeCells>
  <conditionalFormatting sqref="A4:U1048576">
    <cfRule type="expression" dxfId="18" priority="2" stopIfTrue="1">
      <formula>$W4&lt;&gt;""</formula>
    </cfRule>
    <cfRule type="expression" dxfId="17" priority="3" stopIfTrue="1">
      <formula>AND($B4="", $A4&lt;&gt;"")</formula>
    </cfRule>
    <cfRule type="expression" dxfId="16" priority="4" stopIfTrue="1">
      <formula>$U4&lt;0</formula>
    </cfRule>
    <cfRule type="expression" dxfId="15" priority="5">
      <formula>AND($U4&gt;0, $U4&lt;&gt;"")</formula>
    </cfRule>
    <cfRule type="expression" dxfId="14" priority="6">
      <formula>AND($U4=0, $U4&lt;&gt;"")</formula>
    </cfRule>
  </conditionalFormatting>
  <conditionalFormatting sqref="V2:V1048576">
    <cfRule type="dataBar" priority="1">
      <dataBar>
        <cfvo type="num" val="0"/>
        <cfvo type="num" val="1"/>
        <color rgb="FFF79646"/>
      </dataBar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FC301"/>
  <sheetViews>
    <sheetView zoomScale="80" zoomScaleNormal="80" workbookViewId="0">
      <pane ySplit="3" topLeftCell="A4" activePane="bottomLeft" state="frozen"/>
      <selection activeCell="D1" sqref="D1"/>
      <selection pane="bottomLeft" activeCell="Q12" sqref="Q12"/>
    </sheetView>
  </sheetViews>
  <sheetFormatPr defaultColWidth="13" defaultRowHeight="17.25" x14ac:dyDescent="0.3"/>
  <cols>
    <col min="1" max="1" width="35.140625" style="47" customWidth="1"/>
    <col min="2" max="2" width="7.7109375" style="48" customWidth="1"/>
    <col min="3" max="3" width="8.7109375" style="49" customWidth="1"/>
    <col min="4" max="4" width="10.7109375" style="49" bestFit="1" customWidth="1"/>
    <col min="5" max="5" width="13.5703125" style="49" customWidth="1"/>
    <col min="6" max="6" width="13.85546875" style="49" customWidth="1"/>
    <col min="7" max="7" width="15.42578125" style="49" customWidth="1"/>
    <col min="8" max="8" width="7.28515625" style="53" bestFit="1" customWidth="1"/>
    <col min="9" max="10" width="8.42578125" style="49" customWidth="1"/>
    <col min="11" max="11" width="9.7109375" style="49" customWidth="1"/>
    <col min="12" max="13" width="8.7109375" style="49" customWidth="1"/>
    <col min="14" max="14" width="9.28515625" style="49" customWidth="1"/>
    <col min="15" max="15" width="8.28515625" style="49" customWidth="1"/>
    <col min="16" max="16" width="8" style="49" customWidth="1"/>
    <col min="17" max="18" width="6.42578125" style="49" bestFit="1" customWidth="1"/>
    <col min="19" max="19" width="6.42578125" style="49" customWidth="1"/>
    <col min="20" max="20" width="11.42578125" style="64" bestFit="1" customWidth="1"/>
    <col min="21" max="21" width="9.42578125" style="62" bestFit="1" customWidth="1"/>
    <col min="22" max="22" width="26.7109375" style="63" customWidth="1"/>
    <col min="23" max="23" width="13" style="49"/>
    <col min="24" max="24" width="17.42578125" style="49" bestFit="1" customWidth="1"/>
    <col min="25" max="16384" width="13" style="34"/>
  </cols>
  <sheetData>
    <row r="1" spans="1:445" ht="18.75" x14ac:dyDescent="0.3">
      <c r="A1" s="100" t="s">
        <v>88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2"/>
    </row>
    <row r="2" spans="1:445" s="35" customFormat="1" ht="18.75" x14ac:dyDescent="0.3">
      <c r="A2" s="35" t="s">
        <v>0</v>
      </c>
      <c r="B2" s="36"/>
      <c r="C2" s="36"/>
      <c r="D2" s="36"/>
      <c r="E2" s="36">
        <f t="shared" ref="E2" si="0">SUM(E4:E1048576)</f>
        <v>790</v>
      </c>
      <c r="F2" s="36">
        <f t="shared" ref="F2:T2" si="1">SUM(F4:F1048576)</f>
        <v>40338</v>
      </c>
      <c r="G2" s="36">
        <f t="shared" si="1"/>
        <v>180</v>
      </c>
      <c r="H2" s="36">
        <f t="shared" si="1"/>
        <v>2980</v>
      </c>
      <c r="I2" s="36">
        <f t="shared" si="1"/>
        <v>3905</v>
      </c>
      <c r="J2" s="36">
        <f t="shared" si="1"/>
        <v>3250</v>
      </c>
      <c r="K2" s="36">
        <f t="shared" si="1"/>
        <v>3195</v>
      </c>
      <c r="L2" s="36">
        <f t="shared" si="1"/>
        <v>3195</v>
      </c>
      <c r="M2" s="36">
        <f t="shared" si="1"/>
        <v>3255</v>
      </c>
      <c r="N2" s="36">
        <f t="shared" si="1"/>
        <v>3335</v>
      </c>
      <c r="O2" s="36">
        <f t="shared" si="1"/>
        <v>3295</v>
      </c>
      <c r="P2" s="36">
        <f t="shared" si="1"/>
        <v>3240</v>
      </c>
      <c r="Q2" s="36">
        <f t="shared" si="1"/>
        <v>475</v>
      </c>
      <c r="R2" s="36">
        <f t="shared" si="1"/>
        <v>0</v>
      </c>
      <c r="S2" s="36">
        <f t="shared" si="1"/>
        <v>0</v>
      </c>
      <c r="T2" s="36">
        <f t="shared" si="1"/>
        <v>30305</v>
      </c>
      <c r="U2" s="36">
        <f>SUMIF(U4:U1048576,"&gt;=0")</f>
        <v>135</v>
      </c>
      <c r="V2" s="37">
        <f>IF(AND(ISBLANK(E2),ISBLANK(F2), ISBLANK(G2), ISBLANK(H2), ISBLANK(I2), ISBLANK(J2), ISBLANK(K2), ISBLANK(L2), ISBLANK(M2),ISBLANK(N2), ISBLANK(O2), ISBLANK(P2), ISBLANK(Q2), ISBLANK(R2), ISBLANK(S2)), "",IFERROR(((F2+E2)-U2)/(F2+E2),""))</f>
        <v>0.99671756467613304</v>
      </c>
      <c r="W2" s="36">
        <f>COUNTA(W4:W1048576)</f>
        <v>12</v>
      </c>
      <c r="X2" s="36">
        <f>SUM(X4:X300)</f>
        <v>9898</v>
      </c>
    </row>
    <row r="3" spans="1:445" ht="19.5" thickBot="1" x14ac:dyDescent="0.35">
      <c r="A3" s="38" t="s">
        <v>1</v>
      </c>
      <c r="B3" s="65" t="s">
        <v>71</v>
      </c>
      <c r="C3" s="39" t="s">
        <v>64</v>
      </c>
      <c r="D3" s="39" t="s">
        <v>74</v>
      </c>
      <c r="E3" s="39" t="s">
        <v>46</v>
      </c>
      <c r="F3" s="39" t="s">
        <v>2</v>
      </c>
      <c r="G3" s="39" t="s">
        <v>3</v>
      </c>
      <c r="H3" s="39" t="s">
        <v>4</v>
      </c>
      <c r="I3" s="39" t="s">
        <v>5</v>
      </c>
      <c r="J3" s="39" t="s">
        <v>6</v>
      </c>
      <c r="K3" s="39" t="s">
        <v>7</v>
      </c>
      <c r="L3" s="39" t="s">
        <v>8</v>
      </c>
      <c r="M3" s="39" t="s">
        <v>9</v>
      </c>
      <c r="N3" s="39" t="s">
        <v>10</v>
      </c>
      <c r="O3" s="39" t="s">
        <v>11</v>
      </c>
      <c r="P3" s="39" t="s">
        <v>12</v>
      </c>
      <c r="Q3" s="39" t="s">
        <v>13</v>
      </c>
      <c r="R3" s="39" t="s">
        <v>14</v>
      </c>
      <c r="S3" s="39" t="s">
        <v>15</v>
      </c>
      <c r="T3" s="40" t="s">
        <v>16</v>
      </c>
      <c r="U3" s="40" t="s">
        <v>17</v>
      </c>
      <c r="V3" s="41" t="s">
        <v>18</v>
      </c>
      <c r="W3" s="42" t="s">
        <v>19</v>
      </c>
      <c r="X3" s="42" t="s">
        <v>20</v>
      </c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  <c r="EA3" s="43"/>
      <c r="EB3" s="43"/>
      <c r="EC3" s="43"/>
      <c r="ED3" s="43"/>
      <c r="EE3" s="43"/>
      <c r="EF3" s="43"/>
      <c r="EG3" s="43"/>
      <c r="EH3" s="43"/>
      <c r="EI3" s="43"/>
      <c r="EJ3" s="43"/>
      <c r="EK3" s="43"/>
      <c r="EL3" s="43"/>
      <c r="EM3" s="43"/>
      <c r="EN3" s="43"/>
      <c r="EO3" s="43"/>
      <c r="EP3" s="43"/>
      <c r="EQ3" s="43"/>
      <c r="ER3" s="43"/>
      <c r="ES3" s="43"/>
      <c r="ET3" s="43"/>
      <c r="EU3" s="43"/>
      <c r="EV3" s="43"/>
      <c r="EW3" s="43"/>
      <c r="EX3" s="43"/>
      <c r="EY3" s="43"/>
      <c r="EZ3" s="43"/>
      <c r="FA3" s="43"/>
      <c r="FB3" s="43"/>
      <c r="FC3" s="43"/>
      <c r="FD3" s="43"/>
      <c r="FE3" s="43"/>
      <c r="FF3" s="43"/>
      <c r="FG3" s="43"/>
      <c r="FH3" s="43"/>
      <c r="FI3" s="43"/>
      <c r="FJ3" s="43"/>
      <c r="FK3" s="43"/>
      <c r="FL3" s="43"/>
      <c r="FM3" s="43"/>
      <c r="FN3" s="43"/>
      <c r="FO3" s="43"/>
      <c r="FP3" s="43"/>
      <c r="FQ3" s="43"/>
      <c r="FR3" s="43"/>
      <c r="FS3" s="43"/>
      <c r="FT3" s="43"/>
      <c r="FU3" s="43"/>
      <c r="FV3" s="43"/>
      <c r="FW3" s="43"/>
      <c r="FX3" s="43"/>
      <c r="FY3" s="43"/>
      <c r="FZ3" s="43"/>
      <c r="GA3" s="43"/>
      <c r="GB3" s="43"/>
      <c r="GC3" s="43"/>
      <c r="GD3" s="43"/>
      <c r="GE3" s="43"/>
      <c r="GF3" s="43"/>
      <c r="GG3" s="43"/>
      <c r="GH3" s="43"/>
      <c r="GI3" s="43"/>
      <c r="GJ3" s="43"/>
      <c r="GK3" s="43"/>
      <c r="GL3" s="43"/>
      <c r="GM3" s="43"/>
      <c r="GN3" s="43"/>
      <c r="GO3" s="43"/>
      <c r="GP3" s="43"/>
      <c r="GQ3" s="43"/>
      <c r="GR3" s="43"/>
      <c r="GS3" s="43"/>
      <c r="GT3" s="43"/>
      <c r="GU3" s="43"/>
      <c r="GV3" s="43"/>
      <c r="GW3" s="43"/>
      <c r="GX3" s="43"/>
      <c r="GY3" s="43"/>
      <c r="GZ3" s="43"/>
      <c r="HA3" s="43"/>
      <c r="HB3" s="43"/>
      <c r="HC3" s="43"/>
      <c r="HD3" s="43"/>
      <c r="HE3" s="43"/>
      <c r="HF3" s="43"/>
      <c r="HG3" s="43"/>
      <c r="HH3" s="43"/>
      <c r="HI3" s="43"/>
      <c r="HJ3" s="43"/>
      <c r="HK3" s="43"/>
      <c r="HL3" s="43"/>
      <c r="HM3" s="43"/>
      <c r="HN3" s="43"/>
      <c r="HO3" s="43"/>
      <c r="HP3" s="43"/>
      <c r="HQ3" s="43"/>
      <c r="HR3" s="43"/>
      <c r="HS3" s="43"/>
      <c r="HT3" s="43"/>
      <c r="HU3" s="43"/>
      <c r="HV3" s="43"/>
      <c r="HW3" s="43"/>
      <c r="HX3" s="43"/>
      <c r="HY3" s="43"/>
      <c r="HZ3" s="43"/>
      <c r="IA3" s="43"/>
      <c r="IB3" s="43"/>
      <c r="IC3" s="43"/>
      <c r="ID3" s="43"/>
      <c r="IE3" s="43"/>
      <c r="IF3" s="43"/>
      <c r="IG3" s="43"/>
      <c r="IH3" s="43"/>
      <c r="II3" s="43"/>
      <c r="IJ3" s="43"/>
      <c r="IK3" s="43"/>
      <c r="IL3" s="43"/>
      <c r="IM3" s="43"/>
      <c r="IN3" s="43"/>
      <c r="IO3" s="43"/>
      <c r="IP3" s="43"/>
      <c r="IQ3" s="43"/>
      <c r="IR3" s="43"/>
      <c r="IS3" s="43"/>
      <c r="IT3" s="43"/>
      <c r="IU3" s="43"/>
      <c r="IV3" s="43"/>
      <c r="IW3" s="43"/>
      <c r="IX3" s="43"/>
      <c r="IY3" s="43"/>
      <c r="IZ3" s="43"/>
      <c r="JA3" s="43"/>
      <c r="JB3" s="43"/>
      <c r="JC3" s="43"/>
      <c r="JD3" s="43"/>
      <c r="JE3" s="43"/>
      <c r="JF3" s="43"/>
      <c r="JG3" s="43"/>
      <c r="JH3" s="43"/>
      <c r="JI3" s="43"/>
      <c r="JJ3" s="43"/>
      <c r="JK3" s="43"/>
      <c r="JL3" s="43"/>
      <c r="JM3" s="43"/>
      <c r="JN3" s="43"/>
      <c r="JO3" s="43"/>
      <c r="JP3" s="43"/>
      <c r="JQ3" s="43"/>
      <c r="JR3" s="43"/>
      <c r="JS3" s="43"/>
      <c r="JT3" s="43"/>
      <c r="JU3" s="43"/>
      <c r="JV3" s="43"/>
      <c r="JW3" s="43"/>
      <c r="JX3" s="43"/>
      <c r="JY3" s="43"/>
      <c r="JZ3" s="43"/>
      <c r="KA3" s="43"/>
      <c r="KB3" s="43"/>
      <c r="KC3" s="43"/>
      <c r="KD3" s="43"/>
      <c r="KE3" s="43"/>
      <c r="KF3" s="43"/>
      <c r="KG3" s="43"/>
      <c r="KH3" s="43"/>
      <c r="KI3" s="43"/>
      <c r="KJ3" s="43"/>
      <c r="KK3" s="43"/>
      <c r="KL3" s="43"/>
      <c r="KM3" s="43"/>
      <c r="KN3" s="43"/>
      <c r="KO3" s="43"/>
      <c r="KP3" s="43"/>
      <c r="KQ3" s="43"/>
      <c r="KR3" s="43"/>
      <c r="KS3" s="43"/>
      <c r="KT3" s="43"/>
      <c r="KU3" s="43"/>
      <c r="KV3" s="43"/>
      <c r="KW3" s="43"/>
      <c r="KX3" s="43"/>
      <c r="KY3" s="43"/>
      <c r="KZ3" s="43"/>
      <c r="LA3" s="43"/>
      <c r="LB3" s="43"/>
      <c r="LC3" s="43"/>
      <c r="LD3" s="43"/>
      <c r="LE3" s="43"/>
      <c r="LF3" s="43"/>
      <c r="LG3" s="43"/>
      <c r="LH3" s="43"/>
      <c r="LI3" s="43"/>
      <c r="LJ3" s="43"/>
      <c r="LK3" s="43"/>
      <c r="LL3" s="43"/>
      <c r="LM3" s="43"/>
      <c r="LN3" s="43"/>
      <c r="LO3" s="43"/>
      <c r="LP3" s="43"/>
      <c r="LQ3" s="43"/>
      <c r="LR3" s="43"/>
      <c r="LS3" s="43"/>
      <c r="LT3" s="43"/>
      <c r="LU3" s="43"/>
      <c r="LV3" s="43"/>
      <c r="LW3" s="43"/>
      <c r="LX3" s="43"/>
      <c r="LY3" s="43"/>
      <c r="LZ3" s="43"/>
      <c r="MA3" s="43"/>
      <c r="MB3" s="43"/>
      <c r="MC3" s="43"/>
      <c r="MD3" s="43"/>
      <c r="ME3" s="43"/>
      <c r="MF3" s="43"/>
      <c r="MG3" s="43"/>
      <c r="MH3" s="43"/>
      <c r="MI3" s="43"/>
      <c r="MJ3" s="43"/>
      <c r="MK3" s="43"/>
      <c r="ML3" s="43"/>
      <c r="MM3" s="43"/>
      <c r="MN3" s="43"/>
      <c r="MO3" s="43"/>
      <c r="MP3" s="43"/>
      <c r="MQ3" s="43"/>
      <c r="MR3" s="43"/>
      <c r="MS3" s="43"/>
      <c r="MT3" s="43"/>
      <c r="MU3" s="43"/>
      <c r="MV3" s="43"/>
      <c r="MW3" s="43"/>
      <c r="MX3" s="43"/>
      <c r="MY3" s="43"/>
      <c r="MZ3" s="43"/>
      <c r="NA3" s="43"/>
      <c r="NB3" s="43"/>
      <c r="NC3" s="43"/>
      <c r="ND3" s="43"/>
      <c r="NE3" s="43"/>
      <c r="NF3" s="43"/>
      <c r="NG3" s="43"/>
      <c r="NH3" s="43"/>
      <c r="NI3" s="43"/>
      <c r="NJ3" s="43"/>
      <c r="NK3" s="43"/>
      <c r="NL3" s="43"/>
      <c r="NM3" s="43"/>
      <c r="NN3" s="43"/>
      <c r="NO3" s="43"/>
      <c r="NP3" s="43"/>
      <c r="NQ3" s="43"/>
      <c r="NR3" s="43"/>
      <c r="NS3" s="43"/>
      <c r="NT3" s="43"/>
      <c r="NU3" s="43"/>
      <c r="NV3" s="43"/>
      <c r="NW3" s="43"/>
      <c r="NX3" s="43"/>
      <c r="NY3" s="43"/>
      <c r="NZ3" s="43"/>
      <c r="OA3" s="43"/>
      <c r="OB3" s="43"/>
      <c r="OC3" s="43"/>
      <c r="OD3" s="43"/>
      <c r="OE3" s="43"/>
      <c r="OF3" s="43"/>
      <c r="OG3" s="43"/>
      <c r="OH3" s="43"/>
      <c r="OI3" s="43"/>
      <c r="OJ3" s="43"/>
      <c r="OK3" s="43"/>
      <c r="OL3" s="43"/>
      <c r="OM3" s="43"/>
      <c r="ON3" s="43"/>
      <c r="OO3" s="43"/>
      <c r="OP3" s="43"/>
      <c r="OQ3" s="43"/>
      <c r="OR3" s="43"/>
      <c r="OS3" s="43"/>
      <c r="OT3" s="43"/>
      <c r="OU3" s="43"/>
      <c r="OV3" s="43"/>
      <c r="OW3" s="43"/>
      <c r="OX3" s="43"/>
      <c r="OY3" s="43"/>
      <c r="OZ3" s="43"/>
      <c r="PA3" s="43"/>
      <c r="PB3" s="43"/>
      <c r="PC3" s="43"/>
      <c r="PD3" s="43"/>
      <c r="PE3" s="43"/>
      <c r="PF3" s="43"/>
      <c r="PG3" s="43"/>
      <c r="PH3" s="43"/>
      <c r="PI3" s="43"/>
      <c r="PJ3" s="43"/>
      <c r="PK3" s="43"/>
      <c r="PL3" s="43"/>
      <c r="PM3" s="43"/>
      <c r="PN3" s="43"/>
      <c r="PO3" s="43"/>
      <c r="PP3" s="43"/>
      <c r="PQ3" s="43"/>
      <c r="PR3" s="43"/>
      <c r="PS3" s="43"/>
      <c r="PT3" s="43"/>
      <c r="PU3" s="43"/>
      <c r="PV3" s="43"/>
      <c r="PW3" s="43"/>
      <c r="PX3" s="43"/>
      <c r="PY3" s="43"/>
      <c r="PZ3" s="43"/>
      <c r="QA3" s="43"/>
      <c r="QB3" s="43"/>
      <c r="QC3" s="43"/>
    </row>
    <row r="4" spans="1:445" s="47" customFormat="1" ht="16.5" customHeight="1" x14ac:dyDescent="0.25">
      <c r="A4" s="44" t="s">
        <v>36</v>
      </c>
      <c r="B4" s="45" t="s">
        <v>102</v>
      </c>
      <c r="C4" s="45" t="s">
        <v>60</v>
      </c>
      <c r="D4" s="45" t="s">
        <v>78</v>
      </c>
      <c r="E4" s="45"/>
      <c r="F4" s="45">
        <v>1350</v>
      </c>
      <c r="G4" s="45"/>
      <c r="H4" s="45"/>
      <c r="I4" s="45">
        <v>155</v>
      </c>
      <c r="J4" s="45">
        <v>155</v>
      </c>
      <c r="K4" s="45">
        <v>155</v>
      </c>
      <c r="L4" s="45">
        <v>155</v>
      </c>
      <c r="M4" s="45">
        <v>155</v>
      </c>
      <c r="N4" s="45">
        <v>155</v>
      </c>
      <c r="O4" s="45">
        <v>155</v>
      </c>
      <c r="P4" s="45">
        <v>155</v>
      </c>
      <c r="Q4" s="45">
        <v>110</v>
      </c>
      <c r="R4" s="45"/>
      <c r="S4" s="45"/>
      <c r="T4" s="45">
        <f t="shared" ref="T4:T26" si="2">IF(AND(ISBLANK(E4),ISBLANK(F4),ISBLANK(G4),ISBLANK(H4),ISBLANK(I4),ISBLANK(J4),ISBLANK(K4), ISBLANK(L4), ISBLANK(M4), ISBLANK(N4), ISBLANK(O4), ISBLANK(P4), ISBLANK(Q4), ISBLANK(R4), ISBLANK(S4)),"",SUM(G4:S4))</f>
        <v>1350</v>
      </c>
      <c r="U4" s="45">
        <f t="shared" ref="U4:U26" si="3">IF(W4&lt;&gt;0,0,IF(AND(ISBLANK(F4),ISBLANK(G4),ISBLANK(H4),ISBLANK(I4),ISBLANK(J4),ISBLANK(K4), ISBLANK(L4), ISBLANK(M4), ISBLANK(N4), ISBLANK(O4), ISBLANK(P4), ISBLANK(Q4), ISBLANK(R4), ISBLANK(S4)),"", F4-T4))</f>
        <v>0</v>
      </c>
      <c r="V4" s="68">
        <f t="shared" ref="V4:V26" si="4">IF(AND(ISBLANK(E4),ISBLANK(F4), ISBLANK(G4), ISBLANK(H4), ISBLANK(I4), ISBLANK(J4), ISBLANK(K4), ISBLANK(L4), ISBLANK(M4),ISBLANK(N4), ISBLANK(O4), ISBLANK(P4), ISBLANK(Q4), ISBLANK(R4), ISBLANK(S4)), "",IFERROR(((F4+E4)-U4)/F4,""))</f>
        <v>1</v>
      </c>
      <c r="W4" s="45"/>
      <c r="X4" s="66" t="str">
        <f t="shared" ref="X4:X35" si="5">IF(W4&lt;&gt;"",F4 - (SUM(G4:S4)),"")</f>
        <v/>
      </c>
    </row>
    <row r="5" spans="1:445" s="47" customFormat="1" ht="15.75" x14ac:dyDescent="0.25">
      <c r="A5" s="47" t="s">
        <v>99</v>
      </c>
      <c r="B5" s="45" t="s">
        <v>94</v>
      </c>
      <c r="C5" s="45" t="s">
        <v>44</v>
      </c>
      <c r="D5" s="45" t="s">
        <v>75</v>
      </c>
      <c r="E5" s="45">
        <v>40</v>
      </c>
      <c r="F5" s="45">
        <v>900</v>
      </c>
      <c r="G5" s="45"/>
      <c r="H5" s="45"/>
      <c r="I5" s="45"/>
      <c r="J5" s="45"/>
      <c r="K5" s="45"/>
      <c r="L5" s="45"/>
      <c r="M5" s="45">
        <v>200</v>
      </c>
      <c r="N5" s="45">
        <v>200</v>
      </c>
      <c r="O5" s="45">
        <v>200</v>
      </c>
      <c r="P5" s="45">
        <v>200</v>
      </c>
      <c r="Q5" s="45">
        <v>100</v>
      </c>
      <c r="R5" s="45"/>
      <c r="S5" s="45"/>
      <c r="T5" s="45">
        <f t="shared" si="2"/>
        <v>900</v>
      </c>
      <c r="U5" s="45">
        <f t="shared" si="3"/>
        <v>0</v>
      </c>
      <c r="V5" s="68">
        <f t="shared" si="4"/>
        <v>1.0444444444444445</v>
      </c>
      <c r="W5" s="48"/>
      <c r="X5" s="66" t="str">
        <f t="shared" si="5"/>
        <v/>
      </c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  <c r="EA5" s="43"/>
      <c r="EB5" s="43"/>
      <c r="EC5" s="43"/>
      <c r="ED5" s="43"/>
      <c r="EE5" s="43"/>
      <c r="EF5" s="43"/>
      <c r="EG5" s="43"/>
      <c r="EH5" s="43"/>
      <c r="EI5" s="43"/>
      <c r="EJ5" s="43"/>
      <c r="EK5" s="43"/>
      <c r="EL5" s="43"/>
      <c r="EM5" s="43"/>
      <c r="EN5" s="43"/>
      <c r="EO5" s="43"/>
      <c r="EP5" s="43"/>
      <c r="EQ5" s="43"/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43"/>
      <c r="FI5" s="43"/>
      <c r="FJ5" s="43"/>
      <c r="FK5" s="43"/>
      <c r="FL5" s="43"/>
      <c r="FM5" s="43"/>
      <c r="FN5" s="43"/>
      <c r="FO5" s="43"/>
      <c r="FP5" s="43"/>
      <c r="FQ5" s="43"/>
      <c r="FR5" s="43"/>
      <c r="FS5" s="43"/>
      <c r="FT5" s="43"/>
      <c r="FU5" s="43"/>
      <c r="FV5" s="43"/>
      <c r="FW5" s="43"/>
      <c r="FX5" s="43"/>
      <c r="FY5" s="43"/>
      <c r="FZ5" s="43"/>
      <c r="GA5" s="43"/>
      <c r="GB5" s="43"/>
      <c r="GC5" s="43"/>
      <c r="GD5" s="43"/>
      <c r="GE5" s="43"/>
      <c r="GF5" s="43"/>
      <c r="GG5" s="43"/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43"/>
      <c r="GY5" s="43"/>
      <c r="GZ5" s="43"/>
      <c r="HA5" s="43"/>
      <c r="HB5" s="43"/>
      <c r="HC5" s="43"/>
      <c r="HD5" s="43"/>
      <c r="HE5" s="43"/>
      <c r="HF5" s="43"/>
      <c r="HG5" s="43"/>
      <c r="HH5" s="43"/>
      <c r="HI5" s="43"/>
      <c r="HJ5" s="43"/>
      <c r="HK5" s="43"/>
      <c r="HL5" s="43"/>
      <c r="HM5" s="43"/>
      <c r="HN5" s="43"/>
      <c r="HO5" s="43"/>
      <c r="HP5" s="43"/>
      <c r="HQ5" s="43"/>
      <c r="HR5" s="43"/>
      <c r="HS5" s="43"/>
      <c r="HT5" s="43"/>
      <c r="HU5" s="43"/>
      <c r="HV5" s="43"/>
      <c r="HW5" s="43"/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43"/>
      <c r="IO5" s="43"/>
      <c r="IP5" s="43"/>
      <c r="IQ5" s="43"/>
      <c r="IR5" s="43"/>
      <c r="IS5" s="43"/>
      <c r="IT5" s="43"/>
      <c r="IU5" s="43"/>
      <c r="IV5" s="43"/>
      <c r="IW5" s="43"/>
      <c r="IX5" s="43"/>
      <c r="IY5" s="43"/>
      <c r="IZ5" s="43"/>
      <c r="JA5" s="43"/>
      <c r="JB5" s="43"/>
      <c r="JC5" s="43"/>
      <c r="JD5" s="43"/>
      <c r="JE5" s="43"/>
      <c r="JF5" s="43"/>
      <c r="JG5" s="43"/>
      <c r="JH5" s="43"/>
      <c r="JI5" s="43"/>
      <c r="JJ5" s="43"/>
      <c r="JK5" s="43"/>
      <c r="JL5" s="43"/>
      <c r="JM5" s="43"/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43"/>
      <c r="KE5" s="43"/>
      <c r="KF5" s="43"/>
      <c r="KG5" s="43"/>
      <c r="KH5" s="43"/>
      <c r="KI5" s="43"/>
      <c r="KJ5" s="43"/>
      <c r="KK5" s="43"/>
      <c r="KL5" s="43"/>
      <c r="KM5" s="43"/>
      <c r="KN5" s="43"/>
      <c r="KO5" s="43"/>
      <c r="KP5" s="43"/>
      <c r="KQ5" s="43"/>
      <c r="KR5" s="43"/>
      <c r="KS5" s="43"/>
      <c r="KT5" s="43"/>
      <c r="KU5" s="43"/>
      <c r="KV5" s="43"/>
      <c r="KW5" s="43"/>
      <c r="KX5" s="43"/>
      <c r="KY5" s="43"/>
      <c r="KZ5" s="43"/>
      <c r="LA5" s="43"/>
      <c r="LB5" s="43"/>
      <c r="LC5" s="43"/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43"/>
      <c r="LU5" s="43"/>
      <c r="LV5" s="43"/>
      <c r="LW5" s="43"/>
      <c r="LX5" s="43"/>
      <c r="LY5" s="43"/>
      <c r="LZ5" s="43"/>
      <c r="MA5" s="43"/>
      <c r="MB5" s="43"/>
      <c r="MC5" s="43"/>
      <c r="MD5" s="43"/>
      <c r="ME5" s="43"/>
      <c r="MF5" s="43"/>
      <c r="MG5" s="43"/>
      <c r="MH5" s="43"/>
      <c r="MI5" s="43"/>
      <c r="MJ5" s="43"/>
      <c r="MK5" s="43"/>
      <c r="ML5" s="43"/>
      <c r="MM5" s="43"/>
      <c r="MN5" s="43"/>
      <c r="MO5" s="43"/>
      <c r="MP5" s="43"/>
      <c r="MQ5" s="43"/>
      <c r="MR5" s="43"/>
      <c r="MS5" s="43"/>
      <c r="MT5" s="43"/>
      <c r="MU5" s="43"/>
      <c r="MV5" s="43"/>
      <c r="MW5" s="43"/>
      <c r="MX5" s="43"/>
      <c r="MY5" s="43"/>
      <c r="MZ5" s="43"/>
      <c r="NA5" s="43"/>
      <c r="NB5" s="43"/>
      <c r="NC5" s="43"/>
      <c r="ND5" s="43"/>
      <c r="NE5" s="43"/>
      <c r="NF5" s="43"/>
      <c r="NG5" s="43"/>
      <c r="NH5" s="43"/>
      <c r="NI5" s="43"/>
      <c r="NJ5" s="43"/>
      <c r="NK5" s="43"/>
      <c r="NL5" s="43"/>
      <c r="NM5" s="43"/>
      <c r="NN5" s="43"/>
      <c r="NO5" s="43"/>
      <c r="NP5" s="43"/>
      <c r="NQ5" s="43"/>
      <c r="NR5" s="43"/>
      <c r="NS5" s="43"/>
      <c r="NT5" s="43"/>
      <c r="NU5" s="43"/>
      <c r="NV5" s="43"/>
      <c r="NW5" s="43"/>
      <c r="NX5" s="43"/>
      <c r="NY5" s="43"/>
      <c r="NZ5" s="43"/>
      <c r="OA5" s="43"/>
      <c r="OB5" s="43"/>
      <c r="OC5" s="43"/>
      <c r="OD5" s="43"/>
      <c r="OE5" s="43"/>
      <c r="OF5" s="43"/>
      <c r="OG5" s="43"/>
      <c r="OH5" s="43"/>
      <c r="OI5" s="43"/>
      <c r="OJ5" s="43"/>
      <c r="OK5" s="43"/>
      <c r="OL5" s="43"/>
      <c r="OM5" s="43"/>
      <c r="ON5" s="43"/>
      <c r="OO5" s="43"/>
      <c r="OP5" s="43"/>
      <c r="OQ5" s="43"/>
      <c r="OR5" s="43"/>
      <c r="OS5" s="43"/>
      <c r="OT5" s="43"/>
      <c r="OU5" s="43"/>
      <c r="OV5" s="43"/>
      <c r="OW5" s="43"/>
      <c r="OX5" s="43"/>
      <c r="OY5" s="43"/>
      <c r="OZ5" s="43"/>
      <c r="PA5" s="43"/>
      <c r="PB5" s="43"/>
      <c r="PC5" s="43"/>
      <c r="PD5" s="43"/>
      <c r="PE5" s="43"/>
      <c r="PF5" s="43"/>
      <c r="PG5" s="43"/>
      <c r="PH5" s="43"/>
      <c r="PI5" s="43"/>
      <c r="PJ5" s="43"/>
      <c r="PK5" s="43"/>
      <c r="PL5" s="43"/>
      <c r="PM5" s="43"/>
      <c r="PN5" s="43"/>
      <c r="PO5" s="43"/>
      <c r="PP5" s="43"/>
      <c r="PQ5" s="43"/>
      <c r="PR5" s="43"/>
      <c r="PS5" s="43"/>
      <c r="PT5" s="43"/>
      <c r="PU5" s="43"/>
      <c r="PV5" s="43"/>
      <c r="PW5" s="43"/>
      <c r="PX5" s="43"/>
      <c r="PY5" s="43"/>
      <c r="PZ5" s="43"/>
      <c r="QA5" s="43"/>
      <c r="QB5" s="43"/>
      <c r="QC5" s="43"/>
    </row>
    <row r="6" spans="1:445" x14ac:dyDescent="0.3">
      <c r="A6" s="47" t="s">
        <v>59</v>
      </c>
      <c r="B6" s="45" t="s">
        <v>102</v>
      </c>
      <c r="C6" s="45" t="s">
        <v>60</v>
      </c>
      <c r="D6" s="45"/>
      <c r="E6" s="45">
        <v>0</v>
      </c>
      <c r="F6" s="45">
        <v>1350</v>
      </c>
      <c r="G6" s="45">
        <v>75</v>
      </c>
      <c r="H6" s="45">
        <v>75</v>
      </c>
      <c r="I6" s="45">
        <v>150</v>
      </c>
      <c r="J6" s="45">
        <v>150</v>
      </c>
      <c r="K6" s="45">
        <v>150</v>
      </c>
      <c r="L6" s="45">
        <v>150</v>
      </c>
      <c r="M6" s="45">
        <v>150</v>
      </c>
      <c r="N6" s="45">
        <v>150</v>
      </c>
      <c r="O6" s="45">
        <v>150</v>
      </c>
      <c r="P6" s="45">
        <v>150</v>
      </c>
      <c r="Q6" s="45"/>
      <c r="R6" s="45"/>
      <c r="S6" s="45"/>
      <c r="T6" s="45">
        <f t="shared" si="2"/>
        <v>1350</v>
      </c>
      <c r="U6" s="45">
        <f t="shared" si="3"/>
        <v>0</v>
      </c>
      <c r="V6" s="68">
        <f t="shared" si="4"/>
        <v>1</v>
      </c>
      <c r="W6" s="48"/>
      <c r="X6" s="66" t="str">
        <f t="shared" si="5"/>
        <v/>
      </c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  <c r="CU6" s="43"/>
      <c r="CV6" s="43"/>
      <c r="CW6" s="43"/>
      <c r="CX6" s="43"/>
      <c r="CY6" s="43"/>
      <c r="CZ6" s="43"/>
      <c r="DA6" s="43"/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  <c r="EJ6" s="43"/>
      <c r="EK6" s="43"/>
      <c r="EL6" s="43"/>
      <c r="EM6" s="43"/>
      <c r="EN6" s="43"/>
      <c r="EO6" s="43"/>
      <c r="EP6" s="43"/>
      <c r="EQ6" s="43"/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43"/>
      <c r="FI6" s="43"/>
      <c r="FJ6" s="43"/>
      <c r="FK6" s="43"/>
      <c r="FL6" s="43"/>
      <c r="FM6" s="43"/>
      <c r="FN6" s="43"/>
      <c r="FO6" s="43"/>
      <c r="FP6" s="43"/>
      <c r="FQ6" s="43"/>
      <c r="FR6" s="43"/>
      <c r="FS6" s="43"/>
      <c r="FT6" s="43"/>
      <c r="FU6" s="43"/>
      <c r="FV6" s="43"/>
      <c r="FW6" s="43"/>
      <c r="FX6" s="43"/>
      <c r="FY6" s="43"/>
      <c r="FZ6" s="43"/>
      <c r="GA6" s="43"/>
      <c r="GB6" s="43"/>
      <c r="GC6" s="43"/>
      <c r="GD6" s="43"/>
      <c r="GE6" s="43"/>
      <c r="GF6" s="43"/>
      <c r="GG6" s="43"/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43"/>
      <c r="GY6" s="43"/>
      <c r="GZ6" s="43"/>
      <c r="HA6" s="43"/>
      <c r="HB6" s="43"/>
      <c r="HC6" s="43"/>
      <c r="HD6" s="43"/>
      <c r="HE6" s="43"/>
      <c r="HF6" s="43"/>
      <c r="HG6" s="43"/>
      <c r="HH6" s="43"/>
      <c r="HI6" s="43"/>
      <c r="HJ6" s="43"/>
      <c r="HK6" s="43"/>
      <c r="HL6" s="43"/>
      <c r="HM6" s="43"/>
      <c r="HN6" s="43"/>
      <c r="HO6" s="43"/>
      <c r="HP6" s="43"/>
      <c r="HQ6" s="43"/>
      <c r="HR6" s="43"/>
      <c r="HS6" s="43"/>
      <c r="HT6" s="43"/>
      <c r="HU6" s="43"/>
      <c r="HV6" s="43"/>
      <c r="HW6" s="43"/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43"/>
      <c r="IO6" s="43"/>
      <c r="IP6" s="43"/>
      <c r="IQ6" s="43"/>
      <c r="IR6" s="43"/>
      <c r="IS6" s="43"/>
      <c r="IT6" s="43"/>
      <c r="IU6" s="43"/>
      <c r="IV6" s="43"/>
      <c r="IW6" s="43"/>
      <c r="IX6" s="43"/>
      <c r="IY6" s="43"/>
      <c r="IZ6" s="43"/>
      <c r="JA6" s="43"/>
      <c r="JB6" s="43"/>
      <c r="JC6" s="43"/>
      <c r="JD6" s="43"/>
      <c r="JE6" s="43"/>
      <c r="JF6" s="43"/>
      <c r="JG6" s="43"/>
      <c r="JH6" s="43"/>
      <c r="JI6" s="43"/>
      <c r="JJ6" s="43"/>
      <c r="JK6" s="43"/>
      <c r="JL6" s="43"/>
      <c r="JM6" s="43"/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43"/>
      <c r="KE6" s="43"/>
      <c r="KF6" s="43"/>
      <c r="KG6" s="43"/>
      <c r="KH6" s="43"/>
      <c r="KI6" s="43"/>
      <c r="KJ6" s="43"/>
      <c r="KK6" s="43"/>
      <c r="KL6" s="43"/>
      <c r="KM6" s="43"/>
      <c r="KN6" s="43"/>
      <c r="KO6" s="43"/>
      <c r="KP6" s="43"/>
      <c r="KQ6" s="43"/>
      <c r="KR6" s="43"/>
      <c r="KS6" s="43"/>
      <c r="KT6" s="43"/>
      <c r="KU6" s="43"/>
      <c r="KV6" s="43"/>
      <c r="KW6" s="43"/>
      <c r="KX6" s="43"/>
      <c r="KY6" s="43"/>
      <c r="KZ6" s="43"/>
      <c r="LA6" s="43"/>
      <c r="LB6" s="43"/>
      <c r="LC6" s="43"/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43"/>
      <c r="LU6" s="43"/>
      <c r="LV6" s="43"/>
      <c r="LW6" s="43"/>
      <c r="LX6" s="43"/>
      <c r="LY6" s="43"/>
      <c r="LZ6" s="43"/>
      <c r="MA6" s="43"/>
      <c r="MB6" s="43"/>
      <c r="MC6" s="43"/>
      <c r="MD6" s="43"/>
      <c r="ME6" s="43"/>
      <c r="MF6" s="43"/>
      <c r="MG6" s="43"/>
      <c r="MH6" s="43"/>
      <c r="MI6" s="43"/>
      <c r="MJ6" s="43"/>
      <c r="MK6" s="43"/>
      <c r="ML6" s="43"/>
      <c r="MM6" s="43"/>
      <c r="MN6" s="43"/>
      <c r="MO6" s="43"/>
      <c r="MP6" s="43"/>
      <c r="MQ6" s="43"/>
      <c r="MR6" s="43"/>
      <c r="MS6" s="43"/>
      <c r="MT6" s="43"/>
      <c r="MU6" s="43"/>
      <c r="MV6" s="43"/>
      <c r="MW6" s="43"/>
      <c r="MX6" s="43"/>
      <c r="MY6" s="43"/>
      <c r="MZ6" s="43"/>
      <c r="NA6" s="43"/>
      <c r="NB6" s="43"/>
      <c r="NC6" s="43"/>
      <c r="ND6" s="43"/>
      <c r="NE6" s="43"/>
      <c r="NF6" s="43"/>
      <c r="NG6" s="43"/>
      <c r="NH6" s="43"/>
      <c r="NI6" s="43"/>
      <c r="NJ6" s="43"/>
      <c r="NK6" s="43"/>
      <c r="NL6" s="43"/>
      <c r="NM6" s="43"/>
      <c r="NN6" s="43"/>
      <c r="NO6" s="43"/>
      <c r="NP6" s="43"/>
      <c r="NQ6" s="43"/>
      <c r="NR6" s="43"/>
      <c r="NS6" s="43"/>
      <c r="NT6" s="43"/>
      <c r="NU6" s="43"/>
      <c r="NV6" s="43"/>
      <c r="NW6" s="43"/>
      <c r="NX6" s="43"/>
      <c r="NY6" s="43"/>
      <c r="NZ6" s="43"/>
      <c r="OA6" s="43"/>
      <c r="OB6" s="43"/>
      <c r="OC6" s="43"/>
      <c r="OD6" s="43"/>
      <c r="OE6" s="43"/>
      <c r="OF6" s="43"/>
      <c r="OG6" s="43"/>
      <c r="OH6" s="43"/>
      <c r="OI6" s="43"/>
      <c r="OJ6" s="43"/>
      <c r="OK6" s="43"/>
      <c r="OL6" s="43"/>
      <c r="OM6" s="43"/>
      <c r="ON6" s="43"/>
      <c r="OO6" s="43"/>
      <c r="OP6" s="43"/>
      <c r="OQ6" s="43"/>
      <c r="OR6" s="43"/>
      <c r="OS6" s="43"/>
      <c r="OT6" s="43"/>
      <c r="OU6" s="43"/>
      <c r="OV6" s="43"/>
      <c r="OW6" s="43"/>
      <c r="OX6" s="43"/>
      <c r="OY6" s="43"/>
      <c r="OZ6" s="43"/>
      <c r="PA6" s="43"/>
      <c r="PB6" s="43"/>
      <c r="PC6" s="43"/>
      <c r="PD6" s="43"/>
      <c r="PE6" s="43"/>
      <c r="PF6" s="43"/>
      <c r="PG6" s="43"/>
      <c r="PH6" s="43"/>
      <c r="PI6" s="43"/>
      <c r="PJ6" s="43"/>
      <c r="PK6" s="43"/>
      <c r="PL6" s="43"/>
      <c r="PM6" s="43"/>
      <c r="PN6" s="43"/>
      <c r="PO6" s="43"/>
      <c r="PP6" s="43"/>
      <c r="PQ6" s="43"/>
      <c r="PR6" s="43"/>
      <c r="PS6" s="43"/>
      <c r="PT6" s="43"/>
      <c r="PU6" s="43"/>
      <c r="PV6" s="43"/>
      <c r="PW6" s="43"/>
      <c r="PX6" s="43"/>
      <c r="PY6" s="43"/>
      <c r="PZ6" s="43"/>
      <c r="QA6" s="43"/>
      <c r="QB6" s="43"/>
      <c r="QC6" s="43"/>
    </row>
    <row r="7" spans="1:445" x14ac:dyDescent="0.3">
      <c r="A7" s="47" t="s">
        <v>101</v>
      </c>
      <c r="B7" s="45"/>
      <c r="C7" s="45" t="s">
        <v>68</v>
      </c>
      <c r="D7" s="45" t="s">
        <v>77</v>
      </c>
      <c r="E7" s="45"/>
      <c r="F7" s="45">
        <v>300</v>
      </c>
      <c r="G7" s="45"/>
      <c r="H7" s="45"/>
      <c r="I7" s="45"/>
      <c r="J7" s="45"/>
      <c r="K7" s="45"/>
      <c r="L7" s="45"/>
      <c r="M7" s="45"/>
      <c r="N7" s="45"/>
      <c r="O7" s="45">
        <v>120</v>
      </c>
      <c r="P7" s="45"/>
      <c r="Q7" s="45"/>
      <c r="R7" s="45"/>
      <c r="S7" s="45"/>
      <c r="T7" s="45">
        <f t="shared" si="2"/>
        <v>120</v>
      </c>
      <c r="U7" s="45">
        <f t="shared" si="3"/>
        <v>0</v>
      </c>
      <c r="V7" s="68">
        <f t="shared" si="4"/>
        <v>1</v>
      </c>
      <c r="W7" s="49" t="s">
        <v>73</v>
      </c>
      <c r="X7" s="66">
        <f t="shared" si="5"/>
        <v>180</v>
      </c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/>
      <c r="CS7" s="43"/>
      <c r="CT7" s="43"/>
      <c r="CU7" s="43"/>
      <c r="CV7" s="43"/>
      <c r="CW7" s="43"/>
      <c r="CX7" s="43"/>
      <c r="CY7" s="43"/>
      <c r="CZ7" s="43"/>
      <c r="DA7" s="43"/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43"/>
      <c r="DS7" s="43"/>
      <c r="DT7" s="43"/>
      <c r="DU7" s="43"/>
      <c r="DV7" s="43"/>
      <c r="DW7" s="43"/>
      <c r="DX7" s="43"/>
      <c r="DY7" s="43"/>
      <c r="DZ7" s="43"/>
      <c r="EA7" s="43"/>
      <c r="EB7" s="43"/>
      <c r="EC7" s="43"/>
      <c r="ED7" s="43"/>
      <c r="EE7" s="43"/>
      <c r="EF7" s="43"/>
      <c r="EG7" s="43"/>
      <c r="EH7" s="43"/>
      <c r="EI7" s="43"/>
      <c r="EJ7" s="43"/>
      <c r="EK7" s="43"/>
      <c r="EL7" s="43"/>
      <c r="EM7" s="43"/>
      <c r="EN7" s="43"/>
      <c r="EO7" s="43"/>
      <c r="EP7" s="43"/>
      <c r="EQ7" s="43"/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43"/>
      <c r="FI7" s="43"/>
      <c r="FJ7" s="43"/>
      <c r="FK7" s="43"/>
      <c r="FL7" s="43"/>
      <c r="FM7" s="43"/>
      <c r="FN7" s="43"/>
      <c r="FO7" s="43"/>
      <c r="FP7" s="43"/>
      <c r="FQ7" s="43"/>
      <c r="FR7" s="43"/>
      <c r="FS7" s="43"/>
      <c r="FT7" s="43"/>
      <c r="FU7" s="43"/>
      <c r="FV7" s="43"/>
      <c r="FW7" s="43"/>
      <c r="FX7" s="43"/>
      <c r="FY7" s="43"/>
      <c r="FZ7" s="43"/>
      <c r="GA7" s="43"/>
      <c r="GB7" s="43"/>
      <c r="GC7" s="43"/>
      <c r="GD7" s="43"/>
      <c r="GE7" s="43"/>
      <c r="GF7" s="43"/>
      <c r="GG7" s="43"/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43"/>
      <c r="GY7" s="43"/>
      <c r="GZ7" s="43"/>
      <c r="HA7" s="43"/>
      <c r="HB7" s="43"/>
      <c r="HC7" s="43"/>
      <c r="HD7" s="43"/>
      <c r="HE7" s="43"/>
      <c r="HF7" s="43"/>
      <c r="HG7" s="43"/>
      <c r="HH7" s="43"/>
      <c r="HI7" s="43"/>
      <c r="HJ7" s="43"/>
      <c r="HK7" s="43"/>
      <c r="HL7" s="43"/>
      <c r="HM7" s="43"/>
      <c r="HN7" s="43"/>
      <c r="HO7" s="43"/>
      <c r="HP7" s="43"/>
      <c r="HQ7" s="43"/>
      <c r="HR7" s="43"/>
      <c r="HS7" s="43"/>
      <c r="HT7" s="43"/>
      <c r="HU7" s="43"/>
      <c r="HV7" s="43"/>
      <c r="HW7" s="43"/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43"/>
      <c r="IO7" s="43"/>
      <c r="IP7" s="43"/>
      <c r="IQ7" s="43"/>
      <c r="IR7" s="43"/>
      <c r="IS7" s="43"/>
      <c r="IT7" s="43"/>
      <c r="IU7" s="43"/>
      <c r="IV7" s="43"/>
      <c r="IW7" s="43"/>
      <c r="IX7" s="43"/>
      <c r="IY7" s="43"/>
      <c r="IZ7" s="43"/>
      <c r="JA7" s="43"/>
      <c r="JB7" s="43"/>
      <c r="JC7" s="43"/>
      <c r="JD7" s="43"/>
      <c r="JE7" s="43"/>
      <c r="JF7" s="43"/>
      <c r="JG7" s="43"/>
      <c r="JH7" s="43"/>
      <c r="JI7" s="43"/>
      <c r="JJ7" s="43"/>
      <c r="JK7" s="43"/>
      <c r="JL7" s="43"/>
      <c r="JM7" s="43"/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43"/>
      <c r="KE7" s="43"/>
      <c r="KF7" s="43"/>
      <c r="KG7" s="43"/>
      <c r="KH7" s="43"/>
      <c r="KI7" s="43"/>
      <c r="KJ7" s="43"/>
      <c r="KK7" s="43"/>
      <c r="KL7" s="43"/>
      <c r="KM7" s="43"/>
      <c r="KN7" s="43"/>
      <c r="KO7" s="43"/>
      <c r="KP7" s="43"/>
      <c r="KQ7" s="43"/>
      <c r="KR7" s="43"/>
      <c r="KS7" s="43"/>
      <c r="KT7" s="43"/>
      <c r="KU7" s="43"/>
      <c r="KV7" s="43"/>
      <c r="KW7" s="43"/>
      <c r="KX7" s="43"/>
      <c r="KY7" s="43"/>
      <c r="KZ7" s="43"/>
      <c r="LA7" s="43"/>
      <c r="LB7" s="43"/>
      <c r="LC7" s="43"/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43"/>
      <c r="LU7" s="43"/>
      <c r="LV7" s="43"/>
      <c r="LW7" s="43"/>
      <c r="LX7" s="43"/>
      <c r="LY7" s="43"/>
      <c r="LZ7" s="43"/>
      <c r="MA7" s="43"/>
      <c r="MB7" s="43"/>
      <c r="MC7" s="43"/>
      <c r="MD7" s="43"/>
      <c r="ME7" s="43"/>
      <c r="MF7" s="43"/>
      <c r="MG7" s="43"/>
      <c r="MH7" s="43"/>
      <c r="MI7" s="43"/>
      <c r="MJ7" s="43"/>
      <c r="MK7" s="43"/>
      <c r="ML7" s="43"/>
      <c r="MM7" s="43"/>
      <c r="MN7" s="43"/>
      <c r="MO7" s="43"/>
      <c r="MP7" s="43"/>
      <c r="MQ7" s="43"/>
      <c r="MR7" s="43"/>
      <c r="MS7" s="43"/>
      <c r="MT7" s="43"/>
      <c r="MU7" s="43"/>
      <c r="MV7" s="43"/>
      <c r="MW7" s="43"/>
      <c r="MX7" s="43"/>
      <c r="MY7" s="43"/>
      <c r="MZ7" s="43"/>
      <c r="NA7" s="43"/>
      <c r="NB7" s="43"/>
      <c r="NC7" s="43"/>
      <c r="ND7" s="43"/>
      <c r="NE7" s="43"/>
      <c r="NF7" s="43"/>
      <c r="NG7" s="43"/>
      <c r="NH7" s="43"/>
      <c r="NI7" s="43"/>
      <c r="NJ7" s="43"/>
      <c r="NK7" s="43"/>
      <c r="NL7" s="43"/>
      <c r="NM7" s="43"/>
      <c r="NN7" s="43"/>
      <c r="NO7" s="43"/>
      <c r="NP7" s="43"/>
      <c r="NQ7" s="43"/>
      <c r="NR7" s="43"/>
      <c r="NS7" s="43"/>
      <c r="NT7" s="43"/>
      <c r="NU7" s="43"/>
      <c r="NV7" s="43"/>
      <c r="NW7" s="43"/>
      <c r="NX7" s="43"/>
      <c r="NY7" s="43"/>
      <c r="NZ7" s="43"/>
      <c r="OA7" s="43"/>
      <c r="OB7" s="43"/>
      <c r="OC7" s="43"/>
      <c r="OD7" s="43"/>
      <c r="OE7" s="43"/>
      <c r="OF7" s="43"/>
      <c r="OG7" s="43"/>
      <c r="OH7" s="43"/>
      <c r="OI7" s="43"/>
      <c r="OJ7" s="43"/>
      <c r="OK7" s="43"/>
      <c r="OL7" s="43"/>
      <c r="OM7" s="43"/>
      <c r="ON7" s="43"/>
      <c r="OO7" s="43"/>
      <c r="OP7" s="43"/>
      <c r="OQ7" s="43"/>
      <c r="OR7" s="43"/>
      <c r="OS7" s="43"/>
      <c r="OT7" s="43"/>
      <c r="OU7" s="43"/>
      <c r="OV7" s="43"/>
      <c r="OW7" s="43"/>
      <c r="OX7" s="43"/>
      <c r="OY7" s="43"/>
      <c r="OZ7" s="43"/>
      <c r="PA7" s="43"/>
      <c r="PB7" s="43"/>
      <c r="PC7" s="43"/>
      <c r="PD7" s="43"/>
      <c r="PE7" s="43"/>
      <c r="PF7" s="43"/>
      <c r="PG7" s="43"/>
      <c r="PH7" s="43"/>
      <c r="PI7" s="43"/>
      <c r="PJ7" s="43"/>
      <c r="PK7" s="43"/>
      <c r="PL7" s="43"/>
      <c r="PM7" s="43"/>
      <c r="PN7" s="43"/>
      <c r="PO7" s="43"/>
      <c r="PP7" s="43"/>
      <c r="PQ7" s="43"/>
      <c r="PR7" s="43"/>
      <c r="PS7" s="43"/>
      <c r="PT7" s="43"/>
      <c r="PU7" s="43"/>
      <c r="PV7" s="43"/>
      <c r="PW7" s="43"/>
      <c r="PX7" s="43"/>
      <c r="PY7" s="43"/>
      <c r="PZ7" s="43"/>
      <c r="QA7" s="43"/>
      <c r="QB7" s="43"/>
      <c r="QC7" s="43"/>
    </row>
    <row r="8" spans="1:445" x14ac:dyDescent="0.3">
      <c r="A8" s="47" t="s">
        <v>65</v>
      </c>
      <c r="B8" s="45"/>
      <c r="C8" s="45" t="s">
        <v>61</v>
      </c>
      <c r="D8" s="45"/>
      <c r="E8" s="45">
        <v>0</v>
      </c>
      <c r="F8" s="45">
        <v>1170</v>
      </c>
      <c r="G8" s="45">
        <v>40</v>
      </c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>
        <f t="shared" si="2"/>
        <v>40</v>
      </c>
      <c r="U8" s="45">
        <f t="shared" si="3"/>
        <v>0</v>
      </c>
      <c r="V8" s="68">
        <f t="shared" si="4"/>
        <v>1</v>
      </c>
      <c r="W8" s="48" t="s">
        <v>73</v>
      </c>
      <c r="X8" s="66">
        <f t="shared" si="5"/>
        <v>1130</v>
      </c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  <c r="CU8" s="43"/>
      <c r="CV8" s="43"/>
      <c r="CW8" s="43"/>
      <c r="CX8" s="43"/>
      <c r="CY8" s="43"/>
      <c r="CZ8" s="43"/>
      <c r="DA8" s="43"/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43"/>
      <c r="DS8" s="43"/>
      <c r="DT8" s="43"/>
      <c r="DU8" s="43"/>
      <c r="DV8" s="43"/>
      <c r="DW8" s="43"/>
      <c r="DX8" s="43"/>
      <c r="DY8" s="43"/>
      <c r="DZ8" s="43"/>
      <c r="EA8" s="43"/>
      <c r="EB8" s="43"/>
      <c r="EC8" s="43"/>
      <c r="ED8" s="43"/>
      <c r="EE8" s="43"/>
      <c r="EF8" s="43"/>
      <c r="EG8" s="43"/>
      <c r="EH8" s="43"/>
      <c r="EI8" s="43"/>
      <c r="EJ8" s="43"/>
      <c r="EK8" s="43"/>
      <c r="EL8" s="43"/>
      <c r="EM8" s="43"/>
      <c r="EN8" s="43"/>
      <c r="EO8" s="43"/>
      <c r="EP8" s="43"/>
      <c r="EQ8" s="43"/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43"/>
      <c r="FI8" s="43"/>
      <c r="FJ8" s="43"/>
      <c r="FK8" s="43"/>
      <c r="FL8" s="43"/>
      <c r="FM8" s="43"/>
      <c r="FN8" s="43"/>
      <c r="FO8" s="43"/>
      <c r="FP8" s="43"/>
      <c r="FQ8" s="43"/>
      <c r="FR8" s="43"/>
      <c r="FS8" s="43"/>
      <c r="FT8" s="43"/>
      <c r="FU8" s="43"/>
      <c r="FV8" s="43"/>
      <c r="FW8" s="43"/>
      <c r="FX8" s="43"/>
      <c r="FY8" s="43"/>
      <c r="FZ8" s="43"/>
      <c r="GA8" s="43"/>
      <c r="GB8" s="43"/>
      <c r="GC8" s="43"/>
      <c r="GD8" s="43"/>
      <c r="GE8" s="43"/>
      <c r="GF8" s="43"/>
      <c r="GG8" s="43"/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43"/>
      <c r="GY8" s="43"/>
      <c r="GZ8" s="43"/>
      <c r="HA8" s="43"/>
      <c r="HB8" s="43"/>
      <c r="HC8" s="43"/>
      <c r="HD8" s="43"/>
      <c r="HE8" s="43"/>
      <c r="HF8" s="43"/>
      <c r="HG8" s="43"/>
      <c r="HH8" s="43"/>
      <c r="HI8" s="43"/>
      <c r="HJ8" s="43"/>
      <c r="HK8" s="43"/>
      <c r="HL8" s="43"/>
      <c r="HM8" s="43"/>
      <c r="HN8" s="43"/>
      <c r="HO8" s="43"/>
      <c r="HP8" s="43"/>
      <c r="HQ8" s="43"/>
      <c r="HR8" s="43"/>
      <c r="HS8" s="43"/>
      <c r="HT8" s="43"/>
      <c r="HU8" s="43"/>
      <c r="HV8" s="43"/>
      <c r="HW8" s="43"/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43"/>
      <c r="IO8" s="43"/>
      <c r="IP8" s="43"/>
      <c r="IQ8" s="43"/>
      <c r="IR8" s="43"/>
      <c r="IS8" s="43"/>
      <c r="IT8" s="43"/>
      <c r="IU8" s="43"/>
      <c r="IV8" s="43"/>
      <c r="IW8" s="43"/>
      <c r="IX8" s="43"/>
      <c r="IY8" s="43"/>
      <c r="IZ8" s="43"/>
      <c r="JA8" s="43"/>
      <c r="JB8" s="43"/>
      <c r="JC8" s="43"/>
      <c r="JD8" s="43"/>
      <c r="JE8" s="43"/>
      <c r="JF8" s="43"/>
      <c r="JG8" s="43"/>
      <c r="JH8" s="43"/>
      <c r="JI8" s="43"/>
      <c r="JJ8" s="43"/>
      <c r="JK8" s="43"/>
      <c r="JL8" s="43"/>
      <c r="JM8" s="43"/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43"/>
      <c r="KE8" s="43"/>
      <c r="KF8" s="43"/>
      <c r="KG8" s="43"/>
      <c r="KH8" s="43"/>
      <c r="KI8" s="43"/>
      <c r="KJ8" s="43"/>
      <c r="KK8" s="43"/>
      <c r="KL8" s="43"/>
      <c r="KM8" s="43"/>
      <c r="KN8" s="43"/>
      <c r="KO8" s="43"/>
      <c r="KP8" s="43"/>
      <c r="KQ8" s="43"/>
      <c r="KR8" s="43"/>
      <c r="KS8" s="43"/>
      <c r="KT8" s="43"/>
      <c r="KU8" s="43"/>
      <c r="KV8" s="43"/>
      <c r="KW8" s="43"/>
      <c r="KX8" s="43"/>
      <c r="KY8" s="43"/>
      <c r="KZ8" s="43"/>
      <c r="LA8" s="43"/>
      <c r="LB8" s="43"/>
      <c r="LC8" s="43"/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43"/>
      <c r="LU8" s="43"/>
      <c r="LV8" s="43"/>
      <c r="LW8" s="43"/>
      <c r="LX8" s="43"/>
      <c r="LY8" s="43"/>
      <c r="LZ8" s="43"/>
      <c r="MA8" s="43"/>
      <c r="MB8" s="43"/>
      <c r="MC8" s="43"/>
      <c r="MD8" s="43"/>
      <c r="ME8" s="43"/>
      <c r="MF8" s="43"/>
      <c r="MG8" s="43"/>
      <c r="MH8" s="43"/>
      <c r="MI8" s="43"/>
      <c r="MJ8" s="43"/>
      <c r="MK8" s="43"/>
      <c r="ML8" s="43"/>
      <c r="MM8" s="43"/>
      <c r="MN8" s="43"/>
      <c r="MO8" s="43"/>
      <c r="MP8" s="43"/>
      <c r="MQ8" s="43"/>
      <c r="MR8" s="43"/>
      <c r="MS8" s="43"/>
      <c r="MT8" s="43"/>
      <c r="MU8" s="43"/>
      <c r="MV8" s="43"/>
      <c r="MW8" s="43"/>
      <c r="MX8" s="43"/>
      <c r="MY8" s="43"/>
      <c r="MZ8" s="43"/>
      <c r="NA8" s="43"/>
      <c r="NB8" s="43"/>
      <c r="NC8" s="43"/>
      <c r="ND8" s="43"/>
      <c r="NE8" s="43"/>
      <c r="NF8" s="43"/>
      <c r="NG8" s="43"/>
      <c r="NH8" s="43"/>
      <c r="NI8" s="43"/>
      <c r="NJ8" s="43"/>
      <c r="NK8" s="43"/>
      <c r="NL8" s="43"/>
      <c r="NM8" s="43"/>
      <c r="NN8" s="43"/>
      <c r="NO8" s="43"/>
      <c r="NP8" s="43"/>
      <c r="NQ8" s="43"/>
      <c r="NR8" s="43"/>
      <c r="NS8" s="43"/>
      <c r="NT8" s="43"/>
      <c r="NU8" s="43"/>
      <c r="NV8" s="43"/>
      <c r="NW8" s="43"/>
      <c r="NX8" s="43"/>
      <c r="NY8" s="43"/>
      <c r="NZ8" s="43"/>
      <c r="OA8" s="43"/>
      <c r="OB8" s="43"/>
      <c r="OC8" s="43"/>
      <c r="OD8" s="43"/>
      <c r="OE8" s="43"/>
      <c r="OF8" s="43"/>
      <c r="OG8" s="43"/>
      <c r="OH8" s="43"/>
      <c r="OI8" s="43"/>
      <c r="OJ8" s="43"/>
      <c r="OK8" s="43"/>
      <c r="OL8" s="43"/>
      <c r="OM8" s="43"/>
      <c r="ON8" s="43"/>
      <c r="OO8" s="43"/>
      <c r="OP8" s="43"/>
      <c r="OQ8" s="43"/>
      <c r="OR8" s="43"/>
      <c r="OS8" s="43"/>
      <c r="OT8" s="43"/>
      <c r="OU8" s="43"/>
      <c r="OV8" s="43"/>
      <c r="OW8" s="43"/>
      <c r="OX8" s="43"/>
      <c r="OY8" s="43"/>
      <c r="OZ8" s="43"/>
      <c r="PA8" s="43"/>
      <c r="PB8" s="43"/>
      <c r="PC8" s="43"/>
      <c r="PD8" s="43"/>
      <c r="PE8" s="43"/>
      <c r="PF8" s="43"/>
      <c r="PG8" s="43"/>
      <c r="PH8" s="43"/>
      <c r="PI8" s="43"/>
      <c r="PJ8" s="43"/>
      <c r="PK8" s="43"/>
      <c r="PL8" s="43"/>
      <c r="PM8" s="43"/>
      <c r="PN8" s="43"/>
      <c r="PO8" s="43"/>
      <c r="PP8" s="43"/>
      <c r="PQ8" s="43"/>
      <c r="PR8" s="43"/>
      <c r="PS8" s="43"/>
      <c r="PT8" s="43"/>
      <c r="PU8" s="43"/>
      <c r="PV8" s="43"/>
      <c r="PW8" s="43"/>
      <c r="PX8" s="43"/>
      <c r="PY8" s="43"/>
      <c r="PZ8" s="43"/>
      <c r="QA8" s="43"/>
      <c r="QB8" s="43"/>
      <c r="QC8" s="43"/>
    </row>
    <row r="9" spans="1:445" x14ac:dyDescent="0.3">
      <c r="A9" s="47" t="s">
        <v>66</v>
      </c>
      <c r="B9" s="45" t="s">
        <v>96</v>
      </c>
      <c r="C9" s="45" t="s">
        <v>62</v>
      </c>
      <c r="D9" s="45" t="s">
        <v>76</v>
      </c>
      <c r="E9" s="45">
        <v>30</v>
      </c>
      <c r="F9" s="45">
        <v>1170</v>
      </c>
      <c r="G9" s="45"/>
      <c r="H9" s="45">
        <v>65</v>
      </c>
      <c r="I9" s="45">
        <v>130</v>
      </c>
      <c r="J9" s="45">
        <v>130</v>
      </c>
      <c r="K9" s="45">
        <v>130</v>
      </c>
      <c r="L9" s="45">
        <v>130</v>
      </c>
      <c r="M9" s="45">
        <v>130</v>
      </c>
      <c r="N9" s="45">
        <v>130</v>
      </c>
      <c r="O9" s="45">
        <v>130</v>
      </c>
      <c r="P9" s="45">
        <v>195</v>
      </c>
      <c r="Q9" s="45"/>
      <c r="R9" s="45"/>
      <c r="S9" s="45"/>
      <c r="T9" s="45">
        <f t="shared" si="2"/>
        <v>1170</v>
      </c>
      <c r="U9" s="45">
        <f t="shared" si="3"/>
        <v>0</v>
      </c>
      <c r="V9" s="68">
        <f t="shared" si="4"/>
        <v>1.0256410256410255</v>
      </c>
      <c r="X9" s="66" t="str">
        <f t="shared" si="5"/>
        <v/>
      </c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  <c r="CW9" s="43"/>
      <c r="CX9" s="43"/>
      <c r="CY9" s="43"/>
      <c r="CZ9" s="43"/>
      <c r="DA9" s="43"/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43"/>
      <c r="DS9" s="43"/>
      <c r="DT9" s="43"/>
      <c r="DU9" s="43"/>
      <c r="DV9" s="43"/>
      <c r="DW9" s="43"/>
      <c r="DX9" s="43"/>
      <c r="DY9" s="43"/>
      <c r="DZ9" s="43"/>
      <c r="EA9" s="43"/>
      <c r="EB9" s="43"/>
      <c r="EC9" s="43"/>
      <c r="ED9" s="43"/>
      <c r="EE9" s="43"/>
      <c r="EF9" s="43"/>
      <c r="EG9" s="43"/>
      <c r="EH9" s="43"/>
      <c r="EI9" s="43"/>
      <c r="EJ9" s="43"/>
      <c r="EK9" s="43"/>
      <c r="EL9" s="43"/>
      <c r="EM9" s="43"/>
      <c r="EN9" s="43"/>
      <c r="EO9" s="43"/>
      <c r="EP9" s="43"/>
      <c r="EQ9" s="43"/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43"/>
      <c r="FI9" s="43"/>
      <c r="FJ9" s="43"/>
      <c r="FK9" s="43"/>
      <c r="FL9" s="43"/>
      <c r="FM9" s="43"/>
      <c r="FN9" s="43"/>
      <c r="FO9" s="43"/>
      <c r="FP9" s="43"/>
      <c r="FQ9" s="43"/>
      <c r="FR9" s="43"/>
      <c r="FS9" s="43"/>
      <c r="FT9" s="43"/>
      <c r="FU9" s="43"/>
      <c r="FV9" s="43"/>
      <c r="FW9" s="43"/>
      <c r="FX9" s="43"/>
      <c r="FY9" s="43"/>
      <c r="FZ9" s="43"/>
      <c r="GA9" s="43"/>
      <c r="GB9" s="43"/>
      <c r="GC9" s="43"/>
      <c r="GD9" s="43"/>
      <c r="GE9" s="43"/>
      <c r="GF9" s="43"/>
      <c r="GG9" s="43"/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43"/>
      <c r="GY9" s="43"/>
      <c r="GZ9" s="43"/>
      <c r="HA9" s="43"/>
      <c r="HB9" s="43"/>
      <c r="HC9" s="43"/>
      <c r="HD9" s="43"/>
      <c r="HE9" s="43"/>
      <c r="HF9" s="43"/>
      <c r="HG9" s="43"/>
      <c r="HH9" s="43"/>
      <c r="HI9" s="43"/>
      <c r="HJ9" s="43"/>
      <c r="HK9" s="43"/>
      <c r="HL9" s="43"/>
      <c r="HM9" s="43"/>
      <c r="HN9" s="43"/>
      <c r="HO9" s="43"/>
      <c r="HP9" s="43"/>
      <c r="HQ9" s="43"/>
      <c r="HR9" s="43"/>
      <c r="HS9" s="43"/>
      <c r="HT9" s="43"/>
      <c r="HU9" s="43"/>
      <c r="HV9" s="43"/>
      <c r="HW9" s="43"/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43"/>
      <c r="IO9" s="43"/>
      <c r="IP9" s="43"/>
      <c r="IQ9" s="43"/>
      <c r="IR9" s="43"/>
      <c r="IS9" s="43"/>
      <c r="IT9" s="43"/>
      <c r="IU9" s="43"/>
      <c r="IV9" s="43"/>
      <c r="IW9" s="43"/>
      <c r="IX9" s="43"/>
      <c r="IY9" s="43"/>
      <c r="IZ9" s="43"/>
      <c r="JA9" s="43"/>
      <c r="JB9" s="43"/>
      <c r="JC9" s="43"/>
      <c r="JD9" s="43"/>
      <c r="JE9" s="43"/>
      <c r="JF9" s="43"/>
      <c r="JG9" s="43"/>
      <c r="JH9" s="43"/>
      <c r="JI9" s="43"/>
      <c r="JJ9" s="43"/>
      <c r="JK9" s="43"/>
      <c r="JL9" s="43"/>
      <c r="JM9" s="43"/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43"/>
      <c r="KE9" s="43"/>
      <c r="KF9" s="43"/>
      <c r="KG9" s="43"/>
      <c r="KH9" s="43"/>
      <c r="KI9" s="43"/>
      <c r="KJ9" s="43"/>
      <c r="KK9" s="43"/>
      <c r="KL9" s="43"/>
      <c r="KM9" s="43"/>
      <c r="KN9" s="43"/>
      <c r="KO9" s="43"/>
      <c r="KP9" s="43"/>
      <c r="KQ9" s="43"/>
      <c r="KR9" s="43"/>
      <c r="KS9" s="43"/>
      <c r="KT9" s="43"/>
      <c r="KU9" s="43"/>
      <c r="KV9" s="43"/>
      <c r="KW9" s="43"/>
      <c r="KX9" s="43"/>
      <c r="KY9" s="43"/>
      <c r="KZ9" s="43"/>
      <c r="LA9" s="43"/>
      <c r="LB9" s="43"/>
      <c r="LC9" s="43"/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43"/>
      <c r="LU9" s="43"/>
      <c r="LV9" s="43"/>
      <c r="LW9" s="43"/>
      <c r="LX9" s="43"/>
      <c r="LY9" s="43"/>
      <c r="LZ9" s="43"/>
      <c r="MA9" s="43"/>
      <c r="MB9" s="43"/>
      <c r="MC9" s="43"/>
      <c r="MD9" s="43"/>
      <c r="ME9" s="43"/>
      <c r="MF9" s="43"/>
      <c r="MG9" s="43"/>
      <c r="MH9" s="43"/>
      <c r="MI9" s="43"/>
      <c r="MJ9" s="43"/>
      <c r="MK9" s="43"/>
      <c r="ML9" s="43"/>
      <c r="MM9" s="43"/>
      <c r="MN9" s="43"/>
      <c r="MO9" s="43"/>
      <c r="MP9" s="43"/>
      <c r="MQ9" s="43"/>
      <c r="MR9" s="43"/>
      <c r="MS9" s="43"/>
      <c r="MT9" s="43"/>
      <c r="MU9" s="43"/>
      <c r="MV9" s="43"/>
      <c r="MW9" s="43"/>
      <c r="MX9" s="43"/>
      <c r="MY9" s="43"/>
      <c r="MZ9" s="43"/>
      <c r="NA9" s="43"/>
      <c r="NB9" s="43"/>
      <c r="NC9" s="43"/>
      <c r="ND9" s="43"/>
      <c r="NE9" s="43"/>
      <c r="NF9" s="43"/>
      <c r="NG9" s="43"/>
      <c r="NH9" s="43"/>
      <c r="NI9" s="43"/>
      <c r="NJ9" s="43"/>
      <c r="NK9" s="43"/>
      <c r="NL9" s="43"/>
      <c r="NM9" s="43"/>
      <c r="NN9" s="43"/>
      <c r="NO9" s="43"/>
      <c r="NP9" s="43"/>
      <c r="NQ9" s="43"/>
      <c r="NR9" s="43"/>
      <c r="NS9" s="43"/>
      <c r="NT9" s="43"/>
      <c r="NU9" s="43"/>
      <c r="NV9" s="43"/>
      <c r="NW9" s="43"/>
      <c r="NX9" s="43"/>
      <c r="NY9" s="43"/>
      <c r="NZ9" s="43"/>
      <c r="OA9" s="43"/>
      <c r="OB9" s="43"/>
      <c r="OC9" s="43"/>
      <c r="OD9" s="43"/>
      <c r="OE9" s="43"/>
      <c r="OF9" s="43"/>
      <c r="OG9" s="43"/>
      <c r="OH9" s="43"/>
      <c r="OI9" s="43"/>
      <c r="OJ9" s="43"/>
      <c r="OK9" s="43"/>
      <c r="OL9" s="43"/>
      <c r="OM9" s="43"/>
      <c r="ON9" s="43"/>
      <c r="OO9" s="43"/>
      <c r="OP9" s="43"/>
      <c r="OQ9" s="43"/>
      <c r="OR9" s="43"/>
      <c r="OS9" s="43"/>
      <c r="OT9" s="43"/>
      <c r="OU9" s="43"/>
      <c r="OV9" s="43"/>
      <c r="OW9" s="43"/>
      <c r="OX9" s="43"/>
      <c r="OY9" s="43"/>
      <c r="OZ9" s="43"/>
      <c r="PA9" s="43"/>
      <c r="PB9" s="43"/>
      <c r="PC9" s="43"/>
      <c r="PD9" s="43"/>
      <c r="PE9" s="43"/>
      <c r="PF9" s="43"/>
      <c r="PG9" s="43"/>
      <c r="PH9" s="43"/>
      <c r="PI9" s="43"/>
      <c r="PJ9" s="43"/>
      <c r="PK9" s="43"/>
      <c r="PL9" s="43"/>
      <c r="PM9" s="43"/>
      <c r="PN9" s="43"/>
      <c r="PO9" s="43"/>
      <c r="PP9" s="43"/>
      <c r="PQ9" s="43"/>
      <c r="PR9" s="43"/>
      <c r="PS9" s="43"/>
      <c r="PT9" s="43"/>
      <c r="PU9" s="43"/>
      <c r="PV9" s="43"/>
      <c r="PW9" s="43"/>
      <c r="PX9" s="43"/>
      <c r="PY9" s="43"/>
      <c r="PZ9" s="43"/>
      <c r="QA9" s="43"/>
      <c r="QB9" s="43"/>
      <c r="QC9" s="43"/>
    </row>
    <row r="10" spans="1:445" x14ac:dyDescent="0.3">
      <c r="A10" s="47" t="s">
        <v>91</v>
      </c>
      <c r="B10" s="45" t="s">
        <v>73</v>
      </c>
      <c r="C10" s="45" t="s">
        <v>57</v>
      </c>
      <c r="D10" s="45" t="s">
        <v>75</v>
      </c>
      <c r="E10" s="45">
        <v>60</v>
      </c>
      <c r="F10" s="45">
        <v>1620</v>
      </c>
      <c r="G10" s="45"/>
      <c r="H10" s="45">
        <v>180</v>
      </c>
      <c r="I10" s="45">
        <v>180</v>
      </c>
      <c r="J10" s="45">
        <v>180</v>
      </c>
      <c r="K10" s="45">
        <v>180</v>
      </c>
      <c r="L10" s="45">
        <v>180</v>
      </c>
      <c r="M10" s="45">
        <v>180</v>
      </c>
      <c r="N10" s="45">
        <v>180</v>
      </c>
      <c r="O10" s="45">
        <v>180</v>
      </c>
      <c r="P10" s="45">
        <v>180</v>
      </c>
      <c r="Q10" s="45"/>
      <c r="R10" s="45"/>
      <c r="S10" s="45"/>
      <c r="T10" s="45">
        <f t="shared" si="2"/>
        <v>1620</v>
      </c>
      <c r="U10" s="45">
        <f t="shared" si="3"/>
        <v>0</v>
      </c>
      <c r="V10" s="68">
        <f t="shared" si="4"/>
        <v>1.037037037037037</v>
      </c>
      <c r="X10" s="66" t="str">
        <f t="shared" si="5"/>
        <v/>
      </c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  <c r="CU10" s="43"/>
      <c r="CV10" s="43"/>
      <c r="CW10" s="43"/>
      <c r="CX10" s="43"/>
      <c r="CY10" s="43"/>
      <c r="CZ10" s="43"/>
      <c r="DA10" s="43"/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43"/>
      <c r="DS10" s="43"/>
      <c r="DT10" s="43"/>
      <c r="DU10" s="43"/>
      <c r="DV10" s="43"/>
      <c r="DW10" s="43"/>
      <c r="DX10" s="43"/>
      <c r="DY10" s="43"/>
      <c r="DZ10" s="43"/>
      <c r="EA10" s="43"/>
      <c r="EB10" s="43"/>
      <c r="EC10" s="43"/>
      <c r="ED10" s="43"/>
      <c r="EE10" s="43"/>
      <c r="EF10" s="43"/>
      <c r="EG10" s="43"/>
      <c r="EH10" s="43"/>
      <c r="EI10" s="43"/>
      <c r="EJ10" s="43"/>
      <c r="EK10" s="43"/>
      <c r="EL10" s="43"/>
      <c r="EM10" s="43"/>
      <c r="EN10" s="43"/>
      <c r="EO10" s="43"/>
      <c r="EP10" s="43"/>
      <c r="EQ10" s="43"/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43"/>
      <c r="FI10" s="43"/>
      <c r="FJ10" s="43"/>
      <c r="FK10" s="43"/>
      <c r="FL10" s="43"/>
      <c r="FM10" s="43"/>
      <c r="FN10" s="43"/>
      <c r="FO10" s="43"/>
      <c r="FP10" s="43"/>
      <c r="FQ10" s="43"/>
      <c r="FR10" s="43"/>
      <c r="FS10" s="43"/>
      <c r="FT10" s="43"/>
      <c r="FU10" s="43"/>
      <c r="FV10" s="43"/>
      <c r="FW10" s="43"/>
      <c r="FX10" s="43"/>
      <c r="FY10" s="43"/>
      <c r="FZ10" s="43"/>
      <c r="GA10" s="43"/>
      <c r="GB10" s="43"/>
      <c r="GC10" s="43"/>
      <c r="GD10" s="43"/>
      <c r="GE10" s="43"/>
      <c r="GF10" s="43"/>
      <c r="GG10" s="43"/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43"/>
      <c r="GY10" s="43"/>
      <c r="GZ10" s="43"/>
      <c r="HA10" s="43"/>
      <c r="HB10" s="43"/>
      <c r="HC10" s="43"/>
      <c r="HD10" s="43"/>
      <c r="HE10" s="43"/>
      <c r="HF10" s="43"/>
      <c r="HG10" s="43"/>
      <c r="HH10" s="43"/>
      <c r="HI10" s="43"/>
      <c r="HJ10" s="43"/>
      <c r="HK10" s="43"/>
      <c r="HL10" s="43"/>
      <c r="HM10" s="43"/>
      <c r="HN10" s="43"/>
      <c r="HO10" s="43"/>
      <c r="HP10" s="43"/>
      <c r="HQ10" s="43"/>
      <c r="HR10" s="43"/>
      <c r="HS10" s="43"/>
      <c r="HT10" s="43"/>
      <c r="HU10" s="43"/>
      <c r="HV10" s="43"/>
      <c r="HW10" s="43"/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43"/>
      <c r="IO10" s="43"/>
      <c r="IP10" s="43"/>
      <c r="IQ10" s="43"/>
      <c r="IR10" s="43"/>
      <c r="IS10" s="43"/>
      <c r="IT10" s="43"/>
      <c r="IU10" s="43"/>
      <c r="IV10" s="43"/>
      <c r="IW10" s="43"/>
      <c r="IX10" s="43"/>
      <c r="IY10" s="43"/>
      <c r="IZ10" s="43"/>
      <c r="JA10" s="43"/>
      <c r="JB10" s="43"/>
      <c r="JC10" s="43"/>
      <c r="JD10" s="43"/>
      <c r="JE10" s="43"/>
      <c r="JF10" s="43"/>
      <c r="JG10" s="43"/>
      <c r="JH10" s="43"/>
      <c r="JI10" s="43"/>
      <c r="JJ10" s="43"/>
      <c r="JK10" s="43"/>
      <c r="JL10" s="43"/>
      <c r="JM10" s="43"/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43"/>
      <c r="KE10" s="43"/>
      <c r="KF10" s="43"/>
      <c r="KG10" s="43"/>
      <c r="KH10" s="43"/>
      <c r="KI10" s="43"/>
      <c r="KJ10" s="43"/>
      <c r="KK10" s="43"/>
      <c r="KL10" s="43"/>
      <c r="KM10" s="43"/>
      <c r="KN10" s="43"/>
      <c r="KO10" s="43"/>
      <c r="KP10" s="43"/>
      <c r="KQ10" s="43"/>
      <c r="KR10" s="43"/>
      <c r="KS10" s="43"/>
      <c r="KT10" s="43"/>
      <c r="KU10" s="43"/>
      <c r="KV10" s="43"/>
      <c r="KW10" s="43"/>
      <c r="KX10" s="43"/>
      <c r="KY10" s="43"/>
      <c r="KZ10" s="43"/>
      <c r="LA10" s="43"/>
      <c r="LB10" s="43"/>
      <c r="LC10" s="43"/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43"/>
      <c r="LU10" s="43"/>
      <c r="LV10" s="43"/>
      <c r="LW10" s="43"/>
      <c r="LX10" s="43"/>
      <c r="LY10" s="43"/>
      <c r="LZ10" s="43"/>
      <c r="MA10" s="43"/>
      <c r="MB10" s="43"/>
      <c r="MC10" s="43"/>
      <c r="MD10" s="43"/>
      <c r="ME10" s="43"/>
      <c r="MF10" s="43"/>
      <c r="MG10" s="43"/>
      <c r="MH10" s="43"/>
      <c r="MI10" s="43"/>
      <c r="MJ10" s="43"/>
      <c r="MK10" s="43"/>
      <c r="ML10" s="43"/>
      <c r="MM10" s="43"/>
      <c r="MN10" s="43"/>
      <c r="MO10" s="43"/>
      <c r="MP10" s="43"/>
      <c r="MQ10" s="43"/>
      <c r="MR10" s="43"/>
      <c r="MS10" s="43"/>
      <c r="MT10" s="43"/>
      <c r="MU10" s="43"/>
      <c r="MV10" s="43"/>
      <c r="MW10" s="43"/>
      <c r="MX10" s="43"/>
      <c r="MY10" s="43"/>
      <c r="MZ10" s="43"/>
      <c r="NA10" s="43"/>
      <c r="NB10" s="43"/>
      <c r="NC10" s="43"/>
      <c r="ND10" s="43"/>
      <c r="NE10" s="43"/>
      <c r="NF10" s="43"/>
      <c r="NG10" s="43"/>
      <c r="NH10" s="43"/>
      <c r="NI10" s="43"/>
      <c r="NJ10" s="43"/>
      <c r="NK10" s="43"/>
      <c r="NL10" s="43"/>
      <c r="NM10" s="43"/>
      <c r="NN10" s="43"/>
      <c r="NO10" s="43"/>
      <c r="NP10" s="43"/>
      <c r="NQ10" s="43"/>
      <c r="NR10" s="43"/>
      <c r="NS10" s="43"/>
      <c r="NT10" s="43"/>
      <c r="NU10" s="43"/>
      <c r="NV10" s="43"/>
      <c r="NW10" s="43"/>
      <c r="NX10" s="43"/>
      <c r="NY10" s="43"/>
      <c r="NZ10" s="43"/>
      <c r="OA10" s="43"/>
      <c r="OB10" s="43"/>
      <c r="OC10" s="43"/>
      <c r="OD10" s="43"/>
      <c r="OE10" s="43"/>
      <c r="OF10" s="43"/>
      <c r="OG10" s="43"/>
      <c r="OH10" s="43"/>
      <c r="OI10" s="43"/>
      <c r="OJ10" s="43"/>
      <c r="OK10" s="43"/>
      <c r="OL10" s="43"/>
      <c r="OM10" s="43"/>
      <c r="ON10" s="43"/>
      <c r="OO10" s="43"/>
      <c r="OP10" s="43"/>
      <c r="OQ10" s="43"/>
      <c r="OR10" s="43"/>
      <c r="OS10" s="43"/>
      <c r="OT10" s="43"/>
      <c r="OU10" s="43"/>
      <c r="OV10" s="43"/>
      <c r="OW10" s="43"/>
      <c r="OX10" s="43"/>
      <c r="OY10" s="43"/>
      <c r="OZ10" s="43"/>
      <c r="PA10" s="43"/>
      <c r="PB10" s="43"/>
      <c r="PC10" s="43"/>
      <c r="PD10" s="43"/>
      <c r="PE10" s="43"/>
      <c r="PF10" s="43"/>
      <c r="PG10" s="43"/>
      <c r="PH10" s="43"/>
      <c r="PI10" s="43"/>
      <c r="PJ10" s="43"/>
      <c r="PK10" s="43"/>
      <c r="PL10" s="43"/>
      <c r="PM10" s="43"/>
      <c r="PN10" s="43"/>
      <c r="PO10" s="43"/>
      <c r="PP10" s="43"/>
      <c r="PQ10" s="43"/>
      <c r="PR10" s="43"/>
      <c r="PS10" s="43"/>
      <c r="PT10" s="43"/>
      <c r="PU10" s="43"/>
      <c r="PV10" s="43"/>
      <c r="PW10" s="43"/>
      <c r="PX10" s="43"/>
      <c r="PY10" s="43"/>
      <c r="PZ10" s="43"/>
      <c r="QA10" s="43"/>
      <c r="QB10" s="43"/>
      <c r="QC10" s="43"/>
    </row>
    <row r="11" spans="1:445" ht="16.5" customHeight="1" x14ac:dyDescent="0.3">
      <c r="A11" s="47" t="s">
        <v>28</v>
      </c>
      <c r="B11" s="45" t="s">
        <v>73</v>
      </c>
      <c r="C11" s="45" t="s">
        <v>60</v>
      </c>
      <c r="D11" s="45" t="s">
        <v>78</v>
      </c>
      <c r="E11" s="45">
        <v>60</v>
      </c>
      <c r="F11" s="45">
        <v>1170</v>
      </c>
      <c r="G11" s="45"/>
      <c r="H11" s="45">
        <v>130</v>
      </c>
      <c r="I11" s="45">
        <v>130</v>
      </c>
      <c r="J11" s="45">
        <v>130</v>
      </c>
      <c r="K11" s="45">
        <v>130</v>
      </c>
      <c r="L11" s="45">
        <v>130</v>
      </c>
      <c r="M11" s="45">
        <v>130</v>
      </c>
      <c r="N11" s="45">
        <v>130</v>
      </c>
      <c r="O11" s="45">
        <v>130</v>
      </c>
      <c r="P11" s="45">
        <v>130</v>
      </c>
      <c r="Q11" s="45"/>
      <c r="R11" s="45"/>
      <c r="S11" s="45"/>
      <c r="T11" s="45">
        <f t="shared" si="2"/>
        <v>1170</v>
      </c>
      <c r="U11" s="45">
        <f t="shared" si="3"/>
        <v>0</v>
      </c>
      <c r="V11" s="68">
        <f t="shared" si="4"/>
        <v>1.0512820512820513</v>
      </c>
      <c r="W11" s="48"/>
      <c r="X11" s="66" t="str">
        <f t="shared" si="5"/>
        <v/>
      </c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  <c r="CW11" s="43"/>
      <c r="CX11" s="43"/>
      <c r="CY11" s="43"/>
      <c r="CZ11" s="43"/>
      <c r="DA11" s="43"/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43"/>
      <c r="DS11" s="43"/>
      <c r="DT11" s="43"/>
      <c r="DU11" s="43"/>
      <c r="DV11" s="43"/>
      <c r="DW11" s="43"/>
      <c r="DX11" s="43"/>
      <c r="DY11" s="43"/>
      <c r="DZ11" s="43"/>
      <c r="EA11" s="43"/>
      <c r="EB11" s="43"/>
      <c r="EC11" s="43"/>
      <c r="ED11" s="43"/>
      <c r="EE11" s="43"/>
      <c r="EF11" s="43"/>
      <c r="EG11" s="43"/>
      <c r="EH11" s="43"/>
      <c r="EI11" s="43"/>
      <c r="EJ11" s="43"/>
      <c r="EK11" s="43"/>
      <c r="EL11" s="43"/>
      <c r="EM11" s="43"/>
      <c r="EN11" s="43"/>
      <c r="EO11" s="43"/>
      <c r="EP11" s="43"/>
      <c r="EQ11" s="43"/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43"/>
      <c r="FI11" s="43"/>
      <c r="FJ11" s="43"/>
      <c r="FK11" s="43"/>
      <c r="FL11" s="43"/>
      <c r="FM11" s="43"/>
      <c r="FN11" s="43"/>
      <c r="FO11" s="43"/>
      <c r="FP11" s="43"/>
      <c r="FQ11" s="43"/>
      <c r="FR11" s="43"/>
      <c r="FS11" s="43"/>
      <c r="FT11" s="43"/>
      <c r="FU11" s="43"/>
      <c r="FV11" s="43"/>
      <c r="FW11" s="43"/>
      <c r="FX11" s="43"/>
      <c r="FY11" s="43"/>
      <c r="FZ11" s="43"/>
      <c r="GA11" s="43"/>
      <c r="GB11" s="43"/>
      <c r="GC11" s="43"/>
      <c r="GD11" s="43"/>
      <c r="GE11" s="43"/>
      <c r="GF11" s="43"/>
      <c r="GG11" s="43"/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43"/>
      <c r="GY11" s="43"/>
      <c r="GZ11" s="43"/>
      <c r="HA11" s="43"/>
      <c r="HB11" s="43"/>
      <c r="HC11" s="43"/>
      <c r="HD11" s="43"/>
      <c r="HE11" s="43"/>
      <c r="HF11" s="43"/>
      <c r="HG11" s="43"/>
      <c r="HH11" s="43"/>
      <c r="HI11" s="43"/>
      <c r="HJ11" s="43"/>
      <c r="HK11" s="43"/>
      <c r="HL11" s="43"/>
      <c r="HM11" s="43"/>
      <c r="HN11" s="43"/>
      <c r="HO11" s="43"/>
      <c r="HP11" s="43"/>
      <c r="HQ11" s="43"/>
      <c r="HR11" s="43"/>
      <c r="HS11" s="43"/>
      <c r="HT11" s="43"/>
      <c r="HU11" s="43"/>
      <c r="HV11" s="43"/>
      <c r="HW11" s="43"/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43"/>
      <c r="IO11" s="43"/>
      <c r="IP11" s="43"/>
      <c r="IQ11" s="43"/>
      <c r="IR11" s="43"/>
      <c r="IS11" s="43"/>
      <c r="IT11" s="43"/>
      <c r="IU11" s="43"/>
      <c r="IV11" s="43"/>
      <c r="IW11" s="43"/>
      <c r="IX11" s="43"/>
      <c r="IY11" s="43"/>
      <c r="IZ11" s="43"/>
      <c r="JA11" s="43"/>
      <c r="JB11" s="43"/>
      <c r="JC11" s="43"/>
      <c r="JD11" s="43"/>
      <c r="JE11" s="43"/>
      <c r="JF11" s="43"/>
      <c r="JG11" s="43"/>
      <c r="JH11" s="43"/>
      <c r="JI11" s="43"/>
      <c r="JJ11" s="43"/>
      <c r="JK11" s="43"/>
      <c r="JL11" s="43"/>
      <c r="JM11" s="43"/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43"/>
      <c r="KE11" s="43"/>
      <c r="KF11" s="43"/>
      <c r="KG11" s="43"/>
      <c r="KH11" s="43"/>
      <c r="KI11" s="43"/>
      <c r="KJ11" s="43"/>
      <c r="KK11" s="43"/>
      <c r="KL11" s="43"/>
      <c r="KM11" s="43"/>
      <c r="KN11" s="43"/>
      <c r="KO11" s="43"/>
      <c r="KP11" s="43"/>
      <c r="KQ11" s="43"/>
      <c r="KR11" s="43"/>
      <c r="KS11" s="43"/>
      <c r="KT11" s="43"/>
      <c r="KU11" s="43"/>
      <c r="KV11" s="43"/>
      <c r="KW11" s="43"/>
      <c r="KX11" s="43"/>
      <c r="KY11" s="43"/>
      <c r="KZ11" s="43"/>
      <c r="LA11" s="43"/>
      <c r="LB11" s="43"/>
      <c r="LC11" s="43"/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43"/>
      <c r="LU11" s="43"/>
      <c r="LV11" s="43"/>
      <c r="LW11" s="43"/>
      <c r="LX11" s="43"/>
      <c r="LY11" s="43"/>
      <c r="LZ11" s="43"/>
      <c r="MA11" s="43"/>
      <c r="MB11" s="43"/>
      <c r="MC11" s="43"/>
      <c r="MD11" s="43"/>
      <c r="ME11" s="43"/>
      <c r="MF11" s="43"/>
      <c r="MG11" s="43"/>
      <c r="MH11" s="43"/>
      <c r="MI11" s="43"/>
      <c r="MJ11" s="43"/>
      <c r="MK11" s="43"/>
      <c r="ML11" s="43"/>
      <c r="MM11" s="43"/>
      <c r="MN11" s="43"/>
      <c r="MO11" s="43"/>
      <c r="MP11" s="43"/>
      <c r="MQ11" s="43"/>
      <c r="MR11" s="43"/>
      <c r="MS11" s="43"/>
      <c r="MT11" s="43"/>
      <c r="MU11" s="43"/>
      <c r="MV11" s="43"/>
      <c r="MW11" s="43"/>
      <c r="MX11" s="43"/>
      <c r="MY11" s="43"/>
      <c r="MZ11" s="43"/>
      <c r="NA11" s="43"/>
      <c r="NB11" s="43"/>
      <c r="NC11" s="43"/>
      <c r="ND11" s="43"/>
      <c r="NE11" s="43"/>
      <c r="NF11" s="43"/>
      <c r="NG11" s="43"/>
      <c r="NH11" s="43"/>
      <c r="NI11" s="43"/>
      <c r="NJ11" s="43"/>
      <c r="NK11" s="43"/>
      <c r="NL11" s="43"/>
      <c r="NM11" s="43"/>
      <c r="NN11" s="43"/>
      <c r="NO11" s="43"/>
      <c r="NP11" s="43"/>
      <c r="NQ11" s="43"/>
      <c r="NR11" s="43"/>
      <c r="NS11" s="43"/>
      <c r="NT11" s="43"/>
      <c r="NU11" s="43"/>
      <c r="NV11" s="43"/>
      <c r="NW11" s="43"/>
      <c r="NX11" s="43"/>
      <c r="NY11" s="43"/>
      <c r="NZ11" s="43"/>
      <c r="OA11" s="43"/>
      <c r="OB11" s="43"/>
      <c r="OC11" s="43"/>
      <c r="OD11" s="43"/>
      <c r="OE11" s="43"/>
      <c r="OF11" s="43"/>
      <c r="OG11" s="43"/>
      <c r="OH11" s="43"/>
      <c r="OI11" s="43"/>
      <c r="OJ11" s="43"/>
      <c r="OK11" s="43"/>
      <c r="OL11" s="43"/>
      <c r="OM11" s="43"/>
      <c r="ON11" s="43"/>
      <c r="OO11" s="43"/>
      <c r="OP11" s="43"/>
      <c r="OQ11" s="43"/>
      <c r="OR11" s="43"/>
      <c r="OS11" s="43"/>
      <c r="OT11" s="43"/>
      <c r="OU11" s="43"/>
      <c r="OV11" s="43"/>
      <c r="OW11" s="43"/>
      <c r="OX11" s="43"/>
      <c r="OY11" s="43"/>
      <c r="OZ11" s="43"/>
      <c r="PA11" s="43"/>
      <c r="PB11" s="43"/>
      <c r="PC11" s="43"/>
      <c r="PD11" s="43"/>
      <c r="PE11" s="43"/>
      <c r="PF11" s="43"/>
      <c r="PG11" s="43"/>
      <c r="PH11" s="43"/>
      <c r="PI11" s="43"/>
      <c r="PJ11" s="43"/>
      <c r="PK11" s="43"/>
      <c r="PL11" s="43"/>
      <c r="PM11" s="43"/>
      <c r="PN11" s="43"/>
      <c r="PO11" s="43"/>
      <c r="PP11" s="43"/>
      <c r="PQ11" s="43"/>
      <c r="PR11" s="43"/>
      <c r="PS11" s="43"/>
      <c r="PT11" s="43"/>
      <c r="PU11" s="43"/>
      <c r="PV11" s="43"/>
      <c r="PW11" s="43"/>
      <c r="PX11" s="43"/>
      <c r="PY11" s="43"/>
      <c r="PZ11" s="43"/>
      <c r="QA11" s="43"/>
      <c r="QB11" s="43"/>
      <c r="QC11" s="43"/>
    </row>
    <row r="12" spans="1:445" ht="16.5" customHeight="1" x14ac:dyDescent="0.3">
      <c r="A12" s="47" t="s">
        <v>42</v>
      </c>
      <c r="B12" s="45"/>
      <c r="C12" s="45" t="s">
        <v>61</v>
      </c>
      <c r="D12" s="45" t="s">
        <v>76</v>
      </c>
      <c r="E12" s="45">
        <v>20</v>
      </c>
      <c r="F12" s="45">
        <v>1080</v>
      </c>
      <c r="G12" s="45"/>
      <c r="H12" s="45">
        <v>60</v>
      </c>
      <c r="I12" s="45">
        <v>120</v>
      </c>
      <c r="J12" s="45">
        <v>120</v>
      </c>
      <c r="K12" s="45">
        <v>120</v>
      </c>
      <c r="L12" s="45">
        <v>120</v>
      </c>
      <c r="M12" s="45">
        <v>120</v>
      </c>
      <c r="N12" s="45">
        <v>120</v>
      </c>
      <c r="O12" s="45">
        <v>120</v>
      </c>
      <c r="P12" s="45">
        <v>120</v>
      </c>
      <c r="Q12" s="45"/>
      <c r="R12" s="45"/>
      <c r="S12" s="45"/>
      <c r="T12" s="45">
        <f t="shared" si="2"/>
        <v>1020</v>
      </c>
      <c r="U12" s="45">
        <f t="shared" si="3"/>
        <v>60</v>
      </c>
      <c r="V12" s="68">
        <f t="shared" si="4"/>
        <v>0.96296296296296291</v>
      </c>
      <c r="X12" s="66" t="str">
        <f t="shared" si="5"/>
        <v/>
      </c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3"/>
      <c r="EM12" s="43"/>
      <c r="EN12" s="43"/>
      <c r="EO12" s="43"/>
      <c r="EP12" s="43"/>
      <c r="EQ12" s="43"/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43"/>
      <c r="FI12" s="43"/>
      <c r="FJ12" s="43"/>
      <c r="FK12" s="43"/>
      <c r="FL12" s="43"/>
      <c r="FM12" s="43"/>
      <c r="FN12" s="43"/>
      <c r="FO12" s="43"/>
      <c r="FP12" s="43"/>
      <c r="FQ12" s="43"/>
      <c r="FR12" s="43"/>
      <c r="FS12" s="43"/>
      <c r="FT12" s="43"/>
      <c r="FU12" s="43"/>
      <c r="FV12" s="43"/>
      <c r="FW12" s="43"/>
      <c r="FX12" s="43"/>
      <c r="FY12" s="43"/>
      <c r="FZ12" s="43"/>
      <c r="GA12" s="43"/>
      <c r="GB12" s="43"/>
      <c r="GC12" s="43"/>
      <c r="GD12" s="43"/>
      <c r="GE12" s="43"/>
      <c r="GF12" s="43"/>
      <c r="GG12" s="43"/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43"/>
      <c r="GY12" s="43"/>
      <c r="GZ12" s="43"/>
      <c r="HA12" s="43"/>
      <c r="HB12" s="43"/>
      <c r="HC12" s="43"/>
      <c r="HD12" s="43"/>
      <c r="HE12" s="43"/>
      <c r="HF12" s="43"/>
      <c r="HG12" s="43"/>
      <c r="HH12" s="43"/>
      <c r="HI12" s="43"/>
      <c r="HJ12" s="43"/>
      <c r="HK12" s="43"/>
      <c r="HL12" s="43"/>
      <c r="HM12" s="43"/>
      <c r="HN12" s="43"/>
      <c r="HO12" s="43"/>
      <c r="HP12" s="43"/>
      <c r="HQ12" s="43"/>
      <c r="HR12" s="43"/>
      <c r="HS12" s="43"/>
      <c r="HT12" s="43"/>
      <c r="HU12" s="43"/>
      <c r="HV12" s="43"/>
      <c r="HW12" s="43"/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43"/>
      <c r="IO12" s="43"/>
      <c r="IP12" s="43"/>
      <c r="IQ12" s="43"/>
      <c r="IR12" s="43"/>
      <c r="IS12" s="43"/>
      <c r="IT12" s="43"/>
      <c r="IU12" s="43"/>
      <c r="IV12" s="43"/>
      <c r="IW12" s="43"/>
      <c r="IX12" s="43"/>
      <c r="IY12" s="43"/>
      <c r="IZ12" s="43"/>
      <c r="JA12" s="43"/>
      <c r="JB12" s="43"/>
      <c r="JC12" s="43"/>
      <c r="JD12" s="43"/>
      <c r="JE12" s="43"/>
      <c r="JF12" s="43"/>
      <c r="JG12" s="43"/>
      <c r="JH12" s="43"/>
      <c r="JI12" s="43"/>
      <c r="JJ12" s="43"/>
      <c r="JK12" s="43"/>
      <c r="JL12" s="43"/>
      <c r="JM12" s="43"/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43"/>
      <c r="KE12" s="43"/>
      <c r="KF12" s="43"/>
      <c r="KG12" s="43"/>
      <c r="KH12" s="43"/>
      <c r="KI12" s="43"/>
      <c r="KJ12" s="43"/>
      <c r="KK12" s="43"/>
      <c r="KL12" s="43"/>
      <c r="KM12" s="43"/>
      <c r="KN12" s="43"/>
      <c r="KO12" s="43"/>
      <c r="KP12" s="43"/>
      <c r="KQ12" s="43"/>
      <c r="KR12" s="43"/>
      <c r="KS12" s="43"/>
      <c r="KT12" s="43"/>
      <c r="KU12" s="43"/>
      <c r="KV12" s="43"/>
      <c r="KW12" s="43"/>
      <c r="KX12" s="43"/>
      <c r="KY12" s="43"/>
      <c r="KZ12" s="43"/>
      <c r="LA12" s="43"/>
      <c r="LB12" s="43"/>
      <c r="LC12" s="43"/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43"/>
      <c r="LU12" s="43"/>
      <c r="LV12" s="43"/>
      <c r="LW12" s="43"/>
      <c r="LX12" s="43"/>
      <c r="LY12" s="43"/>
      <c r="LZ12" s="43"/>
      <c r="MA12" s="43"/>
      <c r="MB12" s="43"/>
      <c r="MC12" s="43"/>
      <c r="MD12" s="43"/>
      <c r="ME12" s="43"/>
      <c r="MF12" s="43"/>
      <c r="MG12" s="43"/>
      <c r="MH12" s="43"/>
      <c r="MI12" s="43"/>
      <c r="MJ12" s="43"/>
      <c r="MK12" s="43"/>
      <c r="ML12" s="43"/>
      <c r="MM12" s="43"/>
      <c r="MN12" s="43"/>
      <c r="MO12" s="43"/>
      <c r="MP12" s="43"/>
      <c r="MQ12" s="43"/>
      <c r="MR12" s="43"/>
      <c r="MS12" s="43"/>
      <c r="MT12" s="43"/>
      <c r="MU12" s="43"/>
      <c r="MV12" s="43"/>
      <c r="MW12" s="43"/>
      <c r="MX12" s="43"/>
      <c r="MY12" s="43"/>
      <c r="MZ12" s="43"/>
      <c r="NA12" s="43"/>
      <c r="NB12" s="43"/>
      <c r="NC12" s="43"/>
      <c r="ND12" s="43"/>
      <c r="NE12" s="43"/>
      <c r="NF12" s="43"/>
      <c r="NG12" s="43"/>
      <c r="NH12" s="43"/>
      <c r="NI12" s="43"/>
      <c r="NJ12" s="43"/>
      <c r="NK12" s="43"/>
      <c r="NL12" s="43"/>
      <c r="NM12" s="43"/>
      <c r="NN12" s="43"/>
      <c r="NO12" s="43"/>
      <c r="NP12" s="43"/>
      <c r="NQ12" s="43"/>
      <c r="NR12" s="43"/>
      <c r="NS12" s="43"/>
      <c r="NT12" s="43"/>
      <c r="NU12" s="43"/>
      <c r="NV12" s="43"/>
      <c r="NW12" s="43"/>
      <c r="NX12" s="43"/>
      <c r="NY12" s="43"/>
      <c r="NZ12" s="43"/>
      <c r="OA12" s="43"/>
      <c r="OB12" s="43"/>
      <c r="OC12" s="43"/>
      <c r="OD12" s="43"/>
      <c r="OE12" s="43"/>
      <c r="OF12" s="43"/>
      <c r="OG12" s="43"/>
      <c r="OH12" s="43"/>
      <c r="OI12" s="43"/>
      <c r="OJ12" s="43"/>
      <c r="OK12" s="43"/>
      <c r="OL12" s="43"/>
      <c r="OM12" s="43"/>
      <c r="ON12" s="43"/>
      <c r="OO12" s="43"/>
      <c r="OP12" s="43"/>
      <c r="OQ12" s="43"/>
      <c r="OR12" s="43"/>
      <c r="OS12" s="43"/>
      <c r="OT12" s="43"/>
      <c r="OU12" s="43"/>
      <c r="OV12" s="43"/>
      <c r="OW12" s="43"/>
      <c r="OX12" s="43"/>
      <c r="OY12" s="43"/>
      <c r="OZ12" s="43"/>
      <c r="PA12" s="43"/>
      <c r="PB12" s="43"/>
      <c r="PC12" s="43"/>
      <c r="PD12" s="43"/>
      <c r="PE12" s="43"/>
      <c r="PF12" s="43"/>
      <c r="PG12" s="43"/>
      <c r="PH12" s="43"/>
      <c r="PI12" s="43"/>
      <c r="PJ12" s="43"/>
      <c r="PK12" s="43"/>
      <c r="PL12" s="43"/>
      <c r="PM12" s="43"/>
      <c r="PN12" s="43"/>
      <c r="PO12" s="43"/>
      <c r="PP12" s="43"/>
      <c r="PQ12" s="43"/>
      <c r="PR12" s="43"/>
      <c r="PS12" s="43"/>
      <c r="PT12" s="43"/>
      <c r="PU12" s="43"/>
      <c r="PV12" s="43"/>
      <c r="PW12" s="43"/>
      <c r="PX12" s="43"/>
      <c r="PY12" s="43"/>
      <c r="PZ12" s="43"/>
      <c r="QA12" s="43"/>
      <c r="QB12" s="43"/>
      <c r="QC12" s="43"/>
    </row>
    <row r="13" spans="1:445" x14ac:dyDescent="0.3">
      <c r="A13" s="47" t="s">
        <v>30</v>
      </c>
      <c r="B13" s="45" t="s">
        <v>96</v>
      </c>
      <c r="C13" s="45" t="s">
        <v>44</v>
      </c>
      <c r="D13" s="45" t="s">
        <v>75</v>
      </c>
      <c r="E13" s="45">
        <v>30</v>
      </c>
      <c r="F13" s="45">
        <v>1800</v>
      </c>
      <c r="G13" s="45"/>
      <c r="H13" s="45">
        <v>200</v>
      </c>
      <c r="I13" s="45">
        <v>200</v>
      </c>
      <c r="J13" s="45">
        <v>200</v>
      </c>
      <c r="K13" s="45">
        <v>200</v>
      </c>
      <c r="L13" s="45">
        <v>200</v>
      </c>
      <c r="M13" s="45">
        <v>200</v>
      </c>
      <c r="N13" s="45">
        <v>200</v>
      </c>
      <c r="O13" s="45">
        <v>200</v>
      </c>
      <c r="P13" s="45">
        <v>200</v>
      </c>
      <c r="Q13" s="45"/>
      <c r="R13" s="45"/>
      <c r="S13" s="45"/>
      <c r="T13" s="45">
        <f t="shared" si="2"/>
        <v>1800</v>
      </c>
      <c r="U13" s="45">
        <f t="shared" si="3"/>
        <v>0</v>
      </c>
      <c r="V13" s="68">
        <f t="shared" si="4"/>
        <v>1.0166666666666666</v>
      </c>
      <c r="W13" s="48"/>
      <c r="X13" s="66" t="str">
        <f t="shared" si="5"/>
        <v/>
      </c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43"/>
      <c r="CY13" s="43"/>
      <c r="CZ13" s="43"/>
      <c r="DA13" s="43"/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43"/>
      <c r="DS13" s="43"/>
      <c r="DT13" s="43"/>
      <c r="DU13" s="43"/>
      <c r="DV13" s="43"/>
      <c r="DW13" s="43"/>
      <c r="DX13" s="43"/>
      <c r="DY13" s="43"/>
      <c r="DZ13" s="43"/>
      <c r="EA13" s="43"/>
      <c r="EB13" s="43"/>
      <c r="EC13" s="43"/>
      <c r="ED13" s="43"/>
      <c r="EE13" s="43"/>
      <c r="EF13" s="43"/>
      <c r="EG13" s="43"/>
      <c r="EH13" s="43"/>
      <c r="EI13" s="43"/>
      <c r="EJ13" s="43"/>
      <c r="EK13" s="43"/>
      <c r="EL13" s="43"/>
      <c r="EM13" s="43"/>
      <c r="EN13" s="43"/>
      <c r="EO13" s="43"/>
      <c r="EP13" s="43"/>
      <c r="EQ13" s="43"/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43"/>
      <c r="FI13" s="43"/>
      <c r="FJ13" s="43"/>
      <c r="FK13" s="43"/>
      <c r="FL13" s="43"/>
      <c r="FM13" s="43"/>
      <c r="FN13" s="43"/>
      <c r="FO13" s="43"/>
      <c r="FP13" s="43"/>
      <c r="FQ13" s="43"/>
      <c r="FR13" s="43"/>
      <c r="FS13" s="43"/>
      <c r="FT13" s="43"/>
      <c r="FU13" s="43"/>
      <c r="FV13" s="43"/>
      <c r="FW13" s="43"/>
      <c r="FX13" s="43"/>
      <c r="FY13" s="43"/>
      <c r="FZ13" s="43"/>
      <c r="GA13" s="43"/>
      <c r="GB13" s="43"/>
      <c r="GC13" s="43"/>
      <c r="GD13" s="43"/>
      <c r="GE13" s="43"/>
      <c r="GF13" s="43"/>
      <c r="GG13" s="43"/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43"/>
      <c r="GY13" s="43"/>
      <c r="GZ13" s="43"/>
      <c r="HA13" s="43"/>
      <c r="HB13" s="43"/>
      <c r="HC13" s="43"/>
      <c r="HD13" s="43"/>
      <c r="HE13" s="43"/>
      <c r="HF13" s="43"/>
      <c r="HG13" s="43"/>
      <c r="HH13" s="43"/>
      <c r="HI13" s="43"/>
      <c r="HJ13" s="43"/>
      <c r="HK13" s="43"/>
      <c r="HL13" s="43"/>
      <c r="HM13" s="43"/>
      <c r="HN13" s="43"/>
      <c r="HO13" s="43"/>
      <c r="HP13" s="43"/>
      <c r="HQ13" s="43"/>
      <c r="HR13" s="43"/>
      <c r="HS13" s="43"/>
      <c r="HT13" s="43"/>
      <c r="HU13" s="43"/>
      <c r="HV13" s="43"/>
      <c r="HW13" s="43"/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43"/>
      <c r="IO13" s="43"/>
      <c r="IP13" s="43"/>
      <c r="IQ13" s="43"/>
      <c r="IR13" s="43"/>
      <c r="IS13" s="43"/>
      <c r="IT13" s="43"/>
      <c r="IU13" s="43"/>
      <c r="IV13" s="43"/>
      <c r="IW13" s="43"/>
      <c r="IX13" s="43"/>
      <c r="IY13" s="43"/>
      <c r="IZ13" s="43"/>
      <c r="JA13" s="43"/>
      <c r="JB13" s="43"/>
      <c r="JC13" s="43"/>
      <c r="JD13" s="43"/>
      <c r="JE13" s="43"/>
      <c r="JF13" s="43"/>
      <c r="JG13" s="43"/>
      <c r="JH13" s="43"/>
      <c r="JI13" s="43"/>
      <c r="JJ13" s="43"/>
      <c r="JK13" s="43"/>
      <c r="JL13" s="43"/>
      <c r="JM13" s="43"/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43"/>
      <c r="KE13" s="43"/>
      <c r="KF13" s="43"/>
      <c r="KG13" s="43"/>
      <c r="KH13" s="43"/>
      <c r="KI13" s="43"/>
      <c r="KJ13" s="43"/>
      <c r="KK13" s="43"/>
      <c r="KL13" s="43"/>
      <c r="KM13" s="43"/>
      <c r="KN13" s="43"/>
      <c r="KO13" s="43"/>
      <c r="KP13" s="43"/>
      <c r="KQ13" s="43"/>
      <c r="KR13" s="43"/>
      <c r="KS13" s="43"/>
      <c r="KT13" s="43"/>
      <c r="KU13" s="43"/>
      <c r="KV13" s="43"/>
      <c r="KW13" s="43"/>
      <c r="KX13" s="43"/>
      <c r="KY13" s="43"/>
      <c r="KZ13" s="43"/>
      <c r="LA13" s="43"/>
      <c r="LB13" s="43"/>
      <c r="LC13" s="43"/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43"/>
      <c r="LU13" s="43"/>
      <c r="LV13" s="43"/>
      <c r="LW13" s="43"/>
      <c r="LX13" s="43"/>
      <c r="LY13" s="43"/>
      <c r="LZ13" s="43"/>
      <c r="MA13" s="43"/>
      <c r="MB13" s="43"/>
      <c r="MC13" s="43"/>
      <c r="MD13" s="43"/>
      <c r="ME13" s="43"/>
      <c r="MF13" s="43"/>
      <c r="MG13" s="43"/>
      <c r="MH13" s="43"/>
      <c r="MI13" s="43"/>
      <c r="MJ13" s="43"/>
      <c r="MK13" s="43"/>
      <c r="ML13" s="43"/>
      <c r="MM13" s="43"/>
      <c r="MN13" s="43"/>
      <c r="MO13" s="43"/>
      <c r="MP13" s="43"/>
      <c r="MQ13" s="43"/>
      <c r="MR13" s="43"/>
      <c r="MS13" s="43"/>
      <c r="MT13" s="43"/>
      <c r="MU13" s="43"/>
      <c r="MV13" s="43"/>
      <c r="MW13" s="43"/>
      <c r="MX13" s="43"/>
      <c r="MY13" s="43"/>
      <c r="MZ13" s="43"/>
      <c r="NA13" s="43"/>
      <c r="NB13" s="43"/>
      <c r="NC13" s="43"/>
      <c r="ND13" s="43"/>
      <c r="NE13" s="43"/>
      <c r="NF13" s="43"/>
      <c r="NG13" s="43"/>
      <c r="NH13" s="43"/>
      <c r="NI13" s="43"/>
      <c r="NJ13" s="43"/>
      <c r="NK13" s="43"/>
      <c r="NL13" s="43"/>
      <c r="NM13" s="43"/>
      <c r="NN13" s="43"/>
      <c r="NO13" s="43"/>
      <c r="NP13" s="43"/>
      <c r="NQ13" s="43"/>
      <c r="NR13" s="43"/>
      <c r="NS13" s="43"/>
      <c r="NT13" s="43"/>
      <c r="NU13" s="43"/>
      <c r="NV13" s="43"/>
      <c r="NW13" s="43"/>
      <c r="NX13" s="43"/>
      <c r="NY13" s="43"/>
      <c r="NZ13" s="43"/>
      <c r="OA13" s="43"/>
      <c r="OB13" s="43"/>
      <c r="OC13" s="43"/>
      <c r="OD13" s="43"/>
      <c r="OE13" s="43"/>
      <c r="OF13" s="43"/>
      <c r="OG13" s="43"/>
      <c r="OH13" s="43"/>
      <c r="OI13" s="43"/>
      <c r="OJ13" s="43"/>
      <c r="OK13" s="43"/>
      <c r="OL13" s="43"/>
      <c r="OM13" s="43"/>
      <c r="ON13" s="43"/>
      <c r="OO13" s="43"/>
      <c r="OP13" s="43"/>
      <c r="OQ13" s="43"/>
      <c r="OR13" s="43"/>
      <c r="OS13" s="43"/>
      <c r="OT13" s="43"/>
      <c r="OU13" s="43"/>
      <c r="OV13" s="43"/>
      <c r="OW13" s="43"/>
      <c r="OX13" s="43"/>
      <c r="OY13" s="43"/>
      <c r="OZ13" s="43"/>
      <c r="PA13" s="43"/>
      <c r="PB13" s="43"/>
      <c r="PC13" s="43"/>
      <c r="PD13" s="43"/>
      <c r="PE13" s="43"/>
      <c r="PF13" s="43"/>
      <c r="PG13" s="43"/>
      <c r="PH13" s="43"/>
      <c r="PI13" s="43"/>
      <c r="PJ13" s="43"/>
      <c r="PK13" s="43"/>
      <c r="PL13" s="43"/>
      <c r="PM13" s="43"/>
      <c r="PN13" s="43"/>
      <c r="PO13" s="43"/>
      <c r="PP13" s="43"/>
      <c r="PQ13" s="43"/>
      <c r="PR13" s="43"/>
      <c r="PS13" s="43"/>
      <c r="PT13" s="43"/>
      <c r="PU13" s="43"/>
      <c r="PV13" s="43"/>
      <c r="PW13" s="43"/>
      <c r="PX13" s="43"/>
      <c r="PY13" s="43"/>
      <c r="PZ13" s="43"/>
      <c r="QA13" s="43"/>
      <c r="QB13" s="43"/>
      <c r="QC13" s="43"/>
    </row>
    <row r="14" spans="1:445" x14ac:dyDescent="0.3">
      <c r="A14" s="47" t="s">
        <v>80</v>
      </c>
      <c r="B14" s="45"/>
      <c r="C14" s="45" t="s">
        <v>68</v>
      </c>
      <c r="D14" s="45" t="s">
        <v>76</v>
      </c>
      <c r="E14" s="45">
        <v>30</v>
      </c>
      <c r="F14" s="45">
        <v>1350</v>
      </c>
      <c r="G14" s="45"/>
      <c r="H14" s="45">
        <v>120</v>
      </c>
      <c r="I14" s="45">
        <v>75</v>
      </c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>
        <f t="shared" si="2"/>
        <v>195</v>
      </c>
      <c r="U14" s="45">
        <f t="shared" si="3"/>
        <v>0</v>
      </c>
      <c r="V14" s="68">
        <f t="shared" si="4"/>
        <v>1.0222222222222221</v>
      </c>
      <c r="W14" s="48" t="s">
        <v>73</v>
      </c>
      <c r="X14" s="66">
        <f t="shared" si="5"/>
        <v>1155</v>
      </c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/>
      <c r="CS14" s="43"/>
      <c r="CT14" s="43"/>
      <c r="CU14" s="43"/>
      <c r="CV14" s="43"/>
      <c r="CW14" s="43"/>
      <c r="CX14" s="43"/>
      <c r="CY14" s="43"/>
      <c r="CZ14" s="43"/>
      <c r="DA14" s="43"/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43"/>
      <c r="DS14" s="43"/>
      <c r="DT14" s="43"/>
      <c r="DU14" s="43"/>
      <c r="DV14" s="43"/>
      <c r="DW14" s="43"/>
      <c r="DX14" s="43"/>
      <c r="DY14" s="43"/>
      <c r="DZ14" s="43"/>
      <c r="EA14" s="43"/>
      <c r="EB14" s="43"/>
      <c r="EC14" s="43"/>
      <c r="ED14" s="43"/>
      <c r="EE14" s="43"/>
      <c r="EF14" s="43"/>
      <c r="EG14" s="43"/>
      <c r="EH14" s="43"/>
      <c r="EI14" s="43"/>
      <c r="EJ14" s="43"/>
      <c r="EK14" s="43"/>
      <c r="EL14" s="43"/>
      <c r="EM14" s="43"/>
      <c r="EN14" s="43"/>
      <c r="EO14" s="43"/>
      <c r="EP14" s="43"/>
      <c r="EQ14" s="43"/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43"/>
      <c r="FI14" s="43"/>
      <c r="FJ14" s="43"/>
      <c r="FK14" s="43"/>
      <c r="FL14" s="43"/>
      <c r="FM14" s="43"/>
      <c r="FN14" s="43"/>
      <c r="FO14" s="43"/>
      <c r="FP14" s="43"/>
      <c r="FQ14" s="43"/>
      <c r="FR14" s="43"/>
      <c r="FS14" s="43"/>
      <c r="FT14" s="43"/>
      <c r="FU14" s="43"/>
      <c r="FV14" s="43"/>
      <c r="FW14" s="43"/>
      <c r="FX14" s="43"/>
      <c r="FY14" s="43"/>
      <c r="FZ14" s="43"/>
      <c r="GA14" s="43"/>
      <c r="GB14" s="43"/>
      <c r="GC14" s="43"/>
      <c r="GD14" s="43"/>
      <c r="GE14" s="43"/>
      <c r="GF14" s="43"/>
      <c r="GG14" s="43"/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43"/>
      <c r="GY14" s="43"/>
      <c r="GZ14" s="43"/>
      <c r="HA14" s="43"/>
      <c r="HB14" s="43"/>
      <c r="HC14" s="43"/>
      <c r="HD14" s="43"/>
      <c r="HE14" s="43"/>
      <c r="HF14" s="43"/>
      <c r="HG14" s="43"/>
      <c r="HH14" s="43"/>
      <c r="HI14" s="43"/>
      <c r="HJ14" s="43"/>
      <c r="HK14" s="43"/>
      <c r="HL14" s="43"/>
      <c r="HM14" s="43"/>
      <c r="HN14" s="43"/>
      <c r="HO14" s="43"/>
      <c r="HP14" s="43"/>
      <c r="HQ14" s="43"/>
      <c r="HR14" s="43"/>
      <c r="HS14" s="43"/>
      <c r="HT14" s="43"/>
      <c r="HU14" s="43"/>
      <c r="HV14" s="43"/>
      <c r="HW14" s="43"/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43"/>
      <c r="IO14" s="43"/>
      <c r="IP14" s="43"/>
      <c r="IQ14" s="43"/>
      <c r="IR14" s="43"/>
      <c r="IS14" s="43"/>
      <c r="IT14" s="43"/>
      <c r="IU14" s="43"/>
      <c r="IV14" s="43"/>
      <c r="IW14" s="43"/>
      <c r="IX14" s="43"/>
      <c r="IY14" s="43"/>
      <c r="IZ14" s="43"/>
      <c r="JA14" s="43"/>
      <c r="JB14" s="43"/>
      <c r="JC14" s="43"/>
      <c r="JD14" s="43"/>
      <c r="JE14" s="43"/>
      <c r="JF14" s="43"/>
      <c r="JG14" s="43"/>
      <c r="JH14" s="43"/>
      <c r="JI14" s="43"/>
      <c r="JJ14" s="43"/>
      <c r="JK14" s="43"/>
      <c r="JL14" s="43"/>
      <c r="JM14" s="43"/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43"/>
      <c r="KE14" s="43"/>
      <c r="KF14" s="43"/>
      <c r="KG14" s="43"/>
      <c r="KH14" s="43"/>
      <c r="KI14" s="43"/>
      <c r="KJ14" s="43"/>
      <c r="KK14" s="43"/>
      <c r="KL14" s="43"/>
      <c r="KM14" s="43"/>
      <c r="KN14" s="43"/>
      <c r="KO14" s="43"/>
      <c r="KP14" s="43"/>
      <c r="KQ14" s="43"/>
      <c r="KR14" s="43"/>
      <c r="KS14" s="43"/>
      <c r="KT14" s="43"/>
      <c r="KU14" s="43"/>
      <c r="KV14" s="43"/>
      <c r="KW14" s="43"/>
      <c r="KX14" s="43"/>
      <c r="KY14" s="43"/>
      <c r="KZ14" s="43"/>
      <c r="LA14" s="43"/>
      <c r="LB14" s="43"/>
      <c r="LC14" s="43"/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43"/>
      <c r="LU14" s="43"/>
      <c r="LV14" s="43"/>
      <c r="LW14" s="43"/>
      <c r="LX14" s="43"/>
      <c r="LY14" s="43"/>
      <c r="LZ14" s="43"/>
      <c r="MA14" s="43"/>
      <c r="MB14" s="43"/>
      <c r="MC14" s="43"/>
      <c r="MD14" s="43"/>
      <c r="ME14" s="43"/>
      <c r="MF14" s="43"/>
      <c r="MG14" s="43"/>
      <c r="MH14" s="43"/>
      <c r="MI14" s="43"/>
      <c r="MJ14" s="43"/>
      <c r="MK14" s="43"/>
      <c r="ML14" s="43"/>
      <c r="MM14" s="43"/>
      <c r="MN14" s="43"/>
      <c r="MO14" s="43"/>
      <c r="MP14" s="43"/>
      <c r="MQ14" s="43"/>
      <c r="MR14" s="43"/>
      <c r="MS14" s="43"/>
      <c r="MT14" s="43"/>
      <c r="MU14" s="43"/>
      <c r="MV14" s="43"/>
      <c r="MW14" s="43"/>
      <c r="MX14" s="43"/>
      <c r="MY14" s="43"/>
      <c r="MZ14" s="43"/>
      <c r="NA14" s="43"/>
      <c r="NB14" s="43"/>
      <c r="NC14" s="43"/>
      <c r="ND14" s="43"/>
      <c r="NE14" s="43"/>
      <c r="NF14" s="43"/>
      <c r="NG14" s="43"/>
      <c r="NH14" s="43"/>
      <c r="NI14" s="43"/>
      <c r="NJ14" s="43"/>
      <c r="NK14" s="43"/>
      <c r="NL14" s="43"/>
      <c r="NM14" s="43"/>
      <c r="NN14" s="43"/>
      <c r="NO14" s="43"/>
      <c r="NP14" s="43"/>
      <c r="NQ14" s="43"/>
      <c r="NR14" s="43"/>
      <c r="NS14" s="43"/>
      <c r="NT14" s="43"/>
      <c r="NU14" s="43"/>
      <c r="NV14" s="43"/>
      <c r="NW14" s="43"/>
      <c r="NX14" s="43"/>
      <c r="NY14" s="43"/>
      <c r="NZ14" s="43"/>
      <c r="OA14" s="43"/>
      <c r="OB14" s="43"/>
      <c r="OC14" s="43"/>
      <c r="OD14" s="43"/>
      <c r="OE14" s="43"/>
      <c r="OF14" s="43"/>
      <c r="OG14" s="43"/>
      <c r="OH14" s="43"/>
      <c r="OI14" s="43"/>
      <c r="OJ14" s="43"/>
      <c r="OK14" s="43"/>
      <c r="OL14" s="43"/>
      <c r="OM14" s="43"/>
      <c r="ON14" s="43"/>
      <c r="OO14" s="43"/>
      <c r="OP14" s="43"/>
      <c r="OQ14" s="43"/>
      <c r="OR14" s="43"/>
      <c r="OS14" s="43"/>
      <c r="OT14" s="43"/>
      <c r="OU14" s="43"/>
      <c r="OV14" s="43"/>
      <c r="OW14" s="43"/>
      <c r="OX14" s="43"/>
      <c r="OY14" s="43"/>
      <c r="OZ14" s="43"/>
      <c r="PA14" s="43"/>
      <c r="PB14" s="43"/>
      <c r="PC14" s="43"/>
      <c r="PD14" s="43"/>
      <c r="PE14" s="43"/>
      <c r="PF14" s="43"/>
      <c r="PG14" s="43"/>
      <c r="PH14" s="43"/>
      <c r="PI14" s="43"/>
      <c r="PJ14" s="43"/>
      <c r="PK14" s="43"/>
      <c r="PL14" s="43"/>
      <c r="PM14" s="43"/>
      <c r="PN14" s="43"/>
      <c r="PO14" s="43"/>
      <c r="PP14" s="43"/>
      <c r="PQ14" s="43"/>
      <c r="PR14" s="43"/>
      <c r="PS14" s="43"/>
      <c r="PT14" s="43"/>
      <c r="PU14" s="43"/>
      <c r="PV14" s="43"/>
      <c r="PW14" s="43"/>
      <c r="PX14" s="43"/>
      <c r="PY14" s="43"/>
      <c r="PZ14" s="43"/>
      <c r="QA14" s="43"/>
      <c r="QB14" s="43"/>
      <c r="QC14" s="43"/>
    </row>
    <row r="15" spans="1:445" x14ac:dyDescent="0.3">
      <c r="A15" s="47" t="s">
        <v>79</v>
      </c>
      <c r="B15" s="45" t="s">
        <v>73</v>
      </c>
      <c r="C15" s="45" t="s">
        <v>70</v>
      </c>
      <c r="D15" s="45" t="s">
        <v>76</v>
      </c>
      <c r="E15" s="45">
        <v>30</v>
      </c>
      <c r="F15" s="45">
        <v>1080</v>
      </c>
      <c r="G15" s="45"/>
      <c r="H15" s="45">
        <v>120</v>
      </c>
      <c r="I15" s="45">
        <v>120</v>
      </c>
      <c r="J15" s="45">
        <v>120</v>
      </c>
      <c r="K15" s="45">
        <v>120</v>
      </c>
      <c r="L15" s="45">
        <v>120</v>
      </c>
      <c r="M15" s="45">
        <v>120</v>
      </c>
      <c r="N15" s="45">
        <v>120</v>
      </c>
      <c r="O15" s="45">
        <v>120</v>
      </c>
      <c r="P15" s="45">
        <v>120</v>
      </c>
      <c r="Q15" s="45"/>
      <c r="R15" s="45"/>
      <c r="S15" s="45"/>
      <c r="T15" s="45">
        <f t="shared" si="2"/>
        <v>1080</v>
      </c>
      <c r="U15" s="45">
        <f t="shared" si="3"/>
        <v>0</v>
      </c>
      <c r="V15" s="68">
        <f t="shared" si="4"/>
        <v>1.0277777777777777</v>
      </c>
      <c r="W15" s="48"/>
      <c r="X15" s="66" t="str">
        <f t="shared" si="5"/>
        <v/>
      </c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  <c r="CU15" s="43"/>
      <c r="CV15" s="43"/>
      <c r="CW15" s="43"/>
      <c r="CX15" s="43"/>
      <c r="CY15" s="43"/>
      <c r="CZ15" s="43"/>
      <c r="DA15" s="43"/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43"/>
      <c r="DS15" s="43"/>
      <c r="DT15" s="43"/>
      <c r="DU15" s="43"/>
      <c r="DV15" s="43"/>
      <c r="DW15" s="43"/>
      <c r="DX15" s="43"/>
      <c r="DY15" s="43"/>
      <c r="DZ15" s="43"/>
      <c r="EA15" s="43"/>
      <c r="EB15" s="43"/>
      <c r="EC15" s="43"/>
      <c r="ED15" s="43"/>
      <c r="EE15" s="43"/>
      <c r="EF15" s="43"/>
      <c r="EG15" s="43"/>
      <c r="EH15" s="43"/>
      <c r="EI15" s="43"/>
      <c r="EJ15" s="43"/>
      <c r="EK15" s="43"/>
      <c r="EL15" s="43"/>
      <c r="EM15" s="43"/>
      <c r="EN15" s="43"/>
      <c r="EO15" s="43"/>
      <c r="EP15" s="43"/>
      <c r="EQ15" s="43"/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43"/>
      <c r="FI15" s="43"/>
      <c r="FJ15" s="43"/>
      <c r="FK15" s="43"/>
      <c r="FL15" s="43"/>
      <c r="FM15" s="43"/>
      <c r="FN15" s="43"/>
      <c r="FO15" s="43"/>
      <c r="FP15" s="43"/>
      <c r="FQ15" s="43"/>
      <c r="FR15" s="43"/>
      <c r="FS15" s="43"/>
      <c r="FT15" s="43"/>
      <c r="FU15" s="43"/>
      <c r="FV15" s="43"/>
      <c r="FW15" s="43"/>
      <c r="FX15" s="43"/>
      <c r="FY15" s="43"/>
      <c r="FZ15" s="43"/>
      <c r="GA15" s="43"/>
      <c r="GB15" s="43"/>
      <c r="GC15" s="43"/>
      <c r="GD15" s="43"/>
      <c r="GE15" s="43"/>
      <c r="GF15" s="43"/>
      <c r="GG15" s="43"/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43"/>
      <c r="GY15" s="43"/>
      <c r="GZ15" s="43"/>
      <c r="HA15" s="43"/>
      <c r="HB15" s="43"/>
      <c r="HC15" s="43"/>
      <c r="HD15" s="43"/>
      <c r="HE15" s="43"/>
      <c r="HF15" s="43"/>
      <c r="HG15" s="43"/>
      <c r="HH15" s="43"/>
      <c r="HI15" s="43"/>
      <c r="HJ15" s="43"/>
      <c r="HK15" s="43"/>
      <c r="HL15" s="43"/>
      <c r="HM15" s="43"/>
      <c r="HN15" s="43"/>
      <c r="HO15" s="43"/>
      <c r="HP15" s="43"/>
      <c r="HQ15" s="43"/>
      <c r="HR15" s="43"/>
      <c r="HS15" s="43"/>
      <c r="HT15" s="43"/>
      <c r="HU15" s="43"/>
      <c r="HV15" s="43"/>
      <c r="HW15" s="43"/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43"/>
      <c r="IO15" s="43"/>
      <c r="IP15" s="43"/>
      <c r="IQ15" s="43"/>
      <c r="IR15" s="43"/>
      <c r="IS15" s="43"/>
      <c r="IT15" s="43"/>
      <c r="IU15" s="43"/>
      <c r="IV15" s="43"/>
      <c r="IW15" s="43"/>
      <c r="IX15" s="43"/>
      <c r="IY15" s="43"/>
      <c r="IZ15" s="43"/>
      <c r="JA15" s="43"/>
      <c r="JB15" s="43"/>
      <c r="JC15" s="43"/>
      <c r="JD15" s="43"/>
      <c r="JE15" s="43"/>
      <c r="JF15" s="43"/>
      <c r="JG15" s="43"/>
      <c r="JH15" s="43"/>
      <c r="JI15" s="43"/>
      <c r="JJ15" s="43"/>
      <c r="JK15" s="43"/>
      <c r="JL15" s="43"/>
      <c r="JM15" s="43"/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43"/>
      <c r="KE15" s="43"/>
      <c r="KF15" s="43"/>
      <c r="KG15" s="43"/>
      <c r="KH15" s="43"/>
      <c r="KI15" s="43"/>
      <c r="KJ15" s="43"/>
      <c r="KK15" s="43"/>
      <c r="KL15" s="43"/>
      <c r="KM15" s="43"/>
      <c r="KN15" s="43"/>
      <c r="KO15" s="43"/>
      <c r="KP15" s="43"/>
      <c r="KQ15" s="43"/>
      <c r="KR15" s="43"/>
      <c r="KS15" s="43"/>
      <c r="KT15" s="43"/>
      <c r="KU15" s="43"/>
      <c r="KV15" s="43"/>
      <c r="KW15" s="43"/>
      <c r="KX15" s="43"/>
      <c r="KY15" s="43"/>
      <c r="KZ15" s="43"/>
      <c r="LA15" s="43"/>
      <c r="LB15" s="43"/>
      <c r="LC15" s="43"/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43"/>
      <c r="LU15" s="43"/>
      <c r="LV15" s="43"/>
      <c r="LW15" s="43"/>
      <c r="LX15" s="43"/>
      <c r="LY15" s="43"/>
      <c r="LZ15" s="43"/>
      <c r="MA15" s="43"/>
      <c r="MB15" s="43"/>
      <c r="MC15" s="43"/>
      <c r="MD15" s="43"/>
      <c r="ME15" s="43"/>
      <c r="MF15" s="43"/>
      <c r="MG15" s="43"/>
      <c r="MH15" s="43"/>
      <c r="MI15" s="43"/>
      <c r="MJ15" s="43"/>
      <c r="MK15" s="43"/>
      <c r="ML15" s="43"/>
      <c r="MM15" s="43"/>
      <c r="MN15" s="43"/>
      <c r="MO15" s="43"/>
      <c r="MP15" s="43"/>
      <c r="MQ15" s="43"/>
      <c r="MR15" s="43"/>
      <c r="MS15" s="43"/>
      <c r="MT15" s="43"/>
      <c r="MU15" s="43"/>
      <c r="MV15" s="43"/>
      <c r="MW15" s="43"/>
      <c r="MX15" s="43"/>
      <c r="MY15" s="43"/>
      <c r="MZ15" s="43"/>
      <c r="NA15" s="43"/>
      <c r="NB15" s="43"/>
      <c r="NC15" s="43"/>
      <c r="ND15" s="43"/>
      <c r="NE15" s="43"/>
      <c r="NF15" s="43"/>
      <c r="NG15" s="43"/>
      <c r="NH15" s="43"/>
      <c r="NI15" s="43"/>
      <c r="NJ15" s="43"/>
      <c r="NK15" s="43"/>
      <c r="NL15" s="43"/>
      <c r="NM15" s="43"/>
      <c r="NN15" s="43"/>
      <c r="NO15" s="43"/>
      <c r="NP15" s="43"/>
      <c r="NQ15" s="43"/>
      <c r="NR15" s="43"/>
      <c r="NS15" s="43"/>
      <c r="NT15" s="43"/>
      <c r="NU15" s="43"/>
      <c r="NV15" s="43"/>
      <c r="NW15" s="43"/>
      <c r="NX15" s="43"/>
      <c r="NY15" s="43"/>
      <c r="NZ15" s="43"/>
      <c r="OA15" s="43"/>
      <c r="OB15" s="43"/>
      <c r="OC15" s="43"/>
      <c r="OD15" s="43"/>
      <c r="OE15" s="43"/>
      <c r="OF15" s="43"/>
      <c r="OG15" s="43"/>
      <c r="OH15" s="43"/>
      <c r="OI15" s="43"/>
      <c r="OJ15" s="43"/>
      <c r="OK15" s="43"/>
      <c r="OL15" s="43"/>
      <c r="OM15" s="43"/>
      <c r="ON15" s="43"/>
      <c r="OO15" s="43"/>
      <c r="OP15" s="43"/>
      <c r="OQ15" s="43"/>
      <c r="OR15" s="43"/>
      <c r="OS15" s="43"/>
      <c r="OT15" s="43"/>
      <c r="OU15" s="43"/>
      <c r="OV15" s="43"/>
      <c r="OW15" s="43"/>
      <c r="OX15" s="43"/>
      <c r="OY15" s="43"/>
      <c r="OZ15" s="43"/>
      <c r="PA15" s="43"/>
      <c r="PB15" s="43"/>
      <c r="PC15" s="43"/>
      <c r="PD15" s="43"/>
      <c r="PE15" s="43"/>
      <c r="PF15" s="43"/>
      <c r="PG15" s="43"/>
      <c r="PH15" s="43"/>
      <c r="PI15" s="43"/>
      <c r="PJ15" s="43"/>
      <c r="PK15" s="43"/>
      <c r="PL15" s="43"/>
      <c r="PM15" s="43"/>
      <c r="PN15" s="43"/>
      <c r="PO15" s="43"/>
      <c r="PP15" s="43"/>
      <c r="PQ15" s="43"/>
      <c r="PR15" s="43"/>
      <c r="PS15" s="43"/>
      <c r="PT15" s="43"/>
      <c r="PU15" s="43"/>
      <c r="PV15" s="43"/>
      <c r="PW15" s="43"/>
      <c r="PX15" s="43"/>
      <c r="PY15" s="43"/>
      <c r="PZ15" s="43"/>
      <c r="QA15" s="43"/>
      <c r="QB15" s="43"/>
      <c r="QC15" s="43"/>
    </row>
    <row r="16" spans="1:445" x14ac:dyDescent="0.3">
      <c r="A16" s="47" t="s">
        <v>84</v>
      </c>
      <c r="B16" s="45"/>
      <c r="C16" s="45" t="s">
        <v>70</v>
      </c>
      <c r="D16" s="45" t="s">
        <v>76</v>
      </c>
      <c r="E16" s="45">
        <v>20</v>
      </c>
      <c r="F16" s="45">
        <v>1170</v>
      </c>
      <c r="G16" s="45"/>
      <c r="H16" s="45">
        <v>130</v>
      </c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>
        <f t="shared" si="2"/>
        <v>130</v>
      </c>
      <c r="U16" s="45">
        <f t="shared" si="3"/>
        <v>0</v>
      </c>
      <c r="V16" s="68">
        <f t="shared" si="4"/>
        <v>1.017094017094017</v>
      </c>
      <c r="W16" s="49" t="s">
        <v>73</v>
      </c>
      <c r="X16" s="66">
        <f t="shared" si="5"/>
        <v>1040</v>
      </c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  <c r="CW16" s="43"/>
      <c r="CX16" s="43"/>
      <c r="CY16" s="43"/>
      <c r="CZ16" s="43"/>
      <c r="DA16" s="43"/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43"/>
      <c r="DS16" s="43"/>
      <c r="DT16" s="43"/>
      <c r="DU16" s="43"/>
      <c r="DV16" s="43"/>
      <c r="DW16" s="43"/>
      <c r="DX16" s="43"/>
      <c r="DY16" s="43"/>
      <c r="DZ16" s="43"/>
      <c r="EA16" s="43"/>
      <c r="EB16" s="43"/>
      <c r="EC16" s="43"/>
      <c r="ED16" s="43"/>
      <c r="EE16" s="43"/>
      <c r="EF16" s="43"/>
      <c r="EG16" s="43"/>
      <c r="EH16" s="43"/>
      <c r="EI16" s="43"/>
      <c r="EJ16" s="43"/>
      <c r="EK16" s="43"/>
      <c r="EL16" s="43"/>
      <c r="EM16" s="43"/>
      <c r="EN16" s="43"/>
      <c r="EO16" s="43"/>
      <c r="EP16" s="43"/>
      <c r="EQ16" s="43"/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43"/>
      <c r="FI16" s="43"/>
      <c r="FJ16" s="43"/>
      <c r="FK16" s="43"/>
      <c r="FL16" s="43"/>
      <c r="FM16" s="43"/>
      <c r="FN16" s="43"/>
      <c r="FO16" s="43"/>
      <c r="FP16" s="43"/>
      <c r="FQ16" s="43"/>
      <c r="FR16" s="43"/>
      <c r="FS16" s="43"/>
      <c r="FT16" s="43"/>
      <c r="FU16" s="43"/>
      <c r="FV16" s="43"/>
      <c r="FW16" s="43"/>
      <c r="FX16" s="43"/>
      <c r="FY16" s="43"/>
      <c r="FZ16" s="43"/>
      <c r="GA16" s="43"/>
      <c r="GB16" s="43"/>
      <c r="GC16" s="43"/>
      <c r="GD16" s="43"/>
      <c r="GE16" s="43"/>
      <c r="GF16" s="43"/>
      <c r="GG16" s="43"/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43"/>
      <c r="GY16" s="43"/>
      <c r="GZ16" s="43"/>
      <c r="HA16" s="43"/>
      <c r="HB16" s="43"/>
      <c r="HC16" s="43"/>
      <c r="HD16" s="43"/>
      <c r="HE16" s="43"/>
      <c r="HF16" s="43"/>
      <c r="HG16" s="43"/>
      <c r="HH16" s="43"/>
      <c r="HI16" s="43"/>
      <c r="HJ16" s="43"/>
      <c r="HK16" s="43"/>
      <c r="HL16" s="43"/>
      <c r="HM16" s="43"/>
      <c r="HN16" s="43"/>
      <c r="HO16" s="43"/>
      <c r="HP16" s="43"/>
      <c r="HQ16" s="43"/>
      <c r="HR16" s="43"/>
      <c r="HS16" s="43"/>
      <c r="HT16" s="43"/>
      <c r="HU16" s="43"/>
      <c r="HV16" s="43"/>
      <c r="HW16" s="43"/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43"/>
      <c r="IO16" s="43"/>
      <c r="IP16" s="43"/>
      <c r="IQ16" s="43"/>
      <c r="IR16" s="43"/>
      <c r="IS16" s="43"/>
      <c r="IT16" s="43"/>
      <c r="IU16" s="43"/>
      <c r="IV16" s="43"/>
      <c r="IW16" s="43"/>
      <c r="IX16" s="43"/>
      <c r="IY16" s="43"/>
      <c r="IZ16" s="43"/>
      <c r="JA16" s="43"/>
      <c r="JB16" s="43"/>
      <c r="JC16" s="43"/>
      <c r="JD16" s="43"/>
      <c r="JE16" s="43"/>
      <c r="JF16" s="43"/>
      <c r="JG16" s="43"/>
      <c r="JH16" s="43"/>
      <c r="JI16" s="43"/>
      <c r="JJ16" s="43"/>
      <c r="JK16" s="43"/>
      <c r="JL16" s="43"/>
      <c r="JM16" s="43"/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43"/>
      <c r="KE16" s="43"/>
      <c r="KF16" s="43"/>
      <c r="KG16" s="43"/>
      <c r="KH16" s="43"/>
      <c r="KI16" s="43"/>
      <c r="KJ16" s="43"/>
      <c r="KK16" s="43"/>
      <c r="KL16" s="43"/>
      <c r="KM16" s="43"/>
      <c r="KN16" s="43"/>
      <c r="KO16" s="43"/>
      <c r="KP16" s="43"/>
      <c r="KQ16" s="43"/>
      <c r="KR16" s="43"/>
      <c r="KS16" s="43"/>
      <c r="KT16" s="43"/>
      <c r="KU16" s="43"/>
      <c r="KV16" s="43"/>
      <c r="KW16" s="43"/>
      <c r="KX16" s="43"/>
      <c r="KY16" s="43"/>
      <c r="KZ16" s="43"/>
      <c r="LA16" s="43"/>
      <c r="LB16" s="43"/>
      <c r="LC16" s="43"/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43"/>
      <c r="LU16" s="43"/>
      <c r="LV16" s="43"/>
      <c r="LW16" s="43"/>
      <c r="LX16" s="43"/>
      <c r="LY16" s="43"/>
      <c r="LZ16" s="43"/>
      <c r="MA16" s="43"/>
      <c r="MB16" s="43"/>
      <c r="MC16" s="43"/>
      <c r="MD16" s="43"/>
      <c r="ME16" s="43"/>
      <c r="MF16" s="43"/>
      <c r="MG16" s="43"/>
      <c r="MH16" s="43"/>
      <c r="MI16" s="43"/>
      <c r="MJ16" s="43"/>
      <c r="MK16" s="43"/>
      <c r="ML16" s="43"/>
      <c r="MM16" s="43"/>
      <c r="MN16" s="43"/>
      <c r="MO16" s="43"/>
      <c r="MP16" s="43"/>
      <c r="MQ16" s="43"/>
      <c r="MR16" s="43"/>
      <c r="MS16" s="43"/>
      <c r="MT16" s="43"/>
      <c r="MU16" s="43"/>
      <c r="MV16" s="43"/>
      <c r="MW16" s="43"/>
      <c r="MX16" s="43"/>
      <c r="MY16" s="43"/>
      <c r="MZ16" s="43"/>
      <c r="NA16" s="43"/>
      <c r="NB16" s="43"/>
      <c r="NC16" s="43"/>
      <c r="ND16" s="43"/>
      <c r="NE16" s="43"/>
      <c r="NF16" s="43"/>
      <c r="NG16" s="43"/>
      <c r="NH16" s="43"/>
      <c r="NI16" s="43"/>
      <c r="NJ16" s="43"/>
      <c r="NK16" s="43"/>
      <c r="NL16" s="43"/>
      <c r="NM16" s="43"/>
      <c r="NN16" s="43"/>
      <c r="NO16" s="43"/>
      <c r="NP16" s="43"/>
      <c r="NQ16" s="43"/>
      <c r="NR16" s="43"/>
      <c r="NS16" s="43"/>
      <c r="NT16" s="43"/>
      <c r="NU16" s="43"/>
      <c r="NV16" s="43"/>
      <c r="NW16" s="43"/>
      <c r="NX16" s="43"/>
      <c r="NY16" s="43"/>
      <c r="NZ16" s="43"/>
      <c r="OA16" s="43"/>
      <c r="OB16" s="43"/>
      <c r="OC16" s="43"/>
      <c r="OD16" s="43"/>
      <c r="OE16" s="43"/>
      <c r="OF16" s="43"/>
      <c r="OG16" s="43"/>
      <c r="OH16" s="43"/>
      <c r="OI16" s="43"/>
      <c r="OJ16" s="43"/>
      <c r="OK16" s="43"/>
      <c r="OL16" s="43"/>
      <c r="OM16" s="43"/>
      <c r="ON16" s="43"/>
      <c r="OO16" s="43"/>
      <c r="OP16" s="43"/>
      <c r="OQ16" s="43"/>
      <c r="OR16" s="43"/>
      <c r="OS16" s="43"/>
      <c r="OT16" s="43"/>
      <c r="OU16" s="43"/>
      <c r="OV16" s="43"/>
      <c r="OW16" s="43"/>
      <c r="OX16" s="43"/>
      <c r="OY16" s="43"/>
      <c r="OZ16" s="43"/>
      <c r="PA16" s="43"/>
      <c r="PB16" s="43"/>
      <c r="PC16" s="43"/>
      <c r="PD16" s="43"/>
      <c r="PE16" s="43"/>
      <c r="PF16" s="43"/>
      <c r="PG16" s="43"/>
      <c r="PH16" s="43"/>
      <c r="PI16" s="43"/>
      <c r="PJ16" s="43"/>
      <c r="PK16" s="43"/>
      <c r="PL16" s="43"/>
      <c r="PM16" s="43"/>
      <c r="PN16" s="43"/>
      <c r="PO16" s="43"/>
      <c r="PP16" s="43"/>
      <c r="PQ16" s="43"/>
      <c r="PR16" s="43"/>
      <c r="PS16" s="43"/>
      <c r="PT16" s="43"/>
      <c r="PU16" s="43"/>
      <c r="PV16" s="43"/>
      <c r="PW16" s="43"/>
      <c r="PX16" s="43"/>
      <c r="PY16" s="43"/>
      <c r="PZ16" s="43"/>
      <c r="QA16" s="43"/>
      <c r="QB16" s="43"/>
      <c r="QC16" s="43"/>
    </row>
    <row r="17" spans="1:445" x14ac:dyDescent="0.3">
      <c r="A17" s="47" t="s">
        <v>29</v>
      </c>
      <c r="B17" s="45" t="s">
        <v>102</v>
      </c>
      <c r="C17" s="45" t="s">
        <v>44</v>
      </c>
      <c r="D17" s="45" t="s">
        <v>75</v>
      </c>
      <c r="E17" s="45">
        <v>30</v>
      </c>
      <c r="F17" s="45">
        <v>1800</v>
      </c>
      <c r="G17" s="45"/>
      <c r="H17" s="45">
        <v>100</v>
      </c>
      <c r="I17" s="45">
        <v>200</v>
      </c>
      <c r="J17" s="45">
        <v>200</v>
      </c>
      <c r="K17" s="45">
        <v>200</v>
      </c>
      <c r="L17" s="45">
        <v>200</v>
      </c>
      <c r="M17" s="45">
        <v>200</v>
      </c>
      <c r="N17" s="45">
        <v>200</v>
      </c>
      <c r="O17" s="45">
        <v>200</v>
      </c>
      <c r="P17" s="45">
        <v>200</v>
      </c>
      <c r="Q17" s="45">
        <v>100</v>
      </c>
      <c r="R17" s="45"/>
      <c r="S17" s="45"/>
      <c r="T17" s="45">
        <f t="shared" si="2"/>
        <v>1800</v>
      </c>
      <c r="U17" s="45">
        <f t="shared" si="3"/>
        <v>0</v>
      </c>
      <c r="V17" s="68">
        <f t="shared" si="4"/>
        <v>1.0166666666666666</v>
      </c>
      <c r="W17" s="48"/>
      <c r="X17" s="66" t="str">
        <f t="shared" si="5"/>
        <v/>
      </c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3"/>
      <c r="EM17" s="43"/>
      <c r="EN17" s="43"/>
      <c r="EO17" s="43"/>
      <c r="EP17" s="43"/>
      <c r="EQ17" s="43"/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43"/>
      <c r="FI17" s="43"/>
      <c r="FJ17" s="43"/>
      <c r="FK17" s="43"/>
      <c r="FL17" s="43"/>
      <c r="FM17" s="43"/>
      <c r="FN17" s="43"/>
      <c r="FO17" s="43"/>
      <c r="FP17" s="43"/>
      <c r="FQ17" s="43"/>
      <c r="FR17" s="43"/>
      <c r="FS17" s="43"/>
      <c r="FT17" s="43"/>
      <c r="FU17" s="43"/>
      <c r="FV17" s="43"/>
      <c r="FW17" s="43"/>
      <c r="FX17" s="43"/>
      <c r="FY17" s="43"/>
      <c r="FZ17" s="43"/>
      <c r="GA17" s="43"/>
      <c r="GB17" s="43"/>
      <c r="GC17" s="43"/>
      <c r="GD17" s="43"/>
      <c r="GE17" s="43"/>
      <c r="GF17" s="43"/>
      <c r="GG17" s="43"/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43"/>
      <c r="GY17" s="43"/>
      <c r="GZ17" s="43"/>
      <c r="HA17" s="43"/>
      <c r="HB17" s="43"/>
      <c r="HC17" s="43"/>
      <c r="HD17" s="43"/>
      <c r="HE17" s="43"/>
      <c r="HF17" s="43"/>
      <c r="HG17" s="43"/>
      <c r="HH17" s="43"/>
      <c r="HI17" s="43"/>
      <c r="HJ17" s="43"/>
      <c r="HK17" s="43"/>
      <c r="HL17" s="43"/>
      <c r="HM17" s="43"/>
      <c r="HN17" s="43"/>
      <c r="HO17" s="43"/>
      <c r="HP17" s="43"/>
      <c r="HQ17" s="43"/>
      <c r="HR17" s="43"/>
      <c r="HS17" s="43"/>
      <c r="HT17" s="43"/>
      <c r="HU17" s="43"/>
      <c r="HV17" s="43"/>
      <c r="HW17" s="43"/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43"/>
      <c r="IO17" s="43"/>
      <c r="IP17" s="43"/>
      <c r="IQ17" s="43"/>
      <c r="IR17" s="43"/>
      <c r="IS17" s="43"/>
      <c r="IT17" s="43"/>
      <c r="IU17" s="43"/>
      <c r="IV17" s="43"/>
      <c r="IW17" s="43"/>
      <c r="IX17" s="43"/>
      <c r="IY17" s="43"/>
      <c r="IZ17" s="43"/>
      <c r="JA17" s="43"/>
      <c r="JB17" s="43"/>
      <c r="JC17" s="43"/>
      <c r="JD17" s="43"/>
      <c r="JE17" s="43"/>
      <c r="JF17" s="43"/>
      <c r="JG17" s="43"/>
      <c r="JH17" s="43"/>
      <c r="JI17" s="43"/>
      <c r="JJ17" s="43"/>
      <c r="JK17" s="43"/>
      <c r="JL17" s="43"/>
      <c r="JM17" s="43"/>
      <c r="JN17" s="43"/>
      <c r="JO17" s="43"/>
      <c r="JP17" s="43"/>
      <c r="JQ17" s="43"/>
      <c r="JR17" s="43"/>
      <c r="JS17" s="43"/>
      <c r="JT17" s="43"/>
      <c r="JU17" s="43"/>
      <c r="JV17" s="43"/>
      <c r="JW17" s="43"/>
      <c r="JX17" s="43"/>
      <c r="JY17" s="43"/>
      <c r="JZ17" s="43"/>
      <c r="KA17" s="43"/>
      <c r="KB17" s="43"/>
      <c r="KC17" s="43"/>
      <c r="KD17" s="43"/>
      <c r="KE17" s="43"/>
      <c r="KF17" s="43"/>
      <c r="KG17" s="43"/>
      <c r="KH17" s="43"/>
      <c r="KI17" s="43"/>
      <c r="KJ17" s="43"/>
      <c r="KK17" s="43"/>
      <c r="KL17" s="43"/>
      <c r="KM17" s="43"/>
      <c r="KN17" s="43"/>
      <c r="KO17" s="43"/>
      <c r="KP17" s="43"/>
      <c r="KQ17" s="43"/>
      <c r="KR17" s="43"/>
      <c r="KS17" s="43"/>
      <c r="KT17" s="43"/>
      <c r="KU17" s="43"/>
      <c r="KV17" s="43"/>
      <c r="KW17" s="43"/>
      <c r="KX17" s="43"/>
      <c r="KY17" s="43"/>
      <c r="KZ17" s="43"/>
      <c r="LA17" s="43"/>
      <c r="LB17" s="43"/>
      <c r="LC17" s="43"/>
      <c r="LD17" s="43"/>
      <c r="LE17" s="43"/>
      <c r="LF17" s="43"/>
      <c r="LG17" s="43"/>
      <c r="LH17" s="43"/>
      <c r="LI17" s="43"/>
      <c r="LJ17" s="43"/>
      <c r="LK17" s="43"/>
      <c r="LL17" s="43"/>
      <c r="LM17" s="43"/>
      <c r="LN17" s="43"/>
      <c r="LO17" s="43"/>
      <c r="LP17" s="43"/>
      <c r="LQ17" s="43"/>
      <c r="LR17" s="43"/>
      <c r="LS17" s="43"/>
      <c r="LT17" s="43"/>
      <c r="LU17" s="43"/>
      <c r="LV17" s="43"/>
      <c r="LW17" s="43"/>
      <c r="LX17" s="43"/>
      <c r="LY17" s="43"/>
      <c r="LZ17" s="43"/>
      <c r="MA17" s="43"/>
      <c r="MB17" s="43"/>
      <c r="MC17" s="43"/>
      <c r="MD17" s="43"/>
      <c r="ME17" s="43"/>
      <c r="MF17" s="43"/>
      <c r="MG17" s="43"/>
      <c r="MH17" s="43"/>
      <c r="MI17" s="43"/>
      <c r="MJ17" s="43"/>
      <c r="MK17" s="43"/>
      <c r="ML17" s="43"/>
      <c r="MM17" s="43"/>
      <c r="MN17" s="43"/>
      <c r="MO17" s="43"/>
      <c r="MP17" s="43"/>
      <c r="MQ17" s="43"/>
      <c r="MR17" s="43"/>
      <c r="MS17" s="43"/>
      <c r="MT17" s="43"/>
      <c r="MU17" s="43"/>
      <c r="MV17" s="43"/>
      <c r="MW17" s="43"/>
      <c r="MX17" s="43"/>
      <c r="MY17" s="43"/>
      <c r="MZ17" s="43"/>
      <c r="NA17" s="43"/>
      <c r="NB17" s="43"/>
      <c r="NC17" s="43"/>
      <c r="ND17" s="43"/>
      <c r="NE17" s="43"/>
      <c r="NF17" s="43"/>
      <c r="NG17" s="43"/>
      <c r="NH17" s="43"/>
      <c r="NI17" s="43"/>
      <c r="NJ17" s="43"/>
      <c r="NK17" s="43"/>
      <c r="NL17" s="43"/>
      <c r="NM17" s="43"/>
      <c r="NN17" s="43"/>
      <c r="NO17" s="43"/>
      <c r="NP17" s="43"/>
      <c r="NQ17" s="43"/>
      <c r="NR17" s="43"/>
      <c r="NS17" s="43"/>
      <c r="NT17" s="43"/>
      <c r="NU17" s="43"/>
      <c r="NV17" s="43"/>
      <c r="NW17" s="43"/>
      <c r="NX17" s="43"/>
      <c r="NY17" s="43"/>
      <c r="NZ17" s="43"/>
      <c r="OA17" s="43"/>
      <c r="OB17" s="43"/>
      <c r="OC17" s="43"/>
      <c r="OD17" s="43"/>
      <c r="OE17" s="43"/>
      <c r="OF17" s="43"/>
      <c r="OG17" s="43"/>
      <c r="OH17" s="43"/>
      <c r="OI17" s="43"/>
      <c r="OJ17" s="43"/>
      <c r="OK17" s="43"/>
      <c r="OL17" s="43"/>
      <c r="OM17" s="43"/>
      <c r="ON17" s="43"/>
      <c r="OO17" s="43"/>
      <c r="OP17" s="43"/>
      <c r="OQ17" s="43"/>
      <c r="OR17" s="43"/>
      <c r="OS17" s="43"/>
      <c r="OT17" s="43"/>
      <c r="OU17" s="43"/>
      <c r="OV17" s="43"/>
      <c r="OW17" s="43"/>
      <c r="OX17" s="43"/>
      <c r="OY17" s="43"/>
      <c r="OZ17" s="43"/>
      <c r="PA17" s="43"/>
      <c r="PB17" s="43"/>
      <c r="PC17" s="43"/>
      <c r="PD17" s="43"/>
      <c r="PE17" s="43"/>
      <c r="PF17" s="43"/>
      <c r="PG17" s="43"/>
      <c r="PH17" s="43"/>
      <c r="PI17" s="43"/>
      <c r="PJ17" s="43"/>
      <c r="PK17" s="43"/>
      <c r="PL17" s="43"/>
      <c r="PM17" s="43"/>
      <c r="PN17" s="43"/>
      <c r="PO17" s="43"/>
      <c r="PP17" s="43"/>
      <c r="PQ17" s="43"/>
      <c r="PR17" s="43"/>
      <c r="PS17" s="43"/>
      <c r="PT17" s="43"/>
      <c r="PU17" s="43"/>
      <c r="PV17" s="43"/>
      <c r="PW17" s="43"/>
      <c r="PX17" s="43"/>
      <c r="PY17" s="43"/>
      <c r="PZ17" s="43"/>
      <c r="QA17" s="43"/>
      <c r="QB17" s="43"/>
      <c r="QC17" s="43"/>
    </row>
    <row r="18" spans="1:445" x14ac:dyDescent="0.3">
      <c r="A18" s="47" t="s">
        <v>82</v>
      </c>
      <c r="B18" s="45"/>
      <c r="C18" s="45" t="s">
        <v>70</v>
      </c>
      <c r="D18" s="45" t="s">
        <v>76</v>
      </c>
      <c r="E18" s="45">
        <v>20</v>
      </c>
      <c r="F18" s="45">
        <v>990</v>
      </c>
      <c r="G18" s="45"/>
      <c r="H18" s="45">
        <v>130</v>
      </c>
      <c r="I18" s="45">
        <v>130</v>
      </c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>
        <f t="shared" si="2"/>
        <v>260</v>
      </c>
      <c r="U18" s="45">
        <f t="shared" si="3"/>
        <v>0</v>
      </c>
      <c r="V18" s="68">
        <f t="shared" si="4"/>
        <v>1.0202020202020201</v>
      </c>
      <c r="W18" s="48" t="s">
        <v>50</v>
      </c>
      <c r="X18" s="66">
        <f t="shared" si="5"/>
        <v>730</v>
      </c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  <c r="CW18" s="43"/>
      <c r="CX18" s="43"/>
      <c r="CY18" s="43"/>
      <c r="CZ18" s="43"/>
      <c r="DA18" s="43"/>
      <c r="DB18" s="43"/>
      <c r="DC18" s="43"/>
      <c r="DD18" s="43"/>
      <c r="DE18" s="43"/>
      <c r="DF18" s="43"/>
      <c r="DG18" s="43"/>
      <c r="DH18" s="43"/>
      <c r="DI18" s="43"/>
      <c r="DJ18" s="43"/>
      <c r="DK18" s="43"/>
      <c r="DL18" s="43"/>
      <c r="DM18" s="43"/>
      <c r="DN18" s="43"/>
      <c r="DO18" s="43"/>
      <c r="DP18" s="43"/>
      <c r="DQ18" s="43"/>
      <c r="DR18" s="43"/>
      <c r="DS18" s="43"/>
      <c r="DT18" s="43"/>
      <c r="DU18" s="43"/>
      <c r="DV18" s="43"/>
      <c r="DW18" s="43"/>
      <c r="DX18" s="43"/>
      <c r="DY18" s="43"/>
      <c r="DZ18" s="43"/>
      <c r="EA18" s="43"/>
      <c r="EB18" s="43"/>
      <c r="EC18" s="43"/>
      <c r="ED18" s="43"/>
      <c r="EE18" s="43"/>
      <c r="EF18" s="43"/>
      <c r="EG18" s="43"/>
      <c r="EH18" s="43"/>
      <c r="EI18" s="43"/>
      <c r="EJ18" s="43"/>
      <c r="EK18" s="43"/>
      <c r="EL18" s="43"/>
      <c r="EM18" s="43"/>
      <c r="EN18" s="43"/>
      <c r="EO18" s="43"/>
      <c r="EP18" s="43"/>
      <c r="EQ18" s="43"/>
      <c r="ER18" s="43"/>
      <c r="ES18" s="43"/>
      <c r="ET18" s="43"/>
      <c r="EU18" s="43"/>
      <c r="EV18" s="43"/>
      <c r="EW18" s="43"/>
      <c r="EX18" s="43"/>
      <c r="EY18" s="43"/>
      <c r="EZ18" s="43"/>
      <c r="FA18" s="43"/>
      <c r="FB18" s="43"/>
      <c r="FC18" s="43"/>
      <c r="FD18" s="43"/>
      <c r="FE18" s="43"/>
      <c r="FF18" s="43"/>
      <c r="FG18" s="43"/>
      <c r="FH18" s="43"/>
      <c r="FI18" s="43"/>
      <c r="FJ18" s="43"/>
      <c r="FK18" s="43"/>
      <c r="FL18" s="43"/>
      <c r="FM18" s="43"/>
      <c r="FN18" s="43"/>
      <c r="FO18" s="43"/>
      <c r="FP18" s="43"/>
      <c r="FQ18" s="43"/>
      <c r="FR18" s="43"/>
      <c r="FS18" s="43"/>
      <c r="FT18" s="43"/>
      <c r="FU18" s="43"/>
      <c r="FV18" s="43"/>
      <c r="FW18" s="43"/>
      <c r="FX18" s="43"/>
      <c r="FY18" s="43"/>
      <c r="FZ18" s="43"/>
      <c r="GA18" s="43"/>
      <c r="GB18" s="43"/>
      <c r="GC18" s="43"/>
      <c r="GD18" s="43"/>
      <c r="GE18" s="43"/>
      <c r="GF18" s="43"/>
      <c r="GG18" s="43"/>
      <c r="GH18" s="43"/>
      <c r="GI18" s="43"/>
      <c r="GJ18" s="43"/>
      <c r="GK18" s="43"/>
      <c r="GL18" s="43"/>
      <c r="GM18" s="43"/>
      <c r="GN18" s="43"/>
      <c r="GO18" s="43"/>
      <c r="GP18" s="43"/>
      <c r="GQ18" s="43"/>
      <c r="GR18" s="43"/>
      <c r="GS18" s="43"/>
      <c r="GT18" s="43"/>
      <c r="GU18" s="43"/>
      <c r="GV18" s="43"/>
      <c r="GW18" s="43"/>
      <c r="GX18" s="43"/>
      <c r="GY18" s="43"/>
      <c r="GZ18" s="43"/>
      <c r="HA18" s="43"/>
      <c r="HB18" s="43"/>
      <c r="HC18" s="43"/>
      <c r="HD18" s="43"/>
      <c r="HE18" s="43"/>
      <c r="HF18" s="43"/>
      <c r="HG18" s="43"/>
      <c r="HH18" s="43"/>
      <c r="HI18" s="43"/>
      <c r="HJ18" s="43"/>
      <c r="HK18" s="43"/>
      <c r="HL18" s="43"/>
      <c r="HM18" s="43"/>
      <c r="HN18" s="43"/>
      <c r="HO18" s="43"/>
      <c r="HP18" s="43"/>
      <c r="HQ18" s="43"/>
      <c r="HR18" s="43"/>
      <c r="HS18" s="43"/>
      <c r="HT18" s="43"/>
      <c r="HU18" s="43"/>
      <c r="HV18" s="43"/>
      <c r="HW18" s="43"/>
      <c r="HX18" s="43"/>
      <c r="HY18" s="43"/>
      <c r="HZ18" s="43"/>
      <c r="IA18" s="43"/>
      <c r="IB18" s="43"/>
      <c r="IC18" s="43"/>
      <c r="ID18" s="43"/>
      <c r="IE18" s="43"/>
      <c r="IF18" s="43"/>
      <c r="IG18" s="43"/>
      <c r="IH18" s="43"/>
      <c r="II18" s="43"/>
      <c r="IJ18" s="43"/>
      <c r="IK18" s="43"/>
      <c r="IL18" s="43"/>
      <c r="IM18" s="43"/>
      <c r="IN18" s="43"/>
      <c r="IO18" s="43"/>
      <c r="IP18" s="43"/>
      <c r="IQ18" s="43"/>
      <c r="IR18" s="43"/>
      <c r="IS18" s="43"/>
      <c r="IT18" s="43"/>
      <c r="IU18" s="43"/>
      <c r="IV18" s="43"/>
      <c r="IW18" s="43"/>
      <c r="IX18" s="43"/>
      <c r="IY18" s="43"/>
      <c r="IZ18" s="43"/>
      <c r="JA18" s="43"/>
      <c r="JB18" s="43"/>
      <c r="JC18" s="43"/>
      <c r="JD18" s="43"/>
      <c r="JE18" s="43"/>
      <c r="JF18" s="43"/>
      <c r="JG18" s="43"/>
      <c r="JH18" s="43"/>
      <c r="JI18" s="43"/>
      <c r="JJ18" s="43"/>
      <c r="JK18" s="43"/>
      <c r="JL18" s="43"/>
      <c r="JM18" s="43"/>
      <c r="JN18" s="43"/>
      <c r="JO18" s="43"/>
      <c r="JP18" s="43"/>
      <c r="JQ18" s="43"/>
      <c r="JR18" s="43"/>
      <c r="JS18" s="43"/>
      <c r="JT18" s="43"/>
      <c r="JU18" s="43"/>
      <c r="JV18" s="43"/>
      <c r="JW18" s="43"/>
      <c r="JX18" s="43"/>
      <c r="JY18" s="43"/>
      <c r="JZ18" s="43"/>
      <c r="KA18" s="43"/>
      <c r="KB18" s="43"/>
      <c r="KC18" s="43"/>
      <c r="KD18" s="43"/>
      <c r="KE18" s="43"/>
      <c r="KF18" s="43"/>
      <c r="KG18" s="43"/>
      <c r="KH18" s="43"/>
      <c r="KI18" s="43"/>
      <c r="KJ18" s="43"/>
      <c r="KK18" s="43"/>
      <c r="KL18" s="43"/>
      <c r="KM18" s="43"/>
      <c r="KN18" s="43"/>
      <c r="KO18" s="43"/>
      <c r="KP18" s="43"/>
      <c r="KQ18" s="43"/>
      <c r="KR18" s="43"/>
      <c r="KS18" s="43"/>
      <c r="KT18" s="43"/>
      <c r="KU18" s="43"/>
      <c r="KV18" s="43"/>
      <c r="KW18" s="43"/>
      <c r="KX18" s="43"/>
      <c r="KY18" s="43"/>
      <c r="KZ18" s="43"/>
      <c r="LA18" s="43"/>
      <c r="LB18" s="43"/>
      <c r="LC18" s="43"/>
      <c r="LD18" s="43"/>
      <c r="LE18" s="43"/>
      <c r="LF18" s="43"/>
      <c r="LG18" s="43"/>
      <c r="LH18" s="43"/>
      <c r="LI18" s="43"/>
      <c r="LJ18" s="43"/>
      <c r="LK18" s="43"/>
      <c r="LL18" s="43"/>
      <c r="LM18" s="43"/>
      <c r="LN18" s="43"/>
      <c r="LO18" s="43"/>
      <c r="LP18" s="43"/>
      <c r="LQ18" s="43"/>
      <c r="LR18" s="43"/>
      <c r="LS18" s="43"/>
      <c r="LT18" s="43"/>
      <c r="LU18" s="43"/>
      <c r="LV18" s="43"/>
      <c r="LW18" s="43"/>
      <c r="LX18" s="43"/>
      <c r="LY18" s="43"/>
      <c r="LZ18" s="43"/>
      <c r="MA18" s="43"/>
      <c r="MB18" s="43"/>
      <c r="MC18" s="43"/>
      <c r="MD18" s="43"/>
      <c r="ME18" s="43"/>
      <c r="MF18" s="43"/>
      <c r="MG18" s="43"/>
      <c r="MH18" s="43"/>
      <c r="MI18" s="43"/>
      <c r="MJ18" s="43"/>
      <c r="MK18" s="43"/>
      <c r="ML18" s="43"/>
      <c r="MM18" s="43"/>
      <c r="MN18" s="43"/>
      <c r="MO18" s="43"/>
      <c r="MP18" s="43"/>
      <c r="MQ18" s="43"/>
      <c r="MR18" s="43"/>
      <c r="MS18" s="43"/>
      <c r="MT18" s="43"/>
      <c r="MU18" s="43"/>
      <c r="MV18" s="43"/>
      <c r="MW18" s="43"/>
      <c r="MX18" s="43"/>
      <c r="MY18" s="43"/>
      <c r="MZ18" s="43"/>
      <c r="NA18" s="43"/>
      <c r="NB18" s="43"/>
      <c r="NC18" s="43"/>
      <c r="ND18" s="43"/>
      <c r="NE18" s="43"/>
      <c r="NF18" s="43"/>
      <c r="NG18" s="43"/>
      <c r="NH18" s="43"/>
      <c r="NI18" s="43"/>
      <c r="NJ18" s="43"/>
      <c r="NK18" s="43"/>
      <c r="NL18" s="43"/>
      <c r="NM18" s="43"/>
      <c r="NN18" s="43"/>
      <c r="NO18" s="43"/>
      <c r="NP18" s="43"/>
      <c r="NQ18" s="43"/>
      <c r="NR18" s="43"/>
      <c r="NS18" s="43"/>
      <c r="NT18" s="43"/>
      <c r="NU18" s="43"/>
      <c r="NV18" s="43"/>
      <c r="NW18" s="43"/>
      <c r="NX18" s="43"/>
      <c r="NY18" s="43"/>
      <c r="NZ18" s="43"/>
      <c r="OA18" s="43"/>
      <c r="OB18" s="43"/>
      <c r="OC18" s="43"/>
      <c r="OD18" s="43"/>
      <c r="OE18" s="43"/>
      <c r="OF18" s="43"/>
      <c r="OG18" s="43"/>
      <c r="OH18" s="43"/>
      <c r="OI18" s="43"/>
      <c r="OJ18" s="43"/>
      <c r="OK18" s="43"/>
      <c r="OL18" s="43"/>
      <c r="OM18" s="43"/>
      <c r="ON18" s="43"/>
      <c r="OO18" s="43"/>
      <c r="OP18" s="43"/>
      <c r="OQ18" s="43"/>
      <c r="OR18" s="43"/>
      <c r="OS18" s="43"/>
      <c r="OT18" s="43"/>
      <c r="OU18" s="43"/>
      <c r="OV18" s="43"/>
      <c r="OW18" s="43"/>
      <c r="OX18" s="43"/>
      <c r="OY18" s="43"/>
      <c r="OZ18" s="43"/>
      <c r="PA18" s="43"/>
      <c r="PB18" s="43"/>
      <c r="PC18" s="43"/>
      <c r="PD18" s="43"/>
      <c r="PE18" s="43"/>
      <c r="PF18" s="43"/>
      <c r="PG18" s="43"/>
      <c r="PH18" s="43"/>
      <c r="PI18" s="43"/>
      <c r="PJ18" s="43"/>
      <c r="PK18" s="43"/>
      <c r="PL18" s="43"/>
      <c r="PM18" s="43"/>
      <c r="PN18" s="43"/>
      <c r="PO18" s="43"/>
      <c r="PP18" s="43"/>
      <c r="PQ18" s="43"/>
      <c r="PR18" s="43"/>
      <c r="PS18" s="43"/>
      <c r="PT18" s="43"/>
      <c r="PU18" s="43"/>
      <c r="PV18" s="43"/>
      <c r="PW18" s="43"/>
      <c r="PX18" s="43"/>
      <c r="PY18" s="43"/>
      <c r="PZ18" s="43"/>
      <c r="QA18" s="43"/>
      <c r="QB18" s="43"/>
      <c r="QC18" s="43"/>
    </row>
    <row r="19" spans="1:445" x14ac:dyDescent="0.3">
      <c r="A19" s="47" t="s">
        <v>83</v>
      </c>
      <c r="B19" s="45"/>
      <c r="C19" s="45" t="s">
        <v>70</v>
      </c>
      <c r="D19" s="45" t="s">
        <v>76</v>
      </c>
      <c r="E19" s="45">
        <v>20</v>
      </c>
      <c r="F19" s="45">
        <v>990</v>
      </c>
      <c r="G19" s="45"/>
      <c r="H19" s="45">
        <v>130</v>
      </c>
      <c r="I19" s="45">
        <v>130</v>
      </c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>
        <f t="shared" si="2"/>
        <v>260</v>
      </c>
      <c r="U19" s="45">
        <f t="shared" si="3"/>
        <v>0</v>
      </c>
      <c r="V19" s="68">
        <f t="shared" si="4"/>
        <v>1.0202020202020201</v>
      </c>
      <c r="W19" s="48" t="s">
        <v>50</v>
      </c>
      <c r="X19" s="66">
        <f t="shared" si="5"/>
        <v>730</v>
      </c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  <c r="IW19" s="43"/>
      <c r="IX19" s="43"/>
      <c r="IY19" s="43"/>
      <c r="IZ19" s="43"/>
      <c r="JA19" s="43"/>
      <c r="JB19" s="43"/>
      <c r="JC19" s="43"/>
      <c r="JD19" s="43"/>
      <c r="JE19" s="43"/>
      <c r="JF19" s="43"/>
      <c r="JG19" s="43"/>
      <c r="JH19" s="43"/>
      <c r="JI19" s="43"/>
      <c r="JJ19" s="43"/>
      <c r="JK19" s="43"/>
      <c r="JL19" s="43"/>
      <c r="JM19" s="43"/>
      <c r="JN19" s="43"/>
      <c r="JO19" s="43"/>
      <c r="JP19" s="43"/>
      <c r="JQ19" s="43"/>
      <c r="JR19" s="43"/>
      <c r="JS19" s="43"/>
      <c r="JT19" s="43"/>
      <c r="JU19" s="43"/>
      <c r="JV19" s="43"/>
      <c r="JW19" s="43"/>
      <c r="JX19" s="43"/>
      <c r="JY19" s="43"/>
      <c r="JZ19" s="43"/>
      <c r="KA19" s="43"/>
      <c r="KB19" s="43"/>
      <c r="KC19" s="43"/>
      <c r="KD19" s="43"/>
      <c r="KE19" s="43"/>
      <c r="KF19" s="43"/>
      <c r="KG19" s="43"/>
      <c r="KH19" s="43"/>
      <c r="KI19" s="43"/>
      <c r="KJ19" s="43"/>
      <c r="KK19" s="43"/>
      <c r="KL19" s="43"/>
      <c r="KM19" s="43"/>
      <c r="KN19" s="43"/>
      <c r="KO19" s="43"/>
      <c r="KP19" s="43"/>
      <c r="KQ19" s="43"/>
      <c r="KR19" s="43"/>
      <c r="KS19" s="43"/>
      <c r="KT19" s="43"/>
      <c r="KU19" s="43"/>
      <c r="KV19" s="43"/>
      <c r="KW19" s="43"/>
      <c r="KX19" s="43"/>
      <c r="KY19" s="43"/>
      <c r="KZ19" s="43"/>
      <c r="LA19" s="43"/>
      <c r="LB19" s="43"/>
      <c r="LC19" s="43"/>
      <c r="LD19" s="43"/>
      <c r="LE19" s="43"/>
      <c r="LF19" s="43"/>
      <c r="LG19" s="43"/>
      <c r="LH19" s="43"/>
      <c r="LI19" s="43"/>
      <c r="LJ19" s="43"/>
      <c r="LK19" s="43"/>
      <c r="LL19" s="43"/>
      <c r="LM19" s="43"/>
      <c r="LN19" s="43"/>
      <c r="LO19" s="43"/>
      <c r="LP19" s="43"/>
      <c r="LQ19" s="43"/>
      <c r="LR19" s="43"/>
      <c r="LS19" s="43"/>
      <c r="LT19" s="43"/>
      <c r="LU19" s="43"/>
      <c r="LV19" s="43"/>
      <c r="LW19" s="43"/>
      <c r="LX19" s="43"/>
      <c r="LY19" s="43"/>
      <c r="LZ19" s="43"/>
      <c r="MA19" s="43"/>
      <c r="MB19" s="43"/>
      <c r="MC19" s="43"/>
      <c r="MD19" s="43"/>
      <c r="ME19" s="43"/>
      <c r="MF19" s="43"/>
      <c r="MG19" s="43"/>
      <c r="MH19" s="43"/>
      <c r="MI19" s="43"/>
      <c r="MJ19" s="43"/>
      <c r="MK19" s="43"/>
      <c r="ML19" s="43"/>
      <c r="MM19" s="43"/>
      <c r="MN19" s="43"/>
      <c r="MO19" s="43"/>
      <c r="MP19" s="43"/>
      <c r="MQ19" s="43"/>
      <c r="MR19" s="43"/>
      <c r="MS19" s="43"/>
      <c r="MT19" s="43"/>
      <c r="MU19" s="43"/>
      <c r="MV19" s="43"/>
      <c r="MW19" s="43"/>
      <c r="MX19" s="43"/>
      <c r="MY19" s="43"/>
      <c r="MZ19" s="43"/>
      <c r="NA19" s="43"/>
      <c r="NB19" s="43"/>
      <c r="NC19" s="43"/>
      <c r="ND19" s="43"/>
      <c r="NE19" s="43"/>
      <c r="NF19" s="43"/>
      <c r="NG19" s="43"/>
      <c r="NH19" s="43"/>
      <c r="NI19" s="43"/>
      <c r="NJ19" s="43"/>
      <c r="NK19" s="43"/>
      <c r="NL19" s="43"/>
      <c r="NM19" s="43"/>
      <c r="NN19" s="43"/>
      <c r="NO19" s="43"/>
      <c r="NP19" s="43"/>
      <c r="NQ19" s="43"/>
      <c r="NR19" s="43"/>
      <c r="NS19" s="43"/>
      <c r="NT19" s="43"/>
      <c r="NU19" s="43"/>
      <c r="NV19" s="43"/>
      <c r="NW19" s="43"/>
      <c r="NX19" s="43"/>
      <c r="NY19" s="43"/>
      <c r="NZ19" s="43"/>
      <c r="OA19" s="43"/>
      <c r="OB19" s="43"/>
      <c r="OC19" s="43"/>
      <c r="OD19" s="43"/>
      <c r="OE19" s="43"/>
      <c r="OF19" s="43"/>
      <c r="OG19" s="43"/>
      <c r="OH19" s="43"/>
      <c r="OI19" s="43"/>
      <c r="OJ19" s="43"/>
      <c r="OK19" s="43"/>
      <c r="OL19" s="43"/>
      <c r="OM19" s="43"/>
      <c r="ON19" s="43"/>
      <c r="OO19" s="43"/>
      <c r="OP19" s="43"/>
      <c r="OQ19" s="43"/>
      <c r="OR19" s="43"/>
      <c r="OS19" s="43"/>
      <c r="OT19" s="43"/>
      <c r="OU19" s="43"/>
      <c r="OV19" s="43"/>
      <c r="OW19" s="43"/>
      <c r="OX19" s="43"/>
      <c r="OY19" s="43"/>
      <c r="OZ19" s="43"/>
      <c r="PA19" s="43"/>
      <c r="PB19" s="43"/>
      <c r="PC19" s="43"/>
      <c r="PD19" s="43"/>
      <c r="PE19" s="43"/>
      <c r="PF19" s="43"/>
      <c r="PG19" s="43"/>
      <c r="PH19" s="43"/>
      <c r="PI19" s="43"/>
      <c r="PJ19" s="43"/>
      <c r="PK19" s="43"/>
      <c r="PL19" s="43"/>
      <c r="PM19" s="43"/>
      <c r="PN19" s="43"/>
      <c r="PO19" s="43"/>
      <c r="PP19" s="43"/>
      <c r="PQ19" s="43"/>
      <c r="PR19" s="43"/>
      <c r="PS19" s="43"/>
      <c r="PT19" s="43"/>
      <c r="PU19" s="43"/>
      <c r="PV19" s="43"/>
      <c r="PW19" s="43"/>
      <c r="PX19" s="43"/>
      <c r="PY19" s="43"/>
      <c r="PZ19" s="43"/>
      <c r="QA19" s="43"/>
      <c r="QB19" s="43"/>
      <c r="QC19" s="43"/>
    </row>
    <row r="20" spans="1:445" x14ac:dyDescent="0.3">
      <c r="A20" s="47" t="s">
        <v>97</v>
      </c>
      <c r="B20" s="45" t="s">
        <v>73</v>
      </c>
      <c r="C20" s="45" t="s">
        <v>44</v>
      </c>
      <c r="D20" s="45" t="s">
        <v>92</v>
      </c>
      <c r="E20" s="45">
        <v>40</v>
      </c>
      <c r="F20" s="45">
        <v>1800</v>
      </c>
      <c r="G20" s="45"/>
      <c r="H20" s="45">
        <v>200</v>
      </c>
      <c r="I20" s="45">
        <v>200</v>
      </c>
      <c r="J20" s="45">
        <v>200</v>
      </c>
      <c r="K20" s="45">
        <v>200</v>
      </c>
      <c r="L20" s="45">
        <v>200</v>
      </c>
      <c r="M20" s="45">
        <v>200</v>
      </c>
      <c r="N20" s="45">
        <v>200</v>
      </c>
      <c r="O20" s="45">
        <v>200</v>
      </c>
      <c r="P20" s="45">
        <v>200</v>
      </c>
      <c r="Q20" s="45"/>
      <c r="R20" s="45"/>
      <c r="S20" s="45"/>
      <c r="T20" s="45">
        <f t="shared" si="2"/>
        <v>1800</v>
      </c>
      <c r="U20" s="45">
        <f t="shared" si="3"/>
        <v>0</v>
      </c>
      <c r="V20" s="68">
        <f t="shared" si="4"/>
        <v>1.0222222222222221</v>
      </c>
      <c r="W20" s="48"/>
      <c r="X20" s="66" t="str">
        <f t="shared" si="5"/>
        <v/>
      </c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  <c r="GT20" s="43"/>
      <c r="GU20" s="43"/>
      <c r="GV20" s="43"/>
      <c r="GW20" s="43"/>
      <c r="GX20" s="43"/>
      <c r="GY20" s="43"/>
      <c r="GZ20" s="43"/>
      <c r="HA20" s="43"/>
      <c r="HB20" s="43"/>
      <c r="HC20" s="43"/>
      <c r="HD20" s="43"/>
      <c r="HE20" s="43"/>
      <c r="HF20" s="43"/>
      <c r="HG20" s="43"/>
      <c r="HH20" s="43"/>
      <c r="HI20" s="43"/>
      <c r="HJ20" s="43"/>
      <c r="HK20" s="43"/>
      <c r="HL20" s="43"/>
      <c r="HM20" s="43"/>
      <c r="HN20" s="43"/>
      <c r="HO20" s="43"/>
      <c r="HP20" s="43"/>
      <c r="HQ20" s="43"/>
      <c r="HR20" s="43"/>
      <c r="HS20" s="43"/>
      <c r="HT20" s="43"/>
      <c r="HU20" s="43"/>
      <c r="HV20" s="43"/>
      <c r="HW20" s="43"/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  <c r="IM20" s="43"/>
      <c r="IN20" s="43"/>
      <c r="IO20" s="43"/>
      <c r="IP20" s="43"/>
      <c r="IQ20" s="43"/>
      <c r="IR20" s="43"/>
      <c r="IS20" s="43"/>
      <c r="IT20" s="43"/>
      <c r="IU20" s="43"/>
      <c r="IV20" s="43"/>
      <c r="IW20" s="43"/>
      <c r="IX20" s="43"/>
      <c r="IY20" s="43"/>
      <c r="IZ20" s="43"/>
      <c r="JA20" s="43"/>
      <c r="JB20" s="43"/>
      <c r="JC20" s="43"/>
      <c r="JD20" s="43"/>
      <c r="JE20" s="43"/>
      <c r="JF20" s="43"/>
      <c r="JG20" s="43"/>
      <c r="JH20" s="43"/>
      <c r="JI20" s="43"/>
      <c r="JJ20" s="43"/>
      <c r="JK20" s="43"/>
      <c r="JL20" s="43"/>
      <c r="JM20" s="43"/>
      <c r="JN20" s="43"/>
      <c r="JO20" s="43"/>
      <c r="JP20" s="43"/>
      <c r="JQ20" s="43"/>
      <c r="JR20" s="43"/>
      <c r="JS20" s="43"/>
      <c r="JT20" s="43"/>
      <c r="JU20" s="43"/>
      <c r="JV20" s="43"/>
      <c r="JW20" s="43"/>
      <c r="JX20" s="43"/>
      <c r="JY20" s="43"/>
      <c r="JZ20" s="43"/>
      <c r="KA20" s="43"/>
      <c r="KB20" s="43"/>
      <c r="KC20" s="43"/>
      <c r="KD20" s="43"/>
      <c r="KE20" s="43"/>
      <c r="KF20" s="43"/>
      <c r="KG20" s="43"/>
      <c r="KH20" s="43"/>
      <c r="KI20" s="43"/>
      <c r="KJ20" s="43"/>
      <c r="KK20" s="43"/>
      <c r="KL20" s="43"/>
      <c r="KM20" s="43"/>
      <c r="KN20" s="43"/>
      <c r="KO20" s="43"/>
      <c r="KP20" s="43"/>
      <c r="KQ20" s="43"/>
      <c r="KR20" s="43"/>
      <c r="KS20" s="43"/>
      <c r="KT20" s="43"/>
      <c r="KU20" s="43"/>
      <c r="KV20" s="43"/>
      <c r="KW20" s="43"/>
      <c r="KX20" s="43"/>
      <c r="KY20" s="43"/>
      <c r="KZ20" s="43"/>
      <c r="LA20" s="43"/>
      <c r="LB20" s="43"/>
      <c r="LC20" s="43"/>
      <c r="LD20" s="43"/>
      <c r="LE20" s="43"/>
      <c r="LF20" s="43"/>
      <c r="LG20" s="43"/>
      <c r="LH20" s="43"/>
      <c r="LI20" s="43"/>
      <c r="LJ20" s="43"/>
      <c r="LK20" s="43"/>
      <c r="LL20" s="43"/>
      <c r="LM20" s="43"/>
      <c r="LN20" s="43"/>
      <c r="LO20" s="43"/>
      <c r="LP20" s="43"/>
      <c r="LQ20" s="43"/>
      <c r="LR20" s="43"/>
      <c r="LS20" s="43"/>
      <c r="LT20" s="43"/>
      <c r="LU20" s="43"/>
      <c r="LV20" s="43"/>
      <c r="LW20" s="43"/>
      <c r="LX20" s="43"/>
      <c r="LY20" s="43"/>
      <c r="LZ20" s="43"/>
      <c r="MA20" s="43"/>
      <c r="MB20" s="43"/>
      <c r="MC20" s="43"/>
      <c r="MD20" s="43"/>
      <c r="ME20" s="43"/>
      <c r="MF20" s="43"/>
      <c r="MG20" s="43"/>
      <c r="MH20" s="43"/>
      <c r="MI20" s="43"/>
      <c r="MJ20" s="43"/>
      <c r="MK20" s="43"/>
      <c r="ML20" s="43"/>
      <c r="MM20" s="43"/>
      <c r="MN20" s="43"/>
      <c r="MO20" s="43"/>
      <c r="MP20" s="43"/>
      <c r="MQ20" s="43"/>
      <c r="MR20" s="43"/>
      <c r="MS20" s="43"/>
      <c r="MT20" s="43"/>
      <c r="MU20" s="43"/>
      <c r="MV20" s="43"/>
      <c r="MW20" s="43"/>
      <c r="MX20" s="43"/>
      <c r="MY20" s="43"/>
      <c r="MZ20" s="43"/>
      <c r="NA20" s="43"/>
      <c r="NB20" s="43"/>
      <c r="NC20" s="43"/>
      <c r="ND20" s="43"/>
      <c r="NE20" s="43"/>
      <c r="NF20" s="43"/>
      <c r="NG20" s="43"/>
      <c r="NH20" s="43"/>
      <c r="NI20" s="43"/>
      <c r="NJ20" s="43"/>
      <c r="NK20" s="43"/>
      <c r="NL20" s="43"/>
      <c r="NM20" s="43"/>
      <c r="NN20" s="43"/>
      <c r="NO20" s="43"/>
      <c r="NP20" s="43"/>
      <c r="NQ20" s="43"/>
      <c r="NR20" s="43"/>
      <c r="NS20" s="43"/>
      <c r="NT20" s="43"/>
      <c r="NU20" s="43"/>
      <c r="NV20" s="43"/>
      <c r="NW20" s="43"/>
      <c r="NX20" s="43"/>
      <c r="NY20" s="43"/>
      <c r="NZ20" s="43"/>
      <c r="OA20" s="43"/>
      <c r="OB20" s="43"/>
      <c r="OC20" s="43"/>
      <c r="OD20" s="43"/>
      <c r="OE20" s="43"/>
      <c r="OF20" s="43"/>
      <c r="OG20" s="43"/>
      <c r="OH20" s="43"/>
      <c r="OI20" s="43"/>
      <c r="OJ20" s="43"/>
      <c r="OK20" s="43"/>
      <c r="OL20" s="43"/>
      <c r="OM20" s="43"/>
      <c r="ON20" s="43"/>
      <c r="OO20" s="43"/>
      <c r="OP20" s="43"/>
      <c r="OQ20" s="43"/>
      <c r="OR20" s="43"/>
      <c r="OS20" s="43"/>
      <c r="OT20" s="43"/>
      <c r="OU20" s="43"/>
      <c r="OV20" s="43"/>
      <c r="OW20" s="43"/>
      <c r="OX20" s="43"/>
      <c r="OY20" s="43"/>
      <c r="OZ20" s="43"/>
      <c r="PA20" s="43"/>
      <c r="PB20" s="43"/>
      <c r="PC20" s="43"/>
      <c r="PD20" s="43"/>
      <c r="PE20" s="43"/>
      <c r="PF20" s="43"/>
      <c r="PG20" s="43"/>
      <c r="PH20" s="43"/>
      <c r="PI20" s="43"/>
      <c r="PJ20" s="43"/>
      <c r="PK20" s="43"/>
      <c r="PL20" s="43"/>
      <c r="PM20" s="43"/>
      <c r="PN20" s="43"/>
      <c r="PO20" s="43"/>
      <c r="PP20" s="43"/>
      <c r="PQ20" s="43"/>
      <c r="PR20" s="43"/>
      <c r="PS20" s="43"/>
      <c r="PT20" s="43"/>
      <c r="PU20" s="43"/>
      <c r="PV20" s="43"/>
      <c r="PW20" s="43"/>
      <c r="PX20" s="43"/>
      <c r="PY20" s="43"/>
      <c r="PZ20" s="43"/>
      <c r="QA20" s="43"/>
      <c r="QB20" s="43"/>
      <c r="QC20" s="43"/>
    </row>
    <row r="21" spans="1:445" x14ac:dyDescent="0.3">
      <c r="A21" s="47" t="s">
        <v>98</v>
      </c>
      <c r="B21" s="45" t="s">
        <v>73</v>
      </c>
      <c r="C21" s="45" t="s">
        <v>62</v>
      </c>
      <c r="D21" s="45" t="s">
        <v>77</v>
      </c>
      <c r="E21" s="45">
        <v>40</v>
      </c>
      <c r="F21" s="45">
        <v>1350</v>
      </c>
      <c r="G21" s="45"/>
      <c r="H21" s="45">
        <v>150</v>
      </c>
      <c r="I21" s="45">
        <v>150</v>
      </c>
      <c r="J21" s="45">
        <v>150</v>
      </c>
      <c r="K21" s="45">
        <v>150</v>
      </c>
      <c r="L21" s="45">
        <v>150</v>
      </c>
      <c r="M21" s="45">
        <v>150</v>
      </c>
      <c r="N21" s="45">
        <v>150</v>
      </c>
      <c r="O21" s="45">
        <v>150</v>
      </c>
      <c r="P21" s="45">
        <v>150</v>
      </c>
      <c r="Q21" s="45"/>
      <c r="R21" s="45"/>
      <c r="S21" s="45"/>
      <c r="T21" s="45">
        <f t="shared" si="2"/>
        <v>1350</v>
      </c>
      <c r="U21" s="45">
        <f t="shared" si="3"/>
        <v>0</v>
      </c>
      <c r="V21" s="68">
        <f t="shared" si="4"/>
        <v>1.0296296296296297</v>
      </c>
      <c r="W21" s="48"/>
      <c r="X21" s="66" t="str">
        <f t="shared" si="5"/>
        <v/>
      </c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  <c r="CW21" s="43"/>
      <c r="CX21" s="43"/>
      <c r="CY21" s="43"/>
      <c r="CZ21" s="43"/>
      <c r="DA21" s="43"/>
      <c r="DB21" s="43"/>
      <c r="DC21" s="43"/>
      <c r="DD21" s="43"/>
      <c r="DE21" s="43"/>
      <c r="DF21" s="43"/>
      <c r="DG21" s="43"/>
      <c r="DH21" s="43"/>
      <c r="DI21" s="43"/>
      <c r="DJ21" s="43"/>
      <c r="DK21" s="43"/>
      <c r="DL21" s="43"/>
      <c r="DM21" s="43"/>
      <c r="DN21" s="43"/>
      <c r="DO21" s="43"/>
      <c r="DP21" s="43"/>
      <c r="DQ21" s="43"/>
      <c r="DR21" s="43"/>
      <c r="DS21" s="43"/>
      <c r="DT21" s="43"/>
      <c r="DU21" s="43"/>
      <c r="DV21" s="43"/>
      <c r="DW21" s="43"/>
      <c r="DX21" s="43"/>
      <c r="DY21" s="43"/>
      <c r="DZ21" s="43"/>
      <c r="EA21" s="43"/>
      <c r="EB21" s="43"/>
      <c r="EC21" s="43"/>
      <c r="ED21" s="43"/>
      <c r="EE21" s="43"/>
      <c r="EF21" s="43"/>
      <c r="EG21" s="43"/>
      <c r="EH21" s="43"/>
      <c r="EI21" s="43"/>
      <c r="EJ21" s="43"/>
      <c r="EK21" s="43"/>
      <c r="EL21" s="43"/>
      <c r="EM21" s="43"/>
      <c r="EN21" s="43"/>
      <c r="EO21" s="43"/>
      <c r="EP21" s="43"/>
      <c r="EQ21" s="43"/>
      <c r="ER21" s="43"/>
      <c r="ES21" s="43"/>
      <c r="ET21" s="43"/>
      <c r="EU21" s="43"/>
      <c r="EV21" s="43"/>
      <c r="EW21" s="43"/>
      <c r="EX21" s="43"/>
      <c r="EY21" s="43"/>
      <c r="EZ21" s="43"/>
      <c r="FA21" s="43"/>
      <c r="FB21" s="43"/>
      <c r="FC21" s="43"/>
      <c r="FD21" s="43"/>
      <c r="FE21" s="43"/>
      <c r="FF21" s="43"/>
      <c r="FG21" s="43"/>
      <c r="FH21" s="43"/>
      <c r="FI21" s="43"/>
      <c r="FJ21" s="43"/>
      <c r="FK21" s="43"/>
      <c r="FL21" s="43"/>
      <c r="FM21" s="43"/>
      <c r="FN21" s="43"/>
      <c r="FO21" s="43"/>
      <c r="FP21" s="43"/>
      <c r="FQ21" s="43"/>
      <c r="FR21" s="43"/>
      <c r="FS21" s="43"/>
      <c r="FT21" s="43"/>
      <c r="FU21" s="43"/>
      <c r="FV21" s="43"/>
      <c r="FW21" s="43"/>
      <c r="FX21" s="43"/>
      <c r="FY21" s="43"/>
      <c r="FZ21" s="43"/>
      <c r="GA21" s="43"/>
      <c r="GB21" s="43"/>
      <c r="GC21" s="43"/>
      <c r="GD21" s="43"/>
      <c r="GE21" s="43"/>
      <c r="GF21" s="43"/>
      <c r="GG21" s="43"/>
      <c r="GH21" s="43"/>
      <c r="GI21" s="43"/>
      <c r="GJ21" s="43"/>
      <c r="GK21" s="43"/>
      <c r="GL21" s="43"/>
      <c r="GM21" s="43"/>
      <c r="GN21" s="43"/>
      <c r="GO21" s="43"/>
      <c r="GP21" s="43"/>
      <c r="GQ21" s="43"/>
      <c r="GR21" s="43"/>
      <c r="GS21" s="43"/>
      <c r="GT21" s="43"/>
      <c r="GU21" s="43"/>
      <c r="GV21" s="43"/>
      <c r="GW21" s="43"/>
      <c r="GX21" s="43"/>
      <c r="GY21" s="43"/>
      <c r="GZ21" s="43"/>
      <c r="HA21" s="43"/>
      <c r="HB21" s="43"/>
      <c r="HC21" s="43"/>
      <c r="HD21" s="43"/>
      <c r="HE21" s="43"/>
      <c r="HF21" s="43"/>
      <c r="HG21" s="43"/>
      <c r="HH21" s="43"/>
      <c r="HI21" s="43"/>
      <c r="HJ21" s="43"/>
      <c r="HK21" s="43"/>
      <c r="HL21" s="43"/>
      <c r="HM21" s="43"/>
      <c r="HN21" s="43"/>
      <c r="HO21" s="43"/>
      <c r="HP21" s="43"/>
      <c r="HQ21" s="43"/>
      <c r="HR21" s="43"/>
      <c r="HS21" s="43"/>
      <c r="HT21" s="43"/>
      <c r="HU21" s="43"/>
      <c r="HV21" s="43"/>
      <c r="HW21" s="43"/>
      <c r="HX21" s="43"/>
      <c r="HY21" s="43"/>
      <c r="HZ21" s="43"/>
      <c r="IA21" s="43"/>
      <c r="IB21" s="43"/>
      <c r="IC21" s="43"/>
      <c r="ID21" s="43"/>
      <c r="IE21" s="43"/>
      <c r="IF21" s="43"/>
      <c r="IG21" s="43"/>
      <c r="IH21" s="43"/>
      <c r="II21" s="43"/>
      <c r="IJ21" s="43"/>
      <c r="IK21" s="43"/>
      <c r="IL21" s="43"/>
      <c r="IM21" s="43"/>
      <c r="IN21" s="43"/>
      <c r="IO21" s="43"/>
      <c r="IP21" s="43"/>
      <c r="IQ21" s="43"/>
      <c r="IR21" s="43"/>
      <c r="IS21" s="43"/>
      <c r="IT21" s="43"/>
      <c r="IU21" s="43"/>
      <c r="IV21" s="43"/>
      <c r="IW21" s="43"/>
      <c r="IX21" s="43"/>
      <c r="IY21" s="43"/>
      <c r="IZ21" s="43"/>
      <c r="JA21" s="43"/>
      <c r="JB21" s="43"/>
      <c r="JC21" s="43"/>
      <c r="JD21" s="43"/>
      <c r="JE21" s="43"/>
      <c r="JF21" s="43"/>
      <c r="JG21" s="43"/>
      <c r="JH21" s="43"/>
      <c r="JI21" s="43"/>
      <c r="JJ21" s="43"/>
      <c r="JK21" s="43"/>
      <c r="JL21" s="43"/>
      <c r="JM21" s="43"/>
      <c r="JN21" s="43"/>
      <c r="JO21" s="43"/>
      <c r="JP21" s="43"/>
      <c r="JQ21" s="43"/>
      <c r="JR21" s="43"/>
      <c r="JS21" s="43"/>
      <c r="JT21" s="43"/>
      <c r="JU21" s="43"/>
      <c r="JV21" s="43"/>
      <c r="JW21" s="43"/>
      <c r="JX21" s="43"/>
      <c r="JY21" s="43"/>
      <c r="JZ21" s="43"/>
      <c r="KA21" s="43"/>
      <c r="KB21" s="43"/>
      <c r="KC21" s="43"/>
      <c r="KD21" s="43"/>
      <c r="KE21" s="43"/>
      <c r="KF21" s="43"/>
      <c r="KG21" s="43"/>
      <c r="KH21" s="43"/>
      <c r="KI21" s="43"/>
      <c r="KJ21" s="43"/>
      <c r="KK21" s="43"/>
      <c r="KL21" s="43"/>
      <c r="KM21" s="43"/>
      <c r="KN21" s="43"/>
      <c r="KO21" s="43"/>
      <c r="KP21" s="43"/>
      <c r="KQ21" s="43"/>
      <c r="KR21" s="43"/>
      <c r="KS21" s="43"/>
      <c r="KT21" s="43"/>
      <c r="KU21" s="43"/>
      <c r="KV21" s="43"/>
      <c r="KW21" s="43"/>
      <c r="KX21" s="43"/>
      <c r="KY21" s="43"/>
      <c r="KZ21" s="43"/>
      <c r="LA21" s="43"/>
      <c r="LB21" s="43"/>
      <c r="LC21" s="43"/>
      <c r="LD21" s="43"/>
      <c r="LE21" s="43"/>
      <c r="LF21" s="43"/>
      <c r="LG21" s="43"/>
      <c r="LH21" s="43"/>
      <c r="LI21" s="43"/>
      <c r="LJ21" s="43"/>
      <c r="LK21" s="43"/>
      <c r="LL21" s="43"/>
      <c r="LM21" s="43"/>
      <c r="LN21" s="43"/>
      <c r="LO21" s="43"/>
      <c r="LP21" s="43"/>
      <c r="LQ21" s="43"/>
      <c r="LR21" s="43"/>
      <c r="LS21" s="43"/>
      <c r="LT21" s="43"/>
      <c r="LU21" s="43"/>
      <c r="LV21" s="43"/>
      <c r="LW21" s="43"/>
      <c r="LX21" s="43"/>
      <c r="LY21" s="43"/>
      <c r="LZ21" s="43"/>
      <c r="MA21" s="43"/>
      <c r="MB21" s="43"/>
      <c r="MC21" s="43"/>
      <c r="MD21" s="43"/>
      <c r="ME21" s="43"/>
      <c r="MF21" s="43"/>
      <c r="MG21" s="43"/>
      <c r="MH21" s="43"/>
      <c r="MI21" s="43"/>
      <c r="MJ21" s="43"/>
      <c r="MK21" s="43"/>
      <c r="ML21" s="43"/>
      <c r="MM21" s="43"/>
      <c r="MN21" s="43"/>
      <c r="MO21" s="43"/>
      <c r="MP21" s="43"/>
      <c r="MQ21" s="43"/>
      <c r="MR21" s="43"/>
      <c r="MS21" s="43"/>
      <c r="MT21" s="43"/>
      <c r="MU21" s="43"/>
      <c r="MV21" s="43"/>
      <c r="MW21" s="43"/>
      <c r="MX21" s="43"/>
      <c r="MY21" s="43"/>
      <c r="MZ21" s="43"/>
      <c r="NA21" s="43"/>
      <c r="NB21" s="43"/>
      <c r="NC21" s="43"/>
      <c r="ND21" s="43"/>
      <c r="NE21" s="43"/>
      <c r="NF21" s="43"/>
      <c r="NG21" s="43"/>
      <c r="NH21" s="43"/>
      <c r="NI21" s="43"/>
      <c r="NJ21" s="43"/>
      <c r="NK21" s="43"/>
      <c r="NL21" s="43"/>
      <c r="NM21" s="43"/>
      <c r="NN21" s="43"/>
      <c r="NO21" s="43"/>
      <c r="NP21" s="43"/>
      <c r="NQ21" s="43"/>
      <c r="NR21" s="43"/>
      <c r="NS21" s="43"/>
      <c r="NT21" s="43"/>
      <c r="NU21" s="43"/>
      <c r="NV21" s="43"/>
      <c r="NW21" s="43"/>
      <c r="NX21" s="43"/>
      <c r="NY21" s="43"/>
      <c r="NZ21" s="43"/>
      <c r="OA21" s="43"/>
      <c r="OB21" s="43"/>
      <c r="OC21" s="43"/>
      <c r="OD21" s="43"/>
      <c r="OE21" s="43"/>
      <c r="OF21" s="43"/>
      <c r="OG21" s="43"/>
      <c r="OH21" s="43"/>
      <c r="OI21" s="43"/>
      <c r="OJ21" s="43"/>
      <c r="OK21" s="43"/>
      <c r="OL21" s="43"/>
      <c r="OM21" s="43"/>
      <c r="ON21" s="43"/>
      <c r="OO21" s="43"/>
      <c r="OP21" s="43"/>
      <c r="OQ21" s="43"/>
      <c r="OR21" s="43"/>
      <c r="OS21" s="43"/>
      <c r="OT21" s="43"/>
      <c r="OU21" s="43"/>
      <c r="OV21" s="43"/>
      <c r="OW21" s="43"/>
      <c r="OX21" s="43"/>
      <c r="OY21" s="43"/>
      <c r="OZ21" s="43"/>
      <c r="PA21" s="43"/>
      <c r="PB21" s="43"/>
      <c r="PC21" s="43"/>
      <c r="PD21" s="43"/>
      <c r="PE21" s="43"/>
      <c r="PF21" s="43"/>
      <c r="PG21" s="43"/>
      <c r="PH21" s="43"/>
      <c r="PI21" s="43"/>
      <c r="PJ21" s="43"/>
      <c r="PK21" s="43"/>
      <c r="PL21" s="43"/>
      <c r="PM21" s="43"/>
      <c r="PN21" s="43"/>
      <c r="PO21" s="43"/>
      <c r="PP21" s="43"/>
      <c r="PQ21" s="43"/>
      <c r="PR21" s="43"/>
      <c r="PS21" s="43"/>
      <c r="PT21" s="43"/>
      <c r="PU21" s="43"/>
      <c r="PV21" s="43"/>
      <c r="PW21" s="43"/>
      <c r="PX21" s="43"/>
      <c r="PY21" s="43"/>
      <c r="PZ21" s="43"/>
      <c r="QA21" s="43"/>
      <c r="QB21" s="43"/>
      <c r="QC21" s="43"/>
    </row>
    <row r="22" spans="1:445" x14ac:dyDescent="0.3">
      <c r="A22" s="47" t="s">
        <v>90</v>
      </c>
      <c r="B22" s="45"/>
      <c r="C22" s="45" t="s">
        <v>44</v>
      </c>
      <c r="D22" s="45"/>
      <c r="E22" s="45">
        <v>30</v>
      </c>
      <c r="F22" s="45">
        <v>2070</v>
      </c>
      <c r="G22" s="45"/>
      <c r="H22" s="48"/>
      <c r="I22" s="45">
        <v>200</v>
      </c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>
        <f t="shared" si="2"/>
        <v>200</v>
      </c>
      <c r="U22" s="45">
        <f t="shared" si="3"/>
        <v>0</v>
      </c>
      <c r="V22" s="68">
        <f t="shared" si="4"/>
        <v>1.0144927536231885</v>
      </c>
      <c r="W22" s="48" t="s">
        <v>94</v>
      </c>
      <c r="X22" s="66">
        <f t="shared" si="5"/>
        <v>1870</v>
      </c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  <c r="CW22" s="43"/>
      <c r="CX22" s="43"/>
      <c r="CY22" s="43"/>
      <c r="CZ22" s="43"/>
      <c r="DA22" s="43"/>
      <c r="DB22" s="43"/>
      <c r="DC22" s="43"/>
      <c r="DD22" s="43"/>
      <c r="DE22" s="43"/>
      <c r="DF22" s="43"/>
      <c r="DG22" s="43"/>
      <c r="DH22" s="43"/>
      <c r="DI22" s="43"/>
      <c r="DJ22" s="43"/>
      <c r="DK22" s="43"/>
      <c r="DL22" s="43"/>
      <c r="DM22" s="43"/>
      <c r="DN22" s="43"/>
      <c r="DO22" s="43"/>
      <c r="DP22" s="43"/>
      <c r="DQ22" s="43"/>
      <c r="DR22" s="43"/>
      <c r="DS22" s="43"/>
      <c r="DT22" s="43"/>
      <c r="DU22" s="43"/>
      <c r="DV22" s="43"/>
      <c r="DW22" s="43"/>
      <c r="DX22" s="43"/>
      <c r="DY22" s="43"/>
      <c r="DZ22" s="43"/>
      <c r="EA22" s="43"/>
      <c r="EB22" s="43"/>
      <c r="EC22" s="43"/>
      <c r="ED22" s="43"/>
      <c r="EE22" s="43"/>
      <c r="EF22" s="43"/>
      <c r="EG22" s="43"/>
      <c r="EH22" s="43"/>
      <c r="EI22" s="43"/>
      <c r="EJ22" s="43"/>
      <c r="EK22" s="43"/>
      <c r="EL22" s="43"/>
      <c r="EM22" s="43"/>
      <c r="EN22" s="43"/>
      <c r="EO22" s="43"/>
      <c r="EP22" s="43"/>
      <c r="EQ22" s="43"/>
      <c r="ER22" s="43"/>
      <c r="ES22" s="43"/>
      <c r="ET22" s="43"/>
      <c r="EU22" s="43"/>
      <c r="EV22" s="43"/>
      <c r="EW22" s="43"/>
      <c r="EX22" s="43"/>
      <c r="EY22" s="43"/>
      <c r="EZ22" s="43"/>
      <c r="FA22" s="43"/>
      <c r="FB22" s="43"/>
      <c r="FC22" s="43"/>
      <c r="FD22" s="43"/>
      <c r="FE22" s="43"/>
      <c r="FF22" s="43"/>
      <c r="FG22" s="43"/>
      <c r="FH22" s="43"/>
      <c r="FI22" s="43"/>
      <c r="FJ22" s="43"/>
      <c r="FK22" s="43"/>
      <c r="FL22" s="43"/>
      <c r="FM22" s="43"/>
      <c r="FN22" s="43"/>
      <c r="FO22" s="43"/>
      <c r="FP22" s="43"/>
      <c r="FQ22" s="43"/>
      <c r="FR22" s="43"/>
      <c r="FS22" s="43"/>
      <c r="FT22" s="43"/>
      <c r="FU22" s="43"/>
      <c r="FV22" s="43"/>
      <c r="FW22" s="43"/>
      <c r="FX22" s="43"/>
      <c r="FY22" s="43"/>
      <c r="FZ22" s="43"/>
      <c r="GA22" s="43"/>
      <c r="GB22" s="43"/>
      <c r="GC22" s="43"/>
      <c r="GD22" s="43"/>
      <c r="GE22" s="43"/>
      <c r="GF22" s="43"/>
      <c r="GG22" s="43"/>
      <c r="GH22" s="43"/>
      <c r="GI22" s="43"/>
      <c r="GJ22" s="43"/>
      <c r="GK22" s="43"/>
      <c r="GL22" s="43"/>
      <c r="GM22" s="43"/>
      <c r="GN22" s="43"/>
      <c r="GO22" s="43"/>
      <c r="GP22" s="43"/>
      <c r="GQ22" s="43"/>
      <c r="GR22" s="43"/>
      <c r="GS22" s="43"/>
      <c r="GT22" s="43"/>
      <c r="GU22" s="43"/>
      <c r="GV22" s="43"/>
      <c r="GW22" s="43"/>
      <c r="GX22" s="43"/>
      <c r="GY22" s="43"/>
      <c r="GZ22" s="43"/>
      <c r="HA22" s="43"/>
      <c r="HB22" s="43"/>
      <c r="HC22" s="43"/>
      <c r="HD22" s="43"/>
      <c r="HE22" s="43"/>
      <c r="HF22" s="43"/>
      <c r="HG22" s="43"/>
      <c r="HH22" s="43"/>
      <c r="HI22" s="43"/>
      <c r="HJ22" s="43"/>
      <c r="HK22" s="43"/>
      <c r="HL22" s="43"/>
      <c r="HM22" s="43"/>
      <c r="HN22" s="43"/>
      <c r="HO22" s="43"/>
      <c r="HP22" s="43"/>
      <c r="HQ22" s="43"/>
      <c r="HR22" s="43"/>
      <c r="HS22" s="43"/>
      <c r="HT22" s="43"/>
      <c r="HU22" s="43"/>
      <c r="HV22" s="43"/>
      <c r="HW22" s="43"/>
      <c r="HX22" s="43"/>
      <c r="HY22" s="43"/>
      <c r="HZ22" s="43"/>
      <c r="IA22" s="43"/>
      <c r="IB22" s="43"/>
      <c r="IC22" s="43"/>
      <c r="ID22" s="43"/>
      <c r="IE22" s="43"/>
      <c r="IF22" s="43"/>
      <c r="IG22" s="43"/>
      <c r="IH22" s="43"/>
      <c r="II22" s="43"/>
      <c r="IJ22" s="43"/>
      <c r="IK22" s="43"/>
      <c r="IL22" s="43"/>
      <c r="IM22" s="43"/>
      <c r="IN22" s="43"/>
      <c r="IO22" s="43"/>
      <c r="IP22" s="43"/>
      <c r="IQ22" s="43"/>
      <c r="IR22" s="43"/>
      <c r="IS22" s="43"/>
      <c r="IT22" s="43"/>
      <c r="IU22" s="43"/>
      <c r="IV22" s="43"/>
      <c r="IW22" s="43"/>
      <c r="IX22" s="43"/>
      <c r="IY22" s="43"/>
      <c r="IZ22" s="43"/>
      <c r="JA22" s="43"/>
      <c r="JB22" s="43"/>
      <c r="JC22" s="43"/>
      <c r="JD22" s="43"/>
      <c r="JE22" s="43"/>
      <c r="JF22" s="43"/>
      <c r="JG22" s="43"/>
      <c r="JH22" s="43"/>
      <c r="JI22" s="43"/>
      <c r="JJ22" s="43"/>
      <c r="JK22" s="43"/>
      <c r="JL22" s="43"/>
      <c r="JM22" s="43"/>
      <c r="JN22" s="43"/>
      <c r="JO22" s="43"/>
      <c r="JP22" s="43"/>
      <c r="JQ22" s="43"/>
      <c r="JR22" s="43"/>
      <c r="JS22" s="43"/>
      <c r="JT22" s="43"/>
      <c r="JU22" s="43"/>
      <c r="JV22" s="43"/>
      <c r="JW22" s="43"/>
      <c r="JX22" s="43"/>
      <c r="JY22" s="43"/>
      <c r="JZ22" s="43"/>
      <c r="KA22" s="43"/>
      <c r="KB22" s="43"/>
      <c r="KC22" s="43"/>
      <c r="KD22" s="43"/>
      <c r="KE22" s="43"/>
      <c r="KF22" s="43"/>
      <c r="KG22" s="43"/>
      <c r="KH22" s="43"/>
      <c r="KI22" s="43"/>
      <c r="KJ22" s="43"/>
      <c r="KK22" s="43"/>
      <c r="KL22" s="43"/>
      <c r="KM22" s="43"/>
      <c r="KN22" s="43"/>
      <c r="KO22" s="43"/>
      <c r="KP22" s="43"/>
      <c r="KQ22" s="43"/>
      <c r="KR22" s="43"/>
      <c r="KS22" s="43"/>
      <c r="KT22" s="43"/>
      <c r="KU22" s="43"/>
      <c r="KV22" s="43"/>
      <c r="KW22" s="43"/>
      <c r="KX22" s="43"/>
      <c r="KY22" s="43"/>
      <c r="KZ22" s="43"/>
      <c r="LA22" s="43"/>
      <c r="LB22" s="43"/>
      <c r="LC22" s="43"/>
      <c r="LD22" s="43"/>
      <c r="LE22" s="43"/>
      <c r="LF22" s="43"/>
      <c r="LG22" s="43"/>
      <c r="LH22" s="43"/>
      <c r="LI22" s="43"/>
      <c r="LJ22" s="43"/>
      <c r="LK22" s="43"/>
      <c r="LL22" s="43"/>
      <c r="LM22" s="43"/>
      <c r="LN22" s="43"/>
      <c r="LO22" s="43"/>
      <c r="LP22" s="43"/>
      <c r="LQ22" s="43"/>
      <c r="LR22" s="43"/>
      <c r="LS22" s="43"/>
      <c r="LT22" s="43"/>
      <c r="LU22" s="43"/>
      <c r="LV22" s="43"/>
      <c r="LW22" s="43"/>
      <c r="LX22" s="43"/>
      <c r="LY22" s="43"/>
      <c r="LZ22" s="43"/>
      <c r="MA22" s="43"/>
      <c r="MB22" s="43"/>
      <c r="MC22" s="43"/>
      <c r="MD22" s="43"/>
      <c r="ME22" s="43"/>
      <c r="MF22" s="43"/>
      <c r="MG22" s="43"/>
      <c r="MH22" s="43"/>
      <c r="MI22" s="43"/>
      <c r="MJ22" s="43"/>
      <c r="MK22" s="43"/>
      <c r="ML22" s="43"/>
      <c r="MM22" s="43"/>
      <c r="MN22" s="43"/>
      <c r="MO22" s="43"/>
      <c r="MP22" s="43"/>
      <c r="MQ22" s="43"/>
      <c r="MR22" s="43"/>
      <c r="MS22" s="43"/>
      <c r="MT22" s="43"/>
      <c r="MU22" s="43"/>
      <c r="MV22" s="43"/>
      <c r="MW22" s="43"/>
      <c r="MX22" s="43"/>
      <c r="MY22" s="43"/>
      <c r="MZ22" s="43"/>
      <c r="NA22" s="43"/>
      <c r="NB22" s="43"/>
      <c r="NC22" s="43"/>
      <c r="ND22" s="43"/>
      <c r="NE22" s="43"/>
      <c r="NF22" s="43"/>
      <c r="NG22" s="43"/>
      <c r="NH22" s="43"/>
      <c r="NI22" s="43"/>
      <c r="NJ22" s="43"/>
      <c r="NK22" s="43"/>
      <c r="NL22" s="43"/>
      <c r="NM22" s="43"/>
      <c r="NN22" s="43"/>
      <c r="NO22" s="43"/>
      <c r="NP22" s="43"/>
      <c r="NQ22" s="43"/>
      <c r="NR22" s="43"/>
      <c r="NS22" s="43"/>
      <c r="NT22" s="43"/>
      <c r="NU22" s="43"/>
      <c r="NV22" s="43"/>
      <c r="NW22" s="43"/>
      <c r="NX22" s="43"/>
      <c r="NY22" s="43"/>
      <c r="NZ22" s="43"/>
      <c r="OA22" s="43"/>
      <c r="OB22" s="43"/>
      <c r="OC22" s="43"/>
      <c r="OD22" s="43"/>
      <c r="OE22" s="43"/>
      <c r="OF22" s="43"/>
      <c r="OG22" s="43"/>
      <c r="OH22" s="43"/>
      <c r="OI22" s="43"/>
      <c r="OJ22" s="43"/>
      <c r="OK22" s="43"/>
      <c r="OL22" s="43"/>
      <c r="OM22" s="43"/>
      <c r="ON22" s="43"/>
      <c r="OO22" s="43"/>
      <c r="OP22" s="43"/>
      <c r="OQ22" s="43"/>
      <c r="OR22" s="43"/>
      <c r="OS22" s="43"/>
      <c r="OT22" s="43"/>
      <c r="OU22" s="43"/>
      <c r="OV22" s="43"/>
      <c r="OW22" s="43"/>
      <c r="OX22" s="43"/>
      <c r="OY22" s="43"/>
      <c r="OZ22" s="43"/>
      <c r="PA22" s="43"/>
      <c r="PB22" s="43"/>
      <c r="PC22" s="43"/>
      <c r="PD22" s="43"/>
      <c r="PE22" s="43"/>
      <c r="PF22" s="43"/>
      <c r="PG22" s="43"/>
      <c r="PH22" s="43"/>
      <c r="PI22" s="43"/>
      <c r="PJ22" s="43"/>
      <c r="PK22" s="43"/>
      <c r="PL22" s="43"/>
      <c r="PM22" s="43"/>
      <c r="PN22" s="43"/>
      <c r="PO22" s="43"/>
      <c r="PP22" s="43"/>
      <c r="PQ22" s="43"/>
      <c r="PR22" s="43"/>
      <c r="PS22" s="43"/>
      <c r="PT22" s="43"/>
      <c r="PU22" s="43"/>
      <c r="PV22" s="43"/>
      <c r="PW22" s="43"/>
      <c r="PX22" s="43"/>
      <c r="PY22" s="43"/>
      <c r="PZ22" s="43"/>
      <c r="QA22" s="43"/>
      <c r="QB22" s="43"/>
      <c r="QC22" s="43"/>
    </row>
    <row r="23" spans="1:445" x14ac:dyDescent="0.3">
      <c r="A23" s="47" t="s">
        <v>86</v>
      </c>
      <c r="B23" s="45" t="s">
        <v>73</v>
      </c>
      <c r="C23" s="45" t="s">
        <v>61</v>
      </c>
      <c r="D23" s="45" t="s">
        <v>76</v>
      </c>
      <c r="E23" s="45">
        <v>30</v>
      </c>
      <c r="F23" s="45">
        <v>1080</v>
      </c>
      <c r="G23" s="45"/>
      <c r="H23" s="45">
        <v>120</v>
      </c>
      <c r="I23" s="45">
        <v>120</v>
      </c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>
        <f t="shared" si="2"/>
        <v>240</v>
      </c>
      <c r="U23" s="45">
        <f t="shared" si="3"/>
        <v>0</v>
      </c>
      <c r="V23" s="68">
        <f t="shared" si="4"/>
        <v>1.0277777777777777</v>
      </c>
      <c r="W23" s="49" t="s">
        <v>96</v>
      </c>
      <c r="X23" s="66">
        <f t="shared" si="5"/>
        <v>840</v>
      </c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43"/>
      <c r="CY23" s="43"/>
      <c r="CZ23" s="43"/>
      <c r="DA23" s="43"/>
      <c r="DB23" s="43"/>
      <c r="DC23" s="43"/>
      <c r="DD23" s="43"/>
      <c r="DE23" s="43"/>
      <c r="DF23" s="43"/>
      <c r="DG23" s="43"/>
      <c r="DH23" s="43"/>
      <c r="DI23" s="43"/>
      <c r="DJ23" s="43"/>
      <c r="DK23" s="43"/>
      <c r="DL23" s="43"/>
      <c r="DM23" s="43"/>
      <c r="DN23" s="43"/>
      <c r="DO23" s="43"/>
      <c r="DP23" s="43"/>
      <c r="DQ23" s="43"/>
      <c r="DR23" s="43"/>
      <c r="DS23" s="43"/>
      <c r="DT23" s="43"/>
      <c r="DU23" s="43"/>
      <c r="DV23" s="43"/>
      <c r="DW23" s="43"/>
      <c r="DX23" s="43"/>
      <c r="DY23" s="43"/>
      <c r="DZ23" s="43"/>
      <c r="EA23" s="43"/>
      <c r="EB23" s="43"/>
      <c r="EC23" s="43"/>
      <c r="ED23" s="43"/>
      <c r="EE23" s="43"/>
      <c r="EF23" s="43"/>
      <c r="EG23" s="43"/>
      <c r="EH23" s="43"/>
      <c r="EI23" s="43"/>
      <c r="EJ23" s="43"/>
      <c r="EK23" s="43"/>
      <c r="EL23" s="43"/>
      <c r="EM23" s="43"/>
      <c r="EN23" s="43"/>
      <c r="EO23" s="43"/>
      <c r="EP23" s="43"/>
      <c r="EQ23" s="43"/>
      <c r="ER23" s="43"/>
      <c r="ES23" s="43"/>
      <c r="ET23" s="43"/>
      <c r="EU23" s="43"/>
      <c r="EV23" s="43"/>
      <c r="EW23" s="43"/>
      <c r="EX23" s="43"/>
      <c r="EY23" s="43"/>
      <c r="EZ23" s="43"/>
      <c r="FA23" s="43"/>
      <c r="FB23" s="43"/>
      <c r="FC23" s="43"/>
      <c r="FD23" s="43"/>
      <c r="FE23" s="43"/>
      <c r="FF23" s="43"/>
      <c r="FG23" s="43"/>
      <c r="FH23" s="43"/>
      <c r="FI23" s="43"/>
      <c r="FJ23" s="43"/>
      <c r="FK23" s="43"/>
      <c r="FL23" s="43"/>
      <c r="FM23" s="43"/>
      <c r="FN23" s="43"/>
      <c r="FO23" s="43"/>
      <c r="FP23" s="43"/>
      <c r="FQ23" s="43"/>
      <c r="FR23" s="43"/>
      <c r="FS23" s="43"/>
      <c r="FT23" s="43"/>
      <c r="FU23" s="43"/>
      <c r="FV23" s="43"/>
      <c r="FW23" s="43"/>
      <c r="FX23" s="43"/>
      <c r="FY23" s="43"/>
      <c r="FZ23" s="43"/>
      <c r="GA23" s="43"/>
      <c r="GB23" s="43"/>
      <c r="GC23" s="43"/>
      <c r="GD23" s="43"/>
      <c r="GE23" s="43"/>
      <c r="GF23" s="43"/>
      <c r="GG23" s="43"/>
      <c r="GH23" s="43"/>
      <c r="GI23" s="43"/>
      <c r="GJ23" s="43"/>
      <c r="GK23" s="43"/>
      <c r="GL23" s="43"/>
      <c r="GM23" s="43"/>
      <c r="GN23" s="43"/>
      <c r="GO23" s="43"/>
      <c r="GP23" s="43"/>
      <c r="GQ23" s="43"/>
      <c r="GR23" s="43"/>
      <c r="GS23" s="43"/>
      <c r="GT23" s="43"/>
      <c r="GU23" s="43"/>
      <c r="GV23" s="43"/>
      <c r="GW23" s="43"/>
      <c r="GX23" s="43"/>
      <c r="GY23" s="43"/>
      <c r="GZ23" s="43"/>
      <c r="HA23" s="43"/>
      <c r="HB23" s="43"/>
      <c r="HC23" s="43"/>
      <c r="HD23" s="43"/>
      <c r="HE23" s="43"/>
      <c r="HF23" s="43"/>
      <c r="HG23" s="43"/>
      <c r="HH23" s="43"/>
      <c r="HI23" s="43"/>
      <c r="HJ23" s="43"/>
      <c r="HK23" s="43"/>
      <c r="HL23" s="43"/>
      <c r="HM23" s="43"/>
      <c r="HN23" s="43"/>
      <c r="HO23" s="43"/>
      <c r="HP23" s="43"/>
      <c r="HQ23" s="43"/>
      <c r="HR23" s="43"/>
      <c r="HS23" s="43"/>
      <c r="HT23" s="43"/>
      <c r="HU23" s="43"/>
      <c r="HV23" s="43"/>
      <c r="HW23" s="43"/>
      <c r="HX23" s="43"/>
      <c r="HY23" s="43"/>
      <c r="HZ23" s="43"/>
      <c r="IA23" s="43"/>
      <c r="IB23" s="43"/>
      <c r="IC23" s="43"/>
      <c r="ID23" s="43"/>
      <c r="IE23" s="43"/>
      <c r="IF23" s="43"/>
      <c r="IG23" s="43"/>
      <c r="IH23" s="43"/>
      <c r="II23" s="43"/>
      <c r="IJ23" s="43"/>
      <c r="IK23" s="43"/>
      <c r="IL23" s="43"/>
      <c r="IM23" s="43"/>
      <c r="IN23" s="43"/>
      <c r="IO23" s="43"/>
      <c r="IP23" s="43"/>
      <c r="IQ23" s="43"/>
      <c r="IR23" s="43"/>
      <c r="IS23" s="43"/>
      <c r="IT23" s="43"/>
      <c r="IU23" s="43"/>
      <c r="IV23" s="43"/>
      <c r="IW23" s="43"/>
      <c r="IX23" s="43"/>
      <c r="IY23" s="43"/>
      <c r="IZ23" s="43"/>
      <c r="JA23" s="43"/>
      <c r="JB23" s="43"/>
      <c r="JC23" s="43"/>
      <c r="JD23" s="43"/>
      <c r="JE23" s="43"/>
      <c r="JF23" s="43"/>
      <c r="JG23" s="43"/>
      <c r="JH23" s="43"/>
      <c r="JI23" s="43"/>
      <c r="JJ23" s="43"/>
      <c r="JK23" s="43"/>
      <c r="JL23" s="43"/>
      <c r="JM23" s="43"/>
      <c r="JN23" s="43"/>
      <c r="JO23" s="43"/>
      <c r="JP23" s="43"/>
      <c r="JQ23" s="43"/>
      <c r="JR23" s="43"/>
      <c r="JS23" s="43"/>
      <c r="JT23" s="43"/>
      <c r="JU23" s="43"/>
      <c r="JV23" s="43"/>
      <c r="JW23" s="43"/>
      <c r="JX23" s="43"/>
      <c r="JY23" s="43"/>
      <c r="JZ23" s="43"/>
      <c r="KA23" s="43"/>
      <c r="KB23" s="43"/>
      <c r="KC23" s="43"/>
      <c r="KD23" s="43"/>
      <c r="KE23" s="43"/>
      <c r="KF23" s="43"/>
      <c r="KG23" s="43"/>
      <c r="KH23" s="43"/>
      <c r="KI23" s="43"/>
      <c r="KJ23" s="43"/>
      <c r="KK23" s="43"/>
      <c r="KL23" s="43"/>
      <c r="KM23" s="43"/>
      <c r="KN23" s="43"/>
      <c r="KO23" s="43"/>
      <c r="KP23" s="43"/>
      <c r="KQ23" s="43"/>
      <c r="KR23" s="43"/>
      <c r="KS23" s="43"/>
      <c r="KT23" s="43"/>
      <c r="KU23" s="43"/>
      <c r="KV23" s="43"/>
      <c r="KW23" s="43"/>
      <c r="KX23" s="43"/>
      <c r="KY23" s="43"/>
      <c r="KZ23" s="43"/>
      <c r="LA23" s="43"/>
      <c r="LB23" s="43"/>
      <c r="LC23" s="43"/>
      <c r="LD23" s="43"/>
      <c r="LE23" s="43"/>
      <c r="LF23" s="43"/>
      <c r="LG23" s="43"/>
      <c r="LH23" s="43"/>
      <c r="LI23" s="43"/>
      <c r="LJ23" s="43"/>
      <c r="LK23" s="43"/>
      <c r="LL23" s="43"/>
      <c r="LM23" s="43"/>
      <c r="LN23" s="43"/>
      <c r="LO23" s="43"/>
      <c r="LP23" s="43"/>
      <c r="LQ23" s="43"/>
      <c r="LR23" s="43"/>
      <c r="LS23" s="43"/>
      <c r="LT23" s="43"/>
      <c r="LU23" s="43"/>
      <c r="LV23" s="43"/>
      <c r="LW23" s="43"/>
      <c r="LX23" s="43"/>
      <c r="LY23" s="43"/>
      <c r="LZ23" s="43"/>
      <c r="MA23" s="43"/>
      <c r="MB23" s="43"/>
      <c r="MC23" s="43"/>
      <c r="MD23" s="43"/>
      <c r="ME23" s="43"/>
      <c r="MF23" s="43"/>
      <c r="MG23" s="43"/>
      <c r="MH23" s="43"/>
      <c r="MI23" s="43"/>
      <c r="MJ23" s="43"/>
      <c r="MK23" s="43"/>
      <c r="ML23" s="43"/>
      <c r="MM23" s="43"/>
      <c r="MN23" s="43"/>
      <c r="MO23" s="43"/>
      <c r="MP23" s="43"/>
      <c r="MQ23" s="43"/>
      <c r="MR23" s="43"/>
      <c r="MS23" s="43"/>
      <c r="MT23" s="43"/>
      <c r="MU23" s="43"/>
      <c r="MV23" s="43"/>
      <c r="MW23" s="43"/>
      <c r="MX23" s="43"/>
      <c r="MY23" s="43"/>
      <c r="MZ23" s="43"/>
      <c r="NA23" s="43"/>
      <c r="NB23" s="43"/>
      <c r="NC23" s="43"/>
      <c r="ND23" s="43"/>
      <c r="NE23" s="43"/>
      <c r="NF23" s="43"/>
      <c r="NG23" s="43"/>
      <c r="NH23" s="43"/>
      <c r="NI23" s="43"/>
      <c r="NJ23" s="43"/>
      <c r="NK23" s="43"/>
      <c r="NL23" s="43"/>
      <c r="NM23" s="43"/>
      <c r="NN23" s="43"/>
      <c r="NO23" s="43"/>
      <c r="NP23" s="43"/>
      <c r="NQ23" s="43"/>
      <c r="NR23" s="43"/>
      <c r="NS23" s="43"/>
      <c r="NT23" s="43"/>
      <c r="NU23" s="43"/>
      <c r="NV23" s="43"/>
      <c r="NW23" s="43"/>
      <c r="NX23" s="43"/>
      <c r="NY23" s="43"/>
      <c r="NZ23" s="43"/>
      <c r="OA23" s="43"/>
      <c r="OB23" s="43"/>
      <c r="OC23" s="43"/>
      <c r="OD23" s="43"/>
      <c r="OE23" s="43"/>
      <c r="OF23" s="43"/>
      <c r="OG23" s="43"/>
      <c r="OH23" s="43"/>
      <c r="OI23" s="43"/>
      <c r="OJ23" s="43"/>
      <c r="OK23" s="43"/>
      <c r="OL23" s="43"/>
      <c r="OM23" s="43"/>
      <c r="ON23" s="43"/>
      <c r="OO23" s="43"/>
      <c r="OP23" s="43"/>
      <c r="OQ23" s="43"/>
      <c r="OR23" s="43"/>
      <c r="OS23" s="43"/>
      <c r="OT23" s="43"/>
      <c r="OU23" s="43"/>
      <c r="OV23" s="43"/>
      <c r="OW23" s="43"/>
      <c r="OX23" s="43"/>
      <c r="OY23" s="43"/>
      <c r="OZ23" s="43"/>
      <c r="PA23" s="43"/>
      <c r="PB23" s="43"/>
      <c r="PC23" s="43"/>
      <c r="PD23" s="43"/>
      <c r="PE23" s="43"/>
      <c r="PF23" s="43"/>
      <c r="PG23" s="43"/>
      <c r="PH23" s="43"/>
      <c r="PI23" s="43"/>
      <c r="PJ23" s="43"/>
      <c r="PK23" s="43"/>
      <c r="PL23" s="43"/>
      <c r="PM23" s="43"/>
      <c r="PN23" s="43"/>
      <c r="PO23" s="43"/>
      <c r="PP23" s="43"/>
      <c r="PQ23" s="43"/>
      <c r="PR23" s="43"/>
      <c r="PS23" s="43"/>
      <c r="PT23" s="43"/>
      <c r="PU23" s="43"/>
      <c r="PV23" s="43"/>
      <c r="PW23" s="43"/>
      <c r="PX23" s="43"/>
      <c r="PY23" s="43"/>
      <c r="PZ23" s="43"/>
      <c r="QA23" s="43"/>
      <c r="QB23" s="43"/>
      <c r="QC23" s="43"/>
    </row>
    <row r="24" spans="1:445" x14ac:dyDescent="0.3">
      <c r="A24" s="47" t="s">
        <v>67</v>
      </c>
      <c r="B24" s="45"/>
      <c r="C24" s="45" t="s">
        <v>68</v>
      </c>
      <c r="D24" s="45" t="s">
        <v>76</v>
      </c>
      <c r="E24" s="45">
        <v>0</v>
      </c>
      <c r="F24" s="45">
        <v>468</v>
      </c>
      <c r="G24" s="45"/>
      <c r="H24" s="45"/>
      <c r="I24" s="45">
        <v>55</v>
      </c>
      <c r="J24" s="45">
        <v>55</v>
      </c>
      <c r="K24" s="45"/>
      <c r="L24" s="45"/>
      <c r="M24" s="45"/>
      <c r="N24" s="45"/>
      <c r="O24" s="45"/>
      <c r="P24" s="45"/>
      <c r="Q24" s="45"/>
      <c r="R24" s="45"/>
      <c r="S24" s="45"/>
      <c r="T24" s="45">
        <f t="shared" si="2"/>
        <v>110</v>
      </c>
      <c r="U24" s="45">
        <f t="shared" si="3"/>
        <v>0</v>
      </c>
      <c r="V24" s="68">
        <f t="shared" si="4"/>
        <v>1</v>
      </c>
      <c r="W24" s="48" t="s">
        <v>73</v>
      </c>
      <c r="X24" s="66">
        <f t="shared" si="5"/>
        <v>358</v>
      </c>
    </row>
    <row r="25" spans="1:445" x14ac:dyDescent="0.3">
      <c r="A25" s="47" t="s">
        <v>69</v>
      </c>
      <c r="B25" s="45"/>
      <c r="C25" s="45" t="s">
        <v>70</v>
      </c>
      <c r="D25" s="45" t="s">
        <v>76</v>
      </c>
      <c r="E25" s="45">
        <v>20</v>
      </c>
      <c r="F25" s="45">
        <v>1170</v>
      </c>
      <c r="G25" s="45">
        <v>65</v>
      </c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>
        <f t="shared" si="2"/>
        <v>65</v>
      </c>
      <c r="U25" s="45">
        <f t="shared" si="3"/>
        <v>0</v>
      </c>
      <c r="V25" s="68">
        <f t="shared" si="4"/>
        <v>1.017094017094017</v>
      </c>
      <c r="W25" s="49" t="s">
        <v>73</v>
      </c>
      <c r="X25" s="66">
        <f t="shared" si="5"/>
        <v>1105</v>
      </c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43"/>
      <c r="CY25" s="43"/>
      <c r="CZ25" s="43"/>
      <c r="DA25" s="43"/>
      <c r="DB25" s="43"/>
      <c r="DC25" s="43"/>
      <c r="DD25" s="43"/>
      <c r="DE25" s="43"/>
      <c r="DF25" s="43"/>
      <c r="DG25" s="43"/>
      <c r="DH25" s="43"/>
      <c r="DI25" s="43"/>
      <c r="DJ25" s="43"/>
      <c r="DK25" s="43"/>
      <c r="DL25" s="43"/>
      <c r="DM25" s="43"/>
      <c r="DN25" s="43"/>
      <c r="DO25" s="43"/>
      <c r="DP25" s="43"/>
      <c r="DQ25" s="43"/>
      <c r="DR25" s="43"/>
      <c r="DS25" s="43"/>
      <c r="DT25" s="43"/>
      <c r="DU25" s="43"/>
      <c r="DV25" s="43"/>
      <c r="DW25" s="43"/>
      <c r="DX25" s="43"/>
      <c r="DY25" s="43"/>
      <c r="DZ25" s="43"/>
      <c r="EA25" s="43"/>
      <c r="EB25" s="43"/>
      <c r="EC25" s="43"/>
      <c r="ED25" s="43"/>
      <c r="EE25" s="43"/>
      <c r="EF25" s="43"/>
      <c r="EG25" s="43"/>
      <c r="EH25" s="43"/>
      <c r="EI25" s="43"/>
      <c r="EJ25" s="43"/>
      <c r="EK25" s="43"/>
      <c r="EL25" s="43"/>
      <c r="EM25" s="43"/>
      <c r="EN25" s="43"/>
      <c r="EO25" s="43"/>
      <c r="EP25" s="43"/>
      <c r="EQ25" s="43"/>
      <c r="ER25" s="43"/>
      <c r="ES25" s="43"/>
      <c r="ET25" s="43"/>
      <c r="EU25" s="43"/>
      <c r="EV25" s="43"/>
      <c r="EW25" s="43"/>
      <c r="EX25" s="43"/>
      <c r="EY25" s="43"/>
      <c r="EZ25" s="43"/>
      <c r="FA25" s="43"/>
      <c r="FB25" s="43"/>
      <c r="FC25" s="43"/>
      <c r="FD25" s="43"/>
      <c r="FE25" s="43"/>
      <c r="FF25" s="43"/>
      <c r="FG25" s="43"/>
      <c r="FH25" s="43"/>
      <c r="FI25" s="43"/>
      <c r="FJ25" s="43"/>
      <c r="FK25" s="43"/>
      <c r="FL25" s="43"/>
      <c r="FM25" s="43"/>
      <c r="FN25" s="43"/>
      <c r="FO25" s="43"/>
      <c r="FP25" s="43"/>
      <c r="FQ25" s="43"/>
      <c r="FR25" s="43"/>
      <c r="FS25" s="43"/>
      <c r="FT25" s="43"/>
      <c r="FU25" s="43"/>
      <c r="FV25" s="43"/>
      <c r="FW25" s="43"/>
      <c r="FX25" s="43"/>
      <c r="FY25" s="43"/>
      <c r="FZ25" s="43"/>
      <c r="GA25" s="43"/>
      <c r="GB25" s="43"/>
      <c r="GC25" s="43"/>
      <c r="GD25" s="43"/>
      <c r="GE25" s="43"/>
      <c r="GF25" s="43"/>
      <c r="GG25" s="43"/>
      <c r="GH25" s="43"/>
      <c r="GI25" s="43"/>
      <c r="GJ25" s="43"/>
      <c r="GK25" s="43"/>
      <c r="GL25" s="43"/>
      <c r="GM25" s="43"/>
      <c r="GN25" s="43"/>
      <c r="GO25" s="43"/>
      <c r="GP25" s="43"/>
      <c r="GQ25" s="43"/>
      <c r="GR25" s="43"/>
      <c r="GS25" s="43"/>
      <c r="GT25" s="43"/>
      <c r="GU25" s="43"/>
      <c r="GV25" s="43"/>
      <c r="GW25" s="43"/>
      <c r="GX25" s="43"/>
      <c r="GY25" s="43"/>
      <c r="GZ25" s="43"/>
      <c r="HA25" s="43"/>
      <c r="HB25" s="43"/>
      <c r="HC25" s="43"/>
      <c r="HD25" s="43"/>
      <c r="HE25" s="43"/>
      <c r="HF25" s="43"/>
      <c r="HG25" s="43"/>
      <c r="HH25" s="43"/>
      <c r="HI25" s="43"/>
      <c r="HJ25" s="43"/>
      <c r="HK25" s="43"/>
      <c r="HL25" s="43"/>
      <c r="HM25" s="43"/>
      <c r="HN25" s="43"/>
      <c r="HO25" s="43"/>
      <c r="HP25" s="43"/>
      <c r="HQ25" s="43"/>
      <c r="HR25" s="43"/>
      <c r="HS25" s="43"/>
      <c r="HT25" s="43"/>
      <c r="HU25" s="43"/>
      <c r="HV25" s="43"/>
      <c r="HW25" s="43"/>
      <c r="HX25" s="43"/>
      <c r="HY25" s="43"/>
      <c r="HZ25" s="43"/>
      <c r="IA25" s="43"/>
      <c r="IB25" s="43"/>
      <c r="IC25" s="43"/>
      <c r="ID25" s="43"/>
      <c r="IE25" s="43"/>
      <c r="IF25" s="43"/>
      <c r="IG25" s="43"/>
      <c r="IH25" s="43"/>
      <c r="II25" s="43"/>
      <c r="IJ25" s="43"/>
      <c r="IK25" s="43"/>
      <c r="IL25" s="43"/>
      <c r="IM25" s="43"/>
      <c r="IN25" s="43"/>
      <c r="IO25" s="43"/>
      <c r="IP25" s="43"/>
      <c r="IQ25" s="43"/>
      <c r="IR25" s="43"/>
      <c r="IS25" s="43"/>
      <c r="IT25" s="43"/>
      <c r="IU25" s="43"/>
      <c r="IV25" s="43"/>
      <c r="IW25" s="43"/>
      <c r="IX25" s="43"/>
      <c r="IY25" s="43"/>
      <c r="IZ25" s="43"/>
      <c r="JA25" s="43"/>
      <c r="JB25" s="43"/>
      <c r="JC25" s="43"/>
      <c r="JD25" s="43"/>
      <c r="JE25" s="43"/>
      <c r="JF25" s="43"/>
      <c r="JG25" s="43"/>
      <c r="JH25" s="43"/>
      <c r="JI25" s="43"/>
      <c r="JJ25" s="43"/>
      <c r="JK25" s="43"/>
      <c r="JL25" s="43"/>
      <c r="JM25" s="43"/>
      <c r="JN25" s="43"/>
      <c r="JO25" s="43"/>
      <c r="JP25" s="43"/>
      <c r="JQ25" s="43"/>
      <c r="JR25" s="43"/>
      <c r="JS25" s="43"/>
      <c r="JT25" s="43"/>
      <c r="JU25" s="43"/>
      <c r="JV25" s="43"/>
      <c r="JW25" s="43"/>
      <c r="JX25" s="43"/>
      <c r="JY25" s="43"/>
      <c r="JZ25" s="43"/>
      <c r="KA25" s="43"/>
      <c r="KB25" s="43"/>
      <c r="KC25" s="43"/>
      <c r="KD25" s="43"/>
      <c r="KE25" s="43"/>
      <c r="KF25" s="43"/>
      <c r="KG25" s="43"/>
      <c r="KH25" s="43"/>
      <c r="KI25" s="43"/>
      <c r="KJ25" s="43"/>
      <c r="KK25" s="43"/>
      <c r="KL25" s="43"/>
      <c r="KM25" s="43"/>
      <c r="KN25" s="43"/>
      <c r="KO25" s="43"/>
      <c r="KP25" s="43"/>
      <c r="KQ25" s="43"/>
      <c r="KR25" s="43"/>
      <c r="KS25" s="43"/>
      <c r="KT25" s="43"/>
      <c r="KU25" s="43"/>
      <c r="KV25" s="43"/>
      <c r="KW25" s="43"/>
      <c r="KX25" s="43"/>
      <c r="KY25" s="43"/>
      <c r="KZ25" s="43"/>
      <c r="LA25" s="43"/>
      <c r="LB25" s="43"/>
      <c r="LC25" s="43"/>
      <c r="LD25" s="43"/>
      <c r="LE25" s="43"/>
      <c r="LF25" s="43"/>
      <c r="LG25" s="43"/>
      <c r="LH25" s="43"/>
      <c r="LI25" s="43"/>
      <c r="LJ25" s="43"/>
      <c r="LK25" s="43"/>
      <c r="LL25" s="43"/>
      <c r="LM25" s="43"/>
      <c r="LN25" s="43"/>
      <c r="LO25" s="43"/>
      <c r="LP25" s="43"/>
      <c r="LQ25" s="43"/>
      <c r="LR25" s="43"/>
      <c r="LS25" s="43"/>
      <c r="LT25" s="43"/>
      <c r="LU25" s="43"/>
      <c r="LV25" s="43"/>
      <c r="LW25" s="43"/>
      <c r="LX25" s="43"/>
      <c r="LY25" s="43"/>
      <c r="LZ25" s="43"/>
      <c r="MA25" s="43"/>
      <c r="MB25" s="43"/>
      <c r="MC25" s="43"/>
      <c r="MD25" s="43"/>
      <c r="ME25" s="43"/>
      <c r="MF25" s="43"/>
      <c r="MG25" s="43"/>
      <c r="MH25" s="43"/>
      <c r="MI25" s="43"/>
      <c r="MJ25" s="43"/>
      <c r="MK25" s="43"/>
      <c r="ML25" s="43"/>
      <c r="MM25" s="43"/>
      <c r="MN25" s="43"/>
      <c r="MO25" s="43"/>
      <c r="MP25" s="43"/>
      <c r="MQ25" s="43"/>
      <c r="MR25" s="43"/>
      <c r="MS25" s="43"/>
      <c r="MT25" s="43"/>
      <c r="MU25" s="43"/>
      <c r="MV25" s="43"/>
      <c r="MW25" s="43"/>
      <c r="MX25" s="43"/>
      <c r="MY25" s="43"/>
      <c r="MZ25" s="43"/>
      <c r="NA25" s="43"/>
      <c r="NB25" s="43"/>
      <c r="NC25" s="43"/>
      <c r="ND25" s="43"/>
      <c r="NE25" s="43"/>
      <c r="NF25" s="43"/>
      <c r="NG25" s="43"/>
      <c r="NH25" s="43"/>
      <c r="NI25" s="43"/>
      <c r="NJ25" s="43"/>
      <c r="NK25" s="43"/>
      <c r="NL25" s="43"/>
      <c r="NM25" s="43"/>
      <c r="NN25" s="43"/>
      <c r="NO25" s="43"/>
      <c r="NP25" s="43"/>
      <c r="NQ25" s="43"/>
      <c r="NR25" s="43"/>
      <c r="NS25" s="43"/>
      <c r="NT25" s="43"/>
      <c r="NU25" s="43"/>
      <c r="NV25" s="43"/>
      <c r="NW25" s="43"/>
      <c r="NX25" s="43"/>
      <c r="NY25" s="43"/>
      <c r="NZ25" s="43"/>
      <c r="OA25" s="43"/>
      <c r="OB25" s="43"/>
      <c r="OC25" s="43"/>
      <c r="OD25" s="43"/>
      <c r="OE25" s="43"/>
      <c r="OF25" s="43"/>
      <c r="OG25" s="43"/>
      <c r="OH25" s="43"/>
      <c r="OI25" s="43"/>
      <c r="OJ25" s="43"/>
      <c r="OK25" s="43"/>
      <c r="OL25" s="43"/>
      <c r="OM25" s="43"/>
      <c r="ON25" s="43"/>
      <c r="OO25" s="43"/>
      <c r="OP25" s="43"/>
      <c r="OQ25" s="43"/>
      <c r="OR25" s="43"/>
      <c r="OS25" s="43"/>
      <c r="OT25" s="43"/>
      <c r="OU25" s="43"/>
      <c r="OV25" s="43"/>
      <c r="OW25" s="43"/>
      <c r="OX25" s="43"/>
      <c r="OY25" s="43"/>
      <c r="OZ25" s="43"/>
      <c r="PA25" s="43"/>
      <c r="PB25" s="43"/>
      <c r="PC25" s="43"/>
      <c r="PD25" s="43"/>
      <c r="PE25" s="43"/>
      <c r="PF25" s="43"/>
      <c r="PG25" s="43"/>
      <c r="PH25" s="43"/>
      <c r="PI25" s="43"/>
      <c r="PJ25" s="43"/>
      <c r="PK25" s="43"/>
      <c r="PL25" s="43"/>
      <c r="PM25" s="43"/>
      <c r="PN25" s="43"/>
      <c r="PO25" s="43"/>
      <c r="PP25" s="43"/>
      <c r="PQ25" s="43"/>
      <c r="PR25" s="43"/>
      <c r="PS25" s="43"/>
      <c r="PT25" s="43"/>
      <c r="PU25" s="43"/>
      <c r="PV25" s="43"/>
      <c r="PW25" s="43"/>
      <c r="PX25" s="43"/>
      <c r="PY25" s="43"/>
      <c r="PZ25" s="43"/>
      <c r="QA25" s="43"/>
      <c r="QB25" s="43"/>
      <c r="QC25" s="43"/>
    </row>
    <row r="26" spans="1:445" s="50" customFormat="1" x14ac:dyDescent="0.3">
      <c r="A26" s="47" t="s">
        <v>72</v>
      </c>
      <c r="B26" s="45" t="s">
        <v>73</v>
      </c>
      <c r="C26" s="45" t="s">
        <v>68</v>
      </c>
      <c r="D26" s="45" t="s">
        <v>77</v>
      </c>
      <c r="E26" s="45">
        <v>30</v>
      </c>
      <c r="F26" s="45">
        <v>1170</v>
      </c>
      <c r="G26" s="45"/>
      <c r="H26" s="45">
        <v>130</v>
      </c>
      <c r="I26" s="48">
        <v>130</v>
      </c>
      <c r="J26" s="45">
        <v>130</v>
      </c>
      <c r="K26" s="45">
        <v>130</v>
      </c>
      <c r="L26" s="45">
        <v>130</v>
      </c>
      <c r="M26" s="45">
        <v>130</v>
      </c>
      <c r="N26" s="45">
        <v>130</v>
      </c>
      <c r="O26" s="45">
        <v>130</v>
      </c>
      <c r="P26" s="45">
        <v>130</v>
      </c>
      <c r="Q26" s="45"/>
      <c r="R26" s="45"/>
      <c r="S26" s="45"/>
      <c r="T26" s="45">
        <f t="shared" si="2"/>
        <v>1170</v>
      </c>
      <c r="U26" s="45">
        <f t="shared" si="3"/>
        <v>0</v>
      </c>
      <c r="V26" s="68">
        <f t="shared" si="4"/>
        <v>1.0256410256410255</v>
      </c>
      <c r="W26" s="49"/>
      <c r="X26" s="66" t="str">
        <f t="shared" si="5"/>
        <v/>
      </c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43"/>
      <c r="CY26" s="43"/>
      <c r="CZ26" s="43"/>
      <c r="DA26" s="43"/>
      <c r="DB26" s="43"/>
      <c r="DC26" s="43"/>
      <c r="DD26" s="43"/>
      <c r="DE26" s="43"/>
      <c r="DF26" s="43"/>
      <c r="DG26" s="43"/>
      <c r="DH26" s="43"/>
      <c r="DI26" s="43"/>
      <c r="DJ26" s="43"/>
      <c r="DK26" s="43"/>
      <c r="DL26" s="43"/>
      <c r="DM26" s="43"/>
      <c r="DN26" s="43"/>
      <c r="DO26" s="43"/>
      <c r="DP26" s="43"/>
      <c r="DQ26" s="43"/>
      <c r="DR26" s="43"/>
      <c r="DS26" s="43"/>
      <c r="DT26" s="43"/>
      <c r="DU26" s="43"/>
      <c r="DV26" s="43"/>
      <c r="DW26" s="43"/>
      <c r="DX26" s="43"/>
      <c r="DY26" s="43"/>
      <c r="DZ26" s="43"/>
      <c r="EA26" s="43"/>
      <c r="EB26" s="43"/>
      <c r="EC26" s="43"/>
      <c r="ED26" s="43"/>
      <c r="EE26" s="43"/>
      <c r="EF26" s="43"/>
      <c r="EG26" s="43"/>
      <c r="EH26" s="43"/>
      <c r="EI26" s="43"/>
      <c r="EJ26" s="43"/>
      <c r="EK26" s="43"/>
      <c r="EL26" s="43"/>
      <c r="EM26" s="43"/>
      <c r="EN26" s="43"/>
      <c r="EO26" s="43"/>
      <c r="EP26" s="43"/>
      <c r="EQ26" s="43"/>
      <c r="ER26" s="43"/>
      <c r="ES26" s="43"/>
      <c r="ET26" s="43"/>
      <c r="EU26" s="43"/>
      <c r="EV26" s="43"/>
      <c r="EW26" s="43"/>
      <c r="EX26" s="43"/>
      <c r="EY26" s="43"/>
      <c r="EZ26" s="43"/>
      <c r="FA26" s="43"/>
      <c r="FB26" s="43"/>
      <c r="FC26" s="43"/>
      <c r="FD26" s="43"/>
      <c r="FE26" s="43"/>
      <c r="FF26" s="43"/>
      <c r="FG26" s="43"/>
      <c r="FH26" s="43"/>
      <c r="FI26" s="43"/>
      <c r="FJ26" s="43"/>
      <c r="FK26" s="43"/>
      <c r="FL26" s="43"/>
      <c r="FM26" s="43"/>
      <c r="FN26" s="43"/>
      <c r="FO26" s="43"/>
      <c r="FP26" s="43"/>
      <c r="FQ26" s="43"/>
      <c r="FR26" s="43"/>
      <c r="FS26" s="43"/>
      <c r="FT26" s="43"/>
      <c r="FU26" s="43"/>
      <c r="FV26" s="43"/>
      <c r="FW26" s="43"/>
      <c r="FX26" s="43"/>
      <c r="FY26" s="43"/>
      <c r="FZ26" s="43"/>
      <c r="GA26" s="43"/>
      <c r="GB26" s="43"/>
      <c r="GC26" s="43"/>
      <c r="GD26" s="43"/>
      <c r="GE26" s="43"/>
      <c r="GF26" s="43"/>
      <c r="GG26" s="43"/>
      <c r="GH26" s="43"/>
      <c r="GI26" s="43"/>
      <c r="GJ26" s="43"/>
      <c r="GK26" s="43"/>
      <c r="GL26" s="43"/>
      <c r="GM26" s="43"/>
      <c r="GN26" s="43"/>
      <c r="GO26" s="43"/>
      <c r="GP26" s="43"/>
      <c r="GQ26" s="43"/>
      <c r="GR26" s="43"/>
      <c r="GS26" s="43"/>
      <c r="GT26" s="43"/>
      <c r="GU26" s="43"/>
      <c r="GV26" s="43"/>
      <c r="GW26" s="43"/>
      <c r="GX26" s="43"/>
      <c r="GY26" s="43"/>
      <c r="GZ26" s="43"/>
      <c r="HA26" s="43"/>
      <c r="HB26" s="43"/>
      <c r="HC26" s="43"/>
      <c r="HD26" s="43"/>
      <c r="HE26" s="43"/>
      <c r="HF26" s="43"/>
      <c r="HG26" s="43"/>
      <c r="HH26" s="43"/>
      <c r="HI26" s="43"/>
      <c r="HJ26" s="43"/>
      <c r="HK26" s="43"/>
      <c r="HL26" s="43"/>
      <c r="HM26" s="43"/>
      <c r="HN26" s="43"/>
      <c r="HO26" s="43"/>
      <c r="HP26" s="43"/>
      <c r="HQ26" s="43"/>
      <c r="HR26" s="43"/>
      <c r="HS26" s="43"/>
      <c r="HT26" s="43"/>
      <c r="HU26" s="43"/>
      <c r="HV26" s="43"/>
      <c r="HW26" s="43"/>
      <c r="HX26" s="43"/>
      <c r="HY26" s="43"/>
      <c r="HZ26" s="43"/>
      <c r="IA26" s="43"/>
      <c r="IB26" s="43"/>
      <c r="IC26" s="43"/>
      <c r="ID26" s="43"/>
      <c r="IE26" s="43"/>
      <c r="IF26" s="43"/>
      <c r="IG26" s="43"/>
      <c r="IH26" s="43"/>
      <c r="II26" s="43"/>
      <c r="IJ26" s="43"/>
      <c r="IK26" s="43"/>
      <c r="IL26" s="43"/>
      <c r="IM26" s="43"/>
      <c r="IN26" s="43"/>
      <c r="IO26" s="43"/>
      <c r="IP26" s="43"/>
      <c r="IQ26" s="43"/>
      <c r="IR26" s="43"/>
      <c r="IS26" s="43"/>
      <c r="IT26" s="43"/>
      <c r="IU26" s="43"/>
      <c r="IV26" s="43"/>
      <c r="IW26" s="43"/>
      <c r="IX26" s="43"/>
      <c r="IY26" s="43"/>
      <c r="IZ26" s="43"/>
      <c r="JA26" s="43"/>
      <c r="JB26" s="43"/>
      <c r="JC26" s="43"/>
      <c r="JD26" s="43"/>
      <c r="JE26" s="43"/>
      <c r="JF26" s="43"/>
      <c r="JG26" s="43"/>
      <c r="JH26" s="43"/>
      <c r="JI26" s="43"/>
      <c r="JJ26" s="43"/>
      <c r="JK26" s="43"/>
      <c r="JL26" s="43"/>
      <c r="JM26" s="43"/>
      <c r="JN26" s="43"/>
      <c r="JO26" s="43"/>
      <c r="JP26" s="43"/>
      <c r="JQ26" s="43"/>
      <c r="JR26" s="43"/>
      <c r="JS26" s="43"/>
      <c r="JT26" s="43"/>
      <c r="JU26" s="43"/>
      <c r="JV26" s="43"/>
      <c r="JW26" s="43"/>
      <c r="JX26" s="43"/>
      <c r="JY26" s="43"/>
      <c r="JZ26" s="43"/>
      <c r="KA26" s="43"/>
      <c r="KB26" s="43"/>
      <c r="KC26" s="43"/>
      <c r="KD26" s="43"/>
      <c r="KE26" s="43"/>
      <c r="KF26" s="43"/>
      <c r="KG26" s="43"/>
      <c r="KH26" s="43"/>
      <c r="KI26" s="43"/>
      <c r="KJ26" s="43"/>
      <c r="KK26" s="43"/>
      <c r="KL26" s="43"/>
      <c r="KM26" s="43"/>
      <c r="KN26" s="43"/>
      <c r="KO26" s="43"/>
      <c r="KP26" s="43"/>
      <c r="KQ26" s="43"/>
      <c r="KR26" s="43"/>
      <c r="KS26" s="43"/>
      <c r="KT26" s="43"/>
      <c r="KU26" s="43"/>
      <c r="KV26" s="43"/>
      <c r="KW26" s="43"/>
      <c r="KX26" s="43"/>
      <c r="KY26" s="43"/>
      <c r="KZ26" s="43"/>
      <c r="LA26" s="43"/>
      <c r="LB26" s="43"/>
      <c r="LC26" s="43"/>
      <c r="LD26" s="43"/>
      <c r="LE26" s="43"/>
      <c r="LF26" s="43"/>
      <c r="LG26" s="43"/>
      <c r="LH26" s="43"/>
      <c r="LI26" s="43"/>
      <c r="LJ26" s="43"/>
      <c r="LK26" s="43"/>
      <c r="LL26" s="43"/>
      <c r="LM26" s="43"/>
      <c r="LN26" s="43"/>
      <c r="LO26" s="43"/>
      <c r="LP26" s="43"/>
      <c r="LQ26" s="43"/>
      <c r="LR26" s="43"/>
      <c r="LS26" s="43"/>
      <c r="LT26" s="43"/>
      <c r="LU26" s="43"/>
      <c r="LV26" s="43"/>
      <c r="LW26" s="43"/>
      <c r="LX26" s="43"/>
      <c r="LY26" s="43"/>
      <c r="LZ26" s="43"/>
      <c r="MA26" s="43"/>
      <c r="MB26" s="43"/>
      <c r="MC26" s="43"/>
      <c r="MD26" s="43"/>
      <c r="ME26" s="43"/>
      <c r="MF26" s="43"/>
      <c r="MG26" s="43"/>
      <c r="MH26" s="43"/>
      <c r="MI26" s="43"/>
      <c r="MJ26" s="43"/>
      <c r="MK26" s="43"/>
      <c r="ML26" s="43"/>
      <c r="MM26" s="43"/>
      <c r="MN26" s="43"/>
      <c r="MO26" s="43"/>
      <c r="MP26" s="43"/>
      <c r="MQ26" s="43"/>
      <c r="MR26" s="43"/>
      <c r="MS26" s="43"/>
      <c r="MT26" s="43"/>
      <c r="MU26" s="43"/>
      <c r="MV26" s="43"/>
      <c r="MW26" s="43"/>
      <c r="MX26" s="43"/>
      <c r="MY26" s="43"/>
      <c r="MZ26" s="43"/>
      <c r="NA26" s="43"/>
      <c r="NB26" s="43"/>
      <c r="NC26" s="43"/>
      <c r="ND26" s="43"/>
      <c r="NE26" s="43"/>
      <c r="NF26" s="43"/>
      <c r="NG26" s="43"/>
      <c r="NH26" s="43"/>
      <c r="NI26" s="43"/>
      <c r="NJ26" s="43"/>
      <c r="NK26" s="43"/>
      <c r="NL26" s="43"/>
      <c r="NM26" s="43"/>
      <c r="NN26" s="43"/>
      <c r="NO26" s="43"/>
      <c r="NP26" s="43"/>
      <c r="NQ26" s="43"/>
      <c r="NR26" s="43"/>
      <c r="NS26" s="43"/>
      <c r="NT26" s="43"/>
      <c r="NU26" s="43"/>
      <c r="NV26" s="43"/>
      <c r="NW26" s="43"/>
      <c r="NX26" s="43"/>
      <c r="NY26" s="43"/>
      <c r="NZ26" s="43"/>
      <c r="OA26" s="43"/>
      <c r="OB26" s="43"/>
      <c r="OC26" s="43"/>
      <c r="OD26" s="43"/>
      <c r="OE26" s="43"/>
      <c r="OF26" s="43"/>
      <c r="OG26" s="43"/>
      <c r="OH26" s="43"/>
      <c r="OI26" s="43"/>
      <c r="OJ26" s="43"/>
      <c r="OK26" s="43"/>
      <c r="OL26" s="43"/>
      <c r="OM26" s="43"/>
      <c r="ON26" s="43"/>
      <c r="OO26" s="43"/>
      <c r="OP26" s="43"/>
      <c r="OQ26" s="43"/>
      <c r="OR26" s="43"/>
      <c r="OS26" s="43"/>
      <c r="OT26" s="43"/>
      <c r="OU26" s="43"/>
      <c r="OV26" s="43"/>
      <c r="OW26" s="43"/>
      <c r="OX26" s="43"/>
      <c r="OY26" s="43"/>
      <c r="OZ26" s="43"/>
      <c r="PA26" s="43"/>
      <c r="PB26" s="43"/>
      <c r="PC26" s="43"/>
      <c r="PD26" s="43"/>
      <c r="PE26" s="43"/>
      <c r="PF26" s="43"/>
      <c r="PG26" s="43"/>
      <c r="PH26" s="43"/>
      <c r="PI26" s="43"/>
      <c r="PJ26" s="43"/>
      <c r="PK26" s="43"/>
      <c r="PL26" s="43"/>
      <c r="PM26" s="43"/>
      <c r="PN26" s="43"/>
      <c r="PO26" s="43"/>
      <c r="PP26" s="43"/>
      <c r="PQ26" s="43"/>
      <c r="PR26" s="43"/>
      <c r="PS26" s="43"/>
      <c r="PT26" s="43"/>
      <c r="PU26" s="43"/>
      <c r="PV26" s="43"/>
      <c r="PW26" s="43"/>
      <c r="PX26" s="43"/>
      <c r="PY26" s="43"/>
      <c r="PZ26" s="43"/>
      <c r="QA26" s="43"/>
      <c r="QB26" s="43"/>
      <c r="QC26" s="43"/>
    </row>
    <row r="27" spans="1:445" s="50" customFormat="1" x14ac:dyDescent="0.3">
      <c r="A27" s="47" t="s">
        <v>89</v>
      </c>
      <c r="B27" s="45" t="s">
        <v>73</v>
      </c>
      <c r="C27" s="45" t="s">
        <v>60</v>
      </c>
      <c r="D27" s="45" t="s">
        <v>77</v>
      </c>
      <c r="E27" s="45">
        <v>50</v>
      </c>
      <c r="F27" s="45">
        <v>1350</v>
      </c>
      <c r="G27" s="45"/>
      <c r="H27" s="45">
        <v>190</v>
      </c>
      <c r="I27" s="45">
        <v>200</v>
      </c>
      <c r="J27" s="45">
        <v>200</v>
      </c>
      <c r="K27" s="45">
        <v>200</v>
      </c>
      <c r="L27" s="45">
        <v>200</v>
      </c>
      <c r="M27" s="45">
        <v>200</v>
      </c>
      <c r="N27" s="45">
        <v>160</v>
      </c>
      <c r="O27" s="45"/>
      <c r="P27" s="45"/>
      <c r="Q27" s="45"/>
      <c r="R27" s="45"/>
      <c r="S27" s="45"/>
      <c r="T27" s="45">
        <f>IF(AND(ISBLANK(E27),ISBLANK(F27),ISBLANK(G27),ISBLANK(#REF!),ISBLANK(I27),ISBLANK(J27),ISBLANK(K27), ISBLANK(L27), ISBLANK(M27), ISBLANK(N27), ISBLANK(O27), ISBLANK(P27), ISBLANK(Q27), ISBLANK(R27), ISBLANK(S27)),"",SUM(G27:S27))</f>
        <v>1350</v>
      </c>
      <c r="U27" s="45">
        <f>IF(W27&lt;&gt;0,0,IF(AND(ISBLANK(F27),ISBLANK(G27),ISBLANK(#REF!),ISBLANK(I27),ISBLANK(J27),ISBLANK(K27), ISBLANK(L27), ISBLANK(M27), ISBLANK(N27), ISBLANK(O27), ISBLANK(P27), ISBLANK(Q27), ISBLANK(R27), ISBLANK(S27)),"", F27-T27))</f>
        <v>0</v>
      </c>
      <c r="V27" s="68">
        <f>IF(AND(ISBLANK(E27),ISBLANK(F27), ISBLANK(G27), ISBLANK(#REF!), ISBLANK(I27), ISBLANK(J27), ISBLANK(K27), ISBLANK(L27), ISBLANK(M27),ISBLANK(N27), ISBLANK(O27), ISBLANK(P27), ISBLANK(Q27), ISBLANK(R27), ISBLANK(S27)), "",IFERROR(((F27+E27)-U27)/F27,""))</f>
        <v>1.037037037037037</v>
      </c>
      <c r="W27" s="48"/>
      <c r="X27" s="66" t="str">
        <f t="shared" si="5"/>
        <v/>
      </c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43"/>
      <c r="CY27" s="43"/>
      <c r="CZ27" s="43"/>
      <c r="DA27" s="43"/>
      <c r="DB27" s="43"/>
      <c r="DC27" s="43"/>
      <c r="DD27" s="43"/>
      <c r="DE27" s="43"/>
      <c r="DF27" s="43"/>
      <c r="DG27" s="43"/>
      <c r="DH27" s="43"/>
      <c r="DI27" s="43"/>
      <c r="DJ27" s="43"/>
      <c r="DK27" s="43"/>
      <c r="DL27" s="43"/>
      <c r="DM27" s="43"/>
      <c r="DN27" s="43"/>
      <c r="DO27" s="43"/>
      <c r="DP27" s="43"/>
      <c r="DQ27" s="43"/>
      <c r="DR27" s="43"/>
      <c r="DS27" s="43"/>
      <c r="DT27" s="43"/>
      <c r="DU27" s="43"/>
      <c r="DV27" s="43"/>
      <c r="DW27" s="43"/>
      <c r="DX27" s="43"/>
      <c r="DY27" s="43"/>
      <c r="DZ27" s="43"/>
      <c r="EA27" s="43"/>
      <c r="EB27" s="43"/>
      <c r="EC27" s="43"/>
      <c r="ED27" s="43"/>
      <c r="EE27" s="43"/>
      <c r="EF27" s="43"/>
      <c r="EG27" s="43"/>
      <c r="EH27" s="43"/>
      <c r="EI27" s="43"/>
      <c r="EJ27" s="43"/>
      <c r="EK27" s="43"/>
      <c r="EL27" s="43"/>
      <c r="EM27" s="43"/>
      <c r="EN27" s="43"/>
      <c r="EO27" s="43"/>
      <c r="EP27" s="43"/>
      <c r="EQ27" s="43"/>
      <c r="ER27" s="43"/>
      <c r="ES27" s="43"/>
      <c r="ET27" s="43"/>
      <c r="EU27" s="43"/>
      <c r="EV27" s="43"/>
      <c r="EW27" s="43"/>
      <c r="EX27" s="43"/>
      <c r="EY27" s="43"/>
      <c r="EZ27" s="43"/>
      <c r="FA27" s="43"/>
      <c r="FB27" s="43"/>
      <c r="FC27" s="43"/>
      <c r="FD27" s="43"/>
      <c r="FE27" s="43"/>
      <c r="FF27" s="43"/>
      <c r="FG27" s="43"/>
      <c r="FH27" s="43"/>
      <c r="FI27" s="43"/>
      <c r="FJ27" s="43"/>
      <c r="FK27" s="43"/>
      <c r="FL27" s="43"/>
      <c r="FM27" s="43"/>
      <c r="FN27" s="43"/>
      <c r="FO27" s="43"/>
      <c r="FP27" s="43"/>
      <c r="FQ27" s="43"/>
      <c r="FR27" s="43"/>
      <c r="FS27" s="43"/>
      <c r="FT27" s="43"/>
      <c r="FU27" s="43"/>
      <c r="FV27" s="43"/>
      <c r="FW27" s="43"/>
      <c r="FX27" s="43"/>
      <c r="FY27" s="43"/>
      <c r="FZ27" s="43"/>
      <c r="GA27" s="43"/>
      <c r="GB27" s="43"/>
      <c r="GC27" s="43"/>
      <c r="GD27" s="43"/>
      <c r="GE27" s="43"/>
      <c r="GF27" s="43"/>
      <c r="GG27" s="43"/>
      <c r="GH27" s="43"/>
      <c r="GI27" s="43"/>
      <c r="GJ27" s="43"/>
      <c r="GK27" s="43"/>
      <c r="GL27" s="43"/>
      <c r="GM27" s="43"/>
      <c r="GN27" s="43"/>
      <c r="GO27" s="43"/>
      <c r="GP27" s="43"/>
      <c r="GQ27" s="43"/>
      <c r="GR27" s="43"/>
      <c r="GS27" s="43"/>
      <c r="GT27" s="43"/>
      <c r="GU27" s="43"/>
      <c r="GV27" s="43"/>
      <c r="GW27" s="43"/>
      <c r="GX27" s="43"/>
      <c r="GY27" s="43"/>
      <c r="GZ27" s="43"/>
      <c r="HA27" s="43"/>
      <c r="HB27" s="43"/>
      <c r="HC27" s="43"/>
      <c r="HD27" s="43"/>
      <c r="HE27" s="43"/>
      <c r="HF27" s="43"/>
      <c r="HG27" s="43"/>
      <c r="HH27" s="43"/>
      <c r="HI27" s="43"/>
      <c r="HJ27" s="43"/>
      <c r="HK27" s="43"/>
      <c r="HL27" s="43"/>
      <c r="HM27" s="43"/>
      <c r="HN27" s="43"/>
      <c r="HO27" s="43"/>
      <c r="HP27" s="43"/>
      <c r="HQ27" s="43"/>
      <c r="HR27" s="43"/>
      <c r="HS27" s="43"/>
      <c r="HT27" s="43"/>
      <c r="HU27" s="43"/>
      <c r="HV27" s="43"/>
      <c r="HW27" s="43"/>
      <c r="HX27" s="43"/>
      <c r="HY27" s="43"/>
      <c r="HZ27" s="43"/>
      <c r="IA27" s="43"/>
      <c r="IB27" s="43"/>
      <c r="IC27" s="43"/>
      <c r="ID27" s="43"/>
      <c r="IE27" s="43"/>
      <c r="IF27" s="43"/>
      <c r="IG27" s="43"/>
      <c r="IH27" s="43"/>
      <c r="II27" s="43"/>
      <c r="IJ27" s="43"/>
      <c r="IK27" s="43"/>
      <c r="IL27" s="43"/>
      <c r="IM27" s="43"/>
      <c r="IN27" s="43"/>
      <c r="IO27" s="43"/>
      <c r="IP27" s="43"/>
      <c r="IQ27" s="43"/>
      <c r="IR27" s="43"/>
      <c r="IS27" s="43"/>
      <c r="IT27" s="43"/>
      <c r="IU27" s="43"/>
      <c r="IV27" s="43"/>
      <c r="IW27" s="43"/>
      <c r="IX27" s="43"/>
      <c r="IY27" s="43"/>
      <c r="IZ27" s="43"/>
      <c r="JA27" s="43"/>
      <c r="JB27" s="43"/>
      <c r="JC27" s="43"/>
      <c r="JD27" s="43"/>
      <c r="JE27" s="43"/>
      <c r="JF27" s="43"/>
      <c r="JG27" s="43"/>
      <c r="JH27" s="43"/>
      <c r="JI27" s="43"/>
      <c r="JJ27" s="43"/>
      <c r="JK27" s="43"/>
      <c r="JL27" s="43"/>
      <c r="JM27" s="43"/>
      <c r="JN27" s="43"/>
      <c r="JO27" s="43"/>
      <c r="JP27" s="43"/>
      <c r="JQ27" s="43"/>
      <c r="JR27" s="43"/>
      <c r="JS27" s="43"/>
      <c r="JT27" s="43"/>
      <c r="JU27" s="43"/>
      <c r="JV27" s="43"/>
      <c r="JW27" s="43"/>
      <c r="JX27" s="43"/>
      <c r="JY27" s="43"/>
      <c r="JZ27" s="43"/>
      <c r="KA27" s="43"/>
      <c r="KB27" s="43"/>
      <c r="KC27" s="43"/>
      <c r="KD27" s="43"/>
      <c r="KE27" s="43"/>
      <c r="KF27" s="43"/>
      <c r="KG27" s="43"/>
      <c r="KH27" s="43"/>
      <c r="KI27" s="43"/>
      <c r="KJ27" s="43"/>
      <c r="KK27" s="43"/>
      <c r="KL27" s="43"/>
      <c r="KM27" s="43"/>
      <c r="KN27" s="43"/>
      <c r="KO27" s="43"/>
      <c r="KP27" s="43"/>
      <c r="KQ27" s="43"/>
      <c r="KR27" s="43"/>
      <c r="KS27" s="43"/>
      <c r="KT27" s="43"/>
      <c r="KU27" s="43"/>
      <c r="KV27" s="43"/>
      <c r="KW27" s="43"/>
      <c r="KX27" s="43"/>
      <c r="KY27" s="43"/>
      <c r="KZ27" s="43"/>
      <c r="LA27" s="43"/>
      <c r="LB27" s="43"/>
      <c r="LC27" s="43"/>
      <c r="LD27" s="43"/>
      <c r="LE27" s="43"/>
      <c r="LF27" s="43"/>
      <c r="LG27" s="43"/>
      <c r="LH27" s="43"/>
      <c r="LI27" s="43"/>
      <c r="LJ27" s="43"/>
      <c r="LK27" s="43"/>
      <c r="LL27" s="43"/>
      <c r="LM27" s="43"/>
      <c r="LN27" s="43"/>
      <c r="LO27" s="43"/>
      <c r="LP27" s="43"/>
      <c r="LQ27" s="43"/>
      <c r="LR27" s="43"/>
      <c r="LS27" s="43"/>
      <c r="LT27" s="43"/>
      <c r="LU27" s="43"/>
      <c r="LV27" s="43"/>
      <c r="LW27" s="43"/>
      <c r="LX27" s="43"/>
      <c r="LY27" s="43"/>
      <c r="LZ27" s="43"/>
      <c r="MA27" s="43"/>
      <c r="MB27" s="43"/>
      <c r="MC27" s="43"/>
      <c r="MD27" s="43"/>
      <c r="ME27" s="43"/>
      <c r="MF27" s="43"/>
      <c r="MG27" s="43"/>
      <c r="MH27" s="43"/>
      <c r="MI27" s="43"/>
      <c r="MJ27" s="43"/>
      <c r="MK27" s="43"/>
      <c r="ML27" s="43"/>
      <c r="MM27" s="43"/>
      <c r="MN27" s="43"/>
      <c r="MO27" s="43"/>
      <c r="MP27" s="43"/>
      <c r="MQ27" s="43"/>
      <c r="MR27" s="43"/>
      <c r="MS27" s="43"/>
      <c r="MT27" s="43"/>
      <c r="MU27" s="43"/>
      <c r="MV27" s="43"/>
      <c r="MW27" s="43"/>
      <c r="MX27" s="43"/>
      <c r="MY27" s="43"/>
      <c r="MZ27" s="43"/>
      <c r="NA27" s="43"/>
      <c r="NB27" s="43"/>
      <c r="NC27" s="43"/>
      <c r="ND27" s="43"/>
      <c r="NE27" s="43"/>
      <c r="NF27" s="43"/>
      <c r="NG27" s="43"/>
      <c r="NH27" s="43"/>
      <c r="NI27" s="43"/>
      <c r="NJ27" s="43"/>
      <c r="NK27" s="43"/>
      <c r="NL27" s="43"/>
      <c r="NM27" s="43"/>
      <c r="NN27" s="43"/>
      <c r="NO27" s="43"/>
      <c r="NP27" s="43"/>
      <c r="NQ27" s="43"/>
      <c r="NR27" s="43"/>
      <c r="NS27" s="43"/>
      <c r="NT27" s="43"/>
      <c r="NU27" s="43"/>
      <c r="NV27" s="43"/>
      <c r="NW27" s="43"/>
      <c r="NX27" s="43"/>
      <c r="NY27" s="43"/>
      <c r="NZ27" s="43"/>
      <c r="OA27" s="43"/>
      <c r="OB27" s="43"/>
      <c r="OC27" s="43"/>
      <c r="OD27" s="43"/>
      <c r="OE27" s="43"/>
      <c r="OF27" s="43"/>
      <c r="OG27" s="43"/>
      <c r="OH27" s="43"/>
      <c r="OI27" s="43"/>
      <c r="OJ27" s="43"/>
      <c r="OK27" s="43"/>
      <c r="OL27" s="43"/>
      <c r="OM27" s="43"/>
      <c r="ON27" s="43"/>
      <c r="OO27" s="43"/>
      <c r="OP27" s="43"/>
      <c r="OQ27" s="43"/>
      <c r="OR27" s="43"/>
      <c r="OS27" s="43"/>
      <c r="OT27" s="43"/>
      <c r="OU27" s="43"/>
      <c r="OV27" s="43"/>
      <c r="OW27" s="43"/>
      <c r="OX27" s="43"/>
      <c r="OY27" s="43"/>
      <c r="OZ27" s="43"/>
      <c r="PA27" s="43"/>
      <c r="PB27" s="43"/>
      <c r="PC27" s="43"/>
      <c r="PD27" s="43"/>
      <c r="PE27" s="43"/>
      <c r="PF27" s="43"/>
      <c r="PG27" s="43"/>
      <c r="PH27" s="43"/>
      <c r="PI27" s="43"/>
      <c r="PJ27" s="43"/>
      <c r="PK27" s="43"/>
      <c r="PL27" s="43"/>
      <c r="PM27" s="43"/>
      <c r="PN27" s="43"/>
      <c r="PO27" s="43"/>
      <c r="PP27" s="43"/>
      <c r="PQ27" s="43"/>
      <c r="PR27" s="43"/>
      <c r="PS27" s="43"/>
      <c r="PT27" s="43"/>
      <c r="PU27" s="43"/>
      <c r="PV27" s="43"/>
      <c r="PW27" s="43"/>
      <c r="PX27" s="43"/>
      <c r="PY27" s="43"/>
      <c r="PZ27" s="43"/>
      <c r="QA27" s="43"/>
      <c r="QB27" s="43"/>
      <c r="QC27" s="43"/>
    </row>
    <row r="28" spans="1:445" s="50" customFormat="1" x14ac:dyDescent="0.3">
      <c r="A28" s="47" t="s">
        <v>85</v>
      </c>
      <c r="B28" s="45" t="s">
        <v>96</v>
      </c>
      <c r="C28" s="45" t="s">
        <v>63</v>
      </c>
      <c r="D28" s="45" t="s">
        <v>77</v>
      </c>
      <c r="E28" s="45">
        <v>0</v>
      </c>
      <c r="F28" s="45">
        <v>1170</v>
      </c>
      <c r="G28" s="45"/>
      <c r="H28" s="45">
        <v>65</v>
      </c>
      <c r="I28" s="61">
        <v>130</v>
      </c>
      <c r="J28" s="45">
        <v>130</v>
      </c>
      <c r="K28" s="45">
        <v>130</v>
      </c>
      <c r="L28" s="45">
        <v>130</v>
      </c>
      <c r="M28" s="45">
        <v>130</v>
      </c>
      <c r="N28" s="45">
        <v>130</v>
      </c>
      <c r="O28" s="45">
        <v>130</v>
      </c>
      <c r="P28" s="45">
        <v>130</v>
      </c>
      <c r="Q28" s="45">
        <v>65</v>
      </c>
      <c r="R28" s="45"/>
      <c r="S28" s="45"/>
      <c r="T28" s="45">
        <f>IF(AND(ISBLANK(E28),ISBLANK(F28),ISBLANK(G28),ISBLANK(H28),ISBLANK(H27),ISBLANK(J28),ISBLANK(K28), ISBLANK(L28), ISBLANK(M28), ISBLANK(N28), ISBLANK(O28), ISBLANK(P28), ISBLANK(Q28), ISBLANK(R28), ISBLANK(S28)),"",SUM(G28:S28))</f>
        <v>1170</v>
      </c>
      <c r="U28" s="45">
        <f>IF(W28&lt;&gt;0,0,IF(AND(ISBLANK(F28),ISBLANK(G28),ISBLANK(H28),ISBLANK(H27),ISBLANK(J28),ISBLANK(K28), ISBLANK(L28), ISBLANK(M28), ISBLANK(N28), ISBLANK(O28), ISBLANK(P28), ISBLANK(Q28), ISBLANK(R28), ISBLANK(S28)),"", F28-T28))</f>
        <v>0</v>
      </c>
      <c r="V28" s="68">
        <f>IF(AND(ISBLANK(E28),ISBLANK(F28), ISBLANK(G28), ISBLANK(H28), ISBLANK(H27), ISBLANK(J28), ISBLANK(K28), ISBLANK(L28), ISBLANK(M28),ISBLANK(N28), ISBLANK(O28), ISBLANK(P28), ISBLANK(Q28), ISBLANK(R28), ISBLANK(S28)), "",IFERROR(((F28+E28)-U28)/F28,""))</f>
        <v>1</v>
      </c>
      <c r="W28" s="48"/>
      <c r="X28" s="66" t="str">
        <f t="shared" si="5"/>
        <v/>
      </c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43"/>
      <c r="CY28" s="43"/>
      <c r="CZ28" s="43"/>
      <c r="DA28" s="43"/>
      <c r="DB28" s="43"/>
      <c r="DC28" s="43"/>
      <c r="DD28" s="43"/>
      <c r="DE28" s="43"/>
      <c r="DF28" s="43"/>
      <c r="DG28" s="43"/>
      <c r="DH28" s="43"/>
      <c r="DI28" s="43"/>
      <c r="DJ28" s="43"/>
      <c r="DK28" s="43"/>
      <c r="DL28" s="43"/>
      <c r="DM28" s="43"/>
      <c r="DN28" s="43"/>
      <c r="DO28" s="43"/>
      <c r="DP28" s="43"/>
      <c r="DQ28" s="43"/>
      <c r="DR28" s="43"/>
      <c r="DS28" s="43"/>
      <c r="DT28" s="43"/>
      <c r="DU28" s="43"/>
      <c r="DV28" s="43"/>
      <c r="DW28" s="43"/>
      <c r="DX28" s="43"/>
      <c r="DY28" s="43"/>
      <c r="DZ28" s="43"/>
      <c r="EA28" s="43"/>
      <c r="EB28" s="43"/>
      <c r="EC28" s="43"/>
      <c r="ED28" s="43"/>
      <c r="EE28" s="43"/>
      <c r="EF28" s="43"/>
      <c r="EG28" s="43"/>
      <c r="EH28" s="43"/>
      <c r="EI28" s="43"/>
      <c r="EJ28" s="43"/>
      <c r="EK28" s="43"/>
      <c r="EL28" s="43"/>
      <c r="EM28" s="43"/>
      <c r="EN28" s="43"/>
      <c r="EO28" s="43"/>
      <c r="EP28" s="43"/>
      <c r="EQ28" s="43"/>
      <c r="ER28" s="43"/>
      <c r="ES28" s="43"/>
      <c r="ET28" s="43"/>
      <c r="EU28" s="43"/>
      <c r="EV28" s="43"/>
      <c r="EW28" s="43"/>
      <c r="EX28" s="43"/>
      <c r="EY28" s="43"/>
      <c r="EZ28" s="43"/>
      <c r="FA28" s="43"/>
      <c r="FB28" s="43"/>
      <c r="FC28" s="43"/>
      <c r="FD28" s="43"/>
      <c r="FE28" s="43"/>
      <c r="FF28" s="43"/>
      <c r="FG28" s="43"/>
      <c r="FH28" s="43"/>
      <c r="FI28" s="43"/>
      <c r="FJ28" s="43"/>
      <c r="FK28" s="43"/>
      <c r="FL28" s="43"/>
      <c r="FM28" s="43"/>
      <c r="FN28" s="43"/>
      <c r="FO28" s="43"/>
      <c r="FP28" s="43"/>
      <c r="FQ28" s="43"/>
      <c r="FR28" s="43"/>
      <c r="FS28" s="43"/>
      <c r="FT28" s="43"/>
      <c r="FU28" s="43"/>
      <c r="FV28" s="43"/>
      <c r="FW28" s="43"/>
      <c r="FX28" s="43"/>
      <c r="FY28" s="43"/>
      <c r="FZ28" s="43"/>
      <c r="GA28" s="43"/>
      <c r="GB28" s="43"/>
      <c r="GC28" s="43"/>
      <c r="GD28" s="43"/>
      <c r="GE28" s="43"/>
      <c r="GF28" s="43"/>
      <c r="GG28" s="43"/>
      <c r="GH28" s="43"/>
      <c r="GI28" s="43"/>
      <c r="GJ28" s="43"/>
      <c r="GK28" s="43"/>
      <c r="GL28" s="43"/>
      <c r="GM28" s="43"/>
      <c r="GN28" s="43"/>
      <c r="GO28" s="43"/>
      <c r="GP28" s="43"/>
      <c r="GQ28" s="43"/>
      <c r="GR28" s="43"/>
      <c r="GS28" s="43"/>
      <c r="GT28" s="43"/>
      <c r="GU28" s="43"/>
      <c r="GV28" s="43"/>
      <c r="GW28" s="43"/>
      <c r="GX28" s="43"/>
      <c r="GY28" s="43"/>
      <c r="GZ28" s="43"/>
      <c r="HA28" s="43"/>
      <c r="HB28" s="43"/>
      <c r="HC28" s="43"/>
      <c r="HD28" s="43"/>
      <c r="HE28" s="43"/>
      <c r="HF28" s="43"/>
      <c r="HG28" s="43"/>
      <c r="HH28" s="43"/>
      <c r="HI28" s="43"/>
      <c r="HJ28" s="43"/>
      <c r="HK28" s="43"/>
      <c r="HL28" s="43"/>
      <c r="HM28" s="43"/>
      <c r="HN28" s="43"/>
      <c r="HO28" s="43"/>
      <c r="HP28" s="43"/>
      <c r="HQ28" s="43"/>
      <c r="HR28" s="43"/>
      <c r="HS28" s="43"/>
      <c r="HT28" s="43"/>
      <c r="HU28" s="43"/>
      <c r="HV28" s="43"/>
      <c r="HW28" s="43"/>
      <c r="HX28" s="43"/>
      <c r="HY28" s="43"/>
      <c r="HZ28" s="43"/>
      <c r="IA28" s="43"/>
      <c r="IB28" s="43"/>
      <c r="IC28" s="43"/>
      <c r="ID28" s="43"/>
      <c r="IE28" s="43"/>
      <c r="IF28" s="43"/>
      <c r="IG28" s="43"/>
      <c r="IH28" s="43"/>
      <c r="II28" s="43"/>
      <c r="IJ28" s="43"/>
      <c r="IK28" s="43"/>
      <c r="IL28" s="43"/>
      <c r="IM28" s="43"/>
      <c r="IN28" s="43"/>
      <c r="IO28" s="43"/>
      <c r="IP28" s="43"/>
      <c r="IQ28" s="43"/>
      <c r="IR28" s="43"/>
      <c r="IS28" s="43"/>
      <c r="IT28" s="43"/>
      <c r="IU28" s="43"/>
      <c r="IV28" s="43"/>
      <c r="IW28" s="43"/>
      <c r="IX28" s="43"/>
      <c r="IY28" s="43"/>
      <c r="IZ28" s="43"/>
      <c r="JA28" s="43"/>
      <c r="JB28" s="43"/>
      <c r="JC28" s="43"/>
      <c r="JD28" s="43"/>
      <c r="JE28" s="43"/>
      <c r="JF28" s="43"/>
      <c r="JG28" s="43"/>
      <c r="JH28" s="43"/>
      <c r="JI28" s="43"/>
      <c r="JJ28" s="43"/>
      <c r="JK28" s="43"/>
      <c r="JL28" s="43"/>
      <c r="JM28" s="43"/>
      <c r="JN28" s="43"/>
      <c r="JO28" s="43"/>
      <c r="JP28" s="43"/>
      <c r="JQ28" s="43"/>
      <c r="JR28" s="43"/>
      <c r="JS28" s="43"/>
      <c r="JT28" s="43"/>
      <c r="JU28" s="43"/>
      <c r="JV28" s="43"/>
      <c r="JW28" s="43"/>
      <c r="JX28" s="43"/>
      <c r="JY28" s="43"/>
      <c r="JZ28" s="43"/>
      <c r="KA28" s="43"/>
      <c r="KB28" s="43"/>
      <c r="KC28" s="43"/>
      <c r="KD28" s="43"/>
      <c r="KE28" s="43"/>
      <c r="KF28" s="43"/>
      <c r="KG28" s="43"/>
      <c r="KH28" s="43"/>
      <c r="KI28" s="43"/>
      <c r="KJ28" s="43"/>
      <c r="KK28" s="43"/>
      <c r="KL28" s="43"/>
      <c r="KM28" s="43"/>
      <c r="KN28" s="43"/>
      <c r="KO28" s="43"/>
      <c r="KP28" s="43"/>
      <c r="KQ28" s="43"/>
      <c r="KR28" s="43"/>
      <c r="KS28" s="43"/>
      <c r="KT28" s="43"/>
      <c r="KU28" s="43"/>
      <c r="KV28" s="43"/>
      <c r="KW28" s="43"/>
      <c r="KX28" s="43"/>
      <c r="KY28" s="43"/>
      <c r="KZ28" s="43"/>
      <c r="LA28" s="43"/>
      <c r="LB28" s="43"/>
      <c r="LC28" s="43"/>
      <c r="LD28" s="43"/>
      <c r="LE28" s="43"/>
      <c r="LF28" s="43"/>
      <c r="LG28" s="43"/>
      <c r="LH28" s="43"/>
      <c r="LI28" s="43"/>
      <c r="LJ28" s="43"/>
      <c r="LK28" s="43"/>
      <c r="LL28" s="43"/>
      <c r="LM28" s="43"/>
      <c r="LN28" s="43"/>
      <c r="LO28" s="43"/>
      <c r="LP28" s="43"/>
      <c r="LQ28" s="43"/>
      <c r="LR28" s="43"/>
      <c r="LS28" s="43"/>
      <c r="LT28" s="43"/>
      <c r="LU28" s="43"/>
      <c r="LV28" s="43"/>
      <c r="LW28" s="43"/>
      <c r="LX28" s="43"/>
      <c r="LY28" s="43"/>
      <c r="LZ28" s="43"/>
      <c r="MA28" s="43"/>
      <c r="MB28" s="43"/>
      <c r="MC28" s="43"/>
      <c r="MD28" s="43"/>
      <c r="ME28" s="43"/>
      <c r="MF28" s="43"/>
      <c r="MG28" s="43"/>
      <c r="MH28" s="43"/>
      <c r="MI28" s="43"/>
      <c r="MJ28" s="43"/>
      <c r="MK28" s="43"/>
      <c r="ML28" s="43"/>
      <c r="MM28" s="43"/>
      <c r="MN28" s="43"/>
      <c r="MO28" s="43"/>
      <c r="MP28" s="43"/>
      <c r="MQ28" s="43"/>
      <c r="MR28" s="43"/>
      <c r="MS28" s="43"/>
      <c r="MT28" s="43"/>
      <c r="MU28" s="43"/>
      <c r="MV28" s="43"/>
      <c r="MW28" s="43"/>
      <c r="MX28" s="43"/>
      <c r="MY28" s="43"/>
      <c r="MZ28" s="43"/>
      <c r="NA28" s="43"/>
      <c r="NB28" s="43"/>
      <c r="NC28" s="43"/>
      <c r="ND28" s="43"/>
      <c r="NE28" s="43"/>
      <c r="NF28" s="43"/>
      <c r="NG28" s="43"/>
      <c r="NH28" s="43"/>
      <c r="NI28" s="43"/>
      <c r="NJ28" s="43"/>
      <c r="NK28" s="43"/>
      <c r="NL28" s="43"/>
      <c r="NM28" s="43"/>
      <c r="NN28" s="43"/>
      <c r="NO28" s="43"/>
      <c r="NP28" s="43"/>
      <c r="NQ28" s="43"/>
      <c r="NR28" s="43"/>
      <c r="NS28" s="43"/>
      <c r="NT28" s="43"/>
      <c r="NU28" s="43"/>
      <c r="NV28" s="43"/>
      <c r="NW28" s="43"/>
      <c r="NX28" s="43"/>
      <c r="NY28" s="43"/>
      <c r="NZ28" s="43"/>
      <c r="OA28" s="43"/>
      <c r="OB28" s="43"/>
      <c r="OC28" s="43"/>
      <c r="OD28" s="43"/>
      <c r="OE28" s="43"/>
      <c r="OF28" s="43"/>
      <c r="OG28" s="43"/>
      <c r="OH28" s="43"/>
      <c r="OI28" s="43"/>
      <c r="OJ28" s="43"/>
      <c r="OK28" s="43"/>
      <c r="OL28" s="43"/>
      <c r="OM28" s="43"/>
      <c r="ON28" s="43"/>
      <c r="OO28" s="43"/>
      <c r="OP28" s="43"/>
      <c r="OQ28" s="43"/>
      <c r="OR28" s="43"/>
      <c r="OS28" s="43"/>
      <c r="OT28" s="43"/>
      <c r="OU28" s="43"/>
      <c r="OV28" s="43"/>
      <c r="OW28" s="43"/>
      <c r="OX28" s="43"/>
      <c r="OY28" s="43"/>
      <c r="OZ28" s="43"/>
      <c r="PA28" s="43"/>
      <c r="PB28" s="43"/>
      <c r="PC28" s="43"/>
      <c r="PD28" s="43"/>
      <c r="PE28" s="43"/>
      <c r="PF28" s="43"/>
      <c r="PG28" s="43"/>
      <c r="PH28" s="43"/>
      <c r="PI28" s="43"/>
      <c r="PJ28" s="43"/>
      <c r="PK28" s="43"/>
      <c r="PL28" s="43"/>
      <c r="PM28" s="43"/>
      <c r="PN28" s="43"/>
      <c r="PO28" s="43"/>
      <c r="PP28" s="43"/>
      <c r="PQ28" s="43"/>
      <c r="PR28" s="43"/>
      <c r="PS28" s="43"/>
      <c r="PT28" s="43"/>
      <c r="PU28" s="43"/>
      <c r="PV28" s="43"/>
      <c r="PW28" s="43"/>
      <c r="PX28" s="43"/>
      <c r="PY28" s="43"/>
      <c r="PZ28" s="43"/>
      <c r="QA28" s="43"/>
      <c r="QB28" s="43"/>
      <c r="QC28" s="43"/>
    </row>
    <row r="29" spans="1:445" s="50" customFormat="1" x14ac:dyDescent="0.3">
      <c r="A29" s="47" t="s">
        <v>87</v>
      </c>
      <c r="B29" s="45" t="s">
        <v>96</v>
      </c>
      <c r="C29" s="45" t="s">
        <v>44</v>
      </c>
      <c r="D29" s="45" t="s">
        <v>75</v>
      </c>
      <c r="E29" s="45">
        <v>0</v>
      </c>
      <c r="F29" s="45">
        <v>1800</v>
      </c>
      <c r="G29" s="45"/>
      <c r="H29" s="45">
        <v>100</v>
      </c>
      <c r="I29" s="45">
        <v>200</v>
      </c>
      <c r="J29" s="45">
        <v>200</v>
      </c>
      <c r="K29" s="45">
        <v>200</v>
      </c>
      <c r="L29" s="45">
        <v>200</v>
      </c>
      <c r="M29" s="45">
        <v>200</v>
      </c>
      <c r="N29" s="45">
        <v>200</v>
      </c>
      <c r="O29" s="45">
        <v>200</v>
      </c>
      <c r="P29" s="45">
        <v>200</v>
      </c>
      <c r="Q29" s="45">
        <v>100</v>
      </c>
      <c r="R29" s="45"/>
      <c r="S29" s="45"/>
      <c r="T29" s="45">
        <f>IF(AND(ISBLANK(E29),ISBLANK(F29),ISBLANK(G29),ISBLANK(H29),ISBLANK(I29),ISBLANK(J29),ISBLANK(K29), ISBLANK(L29), ISBLANK(M29), ISBLANK(N29), ISBLANK(O29), ISBLANK(P29), ISBLANK(Q29), ISBLANK(R29), ISBLANK(S29)),"",SUM(G29:S29))</f>
        <v>1800</v>
      </c>
      <c r="U29" s="45">
        <f>IF(W29&lt;&gt;0,0,IF(AND(ISBLANK(F29),ISBLANK(G29),ISBLANK(H29),ISBLANK(I29),ISBLANK(J29),ISBLANK(K29), ISBLANK(L29), ISBLANK(M29), ISBLANK(N29), ISBLANK(O29), ISBLANK(P29), ISBLANK(Q29), ISBLANK(R29), ISBLANK(S29)),"", F29-T29))</f>
        <v>0</v>
      </c>
      <c r="V29" s="68">
        <f>IF(AND(ISBLANK(E29),ISBLANK(F29), ISBLANK(G29), ISBLANK(H29), ISBLANK(I29), ISBLANK(J29), ISBLANK(K29), ISBLANK(L29), ISBLANK(M29),ISBLANK(N29), ISBLANK(O29), ISBLANK(P29), ISBLANK(Q29), ISBLANK(R29), ISBLANK(S29)), "",IFERROR(((F29+E29)-U29)/F29,""))</f>
        <v>1</v>
      </c>
      <c r="W29" s="49"/>
      <c r="X29" s="66" t="str">
        <f t="shared" si="5"/>
        <v/>
      </c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43"/>
      <c r="CY29" s="43"/>
      <c r="CZ29" s="43"/>
      <c r="DA29" s="43"/>
      <c r="DB29" s="43"/>
      <c r="DC29" s="43"/>
      <c r="DD29" s="43"/>
      <c r="DE29" s="43"/>
      <c r="DF29" s="43"/>
      <c r="DG29" s="43"/>
      <c r="DH29" s="43"/>
      <c r="DI29" s="43"/>
      <c r="DJ29" s="43"/>
      <c r="DK29" s="43"/>
      <c r="DL29" s="43"/>
      <c r="DM29" s="43"/>
      <c r="DN29" s="43"/>
      <c r="DO29" s="43"/>
      <c r="DP29" s="43"/>
      <c r="DQ29" s="43"/>
      <c r="DR29" s="43"/>
      <c r="DS29" s="43"/>
      <c r="DT29" s="43"/>
      <c r="DU29" s="43"/>
      <c r="DV29" s="43"/>
      <c r="DW29" s="43"/>
      <c r="DX29" s="43"/>
      <c r="DY29" s="43"/>
      <c r="DZ29" s="43"/>
      <c r="EA29" s="43"/>
      <c r="EB29" s="43"/>
      <c r="EC29" s="43"/>
      <c r="ED29" s="43"/>
      <c r="EE29" s="43"/>
      <c r="EF29" s="43"/>
      <c r="EG29" s="43"/>
      <c r="EH29" s="43"/>
      <c r="EI29" s="43"/>
      <c r="EJ29" s="43"/>
      <c r="EK29" s="43"/>
      <c r="EL29" s="43"/>
      <c r="EM29" s="43"/>
      <c r="EN29" s="43"/>
      <c r="EO29" s="43"/>
      <c r="EP29" s="43"/>
      <c r="EQ29" s="43"/>
      <c r="ER29" s="43"/>
      <c r="ES29" s="43"/>
      <c r="ET29" s="43"/>
      <c r="EU29" s="43"/>
      <c r="EV29" s="43"/>
      <c r="EW29" s="43"/>
      <c r="EX29" s="43"/>
      <c r="EY29" s="43"/>
      <c r="EZ29" s="43"/>
      <c r="FA29" s="43"/>
      <c r="FB29" s="43"/>
      <c r="FC29" s="43"/>
      <c r="FD29" s="43"/>
      <c r="FE29" s="43"/>
      <c r="FF29" s="43"/>
      <c r="FG29" s="43"/>
      <c r="FH29" s="43"/>
      <c r="FI29" s="43"/>
      <c r="FJ29" s="43"/>
      <c r="FK29" s="43"/>
      <c r="FL29" s="43"/>
      <c r="FM29" s="43"/>
      <c r="FN29" s="43"/>
      <c r="FO29" s="43"/>
      <c r="FP29" s="43"/>
      <c r="FQ29" s="43"/>
      <c r="FR29" s="43"/>
      <c r="FS29" s="43"/>
      <c r="FT29" s="43"/>
      <c r="FU29" s="43"/>
      <c r="FV29" s="43"/>
      <c r="FW29" s="43"/>
      <c r="FX29" s="43"/>
      <c r="FY29" s="43"/>
      <c r="FZ29" s="43"/>
      <c r="GA29" s="43"/>
      <c r="GB29" s="43"/>
      <c r="GC29" s="43"/>
      <c r="GD29" s="43"/>
      <c r="GE29" s="43"/>
      <c r="GF29" s="43"/>
      <c r="GG29" s="43"/>
      <c r="GH29" s="43"/>
      <c r="GI29" s="43"/>
      <c r="GJ29" s="43"/>
      <c r="GK29" s="43"/>
      <c r="GL29" s="43"/>
      <c r="GM29" s="43"/>
      <c r="GN29" s="43"/>
      <c r="GO29" s="43"/>
      <c r="GP29" s="43"/>
      <c r="GQ29" s="43"/>
      <c r="GR29" s="43"/>
      <c r="GS29" s="43"/>
      <c r="GT29" s="43"/>
      <c r="GU29" s="43"/>
      <c r="GV29" s="43"/>
      <c r="GW29" s="43"/>
      <c r="GX29" s="43"/>
      <c r="GY29" s="43"/>
      <c r="GZ29" s="43"/>
      <c r="HA29" s="43"/>
      <c r="HB29" s="43"/>
      <c r="HC29" s="43"/>
      <c r="HD29" s="43"/>
      <c r="HE29" s="43"/>
      <c r="HF29" s="43"/>
      <c r="HG29" s="43"/>
      <c r="HH29" s="43"/>
      <c r="HI29" s="43"/>
      <c r="HJ29" s="43"/>
      <c r="HK29" s="43"/>
      <c r="HL29" s="43"/>
      <c r="HM29" s="43"/>
      <c r="HN29" s="43"/>
      <c r="HO29" s="43"/>
      <c r="HP29" s="43"/>
      <c r="HQ29" s="43"/>
      <c r="HR29" s="43"/>
      <c r="HS29" s="43"/>
      <c r="HT29" s="43"/>
      <c r="HU29" s="43"/>
      <c r="HV29" s="43"/>
      <c r="HW29" s="43"/>
      <c r="HX29" s="43"/>
      <c r="HY29" s="43"/>
      <c r="HZ29" s="43"/>
      <c r="IA29" s="43"/>
      <c r="IB29" s="43"/>
      <c r="IC29" s="43"/>
      <c r="ID29" s="43"/>
      <c r="IE29" s="43"/>
      <c r="IF29" s="43"/>
      <c r="IG29" s="43"/>
      <c r="IH29" s="43"/>
      <c r="II29" s="43"/>
      <c r="IJ29" s="43"/>
      <c r="IK29" s="43"/>
      <c r="IL29" s="43"/>
      <c r="IM29" s="43"/>
      <c r="IN29" s="43"/>
      <c r="IO29" s="43"/>
      <c r="IP29" s="43"/>
      <c r="IQ29" s="43"/>
      <c r="IR29" s="43"/>
      <c r="IS29" s="43"/>
      <c r="IT29" s="43"/>
      <c r="IU29" s="43"/>
      <c r="IV29" s="43"/>
      <c r="IW29" s="43"/>
      <c r="IX29" s="43"/>
      <c r="IY29" s="43"/>
      <c r="IZ29" s="43"/>
      <c r="JA29" s="43"/>
      <c r="JB29" s="43"/>
      <c r="JC29" s="43"/>
      <c r="JD29" s="43"/>
      <c r="JE29" s="43"/>
      <c r="JF29" s="43"/>
      <c r="JG29" s="43"/>
      <c r="JH29" s="43"/>
      <c r="JI29" s="43"/>
      <c r="JJ29" s="43"/>
      <c r="JK29" s="43"/>
      <c r="JL29" s="43"/>
      <c r="JM29" s="43"/>
      <c r="JN29" s="43"/>
      <c r="JO29" s="43"/>
      <c r="JP29" s="43"/>
      <c r="JQ29" s="43"/>
      <c r="JR29" s="43"/>
      <c r="JS29" s="43"/>
      <c r="JT29" s="43"/>
      <c r="JU29" s="43"/>
      <c r="JV29" s="43"/>
      <c r="JW29" s="43"/>
      <c r="JX29" s="43"/>
      <c r="JY29" s="43"/>
      <c r="JZ29" s="43"/>
      <c r="KA29" s="43"/>
      <c r="KB29" s="43"/>
      <c r="KC29" s="43"/>
      <c r="KD29" s="43"/>
      <c r="KE29" s="43"/>
      <c r="KF29" s="43"/>
      <c r="KG29" s="43"/>
      <c r="KH29" s="43"/>
      <c r="KI29" s="43"/>
      <c r="KJ29" s="43"/>
      <c r="KK29" s="43"/>
      <c r="KL29" s="43"/>
      <c r="KM29" s="43"/>
      <c r="KN29" s="43"/>
      <c r="KO29" s="43"/>
      <c r="KP29" s="43"/>
      <c r="KQ29" s="43"/>
      <c r="KR29" s="43"/>
      <c r="KS29" s="43"/>
      <c r="KT29" s="43"/>
      <c r="KU29" s="43"/>
      <c r="KV29" s="43"/>
      <c r="KW29" s="43"/>
      <c r="KX29" s="43"/>
      <c r="KY29" s="43"/>
      <c r="KZ29" s="43"/>
      <c r="LA29" s="43"/>
      <c r="LB29" s="43"/>
      <c r="LC29" s="43"/>
      <c r="LD29" s="43"/>
      <c r="LE29" s="43"/>
      <c r="LF29" s="43"/>
      <c r="LG29" s="43"/>
      <c r="LH29" s="43"/>
      <c r="LI29" s="43"/>
      <c r="LJ29" s="43"/>
      <c r="LK29" s="43"/>
      <c r="LL29" s="43"/>
      <c r="LM29" s="43"/>
      <c r="LN29" s="43"/>
      <c r="LO29" s="43"/>
      <c r="LP29" s="43"/>
      <c r="LQ29" s="43"/>
      <c r="LR29" s="43"/>
      <c r="LS29" s="43"/>
      <c r="LT29" s="43"/>
      <c r="LU29" s="43"/>
      <c r="LV29" s="43"/>
      <c r="LW29" s="43"/>
      <c r="LX29" s="43"/>
      <c r="LY29" s="43"/>
      <c r="LZ29" s="43"/>
      <c r="MA29" s="43"/>
      <c r="MB29" s="43"/>
      <c r="MC29" s="43"/>
      <c r="MD29" s="43"/>
      <c r="ME29" s="43"/>
      <c r="MF29" s="43"/>
      <c r="MG29" s="43"/>
      <c r="MH29" s="43"/>
      <c r="MI29" s="43"/>
      <c r="MJ29" s="43"/>
      <c r="MK29" s="43"/>
      <c r="ML29" s="43"/>
      <c r="MM29" s="43"/>
      <c r="MN29" s="43"/>
      <c r="MO29" s="43"/>
      <c r="MP29" s="43"/>
      <c r="MQ29" s="43"/>
      <c r="MR29" s="43"/>
      <c r="MS29" s="43"/>
      <c r="MT29" s="43"/>
      <c r="MU29" s="43"/>
      <c r="MV29" s="43"/>
      <c r="MW29" s="43"/>
      <c r="MX29" s="43"/>
      <c r="MY29" s="43"/>
      <c r="MZ29" s="43"/>
      <c r="NA29" s="43"/>
      <c r="NB29" s="43"/>
      <c r="NC29" s="43"/>
      <c r="ND29" s="43"/>
      <c r="NE29" s="43"/>
      <c r="NF29" s="43"/>
      <c r="NG29" s="43"/>
      <c r="NH29" s="43"/>
      <c r="NI29" s="43"/>
      <c r="NJ29" s="43"/>
      <c r="NK29" s="43"/>
      <c r="NL29" s="43"/>
      <c r="NM29" s="43"/>
      <c r="NN29" s="43"/>
      <c r="NO29" s="43"/>
      <c r="NP29" s="43"/>
      <c r="NQ29" s="43"/>
      <c r="NR29" s="43"/>
      <c r="NS29" s="43"/>
      <c r="NT29" s="43"/>
      <c r="NU29" s="43"/>
      <c r="NV29" s="43"/>
      <c r="NW29" s="43"/>
      <c r="NX29" s="43"/>
      <c r="NY29" s="43"/>
      <c r="NZ29" s="43"/>
      <c r="OA29" s="43"/>
      <c r="OB29" s="43"/>
      <c r="OC29" s="43"/>
      <c r="OD29" s="43"/>
      <c r="OE29" s="43"/>
      <c r="OF29" s="43"/>
      <c r="OG29" s="43"/>
      <c r="OH29" s="43"/>
      <c r="OI29" s="43"/>
      <c r="OJ29" s="43"/>
      <c r="OK29" s="43"/>
      <c r="OL29" s="43"/>
      <c r="OM29" s="43"/>
      <c r="ON29" s="43"/>
      <c r="OO29" s="43"/>
      <c r="OP29" s="43"/>
      <c r="OQ29" s="43"/>
      <c r="OR29" s="43"/>
      <c r="OS29" s="43"/>
      <c r="OT29" s="43"/>
      <c r="OU29" s="43"/>
      <c r="OV29" s="43"/>
      <c r="OW29" s="43"/>
      <c r="OX29" s="43"/>
      <c r="OY29" s="43"/>
      <c r="OZ29" s="43"/>
      <c r="PA29" s="43"/>
      <c r="PB29" s="43"/>
      <c r="PC29" s="43"/>
      <c r="PD29" s="43"/>
      <c r="PE29" s="43"/>
      <c r="PF29" s="43"/>
      <c r="PG29" s="43"/>
      <c r="PH29" s="43"/>
      <c r="PI29" s="43"/>
      <c r="PJ29" s="43"/>
      <c r="PK29" s="43"/>
      <c r="PL29" s="43"/>
      <c r="PM29" s="43"/>
      <c r="PN29" s="43"/>
      <c r="PO29" s="43"/>
      <c r="PP29" s="43"/>
      <c r="PQ29" s="43"/>
      <c r="PR29" s="43"/>
      <c r="PS29" s="43"/>
      <c r="PT29" s="43"/>
      <c r="PU29" s="43"/>
      <c r="PV29" s="43"/>
      <c r="PW29" s="43"/>
      <c r="PX29" s="43"/>
      <c r="PY29" s="43"/>
      <c r="PZ29" s="43"/>
      <c r="QA29" s="43"/>
      <c r="QB29" s="43"/>
      <c r="QC29" s="43"/>
    </row>
    <row r="30" spans="1:445" s="50" customFormat="1" x14ac:dyDescent="0.3">
      <c r="A30" s="47" t="s">
        <v>26</v>
      </c>
      <c r="B30" s="45" t="s">
        <v>102</v>
      </c>
      <c r="C30" s="45" t="s">
        <v>61</v>
      </c>
      <c r="D30" s="45" t="s">
        <v>76</v>
      </c>
      <c r="E30" s="45">
        <v>30</v>
      </c>
      <c r="F30" s="45">
        <v>1080</v>
      </c>
      <c r="G30" s="45"/>
      <c r="H30" s="45">
        <v>120</v>
      </c>
      <c r="I30" s="45">
        <v>120</v>
      </c>
      <c r="J30" s="45">
        <v>120</v>
      </c>
      <c r="K30" s="45">
        <v>120</v>
      </c>
      <c r="L30" s="45">
        <v>120</v>
      </c>
      <c r="M30" s="45">
        <v>120</v>
      </c>
      <c r="N30" s="45">
        <v>120</v>
      </c>
      <c r="O30" s="45">
        <v>120</v>
      </c>
      <c r="P30" s="45">
        <v>120</v>
      </c>
      <c r="Q30" s="45"/>
      <c r="R30" s="45"/>
      <c r="S30" s="45"/>
      <c r="T30" s="45">
        <f>IF(AND(ISBLANK(E30),ISBLANK(F30),ISBLANK(G30),ISBLANK(H30),ISBLANK(I30),ISBLANK(J30),ISBLANK(K30), ISBLANK(L30), ISBLANK(M30), ISBLANK(N30), ISBLANK(O30), ISBLANK(P30), ISBLANK(Q30), ISBLANK(R30), ISBLANK(S30)),"",SUM(G30:S30))</f>
        <v>1080</v>
      </c>
      <c r="U30" s="45">
        <f>IF(W30&lt;&gt;0,0,IF(AND(ISBLANK(F30),ISBLANK(G30),ISBLANK(H30),ISBLANK(I30),ISBLANK(J30),ISBLANK(K30), ISBLANK(L30), ISBLANK(M30), ISBLANK(N30), ISBLANK(O30), ISBLANK(P30), ISBLANK(Q30), ISBLANK(R30), ISBLANK(S30)),"", F30-T30))</f>
        <v>0</v>
      </c>
      <c r="V30" s="68">
        <f>IF(AND(ISBLANK(E30),ISBLANK(F30), ISBLANK(G30), ISBLANK(H30), ISBLANK(I30), ISBLANK(J30), ISBLANK(K30), ISBLANK(L30), ISBLANK(M30),ISBLANK(N30), ISBLANK(O30), ISBLANK(P30), ISBLANK(Q30), ISBLANK(R30), ISBLANK(S30)), "",IFERROR(((F30+E30)-U30)/F30,""))</f>
        <v>1.0277777777777777</v>
      </c>
      <c r="W30" s="49"/>
      <c r="X30" s="66" t="str">
        <f t="shared" si="5"/>
        <v/>
      </c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43"/>
      <c r="CY30" s="43"/>
      <c r="CZ30" s="43"/>
      <c r="DA30" s="43"/>
      <c r="DB30" s="43"/>
      <c r="DC30" s="43"/>
      <c r="DD30" s="43"/>
      <c r="DE30" s="43"/>
      <c r="DF30" s="43"/>
      <c r="DG30" s="43"/>
      <c r="DH30" s="43"/>
      <c r="DI30" s="43"/>
      <c r="DJ30" s="43"/>
      <c r="DK30" s="43"/>
      <c r="DL30" s="43"/>
      <c r="DM30" s="43"/>
      <c r="DN30" s="43"/>
      <c r="DO30" s="43"/>
      <c r="DP30" s="43"/>
      <c r="DQ30" s="43"/>
      <c r="DR30" s="43"/>
      <c r="DS30" s="43"/>
      <c r="DT30" s="43"/>
      <c r="DU30" s="43"/>
      <c r="DV30" s="43"/>
      <c r="DW30" s="43"/>
      <c r="DX30" s="43"/>
      <c r="DY30" s="43"/>
      <c r="DZ30" s="43"/>
      <c r="EA30" s="43"/>
      <c r="EB30" s="43"/>
      <c r="EC30" s="43"/>
      <c r="ED30" s="43"/>
      <c r="EE30" s="43"/>
      <c r="EF30" s="43"/>
      <c r="EG30" s="43"/>
      <c r="EH30" s="43"/>
      <c r="EI30" s="43"/>
      <c r="EJ30" s="43"/>
      <c r="EK30" s="43"/>
      <c r="EL30" s="43"/>
      <c r="EM30" s="43"/>
      <c r="EN30" s="43"/>
      <c r="EO30" s="43"/>
      <c r="EP30" s="43"/>
      <c r="EQ30" s="43"/>
      <c r="ER30" s="43"/>
      <c r="ES30" s="43"/>
      <c r="ET30" s="43"/>
      <c r="EU30" s="43"/>
      <c r="EV30" s="43"/>
      <c r="EW30" s="43"/>
      <c r="EX30" s="43"/>
      <c r="EY30" s="43"/>
      <c r="EZ30" s="43"/>
      <c r="FA30" s="43"/>
      <c r="FB30" s="43"/>
      <c r="FC30" s="43"/>
      <c r="FD30" s="43"/>
      <c r="FE30" s="43"/>
      <c r="FF30" s="43"/>
      <c r="FG30" s="43"/>
      <c r="FH30" s="43"/>
      <c r="FI30" s="43"/>
      <c r="FJ30" s="43"/>
      <c r="FK30" s="43"/>
      <c r="FL30" s="43"/>
      <c r="FM30" s="43"/>
      <c r="FN30" s="43"/>
      <c r="FO30" s="43"/>
      <c r="FP30" s="43"/>
      <c r="FQ30" s="43"/>
      <c r="FR30" s="43"/>
      <c r="FS30" s="43"/>
      <c r="FT30" s="43"/>
      <c r="FU30" s="43"/>
      <c r="FV30" s="43"/>
      <c r="FW30" s="43"/>
      <c r="FX30" s="43"/>
      <c r="FY30" s="43"/>
      <c r="FZ30" s="43"/>
      <c r="GA30" s="43"/>
      <c r="GB30" s="43"/>
      <c r="GC30" s="43"/>
      <c r="GD30" s="43"/>
      <c r="GE30" s="43"/>
      <c r="GF30" s="43"/>
      <c r="GG30" s="43"/>
      <c r="GH30" s="43"/>
      <c r="GI30" s="43"/>
      <c r="GJ30" s="43"/>
      <c r="GK30" s="43"/>
      <c r="GL30" s="43"/>
      <c r="GM30" s="43"/>
      <c r="GN30" s="43"/>
      <c r="GO30" s="43"/>
      <c r="GP30" s="43"/>
      <c r="GQ30" s="43"/>
      <c r="GR30" s="43"/>
      <c r="GS30" s="43"/>
      <c r="GT30" s="43"/>
      <c r="GU30" s="43"/>
      <c r="GV30" s="43"/>
      <c r="GW30" s="43"/>
      <c r="GX30" s="43"/>
      <c r="GY30" s="43"/>
      <c r="GZ30" s="43"/>
      <c r="HA30" s="43"/>
      <c r="HB30" s="43"/>
      <c r="HC30" s="43"/>
      <c r="HD30" s="43"/>
      <c r="HE30" s="43"/>
      <c r="HF30" s="43"/>
      <c r="HG30" s="43"/>
      <c r="HH30" s="43"/>
      <c r="HI30" s="43"/>
      <c r="HJ30" s="43"/>
      <c r="HK30" s="43"/>
      <c r="HL30" s="43"/>
      <c r="HM30" s="43"/>
      <c r="HN30" s="43"/>
      <c r="HO30" s="43"/>
      <c r="HP30" s="43"/>
      <c r="HQ30" s="43"/>
      <c r="HR30" s="43"/>
      <c r="HS30" s="43"/>
      <c r="HT30" s="43"/>
      <c r="HU30" s="43"/>
      <c r="HV30" s="43"/>
      <c r="HW30" s="43"/>
      <c r="HX30" s="43"/>
      <c r="HY30" s="43"/>
      <c r="HZ30" s="43"/>
      <c r="IA30" s="43"/>
      <c r="IB30" s="43"/>
      <c r="IC30" s="43"/>
      <c r="ID30" s="43"/>
      <c r="IE30" s="43"/>
      <c r="IF30" s="43"/>
      <c r="IG30" s="43"/>
      <c r="IH30" s="43"/>
      <c r="II30" s="43"/>
      <c r="IJ30" s="43"/>
      <c r="IK30" s="43"/>
      <c r="IL30" s="43"/>
      <c r="IM30" s="43"/>
      <c r="IN30" s="43"/>
      <c r="IO30" s="43"/>
      <c r="IP30" s="43"/>
      <c r="IQ30" s="43"/>
      <c r="IR30" s="43"/>
      <c r="IS30" s="43"/>
      <c r="IT30" s="43"/>
      <c r="IU30" s="43"/>
      <c r="IV30" s="43"/>
      <c r="IW30" s="43"/>
      <c r="IX30" s="43"/>
      <c r="IY30" s="43"/>
      <c r="IZ30" s="43"/>
      <c r="JA30" s="43"/>
      <c r="JB30" s="43"/>
      <c r="JC30" s="43"/>
      <c r="JD30" s="43"/>
      <c r="JE30" s="43"/>
      <c r="JF30" s="43"/>
      <c r="JG30" s="43"/>
      <c r="JH30" s="43"/>
      <c r="JI30" s="43"/>
      <c r="JJ30" s="43"/>
      <c r="JK30" s="43"/>
      <c r="JL30" s="43"/>
      <c r="JM30" s="43"/>
      <c r="JN30" s="43"/>
      <c r="JO30" s="43"/>
      <c r="JP30" s="43"/>
      <c r="JQ30" s="43"/>
      <c r="JR30" s="43"/>
      <c r="JS30" s="43"/>
      <c r="JT30" s="43"/>
      <c r="JU30" s="43"/>
      <c r="JV30" s="43"/>
      <c r="JW30" s="43"/>
      <c r="JX30" s="43"/>
      <c r="JY30" s="43"/>
      <c r="JZ30" s="43"/>
      <c r="KA30" s="43"/>
      <c r="KB30" s="43"/>
      <c r="KC30" s="43"/>
      <c r="KD30" s="43"/>
      <c r="KE30" s="43"/>
      <c r="KF30" s="43"/>
      <c r="KG30" s="43"/>
      <c r="KH30" s="43"/>
      <c r="KI30" s="43"/>
      <c r="KJ30" s="43"/>
      <c r="KK30" s="43"/>
      <c r="KL30" s="43"/>
      <c r="KM30" s="43"/>
      <c r="KN30" s="43"/>
      <c r="KO30" s="43"/>
      <c r="KP30" s="43"/>
      <c r="KQ30" s="43"/>
      <c r="KR30" s="43"/>
      <c r="KS30" s="43"/>
      <c r="KT30" s="43"/>
      <c r="KU30" s="43"/>
      <c r="KV30" s="43"/>
      <c r="KW30" s="43"/>
      <c r="KX30" s="43"/>
      <c r="KY30" s="43"/>
      <c r="KZ30" s="43"/>
      <c r="LA30" s="43"/>
      <c r="LB30" s="43"/>
      <c r="LC30" s="43"/>
      <c r="LD30" s="43"/>
      <c r="LE30" s="43"/>
      <c r="LF30" s="43"/>
      <c r="LG30" s="43"/>
      <c r="LH30" s="43"/>
      <c r="LI30" s="43"/>
      <c r="LJ30" s="43"/>
      <c r="LK30" s="43"/>
      <c r="LL30" s="43"/>
      <c r="LM30" s="43"/>
      <c r="LN30" s="43"/>
      <c r="LO30" s="43"/>
      <c r="LP30" s="43"/>
      <c r="LQ30" s="43"/>
      <c r="LR30" s="43"/>
      <c r="LS30" s="43"/>
      <c r="LT30" s="43"/>
      <c r="LU30" s="43"/>
      <c r="LV30" s="43"/>
      <c r="LW30" s="43"/>
      <c r="LX30" s="43"/>
      <c r="LY30" s="43"/>
      <c r="LZ30" s="43"/>
      <c r="MA30" s="43"/>
      <c r="MB30" s="43"/>
      <c r="MC30" s="43"/>
      <c r="MD30" s="43"/>
      <c r="ME30" s="43"/>
      <c r="MF30" s="43"/>
      <c r="MG30" s="43"/>
      <c r="MH30" s="43"/>
      <c r="MI30" s="43"/>
      <c r="MJ30" s="43"/>
      <c r="MK30" s="43"/>
      <c r="ML30" s="43"/>
      <c r="MM30" s="43"/>
      <c r="MN30" s="43"/>
      <c r="MO30" s="43"/>
      <c r="MP30" s="43"/>
      <c r="MQ30" s="43"/>
      <c r="MR30" s="43"/>
      <c r="MS30" s="43"/>
      <c r="MT30" s="43"/>
      <c r="MU30" s="43"/>
      <c r="MV30" s="43"/>
      <c r="MW30" s="43"/>
      <c r="MX30" s="43"/>
      <c r="MY30" s="43"/>
      <c r="MZ30" s="43"/>
      <c r="NA30" s="43"/>
      <c r="NB30" s="43"/>
      <c r="NC30" s="43"/>
      <c r="ND30" s="43"/>
      <c r="NE30" s="43"/>
      <c r="NF30" s="43"/>
      <c r="NG30" s="43"/>
      <c r="NH30" s="43"/>
      <c r="NI30" s="43"/>
      <c r="NJ30" s="43"/>
      <c r="NK30" s="43"/>
      <c r="NL30" s="43"/>
      <c r="NM30" s="43"/>
      <c r="NN30" s="43"/>
      <c r="NO30" s="43"/>
      <c r="NP30" s="43"/>
      <c r="NQ30" s="43"/>
      <c r="NR30" s="43"/>
      <c r="NS30" s="43"/>
      <c r="NT30" s="43"/>
      <c r="NU30" s="43"/>
      <c r="NV30" s="43"/>
      <c r="NW30" s="43"/>
      <c r="NX30" s="43"/>
      <c r="NY30" s="43"/>
      <c r="NZ30" s="43"/>
      <c r="OA30" s="43"/>
      <c r="OB30" s="43"/>
      <c r="OC30" s="43"/>
      <c r="OD30" s="43"/>
      <c r="OE30" s="43"/>
      <c r="OF30" s="43"/>
      <c r="OG30" s="43"/>
      <c r="OH30" s="43"/>
      <c r="OI30" s="43"/>
      <c r="OJ30" s="43"/>
      <c r="OK30" s="43"/>
      <c r="OL30" s="43"/>
      <c r="OM30" s="43"/>
      <c r="ON30" s="43"/>
      <c r="OO30" s="43"/>
      <c r="OP30" s="43"/>
      <c r="OQ30" s="43"/>
      <c r="OR30" s="43"/>
      <c r="OS30" s="43"/>
      <c r="OT30" s="43"/>
      <c r="OU30" s="43"/>
      <c r="OV30" s="43"/>
      <c r="OW30" s="43"/>
      <c r="OX30" s="43"/>
      <c r="OY30" s="43"/>
      <c r="OZ30" s="43"/>
      <c r="PA30" s="43"/>
      <c r="PB30" s="43"/>
      <c r="PC30" s="43"/>
      <c r="PD30" s="43"/>
      <c r="PE30" s="43"/>
      <c r="PF30" s="43"/>
      <c r="PG30" s="43"/>
      <c r="PH30" s="43"/>
      <c r="PI30" s="43"/>
      <c r="PJ30" s="43"/>
      <c r="PK30" s="43"/>
      <c r="PL30" s="43"/>
      <c r="PM30" s="43"/>
      <c r="PN30" s="43"/>
      <c r="PO30" s="43"/>
      <c r="PP30" s="43"/>
      <c r="PQ30" s="43"/>
      <c r="PR30" s="43"/>
      <c r="PS30" s="43"/>
      <c r="PT30" s="43"/>
      <c r="PU30" s="43"/>
      <c r="PV30" s="43"/>
      <c r="PW30" s="43"/>
      <c r="PX30" s="43"/>
      <c r="PY30" s="43"/>
      <c r="PZ30" s="43"/>
      <c r="QA30" s="43"/>
      <c r="QB30" s="43"/>
      <c r="QC30" s="43"/>
    </row>
    <row r="31" spans="1:445" s="50" customFormat="1" x14ac:dyDescent="0.3">
      <c r="A31" s="47" t="s">
        <v>93</v>
      </c>
      <c r="B31" s="45"/>
      <c r="C31" s="45" t="s">
        <v>63</v>
      </c>
      <c r="D31" s="45" t="s">
        <v>95</v>
      </c>
      <c r="E31" s="45">
        <v>0</v>
      </c>
      <c r="F31" s="45">
        <v>1260</v>
      </c>
      <c r="G31" s="45"/>
      <c r="H31" s="45"/>
      <c r="I31" s="45">
        <v>140</v>
      </c>
      <c r="J31" s="48">
        <v>140</v>
      </c>
      <c r="K31" s="45">
        <v>140</v>
      </c>
      <c r="L31" s="45">
        <v>140</v>
      </c>
      <c r="M31" s="45"/>
      <c r="N31" s="45"/>
      <c r="O31" s="45"/>
      <c r="P31" s="45"/>
      <c r="Q31" s="45"/>
      <c r="R31" s="45"/>
      <c r="S31" s="45"/>
      <c r="T31" s="45">
        <f>IF(AND(ISBLANK(E31),ISBLANK(F31),ISBLANK(G31),ISBLANK(H31),ISBLANK(I31),ISBLANK(J31),ISBLANK(K31), ISBLANK(L31), ISBLANK(M31), ISBLANK(N31), ISBLANK(O31), ISBLANK(P31), ISBLANK(Q31), ISBLANK(R31), ISBLANK(S31)),"",SUM(G31:S31))</f>
        <v>560</v>
      </c>
      <c r="U31" s="45">
        <f>IF(W31&lt;&gt;0,0,IF(AND(ISBLANK(F31),ISBLANK(G31),ISBLANK(H31),ISBLANK(I31),ISBLANK(J31),ISBLANK(K31), ISBLANK(L31), ISBLANK(M31), ISBLANK(N31), ISBLANK(O31), ISBLANK(P31), ISBLANK(Q31), ISBLANK(R31), ISBLANK(S31)),"", F31-T31))</f>
        <v>0</v>
      </c>
      <c r="V31" s="68">
        <f>IF(AND(ISBLANK(E31),ISBLANK(F31), ISBLANK(G31), ISBLANK(H31), ISBLANK(I31), ISBLANK(J31), ISBLANK(K31), ISBLANK(L31), ISBLANK(M31),ISBLANK(N31), ISBLANK(O31), ISBLANK(P31), ISBLANK(Q31), ISBLANK(R31), ISBLANK(S31)), "",IFERROR(((F31+E31)-U31)/F31,""))</f>
        <v>1</v>
      </c>
      <c r="W31" s="49" t="s">
        <v>73</v>
      </c>
      <c r="X31" s="66">
        <f t="shared" si="5"/>
        <v>700</v>
      </c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43"/>
      <c r="CY31" s="43"/>
      <c r="CZ31" s="43"/>
      <c r="DA31" s="43"/>
      <c r="DB31" s="43"/>
      <c r="DC31" s="43"/>
      <c r="DD31" s="43"/>
      <c r="DE31" s="43"/>
      <c r="DF31" s="43"/>
      <c r="DG31" s="43"/>
      <c r="DH31" s="43"/>
      <c r="DI31" s="43"/>
      <c r="DJ31" s="43"/>
      <c r="DK31" s="43"/>
      <c r="DL31" s="43"/>
      <c r="DM31" s="43"/>
      <c r="DN31" s="43"/>
      <c r="DO31" s="43"/>
      <c r="DP31" s="43"/>
      <c r="DQ31" s="43"/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 s="43"/>
      <c r="EI31" s="43"/>
      <c r="EJ31" s="43"/>
      <c r="EK31" s="43"/>
      <c r="EL31" s="43"/>
      <c r="EM31" s="43"/>
      <c r="EN31" s="43"/>
      <c r="EO31" s="43"/>
      <c r="EP31" s="43"/>
      <c r="EQ31" s="43"/>
      <c r="ER31" s="43"/>
      <c r="ES31" s="43"/>
      <c r="ET31" s="43"/>
      <c r="EU31" s="43"/>
      <c r="EV31" s="43"/>
      <c r="EW31" s="43"/>
      <c r="EX31" s="43"/>
      <c r="EY31" s="43"/>
      <c r="EZ31" s="43"/>
      <c r="FA31" s="43"/>
      <c r="FB31" s="43"/>
      <c r="FC31" s="43"/>
      <c r="FD31" s="43"/>
      <c r="FE31" s="43"/>
      <c r="FF31" s="43"/>
      <c r="FG31" s="43"/>
      <c r="FH31" s="43"/>
      <c r="FI31" s="43"/>
      <c r="FJ31" s="43"/>
      <c r="FK31" s="43"/>
      <c r="FL31" s="43"/>
      <c r="FM31" s="43"/>
      <c r="FN31" s="43"/>
      <c r="FO31" s="43"/>
      <c r="FP31" s="43"/>
      <c r="FQ31" s="43"/>
      <c r="FR31" s="43"/>
      <c r="FS31" s="43"/>
      <c r="FT31" s="43"/>
      <c r="FU31" s="43"/>
      <c r="FV31" s="43"/>
      <c r="FW31" s="43"/>
      <c r="FX31" s="43"/>
      <c r="FY31" s="43"/>
      <c r="FZ31" s="43"/>
      <c r="GA31" s="43"/>
      <c r="GB31" s="43"/>
      <c r="GC31" s="43"/>
      <c r="GD31" s="43"/>
      <c r="GE31" s="43"/>
      <c r="GF31" s="43"/>
      <c r="GG31" s="43"/>
      <c r="GH31" s="43"/>
      <c r="GI31" s="43"/>
      <c r="GJ31" s="43"/>
      <c r="GK31" s="43"/>
      <c r="GL31" s="43"/>
      <c r="GM31" s="43"/>
      <c r="GN31" s="43"/>
      <c r="GO31" s="43"/>
      <c r="GP31" s="43"/>
      <c r="GQ31" s="43"/>
      <c r="GR31" s="43"/>
      <c r="GS31" s="43"/>
      <c r="GT31" s="43"/>
      <c r="GU31" s="43"/>
      <c r="GV31" s="43"/>
      <c r="GW31" s="43"/>
      <c r="GX31" s="43"/>
      <c r="GY31" s="43"/>
      <c r="GZ31" s="43"/>
      <c r="HA31" s="43"/>
      <c r="HB31" s="43"/>
      <c r="HC31" s="43"/>
      <c r="HD31" s="43"/>
      <c r="HE31" s="43"/>
      <c r="HF31" s="43"/>
      <c r="HG31" s="43"/>
      <c r="HH31" s="43"/>
      <c r="HI31" s="43"/>
      <c r="HJ31" s="43"/>
      <c r="HK31" s="43"/>
      <c r="HL31" s="43"/>
      <c r="HM31" s="43"/>
      <c r="HN31" s="43"/>
      <c r="HO31" s="43"/>
      <c r="HP31" s="43"/>
      <c r="HQ31" s="43"/>
      <c r="HR31" s="43"/>
      <c r="HS31" s="43"/>
      <c r="HT31" s="43"/>
      <c r="HU31" s="43"/>
      <c r="HV31" s="43"/>
      <c r="HW31" s="43"/>
      <c r="HX31" s="43"/>
      <c r="HY31" s="43"/>
      <c r="HZ31" s="43"/>
      <c r="IA31" s="43"/>
      <c r="IB31" s="43"/>
      <c r="IC31" s="43"/>
      <c r="ID31" s="43"/>
      <c r="IE31" s="43"/>
      <c r="IF31" s="43"/>
      <c r="IG31" s="43"/>
      <c r="IH31" s="43"/>
      <c r="II31" s="43"/>
      <c r="IJ31" s="43"/>
      <c r="IK31" s="43"/>
      <c r="IL31" s="43"/>
      <c r="IM31" s="43"/>
      <c r="IN31" s="43"/>
      <c r="IO31" s="43"/>
      <c r="IP31" s="43"/>
      <c r="IQ31" s="43"/>
      <c r="IR31" s="43"/>
      <c r="IS31" s="43"/>
      <c r="IT31" s="43"/>
      <c r="IU31" s="43"/>
      <c r="IV31" s="43"/>
      <c r="IW31" s="43"/>
      <c r="IX31" s="43"/>
      <c r="IY31" s="43"/>
      <c r="IZ31" s="43"/>
      <c r="JA31" s="43"/>
      <c r="JB31" s="43"/>
      <c r="JC31" s="43"/>
      <c r="JD31" s="43"/>
      <c r="JE31" s="43"/>
      <c r="JF31" s="43"/>
      <c r="JG31" s="43"/>
      <c r="JH31" s="43"/>
      <c r="JI31" s="43"/>
      <c r="JJ31" s="43"/>
      <c r="JK31" s="43"/>
      <c r="JL31" s="43"/>
      <c r="JM31" s="43"/>
      <c r="JN31" s="43"/>
      <c r="JO31" s="43"/>
      <c r="JP31" s="43"/>
      <c r="JQ31" s="43"/>
      <c r="JR31" s="43"/>
      <c r="JS31" s="43"/>
      <c r="JT31" s="43"/>
      <c r="JU31" s="43"/>
      <c r="JV31" s="43"/>
      <c r="JW31" s="43"/>
      <c r="JX31" s="43"/>
      <c r="JY31" s="43"/>
      <c r="JZ31" s="43"/>
      <c r="KA31" s="43"/>
      <c r="KB31" s="43"/>
      <c r="KC31" s="43"/>
      <c r="KD31" s="43"/>
      <c r="KE31" s="43"/>
      <c r="KF31" s="43"/>
      <c r="KG31" s="43"/>
      <c r="KH31" s="43"/>
      <c r="KI31" s="43"/>
      <c r="KJ31" s="43"/>
      <c r="KK31" s="43"/>
      <c r="KL31" s="43"/>
      <c r="KM31" s="43"/>
      <c r="KN31" s="43"/>
      <c r="KO31" s="43"/>
      <c r="KP31" s="43"/>
      <c r="KQ31" s="43"/>
      <c r="KR31" s="43"/>
      <c r="KS31" s="43"/>
      <c r="KT31" s="43"/>
      <c r="KU31" s="43"/>
      <c r="KV31" s="43"/>
      <c r="KW31" s="43"/>
      <c r="KX31" s="43"/>
      <c r="KY31" s="43"/>
      <c r="KZ31" s="43"/>
      <c r="LA31" s="43"/>
      <c r="LB31" s="43"/>
      <c r="LC31" s="43"/>
      <c r="LD31" s="43"/>
      <c r="LE31" s="43"/>
      <c r="LF31" s="43"/>
      <c r="LG31" s="43"/>
      <c r="LH31" s="43"/>
      <c r="LI31" s="43"/>
      <c r="LJ31" s="43"/>
      <c r="LK31" s="43"/>
      <c r="LL31" s="43"/>
      <c r="LM31" s="43"/>
      <c r="LN31" s="43"/>
      <c r="LO31" s="43"/>
      <c r="LP31" s="43"/>
      <c r="LQ31" s="43"/>
      <c r="LR31" s="43"/>
      <c r="LS31" s="43"/>
      <c r="LT31" s="43"/>
      <c r="LU31" s="43"/>
      <c r="LV31" s="43"/>
      <c r="LW31" s="43"/>
      <c r="LX31" s="43"/>
      <c r="LY31" s="43"/>
      <c r="LZ31" s="43"/>
      <c r="MA31" s="43"/>
      <c r="MB31" s="43"/>
      <c r="MC31" s="43"/>
      <c r="MD31" s="43"/>
      <c r="ME31" s="43"/>
      <c r="MF31" s="43"/>
      <c r="MG31" s="43"/>
      <c r="MH31" s="43"/>
      <c r="MI31" s="43"/>
      <c r="MJ31" s="43"/>
      <c r="MK31" s="43"/>
      <c r="ML31" s="43"/>
      <c r="MM31" s="43"/>
      <c r="MN31" s="43"/>
      <c r="MO31" s="43"/>
      <c r="MP31" s="43"/>
      <c r="MQ31" s="43"/>
      <c r="MR31" s="43"/>
      <c r="MS31" s="43"/>
      <c r="MT31" s="43"/>
      <c r="MU31" s="43"/>
      <c r="MV31" s="43"/>
      <c r="MW31" s="43"/>
      <c r="MX31" s="43"/>
      <c r="MY31" s="43"/>
      <c r="MZ31" s="43"/>
      <c r="NA31" s="43"/>
      <c r="NB31" s="43"/>
      <c r="NC31" s="43"/>
      <c r="ND31" s="43"/>
      <c r="NE31" s="43"/>
      <c r="NF31" s="43"/>
      <c r="NG31" s="43"/>
      <c r="NH31" s="43"/>
      <c r="NI31" s="43"/>
      <c r="NJ31" s="43"/>
      <c r="NK31" s="43"/>
      <c r="NL31" s="43"/>
      <c r="NM31" s="43"/>
      <c r="NN31" s="43"/>
      <c r="NO31" s="43"/>
      <c r="NP31" s="43"/>
      <c r="NQ31" s="43"/>
      <c r="NR31" s="43"/>
      <c r="NS31" s="43"/>
      <c r="NT31" s="43"/>
      <c r="NU31" s="43"/>
      <c r="NV31" s="43"/>
      <c r="NW31" s="43"/>
      <c r="NX31" s="43"/>
      <c r="NY31" s="43"/>
      <c r="NZ31" s="43"/>
      <c r="OA31" s="43"/>
      <c r="OB31" s="43"/>
      <c r="OC31" s="43"/>
      <c r="OD31" s="43"/>
      <c r="OE31" s="43"/>
      <c r="OF31" s="43"/>
      <c r="OG31" s="43"/>
      <c r="OH31" s="43"/>
      <c r="OI31" s="43"/>
      <c r="OJ31" s="43"/>
      <c r="OK31" s="43"/>
      <c r="OL31" s="43"/>
      <c r="OM31" s="43"/>
      <c r="ON31" s="43"/>
      <c r="OO31" s="43"/>
      <c r="OP31" s="43"/>
      <c r="OQ31" s="43"/>
      <c r="OR31" s="43"/>
      <c r="OS31" s="43"/>
      <c r="OT31" s="43"/>
      <c r="OU31" s="43"/>
      <c r="OV31" s="43"/>
      <c r="OW31" s="43"/>
      <c r="OX31" s="43"/>
      <c r="OY31" s="43"/>
      <c r="OZ31" s="43"/>
      <c r="PA31" s="43"/>
      <c r="PB31" s="43"/>
      <c r="PC31" s="43"/>
      <c r="PD31" s="43"/>
      <c r="PE31" s="43"/>
      <c r="PF31" s="43"/>
      <c r="PG31" s="43"/>
      <c r="PH31" s="43"/>
      <c r="PI31" s="43"/>
      <c r="PJ31" s="43"/>
      <c r="PK31" s="43"/>
      <c r="PL31" s="43"/>
      <c r="PM31" s="43"/>
      <c r="PN31" s="43"/>
      <c r="PO31" s="43"/>
      <c r="PP31" s="43"/>
      <c r="PQ31" s="43"/>
      <c r="PR31" s="43"/>
      <c r="PS31" s="43"/>
      <c r="PT31" s="43"/>
      <c r="PU31" s="43"/>
      <c r="PV31" s="43"/>
      <c r="PW31" s="43"/>
      <c r="PX31" s="43"/>
      <c r="PY31" s="43"/>
      <c r="PZ31" s="43"/>
      <c r="QA31" s="43"/>
      <c r="QB31" s="43"/>
      <c r="QC31" s="43"/>
    </row>
    <row r="32" spans="1:445" s="50" customFormat="1" x14ac:dyDescent="0.3">
      <c r="A32" s="47" t="s">
        <v>100</v>
      </c>
      <c r="B32" s="45"/>
      <c r="C32" s="45" t="s">
        <v>61</v>
      </c>
      <c r="D32" s="45"/>
      <c r="E32" s="45"/>
      <c r="F32" s="45">
        <v>420</v>
      </c>
      <c r="G32" s="45"/>
      <c r="H32" s="45"/>
      <c r="I32" s="45"/>
      <c r="J32" s="45"/>
      <c r="K32" s="45"/>
      <c r="L32" s="45"/>
      <c r="M32" s="45"/>
      <c r="N32" s="45">
        <v>120</v>
      </c>
      <c r="O32" s="45">
        <v>120</v>
      </c>
      <c r="P32" s="45">
        <v>120</v>
      </c>
      <c r="Q32" s="45"/>
      <c r="R32" s="45"/>
      <c r="S32" s="45"/>
      <c r="T32" s="45">
        <f>IF(AND(ISBLANK(E32),ISBLANK(F32),ISBLANK(G32),ISBLANK(H32),ISBLANK(I32),ISBLANK(J32),ISBLANK(K32), ISBLANK(L32), ISBLANK(M32), ISBLANK(N32), ISBLANK(O32), ISBLANK(P32), ISBLANK(Q32), ISBLANK(R32), ISBLANK(S32)),"",SUM(G32:S32))</f>
        <v>360</v>
      </c>
      <c r="U32" s="45">
        <f>IF(W32&lt;&gt;0,0,IF(AND(ISBLANK(F32),ISBLANK(G32),ISBLANK(H32),ISBLANK(I32),ISBLANK(J32),ISBLANK(K32), ISBLANK(L32), ISBLANK(M32), ISBLANK(N32), ISBLANK(O32), ISBLANK(P32), ISBLANK(Q32), ISBLANK(R32), ISBLANK(S32)),"", F32-T32))</f>
        <v>0</v>
      </c>
      <c r="V32" s="68">
        <f>IF(AND(ISBLANK(E32),ISBLANK(F32), ISBLANK(G32), ISBLANK(H32), ISBLANK(I32), ISBLANK(J32), ISBLANK(K32), ISBLANK(L32), ISBLANK(M32),ISBLANK(N32), ISBLANK(O32), ISBLANK(P32), ISBLANK(Q32), ISBLANK(R32), ISBLANK(S32)), "",IFERROR(((F32+E32)-U32)/F32,""))</f>
        <v>1</v>
      </c>
      <c r="W32" s="48" t="s">
        <v>73</v>
      </c>
      <c r="X32" s="66">
        <f t="shared" si="5"/>
        <v>60</v>
      </c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43"/>
      <c r="CY32" s="43"/>
      <c r="CZ32" s="43"/>
      <c r="DA32" s="43"/>
      <c r="DB32" s="43"/>
      <c r="DC32" s="43"/>
      <c r="DD32" s="43"/>
      <c r="DE32" s="43"/>
      <c r="DF32" s="43"/>
      <c r="DG32" s="43"/>
      <c r="DH32" s="43"/>
      <c r="DI32" s="43"/>
      <c r="DJ32" s="43"/>
      <c r="DK32" s="43"/>
      <c r="DL32" s="43"/>
      <c r="DM32" s="43"/>
      <c r="DN32" s="43"/>
      <c r="DO32" s="43"/>
      <c r="DP32" s="43"/>
      <c r="DQ32" s="43"/>
      <c r="DR32" s="43"/>
      <c r="DS32" s="43"/>
      <c r="DT32" s="43"/>
      <c r="DU32" s="43"/>
      <c r="DV32" s="43"/>
      <c r="DW32" s="43"/>
      <c r="DX32" s="43"/>
      <c r="DY32" s="43"/>
      <c r="DZ32" s="43"/>
      <c r="EA32" s="43"/>
      <c r="EB32" s="43"/>
      <c r="EC32" s="43"/>
      <c r="ED32" s="43"/>
      <c r="EE32" s="43"/>
      <c r="EF32" s="43"/>
      <c r="EG32" s="43"/>
      <c r="EH32" s="43"/>
      <c r="EI32" s="43"/>
      <c r="EJ32" s="43"/>
      <c r="EK32" s="43"/>
      <c r="EL32" s="43"/>
      <c r="EM32" s="43"/>
      <c r="EN32" s="43"/>
      <c r="EO32" s="43"/>
      <c r="EP32" s="43"/>
      <c r="EQ32" s="43"/>
      <c r="ER32" s="43"/>
      <c r="ES32" s="43"/>
      <c r="ET32" s="43"/>
      <c r="EU32" s="43"/>
      <c r="EV32" s="43"/>
      <c r="EW32" s="43"/>
      <c r="EX32" s="43"/>
      <c r="EY32" s="43"/>
      <c r="EZ32" s="43"/>
      <c r="FA32" s="43"/>
      <c r="FB32" s="43"/>
      <c r="FC32" s="43"/>
      <c r="FD32" s="43"/>
      <c r="FE32" s="43"/>
      <c r="FF32" s="43"/>
      <c r="FG32" s="43"/>
      <c r="FH32" s="43"/>
      <c r="FI32" s="43"/>
      <c r="FJ32" s="43"/>
      <c r="FK32" s="43"/>
      <c r="FL32" s="43"/>
      <c r="FM32" s="43"/>
      <c r="FN32" s="43"/>
      <c r="FO32" s="43"/>
      <c r="FP32" s="43"/>
      <c r="FQ32" s="43"/>
      <c r="FR32" s="43"/>
      <c r="FS32" s="43"/>
      <c r="FT32" s="43"/>
      <c r="FU32" s="43"/>
      <c r="FV32" s="43"/>
      <c r="FW32" s="43"/>
      <c r="FX32" s="43"/>
      <c r="FY32" s="43"/>
      <c r="FZ32" s="43"/>
      <c r="GA32" s="43"/>
      <c r="GB32" s="43"/>
      <c r="GC32" s="43"/>
      <c r="GD32" s="43"/>
      <c r="GE32" s="43"/>
      <c r="GF32" s="43"/>
      <c r="GG32" s="43"/>
      <c r="GH32" s="43"/>
      <c r="GI32" s="43"/>
      <c r="GJ32" s="43"/>
      <c r="GK32" s="43"/>
      <c r="GL32" s="43"/>
      <c r="GM32" s="43"/>
      <c r="GN32" s="43"/>
      <c r="GO32" s="43"/>
      <c r="GP32" s="43"/>
      <c r="GQ32" s="43"/>
      <c r="GR32" s="43"/>
      <c r="GS32" s="43"/>
      <c r="GT32" s="43"/>
      <c r="GU32" s="43"/>
      <c r="GV32" s="43"/>
      <c r="GW32" s="43"/>
      <c r="GX32" s="43"/>
      <c r="GY32" s="43"/>
      <c r="GZ32" s="43"/>
      <c r="HA32" s="43"/>
      <c r="HB32" s="43"/>
      <c r="HC32" s="43"/>
      <c r="HD32" s="43"/>
      <c r="HE32" s="43"/>
      <c r="HF32" s="43"/>
      <c r="HG32" s="43"/>
      <c r="HH32" s="43"/>
      <c r="HI32" s="43"/>
      <c r="HJ32" s="43"/>
      <c r="HK32" s="43"/>
      <c r="HL32" s="43"/>
      <c r="HM32" s="43"/>
      <c r="HN32" s="43"/>
      <c r="HO32" s="43"/>
      <c r="HP32" s="43"/>
      <c r="HQ32" s="43"/>
      <c r="HR32" s="43"/>
      <c r="HS32" s="43"/>
      <c r="HT32" s="43"/>
      <c r="HU32" s="43"/>
      <c r="HV32" s="43"/>
      <c r="HW32" s="43"/>
      <c r="HX32" s="43"/>
      <c r="HY32" s="43"/>
      <c r="HZ32" s="43"/>
      <c r="IA32" s="43"/>
      <c r="IB32" s="43"/>
      <c r="IC32" s="43"/>
      <c r="ID32" s="43"/>
      <c r="IE32" s="43"/>
      <c r="IF32" s="43"/>
      <c r="IG32" s="43"/>
      <c r="IH32" s="43"/>
      <c r="II32" s="43"/>
      <c r="IJ32" s="43"/>
      <c r="IK32" s="43"/>
      <c r="IL32" s="43"/>
      <c r="IM32" s="43"/>
      <c r="IN32" s="43"/>
      <c r="IO32" s="43"/>
      <c r="IP32" s="43"/>
      <c r="IQ32" s="43"/>
      <c r="IR32" s="43"/>
      <c r="IS32" s="43"/>
      <c r="IT32" s="43"/>
      <c r="IU32" s="43"/>
      <c r="IV32" s="43"/>
      <c r="IW32" s="43"/>
      <c r="IX32" s="43"/>
      <c r="IY32" s="43"/>
      <c r="IZ32" s="43"/>
      <c r="JA32" s="43"/>
      <c r="JB32" s="43"/>
      <c r="JC32" s="43"/>
      <c r="JD32" s="43"/>
      <c r="JE32" s="43"/>
      <c r="JF32" s="43"/>
      <c r="JG32" s="43"/>
      <c r="JH32" s="43"/>
      <c r="JI32" s="43"/>
      <c r="JJ32" s="43"/>
      <c r="JK32" s="43"/>
      <c r="JL32" s="43"/>
      <c r="JM32" s="43"/>
      <c r="JN32" s="43"/>
      <c r="JO32" s="43"/>
      <c r="JP32" s="43"/>
      <c r="JQ32" s="43"/>
      <c r="JR32" s="43"/>
      <c r="JS32" s="43"/>
      <c r="JT32" s="43"/>
      <c r="JU32" s="43"/>
      <c r="JV32" s="43"/>
      <c r="JW32" s="43"/>
      <c r="JX32" s="43"/>
      <c r="JY32" s="43"/>
      <c r="JZ32" s="43"/>
      <c r="KA32" s="43"/>
      <c r="KB32" s="43"/>
      <c r="KC32" s="43"/>
      <c r="KD32" s="43"/>
      <c r="KE32" s="43"/>
      <c r="KF32" s="43"/>
      <c r="KG32" s="43"/>
      <c r="KH32" s="43"/>
      <c r="KI32" s="43"/>
      <c r="KJ32" s="43"/>
      <c r="KK32" s="43"/>
      <c r="KL32" s="43"/>
      <c r="KM32" s="43"/>
      <c r="KN32" s="43"/>
      <c r="KO32" s="43"/>
      <c r="KP32" s="43"/>
      <c r="KQ32" s="43"/>
      <c r="KR32" s="43"/>
      <c r="KS32" s="43"/>
      <c r="KT32" s="43"/>
      <c r="KU32" s="43"/>
      <c r="KV32" s="43"/>
      <c r="KW32" s="43"/>
      <c r="KX32" s="43"/>
      <c r="KY32" s="43"/>
      <c r="KZ32" s="43"/>
      <c r="LA32" s="43"/>
      <c r="LB32" s="43"/>
      <c r="LC32" s="43"/>
      <c r="LD32" s="43"/>
      <c r="LE32" s="43"/>
      <c r="LF32" s="43"/>
      <c r="LG32" s="43"/>
      <c r="LH32" s="43"/>
      <c r="LI32" s="43"/>
      <c r="LJ32" s="43"/>
      <c r="LK32" s="43"/>
      <c r="LL32" s="43"/>
      <c r="LM32" s="43"/>
      <c r="LN32" s="43"/>
      <c r="LO32" s="43"/>
      <c r="LP32" s="43"/>
      <c r="LQ32" s="43"/>
      <c r="LR32" s="43"/>
      <c r="LS32" s="43"/>
      <c r="LT32" s="43"/>
      <c r="LU32" s="43"/>
      <c r="LV32" s="43"/>
      <c r="LW32" s="43"/>
      <c r="LX32" s="43"/>
      <c r="LY32" s="43"/>
      <c r="LZ32" s="43"/>
      <c r="MA32" s="43"/>
      <c r="MB32" s="43"/>
      <c r="MC32" s="43"/>
      <c r="MD32" s="43"/>
      <c r="ME32" s="43"/>
      <c r="MF32" s="43"/>
      <c r="MG32" s="43"/>
      <c r="MH32" s="43"/>
      <c r="MI32" s="43"/>
      <c r="MJ32" s="43"/>
      <c r="MK32" s="43"/>
      <c r="ML32" s="43"/>
      <c r="MM32" s="43"/>
      <c r="MN32" s="43"/>
      <c r="MO32" s="43"/>
      <c r="MP32" s="43"/>
      <c r="MQ32" s="43"/>
      <c r="MR32" s="43"/>
      <c r="MS32" s="43"/>
      <c r="MT32" s="43"/>
      <c r="MU32" s="43"/>
      <c r="MV32" s="43"/>
      <c r="MW32" s="43"/>
      <c r="MX32" s="43"/>
      <c r="MY32" s="43"/>
      <c r="MZ32" s="43"/>
      <c r="NA32" s="43"/>
      <c r="NB32" s="43"/>
      <c r="NC32" s="43"/>
      <c r="ND32" s="43"/>
      <c r="NE32" s="43"/>
      <c r="NF32" s="43"/>
      <c r="NG32" s="43"/>
      <c r="NH32" s="43"/>
      <c r="NI32" s="43"/>
      <c r="NJ32" s="43"/>
      <c r="NK32" s="43"/>
      <c r="NL32" s="43"/>
      <c r="NM32" s="43"/>
      <c r="NN32" s="43"/>
      <c r="NO32" s="43"/>
      <c r="NP32" s="43"/>
      <c r="NQ32" s="43"/>
      <c r="NR32" s="43"/>
      <c r="NS32" s="43"/>
      <c r="NT32" s="43"/>
      <c r="NU32" s="43"/>
      <c r="NV32" s="43"/>
      <c r="NW32" s="43"/>
      <c r="NX32" s="43"/>
      <c r="NY32" s="43"/>
      <c r="NZ32" s="43"/>
      <c r="OA32" s="43"/>
      <c r="OB32" s="43"/>
      <c r="OC32" s="43"/>
      <c r="OD32" s="43"/>
      <c r="OE32" s="43"/>
      <c r="OF32" s="43"/>
      <c r="OG32" s="43"/>
      <c r="OH32" s="43"/>
      <c r="OI32" s="43"/>
      <c r="OJ32" s="43"/>
      <c r="OK32" s="43"/>
      <c r="OL32" s="43"/>
      <c r="OM32" s="43"/>
      <c r="ON32" s="43"/>
      <c r="OO32" s="43"/>
      <c r="OP32" s="43"/>
      <c r="OQ32" s="43"/>
      <c r="OR32" s="43"/>
      <c r="OS32" s="43"/>
      <c r="OT32" s="43"/>
      <c r="OU32" s="43"/>
      <c r="OV32" s="43"/>
      <c r="OW32" s="43"/>
      <c r="OX32" s="43"/>
      <c r="OY32" s="43"/>
      <c r="OZ32" s="43"/>
      <c r="PA32" s="43"/>
      <c r="PB32" s="43"/>
      <c r="PC32" s="43"/>
      <c r="PD32" s="43"/>
      <c r="PE32" s="43"/>
      <c r="PF32" s="43"/>
      <c r="PG32" s="43"/>
      <c r="PH32" s="43"/>
      <c r="PI32" s="43"/>
      <c r="PJ32" s="43"/>
      <c r="PK32" s="43"/>
      <c r="PL32" s="43"/>
      <c r="PM32" s="43"/>
      <c r="PN32" s="43"/>
      <c r="PO32" s="43"/>
      <c r="PP32" s="43"/>
      <c r="PQ32" s="43"/>
      <c r="PR32" s="43"/>
      <c r="PS32" s="43"/>
      <c r="PT32" s="43"/>
      <c r="PU32" s="43"/>
      <c r="PV32" s="43"/>
      <c r="PW32" s="43"/>
      <c r="PX32" s="43"/>
      <c r="PY32" s="43"/>
      <c r="PZ32" s="43"/>
      <c r="QA32" s="43"/>
      <c r="QB32" s="43"/>
      <c r="QC32" s="43"/>
    </row>
    <row r="33" spans="1:16383" s="50" customFormat="1" x14ac:dyDescent="0.3">
      <c r="A33" s="47" t="s">
        <v>58</v>
      </c>
      <c r="B33" s="45" t="s">
        <v>73</v>
      </c>
      <c r="C33" s="45" t="s">
        <v>62</v>
      </c>
      <c r="D33" s="45" t="s">
        <v>77</v>
      </c>
      <c r="E33" s="45">
        <v>40</v>
      </c>
      <c r="F33" s="45">
        <v>1170</v>
      </c>
      <c r="G33" s="45"/>
      <c r="H33" s="45">
        <v>130</v>
      </c>
      <c r="I33" s="45">
        <v>130</v>
      </c>
      <c r="J33" s="45">
        <v>130</v>
      </c>
      <c r="K33" s="45">
        <v>130</v>
      </c>
      <c r="L33" s="45">
        <v>130</v>
      </c>
      <c r="M33" s="45">
        <v>130</v>
      </c>
      <c r="N33" s="45">
        <v>130</v>
      </c>
      <c r="O33" s="45">
        <v>130</v>
      </c>
      <c r="P33" s="45">
        <v>130</v>
      </c>
      <c r="Q33" s="45"/>
      <c r="R33" s="45"/>
      <c r="S33" s="45"/>
      <c r="T33" s="45">
        <f>IF(AND(ISBLANK(E33),ISBLANK(F33),ISBLANK(G33),ISBLANK(H33),ISBLANK(I33),ISBLANK(J33),ISBLANK(K33), ISBLANK(L33), ISBLANK(M33), ISBLANK(N33), ISBLANK(O33), ISBLANK(P33), ISBLANK(Q33), ISBLANK(R33), ISBLANK(S33)),"",SUM(G33:S33))</f>
        <v>1170</v>
      </c>
      <c r="U33" s="45">
        <f>IF(W33&lt;&gt;0,0,IF(AND(ISBLANK(F33),ISBLANK(G33),ISBLANK(H33),ISBLANK(I33),ISBLANK(J33),ISBLANK(K33), ISBLANK(L33), ISBLANK(M33), ISBLANK(N33), ISBLANK(O33), ISBLANK(P33), ISBLANK(Q33), ISBLANK(R33), ISBLANK(S33)),"", F33-T33))</f>
        <v>0</v>
      </c>
      <c r="V33" s="68">
        <f>IF(AND(ISBLANK(E33),ISBLANK(F33), ISBLANK(G33), ISBLANK(H33), ISBLANK(I33), ISBLANK(J33), ISBLANK(K33), ISBLANK(L33), ISBLANK(M33),ISBLANK(N33), ISBLANK(O33), ISBLANK(P33), ISBLANK(Q33), ISBLANK(R33), ISBLANK(S33)), "",IFERROR(((F33+E33)-U33)/F33,""))</f>
        <v>1.0341880341880343</v>
      </c>
      <c r="W33" s="49"/>
      <c r="X33" s="66" t="str">
        <f t="shared" si="5"/>
        <v/>
      </c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43"/>
      <c r="CY33" s="43"/>
      <c r="CZ33" s="43"/>
      <c r="DA33" s="43"/>
      <c r="DB33" s="43"/>
      <c r="DC33" s="43"/>
      <c r="DD33" s="43"/>
      <c r="DE33" s="43"/>
      <c r="DF33" s="43"/>
      <c r="DG33" s="43"/>
      <c r="DH33" s="43"/>
      <c r="DI33" s="43"/>
      <c r="DJ33" s="43"/>
      <c r="DK33" s="43"/>
      <c r="DL33" s="43"/>
      <c r="DM33" s="43"/>
      <c r="DN33" s="43"/>
      <c r="DO33" s="43"/>
      <c r="DP33" s="43"/>
      <c r="DQ33" s="43"/>
      <c r="DR33" s="43"/>
      <c r="DS33" s="43"/>
      <c r="DT33" s="43"/>
      <c r="DU33" s="43"/>
      <c r="DV33" s="43"/>
      <c r="DW33" s="43"/>
      <c r="DX33" s="43"/>
      <c r="DY33" s="43"/>
      <c r="DZ33" s="43"/>
      <c r="EA33" s="43"/>
      <c r="EB33" s="43"/>
      <c r="EC33" s="43"/>
      <c r="ED33" s="43"/>
      <c r="EE33" s="43"/>
      <c r="EF33" s="43"/>
      <c r="EG33" s="43"/>
      <c r="EH33" s="43"/>
      <c r="EI33" s="43"/>
      <c r="EJ33" s="43"/>
      <c r="EK33" s="43"/>
      <c r="EL33" s="43"/>
      <c r="EM33" s="43"/>
      <c r="EN33" s="43"/>
      <c r="EO33" s="43"/>
      <c r="EP33" s="43"/>
      <c r="EQ33" s="43"/>
      <c r="ER33" s="43"/>
      <c r="ES33" s="43"/>
      <c r="ET33" s="43"/>
      <c r="EU33" s="43"/>
      <c r="EV33" s="43"/>
      <c r="EW33" s="43"/>
      <c r="EX33" s="43"/>
      <c r="EY33" s="43"/>
      <c r="EZ33" s="43"/>
      <c r="FA33" s="43"/>
      <c r="FB33" s="43"/>
      <c r="FC33" s="43"/>
      <c r="FD33" s="43"/>
      <c r="FE33" s="43"/>
      <c r="FF33" s="43"/>
      <c r="FG33" s="43"/>
      <c r="FH33" s="43"/>
      <c r="FI33" s="43"/>
      <c r="FJ33" s="43"/>
      <c r="FK33" s="43"/>
      <c r="FL33" s="43"/>
      <c r="FM33" s="43"/>
      <c r="FN33" s="43"/>
      <c r="FO33" s="43"/>
      <c r="FP33" s="43"/>
      <c r="FQ33" s="43"/>
      <c r="FR33" s="43"/>
      <c r="FS33" s="43"/>
      <c r="FT33" s="43"/>
      <c r="FU33" s="43"/>
      <c r="FV33" s="43"/>
      <c r="FW33" s="43"/>
      <c r="FX33" s="43"/>
      <c r="FY33" s="43"/>
      <c r="FZ33" s="43"/>
      <c r="GA33" s="43"/>
      <c r="GB33" s="43"/>
      <c r="GC33" s="43"/>
      <c r="GD33" s="43"/>
      <c r="GE33" s="43"/>
      <c r="GF33" s="43"/>
      <c r="GG33" s="43"/>
      <c r="GH33" s="43"/>
      <c r="GI33" s="43"/>
      <c r="GJ33" s="43"/>
      <c r="GK33" s="43"/>
      <c r="GL33" s="43"/>
      <c r="GM33" s="43"/>
      <c r="GN33" s="43"/>
      <c r="GO33" s="43"/>
      <c r="GP33" s="43"/>
      <c r="GQ33" s="43"/>
      <c r="GR33" s="43"/>
      <c r="GS33" s="43"/>
      <c r="GT33" s="43"/>
      <c r="GU33" s="43"/>
      <c r="GV33" s="43"/>
      <c r="GW33" s="43"/>
      <c r="GX33" s="43"/>
      <c r="GY33" s="43"/>
      <c r="GZ33" s="43"/>
      <c r="HA33" s="43"/>
      <c r="HB33" s="43"/>
      <c r="HC33" s="43"/>
      <c r="HD33" s="43"/>
      <c r="HE33" s="43"/>
      <c r="HF33" s="43"/>
      <c r="HG33" s="43"/>
      <c r="HH33" s="43"/>
      <c r="HI33" s="43"/>
      <c r="HJ33" s="43"/>
      <c r="HK33" s="43"/>
      <c r="HL33" s="43"/>
      <c r="HM33" s="43"/>
      <c r="HN33" s="43"/>
      <c r="HO33" s="43"/>
      <c r="HP33" s="43"/>
      <c r="HQ33" s="43"/>
      <c r="HR33" s="43"/>
      <c r="HS33" s="43"/>
      <c r="HT33" s="43"/>
      <c r="HU33" s="43"/>
      <c r="HV33" s="43"/>
      <c r="HW33" s="43"/>
      <c r="HX33" s="43"/>
      <c r="HY33" s="43"/>
      <c r="HZ33" s="43"/>
      <c r="IA33" s="43"/>
      <c r="IB33" s="43"/>
      <c r="IC33" s="43"/>
      <c r="ID33" s="43"/>
      <c r="IE33" s="43"/>
      <c r="IF33" s="43"/>
      <c r="IG33" s="43"/>
      <c r="IH33" s="43"/>
      <c r="II33" s="43"/>
      <c r="IJ33" s="43"/>
      <c r="IK33" s="43"/>
      <c r="IL33" s="43"/>
      <c r="IM33" s="43"/>
      <c r="IN33" s="43"/>
      <c r="IO33" s="43"/>
      <c r="IP33" s="43"/>
      <c r="IQ33" s="43"/>
      <c r="IR33" s="43"/>
      <c r="IS33" s="43"/>
      <c r="IT33" s="43"/>
      <c r="IU33" s="43"/>
      <c r="IV33" s="43"/>
      <c r="IW33" s="43"/>
      <c r="IX33" s="43"/>
      <c r="IY33" s="43"/>
      <c r="IZ33" s="43"/>
      <c r="JA33" s="43"/>
      <c r="JB33" s="43"/>
      <c r="JC33" s="43"/>
      <c r="JD33" s="43"/>
      <c r="JE33" s="43"/>
      <c r="JF33" s="43"/>
      <c r="JG33" s="43"/>
      <c r="JH33" s="43"/>
      <c r="JI33" s="43"/>
      <c r="JJ33" s="43"/>
      <c r="JK33" s="43"/>
      <c r="JL33" s="43"/>
      <c r="JM33" s="43"/>
      <c r="JN33" s="43"/>
      <c r="JO33" s="43"/>
      <c r="JP33" s="43"/>
      <c r="JQ33" s="43"/>
      <c r="JR33" s="43"/>
      <c r="JS33" s="43"/>
      <c r="JT33" s="43"/>
      <c r="JU33" s="43"/>
      <c r="JV33" s="43"/>
      <c r="JW33" s="43"/>
      <c r="JX33" s="43"/>
      <c r="JY33" s="43"/>
      <c r="JZ33" s="43"/>
      <c r="KA33" s="43"/>
      <c r="KB33" s="43"/>
      <c r="KC33" s="43"/>
      <c r="KD33" s="43"/>
      <c r="KE33" s="43"/>
      <c r="KF33" s="43"/>
      <c r="KG33" s="43"/>
      <c r="KH33" s="43"/>
      <c r="KI33" s="43"/>
      <c r="KJ33" s="43"/>
      <c r="KK33" s="43"/>
      <c r="KL33" s="43"/>
      <c r="KM33" s="43"/>
      <c r="KN33" s="43"/>
      <c r="KO33" s="43"/>
      <c r="KP33" s="43"/>
      <c r="KQ33" s="43"/>
      <c r="KR33" s="43"/>
      <c r="KS33" s="43"/>
      <c r="KT33" s="43"/>
      <c r="KU33" s="43"/>
      <c r="KV33" s="43"/>
      <c r="KW33" s="43"/>
      <c r="KX33" s="43"/>
      <c r="KY33" s="43"/>
      <c r="KZ33" s="43"/>
      <c r="LA33" s="43"/>
      <c r="LB33" s="43"/>
      <c r="LC33" s="43"/>
      <c r="LD33" s="43"/>
      <c r="LE33" s="43"/>
      <c r="LF33" s="43"/>
      <c r="LG33" s="43"/>
      <c r="LH33" s="43"/>
      <c r="LI33" s="43"/>
      <c r="LJ33" s="43"/>
      <c r="LK33" s="43"/>
      <c r="LL33" s="43"/>
      <c r="LM33" s="43"/>
      <c r="LN33" s="43"/>
      <c r="LO33" s="43"/>
      <c r="LP33" s="43"/>
      <c r="LQ33" s="43"/>
      <c r="LR33" s="43"/>
      <c r="LS33" s="43"/>
      <c r="LT33" s="43"/>
      <c r="LU33" s="43"/>
      <c r="LV33" s="43"/>
      <c r="LW33" s="43"/>
      <c r="LX33" s="43"/>
      <c r="LY33" s="43"/>
      <c r="LZ33" s="43"/>
      <c r="MA33" s="43"/>
      <c r="MB33" s="43"/>
      <c r="MC33" s="43"/>
      <c r="MD33" s="43"/>
      <c r="ME33" s="43"/>
      <c r="MF33" s="43"/>
      <c r="MG33" s="43"/>
      <c r="MH33" s="43"/>
      <c r="MI33" s="43"/>
      <c r="MJ33" s="43"/>
      <c r="MK33" s="43"/>
      <c r="ML33" s="43"/>
      <c r="MM33" s="43"/>
      <c r="MN33" s="43"/>
      <c r="MO33" s="43"/>
      <c r="MP33" s="43"/>
      <c r="MQ33" s="43"/>
      <c r="MR33" s="43"/>
      <c r="MS33" s="43"/>
      <c r="MT33" s="43"/>
      <c r="MU33" s="43"/>
      <c r="MV33" s="43"/>
      <c r="MW33" s="43"/>
      <c r="MX33" s="43"/>
      <c r="MY33" s="43"/>
      <c r="MZ33" s="43"/>
      <c r="NA33" s="43"/>
      <c r="NB33" s="43"/>
      <c r="NC33" s="43"/>
      <c r="ND33" s="43"/>
      <c r="NE33" s="43"/>
      <c r="NF33" s="43"/>
      <c r="NG33" s="43"/>
      <c r="NH33" s="43"/>
      <c r="NI33" s="43"/>
      <c r="NJ33" s="43"/>
      <c r="NK33" s="43"/>
      <c r="NL33" s="43"/>
      <c r="NM33" s="43"/>
      <c r="NN33" s="43"/>
      <c r="NO33" s="43"/>
      <c r="NP33" s="43"/>
      <c r="NQ33" s="43"/>
      <c r="NR33" s="43"/>
      <c r="NS33" s="43"/>
      <c r="NT33" s="43"/>
      <c r="NU33" s="43"/>
      <c r="NV33" s="43"/>
      <c r="NW33" s="43"/>
      <c r="NX33" s="43"/>
      <c r="NY33" s="43"/>
      <c r="NZ33" s="43"/>
      <c r="OA33" s="43"/>
      <c r="OB33" s="43"/>
      <c r="OC33" s="43"/>
      <c r="OD33" s="43"/>
      <c r="OE33" s="43"/>
      <c r="OF33" s="43"/>
      <c r="OG33" s="43"/>
      <c r="OH33" s="43"/>
      <c r="OI33" s="43"/>
      <c r="OJ33" s="43"/>
      <c r="OK33" s="43"/>
      <c r="OL33" s="43"/>
      <c r="OM33" s="43"/>
      <c r="ON33" s="43"/>
      <c r="OO33" s="43"/>
      <c r="OP33" s="43"/>
      <c r="OQ33" s="43"/>
      <c r="OR33" s="43"/>
      <c r="OS33" s="43"/>
      <c r="OT33" s="43"/>
      <c r="OU33" s="43"/>
      <c r="OV33" s="43"/>
      <c r="OW33" s="43"/>
      <c r="OX33" s="43"/>
      <c r="OY33" s="43"/>
      <c r="OZ33" s="43"/>
      <c r="PA33" s="43"/>
      <c r="PB33" s="43"/>
      <c r="PC33" s="43"/>
      <c r="PD33" s="43"/>
      <c r="PE33" s="43"/>
      <c r="PF33" s="43"/>
      <c r="PG33" s="43"/>
      <c r="PH33" s="43"/>
      <c r="PI33" s="43"/>
      <c r="PJ33" s="43"/>
      <c r="PK33" s="43"/>
      <c r="PL33" s="43"/>
      <c r="PM33" s="43"/>
      <c r="PN33" s="43"/>
      <c r="PO33" s="43"/>
      <c r="PP33" s="43"/>
      <c r="PQ33" s="43"/>
      <c r="PR33" s="43"/>
      <c r="PS33" s="43"/>
      <c r="PT33" s="43"/>
      <c r="PU33" s="43"/>
      <c r="PV33" s="43"/>
      <c r="PW33" s="43"/>
      <c r="PX33" s="43"/>
      <c r="PY33" s="43"/>
      <c r="PZ33" s="43"/>
      <c r="QA33" s="43"/>
      <c r="QB33" s="43"/>
      <c r="QC33" s="43"/>
    </row>
    <row r="34" spans="1:16383" s="50" customFormat="1" x14ac:dyDescent="0.3">
      <c r="A34" s="47" t="s">
        <v>52</v>
      </c>
      <c r="B34" s="45" t="s">
        <v>73</v>
      </c>
      <c r="C34" s="45" t="s">
        <v>62</v>
      </c>
      <c r="D34" s="45" t="s">
        <v>76</v>
      </c>
      <c r="E34" s="45">
        <v>60</v>
      </c>
      <c r="F34" s="45">
        <v>1170</v>
      </c>
      <c r="G34" s="45"/>
      <c r="H34" s="71">
        <v>130</v>
      </c>
      <c r="I34" s="45">
        <v>130</v>
      </c>
      <c r="J34" s="61">
        <v>130</v>
      </c>
      <c r="K34" s="45">
        <v>130</v>
      </c>
      <c r="L34" s="45">
        <v>130</v>
      </c>
      <c r="M34" s="45">
        <v>130</v>
      </c>
      <c r="N34" s="45">
        <v>130</v>
      </c>
      <c r="O34" s="45">
        <v>130</v>
      </c>
      <c r="P34" s="45">
        <v>130</v>
      </c>
      <c r="Q34" s="45"/>
      <c r="R34" s="45"/>
      <c r="S34" s="45"/>
      <c r="T34" s="45">
        <f>IF(AND(ISBLANK(E34),ISBLANK(F34),ISBLANK(G34),ISBLANK(H34),ISBLANK(I34),ISBLANK(K34),ISBLANK(L34), ISBLANK(#REF!), ISBLANK(M34), ISBLANK(N34), ISBLANK(O34), ISBLANK(P34), ISBLANK(Q34), ISBLANK(R34), ISBLANK(S34)),"",SUM(G34:S34))</f>
        <v>1170</v>
      </c>
      <c r="U34" s="45">
        <f>IF(W34&lt;&gt;0,0,IF(AND(ISBLANK(F34),ISBLANK(G34),ISBLANK(H34),ISBLANK(I34),ISBLANK(K34),ISBLANK(L34), ISBLANK(#REF!), ISBLANK(M34), ISBLANK(N34), ISBLANK(O34), ISBLANK(P34), ISBLANK(Q34), ISBLANK(R34), ISBLANK(S34)),"", F34-T34))</f>
        <v>0</v>
      </c>
      <c r="V34" s="68">
        <f>IF(AND(ISBLANK(E34),ISBLANK(F34), ISBLANK(G34), ISBLANK(H34), ISBLANK(I34), ISBLANK(K34), ISBLANK(L34), ISBLANK(#REF!), ISBLANK(M34),ISBLANK(N34), ISBLANK(O34), ISBLANK(P34), ISBLANK(Q34), ISBLANK(R34), ISBLANK(S34)), "",IFERROR(((F34+E34)-U34)/F34,""))</f>
        <v>1.0512820512820513</v>
      </c>
      <c r="W34" s="48"/>
      <c r="X34" s="66" t="str">
        <f t="shared" si="5"/>
        <v/>
      </c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43"/>
      <c r="CY34" s="43"/>
      <c r="CZ34" s="43"/>
      <c r="DA34" s="43"/>
      <c r="DB34" s="43"/>
      <c r="DC34" s="43"/>
      <c r="DD34" s="43"/>
      <c r="DE34" s="43"/>
      <c r="DF34" s="43"/>
      <c r="DG34" s="43"/>
      <c r="DH34" s="43"/>
      <c r="DI34" s="43"/>
      <c r="DJ34" s="43"/>
      <c r="DK34" s="43"/>
      <c r="DL34" s="43"/>
      <c r="DM34" s="43"/>
      <c r="DN34" s="43"/>
      <c r="DO34" s="43"/>
      <c r="DP34" s="43"/>
      <c r="DQ34" s="43"/>
      <c r="DR34" s="43"/>
      <c r="DS34" s="43"/>
      <c r="DT34" s="43"/>
      <c r="DU34" s="43"/>
      <c r="DV34" s="43"/>
      <c r="DW34" s="43"/>
      <c r="DX34" s="43"/>
      <c r="DY34" s="43"/>
      <c r="DZ34" s="43"/>
      <c r="EA34" s="43"/>
      <c r="EB34" s="43"/>
      <c r="EC34" s="43"/>
      <c r="ED34" s="43"/>
      <c r="EE34" s="43"/>
      <c r="EF34" s="43"/>
      <c r="EG34" s="43"/>
      <c r="EH34" s="43"/>
      <c r="EI34" s="43"/>
      <c r="EJ34" s="43"/>
      <c r="EK34" s="43"/>
      <c r="EL34" s="43"/>
      <c r="EM34" s="43"/>
      <c r="EN34" s="43"/>
      <c r="EO34" s="43"/>
      <c r="EP34" s="43"/>
      <c r="EQ34" s="43"/>
      <c r="ER34" s="43"/>
      <c r="ES34" s="43"/>
      <c r="ET34" s="43"/>
      <c r="EU34" s="43"/>
      <c r="EV34" s="43"/>
      <c r="EW34" s="43"/>
      <c r="EX34" s="43"/>
      <c r="EY34" s="43"/>
      <c r="EZ34" s="43"/>
      <c r="FA34" s="43"/>
      <c r="FB34" s="43"/>
      <c r="FC34" s="43"/>
      <c r="FD34" s="43"/>
      <c r="FE34" s="43"/>
      <c r="FF34" s="43"/>
      <c r="FG34" s="43"/>
      <c r="FH34" s="43"/>
      <c r="FI34" s="43"/>
      <c r="FJ34" s="43"/>
      <c r="FK34" s="43"/>
      <c r="FL34" s="43"/>
      <c r="FM34" s="43"/>
      <c r="FN34" s="43"/>
      <c r="FO34" s="43"/>
      <c r="FP34" s="43"/>
      <c r="FQ34" s="43"/>
      <c r="FR34" s="43"/>
      <c r="FS34" s="43"/>
      <c r="FT34" s="43"/>
      <c r="FU34" s="43"/>
      <c r="FV34" s="43"/>
      <c r="FW34" s="43"/>
      <c r="FX34" s="43"/>
      <c r="FY34" s="43"/>
      <c r="FZ34" s="43"/>
      <c r="GA34" s="43"/>
      <c r="GB34" s="43"/>
      <c r="GC34" s="43"/>
      <c r="GD34" s="43"/>
      <c r="GE34" s="43"/>
      <c r="GF34" s="43"/>
      <c r="GG34" s="43"/>
      <c r="GH34" s="43"/>
      <c r="GI34" s="43"/>
      <c r="GJ34" s="43"/>
      <c r="GK34" s="43"/>
      <c r="GL34" s="43"/>
      <c r="GM34" s="43"/>
      <c r="GN34" s="43"/>
      <c r="GO34" s="43"/>
      <c r="GP34" s="43"/>
      <c r="GQ34" s="43"/>
      <c r="GR34" s="43"/>
      <c r="GS34" s="43"/>
      <c r="GT34" s="43"/>
      <c r="GU34" s="43"/>
      <c r="GV34" s="43"/>
      <c r="GW34" s="43"/>
      <c r="GX34" s="43"/>
      <c r="GY34" s="43"/>
      <c r="GZ34" s="43"/>
      <c r="HA34" s="43"/>
      <c r="HB34" s="43"/>
      <c r="HC34" s="43"/>
      <c r="HD34" s="43"/>
      <c r="HE34" s="43"/>
      <c r="HF34" s="43"/>
      <c r="HG34" s="43"/>
      <c r="HH34" s="43"/>
      <c r="HI34" s="43"/>
      <c r="HJ34" s="43"/>
      <c r="HK34" s="43"/>
      <c r="HL34" s="43"/>
      <c r="HM34" s="43"/>
      <c r="HN34" s="43"/>
      <c r="HO34" s="43"/>
      <c r="HP34" s="43"/>
      <c r="HQ34" s="43"/>
      <c r="HR34" s="43"/>
      <c r="HS34" s="43"/>
      <c r="HT34" s="43"/>
      <c r="HU34" s="43"/>
      <c r="HV34" s="43"/>
      <c r="HW34" s="43"/>
      <c r="HX34" s="43"/>
      <c r="HY34" s="43"/>
      <c r="HZ34" s="43"/>
      <c r="IA34" s="43"/>
      <c r="IB34" s="43"/>
      <c r="IC34" s="43"/>
      <c r="ID34" s="43"/>
      <c r="IE34" s="43"/>
      <c r="IF34" s="43"/>
      <c r="IG34" s="43"/>
      <c r="IH34" s="43"/>
      <c r="II34" s="43"/>
      <c r="IJ34" s="43"/>
      <c r="IK34" s="43"/>
      <c r="IL34" s="43"/>
      <c r="IM34" s="43"/>
      <c r="IN34" s="43"/>
      <c r="IO34" s="43"/>
      <c r="IP34" s="43"/>
      <c r="IQ34" s="43"/>
      <c r="IR34" s="43"/>
      <c r="IS34" s="43"/>
      <c r="IT34" s="43"/>
      <c r="IU34" s="43"/>
      <c r="IV34" s="43"/>
      <c r="IW34" s="43"/>
      <c r="IX34" s="43"/>
      <c r="IY34" s="43"/>
      <c r="IZ34" s="43"/>
      <c r="JA34" s="43"/>
      <c r="JB34" s="43"/>
      <c r="JC34" s="43"/>
      <c r="JD34" s="43"/>
      <c r="JE34" s="43"/>
      <c r="JF34" s="43"/>
      <c r="JG34" s="43"/>
      <c r="JH34" s="43"/>
      <c r="JI34" s="43"/>
      <c r="JJ34" s="43"/>
      <c r="JK34" s="43"/>
      <c r="JL34" s="43"/>
      <c r="JM34" s="43"/>
      <c r="JN34" s="43"/>
      <c r="JO34" s="43"/>
      <c r="JP34" s="43"/>
      <c r="JQ34" s="43"/>
      <c r="JR34" s="43"/>
      <c r="JS34" s="43"/>
      <c r="JT34" s="43"/>
      <c r="JU34" s="43"/>
      <c r="JV34" s="43"/>
      <c r="JW34" s="43"/>
      <c r="JX34" s="43"/>
      <c r="JY34" s="43"/>
      <c r="JZ34" s="43"/>
      <c r="KA34" s="43"/>
      <c r="KB34" s="43"/>
      <c r="KC34" s="43"/>
      <c r="KD34" s="43"/>
      <c r="KE34" s="43"/>
      <c r="KF34" s="43"/>
      <c r="KG34" s="43"/>
      <c r="KH34" s="43"/>
      <c r="KI34" s="43"/>
      <c r="KJ34" s="43"/>
      <c r="KK34" s="43"/>
      <c r="KL34" s="43"/>
      <c r="KM34" s="43"/>
      <c r="KN34" s="43"/>
      <c r="KO34" s="43"/>
      <c r="KP34" s="43"/>
      <c r="KQ34" s="43"/>
      <c r="KR34" s="43"/>
      <c r="KS34" s="43"/>
      <c r="KT34" s="43"/>
      <c r="KU34" s="43"/>
      <c r="KV34" s="43"/>
      <c r="KW34" s="43"/>
      <c r="KX34" s="43"/>
      <c r="KY34" s="43"/>
      <c r="KZ34" s="43"/>
      <c r="LA34" s="43"/>
      <c r="LB34" s="43"/>
      <c r="LC34" s="43"/>
      <c r="LD34" s="43"/>
      <c r="LE34" s="43"/>
      <c r="LF34" s="43"/>
      <c r="LG34" s="43"/>
      <c r="LH34" s="43"/>
      <c r="LI34" s="43"/>
      <c r="LJ34" s="43"/>
      <c r="LK34" s="43"/>
      <c r="LL34" s="43"/>
      <c r="LM34" s="43"/>
      <c r="LN34" s="43"/>
      <c r="LO34" s="43"/>
      <c r="LP34" s="43"/>
      <c r="LQ34" s="43"/>
      <c r="LR34" s="43"/>
      <c r="LS34" s="43"/>
      <c r="LT34" s="43"/>
      <c r="LU34" s="43"/>
      <c r="LV34" s="43"/>
      <c r="LW34" s="43"/>
      <c r="LX34" s="43"/>
      <c r="LY34" s="43"/>
      <c r="LZ34" s="43"/>
      <c r="MA34" s="43"/>
      <c r="MB34" s="43"/>
      <c r="MC34" s="43"/>
      <c r="MD34" s="43"/>
      <c r="ME34" s="43"/>
      <c r="MF34" s="43"/>
      <c r="MG34" s="43"/>
      <c r="MH34" s="43"/>
      <c r="MI34" s="43"/>
      <c r="MJ34" s="43"/>
      <c r="MK34" s="43"/>
      <c r="ML34" s="43"/>
      <c r="MM34" s="43"/>
      <c r="MN34" s="43"/>
      <c r="MO34" s="43"/>
      <c r="MP34" s="43"/>
      <c r="MQ34" s="43"/>
      <c r="MR34" s="43"/>
      <c r="MS34" s="43"/>
      <c r="MT34" s="43"/>
      <c r="MU34" s="43"/>
      <c r="MV34" s="43"/>
      <c r="MW34" s="43"/>
      <c r="MX34" s="43"/>
      <c r="MY34" s="43"/>
      <c r="MZ34" s="43"/>
      <c r="NA34" s="43"/>
      <c r="NB34" s="43"/>
      <c r="NC34" s="43"/>
      <c r="ND34" s="43"/>
      <c r="NE34" s="43"/>
      <c r="NF34" s="43"/>
      <c r="NG34" s="43"/>
      <c r="NH34" s="43"/>
      <c r="NI34" s="43"/>
      <c r="NJ34" s="43"/>
      <c r="NK34" s="43"/>
      <c r="NL34" s="43"/>
      <c r="NM34" s="43"/>
      <c r="NN34" s="43"/>
      <c r="NO34" s="43"/>
      <c r="NP34" s="43"/>
      <c r="NQ34" s="43"/>
      <c r="NR34" s="43"/>
      <c r="NS34" s="43"/>
      <c r="NT34" s="43"/>
      <c r="NU34" s="43"/>
      <c r="NV34" s="43"/>
      <c r="NW34" s="43"/>
      <c r="NX34" s="43"/>
      <c r="NY34" s="43"/>
      <c r="NZ34" s="43"/>
      <c r="OA34" s="43"/>
      <c r="OB34" s="43"/>
      <c r="OC34" s="43"/>
      <c r="OD34" s="43"/>
      <c r="OE34" s="43"/>
      <c r="OF34" s="43"/>
      <c r="OG34" s="43"/>
      <c r="OH34" s="43"/>
      <c r="OI34" s="43"/>
      <c r="OJ34" s="43"/>
      <c r="OK34" s="43"/>
      <c r="OL34" s="43"/>
      <c r="OM34" s="43"/>
      <c r="ON34" s="43"/>
      <c r="OO34" s="43"/>
      <c r="OP34" s="43"/>
      <c r="OQ34" s="43"/>
      <c r="OR34" s="43"/>
      <c r="OS34" s="43"/>
      <c r="OT34" s="43"/>
      <c r="OU34" s="43"/>
      <c r="OV34" s="43"/>
      <c r="OW34" s="43"/>
      <c r="OX34" s="43"/>
      <c r="OY34" s="43"/>
      <c r="OZ34" s="43"/>
      <c r="PA34" s="43"/>
      <c r="PB34" s="43"/>
      <c r="PC34" s="43"/>
      <c r="PD34" s="43"/>
      <c r="PE34" s="43"/>
      <c r="PF34" s="43"/>
      <c r="PG34" s="43"/>
      <c r="PH34" s="43"/>
      <c r="PI34" s="43"/>
      <c r="PJ34" s="43"/>
      <c r="PK34" s="43"/>
      <c r="PL34" s="43"/>
      <c r="PM34" s="43"/>
      <c r="PN34" s="43"/>
      <c r="PO34" s="43"/>
      <c r="PP34" s="43"/>
      <c r="PQ34" s="43"/>
      <c r="PR34" s="43"/>
      <c r="PS34" s="43"/>
      <c r="PT34" s="43"/>
      <c r="PU34" s="43"/>
      <c r="PV34" s="43"/>
      <c r="PW34" s="43"/>
      <c r="PX34" s="43"/>
      <c r="PY34" s="43"/>
      <c r="PZ34" s="43"/>
      <c r="QA34" s="43"/>
      <c r="QB34" s="43"/>
      <c r="QC34" s="43"/>
    </row>
    <row r="35" spans="1:16383" s="50" customFormat="1" x14ac:dyDescent="0.3">
      <c r="A35" s="47" t="s">
        <v>27</v>
      </c>
      <c r="B35" s="45"/>
      <c r="C35" s="45" t="s">
        <v>63</v>
      </c>
      <c r="D35" s="45" t="s">
        <v>78</v>
      </c>
      <c r="E35" s="45"/>
      <c r="F35" s="45">
        <v>1350</v>
      </c>
      <c r="G35" s="45"/>
      <c r="H35" s="45">
        <v>75</v>
      </c>
      <c r="I35" s="45">
        <v>150</v>
      </c>
      <c r="J35" s="45">
        <v>150</v>
      </c>
      <c r="K35" s="45">
        <v>150</v>
      </c>
      <c r="L35" s="45">
        <v>150</v>
      </c>
      <c r="M35" s="45">
        <v>150</v>
      </c>
      <c r="N35" s="45">
        <v>150</v>
      </c>
      <c r="O35" s="45">
        <v>150</v>
      </c>
      <c r="P35" s="45">
        <v>150</v>
      </c>
      <c r="Q35" s="45"/>
      <c r="R35" s="45"/>
      <c r="S35" s="45"/>
      <c r="T35" s="45">
        <f t="shared" ref="T35:T98" si="6">IF(AND(ISBLANK(E35),ISBLANK(F35),ISBLANK(G35),ISBLANK(H35),ISBLANK(I35),ISBLANK(J35),ISBLANK(K35), ISBLANK(L35), ISBLANK(M35), ISBLANK(N35), ISBLANK(O35), ISBLANK(P35), ISBLANK(Q35), ISBLANK(R35), ISBLANK(S35)),"",SUM(G35:S35))</f>
        <v>1275</v>
      </c>
      <c r="U35" s="45">
        <f t="shared" ref="U35:U98" si="7">IF(W35&lt;&gt;0,0,IF(AND(ISBLANK(F35),ISBLANK(G35),ISBLANK(H35),ISBLANK(I35),ISBLANK(J35),ISBLANK(K35), ISBLANK(L35), ISBLANK(M35), ISBLANK(N35), ISBLANK(O35), ISBLANK(P35), ISBLANK(Q35), ISBLANK(R35), ISBLANK(S35)),"", F35-T35))</f>
        <v>75</v>
      </c>
      <c r="V35" s="68">
        <f t="shared" ref="V35:V98" si="8">IF(AND(ISBLANK(E35),ISBLANK(F35), ISBLANK(G35), ISBLANK(H35), ISBLANK(I35), ISBLANK(J35), ISBLANK(K35), ISBLANK(L35), ISBLANK(M35),ISBLANK(N35), ISBLANK(O35), ISBLANK(P35), ISBLANK(Q35), ISBLANK(R35), ISBLANK(S35)), "",IFERROR(((F35+E35)-U35)/F35,""))</f>
        <v>0.94444444444444442</v>
      </c>
      <c r="W35" s="49"/>
      <c r="X35" s="66" t="str">
        <f t="shared" si="5"/>
        <v/>
      </c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43"/>
      <c r="CY35" s="43"/>
      <c r="CZ35" s="43"/>
      <c r="DA35" s="43"/>
      <c r="DB35" s="43"/>
      <c r="DC35" s="43"/>
      <c r="DD35" s="43"/>
      <c r="DE35" s="43"/>
      <c r="DF35" s="43"/>
      <c r="DG35" s="43"/>
      <c r="DH35" s="43"/>
      <c r="DI35" s="43"/>
      <c r="DJ35" s="43"/>
      <c r="DK35" s="43"/>
      <c r="DL35" s="43"/>
      <c r="DM35" s="43"/>
      <c r="DN35" s="43"/>
      <c r="DO35" s="43"/>
      <c r="DP35" s="43"/>
      <c r="DQ35" s="43"/>
      <c r="DR35" s="43"/>
      <c r="DS35" s="43"/>
      <c r="DT35" s="43"/>
      <c r="DU35" s="43"/>
      <c r="DV35" s="43"/>
      <c r="DW35" s="43"/>
      <c r="DX35" s="43"/>
      <c r="DY35" s="43"/>
      <c r="DZ35" s="43"/>
      <c r="EA35" s="43"/>
      <c r="EB35" s="43"/>
      <c r="EC35" s="43"/>
      <c r="ED35" s="43"/>
      <c r="EE35" s="43"/>
      <c r="EF35" s="43"/>
      <c r="EG35" s="43"/>
      <c r="EH35" s="43"/>
      <c r="EI35" s="43"/>
      <c r="EJ35" s="43"/>
      <c r="EK35" s="43"/>
      <c r="EL35" s="43"/>
      <c r="EM35" s="43"/>
      <c r="EN35" s="43"/>
      <c r="EO35" s="43"/>
      <c r="EP35" s="43"/>
      <c r="EQ35" s="43"/>
      <c r="ER35" s="43"/>
      <c r="ES35" s="43"/>
      <c r="ET35" s="43"/>
      <c r="EU35" s="43"/>
      <c r="EV35" s="43"/>
      <c r="EW35" s="43"/>
      <c r="EX35" s="43"/>
      <c r="EY35" s="43"/>
      <c r="EZ35" s="43"/>
      <c r="FA35" s="43"/>
      <c r="FB35" s="43"/>
      <c r="FC35" s="43"/>
      <c r="FD35" s="43"/>
      <c r="FE35" s="43"/>
      <c r="FF35" s="43"/>
      <c r="FG35" s="43"/>
      <c r="FH35" s="43"/>
      <c r="FI35" s="43"/>
      <c r="FJ35" s="43"/>
      <c r="FK35" s="43"/>
      <c r="FL35" s="43"/>
      <c r="FM35" s="43"/>
      <c r="FN35" s="43"/>
      <c r="FO35" s="43"/>
      <c r="FP35" s="43"/>
      <c r="FQ35" s="43"/>
      <c r="FR35" s="43"/>
      <c r="FS35" s="43"/>
      <c r="FT35" s="43"/>
      <c r="FU35" s="43"/>
      <c r="FV35" s="43"/>
      <c r="FW35" s="43"/>
      <c r="FX35" s="43"/>
      <c r="FY35" s="43"/>
      <c r="FZ35" s="43"/>
      <c r="GA35" s="43"/>
      <c r="GB35" s="43"/>
      <c r="GC35" s="43"/>
      <c r="GD35" s="43"/>
      <c r="GE35" s="43"/>
      <c r="GF35" s="43"/>
      <c r="GG35" s="43"/>
      <c r="GH35" s="43"/>
      <c r="GI35" s="43"/>
      <c r="GJ35" s="43"/>
      <c r="GK35" s="43"/>
      <c r="GL35" s="43"/>
      <c r="GM35" s="43"/>
      <c r="GN35" s="43"/>
      <c r="GO35" s="43"/>
      <c r="GP35" s="43"/>
      <c r="GQ35" s="43"/>
      <c r="GR35" s="43"/>
      <c r="GS35" s="43"/>
      <c r="GT35" s="43"/>
      <c r="GU35" s="43"/>
      <c r="GV35" s="43"/>
      <c r="GW35" s="43"/>
      <c r="GX35" s="43"/>
      <c r="GY35" s="43"/>
      <c r="GZ35" s="43"/>
      <c r="HA35" s="43"/>
      <c r="HB35" s="43"/>
      <c r="HC35" s="43"/>
      <c r="HD35" s="43"/>
      <c r="HE35" s="43"/>
      <c r="HF35" s="43"/>
      <c r="HG35" s="43"/>
      <c r="HH35" s="43"/>
      <c r="HI35" s="43"/>
      <c r="HJ35" s="43"/>
      <c r="HK35" s="43"/>
      <c r="HL35" s="43"/>
      <c r="HM35" s="43"/>
      <c r="HN35" s="43"/>
      <c r="HO35" s="43"/>
      <c r="HP35" s="43"/>
      <c r="HQ35" s="43"/>
      <c r="HR35" s="43"/>
      <c r="HS35" s="43"/>
      <c r="HT35" s="43"/>
      <c r="HU35" s="43"/>
      <c r="HV35" s="43"/>
      <c r="HW35" s="43"/>
      <c r="HX35" s="43"/>
      <c r="HY35" s="43"/>
      <c r="HZ35" s="43"/>
      <c r="IA35" s="43"/>
      <c r="IB35" s="43"/>
      <c r="IC35" s="43"/>
      <c r="ID35" s="43"/>
      <c r="IE35" s="43"/>
      <c r="IF35" s="43"/>
      <c r="IG35" s="43"/>
      <c r="IH35" s="43"/>
      <c r="II35" s="43"/>
      <c r="IJ35" s="43"/>
      <c r="IK35" s="43"/>
      <c r="IL35" s="43"/>
      <c r="IM35" s="43"/>
      <c r="IN35" s="43"/>
      <c r="IO35" s="43"/>
      <c r="IP35" s="43"/>
      <c r="IQ35" s="43"/>
      <c r="IR35" s="43"/>
      <c r="IS35" s="43"/>
      <c r="IT35" s="43"/>
      <c r="IU35" s="43"/>
      <c r="IV35" s="43"/>
      <c r="IW35" s="43"/>
      <c r="IX35" s="43"/>
      <c r="IY35" s="43"/>
      <c r="IZ35" s="43"/>
      <c r="JA35" s="43"/>
      <c r="JB35" s="43"/>
      <c r="JC35" s="43"/>
      <c r="JD35" s="43"/>
      <c r="JE35" s="43"/>
      <c r="JF35" s="43"/>
      <c r="JG35" s="43"/>
      <c r="JH35" s="43"/>
      <c r="JI35" s="43"/>
      <c r="JJ35" s="43"/>
      <c r="JK35" s="43"/>
      <c r="JL35" s="43"/>
      <c r="JM35" s="43"/>
      <c r="JN35" s="43"/>
      <c r="JO35" s="43"/>
      <c r="JP35" s="43"/>
      <c r="JQ35" s="43"/>
      <c r="JR35" s="43"/>
      <c r="JS35" s="43"/>
      <c r="JT35" s="43"/>
      <c r="JU35" s="43"/>
      <c r="JV35" s="43"/>
      <c r="JW35" s="43"/>
      <c r="JX35" s="43"/>
      <c r="JY35" s="43"/>
      <c r="JZ35" s="43"/>
      <c r="KA35" s="43"/>
      <c r="KB35" s="43"/>
      <c r="KC35" s="43"/>
      <c r="KD35" s="43"/>
      <c r="KE35" s="43"/>
      <c r="KF35" s="43"/>
      <c r="KG35" s="43"/>
      <c r="KH35" s="43"/>
      <c r="KI35" s="43"/>
      <c r="KJ35" s="43"/>
      <c r="KK35" s="43"/>
      <c r="KL35" s="43"/>
      <c r="KM35" s="43"/>
      <c r="KN35" s="43"/>
      <c r="KO35" s="43"/>
      <c r="KP35" s="43"/>
      <c r="KQ35" s="43"/>
      <c r="KR35" s="43"/>
      <c r="KS35" s="43"/>
      <c r="KT35" s="43"/>
      <c r="KU35" s="43"/>
      <c r="KV35" s="43"/>
      <c r="KW35" s="43"/>
      <c r="KX35" s="43"/>
      <c r="KY35" s="43"/>
      <c r="KZ35" s="43"/>
      <c r="LA35" s="43"/>
      <c r="LB35" s="43"/>
      <c r="LC35" s="43"/>
      <c r="LD35" s="43"/>
      <c r="LE35" s="43"/>
      <c r="LF35" s="43"/>
      <c r="LG35" s="43"/>
      <c r="LH35" s="43"/>
      <c r="LI35" s="43"/>
      <c r="LJ35" s="43"/>
      <c r="LK35" s="43"/>
      <c r="LL35" s="43"/>
      <c r="LM35" s="43"/>
      <c r="LN35" s="43"/>
      <c r="LO35" s="43"/>
      <c r="LP35" s="43"/>
      <c r="LQ35" s="43"/>
      <c r="LR35" s="43"/>
      <c r="LS35" s="43"/>
      <c r="LT35" s="43"/>
      <c r="LU35" s="43"/>
      <c r="LV35" s="43"/>
      <c r="LW35" s="43"/>
      <c r="LX35" s="43"/>
      <c r="LY35" s="43"/>
      <c r="LZ35" s="43"/>
      <c r="MA35" s="43"/>
      <c r="MB35" s="43"/>
      <c r="MC35" s="43"/>
      <c r="MD35" s="43"/>
      <c r="ME35" s="43"/>
      <c r="MF35" s="43"/>
      <c r="MG35" s="43"/>
      <c r="MH35" s="43"/>
      <c r="MI35" s="43"/>
      <c r="MJ35" s="43"/>
      <c r="MK35" s="43"/>
      <c r="ML35" s="43"/>
      <c r="MM35" s="43"/>
      <c r="MN35" s="43"/>
      <c r="MO35" s="43"/>
      <c r="MP35" s="43"/>
      <c r="MQ35" s="43"/>
      <c r="MR35" s="43"/>
      <c r="MS35" s="43"/>
      <c r="MT35" s="43"/>
      <c r="MU35" s="43"/>
      <c r="MV35" s="43"/>
      <c r="MW35" s="43"/>
      <c r="MX35" s="43"/>
      <c r="MY35" s="43"/>
      <c r="MZ35" s="43"/>
      <c r="NA35" s="43"/>
      <c r="NB35" s="43"/>
      <c r="NC35" s="43"/>
      <c r="ND35" s="43"/>
      <c r="NE35" s="43"/>
      <c r="NF35" s="43"/>
      <c r="NG35" s="43"/>
      <c r="NH35" s="43"/>
      <c r="NI35" s="43"/>
      <c r="NJ35" s="43"/>
      <c r="NK35" s="43"/>
      <c r="NL35" s="43"/>
      <c r="NM35" s="43"/>
      <c r="NN35" s="43"/>
      <c r="NO35" s="43"/>
      <c r="NP35" s="43"/>
      <c r="NQ35" s="43"/>
      <c r="NR35" s="43"/>
      <c r="NS35" s="43"/>
      <c r="NT35" s="43"/>
      <c r="NU35" s="43"/>
      <c r="NV35" s="43"/>
      <c r="NW35" s="43"/>
      <c r="NX35" s="43"/>
      <c r="NY35" s="43"/>
      <c r="NZ35" s="43"/>
      <c r="OA35" s="43"/>
      <c r="OB35" s="43"/>
      <c r="OC35" s="43"/>
      <c r="OD35" s="43"/>
      <c r="OE35" s="43"/>
      <c r="OF35" s="43"/>
      <c r="OG35" s="43"/>
      <c r="OH35" s="43"/>
      <c r="OI35" s="43"/>
      <c r="OJ35" s="43"/>
      <c r="OK35" s="43"/>
      <c r="OL35" s="43"/>
      <c r="OM35" s="43"/>
      <c r="ON35" s="43"/>
      <c r="OO35" s="43"/>
      <c r="OP35" s="43"/>
      <c r="OQ35" s="43"/>
      <c r="OR35" s="43"/>
      <c r="OS35" s="43"/>
      <c r="OT35" s="43"/>
      <c r="OU35" s="43"/>
      <c r="OV35" s="43"/>
      <c r="OW35" s="43"/>
      <c r="OX35" s="43"/>
      <c r="OY35" s="43"/>
      <c r="OZ35" s="43"/>
      <c r="PA35" s="43"/>
      <c r="PB35" s="43"/>
      <c r="PC35" s="43"/>
      <c r="PD35" s="43"/>
      <c r="PE35" s="43"/>
      <c r="PF35" s="43"/>
      <c r="PG35" s="43"/>
      <c r="PH35" s="43"/>
      <c r="PI35" s="43"/>
      <c r="PJ35" s="43"/>
      <c r="PK35" s="43"/>
      <c r="PL35" s="43"/>
      <c r="PM35" s="43"/>
      <c r="PN35" s="43"/>
      <c r="PO35" s="43"/>
      <c r="PP35" s="43"/>
      <c r="PQ35" s="43"/>
      <c r="PR35" s="43"/>
      <c r="PS35" s="43"/>
      <c r="PT35" s="43"/>
      <c r="PU35" s="43"/>
      <c r="PV35" s="43"/>
      <c r="PW35" s="43"/>
      <c r="PX35" s="43"/>
      <c r="PY35" s="43"/>
      <c r="PZ35" s="43"/>
      <c r="QA35" s="43"/>
      <c r="QB35" s="43"/>
      <c r="QC35" s="43"/>
    </row>
    <row r="36" spans="1:16383" s="50" customFormat="1" x14ac:dyDescent="0.3">
      <c r="A36" s="47" t="s">
        <v>81</v>
      </c>
      <c r="B36" s="45" t="s">
        <v>73</v>
      </c>
      <c r="C36" s="45" t="s">
        <v>62</v>
      </c>
      <c r="D36" s="45" t="s">
        <v>76</v>
      </c>
      <c r="E36" s="45">
        <v>30</v>
      </c>
      <c r="F36" s="45">
        <v>1170</v>
      </c>
      <c r="G36" s="45"/>
      <c r="H36" s="45">
        <v>130</v>
      </c>
      <c r="I36" s="45">
        <v>130</v>
      </c>
      <c r="J36" s="45">
        <v>130</v>
      </c>
      <c r="K36" s="45">
        <v>130</v>
      </c>
      <c r="L36" s="45">
        <v>130</v>
      </c>
      <c r="M36" s="45">
        <v>130</v>
      </c>
      <c r="N36" s="45">
        <v>130</v>
      </c>
      <c r="O36" s="45">
        <v>130</v>
      </c>
      <c r="P36" s="45">
        <v>130</v>
      </c>
      <c r="Q36" s="45"/>
      <c r="R36" s="45"/>
      <c r="S36" s="45"/>
      <c r="T36" s="45">
        <f t="shared" si="6"/>
        <v>1170</v>
      </c>
      <c r="U36" s="45">
        <f t="shared" si="7"/>
        <v>0</v>
      </c>
      <c r="V36" s="68">
        <f t="shared" si="8"/>
        <v>1.0256410256410255</v>
      </c>
      <c r="W36" s="48"/>
      <c r="X36" s="66" t="str">
        <f t="shared" ref="X36:X67" si="9">IF(W36&lt;&gt;"",F36 - (SUM(G36:S36)),"")</f>
        <v/>
      </c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43"/>
      <c r="CY36" s="43"/>
      <c r="CZ36" s="43"/>
      <c r="DA36" s="43"/>
      <c r="DB36" s="43"/>
      <c r="DC36" s="43"/>
      <c r="DD36" s="43"/>
      <c r="DE36" s="43"/>
      <c r="DF36" s="43"/>
      <c r="DG36" s="43"/>
      <c r="DH36" s="43"/>
      <c r="DI36" s="43"/>
      <c r="DJ36" s="43"/>
      <c r="DK36" s="43"/>
      <c r="DL36" s="43"/>
      <c r="DM36" s="43"/>
      <c r="DN36" s="43"/>
      <c r="DO36" s="43"/>
      <c r="DP36" s="43"/>
      <c r="DQ36" s="43"/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43"/>
      <c r="EM36" s="43"/>
      <c r="EN36" s="43"/>
      <c r="EO36" s="43"/>
      <c r="EP36" s="43"/>
      <c r="EQ36" s="43"/>
      <c r="ER36" s="43"/>
      <c r="ES36" s="43"/>
      <c r="ET36" s="43"/>
      <c r="EU36" s="43"/>
      <c r="EV36" s="43"/>
      <c r="EW36" s="43"/>
      <c r="EX36" s="43"/>
      <c r="EY36" s="43"/>
      <c r="EZ36" s="43"/>
      <c r="FA36" s="43"/>
      <c r="FB36" s="43"/>
      <c r="FC36" s="43"/>
      <c r="FD36" s="43"/>
      <c r="FE36" s="43"/>
      <c r="FF36" s="43"/>
      <c r="FG36" s="43"/>
      <c r="FH36" s="43"/>
      <c r="FI36" s="43"/>
      <c r="FJ36" s="43"/>
      <c r="FK36" s="43"/>
      <c r="FL36" s="43"/>
      <c r="FM36" s="43"/>
      <c r="FN36" s="43"/>
      <c r="FO36" s="43"/>
      <c r="FP36" s="43"/>
      <c r="FQ36" s="43"/>
      <c r="FR36" s="43"/>
      <c r="FS36" s="43"/>
      <c r="FT36" s="43"/>
      <c r="FU36" s="43"/>
      <c r="FV36" s="43"/>
      <c r="FW36" s="43"/>
      <c r="FX36" s="43"/>
      <c r="FY36" s="43"/>
      <c r="FZ36" s="43"/>
      <c r="GA36" s="43"/>
      <c r="GB36" s="43"/>
      <c r="GC36" s="43"/>
      <c r="GD36" s="43"/>
      <c r="GE36" s="43"/>
      <c r="GF36" s="43"/>
      <c r="GG36" s="43"/>
      <c r="GH36" s="43"/>
      <c r="GI36" s="43"/>
      <c r="GJ36" s="43"/>
      <c r="GK36" s="43"/>
      <c r="GL36" s="43"/>
      <c r="GM36" s="43"/>
      <c r="GN36" s="43"/>
      <c r="GO36" s="43"/>
      <c r="GP36" s="43"/>
      <c r="GQ36" s="43"/>
      <c r="GR36" s="43"/>
      <c r="GS36" s="43"/>
      <c r="GT36" s="43"/>
      <c r="GU36" s="43"/>
      <c r="GV36" s="43"/>
      <c r="GW36" s="43"/>
      <c r="GX36" s="43"/>
      <c r="GY36" s="43"/>
      <c r="GZ36" s="43"/>
      <c r="HA36" s="43"/>
      <c r="HB36" s="43"/>
      <c r="HC36" s="43"/>
      <c r="HD36" s="43"/>
      <c r="HE36" s="43"/>
      <c r="HF36" s="43"/>
      <c r="HG36" s="43"/>
      <c r="HH36" s="43"/>
      <c r="HI36" s="43"/>
      <c r="HJ36" s="43"/>
      <c r="HK36" s="43"/>
      <c r="HL36" s="43"/>
      <c r="HM36" s="43"/>
      <c r="HN36" s="43"/>
      <c r="HO36" s="43"/>
      <c r="HP36" s="43"/>
      <c r="HQ36" s="43"/>
      <c r="HR36" s="43"/>
      <c r="HS36" s="43"/>
      <c r="HT36" s="43"/>
      <c r="HU36" s="43"/>
      <c r="HV36" s="43"/>
      <c r="HW36" s="43"/>
      <c r="HX36" s="43"/>
      <c r="HY36" s="43"/>
      <c r="HZ36" s="43"/>
      <c r="IA36" s="43"/>
      <c r="IB36" s="43"/>
      <c r="IC36" s="43"/>
      <c r="ID36" s="43"/>
      <c r="IE36" s="43"/>
      <c r="IF36" s="43"/>
      <c r="IG36" s="43"/>
      <c r="IH36" s="43"/>
      <c r="II36" s="43"/>
      <c r="IJ36" s="43"/>
      <c r="IK36" s="43"/>
      <c r="IL36" s="43"/>
      <c r="IM36" s="43"/>
      <c r="IN36" s="43"/>
      <c r="IO36" s="43"/>
      <c r="IP36" s="43"/>
      <c r="IQ36" s="43"/>
      <c r="IR36" s="43"/>
      <c r="IS36" s="43"/>
      <c r="IT36" s="43"/>
      <c r="IU36" s="43"/>
      <c r="IV36" s="43"/>
      <c r="IW36" s="43"/>
      <c r="IX36" s="43"/>
      <c r="IY36" s="43"/>
      <c r="IZ36" s="43"/>
      <c r="JA36" s="43"/>
      <c r="JB36" s="43"/>
      <c r="JC36" s="43"/>
      <c r="JD36" s="43"/>
      <c r="JE36" s="43"/>
      <c r="JF36" s="43"/>
      <c r="JG36" s="43"/>
      <c r="JH36" s="43"/>
      <c r="JI36" s="43"/>
      <c r="JJ36" s="43"/>
      <c r="JK36" s="43"/>
      <c r="JL36" s="43"/>
      <c r="JM36" s="43"/>
      <c r="JN36" s="43"/>
      <c r="JO36" s="43"/>
      <c r="JP36" s="43"/>
      <c r="JQ36" s="43"/>
      <c r="JR36" s="43"/>
      <c r="JS36" s="43"/>
      <c r="JT36" s="43"/>
      <c r="JU36" s="43"/>
      <c r="JV36" s="43"/>
      <c r="JW36" s="43"/>
      <c r="JX36" s="43"/>
      <c r="JY36" s="43"/>
      <c r="JZ36" s="43"/>
      <c r="KA36" s="43"/>
      <c r="KB36" s="43"/>
      <c r="KC36" s="43"/>
      <c r="KD36" s="43"/>
      <c r="KE36" s="43"/>
      <c r="KF36" s="43"/>
      <c r="KG36" s="43"/>
      <c r="KH36" s="43"/>
      <c r="KI36" s="43"/>
      <c r="KJ36" s="43"/>
      <c r="KK36" s="43"/>
      <c r="KL36" s="43"/>
      <c r="KM36" s="43"/>
      <c r="KN36" s="43"/>
      <c r="KO36" s="43"/>
      <c r="KP36" s="43"/>
      <c r="KQ36" s="43"/>
      <c r="KR36" s="43"/>
      <c r="KS36" s="43"/>
      <c r="KT36" s="43"/>
      <c r="KU36" s="43"/>
      <c r="KV36" s="43"/>
      <c r="KW36" s="43"/>
      <c r="KX36" s="43"/>
      <c r="KY36" s="43"/>
      <c r="KZ36" s="43"/>
      <c r="LA36" s="43"/>
      <c r="LB36" s="43"/>
      <c r="LC36" s="43"/>
      <c r="LD36" s="43"/>
      <c r="LE36" s="43"/>
      <c r="LF36" s="43"/>
      <c r="LG36" s="43"/>
      <c r="LH36" s="43"/>
      <c r="LI36" s="43"/>
      <c r="LJ36" s="43"/>
      <c r="LK36" s="43"/>
      <c r="LL36" s="43"/>
      <c r="LM36" s="43"/>
      <c r="LN36" s="43"/>
      <c r="LO36" s="43"/>
      <c r="LP36" s="43"/>
      <c r="LQ36" s="43"/>
      <c r="LR36" s="43"/>
      <c r="LS36" s="43"/>
      <c r="LT36" s="43"/>
      <c r="LU36" s="43"/>
      <c r="LV36" s="43"/>
      <c r="LW36" s="43"/>
      <c r="LX36" s="43"/>
      <c r="LY36" s="43"/>
      <c r="LZ36" s="43"/>
      <c r="MA36" s="43"/>
      <c r="MB36" s="43"/>
      <c r="MC36" s="43"/>
      <c r="MD36" s="43"/>
      <c r="ME36" s="43"/>
      <c r="MF36" s="43"/>
      <c r="MG36" s="43"/>
      <c r="MH36" s="43"/>
      <c r="MI36" s="43"/>
      <c r="MJ36" s="43"/>
      <c r="MK36" s="43"/>
      <c r="ML36" s="43"/>
      <c r="MM36" s="43"/>
      <c r="MN36" s="43"/>
      <c r="MO36" s="43"/>
      <c r="MP36" s="43"/>
      <c r="MQ36" s="43"/>
      <c r="MR36" s="43"/>
      <c r="MS36" s="43"/>
      <c r="MT36" s="43"/>
      <c r="MU36" s="43"/>
      <c r="MV36" s="43"/>
      <c r="MW36" s="43"/>
      <c r="MX36" s="43"/>
      <c r="MY36" s="43"/>
      <c r="MZ36" s="43"/>
      <c r="NA36" s="43"/>
      <c r="NB36" s="43"/>
      <c r="NC36" s="43"/>
      <c r="ND36" s="43"/>
      <c r="NE36" s="43"/>
      <c r="NF36" s="43"/>
      <c r="NG36" s="43"/>
      <c r="NH36" s="43"/>
      <c r="NI36" s="43"/>
      <c r="NJ36" s="43"/>
      <c r="NK36" s="43"/>
      <c r="NL36" s="43"/>
      <c r="NM36" s="43"/>
      <c r="NN36" s="43"/>
      <c r="NO36" s="43"/>
      <c r="NP36" s="43"/>
      <c r="NQ36" s="43"/>
      <c r="NR36" s="43"/>
      <c r="NS36" s="43"/>
      <c r="NT36" s="43"/>
      <c r="NU36" s="43"/>
      <c r="NV36" s="43"/>
      <c r="NW36" s="43"/>
      <c r="NX36" s="43"/>
      <c r="NY36" s="43"/>
      <c r="NZ36" s="43"/>
      <c r="OA36" s="43"/>
      <c r="OB36" s="43"/>
      <c r="OC36" s="43"/>
      <c r="OD36" s="43"/>
      <c r="OE36" s="43"/>
      <c r="OF36" s="43"/>
      <c r="OG36" s="43"/>
      <c r="OH36" s="43"/>
      <c r="OI36" s="43"/>
      <c r="OJ36" s="43"/>
      <c r="OK36" s="43"/>
      <c r="OL36" s="43"/>
      <c r="OM36" s="43"/>
      <c r="ON36" s="43"/>
      <c r="OO36" s="43"/>
      <c r="OP36" s="43"/>
      <c r="OQ36" s="43"/>
      <c r="OR36" s="43"/>
      <c r="OS36" s="43"/>
      <c r="OT36" s="43"/>
      <c r="OU36" s="43"/>
      <c r="OV36" s="43"/>
      <c r="OW36" s="43"/>
      <c r="OX36" s="43"/>
      <c r="OY36" s="43"/>
      <c r="OZ36" s="43"/>
      <c r="PA36" s="43"/>
      <c r="PB36" s="43"/>
      <c r="PC36" s="43"/>
      <c r="PD36" s="43"/>
      <c r="PE36" s="43"/>
      <c r="PF36" s="43"/>
      <c r="PG36" s="43"/>
      <c r="PH36" s="43"/>
      <c r="PI36" s="43"/>
      <c r="PJ36" s="43"/>
      <c r="PK36" s="43"/>
      <c r="PL36" s="43"/>
      <c r="PM36" s="43"/>
      <c r="PN36" s="43"/>
      <c r="PO36" s="43"/>
      <c r="PP36" s="43"/>
      <c r="PQ36" s="43"/>
      <c r="PR36" s="43"/>
      <c r="PS36" s="43"/>
      <c r="PT36" s="43"/>
      <c r="PU36" s="43"/>
      <c r="PV36" s="43"/>
      <c r="PW36" s="43"/>
      <c r="PX36" s="43"/>
      <c r="PY36" s="43"/>
      <c r="PZ36" s="43"/>
      <c r="QA36" s="43"/>
      <c r="QB36" s="43"/>
      <c r="QC36" s="43"/>
    </row>
    <row r="37" spans="1:16383" s="50" customFormat="1" x14ac:dyDescent="0.3">
      <c r="A37" s="47"/>
      <c r="B37" s="45"/>
      <c r="C37" s="45"/>
      <c r="D37" s="45"/>
      <c r="E37" s="45"/>
      <c r="F37" s="45"/>
      <c r="G37" s="45"/>
      <c r="H37" s="45"/>
      <c r="I37" s="45"/>
      <c r="J37" s="51"/>
      <c r="K37" s="45"/>
      <c r="L37" s="45"/>
      <c r="M37" s="45"/>
      <c r="N37" s="45"/>
      <c r="O37" s="45"/>
      <c r="P37" s="45"/>
      <c r="Q37" s="45"/>
      <c r="R37" s="45"/>
      <c r="S37" s="45"/>
      <c r="T37" s="45" t="str">
        <f t="shared" si="6"/>
        <v/>
      </c>
      <c r="U37" s="45" t="str">
        <f t="shared" si="7"/>
        <v/>
      </c>
      <c r="V37" s="68" t="str">
        <f t="shared" si="8"/>
        <v/>
      </c>
      <c r="W37" s="48"/>
      <c r="X37" s="66" t="str">
        <f t="shared" si="9"/>
        <v/>
      </c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43"/>
      <c r="CY37" s="43"/>
      <c r="CZ37" s="43"/>
      <c r="DA37" s="43"/>
      <c r="DB37" s="43"/>
      <c r="DC37" s="43"/>
      <c r="DD37" s="43"/>
      <c r="DE37" s="43"/>
      <c r="DF37" s="43"/>
      <c r="DG37" s="43"/>
      <c r="DH37" s="43"/>
      <c r="DI37" s="43"/>
      <c r="DJ37" s="43"/>
      <c r="DK37" s="43"/>
      <c r="DL37" s="43"/>
      <c r="DM37" s="43"/>
      <c r="DN37" s="43"/>
      <c r="DO37" s="43"/>
      <c r="DP37" s="43"/>
      <c r="DQ37" s="43"/>
      <c r="DR37" s="43"/>
      <c r="DS37" s="43"/>
      <c r="DT37" s="43"/>
      <c r="DU37" s="43"/>
      <c r="DV37" s="43"/>
      <c r="DW37" s="43"/>
      <c r="DX37" s="43"/>
      <c r="DY37" s="43"/>
      <c r="DZ37" s="43"/>
      <c r="EA37" s="43"/>
      <c r="EB37" s="43"/>
      <c r="EC37" s="43"/>
      <c r="ED37" s="43"/>
      <c r="EE37" s="43"/>
      <c r="EF37" s="43"/>
      <c r="EG37" s="43"/>
      <c r="EH37" s="43"/>
      <c r="EI37" s="43"/>
      <c r="EJ37" s="43"/>
      <c r="EK37" s="43"/>
      <c r="EL37" s="43"/>
      <c r="EM37" s="43"/>
      <c r="EN37" s="43"/>
      <c r="EO37" s="43"/>
      <c r="EP37" s="43"/>
      <c r="EQ37" s="43"/>
      <c r="ER37" s="43"/>
      <c r="ES37" s="43"/>
      <c r="ET37" s="43"/>
      <c r="EU37" s="43"/>
      <c r="EV37" s="43"/>
      <c r="EW37" s="43"/>
      <c r="EX37" s="43"/>
      <c r="EY37" s="43"/>
      <c r="EZ37" s="43"/>
      <c r="FA37" s="43"/>
      <c r="FB37" s="43"/>
      <c r="FC37" s="43"/>
      <c r="FD37" s="43"/>
      <c r="FE37" s="43"/>
      <c r="FF37" s="43"/>
      <c r="FG37" s="43"/>
      <c r="FH37" s="43"/>
      <c r="FI37" s="43"/>
      <c r="FJ37" s="43"/>
      <c r="FK37" s="43"/>
      <c r="FL37" s="43"/>
      <c r="FM37" s="43"/>
      <c r="FN37" s="43"/>
      <c r="FO37" s="43"/>
      <c r="FP37" s="43"/>
      <c r="FQ37" s="43"/>
      <c r="FR37" s="43"/>
      <c r="FS37" s="43"/>
      <c r="FT37" s="43"/>
      <c r="FU37" s="43"/>
      <c r="FV37" s="43"/>
      <c r="FW37" s="43"/>
      <c r="FX37" s="43"/>
      <c r="FY37" s="43"/>
      <c r="FZ37" s="43"/>
      <c r="GA37" s="43"/>
      <c r="GB37" s="43"/>
      <c r="GC37" s="43"/>
      <c r="GD37" s="43"/>
      <c r="GE37" s="43"/>
      <c r="GF37" s="43"/>
      <c r="GG37" s="43"/>
      <c r="GH37" s="43"/>
      <c r="GI37" s="43"/>
      <c r="GJ37" s="43"/>
      <c r="GK37" s="43"/>
      <c r="GL37" s="43"/>
      <c r="GM37" s="43"/>
      <c r="GN37" s="43"/>
      <c r="GO37" s="43"/>
      <c r="GP37" s="43"/>
      <c r="GQ37" s="43"/>
      <c r="GR37" s="43"/>
      <c r="GS37" s="43"/>
      <c r="GT37" s="43"/>
      <c r="GU37" s="43"/>
      <c r="GV37" s="43"/>
      <c r="GW37" s="43"/>
      <c r="GX37" s="43"/>
      <c r="GY37" s="43"/>
      <c r="GZ37" s="43"/>
      <c r="HA37" s="43"/>
      <c r="HB37" s="43"/>
      <c r="HC37" s="43"/>
      <c r="HD37" s="43"/>
      <c r="HE37" s="43"/>
      <c r="HF37" s="43"/>
      <c r="HG37" s="43"/>
      <c r="HH37" s="43"/>
      <c r="HI37" s="43"/>
      <c r="HJ37" s="43"/>
      <c r="HK37" s="43"/>
      <c r="HL37" s="43"/>
      <c r="HM37" s="43"/>
      <c r="HN37" s="43"/>
      <c r="HO37" s="43"/>
      <c r="HP37" s="43"/>
      <c r="HQ37" s="43"/>
      <c r="HR37" s="43"/>
      <c r="HS37" s="43"/>
      <c r="HT37" s="43"/>
      <c r="HU37" s="43"/>
      <c r="HV37" s="43"/>
      <c r="HW37" s="43"/>
      <c r="HX37" s="43"/>
      <c r="HY37" s="43"/>
      <c r="HZ37" s="43"/>
      <c r="IA37" s="43"/>
      <c r="IB37" s="43"/>
      <c r="IC37" s="43"/>
      <c r="ID37" s="43"/>
      <c r="IE37" s="43"/>
      <c r="IF37" s="43"/>
      <c r="IG37" s="43"/>
      <c r="IH37" s="43"/>
      <c r="II37" s="43"/>
      <c r="IJ37" s="43"/>
      <c r="IK37" s="43"/>
      <c r="IL37" s="43"/>
      <c r="IM37" s="43"/>
      <c r="IN37" s="43"/>
      <c r="IO37" s="43"/>
      <c r="IP37" s="43"/>
      <c r="IQ37" s="43"/>
      <c r="IR37" s="43"/>
      <c r="IS37" s="43"/>
      <c r="IT37" s="43"/>
      <c r="IU37" s="43"/>
      <c r="IV37" s="43"/>
      <c r="IW37" s="43"/>
      <c r="IX37" s="43"/>
      <c r="IY37" s="43"/>
      <c r="IZ37" s="43"/>
      <c r="JA37" s="43"/>
      <c r="JB37" s="43"/>
      <c r="JC37" s="43"/>
      <c r="JD37" s="43"/>
      <c r="JE37" s="43"/>
      <c r="JF37" s="43"/>
      <c r="JG37" s="43"/>
      <c r="JH37" s="43"/>
      <c r="JI37" s="43"/>
      <c r="JJ37" s="43"/>
      <c r="JK37" s="43"/>
      <c r="JL37" s="43"/>
      <c r="JM37" s="43"/>
      <c r="JN37" s="43"/>
      <c r="JO37" s="43"/>
      <c r="JP37" s="43"/>
      <c r="JQ37" s="43"/>
      <c r="JR37" s="43"/>
      <c r="JS37" s="43"/>
      <c r="JT37" s="43"/>
      <c r="JU37" s="43"/>
      <c r="JV37" s="43"/>
      <c r="JW37" s="43"/>
      <c r="JX37" s="43"/>
      <c r="JY37" s="43"/>
      <c r="JZ37" s="43"/>
      <c r="KA37" s="43"/>
      <c r="KB37" s="43"/>
      <c r="KC37" s="43"/>
      <c r="KD37" s="43"/>
      <c r="KE37" s="43"/>
      <c r="KF37" s="43"/>
      <c r="KG37" s="43"/>
      <c r="KH37" s="43"/>
      <c r="KI37" s="43"/>
      <c r="KJ37" s="43"/>
      <c r="KK37" s="43"/>
      <c r="KL37" s="43"/>
      <c r="KM37" s="43"/>
      <c r="KN37" s="43"/>
      <c r="KO37" s="43"/>
      <c r="KP37" s="43"/>
      <c r="KQ37" s="43"/>
      <c r="KR37" s="43"/>
      <c r="KS37" s="43"/>
      <c r="KT37" s="43"/>
      <c r="KU37" s="43"/>
      <c r="KV37" s="43"/>
      <c r="KW37" s="43"/>
      <c r="KX37" s="43"/>
      <c r="KY37" s="43"/>
      <c r="KZ37" s="43"/>
      <c r="LA37" s="43"/>
      <c r="LB37" s="43"/>
      <c r="LC37" s="43"/>
      <c r="LD37" s="43"/>
      <c r="LE37" s="43"/>
      <c r="LF37" s="43"/>
      <c r="LG37" s="43"/>
      <c r="LH37" s="43"/>
      <c r="LI37" s="43"/>
      <c r="LJ37" s="43"/>
      <c r="LK37" s="43"/>
      <c r="LL37" s="43"/>
      <c r="LM37" s="43"/>
      <c r="LN37" s="43"/>
      <c r="LO37" s="43"/>
      <c r="LP37" s="43"/>
      <c r="LQ37" s="43"/>
      <c r="LR37" s="43"/>
      <c r="LS37" s="43"/>
      <c r="LT37" s="43"/>
      <c r="LU37" s="43"/>
      <c r="LV37" s="43"/>
      <c r="LW37" s="43"/>
      <c r="LX37" s="43"/>
      <c r="LY37" s="43"/>
      <c r="LZ37" s="43"/>
      <c r="MA37" s="43"/>
      <c r="MB37" s="43"/>
      <c r="MC37" s="43"/>
      <c r="MD37" s="43"/>
      <c r="ME37" s="43"/>
      <c r="MF37" s="43"/>
      <c r="MG37" s="43"/>
      <c r="MH37" s="43"/>
      <c r="MI37" s="43"/>
      <c r="MJ37" s="43"/>
      <c r="MK37" s="43"/>
      <c r="ML37" s="43"/>
      <c r="MM37" s="43"/>
      <c r="MN37" s="43"/>
      <c r="MO37" s="43"/>
      <c r="MP37" s="43"/>
      <c r="MQ37" s="43"/>
      <c r="MR37" s="43"/>
      <c r="MS37" s="43"/>
      <c r="MT37" s="43"/>
      <c r="MU37" s="43"/>
      <c r="MV37" s="43"/>
      <c r="MW37" s="43"/>
      <c r="MX37" s="43"/>
      <c r="MY37" s="43"/>
      <c r="MZ37" s="43"/>
      <c r="NA37" s="43"/>
      <c r="NB37" s="43"/>
      <c r="NC37" s="43"/>
      <c r="ND37" s="43"/>
      <c r="NE37" s="43"/>
      <c r="NF37" s="43"/>
      <c r="NG37" s="43"/>
      <c r="NH37" s="43"/>
      <c r="NI37" s="43"/>
      <c r="NJ37" s="43"/>
      <c r="NK37" s="43"/>
      <c r="NL37" s="43"/>
      <c r="NM37" s="43"/>
      <c r="NN37" s="43"/>
      <c r="NO37" s="43"/>
      <c r="NP37" s="43"/>
      <c r="NQ37" s="43"/>
      <c r="NR37" s="43"/>
      <c r="NS37" s="43"/>
      <c r="NT37" s="43"/>
      <c r="NU37" s="43"/>
      <c r="NV37" s="43"/>
      <c r="NW37" s="43"/>
      <c r="NX37" s="43"/>
      <c r="NY37" s="43"/>
      <c r="NZ37" s="43"/>
      <c r="OA37" s="43"/>
      <c r="OB37" s="43"/>
      <c r="OC37" s="43"/>
      <c r="OD37" s="43"/>
      <c r="OE37" s="43"/>
      <c r="OF37" s="43"/>
      <c r="OG37" s="43"/>
      <c r="OH37" s="43"/>
      <c r="OI37" s="43"/>
      <c r="OJ37" s="43"/>
      <c r="OK37" s="43"/>
      <c r="OL37" s="43"/>
      <c r="OM37" s="43"/>
      <c r="ON37" s="43"/>
      <c r="OO37" s="43"/>
      <c r="OP37" s="43"/>
      <c r="OQ37" s="43"/>
      <c r="OR37" s="43"/>
      <c r="OS37" s="43"/>
      <c r="OT37" s="43"/>
      <c r="OU37" s="43"/>
      <c r="OV37" s="43"/>
      <c r="OW37" s="43"/>
      <c r="OX37" s="43"/>
      <c r="OY37" s="43"/>
      <c r="OZ37" s="43"/>
      <c r="PA37" s="43"/>
      <c r="PB37" s="43"/>
      <c r="PC37" s="43"/>
      <c r="PD37" s="43"/>
      <c r="PE37" s="43"/>
      <c r="PF37" s="43"/>
      <c r="PG37" s="43"/>
      <c r="PH37" s="43"/>
      <c r="PI37" s="43"/>
      <c r="PJ37" s="43"/>
      <c r="PK37" s="43"/>
      <c r="PL37" s="43"/>
      <c r="PM37" s="43"/>
      <c r="PN37" s="43"/>
      <c r="PO37" s="43"/>
      <c r="PP37" s="43"/>
      <c r="PQ37" s="43"/>
      <c r="PR37" s="43"/>
      <c r="PS37" s="43"/>
      <c r="PT37" s="43"/>
      <c r="PU37" s="43"/>
      <c r="PV37" s="43"/>
      <c r="PW37" s="43"/>
      <c r="PX37" s="43"/>
      <c r="PY37" s="43"/>
      <c r="PZ37" s="43"/>
      <c r="QA37" s="43"/>
      <c r="QB37" s="43"/>
      <c r="QC37" s="43"/>
    </row>
    <row r="38" spans="1:16383" s="50" customFormat="1" x14ac:dyDescent="0.3">
      <c r="A38" s="47"/>
      <c r="B38" s="45"/>
      <c r="C38" s="45"/>
      <c r="D38" s="45"/>
      <c r="E38" s="45"/>
      <c r="F38" s="45"/>
      <c r="G38" s="45"/>
      <c r="H38" s="45"/>
      <c r="I38" s="45"/>
      <c r="J38" s="69"/>
      <c r="K38" s="45"/>
      <c r="L38" s="45"/>
      <c r="M38" s="45"/>
      <c r="N38" s="45"/>
      <c r="O38" s="45"/>
      <c r="P38" s="45"/>
      <c r="Q38" s="45"/>
      <c r="R38" s="45"/>
      <c r="S38" s="45"/>
      <c r="T38" s="45" t="str">
        <f t="shared" si="6"/>
        <v/>
      </c>
      <c r="U38" s="45" t="str">
        <f t="shared" si="7"/>
        <v/>
      </c>
      <c r="V38" s="68" t="str">
        <f t="shared" si="8"/>
        <v/>
      </c>
      <c r="W38" s="48"/>
      <c r="X38" s="66" t="str">
        <f t="shared" si="9"/>
        <v/>
      </c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43"/>
      <c r="CY38" s="43"/>
      <c r="CZ38" s="43"/>
      <c r="DA38" s="43"/>
      <c r="DB38" s="43"/>
      <c r="DC38" s="43"/>
      <c r="DD38" s="43"/>
      <c r="DE38" s="43"/>
      <c r="DF38" s="43"/>
      <c r="DG38" s="43"/>
      <c r="DH38" s="43"/>
      <c r="DI38" s="43"/>
      <c r="DJ38" s="43"/>
      <c r="DK38" s="43"/>
      <c r="DL38" s="43"/>
      <c r="DM38" s="43"/>
      <c r="DN38" s="43"/>
      <c r="DO38" s="43"/>
      <c r="DP38" s="43"/>
      <c r="DQ38" s="43"/>
      <c r="DR38" s="43"/>
      <c r="DS38" s="43"/>
      <c r="DT38" s="43"/>
      <c r="DU38" s="43"/>
      <c r="DV38" s="43"/>
      <c r="DW38" s="43"/>
      <c r="DX38" s="43"/>
      <c r="DY38" s="43"/>
      <c r="DZ38" s="43"/>
      <c r="EA38" s="43"/>
      <c r="EB38" s="43"/>
      <c r="EC38" s="43"/>
      <c r="ED38" s="43"/>
      <c r="EE38" s="43"/>
      <c r="EF38" s="43"/>
      <c r="EG38" s="43"/>
      <c r="EH38" s="43"/>
      <c r="EI38" s="43"/>
      <c r="EJ38" s="43"/>
      <c r="EK38" s="43"/>
      <c r="EL38" s="43"/>
      <c r="EM38" s="43"/>
      <c r="EN38" s="43"/>
      <c r="EO38" s="43"/>
      <c r="EP38" s="43"/>
      <c r="EQ38" s="43"/>
      <c r="ER38" s="43"/>
      <c r="ES38" s="43"/>
      <c r="ET38" s="43"/>
      <c r="EU38" s="43"/>
      <c r="EV38" s="43"/>
      <c r="EW38" s="43"/>
      <c r="EX38" s="43"/>
      <c r="EY38" s="43"/>
      <c r="EZ38" s="43"/>
      <c r="FA38" s="43"/>
      <c r="FB38" s="43"/>
      <c r="FC38" s="43"/>
      <c r="FD38" s="43"/>
      <c r="FE38" s="43"/>
      <c r="FF38" s="43"/>
      <c r="FG38" s="43"/>
      <c r="FH38" s="43"/>
      <c r="FI38" s="43"/>
      <c r="FJ38" s="43"/>
      <c r="FK38" s="43"/>
      <c r="FL38" s="43"/>
      <c r="FM38" s="43"/>
      <c r="FN38" s="43"/>
      <c r="FO38" s="43"/>
      <c r="FP38" s="43"/>
      <c r="FQ38" s="43"/>
      <c r="FR38" s="43"/>
      <c r="FS38" s="43"/>
      <c r="FT38" s="43"/>
      <c r="FU38" s="43"/>
      <c r="FV38" s="43"/>
      <c r="FW38" s="43"/>
      <c r="FX38" s="43"/>
      <c r="FY38" s="43"/>
      <c r="FZ38" s="43"/>
      <c r="GA38" s="43"/>
      <c r="GB38" s="43"/>
      <c r="GC38" s="43"/>
      <c r="GD38" s="43"/>
      <c r="GE38" s="43"/>
      <c r="GF38" s="43"/>
      <c r="GG38" s="43"/>
      <c r="GH38" s="43"/>
      <c r="GI38" s="43"/>
      <c r="GJ38" s="43"/>
      <c r="GK38" s="43"/>
      <c r="GL38" s="43"/>
      <c r="GM38" s="43"/>
      <c r="GN38" s="43"/>
      <c r="GO38" s="43"/>
      <c r="GP38" s="43"/>
      <c r="GQ38" s="43"/>
      <c r="GR38" s="43"/>
      <c r="GS38" s="43"/>
      <c r="GT38" s="43"/>
      <c r="GU38" s="43"/>
      <c r="GV38" s="43"/>
      <c r="GW38" s="43"/>
      <c r="GX38" s="43"/>
      <c r="GY38" s="43"/>
      <c r="GZ38" s="43"/>
      <c r="HA38" s="43"/>
      <c r="HB38" s="43"/>
      <c r="HC38" s="43"/>
      <c r="HD38" s="43"/>
      <c r="HE38" s="43"/>
      <c r="HF38" s="43"/>
      <c r="HG38" s="43"/>
      <c r="HH38" s="43"/>
      <c r="HI38" s="43"/>
      <c r="HJ38" s="43"/>
      <c r="HK38" s="43"/>
      <c r="HL38" s="43"/>
      <c r="HM38" s="43"/>
      <c r="HN38" s="43"/>
      <c r="HO38" s="43"/>
      <c r="HP38" s="43"/>
      <c r="HQ38" s="43"/>
      <c r="HR38" s="43"/>
      <c r="HS38" s="43"/>
      <c r="HT38" s="43"/>
      <c r="HU38" s="43"/>
      <c r="HV38" s="43"/>
      <c r="HW38" s="43"/>
      <c r="HX38" s="43"/>
      <c r="HY38" s="43"/>
      <c r="HZ38" s="43"/>
      <c r="IA38" s="43"/>
      <c r="IB38" s="43"/>
      <c r="IC38" s="43"/>
      <c r="ID38" s="43"/>
      <c r="IE38" s="43"/>
      <c r="IF38" s="43"/>
      <c r="IG38" s="43"/>
      <c r="IH38" s="43"/>
      <c r="II38" s="43"/>
      <c r="IJ38" s="43"/>
      <c r="IK38" s="43"/>
      <c r="IL38" s="43"/>
      <c r="IM38" s="43"/>
      <c r="IN38" s="43"/>
      <c r="IO38" s="43"/>
      <c r="IP38" s="43"/>
      <c r="IQ38" s="43"/>
      <c r="IR38" s="43"/>
      <c r="IS38" s="43"/>
      <c r="IT38" s="43"/>
      <c r="IU38" s="43"/>
      <c r="IV38" s="43"/>
      <c r="IW38" s="43"/>
      <c r="IX38" s="43"/>
      <c r="IY38" s="43"/>
      <c r="IZ38" s="43"/>
      <c r="JA38" s="43"/>
      <c r="JB38" s="43"/>
      <c r="JC38" s="43"/>
      <c r="JD38" s="43"/>
      <c r="JE38" s="43"/>
      <c r="JF38" s="43"/>
      <c r="JG38" s="43"/>
      <c r="JH38" s="43"/>
      <c r="JI38" s="43"/>
      <c r="JJ38" s="43"/>
      <c r="JK38" s="43"/>
      <c r="JL38" s="43"/>
      <c r="JM38" s="43"/>
      <c r="JN38" s="43"/>
      <c r="JO38" s="43"/>
      <c r="JP38" s="43"/>
      <c r="JQ38" s="43"/>
      <c r="JR38" s="43"/>
      <c r="JS38" s="43"/>
      <c r="JT38" s="43"/>
      <c r="JU38" s="43"/>
      <c r="JV38" s="43"/>
      <c r="JW38" s="43"/>
      <c r="JX38" s="43"/>
      <c r="JY38" s="43"/>
      <c r="JZ38" s="43"/>
      <c r="KA38" s="43"/>
      <c r="KB38" s="43"/>
      <c r="KC38" s="43"/>
      <c r="KD38" s="43"/>
      <c r="KE38" s="43"/>
      <c r="KF38" s="43"/>
      <c r="KG38" s="43"/>
      <c r="KH38" s="43"/>
      <c r="KI38" s="43"/>
      <c r="KJ38" s="43"/>
      <c r="KK38" s="43"/>
      <c r="KL38" s="43"/>
      <c r="KM38" s="43"/>
      <c r="KN38" s="43"/>
      <c r="KO38" s="43"/>
      <c r="KP38" s="43"/>
      <c r="KQ38" s="43"/>
      <c r="KR38" s="43"/>
      <c r="KS38" s="43"/>
      <c r="KT38" s="43"/>
      <c r="KU38" s="43"/>
      <c r="KV38" s="43"/>
      <c r="KW38" s="43"/>
      <c r="KX38" s="43"/>
      <c r="KY38" s="43"/>
      <c r="KZ38" s="43"/>
      <c r="LA38" s="43"/>
      <c r="LB38" s="43"/>
      <c r="LC38" s="43"/>
      <c r="LD38" s="43"/>
      <c r="LE38" s="43"/>
      <c r="LF38" s="43"/>
      <c r="LG38" s="43"/>
      <c r="LH38" s="43"/>
      <c r="LI38" s="43"/>
      <c r="LJ38" s="43"/>
      <c r="LK38" s="43"/>
      <c r="LL38" s="43"/>
      <c r="LM38" s="43"/>
      <c r="LN38" s="43"/>
      <c r="LO38" s="43"/>
      <c r="LP38" s="43"/>
      <c r="LQ38" s="43"/>
      <c r="LR38" s="43"/>
      <c r="LS38" s="43"/>
      <c r="LT38" s="43"/>
      <c r="LU38" s="43"/>
      <c r="LV38" s="43"/>
      <c r="LW38" s="43"/>
      <c r="LX38" s="43"/>
      <c r="LY38" s="43"/>
      <c r="LZ38" s="43"/>
      <c r="MA38" s="43"/>
      <c r="MB38" s="43"/>
      <c r="MC38" s="43"/>
      <c r="MD38" s="43"/>
      <c r="ME38" s="43"/>
      <c r="MF38" s="43"/>
      <c r="MG38" s="43"/>
      <c r="MH38" s="43"/>
      <c r="MI38" s="43"/>
      <c r="MJ38" s="43"/>
      <c r="MK38" s="43"/>
      <c r="ML38" s="43"/>
      <c r="MM38" s="43"/>
      <c r="MN38" s="43"/>
      <c r="MO38" s="43"/>
      <c r="MP38" s="43"/>
      <c r="MQ38" s="43"/>
      <c r="MR38" s="43"/>
      <c r="MS38" s="43"/>
      <c r="MT38" s="43"/>
      <c r="MU38" s="43"/>
      <c r="MV38" s="43"/>
      <c r="MW38" s="43"/>
      <c r="MX38" s="43"/>
      <c r="MY38" s="43"/>
      <c r="MZ38" s="43"/>
      <c r="NA38" s="43"/>
      <c r="NB38" s="43"/>
      <c r="NC38" s="43"/>
      <c r="ND38" s="43"/>
      <c r="NE38" s="43"/>
      <c r="NF38" s="43"/>
      <c r="NG38" s="43"/>
      <c r="NH38" s="43"/>
      <c r="NI38" s="43"/>
      <c r="NJ38" s="43"/>
      <c r="NK38" s="43"/>
      <c r="NL38" s="43"/>
      <c r="NM38" s="43"/>
      <c r="NN38" s="43"/>
      <c r="NO38" s="43"/>
      <c r="NP38" s="43"/>
      <c r="NQ38" s="43"/>
      <c r="NR38" s="43"/>
      <c r="NS38" s="43"/>
      <c r="NT38" s="43"/>
      <c r="NU38" s="43"/>
      <c r="NV38" s="43"/>
      <c r="NW38" s="43"/>
      <c r="NX38" s="43"/>
      <c r="NY38" s="43"/>
      <c r="NZ38" s="43"/>
      <c r="OA38" s="43"/>
      <c r="OB38" s="43"/>
      <c r="OC38" s="43"/>
      <c r="OD38" s="43"/>
      <c r="OE38" s="43"/>
      <c r="OF38" s="43"/>
      <c r="OG38" s="43"/>
      <c r="OH38" s="43"/>
      <c r="OI38" s="43"/>
      <c r="OJ38" s="43"/>
      <c r="OK38" s="43"/>
      <c r="OL38" s="43"/>
      <c r="OM38" s="43"/>
      <c r="ON38" s="43"/>
      <c r="OO38" s="43"/>
      <c r="OP38" s="43"/>
      <c r="OQ38" s="43"/>
      <c r="OR38" s="43"/>
      <c r="OS38" s="43"/>
      <c r="OT38" s="43"/>
      <c r="OU38" s="43"/>
      <c r="OV38" s="43"/>
      <c r="OW38" s="43"/>
      <c r="OX38" s="43"/>
      <c r="OY38" s="43"/>
      <c r="OZ38" s="43"/>
      <c r="PA38" s="43"/>
      <c r="PB38" s="43"/>
      <c r="PC38" s="43"/>
      <c r="PD38" s="43"/>
      <c r="PE38" s="43"/>
      <c r="PF38" s="43"/>
      <c r="PG38" s="43"/>
      <c r="PH38" s="43"/>
      <c r="PI38" s="43"/>
      <c r="PJ38" s="43"/>
      <c r="PK38" s="43"/>
      <c r="PL38" s="43"/>
      <c r="PM38" s="43"/>
      <c r="PN38" s="43"/>
      <c r="PO38" s="43"/>
      <c r="PP38" s="43"/>
      <c r="PQ38" s="43"/>
      <c r="PR38" s="43"/>
      <c r="PS38" s="43"/>
      <c r="PT38" s="43"/>
      <c r="PU38" s="43"/>
      <c r="PV38" s="43"/>
      <c r="PW38" s="43"/>
      <c r="PX38" s="43"/>
      <c r="PY38" s="43"/>
      <c r="PZ38" s="43"/>
      <c r="QA38" s="43"/>
      <c r="QB38" s="43"/>
      <c r="QC38" s="43"/>
    </row>
    <row r="39" spans="1:16383" s="50" customFormat="1" x14ac:dyDescent="0.3">
      <c r="A39" s="47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 t="str">
        <f t="shared" si="6"/>
        <v/>
      </c>
      <c r="U39" s="45" t="str">
        <f t="shared" si="7"/>
        <v/>
      </c>
      <c r="V39" s="68" t="str">
        <f t="shared" si="8"/>
        <v/>
      </c>
      <c r="W39" s="48"/>
      <c r="X39" s="66" t="str">
        <f t="shared" si="9"/>
        <v/>
      </c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  <c r="AJ39" s="48"/>
      <c r="AK39" s="48"/>
      <c r="AL39" s="48"/>
      <c r="AM39" s="48"/>
      <c r="AN39" s="48"/>
      <c r="AO39" s="45"/>
      <c r="AP39" s="46"/>
      <c r="AQ39" s="46"/>
      <c r="AR39" s="47"/>
      <c r="AS39" s="48"/>
      <c r="AT39" s="48"/>
      <c r="AU39" s="48"/>
      <c r="AV39" s="48"/>
      <c r="AW39" s="48"/>
      <c r="AX39" s="48"/>
      <c r="AY39" s="48"/>
      <c r="AZ39" s="48"/>
      <c r="BA39" s="48"/>
      <c r="BB39" s="48"/>
      <c r="BC39" s="48"/>
      <c r="BD39" s="48"/>
      <c r="BE39" s="48"/>
      <c r="BF39" s="48"/>
      <c r="BG39" s="48"/>
      <c r="BH39" s="48"/>
      <c r="BI39" s="48"/>
      <c r="BJ39" s="48"/>
      <c r="BK39" s="45"/>
      <c r="BL39" s="46"/>
      <c r="BM39" s="46"/>
      <c r="BN39" s="47"/>
      <c r="BO39" s="48"/>
      <c r="BP39" s="48"/>
      <c r="BQ39" s="48"/>
      <c r="BR39" s="48"/>
      <c r="BS39" s="48"/>
      <c r="BT39" s="48"/>
      <c r="BU39" s="48"/>
      <c r="BV39" s="48"/>
      <c r="BW39" s="48"/>
      <c r="BX39" s="48"/>
      <c r="BY39" s="48"/>
      <c r="BZ39" s="48"/>
      <c r="CA39" s="48"/>
      <c r="CB39" s="48"/>
      <c r="CC39" s="48"/>
      <c r="CD39" s="48"/>
      <c r="CE39" s="48"/>
      <c r="CF39" s="48"/>
      <c r="CG39" s="45"/>
      <c r="CH39" s="46"/>
      <c r="CI39" s="46"/>
      <c r="CJ39" s="47"/>
      <c r="CK39" s="48"/>
      <c r="CL39" s="48"/>
      <c r="CM39" s="48"/>
      <c r="CN39" s="48"/>
      <c r="CO39" s="48"/>
      <c r="CP39" s="48"/>
      <c r="CQ39" s="48"/>
      <c r="CR39" s="48"/>
      <c r="CS39" s="48"/>
      <c r="CT39" s="48"/>
      <c r="CU39" s="48"/>
      <c r="CV39" s="48"/>
      <c r="CW39" s="48"/>
      <c r="CX39" s="48"/>
      <c r="CY39" s="48"/>
      <c r="CZ39" s="48"/>
      <c r="DA39" s="48"/>
      <c r="DB39" s="48"/>
      <c r="DC39" s="45"/>
      <c r="DD39" s="46"/>
      <c r="DE39" s="46"/>
      <c r="DF39" s="47"/>
      <c r="DG39" s="48"/>
      <c r="DH39" s="48"/>
      <c r="DI39" s="48"/>
      <c r="DJ39" s="48"/>
      <c r="DK39" s="48"/>
      <c r="DL39" s="48"/>
      <c r="DM39" s="48"/>
      <c r="DN39" s="48"/>
      <c r="DO39" s="48"/>
      <c r="DP39" s="48"/>
      <c r="DQ39" s="48"/>
      <c r="DR39" s="48"/>
      <c r="DS39" s="48"/>
      <c r="DT39" s="48"/>
      <c r="DU39" s="48"/>
      <c r="DV39" s="48"/>
      <c r="DW39" s="48"/>
      <c r="DX39" s="48"/>
      <c r="DY39" s="45"/>
      <c r="DZ39" s="46"/>
      <c r="EA39" s="46"/>
      <c r="EB39" s="47"/>
      <c r="EC39" s="48"/>
      <c r="ED39" s="48"/>
      <c r="EE39" s="48"/>
      <c r="EF39" s="48"/>
      <c r="EG39" s="48"/>
      <c r="EH39" s="48"/>
      <c r="EI39" s="48"/>
      <c r="EJ39" s="48"/>
      <c r="EK39" s="48"/>
      <c r="EL39" s="48"/>
      <c r="EM39" s="48"/>
      <c r="EN39" s="48"/>
      <c r="EO39" s="48"/>
      <c r="EP39" s="48"/>
      <c r="EQ39" s="48"/>
      <c r="ER39" s="48"/>
      <c r="ES39" s="48"/>
      <c r="ET39" s="48"/>
      <c r="EU39" s="45"/>
      <c r="EV39" s="46"/>
      <c r="EW39" s="46"/>
      <c r="EX39" s="47"/>
      <c r="EY39" s="48"/>
      <c r="EZ39" s="48"/>
      <c r="FA39" s="48"/>
      <c r="FB39" s="48"/>
      <c r="FC39" s="48"/>
      <c r="FD39" s="48"/>
      <c r="FE39" s="48"/>
      <c r="FF39" s="48"/>
      <c r="FG39" s="48"/>
      <c r="FH39" s="48"/>
      <c r="FI39" s="48"/>
      <c r="FJ39" s="48"/>
      <c r="FK39" s="48"/>
      <c r="FL39" s="48"/>
      <c r="FM39" s="48"/>
      <c r="FN39" s="48"/>
      <c r="FO39" s="48"/>
      <c r="FP39" s="48"/>
      <c r="FQ39" s="45"/>
      <c r="FR39" s="46"/>
      <c r="FS39" s="46"/>
      <c r="FT39" s="47"/>
      <c r="FU39" s="48"/>
      <c r="FV39" s="48"/>
      <c r="FW39" s="48"/>
      <c r="FX39" s="48"/>
      <c r="FY39" s="48"/>
      <c r="FZ39" s="48"/>
      <c r="GA39" s="48"/>
      <c r="GB39" s="48"/>
      <c r="GC39" s="48"/>
      <c r="GD39" s="48"/>
      <c r="GE39" s="48"/>
      <c r="GF39" s="48"/>
      <c r="GG39" s="48"/>
      <c r="GH39" s="48"/>
      <c r="GI39" s="48"/>
      <c r="GJ39" s="48"/>
      <c r="GK39" s="48"/>
      <c r="GL39" s="48"/>
      <c r="GM39" s="45"/>
      <c r="GN39" s="46"/>
      <c r="GO39" s="46"/>
      <c r="GP39" s="47"/>
      <c r="GQ39" s="48"/>
      <c r="GR39" s="48"/>
      <c r="GS39" s="48"/>
      <c r="GT39" s="48"/>
      <c r="GU39" s="48"/>
      <c r="GV39" s="48"/>
      <c r="GW39" s="48"/>
      <c r="GX39" s="48"/>
      <c r="GY39" s="48"/>
      <c r="GZ39" s="48"/>
      <c r="HA39" s="48"/>
      <c r="HB39" s="48"/>
      <c r="HC39" s="48"/>
      <c r="HD39" s="48"/>
      <c r="HE39" s="48"/>
      <c r="HF39" s="48"/>
      <c r="HG39" s="48"/>
      <c r="HH39" s="48"/>
      <c r="HI39" s="45"/>
      <c r="HJ39" s="46"/>
      <c r="HK39" s="46"/>
      <c r="HL39" s="47"/>
      <c r="HM39" s="48"/>
      <c r="HN39" s="48"/>
      <c r="HO39" s="48"/>
      <c r="HP39" s="48"/>
      <c r="HQ39" s="48"/>
      <c r="HR39" s="48"/>
      <c r="HS39" s="48"/>
      <c r="HT39" s="48"/>
      <c r="HU39" s="48"/>
      <c r="HV39" s="48"/>
      <c r="HW39" s="48"/>
      <c r="HX39" s="48"/>
      <c r="HY39" s="48"/>
      <c r="HZ39" s="48"/>
      <c r="IA39" s="48"/>
      <c r="IB39" s="48"/>
      <c r="IC39" s="48"/>
      <c r="ID39" s="48"/>
      <c r="IE39" s="45"/>
      <c r="IF39" s="46"/>
      <c r="IG39" s="46"/>
      <c r="IH39" s="47"/>
      <c r="II39" s="48"/>
      <c r="IJ39" s="48"/>
      <c r="IK39" s="48"/>
      <c r="IL39" s="48"/>
      <c r="IM39" s="48"/>
      <c r="IN39" s="48"/>
      <c r="IO39" s="48"/>
      <c r="IP39" s="48"/>
      <c r="IQ39" s="48"/>
      <c r="IR39" s="48"/>
      <c r="IS39" s="48"/>
      <c r="IT39" s="48"/>
      <c r="IU39" s="48"/>
      <c r="IV39" s="48"/>
      <c r="IW39" s="48"/>
      <c r="IX39" s="48"/>
      <c r="IY39" s="48"/>
      <c r="IZ39" s="48"/>
      <c r="JA39" s="45"/>
      <c r="JB39" s="46"/>
      <c r="JC39" s="46"/>
      <c r="JD39" s="47"/>
      <c r="JE39" s="48"/>
      <c r="JF39" s="48"/>
      <c r="JG39" s="48"/>
      <c r="JH39" s="48"/>
      <c r="JI39" s="48"/>
      <c r="JJ39" s="48"/>
      <c r="JK39" s="48"/>
      <c r="JL39" s="48"/>
      <c r="JM39" s="48"/>
      <c r="JN39" s="48"/>
      <c r="JO39" s="48"/>
      <c r="JP39" s="48"/>
      <c r="JQ39" s="48"/>
      <c r="JR39" s="48"/>
      <c r="JS39" s="48"/>
      <c r="JT39" s="48"/>
      <c r="JU39" s="48"/>
      <c r="JV39" s="48"/>
      <c r="JW39" s="45"/>
      <c r="JX39" s="46"/>
      <c r="JY39" s="46"/>
      <c r="JZ39" s="47"/>
      <c r="KA39" s="48"/>
      <c r="KB39" s="48"/>
      <c r="KC39" s="48"/>
      <c r="KD39" s="48"/>
      <c r="KE39" s="48"/>
      <c r="KF39" s="48"/>
      <c r="KG39" s="48"/>
      <c r="KH39" s="48"/>
      <c r="KI39" s="48"/>
      <c r="KJ39" s="48"/>
      <c r="KK39" s="48"/>
      <c r="KL39" s="48"/>
      <c r="KM39" s="48"/>
      <c r="KN39" s="48"/>
      <c r="KO39" s="48"/>
      <c r="KP39" s="48"/>
      <c r="KQ39" s="48"/>
      <c r="KR39" s="48"/>
      <c r="KS39" s="45"/>
      <c r="KT39" s="46"/>
      <c r="KU39" s="46"/>
      <c r="KV39" s="47"/>
      <c r="KW39" s="48"/>
      <c r="KX39" s="48"/>
      <c r="KY39" s="48"/>
      <c r="KZ39" s="48"/>
      <c r="LA39" s="48"/>
      <c r="LB39" s="48"/>
      <c r="LC39" s="48"/>
      <c r="LD39" s="48"/>
      <c r="LE39" s="48"/>
      <c r="LF39" s="48"/>
      <c r="LG39" s="48"/>
      <c r="LH39" s="48"/>
      <c r="LI39" s="48"/>
      <c r="LJ39" s="48"/>
      <c r="LK39" s="48"/>
      <c r="LL39" s="48"/>
      <c r="LM39" s="48"/>
      <c r="LN39" s="48"/>
      <c r="LO39" s="45"/>
      <c r="LP39" s="46"/>
      <c r="LQ39" s="46"/>
      <c r="LR39" s="47"/>
      <c r="LS39" s="48"/>
      <c r="LT39" s="48"/>
      <c r="LU39" s="48"/>
      <c r="LV39" s="48"/>
      <c r="LW39" s="48"/>
      <c r="LX39" s="48"/>
      <c r="LY39" s="48"/>
      <c r="LZ39" s="48"/>
      <c r="MA39" s="48"/>
      <c r="MB39" s="48"/>
      <c r="MC39" s="48"/>
      <c r="MD39" s="48"/>
      <c r="ME39" s="48"/>
      <c r="MF39" s="48"/>
      <c r="MG39" s="48"/>
      <c r="MH39" s="48"/>
      <c r="MI39" s="48"/>
      <c r="MJ39" s="48"/>
      <c r="MK39" s="45"/>
      <c r="ML39" s="46"/>
      <c r="MM39" s="46"/>
      <c r="MN39" s="47"/>
      <c r="MO39" s="48"/>
      <c r="MP39" s="48"/>
      <c r="MQ39" s="48"/>
      <c r="MR39" s="48"/>
      <c r="MS39" s="48"/>
      <c r="MT39" s="48"/>
      <c r="MU39" s="48"/>
      <c r="MV39" s="48"/>
      <c r="MW39" s="48"/>
      <c r="MX39" s="48"/>
      <c r="MY39" s="48"/>
      <c r="MZ39" s="48"/>
      <c r="NA39" s="48"/>
      <c r="NB39" s="48"/>
      <c r="NC39" s="48"/>
      <c r="ND39" s="48"/>
      <c r="NE39" s="48"/>
      <c r="NF39" s="48"/>
      <c r="NG39" s="45"/>
      <c r="NH39" s="46"/>
      <c r="NI39" s="46"/>
      <c r="NJ39" s="47"/>
      <c r="NK39" s="48"/>
      <c r="NL39" s="48"/>
      <c r="NM39" s="48"/>
      <c r="NN39" s="48"/>
      <c r="NO39" s="48"/>
      <c r="NP39" s="48"/>
      <c r="NQ39" s="48"/>
      <c r="NR39" s="48"/>
      <c r="NS39" s="48"/>
      <c r="NT39" s="48"/>
      <c r="NU39" s="48"/>
      <c r="NV39" s="48"/>
      <c r="NW39" s="48"/>
      <c r="NX39" s="48"/>
      <c r="NY39" s="48"/>
      <c r="NZ39" s="48"/>
      <c r="OA39" s="48"/>
      <c r="OB39" s="48"/>
      <c r="OC39" s="45"/>
      <c r="OD39" s="46"/>
      <c r="OE39" s="46"/>
      <c r="OF39" s="47"/>
      <c r="OG39" s="48"/>
      <c r="OH39" s="48"/>
      <c r="OI39" s="48"/>
      <c r="OJ39" s="48"/>
      <c r="OK39" s="48"/>
      <c r="OL39" s="48"/>
      <c r="OM39" s="48"/>
      <c r="ON39" s="48"/>
      <c r="OO39" s="48"/>
      <c r="OP39" s="48"/>
      <c r="OQ39" s="48"/>
      <c r="OR39" s="48"/>
      <c r="OS39" s="48"/>
      <c r="OT39" s="48"/>
      <c r="OU39" s="48"/>
      <c r="OV39" s="48"/>
      <c r="OW39" s="48"/>
      <c r="OX39" s="48"/>
      <c r="OY39" s="45"/>
      <c r="OZ39" s="46"/>
      <c r="PA39" s="46"/>
      <c r="PB39" s="47"/>
      <c r="PC39" s="48"/>
      <c r="PD39" s="48"/>
      <c r="PE39" s="48"/>
      <c r="PF39" s="48"/>
      <c r="PG39" s="48"/>
      <c r="PH39" s="48"/>
      <c r="PI39" s="48"/>
      <c r="PJ39" s="48"/>
      <c r="PK39" s="48"/>
      <c r="PL39" s="48"/>
      <c r="PM39" s="48"/>
      <c r="PN39" s="48"/>
      <c r="PO39" s="48"/>
      <c r="PP39" s="48"/>
      <c r="PQ39" s="48"/>
      <c r="PR39" s="48"/>
      <c r="PS39" s="48"/>
      <c r="PT39" s="48"/>
      <c r="PU39" s="45"/>
      <c r="PV39" s="46"/>
      <c r="PW39" s="46"/>
      <c r="PX39" s="47"/>
      <c r="PY39" s="48"/>
      <c r="PZ39" s="48"/>
      <c r="QA39" s="48"/>
      <c r="QB39" s="48"/>
      <c r="QC39" s="48"/>
      <c r="QD39" s="48"/>
      <c r="QE39" s="48"/>
      <c r="QF39" s="48"/>
      <c r="QG39" s="48"/>
      <c r="QH39" s="48"/>
      <c r="QI39" s="48"/>
      <c r="QJ39" s="48"/>
      <c r="QK39" s="48"/>
      <c r="QL39" s="48"/>
      <c r="QM39" s="48"/>
      <c r="QN39" s="48"/>
      <c r="QO39" s="48"/>
      <c r="QP39" s="48"/>
      <c r="QQ39" s="45"/>
      <c r="QR39" s="46"/>
      <c r="QS39" s="46"/>
      <c r="QT39" s="47"/>
      <c r="QU39" s="48"/>
      <c r="QV39" s="48"/>
      <c r="QW39" s="48"/>
      <c r="QX39" s="48"/>
      <c r="QY39" s="48"/>
      <c r="QZ39" s="48"/>
      <c r="RA39" s="48"/>
      <c r="RB39" s="48"/>
      <c r="RC39" s="48"/>
      <c r="RD39" s="48"/>
      <c r="RE39" s="48"/>
      <c r="RF39" s="48"/>
      <c r="RG39" s="48"/>
      <c r="RH39" s="48"/>
      <c r="RI39" s="48"/>
      <c r="RJ39" s="48"/>
      <c r="RK39" s="48"/>
      <c r="RL39" s="48"/>
      <c r="RM39" s="45"/>
      <c r="RN39" s="46"/>
      <c r="RO39" s="46"/>
      <c r="RP39" s="47"/>
      <c r="RQ39" s="48"/>
      <c r="RR39" s="48"/>
      <c r="RS39" s="48"/>
      <c r="RT39" s="48"/>
      <c r="RU39" s="48"/>
      <c r="RV39" s="48"/>
      <c r="RW39" s="48"/>
      <c r="RX39" s="48"/>
      <c r="RY39" s="48"/>
      <c r="RZ39" s="48"/>
      <c r="SA39" s="48"/>
      <c r="SB39" s="48"/>
      <c r="SC39" s="48"/>
      <c r="SD39" s="48"/>
      <c r="SE39" s="48"/>
      <c r="SF39" s="48"/>
      <c r="SG39" s="48"/>
      <c r="SH39" s="48"/>
      <c r="SI39" s="45"/>
      <c r="SJ39" s="46"/>
      <c r="SK39" s="46"/>
      <c r="SL39" s="47"/>
      <c r="SM39" s="48"/>
      <c r="SN39" s="48"/>
      <c r="SO39" s="48"/>
      <c r="SP39" s="48"/>
      <c r="SQ39" s="48"/>
      <c r="SR39" s="48"/>
      <c r="SS39" s="48"/>
      <c r="ST39" s="48"/>
      <c r="SU39" s="48"/>
      <c r="SV39" s="48"/>
      <c r="SW39" s="48"/>
      <c r="SX39" s="48"/>
      <c r="SY39" s="48"/>
      <c r="SZ39" s="48"/>
      <c r="TA39" s="48"/>
      <c r="TB39" s="48"/>
      <c r="TC39" s="48"/>
      <c r="TD39" s="48"/>
      <c r="TE39" s="45"/>
      <c r="TF39" s="46"/>
      <c r="TG39" s="46"/>
      <c r="TH39" s="47"/>
      <c r="TI39" s="48"/>
      <c r="TJ39" s="48"/>
      <c r="TK39" s="48"/>
      <c r="TL39" s="48"/>
      <c r="TM39" s="48"/>
      <c r="TN39" s="48"/>
      <c r="TO39" s="48"/>
      <c r="TP39" s="48"/>
      <c r="TQ39" s="48"/>
      <c r="TR39" s="48"/>
      <c r="TS39" s="48"/>
      <c r="TT39" s="48"/>
      <c r="TU39" s="48"/>
      <c r="TV39" s="48"/>
      <c r="TW39" s="48"/>
      <c r="TX39" s="48"/>
      <c r="TY39" s="48"/>
      <c r="TZ39" s="48"/>
      <c r="UA39" s="45"/>
      <c r="UB39" s="46"/>
      <c r="UC39" s="46"/>
      <c r="UD39" s="47"/>
      <c r="UE39" s="48"/>
      <c r="UF39" s="48"/>
      <c r="UG39" s="48"/>
      <c r="UH39" s="48"/>
      <c r="UI39" s="48"/>
      <c r="UJ39" s="48"/>
      <c r="UK39" s="48"/>
      <c r="UL39" s="48"/>
      <c r="UM39" s="48"/>
      <c r="UN39" s="48"/>
      <c r="UO39" s="48"/>
      <c r="UP39" s="48"/>
      <c r="UQ39" s="48"/>
      <c r="UR39" s="48"/>
      <c r="US39" s="48"/>
      <c r="UT39" s="48"/>
      <c r="UU39" s="48"/>
      <c r="UV39" s="48"/>
      <c r="UW39" s="45"/>
      <c r="UX39" s="46"/>
      <c r="UY39" s="46"/>
      <c r="UZ39" s="47"/>
      <c r="VA39" s="48"/>
      <c r="VB39" s="48"/>
      <c r="VC39" s="48"/>
      <c r="VD39" s="48"/>
      <c r="VE39" s="48"/>
      <c r="VF39" s="48"/>
      <c r="VG39" s="48"/>
      <c r="VH39" s="48"/>
      <c r="VI39" s="48"/>
      <c r="VJ39" s="48"/>
      <c r="VK39" s="48"/>
      <c r="VL39" s="48"/>
      <c r="VM39" s="48"/>
      <c r="VN39" s="48"/>
      <c r="VO39" s="48"/>
      <c r="VP39" s="48"/>
      <c r="VQ39" s="48"/>
      <c r="VR39" s="48"/>
      <c r="VS39" s="45"/>
      <c r="VT39" s="46"/>
      <c r="VU39" s="46"/>
      <c r="VV39" s="47"/>
      <c r="VW39" s="48"/>
      <c r="VX39" s="48"/>
      <c r="VY39" s="48"/>
      <c r="VZ39" s="48"/>
      <c r="WA39" s="48"/>
      <c r="WB39" s="48"/>
      <c r="WC39" s="48"/>
      <c r="WD39" s="48"/>
      <c r="WE39" s="48"/>
      <c r="WF39" s="48"/>
      <c r="WG39" s="48"/>
      <c r="WH39" s="48"/>
      <c r="WI39" s="48"/>
      <c r="WJ39" s="48"/>
      <c r="WK39" s="48"/>
      <c r="WL39" s="48"/>
      <c r="WM39" s="48"/>
      <c r="WN39" s="48"/>
      <c r="WO39" s="45"/>
      <c r="WP39" s="46"/>
      <c r="WQ39" s="46"/>
      <c r="WR39" s="47"/>
      <c r="WS39" s="48"/>
      <c r="WT39" s="48"/>
      <c r="WU39" s="48"/>
      <c r="WV39" s="48"/>
      <c r="WW39" s="48"/>
      <c r="WX39" s="48"/>
      <c r="WY39" s="48"/>
      <c r="WZ39" s="48"/>
      <c r="XA39" s="48"/>
      <c r="XB39" s="48"/>
      <c r="XC39" s="48"/>
      <c r="XD39" s="48"/>
      <c r="XE39" s="48"/>
      <c r="XF39" s="48"/>
      <c r="XG39" s="48"/>
      <c r="XH39" s="48"/>
      <c r="XI39" s="48"/>
      <c r="XJ39" s="48"/>
      <c r="XK39" s="45"/>
      <c r="XL39" s="46"/>
      <c r="XM39" s="46"/>
      <c r="XN39" s="47"/>
      <c r="XO39" s="48"/>
      <c r="XP39" s="48"/>
      <c r="XQ39" s="48"/>
      <c r="XR39" s="48"/>
      <c r="XS39" s="48"/>
      <c r="XT39" s="48"/>
      <c r="XU39" s="48"/>
      <c r="XV39" s="48"/>
      <c r="XW39" s="48"/>
      <c r="XX39" s="48"/>
      <c r="XY39" s="48"/>
      <c r="XZ39" s="48"/>
      <c r="YA39" s="48"/>
      <c r="YB39" s="48"/>
      <c r="YC39" s="48"/>
      <c r="YD39" s="48"/>
      <c r="YE39" s="48"/>
      <c r="YF39" s="48"/>
      <c r="YG39" s="45"/>
      <c r="YH39" s="46"/>
      <c r="YI39" s="46"/>
      <c r="YJ39" s="47"/>
      <c r="YK39" s="48"/>
      <c r="YL39" s="48"/>
      <c r="YM39" s="48"/>
      <c r="YN39" s="48"/>
      <c r="YO39" s="48"/>
      <c r="YP39" s="48"/>
      <c r="YQ39" s="48"/>
      <c r="YR39" s="48"/>
      <c r="YS39" s="48"/>
      <c r="YT39" s="48"/>
      <c r="YU39" s="48"/>
      <c r="YV39" s="48"/>
      <c r="YW39" s="48"/>
      <c r="YX39" s="48"/>
      <c r="YY39" s="48"/>
      <c r="YZ39" s="48"/>
      <c r="ZA39" s="48"/>
      <c r="ZB39" s="48"/>
      <c r="ZC39" s="45"/>
      <c r="ZD39" s="46"/>
      <c r="ZE39" s="46"/>
      <c r="ZF39" s="47"/>
      <c r="ZG39" s="48"/>
      <c r="ZH39" s="48"/>
      <c r="ZI39" s="48"/>
      <c r="ZJ39" s="48"/>
      <c r="ZK39" s="48"/>
      <c r="ZL39" s="48"/>
      <c r="ZM39" s="48"/>
      <c r="ZN39" s="48"/>
      <c r="ZO39" s="48"/>
      <c r="ZP39" s="48"/>
      <c r="ZQ39" s="48"/>
      <c r="ZR39" s="48"/>
      <c r="ZS39" s="48"/>
      <c r="ZT39" s="48"/>
      <c r="ZU39" s="48"/>
      <c r="ZV39" s="48"/>
      <c r="ZW39" s="48"/>
      <c r="ZX39" s="48"/>
      <c r="ZY39" s="45"/>
      <c r="ZZ39" s="46"/>
      <c r="AAA39" s="46"/>
      <c r="AAB39" s="47"/>
      <c r="AAC39" s="48"/>
      <c r="AAD39" s="48"/>
      <c r="AAE39" s="48"/>
      <c r="AAF39" s="48"/>
      <c r="AAG39" s="48"/>
      <c r="AAH39" s="48"/>
      <c r="AAI39" s="48"/>
      <c r="AAJ39" s="48"/>
      <c r="AAK39" s="48"/>
      <c r="AAL39" s="48"/>
      <c r="AAM39" s="48"/>
      <c r="AAN39" s="48"/>
      <c r="AAO39" s="48"/>
      <c r="AAP39" s="48"/>
      <c r="AAQ39" s="48"/>
      <c r="AAR39" s="48"/>
      <c r="AAS39" s="48"/>
      <c r="AAT39" s="48"/>
      <c r="AAU39" s="45"/>
      <c r="AAV39" s="46"/>
      <c r="AAW39" s="46"/>
      <c r="AAX39" s="47"/>
      <c r="AAY39" s="48"/>
      <c r="AAZ39" s="48"/>
      <c r="ABA39" s="48"/>
      <c r="ABB39" s="48"/>
      <c r="ABC39" s="48"/>
      <c r="ABD39" s="48"/>
      <c r="ABE39" s="48"/>
      <c r="ABF39" s="48"/>
      <c r="ABG39" s="48"/>
      <c r="ABH39" s="48"/>
      <c r="ABI39" s="48"/>
      <c r="ABJ39" s="48"/>
      <c r="ABK39" s="48"/>
      <c r="ABL39" s="48"/>
      <c r="ABM39" s="48"/>
      <c r="ABN39" s="48"/>
      <c r="ABO39" s="48"/>
      <c r="ABP39" s="48"/>
      <c r="ABQ39" s="45"/>
      <c r="ABR39" s="46"/>
      <c r="ABS39" s="46"/>
      <c r="ABT39" s="47"/>
      <c r="ABU39" s="48"/>
      <c r="ABV39" s="48"/>
      <c r="ABW39" s="48"/>
      <c r="ABX39" s="48"/>
      <c r="ABY39" s="48"/>
      <c r="ABZ39" s="48"/>
      <c r="ACA39" s="48"/>
      <c r="ACB39" s="48"/>
      <c r="ACC39" s="48"/>
      <c r="ACD39" s="48"/>
      <c r="ACE39" s="48"/>
      <c r="ACF39" s="48"/>
      <c r="ACG39" s="48"/>
      <c r="ACH39" s="48"/>
      <c r="ACI39" s="48"/>
      <c r="ACJ39" s="48"/>
      <c r="ACK39" s="48"/>
      <c r="ACL39" s="48"/>
      <c r="ACM39" s="45"/>
      <c r="ACN39" s="46"/>
      <c r="ACO39" s="46"/>
      <c r="ACP39" s="47"/>
      <c r="ACQ39" s="48"/>
      <c r="ACR39" s="48"/>
      <c r="ACS39" s="48"/>
      <c r="ACT39" s="48"/>
      <c r="ACU39" s="48"/>
      <c r="ACV39" s="48"/>
      <c r="ACW39" s="48"/>
      <c r="ACX39" s="48"/>
      <c r="ACY39" s="48"/>
      <c r="ACZ39" s="48"/>
      <c r="ADA39" s="48"/>
      <c r="ADB39" s="48"/>
      <c r="ADC39" s="48"/>
      <c r="ADD39" s="48"/>
      <c r="ADE39" s="48"/>
      <c r="ADF39" s="48"/>
      <c r="ADG39" s="48"/>
      <c r="ADH39" s="48"/>
      <c r="ADI39" s="45"/>
      <c r="ADJ39" s="46"/>
      <c r="ADK39" s="46"/>
      <c r="ADL39" s="47"/>
      <c r="ADM39" s="48"/>
      <c r="ADN39" s="48"/>
      <c r="ADO39" s="48"/>
      <c r="ADP39" s="48"/>
      <c r="ADQ39" s="48"/>
      <c r="ADR39" s="48"/>
      <c r="ADS39" s="48"/>
      <c r="ADT39" s="48"/>
      <c r="ADU39" s="48"/>
      <c r="ADV39" s="48"/>
      <c r="ADW39" s="48"/>
      <c r="ADX39" s="48"/>
      <c r="ADY39" s="48"/>
      <c r="ADZ39" s="48"/>
      <c r="AEA39" s="48"/>
      <c r="AEB39" s="48"/>
      <c r="AEC39" s="48"/>
      <c r="AED39" s="48"/>
      <c r="AEE39" s="45"/>
      <c r="AEF39" s="46"/>
      <c r="AEG39" s="46"/>
      <c r="AEH39" s="47"/>
      <c r="AEI39" s="48"/>
      <c r="AEJ39" s="48"/>
      <c r="AEK39" s="48"/>
      <c r="AEL39" s="48"/>
      <c r="AEM39" s="48"/>
      <c r="AEN39" s="48"/>
      <c r="AEO39" s="48"/>
      <c r="AEP39" s="48"/>
      <c r="AEQ39" s="48"/>
      <c r="AER39" s="48"/>
      <c r="AES39" s="48"/>
      <c r="AET39" s="48"/>
      <c r="AEU39" s="48"/>
      <c r="AEV39" s="48"/>
      <c r="AEW39" s="48"/>
      <c r="AEX39" s="48"/>
      <c r="AEY39" s="48"/>
      <c r="AEZ39" s="48"/>
      <c r="AFA39" s="45"/>
      <c r="AFB39" s="46"/>
      <c r="AFC39" s="46"/>
      <c r="AFD39" s="47"/>
      <c r="AFE39" s="48"/>
      <c r="AFF39" s="48"/>
      <c r="AFG39" s="48"/>
      <c r="AFH39" s="48"/>
      <c r="AFI39" s="48"/>
      <c r="AFJ39" s="48"/>
      <c r="AFK39" s="48"/>
      <c r="AFL39" s="48"/>
      <c r="AFM39" s="48"/>
      <c r="AFN39" s="48"/>
      <c r="AFO39" s="48"/>
      <c r="AFP39" s="48"/>
      <c r="AFQ39" s="48"/>
      <c r="AFR39" s="48"/>
      <c r="AFS39" s="48"/>
      <c r="AFT39" s="48"/>
      <c r="AFU39" s="48"/>
      <c r="AFV39" s="48"/>
      <c r="AFW39" s="45"/>
      <c r="AFX39" s="46"/>
      <c r="AFY39" s="46"/>
      <c r="AFZ39" s="47"/>
      <c r="AGA39" s="48"/>
      <c r="AGB39" s="48"/>
      <c r="AGC39" s="48"/>
      <c r="AGD39" s="48"/>
      <c r="AGE39" s="48"/>
      <c r="AGF39" s="48"/>
      <c r="AGG39" s="48"/>
      <c r="AGH39" s="48"/>
      <c r="AGI39" s="48"/>
      <c r="AGJ39" s="48"/>
      <c r="AGK39" s="48"/>
      <c r="AGL39" s="48"/>
      <c r="AGM39" s="48"/>
      <c r="AGN39" s="48"/>
      <c r="AGO39" s="48"/>
      <c r="AGP39" s="48"/>
      <c r="AGQ39" s="48"/>
      <c r="AGR39" s="48"/>
      <c r="AGS39" s="45"/>
      <c r="AGT39" s="46"/>
      <c r="AGU39" s="46"/>
      <c r="AGV39" s="47"/>
      <c r="AGW39" s="48"/>
      <c r="AGX39" s="48"/>
      <c r="AGY39" s="48"/>
      <c r="AGZ39" s="48"/>
      <c r="AHA39" s="48"/>
      <c r="AHB39" s="48"/>
      <c r="AHC39" s="48"/>
      <c r="AHD39" s="48"/>
      <c r="AHE39" s="48"/>
      <c r="AHF39" s="48"/>
      <c r="AHG39" s="48"/>
      <c r="AHH39" s="48"/>
      <c r="AHI39" s="48"/>
      <c r="AHJ39" s="48"/>
      <c r="AHK39" s="48"/>
      <c r="AHL39" s="48"/>
      <c r="AHM39" s="48"/>
      <c r="AHN39" s="48"/>
      <c r="AHO39" s="45"/>
      <c r="AHP39" s="46"/>
      <c r="AHQ39" s="46"/>
      <c r="AHR39" s="47"/>
      <c r="AHS39" s="48"/>
      <c r="AHT39" s="48"/>
      <c r="AHU39" s="48"/>
      <c r="AHV39" s="48"/>
      <c r="AHW39" s="48"/>
      <c r="AHX39" s="48"/>
      <c r="AHY39" s="48"/>
      <c r="AHZ39" s="48"/>
      <c r="AIA39" s="48"/>
      <c r="AIB39" s="48"/>
      <c r="AIC39" s="48"/>
      <c r="AID39" s="48"/>
      <c r="AIE39" s="48"/>
      <c r="AIF39" s="48"/>
      <c r="AIG39" s="48"/>
      <c r="AIH39" s="48"/>
      <c r="AII39" s="48"/>
      <c r="AIJ39" s="48"/>
      <c r="AIK39" s="45"/>
      <c r="AIL39" s="46"/>
      <c r="AIM39" s="46"/>
      <c r="AIN39" s="47"/>
      <c r="AIO39" s="48"/>
      <c r="AIP39" s="48"/>
      <c r="AIQ39" s="48"/>
      <c r="AIR39" s="48"/>
      <c r="AIS39" s="48"/>
      <c r="AIT39" s="48"/>
      <c r="AIU39" s="48"/>
      <c r="AIV39" s="48"/>
      <c r="AIW39" s="48"/>
      <c r="AIX39" s="48"/>
      <c r="AIY39" s="48"/>
      <c r="AIZ39" s="48"/>
      <c r="AJA39" s="48"/>
      <c r="AJB39" s="48"/>
      <c r="AJC39" s="48"/>
      <c r="AJD39" s="48"/>
      <c r="AJE39" s="48"/>
      <c r="AJF39" s="48"/>
      <c r="AJG39" s="45"/>
      <c r="AJH39" s="46"/>
      <c r="AJI39" s="46"/>
      <c r="AJJ39" s="47"/>
      <c r="AJK39" s="48"/>
      <c r="AJL39" s="48"/>
      <c r="AJM39" s="48"/>
      <c r="AJN39" s="48"/>
      <c r="AJO39" s="48"/>
      <c r="AJP39" s="48"/>
      <c r="AJQ39" s="48"/>
      <c r="AJR39" s="48"/>
      <c r="AJS39" s="48"/>
      <c r="AJT39" s="48"/>
      <c r="AJU39" s="48"/>
      <c r="AJV39" s="48"/>
      <c r="AJW39" s="48"/>
      <c r="AJX39" s="48"/>
      <c r="AJY39" s="48"/>
      <c r="AJZ39" s="48"/>
      <c r="AKA39" s="48"/>
      <c r="AKB39" s="48"/>
      <c r="AKC39" s="45"/>
      <c r="AKD39" s="46"/>
      <c r="AKE39" s="46"/>
      <c r="AKF39" s="47"/>
      <c r="AKG39" s="48"/>
      <c r="AKH39" s="48"/>
      <c r="AKI39" s="48"/>
      <c r="AKJ39" s="48"/>
      <c r="AKK39" s="48"/>
      <c r="AKL39" s="48"/>
      <c r="AKM39" s="48"/>
      <c r="AKN39" s="48"/>
      <c r="AKO39" s="48"/>
      <c r="AKP39" s="48"/>
      <c r="AKQ39" s="48"/>
      <c r="AKR39" s="48"/>
      <c r="AKS39" s="48"/>
      <c r="AKT39" s="48"/>
      <c r="AKU39" s="48"/>
      <c r="AKV39" s="48"/>
      <c r="AKW39" s="48"/>
      <c r="AKX39" s="48"/>
      <c r="AKY39" s="45"/>
      <c r="AKZ39" s="46"/>
      <c r="ALA39" s="46"/>
      <c r="ALB39" s="47"/>
      <c r="ALC39" s="48"/>
      <c r="ALD39" s="48"/>
      <c r="ALE39" s="48"/>
      <c r="ALF39" s="48"/>
      <c r="ALG39" s="48"/>
      <c r="ALH39" s="48"/>
      <c r="ALI39" s="48"/>
      <c r="ALJ39" s="48"/>
      <c r="ALK39" s="48"/>
      <c r="ALL39" s="48"/>
      <c r="ALM39" s="48"/>
      <c r="ALN39" s="48"/>
      <c r="ALO39" s="48"/>
      <c r="ALP39" s="48"/>
      <c r="ALQ39" s="48"/>
      <c r="ALR39" s="48"/>
      <c r="ALS39" s="48"/>
      <c r="ALT39" s="48"/>
      <c r="ALU39" s="45"/>
      <c r="ALV39" s="46"/>
      <c r="ALW39" s="46"/>
      <c r="ALX39" s="47"/>
      <c r="ALY39" s="48"/>
      <c r="ALZ39" s="48"/>
      <c r="AMA39" s="48"/>
      <c r="AMB39" s="48"/>
      <c r="AMC39" s="48"/>
      <c r="AMD39" s="48"/>
      <c r="AME39" s="48"/>
      <c r="AMF39" s="48"/>
      <c r="AMG39" s="48"/>
      <c r="AMH39" s="48"/>
      <c r="AMI39" s="48"/>
      <c r="AMJ39" s="48"/>
      <c r="AMK39" s="48"/>
      <c r="AML39" s="48"/>
      <c r="AMM39" s="48"/>
      <c r="AMN39" s="48"/>
      <c r="AMO39" s="48"/>
      <c r="AMP39" s="48"/>
      <c r="AMQ39" s="45"/>
      <c r="AMR39" s="46"/>
      <c r="AMS39" s="46"/>
      <c r="AMT39" s="47"/>
      <c r="AMU39" s="48"/>
      <c r="AMV39" s="48"/>
      <c r="AMW39" s="48"/>
      <c r="AMX39" s="48"/>
      <c r="AMY39" s="48"/>
      <c r="AMZ39" s="48"/>
      <c r="ANA39" s="48"/>
      <c r="ANB39" s="48"/>
      <c r="ANC39" s="48"/>
      <c r="AND39" s="48"/>
      <c r="ANE39" s="48"/>
      <c r="ANF39" s="48"/>
      <c r="ANG39" s="48"/>
      <c r="ANH39" s="48"/>
      <c r="ANI39" s="48"/>
      <c r="ANJ39" s="48"/>
      <c r="ANK39" s="48"/>
      <c r="ANL39" s="48"/>
      <c r="ANM39" s="45"/>
      <c r="ANN39" s="46"/>
      <c r="ANO39" s="46"/>
      <c r="ANP39" s="47"/>
      <c r="ANQ39" s="48"/>
      <c r="ANR39" s="48"/>
      <c r="ANS39" s="48"/>
      <c r="ANT39" s="48"/>
      <c r="ANU39" s="48"/>
      <c r="ANV39" s="48"/>
      <c r="ANW39" s="48"/>
      <c r="ANX39" s="48"/>
      <c r="ANY39" s="48"/>
      <c r="ANZ39" s="48"/>
      <c r="AOA39" s="48"/>
      <c r="AOB39" s="48"/>
      <c r="AOC39" s="48"/>
      <c r="AOD39" s="48"/>
      <c r="AOE39" s="48"/>
      <c r="AOF39" s="48"/>
      <c r="AOG39" s="48"/>
      <c r="AOH39" s="48"/>
      <c r="AOI39" s="45"/>
      <c r="AOJ39" s="46"/>
      <c r="AOK39" s="46"/>
      <c r="AOL39" s="47"/>
      <c r="AOM39" s="48"/>
      <c r="AON39" s="48"/>
      <c r="AOO39" s="48"/>
      <c r="AOP39" s="48"/>
      <c r="AOQ39" s="48"/>
      <c r="AOR39" s="48"/>
      <c r="AOS39" s="48"/>
      <c r="AOT39" s="48"/>
      <c r="AOU39" s="48"/>
      <c r="AOV39" s="48"/>
      <c r="AOW39" s="48"/>
      <c r="AOX39" s="48"/>
      <c r="AOY39" s="48"/>
      <c r="AOZ39" s="48"/>
      <c r="APA39" s="48"/>
      <c r="APB39" s="48"/>
      <c r="APC39" s="48"/>
      <c r="APD39" s="48"/>
      <c r="APE39" s="45"/>
      <c r="APF39" s="46"/>
      <c r="APG39" s="46"/>
      <c r="APH39" s="47"/>
      <c r="API39" s="48"/>
      <c r="APJ39" s="48"/>
      <c r="APK39" s="48"/>
      <c r="APL39" s="48"/>
      <c r="APM39" s="48"/>
      <c r="APN39" s="48"/>
      <c r="APO39" s="48"/>
      <c r="APP39" s="48"/>
      <c r="APQ39" s="48"/>
      <c r="APR39" s="48"/>
      <c r="APS39" s="48"/>
      <c r="APT39" s="48"/>
      <c r="APU39" s="48"/>
      <c r="APV39" s="48"/>
      <c r="APW39" s="48"/>
      <c r="APX39" s="48"/>
      <c r="APY39" s="48"/>
      <c r="APZ39" s="48"/>
      <c r="AQA39" s="45"/>
      <c r="AQB39" s="46"/>
      <c r="AQC39" s="46"/>
      <c r="AQD39" s="47"/>
      <c r="AQE39" s="48"/>
      <c r="AQF39" s="48"/>
      <c r="AQG39" s="48"/>
      <c r="AQH39" s="48"/>
      <c r="AQI39" s="48"/>
      <c r="AQJ39" s="48"/>
      <c r="AQK39" s="48"/>
      <c r="AQL39" s="48"/>
      <c r="AQM39" s="48"/>
      <c r="AQN39" s="48"/>
      <c r="AQO39" s="48"/>
      <c r="AQP39" s="48"/>
      <c r="AQQ39" s="48"/>
      <c r="AQR39" s="48"/>
      <c r="AQS39" s="48"/>
      <c r="AQT39" s="48"/>
      <c r="AQU39" s="48"/>
      <c r="AQV39" s="48"/>
      <c r="AQW39" s="45"/>
      <c r="AQX39" s="46"/>
      <c r="AQY39" s="46"/>
      <c r="AQZ39" s="47"/>
      <c r="ARA39" s="48"/>
      <c r="ARB39" s="48"/>
      <c r="ARC39" s="48"/>
      <c r="ARD39" s="48"/>
      <c r="ARE39" s="48"/>
      <c r="ARF39" s="48"/>
      <c r="ARG39" s="48"/>
      <c r="ARH39" s="48"/>
      <c r="ARI39" s="48"/>
      <c r="ARJ39" s="48"/>
      <c r="ARK39" s="48"/>
      <c r="ARL39" s="48"/>
      <c r="ARM39" s="48"/>
      <c r="ARN39" s="48"/>
      <c r="ARO39" s="48"/>
      <c r="ARP39" s="48"/>
      <c r="ARQ39" s="48"/>
      <c r="ARR39" s="48"/>
      <c r="ARS39" s="45"/>
      <c r="ART39" s="46"/>
      <c r="ARU39" s="46"/>
      <c r="ARV39" s="47"/>
      <c r="ARW39" s="48"/>
      <c r="ARX39" s="48"/>
      <c r="ARY39" s="48"/>
      <c r="ARZ39" s="48"/>
      <c r="ASA39" s="48"/>
      <c r="ASB39" s="48"/>
      <c r="ASC39" s="48"/>
      <c r="ASD39" s="48"/>
      <c r="ASE39" s="48"/>
      <c r="ASF39" s="48"/>
      <c r="ASG39" s="48"/>
      <c r="ASH39" s="48"/>
      <c r="ASI39" s="48"/>
      <c r="ASJ39" s="48"/>
      <c r="ASK39" s="48"/>
      <c r="ASL39" s="48"/>
      <c r="ASM39" s="48"/>
      <c r="ASN39" s="48"/>
      <c r="ASO39" s="45"/>
      <c r="ASP39" s="46"/>
      <c r="ASQ39" s="46"/>
      <c r="ASR39" s="47"/>
      <c r="ASS39" s="48"/>
      <c r="AST39" s="48"/>
      <c r="ASU39" s="48"/>
      <c r="ASV39" s="48"/>
      <c r="ASW39" s="48"/>
      <c r="ASX39" s="48"/>
      <c r="ASY39" s="48"/>
      <c r="ASZ39" s="48"/>
      <c r="ATA39" s="48"/>
      <c r="ATB39" s="48"/>
      <c r="ATC39" s="48"/>
      <c r="ATD39" s="48"/>
      <c r="ATE39" s="48"/>
      <c r="ATF39" s="48"/>
      <c r="ATG39" s="48"/>
      <c r="ATH39" s="48"/>
      <c r="ATI39" s="48"/>
      <c r="ATJ39" s="48"/>
      <c r="ATK39" s="45"/>
      <c r="ATL39" s="46"/>
      <c r="ATM39" s="46"/>
      <c r="ATN39" s="47"/>
      <c r="ATO39" s="48"/>
      <c r="ATP39" s="48"/>
      <c r="ATQ39" s="48"/>
      <c r="ATR39" s="48"/>
      <c r="ATS39" s="48"/>
      <c r="ATT39" s="48"/>
      <c r="ATU39" s="48"/>
      <c r="ATV39" s="48"/>
      <c r="ATW39" s="48"/>
      <c r="ATX39" s="48"/>
      <c r="ATY39" s="48"/>
      <c r="ATZ39" s="48"/>
      <c r="AUA39" s="48"/>
      <c r="AUB39" s="48"/>
      <c r="AUC39" s="48"/>
      <c r="AUD39" s="48"/>
      <c r="AUE39" s="48"/>
      <c r="AUF39" s="48"/>
      <c r="AUG39" s="45"/>
      <c r="AUH39" s="46"/>
      <c r="AUI39" s="46"/>
      <c r="AUJ39" s="47"/>
      <c r="AUK39" s="48"/>
      <c r="AUL39" s="48"/>
      <c r="AUM39" s="48"/>
      <c r="AUN39" s="48"/>
      <c r="AUO39" s="48"/>
      <c r="AUP39" s="48"/>
      <c r="AUQ39" s="48"/>
      <c r="AUR39" s="48"/>
      <c r="AUS39" s="48"/>
      <c r="AUT39" s="48"/>
      <c r="AUU39" s="48"/>
      <c r="AUV39" s="48"/>
      <c r="AUW39" s="48"/>
      <c r="AUX39" s="48"/>
      <c r="AUY39" s="48"/>
      <c r="AUZ39" s="48"/>
      <c r="AVA39" s="48"/>
      <c r="AVB39" s="48"/>
      <c r="AVC39" s="45"/>
      <c r="AVD39" s="46"/>
      <c r="AVE39" s="46"/>
      <c r="AVF39" s="47"/>
      <c r="AVG39" s="48"/>
      <c r="AVH39" s="48"/>
      <c r="AVI39" s="48"/>
      <c r="AVJ39" s="48"/>
      <c r="AVK39" s="48"/>
      <c r="AVL39" s="48"/>
      <c r="AVM39" s="48"/>
      <c r="AVN39" s="48"/>
      <c r="AVO39" s="48"/>
      <c r="AVP39" s="48"/>
      <c r="AVQ39" s="48"/>
      <c r="AVR39" s="48"/>
      <c r="AVS39" s="48"/>
      <c r="AVT39" s="48"/>
      <c r="AVU39" s="48"/>
      <c r="AVV39" s="48"/>
      <c r="AVW39" s="48"/>
      <c r="AVX39" s="48"/>
      <c r="AVY39" s="45"/>
      <c r="AVZ39" s="46"/>
      <c r="AWA39" s="46"/>
      <c r="AWB39" s="47"/>
      <c r="AWC39" s="48"/>
      <c r="AWD39" s="48"/>
      <c r="AWE39" s="48"/>
      <c r="AWF39" s="48"/>
      <c r="AWG39" s="48"/>
      <c r="AWH39" s="48"/>
      <c r="AWI39" s="48"/>
      <c r="AWJ39" s="48"/>
      <c r="AWK39" s="48"/>
      <c r="AWL39" s="48"/>
      <c r="AWM39" s="48"/>
      <c r="AWN39" s="48"/>
      <c r="AWO39" s="48"/>
      <c r="AWP39" s="48"/>
      <c r="AWQ39" s="48"/>
      <c r="AWR39" s="48"/>
      <c r="AWS39" s="48"/>
      <c r="AWT39" s="48"/>
      <c r="AWU39" s="45"/>
      <c r="AWV39" s="46"/>
      <c r="AWW39" s="46"/>
      <c r="AWX39" s="47"/>
      <c r="AWY39" s="48"/>
      <c r="AWZ39" s="48"/>
      <c r="AXA39" s="48"/>
      <c r="AXB39" s="48"/>
      <c r="AXC39" s="48"/>
      <c r="AXD39" s="48"/>
      <c r="AXE39" s="48"/>
      <c r="AXF39" s="48"/>
      <c r="AXG39" s="48"/>
      <c r="AXH39" s="48"/>
      <c r="AXI39" s="48"/>
      <c r="AXJ39" s="48"/>
      <c r="AXK39" s="48"/>
      <c r="AXL39" s="48"/>
      <c r="AXM39" s="48"/>
      <c r="AXN39" s="48"/>
      <c r="AXO39" s="48"/>
      <c r="AXP39" s="48"/>
      <c r="AXQ39" s="45"/>
      <c r="AXR39" s="46"/>
      <c r="AXS39" s="46"/>
      <c r="AXT39" s="47"/>
      <c r="AXU39" s="48"/>
      <c r="AXV39" s="48"/>
      <c r="AXW39" s="48"/>
      <c r="AXX39" s="48"/>
      <c r="AXY39" s="48"/>
      <c r="AXZ39" s="48"/>
      <c r="AYA39" s="48"/>
      <c r="AYB39" s="48"/>
      <c r="AYC39" s="48"/>
      <c r="AYD39" s="48"/>
      <c r="AYE39" s="48"/>
      <c r="AYF39" s="48"/>
      <c r="AYG39" s="48"/>
      <c r="AYH39" s="48"/>
      <c r="AYI39" s="48"/>
      <c r="AYJ39" s="48"/>
      <c r="AYK39" s="48"/>
      <c r="AYL39" s="48"/>
      <c r="AYM39" s="45"/>
      <c r="AYN39" s="46"/>
      <c r="AYO39" s="46"/>
      <c r="AYP39" s="47"/>
      <c r="AYQ39" s="48"/>
      <c r="AYR39" s="48"/>
      <c r="AYS39" s="48"/>
      <c r="AYT39" s="48"/>
      <c r="AYU39" s="48"/>
      <c r="AYV39" s="48"/>
      <c r="AYW39" s="48"/>
      <c r="AYX39" s="48"/>
      <c r="AYY39" s="48"/>
      <c r="AYZ39" s="48"/>
      <c r="AZA39" s="48"/>
      <c r="AZB39" s="48"/>
      <c r="AZC39" s="48"/>
      <c r="AZD39" s="48"/>
      <c r="AZE39" s="48"/>
      <c r="AZF39" s="48"/>
      <c r="AZG39" s="48"/>
      <c r="AZH39" s="48"/>
      <c r="AZI39" s="45"/>
      <c r="AZJ39" s="46"/>
      <c r="AZK39" s="46"/>
      <c r="AZL39" s="47"/>
      <c r="AZM39" s="48"/>
      <c r="AZN39" s="48"/>
      <c r="AZO39" s="48"/>
      <c r="AZP39" s="48"/>
      <c r="AZQ39" s="48"/>
      <c r="AZR39" s="48"/>
      <c r="AZS39" s="48"/>
      <c r="AZT39" s="48"/>
      <c r="AZU39" s="48"/>
      <c r="AZV39" s="48"/>
      <c r="AZW39" s="48"/>
      <c r="AZX39" s="48"/>
      <c r="AZY39" s="48"/>
      <c r="AZZ39" s="48"/>
      <c r="BAA39" s="48"/>
      <c r="BAB39" s="48"/>
      <c r="BAC39" s="48"/>
      <c r="BAD39" s="48"/>
      <c r="BAE39" s="45"/>
      <c r="BAF39" s="46"/>
      <c r="BAG39" s="46"/>
      <c r="BAH39" s="47"/>
      <c r="BAI39" s="48"/>
      <c r="BAJ39" s="48"/>
      <c r="BAK39" s="48"/>
      <c r="BAL39" s="48"/>
      <c r="BAM39" s="48"/>
      <c r="BAN39" s="48"/>
      <c r="BAO39" s="48"/>
      <c r="BAP39" s="48"/>
      <c r="BAQ39" s="48"/>
      <c r="BAR39" s="48"/>
      <c r="BAS39" s="48"/>
      <c r="BAT39" s="48"/>
      <c r="BAU39" s="48"/>
      <c r="BAV39" s="48"/>
      <c r="BAW39" s="48"/>
      <c r="BAX39" s="48"/>
      <c r="BAY39" s="48"/>
      <c r="BAZ39" s="48"/>
      <c r="BBA39" s="45"/>
      <c r="BBB39" s="46"/>
      <c r="BBC39" s="46"/>
      <c r="BBD39" s="47"/>
      <c r="BBE39" s="48"/>
      <c r="BBF39" s="48"/>
      <c r="BBG39" s="48"/>
      <c r="BBH39" s="48"/>
      <c r="BBI39" s="48"/>
      <c r="BBJ39" s="48"/>
      <c r="BBK39" s="48"/>
      <c r="BBL39" s="48"/>
      <c r="BBM39" s="48"/>
      <c r="BBN39" s="48"/>
      <c r="BBO39" s="48"/>
      <c r="BBP39" s="48"/>
      <c r="BBQ39" s="48"/>
      <c r="BBR39" s="48"/>
      <c r="BBS39" s="48"/>
      <c r="BBT39" s="48"/>
      <c r="BBU39" s="48"/>
      <c r="BBV39" s="48"/>
      <c r="BBW39" s="45"/>
      <c r="BBX39" s="46"/>
      <c r="BBY39" s="46"/>
      <c r="BBZ39" s="47"/>
      <c r="BCA39" s="48"/>
      <c r="BCB39" s="48"/>
      <c r="BCC39" s="48"/>
      <c r="BCD39" s="48"/>
      <c r="BCE39" s="48"/>
      <c r="BCF39" s="48"/>
      <c r="BCG39" s="48"/>
      <c r="BCH39" s="48"/>
      <c r="BCI39" s="48"/>
      <c r="BCJ39" s="48"/>
      <c r="BCK39" s="48"/>
      <c r="BCL39" s="48"/>
      <c r="BCM39" s="48"/>
      <c r="BCN39" s="48"/>
      <c r="BCO39" s="48"/>
      <c r="BCP39" s="48"/>
      <c r="BCQ39" s="48"/>
      <c r="BCR39" s="48"/>
      <c r="BCS39" s="45"/>
      <c r="BCT39" s="46"/>
      <c r="BCU39" s="46"/>
      <c r="BCV39" s="47"/>
      <c r="BCW39" s="48"/>
      <c r="BCX39" s="48"/>
      <c r="BCY39" s="48"/>
      <c r="BCZ39" s="48"/>
      <c r="BDA39" s="48"/>
      <c r="BDB39" s="48"/>
      <c r="BDC39" s="48"/>
      <c r="BDD39" s="48"/>
      <c r="BDE39" s="48"/>
      <c r="BDF39" s="48"/>
      <c r="BDG39" s="48"/>
      <c r="BDH39" s="48"/>
      <c r="BDI39" s="48"/>
      <c r="BDJ39" s="48"/>
      <c r="BDK39" s="48"/>
      <c r="BDL39" s="48"/>
      <c r="BDM39" s="48"/>
      <c r="BDN39" s="48"/>
      <c r="BDO39" s="45"/>
      <c r="BDP39" s="46"/>
      <c r="BDQ39" s="46"/>
      <c r="BDR39" s="47"/>
      <c r="BDS39" s="48"/>
      <c r="BDT39" s="48"/>
      <c r="BDU39" s="48"/>
      <c r="BDV39" s="48"/>
      <c r="BDW39" s="48"/>
      <c r="BDX39" s="48"/>
      <c r="BDY39" s="48"/>
      <c r="BDZ39" s="48"/>
      <c r="BEA39" s="48"/>
      <c r="BEB39" s="48"/>
      <c r="BEC39" s="48"/>
      <c r="BED39" s="48"/>
      <c r="BEE39" s="48"/>
      <c r="BEF39" s="48"/>
      <c r="BEG39" s="48"/>
      <c r="BEH39" s="48"/>
      <c r="BEI39" s="48"/>
      <c r="BEJ39" s="48"/>
      <c r="BEK39" s="45"/>
      <c r="BEL39" s="46"/>
      <c r="BEM39" s="46"/>
      <c r="BEN39" s="47"/>
      <c r="BEO39" s="48"/>
      <c r="BEP39" s="48"/>
      <c r="BEQ39" s="48"/>
      <c r="BER39" s="48"/>
      <c r="BES39" s="48"/>
      <c r="BET39" s="48"/>
      <c r="BEU39" s="48"/>
      <c r="BEV39" s="48"/>
      <c r="BEW39" s="48"/>
      <c r="BEX39" s="48"/>
      <c r="BEY39" s="48"/>
      <c r="BEZ39" s="48"/>
      <c r="BFA39" s="48"/>
      <c r="BFB39" s="48"/>
      <c r="BFC39" s="48"/>
      <c r="BFD39" s="48"/>
      <c r="BFE39" s="48"/>
      <c r="BFF39" s="48"/>
      <c r="BFG39" s="45"/>
      <c r="BFH39" s="46"/>
      <c r="BFI39" s="46"/>
      <c r="BFJ39" s="47"/>
      <c r="BFK39" s="48"/>
      <c r="BFL39" s="48"/>
      <c r="BFM39" s="48"/>
      <c r="BFN39" s="48"/>
      <c r="BFO39" s="48"/>
      <c r="BFP39" s="48"/>
      <c r="BFQ39" s="48"/>
      <c r="BFR39" s="48"/>
      <c r="BFS39" s="48"/>
      <c r="BFT39" s="48"/>
      <c r="BFU39" s="48"/>
      <c r="BFV39" s="48"/>
      <c r="BFW39" s="48"/>
      <c r="BFX39" s="48"/>
      <c r="BFY39" s="48"/>
      <c r="BFZ39" s="48"/>
      <c r="BGA39" s="48"/>
      <c r="BGB39" s="48"/>
      <c r="BGC39" s="45"/>
      <c r="BGD39" s="46"/>
      <c r="BGE39" s="46"/>
      <c r="BGF39" s="47"/>
      <c r="BGG39" s="48"/>
      <c r="BGH39" s="48"/>
      <c r="BGI39" s="48"/>
      <c r="BGJ39" s="48"/>
      <c r="BGK39" s="48"/>
      <c r="BGL39" s="48"/>
      <c r="BGM39" s="48"/>
      <c r="BGN39" s="48"/>
      <c r="BGO39" s="48"/>
      <c r="BGP39" s="48"/>
      <c r="BGQ39" s="48"/>
      <c r="BGR39" s="48"/>
      <c r="BGS39" s="48"/>
      <c r="BGT39" s="48"/>
      <c r="BGU39" s="48"/>
      <c r="BGV39" s="48"/>
      <c r="BGW39" s="48"/>
      <c r="BGX39" s="48"/>
      <c r="BGY39" s="45"/>
      <c r="BGZ39" s="46"/>
      <c r="BHA39" s="46"/>
      <c r="BHB39" s="47"/>
      <c r="BHC39" s="48"/>
      <c r="BHD39" s="48"/>
      <c r="BHE39" s="48"/>
      <c r="BHF39" s="48"/>
      <c r="BHG39" s="48"/>
      <c r="BHH39" s="48"/>
      <c r="BHI39" s="48"/>
      <c r="BHJ39" s="48"/>
      <c r="BHK39" s="48"/>
      <c r="BHL39" s="48"/>
      <c r="BHM39" s="48"/>
      <c r="BHN39" s="48"/>
      <c r="BHO39" s="48"/>
      <c r="BHP39" s="48"/>
      <c r="BHQ39" s="48"/>
      <c r="BHR39" s="48"/>
      <c r="BHS39" s="48"/>
      <c r="BHT39" s="48"/>
      <c r="BHU39" s="45"/>
      <c r="BHV39" s="46"/>
      <c r="BHW39" s="46"/>
      <c r="BHX39" s="47"/>
      <c r="BHY39" s="48"/>
      <c r="BHZ39" s="48"/>
      <c r="BIA39" s="48"/>
      <c r="BIB39" s="48"/>
      <c r="BIC39" s="48"/>
      <c r="BID39" s="48"/>
      <c r="BIE39" s="48"/>
      <c r="BIF39" s="48"/>
      <c r="BIG39" s="48"/>
      <c r="BIH39" s="48"/>
      <c r="BII39" s="48"/>
      <c r="BIJ39" s="48"/>
      <c r="BIK39" s="48"/>
      <c r="BIL39" s="48"/>
      <c r="BIM39" s="48"/>
      <c r="BIN39" s="48"/>
      <c r="BIO39" s="48"/>
      <c r="BIP39" s="48"/>
      <c r="BIQ39" s="45"/>
      <c r="BIR39" s="46"/>
      <c r="BIS39" s="46"/>
      <c r="BIT39" s="47"/>
      <c r="BIU39" s="48"/>
      <c r="BIV39" s="48"/>
      <c r="BIW39" s="48"/>
      <c r="BIX39" s="48"/>
      <c r="BIY39" s="48"/>
      <c r="BIZ39" s="48"/>
      <c r="BJA39" s="48"/>
      <c r="BJB39" s="48"/>
      <c r="BJC39" s="48"/>
      <c r="BJD39" s="48"/>
      <c r="BJE39" s="48"/>
      <c r="BJF39" s="48"/>
      <c r="BJG39" s="48"/>
      <c r="BJH39" s="48"/>
      <c r="BJI39" s="48"/>
      <c r="BJJ39" s="48"/>
      <c r="BJK39" s="48"/>
      <c r="BJL39" s="48"/>
      <c r="BJM39" s="45"/>
      <c r="BJN39" s="46"/>
      <c r="BJO39" s="46"/>
      <c r="BJP39" s="47"/>
      <c r="BJQ39" s="48"/>
      <c r="BJR39" s="48"/>
      <c r="BJS39" s="48"/>
      <c r="BJT39" s="48"/>
      <c r="BJU39" s="48"/>
      <c r="BJV39" s="48"/>
      <c r="BJW39" s="48"/>
      <c r="BJX39" s="48"/>
      <c r="BJY39" s="48"/>
      <c r="BJZ39" s="48"/>
      <c r="BKA39" s="48"/>
      <c r="BKB39" s="48"/>
      <c r="BKC39" s="48"/>
      <c r="BKD39" s="48"/>
      <c r="BKE39" s="48"/>
      <c r="BKF39" s="48"/>
      <c r="BKG39" s="48"/>
      <c r="BKH39" s="48"/>
      <c r="BKI39" s="45"/>
      <c r="BKJ39" s="46"/>
      <c r="BKK39" s="46"/>
      <c r="BKL39" s="47"/>
      <c r="BKM39" s="48"/>
      <c r="BKN39" s="48"/>
      <c r="BKO39" s="48"/>
      <c r="BKP39" s="48"/>
      <c r="BKQ39" s="48"/>
      <c r="BKR39" s="48"/>
      <c r="BKS39" s="48"/>
      <c r="BKT39" s="48"/>
      <c r="BKU39" s="48"/>
      <c r="BKV39" s="48"/>
      <c r="BKW39" s="48"/>
      <c r="BKX39" s="48"/>
      <c r="BKY39" s="48"/>
      <c r="BKZ39" s="48"/>
      <c r="BLA39" s="48"/>
      <c r="BLB39" s="48"/>
      <c r="BLC39" s="48"/>
      <c r="BLD39" s="48"/>
      <c r="BLE39" s="45"/>
      <c r="BLF39" s="46"/>
      <c r="BLG39" s="46"/>
      <c r="BLH39" s="47"/>
      <c r="BLI39" s="48"/>
      <c r="BLJ39" s="48"/>
      <c r="BLK39" s="48"/>
      <c r="BLL39" s="48"/>
      <c r="BLM39" s="48"/>
      <c r="BLN39" s="48"/>
      <c r="BLO39" s="48"/>
      <c r="BLP39" s="48"/>
      <c r="BLQ39" s="48"/>
      <c r="BLR39" s="48"/>
      <c r="BLS39" s="48"/>
      <c r="BLT39" s="48"/>
      <c r="BLU39" s="48"/>
      <c r="BLV39" s="48"/>
      <c r="BLW39" s="48"/>
      <c r="BLX39" s="48"/>
      <c r="BLY39" s="48"/>
      <c r="BLZ39" s="48"/>
      <c r="BMA39" s="45"/>
      <c r="BMB39" s="46"/>
      <c r="BMC39" s="46"/>
      <c r="BMD39" s="47"/>
      <c r="BME39" s="48"/>
      <c r="BMF39" s="48"/>
      <c r="BMG39" s="48"/>
      <c r="BMH39" s="48"/>
      <c r="BMI39" s="48"/>
      <c r="BMJ39" s="48"/>
      <c r="BMK39" s="48"/>
      <c r="BML39" s="48"/>
      <c r="BMM39" s="48"/>
      <c r="BMN39" s="48"/>
      <c r="BMO39" s="48"/>
      <c r="BMP39" s="48"/>
      <c r="BMQ39" s="48"/>
      <c r="BMR39" s="48"/>
      <c r="BMS39" s="48"/>
      <c r="BMT39" s="48"/>
      <c r="BMU39" s="48"/>
      <c r="BMV39" s="48"/>
      <c r="BMW39" s="45"/>
      <c r="BMX39" s="46"/>
      <c r="BMY39" s="46"/>
      <c r="BMZ39" s="47"/>
      <c r="BNA39" s="48"/>
      <c r="BNB39" s="48"/>
      <c r="BNC39" s="48"/>
      <c r="BND39" s="48"/>
      <c r="BNE39" s="48"/>
      <c r="BNF39" s="48"/>
      <c r="BNG39" s="48"/>
      <c r="BNH39" s="48"/>
      <c r="BNI39" s="48"/>
      <c r="BNJ39" s="48"/>
      <c r="BNK39" s="48"/>
      <c r="BNL39" s="48"/>
      <c r="BNM39" s="48"/>
      <c r="BNN39" s="48"/>
      <c r="BNO39" s="48"/>
      <c r="BNP39" s="48"/>
      <c r="BNQ39" s="48"/>
      <c r="BNR39" s="48"/>
      <c r="BNS39" s="45"/>
      <c r="BNT39" s="46"/>
      <c r="BNU39" s="46"/>
      <c r="BNV39" s="47"/>
      <c r="BNW39" s="48"/>
      <c r="BNX39" s="48"/>
      <c r="BNY39" s="48"/>
      <c r="BNZ39" s="48"/>
      <c r="BOA39" s="48"/>
      <c r="BOB39" s="48"/>
      <c r="BOC39" s="48"/>
      <c r="BOD39" s="48"/>
      <c r="BOE39" s="48"/>
      <c r="BOF39" s="48"/>
      <c r="BOG39" s="48"/>
      <c r="BOH39" s="48"/>
      <c r="BOI39" s="48"/>
      <c r="BOJ39" s="48"/>
      <c r="BOK39" s="48"/>
      <c r="BOL39" s="48"/>
      <c r="BOM39" s="48"/>
      <c r="BON39" s="48"/>
      <c r="BOO39" s="45"/>
      <c r="BOP39" s="46"/>
      <c r="BOQ39" s="46"/>
      <c r="BOR39" s="47"/>
      <c r="BOS39" s="48"/>
      <c r="BOT39" s="48"/>
      <c r="BOU39" s="48"/>
      <c r="BOV39" s="48"/>
      <c r="BOW39" s="48"/>
      <c r="BOX39" s="48"/>
      <c r="BOY39" s="48"/>
      <c r="BOZ39" s="48"/>
      <c r="BPA39" s="48"/>
      <c r="BPB39" s="48"/>
      <c r="BPC39" s="48"/>
      <c r="BPD39" s="48"/>
      <c r="BPE39" s="48"/>
      <c r="BPF39" s="48"/>
      <c r="BPG39" s="48"/>
      <c r="BPH39" s="48"/>
      <c r="BPI39" s="48"/>
      <c r="BPJ39" s="48"/>
      <c r="BPK39" s="45"/>
      <c r="BPL39" s="46"/>
      <c r="BPM39" s="46"/>
      <c r="BPN39" s="47"/>
      <c r="BPO39" s="48"/>
      <c r="BPP39" s="48"/>
      <c r="BPQ39" s="48"/>
      <c r="BPR39" s="48"/>
      <c r="BPS39" s="48"/>
      <c r="BPT39" s="48"/>
      <c r="BPU39" s="48"/>
      <c r="BPV39" s="48"/>
      <c r="BPW39" s="48"/>
      <c r="BPX39" s="48"/>
      <c r="BPY39" s="48"/>
      <c r="BPZ39" s="48"/>
      <c r="BQA39" s="48"/>
      <c r="BQB39" s="48"/>
      <c r="BQC39" s="48"/>
      <c r="BQD39" s="48"/>
      <c r="BQE39" s="48"/>
      <c r="BQF39" s="48"/>
      <c r="BQG39" s="45"/>
      <c r="BQH39" s="46"/>
      <c r="BQI39" s="46"/>
      <c r="BQJ39" s="47"/>
      <c r="BQK39" s="48"/>
      <c r="BQL39" s="48"/>
      <c r="BQM39" s="48"/>
      <c r="BQN39" s="48"/>
      <c r="BQO39" s="48"/>
      <c r="BQP39" s="48"/>
      <c r="BQQ39" s="48"/>
      <c r="BQR39" s="48"/>
      <c r="BQS39" s="48"/>
      <c r="BQT39" s="48"/>
      <c r="BQU39" s="48"/>
      <c r="BQV39" s="48"/>
      <c r="BQW39" s="48"/>
      <c r="BQX39" s="48"/>
      <c r="BQY39" s="48"/>
      <c r="BQZ39" s="48"/>
      <c r="BRA39" s="48"/>
      <c r="BRB39" s="48"/>
      <c r="BRC39" s="45"/>
      <c r="BRD39" s="46"/>
      <c r="BRE39" s="46"/>
      <c r="BRF39" s="47"/>
      <c r="BRG39" s="48"/>
      <c r="BRH39" s="48"/>
      <c r="BRI39" s="48"/>
      <c r="BRJ39" s="48"/>
      <c r="BRK39" s="48"/>
      <c r="BRL39" s="48"/>
      <c r="BRM39" s="48"/>
      <c r="BRN39" s="48"/>
      <c r="BRO39" s="48"/>
      <c r="BRP39" s="48"/>
      <c r="BRQ39" s="48"/>
      <c r="BRR39" s="48"/>
      <c r="BRS39" s="48"/>
      <c r="BRT39" s="48"/>
      <c r="BRU39" s="48"/>
      <c r="BRV39" s="48"/>
      <c r="BRW39" s="48"/>
      <c r="BRX39" s="48"/>
      <c r="BRY39" s="45"/>
      <c r="BRZ39" s="46"/>
      <c r="BSA39" s="46"/>
      <c r="BSB39" s="47"/>
      <c r="BSC39" s="48"/>
      <c r="BSD39" s="48"/>
      <c r="BSE39" s="48"/>
      <c r="BSF39" s="48"/>
      <c r="BSG39" s="48"/>
      <c r="BSH39" s="48"/>
      <c r="BSI39" s="48"/>
      <c r="BSJ39" s="48"/>
      <c r="BSK39" s="48"/>
      <c r="BSL39" s="48"/>
      <c r="BSM39" s="48"/>
      <c r="BSN39" s="48"/>
      <c r="BSO39" s="48"/>
      <c r="BSP39" s="48"/>
      <c r="BSQ39" s="48"/>
      <c r="BSR39" s="48"/>
      <c r="BSS39" s="48"/>
      <c r="BST39" s="48"/>
      <c r="BSU39" s="45"/>
      <c r="BSV39" s="46"/>
      <c r="BSW39" s="46"/>
      <c r="BSX39" s="47"/>
      <c r="BSY39" s="48"/>
      <c r="BSZ39" s="48"/>
      <c r="BTA39" s="48"/>
      <c r="BTB39" s="48"/>
      <c r="BTC39" s="48"/>
      <c r="BTD39" s="48"/>
      <c r="BTE39" s="48"/>
      <c r="BTF39" s="48"/>
      <c r="BTG39" s="48"/>
      <c r="BTH39" s="48"/>
      <c r="BTI39" s="48"/>
      <c r="BTJ39" s="48"/>
      <c r="BTK39" s="48"/>
      <c r="BTL39" s="48"/>
      <c r="BTM39" s="48"/>
      <c r="BTN39" s="48"/>
      <c r="BTO39" s="48"/>
      <c r="BTP39" s="48"/>
      <c r="BTQ39" s="45"/>
      <c r="BTR39" s="46"/>
      <c r="BTS39" s="46"/>
      <c r="BTT39" s="47"/>
      <c r="BTU39" s="48"/>
      <c r="BTV39" s="48"/>
      <c r="BTW39" s="48"/>
      <c r="BTX39" s="48"/>
      <c r="BTY39" s="48"/>
      <c r="BTZ39" s="48"/>
      <c r="BUA39" s="48"/>
      <c r="BUB39" s="48"/>
      <c r="BUC39" s="48"/>
      <c r="BUD39" s="48"/>
      <c r="BUE39" s="48"/>
      <c r="BUF39" s="48"/>
      <c r="BUG39" s="48"/>
      <c r="BUH39" s="48"/>
      <c r="BUI39" s="48"/>
      <c r="BUJ39" s="48"/>
      <c r="BUK39" s="48"/>
      <c r="BUL39" s="48"/>
      <c r="BUM39" s="45"/>
      <c r="BUN39" s="46"/>
      <c r="BUO39" s="46"/>
      <c r="BUP39" s="47"/>
      <c r="BUQ39" s="48"/>
      <c r="BUR39" s="48"/>
      <c r="BUS39" s="48"/>
      <c r="BUT39" s="48"/>
      <c r="BUU39" s="48"/>
      <c r="BUV39" s="48"/>
      <c r="BUW39" s="48"/>
      <c r="BUX39" s="48"/>
      <c r="BUY39" s="48"/>
      <c r="BUZ39" s="48"/>
      <c r="BVA39" s="48"/>
      <c r="BVB39" s="48"/>
      <c r="BVC39" s="48"/>
      <c r="BVD39" s="48"/>
      <c r="BVE39" s="48"/>
      <c r="BVF39" s="48"/>
      <c r="BVG39" s="48"/>
      <c r="BVH39" s="48"/>
      <c r="BVI39" s="45"/>
      <c r="BVJ39" s="46"/>
      <c r="BVK39" s="46"/>
      <c r="BVL39" s="47"/>
      <c r="BVM39" s="48"/>
      <c r="BVN39" s="48"/>
      <c r="BVO39" s="48"/>
      <c r="BVP39" s="48"/>
      <c r="BVQ39" s="48"/>
      <c r="BVR39" s="48"/>
      <c r="BVS39" s="48"/>
      <c r="BVT39" s="48"/>
      <c r="BVU39" s="48"/>
      <c r="BVV39" s="48"/>
      <c r="BVW39" s="48"/>
      <c r="BVX39" s="48"/>
      <c r="BVY39" s="48"/>
      <c r="BVZ39" s="48"/>
      <c r="BWA39" s="48"/>
      <c r="BWB39" s="48"/>
      <c r="BWC39" s="48"/>
      <c r="BWD39" s="48"/>
      <c r="BWE39" s="45"/>
      <c r="BWF39" s="46"/>
      <c r="BWG39" s="46"/>
      <c r="BWH39" s="47"/>
      <c r="BWI39" s="48"/>
      <c r="BWJ39" s="48"/>
      <c r="BWK39" s="48"/>
      <c r="BWL39" s="48"/>
      <c r="BWM39" s="48"/>
      <c r="BWN39" s="48"/>
      <c r="BWO39" s="48"/>
      <c r="BWP39" s="48"/>
      <c r="BWQ39" s="48"/>
      <c r="BWR39" s="48"/>
      <c r="BWS39" s="48"/>
      <c r="BWT39" s="48"/>
      <c r="BWU39" s="48"/>
      <c r="BWV39" s="48"/>
      <c r="BWW39" s="48"/>
      <c r="BWX39" s="48"/>
      <c r="BWY39" s="48"/>
      <c r="BWZ39" s="48"/>
      <c r="BXA39" s="45"/>
      <c r="BXB39" s="46"/>
      <c r="BXC39" s="46"/>
      <c r="BXD39" s="47"/>
      <c r="BXE39" s="48"/>
      <c r="BXF39" s="48"/>
      <c r="BXG39" s="48"/>
      <c r="BXH39" s="48"/>
      <c r="BXI39" s="48"/>
      <c r="BXJ39" s="48"/>
      <c r="BXK39" s="48"/>
      <c r="BXL39" s="48"/>
      <c r="BXM39" s="48"/>
      <c r="BXN39" s="48"/>
      <c r="BXO39" s="48"/>
      <c r="BXP39" s="48"/>
      <c r="BXQ39" s="48"/>
      <c r="BXR39" s="48"/>
      <c r="BXS39" s="48"/>
      <c r="BXT39" s="48"/>
      <c r="BXU39" s="48"/>
      <c r="BXV39" s="48"/>
      <c r="BXW39" s="45"/>
      <c r="BXX39" s="46"/>
      <c r="BXY39" s="46"/>
      <c r="BXZ39" s="47"/>
      <c r="BYA39" s="48"/>
      <c r="BYB39" s="48"/>
      <c r="BYC39" s="48"/>
      <c r="BYD39" s="48"/>
      <c r="BYE39" s="48"/>
      <c r="BYF39" s="48"/>
      <c r="BYG39" s="48"/>
      <c r="BYH39" s="48"/>
      <c r="BYI39" s="48"/>
      <c r="BYJ39" s="48"/>
      <c r="BYK39" s="48"/>
      <c r="BYL39" s="48"/>
      <c r="BYM39" s="48"/>
      <c r="BYN39" s="48"/>
      <c r="BYO39" s="48"/>
      <c r="BYP39" s="48"/>
      <c r="BYQ39" s="48"/>
      <c r="BYR39" s="48"/>
      <c r="BYS39" s="45"/>
      <c r="BYT39" s="46"/>
      <c r="BYU39" s="46"/>
      <c r="BYV39" s="47"/>
      <c r="BYW39" s="48"/>
      <c r="BYX39" s="48"/>
      <c r="BYY39" s="48"/>
      <c r="BYZ39" s="48"/>
      <c r="BZA39" s="48"/>
      <c r="BZB39" s="48"/>
      <c r="BZC39" s="48"/>
      <c r="BZD39" s="48"/>
      <c r="BZE39" s="48"/>
      <c r="BZF39" s="48"/>
      <c r="BZG39" s="48"/>
      <c r="BZH39" s="48"/>
      <c r="BZI39" s="48"/>
      <c r="BZJ39" s="48"/>
      <c r="BZK39" s="48"/>
      <c r="BZL39" s="48"/>
      <c r="BZM39" s="48"/>
      <c r="BZN39" s="48"/>
      <c r="BZO39" s="45"/>
      <c r="BZP39" s="46"/>
      <c r="BZQ39" s="46"/>
      <c r="BZR39" s="47"/>
      <c r="BZS39" s="48"/>
      <c r="BZT39" s="48"/>
      <c r="BZU39" s="48"/>
      <c r="BZV39" s="48"/>
      <c r="BZW39" s="48"/>
      <c r="BZX39" s="48"/>
      <c r="BZY39" s="48"/>
      <c r="BZZ39" s="48"/>
      <c r="CAA39" s="48"/>
      <c r="CAB39" s="48"/>
      <c r="CAC39" s="48"/>
      <c r="CAD39" s="48"/>
      <c r="CAE39" s="48"/>
      <c r="CAF39" s="48"/>
      <c r="CAG39" s="48"/>
      <c r="CAH39" s="48"/>
      <c r="CAI39" s="48"/>
      <c r="CAJ39" s="48"/>
      <c r="CAK39" s="45"/>
      <c r="CAL39" s="46"/>
      <c r="CAM39" s="46"/>
      <c r="CAN39" s="47"/>
      <c r="CAO39" s="48"/>
      <c r="CAP39" s="48"/>
      <c r="CAQ39" s="48"/>
      <c r="CAR39" s="48"/>
      <c r="CAS39" s="48"/>
      <c r="CAT39" s="48"/>
      <c r="CAU39" s="48"/>
      <c r="CAV39" s="48"/>
      <c r="CAW39" s="48"/>
      <c r="CAX39" s="48"/>
      <c r="CAY39" s="48"/>
      <c r="CAZ39" s="48"/>
      <c r="CBA39" s="48"/>
      <c r="CBB39" s="48"/>
      <c r="CBC39" s="48"/>
      <c r="CBD39" s="48"/>
      <c r="CBE39" s="48"/>
      <c r="CBF39" s="48"/>
      <c r="CBG39" s="45"/>
      <c r="CBH39" s="46"/>
      <c r="CBI39" s="46"/>
      <c r="CBJ39" s="47"/>
      <c r="CBK39" s="48"/>
      <c r="CBL39" s="48"/>
      <c r="CBM39" s="48"/>
      <c r="CBN39" s="48"/>
      <c r="CBO39" s="48"/>
      <c r="CBP39" s="48"/>
      <c r="CBQ39" s="48"/>
      <c r="CBR39" s="48"/>
      <c r="CBS39" s="48"/>
      <c r="CBT39" s="48"/>
      <c r="CBU39" s="48"/>
      <c r="CBV39" s="48"/>
      <c r="CBW39" s="48"/>
      <c r="CBX39" s="48"/>
      <c r="CBY39" s="48"/>
      <c r="CBZ39" s="48"/>
      <c r="CCA39" s="48"/>
      <c r="CCB39" s="48"/>
      <c r="CCC39" s="45"/>
      <c r="CCD39" s="46"/>
      <c r="CCE39" s="46"/>
      <c r="CCF39" s="47"/>
      <c r="CCG39" s="48"/>
      <c r="CCH39" s="48"/>
      <c r="CCI39" s="48"/>
      <c r="CCJ39" s="48"/>
      <c r="CCK39" s="48"/>
      <c r="CCL39" s="48"/>
      <c r="CCM39" s="48"/>
      <c r="CCN39" s="48"/>
      <c r="CCO39" s="48"/>
      <c r="CCP39" s="48"/>
      <c r="CCQ39" s="48"/>
      <c r="CCR39" s="48"/>
      <c r="CCS39" s="48"/>
      <c r="CCT39" s="48"/>
      <c r="CCU39" s="48"/>
      <c r="CCV39" s="48"/>
      <c r="CCW39" s="48"/>
      <c r="CCX39" s="48"/>
      <c r="CCY39" s="45"/>
      <c r="CCZ39" s="46"/>
      <c r="CDA39" s="46"/>
      <c r="CDB39" s="47"/>
      <c r="CDC39" s="48"/>
      <c r="CDD39" s="48"/>
      <c r="CDE39" s="48"/>
      <c r="CDF39" s="48"/>
      <c r="CDG39" s="48"/>
      <c r="CDH39" s="48"/>
      <c r="CDI39" s="48"/>
      <c r="CDJ39" s="48"/>
      <c r="CDK39" s="48"/>
      <c r="CDL39" s="48"/>
      <c r="CDM39" s="48"/>
      <c r="CDN39" s="48"/>
      <c r="CDO39" s="48"/>
      <c r="CDP39" s="48"/>
      <c r="CDQ39" s="48"/>
      <c r="CDR39" s="48"/>
      <c r="CDS39" s="48"/>
      <c r="CDT39" s="48"/>
      <c r="CDU39" s="45"/>
      <c r="CDV39" s="46"/>
      <c r="CDW39" s="46"/>
      <c r="CDX39" s="47"/>
      <c r="CDY39" s="48"/>
      <c r="CDZ39" s="48"/>
      <c r="CEA39" s="48"/>
      <c r="CEB39" s="48"/>
      <c r="CEC39" s="48"/>
      <c r="CED39" s="48"/>
      <c r="CEE39" s="48"/>
      <c r="CEF39" s="48"/>
      <c r="CEG39" s="48"/>
      <c r="CEH39" s="48"/>
      <c r="CEI39" s="48"/>
      <c r="CEJ39" s="48"/>
      <c r="CEK39" s="48"/>
      <c r="CEL39" s="48"/>
      <c r="CEM39" s="48"/>
      <c r="CEN39" s="48"/>
      <c r="CEO39" s="48"/>
      <c r="CEP39" s="48"/>
      <c r="CEQ39" s="45"/>
      <c r="CER39" s="46"/>
      <c r="CES39" s="46"/>
      <c r="CET39" s="47"/>
      <c r="CEU39" s="48"/>
      <c r="CEV39" s="48"/>
      <c r="CEW39" s="48"/>
      <c r="CEX39" s="48"/>
      <c r="CEY39" s="48"/>
      <c r="CEZ39" s="48"/>
      <c r="CFA39" s="48"/>
      <c r="CFB39" s="48"/>
      <c r="CFC39" s="48"/>
      <c r="CFD39" s="48"/>
      <c r="CFE39" s="48"/>
      <c r="CFF39" s="48"/>
      <c r="CFG39" s="48"/>
      <c r="CFH39" s="48"/>
      <c r="CFI39" s="48"/>
      <c r="CFJ39" s="48"/>
      <c r="CFK39" s="48"/>
      <c r="CFL39" s="48"/>
      <c r="CFM39" s="45"/>
      <c r="CFN39" s="46"/>
      <c r="CFO39" s="46"/>
      <c r="CFP39" s="47"/>
      <c r="CFQ39" s="48"/>
      <c r="CFR39" s="48"/>
      <c r="CFS39" s="48"/>
      <c r="CFT39" s="48"/>
      <c r="CFU39" s="48"/>
      <c r="CFV39" s="48"/>
      <c r="CFW39" s="48"/>
      <c r="CFX39" s="48"/>
      <c r="CFY39" s="48"/>
      <c r="CFZ39" s="48"/>
      <c r="CGA39" s="48"/>
      <c r="CGB39" s="48"/>
      <c r="CGC39" s="48"/>
      <c r="CGD39" s="48"/>
      <c r="CGE39" s="48"/>
      <c r="CGF39" s="48"/>
      <c r="CGG39" s="48"/>
      <c r="CGH39" s="48"/>
      <c r="CGI39" s="45"/>
      <c r="CGJ39" s="46"/>
      <c r="CGK39" s="46"/>
      <c r="CGL39" s="47"/>
      <c r="CGM39" s="48"/>
      <c r="CGN39" s="48"/>
      <c r="CGO39" s="48"/>
      <c r="CGP39" s="48"/>
      <c r="CGQ39" s="48"/>
      <c r="CGR39" s="48"/>
      <c r="CGS39" s="48"/>
      <c r="CGT39" s="48"/>
      <c r="CGU39" s="48"/>
      <c r="CGV39" s="48"/>
      <c r="CGW39" s="48"/>
      <c r="CGX39" s="48"/>
      <c r="CGY39" s="48"/>
      <c r="CGZ39" s="48"/>
      <c r="CHA39" s="48"/>
      <c r="CHB39" s="48"/>
      <c r="CHC39" s="48"/>
      <c r="CHD39" s="48"/>
      <c r="CHE39" s="45"/>
      <c r="CHF39" s="46"/>
      <c r="CHG39" s="46"/>
      <c r="CHH39" s="47"/>
      <c r="CHI39" s="48"/>
      <c r="CHJ39" s="48"/>
      <c r="CHK39" s="48"/>
      <c r="CHL39" s="48"/>
      <c r="CHM39" s="48"/>
      <c r="CHN39" s="48"/>
      <c r="CHO39" s="48"/>
      <c r="CHP39" s="48"/>
      <c r="CHQ39" s="48"/>
      <c r="CHR39" s="48"/>
      <c r="CHS39" s="48"/>
      <c r="CHT39" s="48"/>
      <c r="CHU39" s="48"/>
      <c r="CHV39" s="48"/>
      <c r="CHW39" s="48"/>
      <c r="CHX39" s="48"/>
      <c r="CHY39" s="48"/>
      <c r="CHZ39" s="48"/>
      <c r="CIA39" s="45"/>
      <c r="CIB39" s="46"/>
      <c r="CIC39" s="46"/>
      <c r="CID39" s="47"/>
      <c r="CIE39" s="48"/>
      <c r="CIF39" s="48"/>
      <c r="CIG39" s="48"/>
      <c r="CIH39" s="48"/>
      <c r="CII39" s="48"/>
      <c r="CIJ39" s="48"/>
      <c r="CIK39" s="48"/>
      <c r="CIL39" s="48"/>
      <c r="CIM39" s="48"/>
      <c r="CIN39" s="48"/>
      <c r="CIO39" s="48"/>
      <c r="CIP39" s="48"/>
      <c r="CIQ39" s="48"/>
      <c r="CIR39" s="48"/>
      <c r="CIS39" s="48"/>
      <c r="CIT39" s="48"/>
      <c r="CIU39" s="48"/>
      <c r="CIV39" s="48"/>
      <c r="CIW39" s="45"/>
      <c r="CIX39" s="46"/>
      <c r="CIY39" s="46"/>
      <c r="CIZ39" s="47"/>
      <c r="CJA39" s="48"/>
      <c r="CJB39" s="48"/>
      <c r="CJC39" s="48"/>
      <c r="CJD39" s="48"/>
      <c r="CJE39" s="48"/>
      <c r="CJF39" s="48"/>
      <c r="CJG39" s="48"/>
      <c r="CJH39" s="48"/>
      <c r="CJI39" s="48"/>
      <c r="CJJ39" s="48"/>
      <c r="CJK39" s="48"/>
      <c r="CJL39" s="48"/>
      <c r="CJM39" s="48"/>
      <c r="CJN39" s="48"/>
      <c r="CJO39" s="48"/>
      <c r="CJP39" s="48"/>
      <c r="CJQ39" s="48"/>
      <c r="CJR39" s="48"/>
      <c r="CJS39" s="45"/>
      <c r="CJT39" s="46"/>
      <c r="CJU39" s="46"/>
      <c r="CJV39" s="47"/>
      <c r="CJW39" s="48"/>
      <c r="CJX39" s="48"/>
      <c r="CJY39" s="48"/>
      <c r="CJZ39" s="48"/>
      <c r="CKA39" s="48"/>
      <c r="CKB39" s="48"/>
      <c r="CKC39" s="48"/>
      <c r="CKD39" s="48"/>
      <c r="CKE39" s="48"/>
      <c r="CKF39" s="48"/>
      <c r="CKG39" s="48"/>
      <c r="CKH39" s="48"/>
      <c r="CKI39" s="48"/>
      <c r="CKJ39" s="48"/>
      <c r="CKK39" s="48"/>
      <c r="CKL39" s="48"/>
      <c r="CKM39" s="48"/>
      <c r="CKN39" s="48"/>
      <c r="CKO39" s="45"/>
      <c r="CKP39" s="46"/>
      <c r="CKQ39" s="46"/>
      <c r="CKR39" s="47"/>
      <c r="CKS39" s="48"/>
      <c r="CKT39" s="48"/>
      <c r="CKU39" s="48"/>
      <c r="CKV39" s="48"/>
      <c r="CKW39" s="48"/>
      <c r="CKX39" s="48"/>
      <c r="CKY39" s="48"/>
      <c r="CKZ39" s="48"/>
      <c r="CLA39" s="48"/>
      <c r="CLB39" s="48"/>
      <c r="CLC39" s="48"/>
      <c r="CLD39" s="48"/>
      <c r="CLE39" s="48"/>
      <c r="CLF39" s="48"/>
      <c r="CLG39" s="48"/>
      <c r="CLH39" s="48"/>
      <c r="CLI39" s="48"/>
      <c r="CLJ39" s="48"/>
      <c r="CLK39" s="45"/>
      <c r="CLL39" s="46"/>
      <c r="CLM39" s="46"/>
      <c r="CLN39" s="47"/>
      <c r="CLO39" s="48"/>
      <c r="CLP39" s="48"/>
      <c r="CLQ39" s="48"/>
      <c r="CLR39" s="48"/>
      <c r="CLS39" s="48"/>
      <c r="CLT39" s="48"/>
      <c r="CLU39" s="48"/>
      <c r="CLV39" s="48"/>
      <c r="CLW39" s="48"/>
      <c r="CLX39" s="48"/>
      <c r="CLY39" s="48"/>
      <c r="CLZ39" s="48"/>
      <c r="CMA39" s="48"/>
      <c r="CMB39" s="48"/>
      <c r="CMC39" s="48"/>
      <c r="CMD39" s="48"/>
      <c r="CME39" s="48"/>
      <c r="CMF39" s="48"/>
      <c r="CMG39" s="45"/>
      <c r="CMH39" s="46"/>
      <c r="CMI39" s="46"/>
      <c r="CMJ39" s="47"/>
      <c r="CMK39" s="48"/>
      <c r="CML39" s="48"/>
      <c r="CMM39" s="48"/>
      <c r="CMN39" s="48"/>
      <c r="CMO39" s="48"/>
      <c r="CMP39" s="48"/>
      <c r="CMQ39" s="48"/>
      <c r="CMR39" s="48"/>
      <c r="CMS39" s="48"/>
      <c r="CMT39" s="48"/>
      <c r="CMU39" s="48"/>
      <c r="CMV39" s="48"/>
      <c r="CMW39" s="48"/>
      <c r="CMX39" s="48"/>
      <c r="CMY39" s="48"/>
      <c r="CMZ39" s="48"/>
      <c r="CNA39" s="48"/>
      <c r="CNB39" s="48"/>
      <c r="CNC39" s="45"/>
      <c r="CND39" s="46"/>
      <c r="CNE39" s="46"/>
      <c r="CNF39" s="47"/>
      <c r="CNG39" s="48"/>
      <c r="CNH39" s="48"/>
      <c r="CNI39" s="48"/>
      <c r="CNJ39" s="48"/>
      <c r="CNK39" s="48"/>
      <c r="CNL39" s="48"/>
      <c r="CNM39" s="48"/>
      <c r="CNN39" s="48"/>
      <c r="CNO39" s="48"/>
      <c r="CNP39" s="48"/>
      <c r="CNQ39" s="48"/>
      <c r="CNR39" s="48"/>
      <c r="CNS39" s="48"/>
      <c r="CNT39" s="48"/>
      <c r="CNU39" s="48"/>
      <c r="CNV39" s="48"/>
      <c r="CNW39" s="48"/>
      <c r="CNX39" s="48"/>
      <c r="CNY39" s="45"/>
      <c r="CNZ39" s="46"/>
      <c r="COA39" s="46"/>
      <c r="COB39" s="47"/>
      <c r="COC39" s="48"/>
      <c r="COD39" s="48"/>
      <c r="COE39" s="48"/>
      <c r="COF39" s="48"/>
      <c r="COG39" s="48"/>
      <c r="COH39" s="48"/>
      <c r="COI39" s="48"/>
      <c r="COJ39" s="48"/>
      <c r="COK39" s="48"/>
      <c r="COL39" s="48"/>
      <c r="COM39" s="48"/>
      <c r="CON39" s="48"/>
      <c r="COO39" s="48"/>
      <c r="COP39" s="48"/>
      <c r="COQ39" s="48"/>
      <c r="COR39" s="48"/>
      <c r="COS39" s="48"/>
      <c r="COT39" s="48"/>
      <c r="COU39" s="45"/>
      <c r="COV39" s="46"/>
      <c r="COW39" s="46"/>
      <c r="COX39" s="47"/>
      <c r="COY39" s="48"/>
      <c r="COZ39" s="48"/>
      <c r="CPA39" s="48"/>
      <c r="CPB39" s="48"/>
      <c r="CPC39" s="48"/>
      <c r="CPD39" s="48"/>
      <c r="CPE39" s="48"/>
      <c r="CPF39" s="48"/>
      <c r="CPG39" s="48"/>
      <c r="CPH39" s="48"/>
      <c r="CPI39" s="48"/>
      <c r="CPJ39" s="48"/>
      <c r="CPK39" s="48"/>
      <c r="CPL39" s="48"/>
      <c r="CPM39" s="48"/>
      <c r="CPN39" s="48"/>
      <c r="CPO39" s="48"/>
      <c r="CPP39" s="48"/>
      <c r="CPQ39" s="45"/>
      <c r="CPR39" s="46"/>
      <c r="CPS39" s="46"/>
      <c r="CPT39" s="47"/>
      <c r="CPU39" s="48"/>
      <c r="CPV39" s="48"/>
      <c r="CPW39" s="48"/>
      <c r="CPX39" s="48"/>
      <c r="CPY39" s="48"/>
      <c r="CPZ39" s="48"/>
      <c r="CQA39" s="48"/>
      <c r="CQB39" s="48"/>
      <c r="CQC39" s="48"/>
      <c r="CQD39" s="48"/>
      <c r="CQE39" s="48"/>
      <c r="CQF39" s="48"/>
      <c r="CQG39" s="48"/>
      <c r="CQH39" s="48"/>
      <c r="CQI39" s="48"/>
      <c r="CQJ39" s="48"/>
      <c r="CQK39" s="48"/>
      <c r="CQL39" s="48"/>
      <c r="CQM39" s="45"/>
      <c r="CQN39" s="46"/>
      <c r="CQO39" s="46"/>
      <c r="CQP39" s="47"/>
      <c r="CQQ39" s="48"/>
      <c r="CQR39" s="48"/>
      <c r="CQS39" s="48"/>
      <c r="CQT39" s="48"/>
      <c r="CQU39" s="48"/>
      <c r="CQV39" s="48"/>
      <c r="CQW39" s="48"/>
      <c r="CQX39" s="48"/>
      <c r="CQY39" s="48"/>
      <c r="CQZ39" s="48"/>
      <c r="CRA39" s="48"/>
      <c r="CRB39" s="48"/>
      <c r="CRC39" s="48"/>
      <c r="CRD39" s="48"/>
      <c r="CRE39" s="48"/>
      <c r="CRF39" s="48"/>
      <c r="CRG39" s="48"/>
      <c r="CRH39" s="48"/>
      <c r="CRI39" s="45"/>
      <c r="CRJ39" s="46"/>
      <c r="CRK39" s="46"/>
      <c r="CRL39" s="47"/>
      <c r="CRM39" s="48"/>
      <c r="CRN39" s="48"/>
      <c r="CRO39" s="48"/>
      <c r="CRP39" s="48"/>
      <c r="CRQ39" s="48"/>
      <c r="CRR39" s="48"/>
      <c r="CRS39" s="48"/>
      <c r="CRT39" s="48"/>
      <c r="CRU39" s="48"/>
      <c r="CRV39" s="48"/>
      <c r="CRW39" s="48"/>
      <c r="CRX39" s="48"/>
      <c r="CRY39" s="48"/>
      <c r="CRZ39" s="48"/>
      <c r="CSA39" s="48"/>
      <c r="CSB39" s="48"/>
      <c r="CSC39" s="48"/>
      <c r="CSD39" s="48"/>
      <c r="CSE39" s="45"/>
      <c r="CSF39" s="46"/>
      <c r="CSG39" s="46"/>
      <c r="CSH39" s="47"/>
      <c r="CSI39" s="48"/>
      <c r="CSJ39" s="48"/>
      <c r="CSK39" s="48"/>
      <c r="CSL39" s="48"/>
      <c r="CSM39" s="48"/>
      <c r="CSN39" s="48"/>
      <c r="CSO39" s="48"/>
      <c r="CSP39" s="48"/>
      <c r="CSQ39" s="48"/>
      <c r="CSR39" s="48"/>
      <c r="CSS39" s="48"/>
      <c r="CST39" s="48"/>
      <c r="CSU39" s="48"/>
      <c r="CSV39" s="48"/>
      <c r="CSW39" s="48"/>
      <c r="CSX39" s="48"/>
      <c r="CSY39" s="48"/>
      <c r="CSZ39" s="48"/>
      <c r="CTA39" s="45"/>
      <c r="CTB39" s="46"/>
      <c r="CTC39" s="46"/>
      <c r="CTD39" s="47"/>
      <c r="CTE39" s="48"/>
      <c r="CTF39" s="48"/>
      <c r="CTG39" s="48"/>
      <c r="CTH39" s="48"/>
      <c r="CTI39" s="48"/>
      <c r="CTJ39" s="48"/>
      <c r="CTK39" s="48"/>
      <c r="CTL39" s="48"/>
      <c r="CTM39" s="48"/>
      <c r="CTN39" s="48"/>
      <c r="CTO39" s="48"/>
      <c r="CTP39" s="48"/>
      <c r="CTQ39" s="48"/>
      <c r="CTR39" s="48"/>
      <c r="CTS39" s="48"/>
      <c r="CTT39" s="48"/>
      <c r="CTU39" s="48"/>
      <c r="CTV39" s="48"/>
      <c r="CTW39" s="45"/>
      <c r="CTX39" s="46"/>
      <c r="CTY39" s="46"/>
      <c r="CTZ39" s="47"/>
      <c r="CUA39" s="48"/>
      <c r="CUB39" s="48"/>
      <c r="CUC39" s="48"/>
      <c r="CUD39" s="48"/>
      <c r="CUE39" s="48"/>
      <c r="CUF39" s="48"/>
      <c r="CUG39" s="48"/>
      <c r="CUH39" s="48"/>
      <c r="CUI39" s="48"/>
      <c r="CUJ39" s="48"/>
      <c r="CUK39" s="48"/>
      <c r="CUL39" s="48"/>
      <c r="CUM39" s="48"/>
      <c r="CUN39" s="48"/>
      <c r="CUO39" s="48"/>
      <c r="CUP39" s="48"/>
      <c r="CUQ39" s="48"/>
      <c r="CUR39" s="48"/>
      <c r="CUS39" s="45"/>
      <c r="CUT39" s="46"/>
      <c r="CUU39" s="46"/>
      <c r="CUV39" s="47"/>
      <c r="CUW39" s="48"/>
      <c r="CUX39" s="48"/>
      <c r="CUY39" s="48"/>
      <c r="CUZ39" s="48"/>
      <c r="CVA39" s="48"/>
      <c r="CVB39" s="48"/>
      <c r="CVC39" s="48"/>
      <c r="CVD39" s="48"/>
      <c r="CVE39" s="48"/>
      <c r="CVF39" s="48"/>
      <c r="CVG39" s="48"/>
      <c r="CVH39" s="48"/>
      <c r="CVI39" s="48"/>
      <c r="CVJ39" s="48"/>
      <c r="CVK39" s="48"/>
      <c r="CVL39" s="48"/>
      <c r="CVM39" s="48"/>
      <c r="CVN39" s="48"/>
      <c r="CVO39" s="45"/>
      <c r="CVP39" s="46"/>
      <c r="CVQ39" s="46"/>
      <c r="CVR39" s="47"/>
      <c r="CVS39" s="48"/>
      <c r="CVT39" s="48"/>
      <c r="CVU39" s="48"/>
      <c r="CVV39" s="48"/>
      <c r="CVW39" s="48"/>
      <c r="CVX39" s="48"/>
      <c r="CVY39" s="48"/>
      <c r="CVZ39" s="48"/>
      <c r="CWA39" s="48"/>
      <c r="CWB39" s="48"/>
      <c r="CWC39" s="48"/>
      <c r="CWD39" s="48"/>
      <c r="CWE39" s="48"/>
      <c r="CWF39" s="48"/>
      <c r="CWG39" s="48"/>
      <c r="CWH39" s="48"/>
      <c r="CWI39" s="48"/>
      <c r="CWJ39" s="48"/>
      <c r="CWK39" s="45"/>
      <c r="CWL39" s="46"/>
      <c r="CWM39" s="46"/>
      <c r="CWN39" s="47"/>
      <c r="CWO39" s="48"/>
      <c r="CWP39" s="48"/>
      <c r="CWQ39" s="48"/>
      <c r="CWR39" s="48"/>
      <c r="CWS39" s="48"/>
      <c r="CWT39" s="48"/>
      <c r="CWU39" s="48"/>
      <c r="CWV39" s="48"/>
      <c r="CWW39" s="48"/>
      <c r="CWX39" s="48"/>
      <c r="CWY39" s="48"/>
      <c r="CWZ39" s="48"/>
      <c r="CXA39" s="48"/>
      <c r="CXB39" s="48"/>
      <c r="CXC39" s="48"/>
      <c r="CXD39" s="48"/>
      <c r="CXE39" s="48"/>
      <c r="CXF39" s="48"/>
      <c r="CXG39" s="45"/>
      <c r="CXH39" s="46"/>
      <c r="CXI39" s="46"/>
      <c r="CXJ39" s="47"/>
      <c r="CXK39" s="48"/>
      <c r="CXL39" s="48"/>
      <c r="CXM39" s="48"/>
      <c r="CXN39" s="48"/>
      <c r="CXO39" s="48"/>
      <c r="CXP39" s="48"/>
      <c r="CXQ39" s="48"/>
      <c r="CXR39" s="48"/>
      <c r="CXS39" s="48"/>
      <c r="CXT39" s="48"/>
      <c r="CXU39" s="48"/>
      <c r="CXV39" s="48"/>
      <c r="CXW39" s="48"/>
      <c r="CXX39" s="48"/>
      <c r="CXY39" s="48"/>
      <c r="CXZ39" s="48"/>
      <c r="CYA39" s="48"/>
      <c r="CYB39" s="48"/>
      <c r="CYC39" s="45"/>
      <c r="CYD39" s="46"/>
      <c r="CYE39" s="46"/>
      <c r="CYF39" s="47"/>
      <c r="CYG39" s="48"/>
      <c r="CYH39" s="48"/>
      <c r="CYI39" s="48"/>
      <c r="CYJ39" s="48"/>
      <c r="CYK39" s="48"/>
      <c r="CYL39" s="48"/>
      <c r="CYM39" s="48"/>
      <c r="CYN39" s="48"/>
      <c r="CYO39" s="48"/>
      <c r="CYP39" s="48"/>
      <c r="CYQ39" s="48"/>
      <c r="CYR39" s="48"/>
      <c r="CYS39" s="48"/>
      <c r="CYT39" s="48"/>
      <c r="CYU39" s="48"/>
      <c r="CYV39" s="48"/>
      <c r="CYW39" s="48"/>
      <c r="CYX39" s="48"/>
      <c r="CYY39" s="45"/>
      <c r="CYZ39" s="46"/>
      <c r="CZA39" s="46"/>
      <c r="CZB39" s="47"/>
      <c r="CZC39" s="48"/>
      <c r="CZD39" s="48"/>
      <c r="CZE39" s="48"/>
      <c r="CZF39" s="48"/>
      <c r="CZG39" s="48"/>
      <c r="CZH39" s="48"/>
      <c r="CZI39" s="48"/>
      <c r="CZJ39" s="48"/>
      <c r="CZK39" s="48"/>
      <c r="CZL39" s="48"/>
      <c r="CZM39" s="48"/>
      <c r="CZN39" s="48"/>
      <c r="CZO39" s="48"/>
      <c r="CZP39" s="48"/>
      <c r="CZQ39" s="48"/>
      <c r="CZR39" s="48"/>
      <c r="CZS39" s="48"/>
      <c r="CZT39" s="48"/>
      <c r="CZU39" s="45"/>
      <c r="CZV39" s="46"/>
      <c r="CZW39" s="46"/>
      <c r="CZX39" s="47"/>
      <c r="CZY39" s="48"/>
      <c r="CZZ39" s="48"/>
      <c r="DAA39" s="48"/>
      <c r="DAB39" s="48"/>
      <c r="DAC39" s="48"/>
      <c r="DAD39" s="48"/>
      <c r="DAE39" s="48"/>
      <c r="DAF39" s="48"/>
      <c r="DAG39" s="48"/>
      <c r="DAH39" s="48"/>
      <c r="DAI39" s="48"/>
      <c r="DAJ39" s="48"/>
      <c r="DAK39" s="48"/>
      <c r="DAL39" s="48"/>
      <c r="DAM39" s="48"/>
      <c r="DAN39" s="48"/>
      <c r="DAO39" s="48"/>
      <c r="DAP39" s="48"/>
      <c r="DAQ39" s="45"/>
      <c r="DAR39" s="46"/>
      <c r="DAS39" s="46"/>
      <c r="DAT39" s="47"/>
      <c r="DAU39" s="48"/>
      <c r="DAV39" s="48"/>
      <c r="DAW39" s="48"/>
      <c r="DAX39" s="48"/>
      <c r="DAY39" s="48"/>
      <c r="DAZ39" s="48"/>
      <c r="DBA39" s="48"/>
      <c r="DBB39" s="48"/>
      <c r="DBC39" s="48"/>
      <c r="DBD39" s="48"/>
      <c r="DBE39" s="48"/>
      <c r="DBF39" s="48"/>
      <c r="DBG39" s="48"/>
      <c r="DBH39" s="48"/>
      <c r="DBI39" s="48"/>
      <c r="DBJ39" s="48"/>
      <c r="DBK39" s="48"/>
      <c r="DBL39" s="48"/>
      <c r="DBM39" s="45"/>
      <c r="DBN39" s="46"/>
      <c r="DBO39" s="46"/>
      <c r="DBP39" s="47"/>
      <c r="DBQ39" s="48"/>
      <c r="DBR39" s="48"/>
      <c r="DBS39" s="48"/>
      <c r="DBT39" s="48"/>
      <c r="DBU39" s="48"/>
      <c r="DBV39" s="48"/>
      <c r="DBW39" s="48"/>
      <c r="DBX39" s="48"/>
      <c r="DBY39" s="48"/>
      <c r="DBZ39" s="48"/>
      <c r="DCA39" s="48"/>
      <c r="DCB39" s="48"/>
      <c r="DCC39" s="48"/>
      <c r="DCD39" s="48"/>
      <c r="DCE39" s="48"/>
      <c r="DCF39" s="48"/>
      <c r="DCG39" s="48"/>
      <c r="DCH39" s="48"/>
      <c r="DCI39" s="45"/>
      <c r="DCJ39" s="46"/>
      <c r="DCK39" s="46"/>
      <c r="DCL39" s="47"/>
      <c r="DCM39" s="48"/>
      <c r="DCN39" s="48"/>
      <c r="DCO39" s="48"/>
      <c r="DCP39" s="48"/>
      <c r="DCQ39" s="48"/>
      <c r="DCR39" s="48"/>
      <c r="DCS39" s="48"/>
      <c r="DCT39" s="48"/>
      <c r="DCU39" s="48"/>
      <c r="DCV39" s="48"/>
      <c r="DCW39" s="48"/>
      <c r="DCX39" s="48"/>
      <c r="DCY39" s="48"/>
      <c r="DCZ39" s="48"/>
      <c r="DDA39" s="48"/>
      <c r="DDB39" s="48"/>
      <c r="DDC39" s="48"/>
      <c r="DDD39" s="48"/>
      <c r="DDE39" s="45"/>
      <c r="DDF39" s="46"/>
      <c r="DDG39" s="46"/>
      <c r="DDH39" s="47"/>
      <c r="DDI39" s="48"/>
      <c r="DDJ39" s="48"/>
      <c r="DDK39" s="48"/>
      <c r="DDL39" s="48"/>
      <c r="DDM39" s="48"/>
      <c r="DDN39" s="48"/>
      <c r="DDO39" s="48"/>
      <c r="DDP39" s="48"/>
      <c r="DDQ39" s="48"/>
      <c r="DDR39" s="48"/>
      <c r="DDS39" s="48"/>
      <c r="DDT39" s="48"/>
      <c r="DDU39" s="48"/>
      <c r="DDV39" s="48"/>
      <c r="DDW39" s="48"/>
      <c r="DDX39" s="48"/>
      <c r="DDY39" s="48"/>
      <c r="DDZ39" s="48"/>
      <c r="DEA39" s="45"/>
      <c r="DEB39" s="46"/>
      <c r="DEC39" s="46"/>
      <c r="DED39" s="47"/>
      <c r="DEE39" s="48"/>
      <c r="DEF39" s="48"/>
      <c r="DEG39" s="48"/>
      <c r="DEH39" s="48"/>
      <c r="DEI39" s="48"/>
      <c r="DEJ39" s="48"/>
      <c r="DEK39" s="48"/>
      <c r="DEL39" s="48"/>
      <c r="DEM39" s="48"/>
      <c r="DEN39" s="48"/>
      <c r="DEO39" s="48"/>
      <c r="DEP39" s="48"/>
      <c r="DEQ39" s="48"/>
      <c r="DER39" s="48"/>
      <c r="DES39" s="48"/>
      <c r="DET39" s="48"/>
      <c r="DEU39" s="48"/>
      <c r="DEV39" s="48"/>
      <c r="DEW39" s="45"/>
      <c r="DEX39" s="46"/>
      <c r="DEY39" s="46"/>
      <c r="DEZ39" s="47"/>
      <c r="DFA39" s="48"/>
      <c r="DFB39" s="48"/>
      <c r="DFC39" s="48"/>
      <c r="DFD39" s="48"/>
      <c r="DFE39" s="48"/>
      <c r="DFF39" s="48"/>
      <c r="DFG39" s="48"/>
      <c r="DFH39" s="48"/>
      <c r="DFI39" s="48"/>
      <c r="DFJ39" s="48"/>
      <c r="DFK39" s="48"/>
      <c r="DFL39" s="48"/>
      <c r="DFM39" s="48"/>
      <c r="DFN39" s="48"/>
      <c r="DFO39" s="48"/>
      <c r="DFP39" s="48"/>
      <c r="DFQ39" s="48"/>
      <c r="DFR39" s="48"/>
      <c r="DFS39" s="45"/>
      <c r="DFT39" s="46"/>
      <c r="DFU39" s="46"/>
      <c r="DFV39" s="47"/>
      <c r="DFW39" s="48"/>
      <c r="DFX39" s="48"/>
      <c r="DFY39" s="48"/>
      <c r="DFZ39" s="48"/>
      <c r="DGA39" s="48"/>
      <c r="DGB39" s="48"/>
      <c r="DGC39" s="48"/>
      <c r="DGD39" s="48"/>
      <c r="DGE39" s="48"/>
      <c r="DGF39" s="48"/>
      <c r="DGG39" s="48"/>
      <c r="DGH39" s="48"/>
      <c r="DGI39" s="48"/>
      <c r="DGJ39" s="48"/>
      <c r="DGK39" s="48"/>
      <c r="DGL39" s="48"/>
      <c r="DGM39" s="48"/>
      <c r="DGN39" s="48"/>
      <c r="DGO39" s="45"/>
      <c r="DGP39" s="46"/>
      <c r="DGQ39" s="46"/>
      <c r="DGR39" s="47"/>
      <c r="DGS39" s="48"/>
      <c r="DGT39" s="48"/>
      <c r="DGU39" s="48"/>
      <c r="DGV39" s="48"/>
      <c r="DGW39" s="48"/>
      <c r="DGX39" s="48"/>
      <c r="DGY39" s="48"/>
      <c r="DGZ39" s="48"/>
      <c r="DHA39" s="48"/>
      <c r="DHB39" s="48"/>
      <c r="DHC39" s="48"/>
      <c r="DHD39" s="48"/>
      <c r="DHE39" s="48"/>
      <c r="DHF39" s="48"/>
      <c r="DHG39" s="48"/>
      <c r="DHH39" s="48"/>
      <c r="DHI39" s="48"/>
      <c r="DHJ39" s="48"/>
      <c r="DHK39" s="45"/>
      <c r="DHL39" s="46"/>
      <c r="DHM39" s="46"/>
      <c r="DHN39" s="47"/>
      <c r="DHO39" s="48"/>
      <c r="DHP39" s="48"/>
      <c r="DHQ39" s="48"/>
      <c r="DHR39" s="48"/>
      <c r="DHS39" s="48"/>
      <c r="DHT39" s="48"/>
      <c r="DHU39" s="48"/>
      <c r="DHV39" s="48"/>
      <c r="DHW39" s="48"/>
      <c r="DHX39" s="48"/>
      <c r="DHY39" s="48"/>
      <c r="DHZ39" s="48"/>
      <c r="DIA39" s="48"/>
      <c r="DIB39" s="48"/>
      <c r="DIC39" s="48"/>
      <c r="DID39" s="48"/>
      <c r="DIE39" s="48"/>
      <c r="DIF39" s="48"/>
      <c r="DIG39" s="45"/>
      <c r="DIH39" s="46"/>
      <c r="DII39" s="46"/>
      <c r="DIJ39" s="47"/>
      <c r="DIK39" s="48"/>
      <c r="DIL39" s="48"/>
      <c r="DIM39" s="48"/>
      <c r="DIN39" s="48"/>
      <c r="DIO39" s="48"/>
      <c r="DIP39" s="48"/>
      <c r="DIQ39" s="48"/>
      <c r="DIR39" s="48"/>
      <c r="DIS39" s="48"/>
      <c r="DIT39" s="48"/>
      <c r="DIU39" s="48"/>
      <c r="DIV39" s="48"/>
      <c r="DIW39" s="48"/>
      <c r="DIX39" s="48"/>
      <c r="DIY39" s="48"/>
      <c r="DIZ39" s="48"/>
      <c r="DJA39" s="48"/>
      <c r="DJB39" s="48"/>
      <c r="DJC39" s="45"/>
      <c r="DJD39" s="46"/>
      <c r="DJE39" s="46"/>
      <c r="DJF39" s="47"/>
      <c r="DJG39" s="48"/>
      <c r="DJH39" s="48"/>
      <c r="DJI39" s="48"/>
      <c r="DJJ39" s="48"/>
      <c r="DJK39" s="48"/>
      <c r="DJL39" s="48"/>
      <c r="DJM39" s="48"/>
      <c r="DJN39" s="48"/>
      <c r="DJO39" s="48"/>
      <c r="DJP39" s="48"/>
      <c r="DJQ39" s="48"/>
      <c r="DJR39" s="48"/>
      <c r="DJS39" s="48"/>
      <c r="DJT39" s="48"/>
      <c r="DJU39" s="48"/>
      <c r="DJV39" s="48"/>
      <c r="DJW39" s="48"/>
      <c r="DJX39" s="48"/>
      <c r="DJY39" s="45"/>
      <c r="DJZ39" s="46"/>
      <c r="DKA39" s="46"/>
      <c r="DKB39" s="47"/>
      <c r="DKC39" s="48"/>
      <c r="DKD39" s="48"/>
      <c r="DKE39" s="48"/>
      <c r="DKF39" s="48"/>
      <c r="DKG39" s="48"/>
      <c r="DKH39" s="48"/>
      <c r="DKI39" s="48"/>
      <c r="DKJ39" s="48"/>
      <c r="DKK39" s="48"/>
      <c r="DKL39" s="48"/>
      <c r="DKM39" s="48"/>
      <c r="DKN39" s="48"/>
      <c r="DKO39" s="48"/>
      <c r="DKP39" s="48"/>
      <c r="DKQ39" s="48"/>
      <c r="DKR39" s="48"/>
      <c r="DKS39" s="48"/>
      <c r="DKT39" s="48"/>
      <c r="DKU39" s="45"/>
      <c r="DKV39" s="46"/>
      <c r="DKW39" s="46"/>
      <c r="DKX39" s="47"/>
      <c r="DKY39" s="48"/>
      <c r="DKZ39" s="48"/>
      <c r="DLA39" s="48"/>
      <c r="DLB39" s="48"/>
      <c r="DLC39" s="48"/>
      <c r="DLD39" s="48"/>
      <c r="DLE39" s="48"/>
      <c r="DLF39" s="48"/>
      <c r="DLG39" s="48"/>
      <c r="DLH39" s="48"/>
      <c r="DLI39" s="48"/>
      <c r="DLJ39" s="48"/>
      <c r="DLK39" s="48"/>
      <c r="DLL39" s="48"/>
      <c r="DLM39" s="48"/>
      <c r="DLN39" s="48"/>
      <c r="DLO39" s="48"/>
      <c r="DLP39" s="48"/>
      <c r="DLQ39" s="45"/>
      <c r="DLR39" s="46"/>
      <c r="DLS39" s="46"/>
      <c r="DLT39" s="47"/>
      <c r="DLU39" s="48"/>
      <c r="DLV39" s="48"/>
      <c r="DLW39" s="48"/>
      <c r="DLX39" s="48"/>
      <c r="DLY39" s="48"/>
      <c r="DLZ39" s="48"/>
      <c r="DMA39" s="48"/>
      <c r="DMB39" s="48"/>
      <c r="DMC39" s="48"/>
      <c r="DMD39" s="48"/>
      <c r="DME39" s="48"/>
      <c r="DMF39" s="48"/>
      <c r="DMG39" s="48"/>
      <c r="DMH39" s="48"/>
      <c r="DMI39" s="48"/>
      <c r="DMJ39" s="48"/>
      <c r="DMK39" s="48"/>
      <c r="DML39" s="48"/>
      <c r="DMM39" s="45"/>
      <c r="DMN39" s="46"/>
      <c r="DMO39" s="46"/>
      <c r="DMP39" s="47"/>
      <c r="DMQ39" s="48"/>
      <c r="DMR39" s="48"/>
      <c r="DMS39" s="48"/>
      <c r="DMT39" s="48"/>
      <c r="DMU39" s="48"/>
      <c r="DMV39" s="48"/>
      <c r="DMW39" s="48"/>
      <c r="DMX39" s="48"/>
      <c r="DMY39" s="48"/>
      <c r="DMZ39" s="48"/>
      <c r="DNA39" s="48"/>
      <c r="DNB39" s="48"/>
      <c r="DNC39" s="48"/>
      <c r="DND39" s="48"/>
      <c r="DNE39" s="48"/>
      <c r="DNF39" s="48"/>
      <c r="DNG39" s="48"/>
      <c r="DNH39" s="48"/>
      <c r="DNI39" s="45"/>
      <c r="DNJ39" s="46"/>
      <c r="DNK39" s="46"/>
      <c r="DNL39" s="47"/>
      <c r="DNM39" s="48"/>
      <c r="DNN39" s="48"/>
      <c r="DNO39" s="48"/>
      <c r="DNP39" s="48"/>
      <c r="DNQ39" s="48"/>
      <c r="DNR39" s="48"/>
      <c r="DNS39" s="48"/>
      <c r="DNT39" s="48"/>
      <c r="DNU39" s="48"/>
      <c r="DNV39" s="48"/>
      <c r="DNW39" s="48"/>
      <c r="DNX39" s="48"/>
      <c r="DNY39" s="48"/>
      <c r="DNZ39" s="48"/>
      <c r="DOA39" s="48"/>
      <c r="DOB39" s="48"/>
      <c r="DOC39" s="48"/>
      <c r="DOD39" s="48"/>
      <c r="DOE39" s="45"/>
      <c r="DOF39" s="46"/>
      <c r="DOG39" s="46"/>
      <c r="DOH39" s="47"/>
      <c r="DOI39" s="48"/>
      <c r="DOJ39" s="48"/>
      <c r="DOK39" s="48"/>
      <c r="DOL39" s="48"/>
      <c r="DOM39" s="48"/>
      <c r="DON39" s="48"/>
      <c r="DOO39" s="48"/>
      <c r="DOP39" s="48"/>
      <c r="DOQ39" s="48"/>
      <c r="DOR39" s="48"/>
      <c r="DOS39" s="48"/>
      <c r="DOT39" s="48"/>
      <c r="DOU39" s="48"/>
      <c r="DOV39" s="48"/>
      <c r="DOW39" s="48"/>
      <c r="DOX39" s="48"/>
      <c r="DOY39" s="48"/>
      <c r="DOZ39" s="48"/>
      <c r="DPA39" s="45"/>
      <c r="DPB39" s="46"/>
      <c r="DPC39" s="46"/>
      <c r="DPD39" s="47"/>
      <c r="DPE39" s="48"/>
      <c r="DPF39" s="48"/>
      <c r="DPG39" s="48"/>
      <c r="DPH39" s="48"/>
      <c r="DPI39" s="48"/>
      <c r="DPJ39" s="48"/>
      <c r="DPK39" s="48"/>
      <c r="DPL39" s="48"/>
      <c r="DPM39" s="48"/>
      <c r="DPN39" s="48"/>
      <c r="DPO39" s="48"/>
      <c r="DPP39" s="48"/>
      <c r="DPQ39" s="48"/>
      <c r="DPR39" s="48"/>
      <c r="DPS39" s="48"/>
      <c r="DPT39" s="48"/>
      <c r="DPU39" s="48"/>
      <c r="DPV39" s="48"/>
      <c r="DPW39" s="45"/>
      <c r="DPX39" s="46"/>
      <c r="DPY39" s="46"/>
      <c r="DPZ39" s="47"/>
      <c r="DQA39" s="48"/>
      <c r="DQB39" s="48"/>
      <c r="DQC39" s="48"/>
      <c r="DQD39" s="48"/>
      <c r="DQE39" s="48"/>
      <c r="DQF39" s="48"/>
      <c r="DQG39" s="48"/>
      <c r="DQH39" s="48"/>
      <c r="DQI39" s="48"/>
      <c r="DQJ39" s="48"/>
      <c r="DQK39" s="48"/>
      <c r="DQL39" s="48"/>
      <c r="DQM39" s="48"/>
      <c r="DQN39" s="48"/>
      <c r="DQO39" s="48"/>
      <c r="DQP39" s="48"/>
      <c r="DQQ39" s="48"/>
      <c r="DQR39" s="48"/>
      <c r="DQS39" s="45"/>
      <c r="DQT39" s="46"/>
      <c r="DQU39" s="46"/>
      <c r="DQV39" s="47"/>
      <c r="DQW39" s="48"/>
      <c r="DQX39" s="48"/>
      <c r="DQY39" s="48"/>
      <c r="DQZ39" s="48"/>
      <c r="DRA39" s="48"/>
      <c r="DRB39" s="48"/>
      <c r="DRC39" s="48"/>
      <c r="DRD39" s="48"/>
      <c r="DRE39" s="48"/>
      <c r="DRF39" s="48"/>
      <c r="DRG39" s="48"/>
      <c r="DRH39" s="48"/>
      <c r="DRI39" s="48"/>
      <c r="DRJ39" s="48"/>
      <c r="DRK39" s="48"/>
      <c r="DRL39" s="48"/>
      <c r="DRM39" s="48"/>
      <c r="DRN39" s="48"/>
      <c r="DRO39" s="45"/>
      <c r="DRP39" s="46"/>
      <c r="DRQ39" s="46"/>
      <c r="DRR39" s="47"/>
      <c r="DRS39" s="48"/>
      <c r="DRT39" s="48"/>
      <c r="DRU39" s="48"/>
      <c r="DRV39" s="48"/>
      <c r="DRW39" s="48"/>
      <c r="DRX39" s="48"/>
      <c r="DRY39" s="48"/>
      <c r="DRZ39" s="48"/>
      <c r="DSA39" s="48"/>
      <c r="DSB39" s="48"/>
      <c r="DSC39" s="48"/>
      <c r="DSD39" s="48"/>
      <c r="DSE39" s="48"/>
      <c r="DSF39" s="48"/>
      <c r="DSG39" s="48"/>
      <c r="DSH39" s="48"/>
      <c r="DSI39" s="48"/>
      <c r="DSJ39" s="48"/>
      <c r="DSK39" s="45"/>
      <c r="DSL39" s="46"/>
      <c r="DSM39" s="46"/>
      <c r="DSN39" s="47"/>
      <c r="DSO39" s="48"/>
      <c r="DSP39" s="48"/>
      <c r="DSQ39" s="48"/>
      <c r="DSR39" s="48"/>
      <c r="DSS39" s="48"/>
      <c r="DST39" s="48"/>
      <c r="DSU39" s="48"/>
      <c r="DSV39" s="48"/>
      <c r="DSW39" s="48"/>
      <c r="DSX39" s="48"/>
      <c r="DSY39" s="48"/>
      <c r="DSZ39" s="48"/>
      <c r="DTA39" s="48"/>
      <c r="DTB39" s="48"/>
      <c r="DTC39" s="48"/>
      <c r="DTD39" s="48"/>
      <c r="DTE39" s="48"/>
      <c r="DTF39" s="48"/>
      <c r="DTG39" s="45"/>
      <c r="DTH39" s="46"/>
      <c r="DTI39" s="46"/>
      <c r="DTJ39" s="47"/>
      <c r="DTK39" s="48"/>
      <c r="DTL39" s="48"/>
      <c r="DTM39" s="48"/>
      <c r="DTN39" s="48"/>
      <c r="DTO39" s="48"/>
      <c r="DTP39" s="48"/>
      <c r="DTQ39" s="48"/>
      <c r="DTR39" s="48"/>
      <c r="DTS39" s="48"/>
      <c r="DTT39" s="48"/>
      <c r="DTU39" s="48"/>
      <c r="DTV39" s="48"/>
      <c r="DTW39" s="48"/>
      <c r="DTX39" s="48"/>
      <c r="DTY39" s="48"/>
      <c r="DTZ39" s="48"/>
      <c r="DUA39" s="48"/>
      <c r="DUB39" s="48"/>
      <c r="DUC39" s="45"/>
      <c r="DUD39" s="46"/>
      <c r="DUE39" s="46"/>
      <c r="DUF39" s="47"/>
      <c r="DUG39" s="48"/>
      <c r="DUH39" s="48"/>
      <c r="DUI39" s="48"/>
      <c r="DUJ39" s="48"/>
      <c r="DUK39" s="48"/>
      <c r="DUL39" s="48"/>
      <c r="DUM39" s="48"/>
      <c r="DUN39" s="48"/>
      <c r="DUO39" s="48"/>
      <c r="DUP39" s="48"/>
      <c r="DUQ39" s="48"/>
      <c r="DUR39" s="48"/>
      <c r="DUS39" s="48"/>
      <c r="DUT39" s="48"/>
      <c r="DUU39" s="48"/>
      <c r="DUV39" s="48"/>
      <c r="DUW39" s="48"/>
      <c r="DUX39" s="48"/>
      <c r="DUY39" s="45"/>
      <c r="DUZ39" s="46"/>
      <c r="DVA39" s="46"/>
      <c r="DVB39" s="47"/>
      <c r="DVC39" s="48"/>
      <c r="DVD39" s="48"/>
      <c r="DVE39" s="48"/>
      <c r="DVF39" s="48"/>
      <c r="DVG39" s="48"/>
      <c r="DVH39" s="48"/>
      <c r="DVI39" s="48"/>
      <c r="DVJ39" s="48"/>
      <c r="DVK39" s="48"/>
      <c r="DVL39" s="48"/>
      <c r="DVM39" s="48"/>
      <c r="DVN39" s="48"/>
      <c r="DVO39" s="48"/>
      <c r="DVP39" s="48"/>
      <c r="DVQ39" s="48"/>
      <c r="DVR39" s="48"/>
      <c r="DVS39" s="48"/>
      <c r="DVT39" s="48"/>
      <c r="DVU39" s="45"/>
      <c r="DVV39" s="46"/>
      <c r="DVW39" s="46"/>
      <c r="DVX39" s="47"/>
      <c r="DVY39" s="48"/>
      <c r="DVZ39" s="48"/>
      <c r="DWA39" s="48"/>
      <c r="DWB39" s="48"/>
      <c r="DWC39" s="48"/>
      <c r="DWD39" s="48"/>
      <c r="DWE39" s="48"/>
      <c r="DWF39" s="48"/>
      <c r="DWG39" s="48"/>
      <c r="DWH39" s="48"/>
      <c r="DWI39" s="48"/>
      <c r="DWJ39" s="48"/>
      <c r="DWK39" s="48"/>
      <c r="DWL39" s="48"/>
      <c r="DWM39" s="48"/>
      <c r="DWN39" s="48"/>
      <c r="DWO39" s="48"/>
      <c r="DWP39" s="48"/>
      <c r="DWQ39" s="45"/>
      <c r="DWR39" s="46"/>
      <c r="DWS39" s="46"/>
      <c r="DWT39" s="47"/>
      <c r="DWU39" s="48"/>
      <c r="DWV39" s="48"/>
      <c r="DWW39" s="48"/>
      <c r="DWX39" s="48"/>
      <c r="DWY39" s="48"/>
      <c r="DWZ39" s="48"/>
      <c r="DXA39" s="48"/>
      <c r="DXB39" s="48"/>
      <c r="DXC39" s="48"/>
      <c r="DXD39" s="48"/>
      <c r="DXE39" s="48"/>
      <c r="DXF39" s="48"/>
      <c r="DXG39" s="48"/>
      <c r="DXH39" s="48"/>
      <c r="DXI39" s="48"/>
      <c r="DXJ39" s="48"/>
      <c r="DXK39" s="48"/>
      <c r="DXL39" s="48"/>
      <c r="DXM39" s="45"/>
      <c r="DXN39" s="46"/>
      <c r="DXO39" s="46"/>
      <c r="DXP39" s="47"/>
      <c r="DXQ39" s="48"/>
      <c r="DXR39" s="48"/>
      <c r="DXS39" s="48"/>
      <c r="DXT39" s="48"/>
      <c r="DXU39" s="48"/>
      <c r="DXV39" s="48"/>
      <c r="DXW39" s="48"/>
      <c r="DXX39" s="48"/>
      <c r="DXY39" s="48"/>
      <c r="DXZ39" s="48"/>
      <c r="DYA39" s="48"/>
      <c r="DYB39" s="48"/>
      <c r="DYC39" s="48"/>
      <c r="DYD39" s="48"/>
      <c r="DYE39" s="48"/>
      <c r="DYF39" s="48"/>
      <c r="DYG39" s="48"/>
      <c r="DYH39" s="48"/>
      <c r="DYI39" s="45"/>
      <c r="DYJ39" s="46"/>
      <c r="DYK39" s="46"/>
      <c r="DYL39" s="47"/>
      <c r="DYM39" s="48"/>
      <c r="DYN39" s="48"/>
      <c r="DYO39" s="48"/>
      <c r="DYP39" s="48"/>
      <c r="DYQ39" s="48"/>
      <c r="DYR39" s="48"/>
      <c r="DYS39" s="48"/>
      <c r="DYT39" s="48"/>
      <c r="DYU39" s="48"/>
      <c r="DYV39" s="48"/>
      <c r="DYW39" s="48"/>
      <c r="DYX39" s="48"/>
      <c r="DYY39" s="48"/>
      <c r="DYZ39" s="48"/>
      <c r="DZA39" s="48"/>
      <c r="DZB39" s="48"/>
      <c r="DZC39" s="48"/>
      <c r="DZD39" s="48"/>
      <c r="DZE39" s="45"/>
      <c r="DZF39" s="46"/>
      <c r="DZG39" s="46"/>
      <c r="DZH39" s="47"/>
      <c r="DZI39" s="48"/>
      <c r="DZJ39" s="48"/>
      <c r="DZK39" s="48"/>
      <c r="DZL39" s="48"/>
      <c r="DZM39" s="48"/>
      <c r="DZN39" s="48"/>
      <c r="DZO39" s="48"/>
      <c r="DZP39" s="48"/>
      <c r="DZQ39" s="48"/>
      <c r="DZR39" s="48"/>
      <c r="DZS39" s="48"/>
      <c r="DZT39" s="48"/>
      <c r="DZU39" s="48"/>
      <c r="DZV39" s="48"/>
      <c r="DZW39" s="48"/>
      <c r="DZX39" s="48"/>
      <c r="DZY39" s="48"/>
      <c r="DZZ39" s="48"/>
      <c r="EAA39" s="45"/>
      <c r="EAB39" s="46"/>
      <c r="EAC39" s="46"/>
      <c r="EAD39" s="47"/>
      <c r="EAE39" s="48"/>
      <c r="EAF39" s="48"/>
      <c r="EAG39" s="48"/>
      <c r="EAH39" s="48"/>
      <c r="EAI39" s="48"/>
      <c r="EAJ39" s="48"/>
      <c r="EAK39" s="48"/>
      <c r="EAL39" s="48"/>
      <c r="EAM39" s="48"/>
      <c r="EAN39" s="48"/>
      <c r="EAO39" s="48"/>
      <c r="EAP39" s="48"/>
      <c r="EAQ39" s="48"/>
      <c r="EAR39" s="48"/>
      <c r="EAS39" s="48"/>
      <c r="EAT39" s="48"/>
      <c r="EAU39" s="48"/>
      <c r="EAV39" s="48"/>
      <c r="EAW39" s="45"/>
      <c r="EAX39" s="46"/>
      <c r="EAY39" s="46"/>
      <c r="EAZ39" s="47"/>
      <c r="EBA39" s="48"/>
      <c r="EBB39" s="48"/>
      <c r="EBC39" s="48"/>
      <c r="EBD39" s="48"/>
      <c r="EBE39" s="48"/>
      <c r="EBF39" s="48"/>
      <c r="EBG39" s="48"/>
      <c r="EBH39" s="48"/>
      <c r="EBI39" s="48"/>
      <c r="EBJ39" s="48"/>
      <c r="EBK39" s="48"/>
      <c r="EBL39" s="48"/>
      <c r="EBM39" s="48"/>
      <c r="EBN39" s="48"/>
      <c r="EBO39" s="48"/>
      <c r="EBP39" s="48"/>
      <c r="EBQ39" s="48"/>
      <c r="EBR39" s="48"/>
      <c r="EBS39" s="45"/>
      <c r="EBT39" s="46"/>
      <c r="EBU39" s="46"/>
      <c r="EBV39" s="47"/>
      <c r="EBW39" s="48"/>
      <c r="EBX39" s="48"/>
      <c r="EBY39" s="48"/>
      <c r="EBZ39" s="48"/>
      <c r="ECA39" s="48"/>
      <c r="ECB39" s="48"/>
      <c r="ECC39" s="48"/>
      <c r="ECD39" s="48"/>
      <c r="ECE39" s="48"/>
      <c r="ECF39" s="48"/>
      <c r="ECG39" s="48"/>
      <c r="ECH39" s="48"/>
      <c r="ECI39" s="48"/>
      <c r="ECJ39" s="48"/>
      <c r="ECK39" s="48"/>
      <c r="ECL39" s="48"/>
      <c r="ECM39" s="48"/>
      <c r="ECN39" s="48"/>
      <c r="ECO39" s="45"/>
      <c r="ECP39" s="46"/>
      <c r="ECQ39" s="46"/>
      <c r="ECR39" s="47"/>
      <c r="ECS39" s="48"/>
      <c r="ECT39" s="48"/>
      <c r="ECU39" s="48"/>
      <c r="ECV39" s="48"/>
      <c r="ECW39" s="48"/>
      <c r="ECX39" s="48"/>
      <c r="ECY39" s="48"/>
      <c r="ECZ39" s="48"/>
      <c r="EDA39" s="48"/>
      <c r="EDB39" s="48"/>
      <c r="EDC39" s="48"/>
      <c r="EDD39" s="48"/>
      <c r="EDE39" s="48"/>
      <c r="EDF39" s="48"/>
      <c r="EDG39" s="48"/>
      <c r="EDH39" s="48"/>
      <c r="EDI39" s="48"/>
      <c r="EDJ39" s="48"/>
      <c r="EDK39" s="45"/>
      <c r="EDL39" s="46"/>
      <c r="EDM39" s="46"/>
      <c r="EDN39" s="47"/>
      <c r="EDO39" s="48"/>
      <c r="EDP39" s="48"/>
      <c r="EDQ39" s="48"/>
      <c r="EDR39" s="48"/>
      <c r="EDS39" s="48"/>
      <c r="EDT39" s="48"/>
      <c r="EDU39" s="48"/>
      <c r="EDV39" s="48"/>
      <c r="EDW39" s="48"/>
      <c r="EDX39" s="48"/>
      <c r="EDY39" s="48"/>
      <c r="EDZ39" s="48"/>
      <c r="EEA39" s="48"/>
      <c r="EEB39" s="48"/>
      <c r="EEC39" s="48"/>
      <c r="EED39" s="48"/>
      <c r="EEE39" s="48"/>
      <c r="EEF39" s="48"/>
      <c r="EEG39" s="45"/>
      <c r="EEH39" s="46"/>
      <c r="EEI39" s="46"/>
      <c r="EEJ39" s="47"/>
      <c r="EEK39" s="48"/>
      <c r="EEL39" s="48"/>
      <c r="EEM39" s="48"/>
      <c r="EEN39" s="48"/>
      <c r="EEO39" s="48"/>
      <c r="EEP39" s="48"/>
      <c r="EEQ39" s="48"/>
      <c r="EER39" s="48"/>
      <c r="EES39" s="48"/>
      <c r="EET39" s="48"/>
      <c r="EEU39" s="48"/>
      <c r="EEV39" s="48"/>
      <c r="EEW39" s="48"/>
      <c r="EEX39" s="48"/>
      <c r="EEY39" s="48"/>
      <c r="EEZ39" s="48"/>
      <c r="EFA39" s="48"/>
      <c r="EFB39" s="48"/>
      <c r="EFC39" s="45"/>
      <c r="EFD39" s="46"/>
      <c r="EFE39" s="46"/>
      <c r="EFF39" s="47"/>
      <c r="EFG39" s="48"/>
      <c r="EFH39" s="48"/>
      <c r="EFI39" s="48"/>
      <c r="EFJ39" s="48"/>
      <c r="EFK39" s="48"/>
      <c r="EFL39" s="48"/>
      <c r="EFM39" s="48"/>
      <c r="EFN39" s="48"/>
      <c r="EFO39" s="48"/>
      <c r="EFP39" s="48"/>
      <c r="EFQ39" s="48"/>
      <c r="EFR39" s="48"/>
      <c r="EFS39" s="48"/>
      <c r="EFT39" s="48"/>
      <c r="EFU39" s="48"/>
      <c r="EFV39" s="48"/>
      <c r="EFW39" s="48"/>
      <c r="EFX39" s="48"/>
      <c r="EFY39" s="45"/>
      <c r="EFZ39" s="46"/>
      <c r="EGA39" s="46"/>
      <c r="EGB39" s="47"/>
      <c r="EGC39" s="48"/>
      <c r="EGD39" s="48"/>
      <c r="EGE39" s="48"/>
      <c r="EGF39" s="48"/>
      <c r="EGG39" s="48"/>
      <c r="EGH39" s="48"/>
      <c r="EGI39" s="48"/>
      <c r="EGJ39" s="48"/>
      <c r="EGK39" s="48"/>
      <c r="EGL39" s="48"/>
      <c r="EGM39" s="48"/>
      <c r="EGN39" s="48"/>
      <c r="EGO39" s="48"/>
      <c r="EGP39" s="48"/>
      <c r="EGQ39" s="48"/>
      <c r="EGR39" s="48"/>
      <c r="EGS39" s="48"/>
      <c r="EGT39" s="48"/>
      <c r="EGU39" s="45"/>
      <c r="EGV39" s="46"/>
      <c r="EGW39" s="46"/>
      <c r="EGX39" s="47"/>
      <c r="EGY39" s="48"/>
      <c r="EGZ39" s="48"/>
      <c r="EHA39" s="48"/>
      <c r="EHB39" s="48"/>
      <c r="EHC39" s="48"/>
      <c r="EHD39" s="48"/>
      <c r="EHE39" s="48"/>
      <c r="EHF39" s="48"/>
      <c r="EHG39" s="48"/>
      <c r="EHH39" s="48"/>
      <c r="EHI39" s="48"/>
      <c r="EHJ39" s="48"/>
      <c r="EHK39" s="48"/>
      <c r="EHL39" s="48"/>
      <c r="EHM39" s="48"/>
      <c r="EHN39" s="48"/>
      <c r="EHO39" s="48"/>
      <c r="EHP39" s="48"/>
      <c r="EHQ39" s="45"/>
      <c r="EHR39" s="46"/>
      <c r="EHS39" s="46"/>
      <c r="EHT39" s="47"/>
      <c r="EHU39" s="48"/>
      <c r="EHV39" s="48"/>
      <c r="EHW39" s="48"/>
      <c r="EHX39" s="48"/>
      <c r="EHY39" s="48"/>
      <c r="EHZ39" s="48"/>
      <c r="EIA39" s="48"/>
      <c r="EIB39" s="48"/>
      <c r="EIC39" s="48"/>
      <c r="EID39" s="48"/>
      <c r="EIE39" s="48"/>
      <c r="EIF39" s="48"/>
      <c r="EIG39" s="48"/>
      <c r="EIH39" s="48"/>
      <c r="EII39" s="48"/>
      <c r="EIJ39" s="48"/>
      <c r="EIK39" s="48"/>
      <c r="EIL39" s="48"/>
      <c r="EIM39" s="45"/>
      <c r="EIN39" s="46"/>
      <c r="EIO39" s="46"/>
      <c r="EIP39" s="47"/>
      <c r="EIQ39" s="48"/>
      <c r="EIR39" s="48"/>
      <c r="EIS39" s="48"/>
      <c r="EIT39" s="48"/>
      <c r="EIU39" s="48"/>
      <c r="EIV39" s="48"/>
      <c r="EIW39" s="48"/>
      <c r="EIX39" s="48"/>
      <c r="EIY39" s="48"/>
      <c r="EIZ39" s="48"/>
      <c r="EJA39" s="48"/>
      <c r="EJB39" s="48"/>
      <c r="EJC39" s="48"/>
      <c r="EJD39" s="48"/>
      <c r="EJE39" s="48"/>
      <c r="EJF39" s="48"/>
      <c r="EJG39" s="48"/>
      <c r="EJH39" s="48"/>
      <c r="EJI39" s="45"/>
      <c r="EJJ39" s="46"/>
      <c r="EJK39" s="46"/>
      <c r="EJL39" s="47"/>
      <c r="EJM39" s="48"/>
      <c r="EJN39" s="48"/>
      <c r="EJO39" s="48"/>
      <c r="EJP39" s="48"/>
      <c r="EJQ39" s="48"/>
      <c r="EJR39" s="48"/>
      <c r="EJS39" s="48"/>
      <c r="EJT39" s="48"/>
      <c r="EJU39" s="48"/>
      <c r="EJV39" s="48"/>
      <c r="EJW39" s="48"/>
      <c r="EJX39" s="48"/>
      <c r="EJY39" s="48"/>
      <c r="EJZ39" s="48"/>
      <c r="EKA39" s="48"/>
      <c r="EKB39" s="48"/>
      <c r="EKC39" s="48"/>
      <c r="EKD39" s="48"/>
      <c r="EKE39" s="45"/>
      <c r="EKF39" s="46"/>
      <c r="EKG39" s="46"/>
      <c r="EKH39" s="47"/>
      <c r="EKI39" s="48"/>
      <c r="EKJ39" s="48"/>
      <c r="EKK39" s="48"/>
      <c r="EKL39" s="48"/>
      <c r="EKM39" s="48"/>
      <c r="EKN39" s="48"/>
      <c r="EKO39" s="48"/>
      <c r="EKP39" s="48"/>
      <c r="EKQ39" s="48"/>
      <c r="EKR39" s="48"/>
      <c r="EKS39" s="48"/>
      <c r="EKT39" s="48"/>
      <c r="EKU39" s="48"/>
      <c r="EKV39" s="48"/>
      <c r="EKW39" s="48"/>
      <c r="EKX39" s="48"/>
      <c r="EKY39" s="48"/>
      <c r="EKZ39" s="48"/>
      <c r="ELA39" s="45"/>
      <c r="ELB39" s="46"/>
      <c r="ELC39" s="46"/>
      <c r="ELD39" s="47"/>
      <c r="ELE39" s="48"/>
      <c r="ELF39" s="48"/>
      <c r="ELG39" s="48"/>
      <c r="ELH39" s="48"/>
      <c r="ELI39" s="48"/>
      <c r="ELJ39" s="48"/>
      <c r="ELK39" s="48"/>
      <c r="ELL39" s="48"/>
      <c r="ELM39" s="48"/>
      <c r="ELN39" s="48"/>
      <c r="ELO39" s="48"/>
      <c r="ELP39" s="48"/>
      <c r="ELQ39" s="48"/>
      <c r="ELR39" s="48"/>
      <c r="ELS39" s="48"/>
      <c r="ELT39" s="48"/>
      <c r="ELU39" s="48"/>
      <c r="ELV39" s="48"/>
      <c r="ELW39" s="45"/>
      <c r="ELX39" s="46"/>
      <c r="ELY39" s="46"/>
      <c r="ELZ39" s="47"/>
      <c r="EMA39" s="48"/>
      <c r="EMB39" s="48"/>
      <c r="EMC39" s="48"/>
      <c r="EMD39" s="48"/>
      <c r="EME39" s="48"/>
      <c r="EMF39" s="48"/>
      <c r="EMG39" s="48"/>
      <c r="EMH39" s="48"/>
      <c r="EMI39" s="48"/>
      <c r="EMJ39" s="48"/>
      <c r="EMK39" s="48"/>
      <c r="EML39" s="48"/>
      <c r="EMM39" s="48"/>
      <c r="EMN39" s="48"/>
      <c r="EMO39" s="48"/>
      <c r="EMP39" s="48"/>
      <c r="EMQ39" s="48"/>
      <c r="EMR39" s="48"/>
      <c r="EMS39" s="45"/>
      <c r="EMT39" s="46"/>
      <c r="EMU39" s="46"/>
      <c r="EMV39" s="47"/>
      <c r="EMW39" s="48"/>
      <c r="EMX39" s="48"/>
      <c r="EMY39" s="48"/>
      <c r="EMZ39" s="48"/>
      <c r="ENA39" s="48"/>
      <c r="ENB39" s="48"/>
      <c r="ENC39" s="48"/>
      <c r="END39" s="48"/>
      <c r="ENE39" s="48"/>
      <c r="ENF39" s="48"/>
      <c r="ENG39" s="48"/>
      <c r="ENH39" s="48"/>
      <c r="ENI39" s="48"/>
      <c r="ENJ39" s="48"/>
      <c r="ENK39" s="48"/>
      <c r="ENL39" s="48"/>
      <c r="ENM39" s="48"/>
      <c r="ENN39" s="48"/>
      <c r="ENO39" s="45"/>
      <c r="ENP39" s="46"/>
      <c r="ENQ39" s="46"/>
      <c r="ENR39" s="47"/>
      <c r="ENS39" s="48"/>
      <c r="ENT39" s="48"/>
      <c r="ENU39" s="48"/>
      <c r="ENV39" s="48"/>
      <c r="ENW39" s="48"/>
      <c r="ENX39" s="48"/>
      <c r="ENY39" s="48"/>
      <c r="ENZ39" s="48"/>
      <c r="EOA39" s="48"/>
      <c r="EOB39" s="48"/>
      <c r="EOC39" s="48"/>
      <c r="EOD39" s="48"/>
      <c r="EOE39" s="48"/>
      <c r="EOF39" s="48"/>
      <c r="EOG39" s="48"/>
      <c r="EOH39" s="48"/>
      <c r="EOI39" s="48"/>
      <c r="EOJ39" s="48"/>
      <c r="EOK39" s="45"/>
      <c r="EOL39" s="46"/>
      <c r="EOM39" s="46"/>
      <c r="EON39" s="47"/>
      <c r="EOO39" s="48"/>
      <c r="EOP39" s="48"/>
      <c r="EOQ39" s="48"/>
      <c r="EOR39" s="48"/>
      <c r="EOS39" s="48"/>
      <c r="EOT39" s="48"/>
      <c r="EOU39" s="48"/>
      <c r="EOV39" s="48"/>
      <c r="EOW39" s="48"/>
      <c r="EOX39" s="48"/>
      <c r="EOY39" s="48"/>
      <c r="EOZ39" s="48"/>
      <c r="EPA39" s="48"/>
      <c r="EPB39" s="48"/>
      <c r="EPC39" s="48"/>
      <c r="EPD39" s="48"/>
      <c r="EPE39" s="48"/>
      <c r="EPF39" s="48"/>
      <c r="EPG39" s="45"/>
      <c r="EPH39" s="46"/>
      <c r="EPI39" s="46"/>
      <c r="EPJ39" s="47"/>
      <c r="EPK39" s="48"/>
      <c r="EPL39" s="48"/>
      <c r="EPM39" s="48"/>
      <c r="EPN39" s="48"/>
      <c r="EPO39" s="48"/>
      <c r="EPP39" s="48"/>
      <c r="EPQ39" s="48"/>
      <c r="EPR39" s="48"/>
      <c r="EPS39" s="48"/>
      <c r="EPT39" s="48"/>
      <c r="EPU39" s="48"/>
      <c r="EPV39" s="48"/>
      <c r="EPW39" s="48"/>
      <c r="EPX39" s="48"/>
      <c r="EPY39" s="48"/>
      <c r="EPZ39" s="48"/>
      <c r="EQA39" s="48"/>
      <c r="EQB39" s="48"/>
      <c r="EQC39" s="45"/>
      <c r="EQD39" s="46"/>
      <c r="EQE39" s="46"/>
      <c r="EQF39" s="47"/>
      <c r="EQG39" s="48"/>
      <c r="EQH39" s="48"/>
      <c r="EQI39" s="48"/>
      <c r="EQJ39" s="48"/>
      <c r="EQK39" s="48"/>
      <c r="EQL39" s="48"/>
      <c r="EQM39" s="48"/>
      <c r="EQN39" s="48"/>
      <c r="EQO39" s="48"/>
      <c r="EQP39" s="48"/>
      <c r="EQQ39" s="48"/>
      <c r="EQR39" s="48"/>
      <c r="EQS39" s="48"/>
      <c r="EQT39" s="48"/>
      <c r="EQU39" s="48"/>
      <c r="EQV39" s="48"/>
      <c r="EQW39" s="48"/>
      <c r="EQX39" s="48"/>
      <c r="EQY39" s="45"/>
      <c r="EQZ39" s="46"/>
      <c r="ERA39" s="46"/>
      <c r="ERB39" s="47"/>
      <c r="ERC39" s="48"/>
      <c r="ERD39" s="48"/>
      <c r="ERE39" s="48"/>
      <c r="ERF39" s="48"/>
      <c r="ERG39" s="48"/>
      <c r="ERH39" s="48"/>
      <c r="ERI39" s="48"/>
      <c r="ERJ39" s="48"/>
      <c r="ERK39" s="48"/>
      <c r="ERL39" s="48"/>
      <c r="ERM39" s="48"/>
      <c r="ERN39" s="48"/>
      <c r="ERO39" s="48"/>
      <c r="ERP39" s="48"/>
      <c r="ERQ39" s="48"/>
      <c r="ERR39" s="48"/>
      <c r="ERS39" s="48"/>
      <c r="ERT39" s="48"/>
      <c r="ERU39" s="45"/>
      <c r="ERV39" s="46"/>
      <c r="ERW39" s="46"/>
      <c r="ERX39" s="47"/>
      <c r="ERY39" s="48"/>
      <c r="ERZ39" s="48"/>
      <c r="ESA39" s="48"/>
      <c r="ESB39" s="48"/>
      <c r="ESC39" s="48"/>
      <c r="ESD39" s="48"/>
      <c r="ESE39" s="48"/>
      <c r="ESF39" s="48"/>
      <c r="ESG39" s="48"/>
      <c r="ESH39" s="48"/>
      <c r="ESI39" s="48"/>
      <c r="ESJ39" s="48"/>
      <c r="ESK39" s="48"/>
      <c r="ESL39" s="48"/>
      <c r="ESM39" s="48"/>
      <c r="ESN39" s="48"/>
      <c r="ESO39" s="48"/>
      <c r="ESP39" s="48"/>
      <c r="ESQ39" s="45"/>
      <c r="ESR39" s="46"/>
      <c r="ESS39" s="46"/>
      <c r="EST39" s="47"/>
      <c r="ESU39" s="48"/>
      <c r="ESV39" s="48"/>
      <c r="ESW39" s="48"/>
      <c r="ESX39" s="48"/>
      <c r="ESY39" s="48"/>
      <c r="ESZ39" s="48"/>
      <c r="ETA39" s="48"/>
      <c r="ETB39" s="48"/>
      <c r="ETC39" s="48"/>
      <c r="ETD39" s="48"/>
      <c r="ETE39" s="48"/>
      <c r="ETF39" s="48"/>
      <c r="ETG39" s="48"/>
      <c r="ETH39" s="48"/>
      <c r="ETI39" s="48"/>
      <c r="ETJ39" s="48"/>
      <c r="ETK39" s="48"/>
      <c r="ETL39" s="48"/>
      <c r="ETM39" s="45"/>
      <c r="ETN39" s="46"/>
      <c r="ETO39" s="46"/>
      <c r="ETP39" s="47"/>
      <c r="ETQ39" s="48"/>
      <c r="ETR39" s="48"/>
      <c r="ETS39" s="48"/>
      <c r="ETT39" s="48"/>
      <c r="ETU39" s="48"/>
      <c r="ETV39" s="48"/>
      <c r="ETW39" s="48"/>
      <c r="ETX39" s="48"/>
      <c r="ETY39" s="48"/>
      <c r="ETZ39" s="48"/>
      <c r="EUA39" s="48"/>
      <c r="EUB39" s="48"/>
      <c r="EUC39" s="48"/>
      <c r="EUD39" s="48"/>
      <c r="EUE39" s="48"/>
      <c r="EUF39" s="48"/>
      <c r="EUG39" s="48"/>
      <c r="EUH39" s="48"/>
      <c r="EUI39" s="45"/>
      <c r="EUJ39" s="46"/>
      <c r="EUK39" s="46"/>
      <c r="EUL39" s="47"/>
      <c r="EUM39" s="48"/>
      <c r="EUN39" s="48"/>
      <c r="EUO39" s="48"/>
      <c r="EUP39" s="48"/>
      <c r="EUQ39" s="48"/>
      <c r="EUR39" s="48"/>
      <c r="EUS39" s="48"/>
      <c r="EUT39" s="48"/>
      <c r="EUU39" s="48"/>
      <c r="EUV39" s="48"/>
      <c r="EUW39" s="48"/>
      <c r="EUX39" s="48"/>
      <c r="EUY39" s="48"/>
      <c r="EUZ39" s="48"/>
      <c r="EVA39" s="48"/>
      <c r="EVB39" s="48"/>
      <c r="EVC39" s="48"/>
      <c r="EVD39" s="48"/>
      <c r="EVE39" s="45"/>
      <c r="EVF39" s="46"/>
      <c r="EVG39" s="46"/>
      <c r="EVH39" s="47"/>
      <c r="EVI39" s="48"/>
      <c r="EVJ39" s="48"/>
      <c r="EVK39" s="48"/>
      <c r="EVL39" s="48"/>
      <c r="EVM39" s="48"/>
      <c r="EVN39" s="48"/>
      <c r="EVO39" s="48"/>
      <c r="EVP39" s="48"/>
      <c r="EVQ39" s="48"/>
      <c r="EVR39" s="48"/>
      <c r="EVS39" s="48"/>
      <c r="EVT39" s="48"/>
      <c r="EVU39" s="48"/>
      <c r="EVV39" s="48"/>
      <c r="EVW39" s="48"/>
      <c r="EVX39" s="48"/>
      <c r="EVY39" s="48"/>
      <c r="EVZ39" s="48"/>
      <c r="EWA39" s="45"/>
      <c r="EWB39" s="46"/>
      <c r="EWC39" s="46"/>
      <c r="EWD39" s="47"/>
      <c r="EWE39" s="48"/>
      <c r="EWF39" s="48"/>
      <c r="EWG39" s="48"/>
      <c r="EWH39" s="48"/>
      <c r="EWI39" s="48"/>
      <c r="EWJ39" s="48"/>
      <c r="EWK39" s="48"/>
      <c r="EWL39" s="48"/>
      <c r="EWM39" s="48"/>
      <c r="EWN39" s="48"/>
      <c r="EWO39" s="48"/>
      <c r="EWP39" s="48"/>
      <c r="EWQ39" s="48"/>
      <c r="EWR39" s="48"/>
      <c r="EWS39" s="48"/>
      <c r="EWT39" s="48"/>
      <c r="EWU39" s="48"/>
      <c r="EWV39" s="48"/>
      <c r="EWW39" s="45"/>
      <c r="EWX39" s="46"/>
      <c r="EWY39" s="46"/>
      <c r="EWZ39" s="47"/>
      <c r="EXA39" s="48"/>
      <c r="EXB39" s="48"/>
      <c r="EXC39" s="48"/>
      <c r="EXD39" s="48"/>
      <c r="EXE39" s="48"/>
      <c r="EXF39" s="48"/>
      <c r="EXG39" s="48"/>
      <c r="EXH39" s="48"/>
      <c r="EXI39" s="48"/>
      <c r="EXJ39" s="48"/>
      <c r="EXK39" s="48"/>
      <c r="EXL39" s="48"/>
      <c r="EXM39" s="48"/>
      <c r="EXN39" s="48"/>
      <c r="EXO39" s="48"/>
      <c r="EXP39" s="48"/>
      <c r="EXQ39" s="48"/>
      <c r="EXR39" s="48"/>
      <c r="EXS39" s="45"/>
      <c r="EXT39" s="46"/>
      <c r="EXU39" s="46"/>
      <c r="EXV39" s="47"/>
      <c r="EXW39" s="48"/>
      <c r="EXX39" s="48"/>
      <c r="EXY39" s="48"/>
      <c r="EXZ39" s="48"/>
      <c r="EYA39" s="48"/>
      <c r="EYB39" s="48"/>
      <c r="EYC39" s="48"/>
      <c r="EYD39" s="48"/>
      <c r="EYE39" s="48"/>
      <c r="EYF39" s="48"/>
      <c r="EYG39" s="48"/>
      <c r="EYH39" s="48"/>
      <c r="EYI39" s="48"/>
      <c r="EYJ39" s="48"/>
      <c r="EYK39" s="48"/>
      <c r="EYL39" s="48"/>
      <c r="EYM39" s="48"/>
      <c r="EYN39" s="48"/>
      <c r="EYO39" s="45"/>
      <c r="EYP39" s="46"/>
      <c r="EYQ39" s="46"/>
      <c r="EYR39" s="47"/>
      <c r="EYS39" s="48"/>
      <c r="EYT39" s="48"/>
      <c r="EYU39" s="48"/>
      <c r="EYV39" s="48"/>
      <c r="EYW39" s="48"/>
      <c r="EYX39" s="48"/>
      <c r="EYY39" s="48"/>
      <c r="EYZ39" s="48"/>
      <c r="EZA39" s="48"/>
      <c r="EZB39" s="48"/>
      <c r="EZC39" s="48"/>
      <c r="EZD39" s="48"/>
      <c r="EZE39" s="48"/>
      <c r="EZF39" s="48"/>
      <c r="EZG39" s="48"/>
      <c r="EZH39" s="48"/>
      <c r="EZI39" s="48"/>
      <c r="EZJ39" s="48"/>
      <c r="EZK39" s="45"/>
      <c r="EZL39" s="46"/>
      <c r="EZM39" s="46"/>
      <c r="EZN39" s="47"/>
      <c r="EZO39" s="48"/>
      <c r="EZP39" s="48"/>
      <c r="EZQ39" s="48"/>
      <c r="EZR39" s="48"/>
      <c r="EZS39" s="48"/>
      <c r="EZT39" s="48"/>
      <c r="EZU39" s="48"/>
      <c r="EZV39" s="48"/>
      <c r="EZW39" s="48"/>
      <c r="EZX39" s="48"/>
      <c r="EZY39" s="48"/>
      <c r="EZZ39" s="48"/>
      <c r="FAA39" s="48"/>
      <c r="FAB39" s="48"/>
      <c r="FAC39" s="48"/>
      <c r="FAD39" s="48"/>
      <c r="FAE39" s="48"/>
      <c r="FAF39" s="48"/>
      <c r="FAG39" s="45"/>
      <c r="FAH39" s="46"/>
      <c r="FAI39" s="46"/>
      <c r="FAJ39" s="47"/>
      <c r="FAK39" s="48"/>
      <c r="FAL39" s="48"/>
      <c r="FAM39" s="48"/>
      <c r="FAN39" s="48"/>
      <c r="FAO39" s="48"/>
      <c r="FAP39" s="48"/>
      <c r="FAQ39" s="48"/>
      <c r="FAR39" s="48"/>
      <c r="FAS39" s="48"/>
      <c r="FAT39" s="48"/>
      <c r="FAU39" s="48"/>
      <c r="FAV39" s="48"/>
      <c r="FAW39" s="48"/>
      <c r="FAX39" s="48"/>
      <c r="FAY39" s="48"/>
      <c r="FAZ39" s="48"/>
      <c r="FBA39" s="48"/>
      <c r="FBB39" s="48"/>
      <c r="FBC39" s="45"/>
      <c r="FBD39" s="46"/>
      <c r="FBE39" s="46"/>
      <c r="FBF39" s="47"/>
      <c r="FBG39" s="48"/>
      <c r="FBH39" s="48"/>
      <c r="FBI39" s="48"/>
      <c r="FBJ39" s="48"/>
      <c r="FBK39" s="48"/>
      <c r="FBL39" s="48"/>
      <c r="FBM39" s="48"/>
      <c r="FBN39" s="48"/>
      <c r="FBO39" s="48"/>
      <c r="FBP39" s="48"/>
      <c r="FBQ39" s="48"/>
      <c r="FBR39" s="48"/>
      <c r="FBS39" s="48"/>
      <c r="FBT39" s="48"/>
      <c r="FBU39" s="48"/>
      <c r="FBV39" s="48"/>
      <c r="FBW39" s="48"/>
      <c r="FBX39" s="48"/>
      <c r="FBY39" s="45"/>
      <c r="FBZ39" s="46"/>
      <c r="FCA39" s="46"/>
      <c r="FCB39" s="47"/>
      <c r="FCC39" s="48"/>
      <c r="FCD39" s="48"/>
      <c r="FCE39" s="48"/>
      <c r="FCF39" s="48"/>
      <c r="FCG39" s="48"/>
      <c r="FCH39" s="48"/>
      <c r="FCI39" s="48"/>
      <c r="FCJ39" s="48"/>
      <c r="FCK39" s="48"/>
      <c r="FCL39" s="48"/>
      <c r="FCM39" s="48"/>
      <c r="FCN39" s="48"/>
      <c r="FCO39" s="48"/>
      <c r="FCP39" s="48"/>
      <c r="FCQ39" s="48"/>
      <c r="FCR39" s="48"/>
      <c r="FCS39" s="48"/>
      <c r="FCT39" s="48"/>
      <c r="FCU39" s="45"/>
      <c r="FCV39" s="46"/>
      <c r="FCW39" s="46"/>
      <c r="FCX39" s="47"/>
      <c r="FCY39" s="48"/>
      <c r="FCZ39" s="48"/>
      <c r="FDA39" s="48"/>
      <c r="FDB39" s="48"/>
      <c r="FDC39" s="48"/>
      <c r="FDD39" s="48"/>
      <c r="FDE39" s="48"/>
      <c r="FDF39" s="48"/>
      <c r="FDG39" s="48"/>
      <c r="FDH39" s="48"/>
      <c r="FDI39" s="48"/>
      <c r="FDJ39" s="48"/>
      <c r="FDK39" s="48"/>
      <c r="FDL39" s="48"/>
      <c r="FDM39" s="48"/>
      <c r="FDN39" s="48"/>
      <c r="FDO39" s="48"/>
      <c r="FDP39" s="48"/>
      <c r="FDQ39" s="45"/>
      <c r="FDR39" s="46"/>
      <c r="FDS39" s="46"/>
      <c r="FDT39" s="47"/>
      <c r="FDU39" s="48"/>
      <c r="FDV39" s="48"/>
      <c r="FDW39" s="48"/>
      <c r="FDX39" s="48"/>
      <c r="FDY39" s="48"/>
      <c r="FDZ39" s="48"/>
      <c r="FEA39" s="48"/>
      <c r="FEB39" s="48"/>
      <c r="FEC39" s="48"/>
      <c r="FED39" s="48"/>
      <c r="FEE39" s="48"/>
      <c r="FEF39" s="48"/>
      <c r="FEG39" s="48"/>
      <c r="FEH39" s="48"/>
      <c r="FEI39" s="48"/>
      <c r="FEJ39" s="48"/>
      <c r="FEK39" s="48"/>
      <c r="FEL39" s="48"/>
      <c r="FEM39" s="45"/>
      <c r="FEN39" s="46"/>
      <c r="FEO39" s="46"/>
      <c r="FEP39" s="47"/>
      <c r="FEQ39" s="48"/>
      <c r="FER39" s="48"/>
      <c r="FES39" s="48"/>
      <c r="FET39" s="48"/>
      <c r="FEU39" s="48"/>
      <c r="FEV39" s="48"/>
      <c r="FEW39" s="48"/>
      <c r="FEX39" s="48"/>
      <c r="FEY39" s="48"/>
      <c r="FEZ39" s="48"/>
      <c r="FFA39" s="48"/>
      <c r="FFB39" s="48"/>
      <c r="FFC39" s="48"/>
      <c r="FFD39" s="48"/>
      <c r="FFE39" s="48"/>
      <c r="FFF39" s="48"/>
      <c r="FFG39" s="48"/>
      <c r="FFH39" s="48"/>
      <c r="FFI39" s="45"/>
      <c r="FFJ39" s="46"/>
      <c r="FFK39" s="46"/>
      <c r="FFL39" s="47"/>
      <c r="FFM39" s="48"/>
      <c r="FFN39" s="48"/>
      <c r="FFO39" s="48"/>
      <c r="FFP39" s="48"/>
      <c r="FFQ39" s="48"/>
      <c r="FFR39" s="48"/>
      <c r="FFS39" s="48"/>
      <c r="FFT39" s="48"/>
      <c r="FFU39" s="48"/>
      <c r="FFV39" s="48"/>
      <c r="FFW39" s="48"/>
      <c r="FFX39" s="48"/>
      <c r="FFY39" s="48"/>
      <c r="FFZ39" s="48"/>
      <c r="FGA39" s="48"/>
      <c r="FGB39" s="48"/>
      <c r="FGC39" s="48"/>
      <c r="FGD39" s="48"/>
      <c r="FGE39" s="45"/>
      <c r="FGF39" s="46"/>
      <c r="FGG39" s="46"/>
      <c r="FGH39" s="47"/>
      <c r="FGI39" s="48"/>
      <c r="FGJ39" s="48"/>
      <c r="FGK39" s="48"/>
      <c r="FGL39" s="48"/>
      <c r="FGM39" s="48"/>
      <c r="FGN39" s="48"/>
      <c r="FGO39" s="48"/>
      <c r="FGP39" s="48"/>
      <c r="FGQ39" s="48"/>
      <c r="FGR39" s="48"/>
      <c r="FGS39" s="48"/>
      <c r="FGT39" s="48"/>
      <c r="FGU39" s="48"/>
      <c r="FGV39" s="48"/>
      <c r="FGW39" s="48"/>
      <c r="FGX39" s="48"/>
      <c r="FGY39" s="48"/>
      <c r="FGZ39" s="48"/>
      <c r="FHA39" s="45"/>
      <c r="FHB39" s="46"/>
      <c r="FHC39" s="46"/>
      <c r="FHD39" s="47"/>
      <c r="FHE39" s="48"/>
      <c r="FHF39" s="48"/>
      <c r="FHG39" s="48"/>
      <c r="FHH39" s="48"/>
      <c r="FHI39" s="48"/>
      <c r="FHJ39" s="48"/>
      <c r="FHK39" s="48"/>
      <c r="FHL39" s="48"/>
      <c r="FHM39" s="48"/>
      <c r="FHN39" s="48"/>
      <c r="FHO39" s="48"/>
      <c r="FHP39" s="48"/>
      <c r="FHQ39" s="48"/>
      <c r="FHR39" s="48"/>
      <c r="FHS39" s="48"/>
      <c r="FHT39" s="48"/>
      <c r="FHU39" s="48"/>
      <c r="FHV39" s="48"/>
      <c r="FHW39" s="45"/>
      <c r="FHX39" s="46"/>
      <c r="FHY39" s="46"/>
      <c r="FHZ39" s="47"/>
      <c r="FIA39" s="48"/>
      <c r="FIB39" s="48"/>
      <c r="FIC39" s="48"/>
      <c r="FID39" s="48"/>
      <c r="FIE39" s="48"/>
      <c r="FIF39" s="48"/>
      <c r="FIG39" s="48"/>
      <c r="FIH39" s="48"/>
      <c r="FII39" s="48"/>
      <c r="FIJ39" s="48"/>
      <c r="FIK39" s="48"/>
      <c r="FIL39" s="48"/>
      <c r="FIM39" s="48"/>
      <c r="FIN39" s="48"/>
      <c r="FIO39" s="48"/>
      <c r="FIP39" s="48"/>
      <c r="FIQ39" s="48"/>
      <c r="FIR39" s="48"/>
      <c r="FIS39" s="45"/>
      <c r="FIT39" s="46"/>
      <c r="FIU39" s="46"/>
      <c r="FIV39" s="47"/>
      <c r="FIW39" s="48"/>
      <c r="FIX39" s="48"/>
      <c r="FIY39" s="48"/>
      <c r="FIZ39" s="48"/>
      <c r="FJA39" s="48"/>
      <c r="FJB39" s="48"/>
      <c r="FJC39" s="48"/>
      <c r="FJD39" s="48"/>
      <c r="FJE39" s="48"/>
      <c r="FJF39" s="48"/>
      <c r="FJG39" s="48"/>
      <c r="FJH39" s="48"/>
      <c r="FJI39" s="48"/>
      <c r="FJJ39" s="48"/>
      <c r="FJK39" s="48"/>
      <c r="FJL39" s="48"/>
      <c r="FJM39" s="48"/>
      <c r="FJN39" s="48"/>
      <c r="FJO39" s="45"/>
      <c r="FJP39" s="46"/>
      <c r="FJQ39" s="46"/>
      <c r="FJR39" s="47"/>
      <c r="FJS39" s="48"/>
      <c r="FJT39" s="48"/>
      <c r="FJU39" s="48"/>
      <c r="FJV39" s="48"/>
      <c r="FJW39" s="48"/>
      <c r="FJX39" s="48"/>
      <c r="FJY39" s="48"/>
      <c r="FJZ39" s="48"/>
      <c r="FKA39" s="48"/>
      <c r="FKB39" s="48"/>
      <c r="FKC39" s="48"/>
      <c r="FKD39" s="48"/>
      <c r="FKE39" s="48"/>
      <c r="FKF39" s="48"/>
      <c r="FKG39" s="48"/>
      <c r="FKH39" s="48"/>
      <c r="FKI39" s="48"/>
      <c r="FKJ39" s="48"/>
      <c r="FKK39" s="45"/>
      <c r="FKL39" s="46"/>
      <c r="FKM39" s="46"/>
      <c r="FKN39" s="47"/>
      <c r="FKO39" s="48"/>
      <c r="FKP39" s="48"/>
      <c r="FKQ39" s="48"/>
      <c r="FKR39" s="48"/>
      <c r="FKS39" s="48"/>
      <c r="FKT39" s="48"/>
      <c r="FKU39" s="48"/>
      <c r="FKV39" s="48"/>
      <c r="FKW39" s="48"/>
      <c r="FKX39" s="48"/>
      <c r="FKY39" s="48"/>
      <c r="FKZ39" s="48"/>
      <c r="FLA39" s="48"/>
      <c r="FLB39" s="48"/>
      <c r="FLC39" s="48"/>
      <c r="FLD39" s="48"/>
      <c r="FLE39" s="48"/>
      <c r="FLF39" s="48"/>
      <c r="FLG39" s="45"/>
      <c r="FLH39" s="46"/>
      <c r="FLI39" s="46"/>
      <c r="FLJ39" s="47"/>
      <c r="FLK39" s="48"/>
      <c r="FLL39" s="48"/>
      <c r="FLM39" s="48"/>
      <c r="FLN39" s="48"/>
      <c r="FLO39" s="48"/>
      <c r="FLP39" s="48"/>
      <c r="FLQ39" s="48"/>
      <c r="FLR39" s="48"/>
      <c r="FLS39" s="48"/>
      <c r="FLT39" s="48"/>
      <c r="FLU39" s="48"/>
      <c r="FLV39" s="48"/>
      <c r="FLW39" s="48"/>
      <c r="FLX39" s="48"/>
      <c r="FLY39" s="48"/>
      <c r="FLZ39" s="48"/>
      <c r="FMA39" s="48"/>
      <c r="FMB39" s="48"/>
      <c r="FMC39" s="45"/>
      <c r="FMD39" s="46"/>
      <c r="FME39" s="46"/>
      <c r="FMF39" s="47"/>
      <c r="FMG39" s="48"/>
      <c r="FMH39" s="48"/>
      <c r="FMI39" s="48"/>
      <c r="FMJ39" s="48"/>
      <c r="FMK39" s="48"/>
      <c r="FML39" s="48"/>
      <c r="FMM39" s="48"/>
      <c r="FMN39" s="48"/>
      <c r="FMO39" s="48"/>
      <c r="FMP39" s="48"/>
      <c r="FMQ39" s="48"/>
      <c r="FMR39" s="48"/>
      <c r="FMS39" s="48"/>
      <c r="FMT39" s="48"/>
      <c r="FMU39" s="48"/>
      <c r="FMV39" s="48"/>
      <c r="FMW39" s="48"/>
      <c r="FMX39" s="48"/>
      <c r="FMY39" s="45"/>
      <c r="FMZ39" s="46"/>
      <c r="FNA39" s="46"/>
      <c r="FNB39" s="47"/>
      <c r="FNC39" s="48"/>
      <c r="FND39" s="48"/>
      <c r="FNE39" s="48"/>
      <c r="FNF39" s="48"/>
      <c r="FNG39" s="48"/>
      <c r="FNH39" s="48"/>
      <c r="FNI39" s="48"/>
      <c r="FNJ39" s="48"/>
      <c r="FNK39" s="48"/>
      <c r="FNL39" s="48"/>
      <c r="FNM39" s="48"/>
      <c r="FNN39" s="48"/>
      <c r="FNO39" s="48"/>
      <c r="FNP39" s="48"/>
      <c r="FNQ39" s="48"/>
      <c r="FNR39" s="48"/>
      <c r="FNS39" s="48"/>
      <c r="FNT39" s="48"/>
      <c r="FNU39" s="45"/>
      <c r="FNV39" s="46"/>
      <c r="FNW39" s="46"/>
      <c r="FNX39" s="47"/>
      <c r="FNY39" s="48"/>
      <c r="FNZ39" s="48"/>
      <c r="FOA39" s="48"/>
      <c r="FOB39" s="48"/>
      <c r="FOC39" s="48"/>
      <c r="FOD39" s="48"/>
      <c r="FOE39" s="48"/>
      <c r="FOF39" s="48"/>
      <c r="FOG39" s="48"/>
      <c r="FOH39" s="48"/>
      <c r="FOI39" s="48"/>
      <c r="FOJ39" s="48"/>
      <c r="FOK39" s="48"/>
      <c r="FOL39" s="48"/>
      <c r="FOM39" s="48"/>
      <c r="FON39" s="48"/>
      <c r="FOO39" s="48"/>
      <c r="FOP39" s="48"/>
      <c r="FOQ39" s="45"/>
      <c r="FOR39" s="46"/>
      <c r="FOS39" s="46"/>
      <c r="FOT39" s="47"/>
      <c r="FOU39" s="48"/>
      <c r="FOV39" s="48"/>
      <c r="FOW39" s="48"/>
      <c r="FOX39" s="48"/>
      <c r="FOY39" s="48"/>
      <c r="FOZ39" s="48"/>
      <c r="FPA39" s="48"/>
      <c r="FPB39" s="48"/>
      <c r="FPC39" s="48"/>
      <c r="FPD39" s="48"/>
      <c r="FPE39" s="48"/>
      <c r="FPF39" s="48"/>
      <c r="FPG39" s="48"/>
      <c r="FPH39" s="48"/>
      <c r="FPI39" s="48"/>
      <c r="FPJ39" s="48"/>
      <c r="FPK39" s="48"/>
      <c r="FPL39" s="48"/>
      <c r="FPM39" s="45"/>
      <c r="FPN39" s="46"/>
      <c r="FPO39" s="46"/>
      <c r="FPP39" s="47"/>
      <c r="FPQ39" s="48"/>
      <c r="FPR39" s="48"/>
      <c r="FPS39" s="48"/>
      <c r="FPT39" s="48"/>
      <c r="FPU39" s="48"/>
      <c r="FPV39" s="48"/>
      <c r="FPW39" s="48"/>
      <c r="FPX39" s="48"/>
      <c r="FPY39" s="48"/>
      <c r="FPZ39" s="48"/>
      <c r="FQA39" s="48"/>
      <c r="FQB39" s="48"/>
      <c r="FQC39" s="48"/>
      <c r="FQD39" s="48"/>
      <c r="FQE39" s="48"/>
      <c r="FQF39" s="48"/>
      <c r="FQG39" s="48"/>
      <c r="FQH39" s="48"/>
      <c r="FQI39" s="45"/>
      <c r="FQJ39" s="46"/>
      <c r="FQK39" s="46"/>
      <c r="FQL39" s="47"/>
      <c r="FQM39" s="48"/>
      <c r="FQN39" s="48"/>
      <c r="FQO39" s="48"/>
      <c r="FQP39" s="48"/>
      <c r="FQQ39" s="48"/>
      <c r="FQR39" s="48"/>
      <c r="FQS39" s="48"/>
      <c r="FQT39" s="48"/>
      <c r="FQU39" s="48"/>
      <c r="FQV39" s="48"/>
      <c r="FQW39" s="48"/>
      <c r="FQX39" s="48"/>
      <c r="FQY39" s="48"/>
      <c r="FQZ39" s="48"/>
      <c r="FRA39" s="48"/>
      <c r="FRB39" s="48"/>
      <c r="FRC39" s="48"/>
      <c r="FRD39" s="48"/>
      <c r="FRE39" s="45"/>
      <c r="FRF39" s="46"/>
      <c r="FRG39" s="46"/>
      <c r="FRH39" s="47"/>
      <c r="FRI39" s="48"/>
      <c r="FRJ39" s="48"/>
      <c r="FRK39" s="48"/>
      <c r="FRL39" s="48"/>
      <c r="FRM39" s="48"/>
      <c r="FRN39" s="48"/>
      <c r="FRO39" s="48"/>
      <c r="FRP39" s="48"/>
      <c r="FRQ39" s="48"/>
      <c r="FRR39" s="48"/>
      <c r="FRS39" s="48"/>
      <c r="FRT39" s="48"/>
      <c r="FRU39" s="48"/>
      <c r="FRV39" s="48"/>
      <c r="FRW39" s="48"/>
      <c r="FRX39" s="48"/>
      <c r="FRY39" s="48"/>
      <c r="FRZ39" s="48"/>
      <c r="FSA39" s="45"/>
      <c r="FSB39" s="46"/>
      <c r="FSC39" s="46"/>
      <c r="FSD39" s="47"/>
      <c r="FSE39" s="48"/>
      <c r="FSF39" s="48"/>
      <c r="FSG39" s="48"/>
      <c r="FSH39" s="48"/>
      <c r="FSI39" s="48"/>
      <c r="FSJ39" s="48"/>
      <c r="FSK39" s="48"/>
      <c r="FSL39" s="48"/>
      <c r="FSM39" s="48"/>
      <c r="FSN39" s="48"/>
      <c r="FSO39" s="48"/>
      <c r="FSP39" s="48"/>
      <c r="FSQ39" s="48"/>
      <c r="FSR39" s="48"/>
      <c r="FSS39" s="48"/>
      <c r="FST39" s="48"/>
      <c r="FSU39" s="48"/>
      <c r="FSV39" s="48"/>
      <c r="FSW39" s="45"/>
      <c r="FSX39" s="46"/>
      <c r="FSY39" s="46"/>
      <c r="FSZ39" s="47"/>
      <c r="FTA39" s="48"/>
      <c r="FTB39" s="48"/>
      <c r="FTC39" s="48"/>
      <c r="FTD39" s="48"/>
      <c r="FTE39" s="48"/>
      <c r="FTF39" s="48"/>
      <c r="FTG39" s="48"/>
      <c r="FTH39" s="48"/>
      <c r="FTI39" s="48"/>
      <c r="FTJ39" s="48"/>
      <c r="FTK39" s="48"/>
      <c r="FTL39" s="48"/>
      <c r="FTM39" s="48"/>
      <c r="FTN39" s="48"/>
      <c r="FTO39" s="48"/>
      <c r="FTP39" s="48"/>
      <c r="FTQ39" s="48"/>
      <c r="FTR39" s="48"/>
      <c r="FTS39" s="45"/>
      <c r="FTT39" s="46"/>
      <c r="FTU39" s="46"/>
      <c r="FTV39" s="47"/>
      <c r="FTW39" s="48"/>
      <c r="FTX39" s="48"/>
      <c r="FTY39" s="48"/>
      <c r="FTZ39" s="48"/>
      <c r="FUA39" s="48"/>
      <c r="FUB39" s="48"/>
      <c r="FUC39" s="48"/>
      <c r="FUD39" s="48"/>
      <c r="FUE39" s="48"/>
      <c r="FUF39" s="48"/>
      <c r="FUG39" s="48"/>
      <c r="FUH39" s="48"/>
      <c r="FUI39" s="48"/>
      <c r="FUJ39" s="48"/>
      <c r="FUK39" s="48"/>
      <c r="FUL39" s="48"/>
      <c r="FUM39" s="48"/>
      <c r="FUN39" s="48"/>
      <c r="FUO39" s="45"/>
      <c r="FUP39" s="46"/>
      <c r="FUQ39" s="46"/>
      <c r="FUR39" s="47"/>
      <c r="FUS39" s="48"/>
      <c r="FUT39" s="48"/>
      <c r="FUU39" s="48"/>
      <c r="FUV39" s="48"/>
      <c r="FUW39" s="48"/>
      <c r="FUX39" s="48"/>
      <c r="FUY39" s="48"/>
      <c r="FUZ39" s="48"/>
      <c r="FVA39" s="48"/>
      <c r="FVB39" s="48"/>
      <c r="FVC39" s="48"/>
      <c r="FVD39" s="48"/>
      <c r="FVE39" s="48"/>
      <c r="FVF39" s="48"/>
      <c r="FVG39" s="48"/>
      <c r="FVH39" s="48"/>
      <c r="FVI39" s="48"/>
      <c r="FVJ39" s="48"/>
      <c r="FVK39" s="45"/>
      <c r="FVL39" s="46"/>
      <c r="FVM39" s="46"/>
      <c r="FVN39" s="47"/>
      <c r="FVO39" s="48"/>
      <c r="FVP39" s="48"/>
      <c r="FVQ39" s="48"/>
      <c r="FVR39" s="48"/>
      <c r="FVS39" s="48"/>
      <c r="FVT39" s="48"/>
      <c r="FVU39" s="48"/>
      <c r="FVV39" s="48"/>
      <c r="FVW39" s="48"/>
      <c r="FVX39" s="48"/>
      <c r="FVY39" s="48"/>
      <c r="FVZ39" s="48"/>
      <c r="FWA39" s="48"/>
      <c r="FWB39" s="48"/>
      <c r="FWC39" s="48"/>
      <c r="FWD39" s="48"/>
      <c r="FWE39" s="48"/>
      <c r="FWF39" s="48"/>
      <c r="FWG39" s="45"/>
      <c r="FWH39" s="46"/>
      <c r="FWI39" s="46"/>
      <c r="FWJ39" s="47"/>
      <c r="FWK39" s="48"/>
      <c r="FWL39" s="48"/>
      <c r="FWM39" s="48"/>
      <c r="FWN39" s="48"/>
      <c r="FWO39" s="48"/>
      <c r="FWP39" s="48"/>
      <c r="FWQ39" s="48"/>
      <c r="FWR39" s="48"/>
      <c r="FWS39" s="48"/>
      <c r="FWT39" s="48"/>
      <c r="FWU39" s="48"/>
      <c r="FWV39" s="48"/>
      <c r="FWW39" s="48"/>
      <c r="FWX39" s="48"/>
      <c r="FWY39" s="48"/>
      <c r="FWZ39" s="48"/>
      <c r="FXA39" s="48"/>
      <c r="FXB39" s="48"/>
      <c r="FXC39" s="45"/>
      <c r="FXD39" s="46"/>
      <c r="FXE39" s="46"/>
      <c r="FXF39" s="47"/>
      <c r="FXG39" s="48"/>
      <c r="FXH39" s="48"/>
      <c r="FXI39" s="48"/>
      <c r="FXJ39" s="48"/>
      <c r="FXK39" s="48"/>
      <c r="FXL39" s="48"/>
      <c r="FXM39" s="48"/>
      <c r="FXN39" s="48"/>
      <c r="FXO39" s="48"/>
      <c r="FXP39" s="48"/>
      <c r="FXQ39" s="48"/>
      <c r="FXR39" s="48"/>
      <c r="FXS39" s="48"/>
      <c r="FXT39" s="48"/>
      <c r="FXU39" s="48"/>
      <c r="FXV39" s="48"/>
      <c r="FXW39" s="48"/>
      <c r="FXX39" s="48"/>
      <c r="FXY39" s="45"/>
      <c r="FXZ39" s="46"/>
      <c r="FYA39" s="46"/>
      <c r="FYB39" s="47"/>
      <c r="FYC39" s="48"/>
      <c r="FYD39" s="48"/>
      <c r="FYE39" s="48"/>
      <c r="FYF39" s="48"/>
      <c r="FYG39" s="48"/>
      <c r="FYH39" s="48"/>
      <c r="FYI39" s="48"/>
      <c r="FYJ39" s="48"/>
      <c r="FYK39" s="48"/>
      <c r="FYL39" s="48"/>
      <c r="FYM39" s="48"/>
      <c r="FYN39" s="48"/>
      <c r="FYO39" s="48"/>
      <c r="FYP39" s="48"/>
      <c r="FYQ39" s="48"/>
      <c r="FYR39" s="48"/>
      <c r="FYS39" s="48"/>
      <c r="FYT39" s="48"/>
      <c r="FYU39" s="45"/>
      <c r="FYV39" s="46"/>
      <c r="FYW39" s="46"/>
      <c r="FYX39" s="47"/>
      <c r="FYY39" s="48"/>
      <c r="FYZ39" s="48"/>
      <c r="FZA39" s="48"/>
      <c r="FZB39" s="48"/>
      <c r="FZC39" s="48"/>
      <c r="FZD39" s="48"/>
      <c r="FZE39" s="48"/>
      <c r="FZF39" s="48"/>
      <c r="FZG39" s="48"/>
      <c r="FZH39" s="48"/>
      <c r="FZI39" s="48"/>
      <c r="FZJ39" s="48"/>
      <c r="FZK39" s="48"/>
      <c r="FZL39" s="48"/>
      <c r="FZM39" s="48"/>
      <c r="FZN39" s="48"/>
      <c r="FZO39" s="48"/>
      <c r="FZP39" s="48"/>
      <c r="FZQ39" s="45"/>
      <c r="FZR39" s="46"/>
      <c r="FZS39" s="46"/>
      <c r="FZT39" s="47"/>
      <c r="FZU39" s="48"/>
      <c r="FZV39" s="48"/>
      <c r="FZW39" s="48"/>
      <c r="FZX39" s="48"/>
      <c r="FZY39" s="48"/>
      <c r="FZZ39" s="48"/>
      <c r="GAA39" s="48"/>
      <c r="GAB39" s="48"/>
      <c r="GAC39" s="48"/>
      <c r="GAD39" s="48"/>
      <c r="GAE39" s="48"/>
      <c r="GAF39" s="48"/>
      <c r="GAG39" s="48"/>
      <c r="GAH39" s="48"/>
      <c r="GAI39" s="48"/>
      <c r="GAJ39" s="48"/>
      <c r="GAK39" s="48"/>
      <c r="GAL39" s="48"/>
      <c r="GAM39" s="45"/>
      <c r="GAN39" s="46"/>
      <c r="GAO39" s="46"/>
      <c r="GAP39" s="47"/>
      <c r="GAQ39" s="48"/>
      <c r="GAR39" s="48"/>
      <c r="GAS39" s="48"/>
      <c r="GAT39" s="48"/>
      <c r="GAU39" s="48"/>
      <c r="GAV39" s="48"/>
      <c r="GAW39" s="48"/>
      <c r="GAX39" s="48"/>
      <c r="GAY39" s="48"/>
      <c r="GAZ39" s="48"/>
      <c r="GBA39" s="48"/>
      <c r="GBB39" s="48"/>
      <c r="GBC39" s="48"/>
      <c r="GBD39" s="48"/>
      <c r="GBE39" s="48"/>
      <c r="GBF39" s="48"/>
      <c r="GBG39" s="48"/>
      <c r="GBH39" s="48"/>
      <c r="GBI39" s="45"/>
      <c r="GBJ39" s="46"/>
      <c r="GBK39" s="46"/>
      <c r="GBL39" s="47"/>
      <c r="GBM39" s="48"/>
      <c r="GBN39" s="48"/>
      <c r="GBO39" s="48"/>
      <c r="GBP39" s="48"/>
      <c r="GBQ39" s="48"/>
      <c r="GBR39" s="48"/>
      <c r="GBS39" s="48"/>
      <c r="GBT39" s="48"/>
      <c r="GBU39" s="48"/>
      <c r="GBV39" s="48"/>
      <c r="GBW39" s="48"/>
      <c r="GBX39" s="48"/>
      <c r="GBY39" s="48"/>
      <c r="GBZ39" s="48"/>
      <c r="GCA39" s="48"/>
      <c r="GCB39" s="48"/>
      <c r="GCC39" s="48"/>
      <c r="GCD39" s="48"/>
      <c r="GCE39" s="45"/>
      <c r="GCF39" s="46"/>
      <c r="GCG39" s="46"/>
      <c r="GCH39" s="47"/>
      <c r="GCI39" s="48"/>
      <c r="GCJ39" s="48"/>
      <c r="GCK39" s="48"/>
      <c r="GCL39" s="48"/>
      <c r="GCM39" s="48"/>
      <c r="GCN39" s="48"/>
      <c r="GCO39" s="48"/>
      <c r="GCP39" s="48"/>
      <c r="GCQ39" s="48"/>
      <c r="GCR39" s="48"/>
      <c r="GCS39" s="48"/>
      <c r="GCT39" s="48"/>
      <c r="GCU39" s="48"/>
      <c r="GCV39" s="48"/>
      <c r="GCW39" s="48"/>
      <c r="GCX39" s="48"/>
      <c r="GCY39" s="48"/>
      <c r="GCZ39" s="48"/>
      <c r="GDA39" s="45"/>
      <c r="GDB39" s="46"/>
      <c r="GDC39" s="46"/>
      <c r="GDD39" s="47"/>
      <c r="GDE39" s="48"/>
      <c r="GDF39" s="48"/>
      <c r="GDG39" s="48"/>
      <c r="GDH39" s="48"/>
      <c r="GDI39" s="48"/>
      <c r="GDJ39" s="48"/>
      <c r="GDK39" s="48"/>
      <c r="GDL39" s="48"/>
      <c r="GDM39" s="48"/>
      <c r="GDN39" s="48"/>
      <c r="GDO39" s="48"/>
      <c r="GDP39" s="48"/>
      <c r="GDQ39" s="48"/>
      <c r="GDR39" s="48"/>
      <c r="GDS39" s="48"/>
      <c r="GDT39" s="48"/>
      <c r="GDU39" s="48"/>
      <c r="GDV39" s="48"/>
      <c r="GDW39" s="45"/>
      <c r="GDX39" s="46"/>
      <c r="GDY39" s="46"/>
      <c r="GDZ39" s="47"/>
      <c r="GEA39" s="48"/>
      <c r="GEB39" s="48"/>
      <c r="GEC39" s="48"/>
      <c r="GED39" s="48"/>
      <c r="GEE39" s="48"/>
      <c r="GEF39" s="48"/>
      <c r="GEG39" s="48"/>
      <c r="GEH39" s="48"/>
      <c r="GEI39" s="48"/>
      <c r="GEJ39" s="48"/>
      <c r="GEK39" s="48"/>
      <c r="GEL39" s="48"/>
      <c r="GEM39" s="48"/>
      <c r="GEN39" s="48"/>
      <c r="GEO39" s="48"/>
      <c r="GEP39" s="48"/>
      <c r="GEQ39" s="48"/>
      <c r="GER39" s="48"/>
      <c r="GES39" s="45"/>
      <c r="GET39" s="46"/>
      <c r="GEU39" s="46"/>
      <c r="GEV39" s="47"/>
      <c r="GEW39" s="48"/>
      <c r="GEX39" s="48"/>
      <c r="GEY39" s="48"/>
      <c r="GEZ39" s="48"/>
      <c r="GFA39" s="48"/>
      <c r="GFB39" s="48"/>
      <c r="GFC39" s="48"/>
      <c r="GFD39" s="48"/>
      <c r="GFE39" s="48"/>
      <c r="GFF39" s="48"/>
      <c r="GFG39" s="48"/>
      <c r="GFH39" s="48"/>
      <c r="GFI39" s="48"/>
      <c r="GFJ39" s="48"/>
      <c r="GFK39" s="48"/>
      <c r="GFL39" s="48"/>
      <c r="GFM39" s="48"/>
      <c r="GFN39" s="48"/>
      <c r="GFO39" s="45"/>
      <c r="GFP39" s="46"/>
      <c r="GFQ39" s="46"/>
      <c r="GFR39" s="47"/>
      <c r="GFS39" s="48"/>
      <c r="GFT39" s="48"/>
      <c r="GFU39" s="48"/>
      <c r="GFV39" s="48"/>
      <c r="GFW39" s="48"/>
      <c r="GFX39" s="48"/>
      <c r="GFY39" s="48"/>
      <c r="GFZ39" s="48"/>
      <c r="GGA39" s="48"/>
      <c r="GGB39" s="48"/>
      <c r="GGC39" s="48"/>
      <c r="GGD39" s="48"/>
      <c r="GGE39" s="48"/>
      <c r="GGF39" s="48"/>
      <c r="GGG39" s="48"/>
      <c r="GGH39" s="48"/>
      <c r="GGI39" s="48"/>
      <c r="GGJ39" s="48"/>
      <c r="GGK39" s="45"/>
      <c r="GGL39" s="46"/>
      <c r="GGM39" s="46"/>
      <c r="GGN39" s="47"/>
      <c r="GGO39" s="48"/>
      <c r="GGP39" s="48"/>
      <c r="GGQ39" s="48"/>
      <c r="GGR39" s="48"/>
      <c r="GGS39" s="48"/>
      <c r="GGT39" s="48"/>
      <c r="GGU39" s="48"/>
      <c r="GGV39" s="48"/>
      <c r="GGW39" s="48"/>
      <c r="GGX39" s="48"/>
      <c r="GGY39" s="48"/>
      <c r="GGZ39" s="48"/>
      <c r="GHA39" s="48"/>
      <c r="GHB39" s="48"/>
      <c r="GHC39" s="48"/>
      <c r="GHD39" s="48"/>
      <c r="GHE39" s="48"/>
      <c r="GHF39" s="48"/>
      <c r="GHG39" s="45"/>
      <c r="GHH39" s="46"/>
      <c r="GHI39" s="46"/>
      <c r="GHJ39" s="47"/>
      <c r="GHK39" s="48"/>
      <c r="GHL39" s="48"/>
      <c r="GHM39" s="48"/>
      <c r="GHN39" s="48"/>
      <c r="GHO39" s="48"/>
      <c r="GHP39" s="48"/>
      <c r="GHQ39" s="48"/>
      <c r="GHR39" s="48"/>
      <c r="GHS39" s="48"/>
      <c r="GHT39" s="48"/>
      <c r="GHU39" s="48"/>
      <c r="GHV39" s="48"/>
      <c r="GHW39" s="48"/>
      <c r="GHX39" s="48"/>
      <c r="GHY39" s="48"/>
      <c r="GHZ39" s="48"/>
      <c r="GIA39" s="48"/>
      <c r="GIB39" s="48"/>
      <c r="GIC39" s="45"/>
      <c r="GID39" s="46"/>
      <c r="GIE39" s="46"/>
      <c r="GIF39" s="47"/>
      <c r="GIG39" s="48"/>
      <c r="GIH39" s="48"/>
      <c r="GII39" s="48"/>
      <c r="GIJ39" s="48"/>
      <c r="GIK39" s="48"/>
      <c r="GIL39" s="48"/>
      <c r="GIM39" s="48"/>
      <c r="GIN39" s="48"/>
      <c r="GIO39" s="48"/>
      <c r="GIP39" s="48"/>
      <c r="GIQ39" s="48"/>
      <c r="GIR39" s="48"/>
      <c r="GIS39" s="48"/>
      <c r="GIT39" s="48"/>
      <c r="GIU39" s="48"/>
      <c r="GIV39" s="48"/>
      <c r="GIW39" s="48"/>
      <c r="GIX39" s="48"/>
      <c r="GIY39" s="45"/>
      <c r="GIZ39" s="46"/>
      <c r="GJA39" s="46"/>
      <c r="GJB39" s="47"/>
      <c r="GJC39" s="48"/>
      <c r="GJD39" s="48"/>
      <c r="GJE39" s="48"/>
      <c r="GJF39" s="48"/>
      <c r="GJG39" s="48"/>
      <c r="GJH39" s="48"/>
      <c r="GJI39" s="48"/>
      <c r="GJJ39" s="48"/>
      <c r="GJK39" s="48"/>
      <c r="GJL39" s="48"/>
      <c r="GJM39" s="48"/>
      <c r="GJN39" s="48"/>
      <c r="GJO39" s="48"/>
      <c r="GJP39" s="48"/>
      <c r="GJQ39" s="48"/>
      <c r="GJR39" s="48"/>
      <c r="GJS39" s="48"/>
      <c r="GJT39" s="48"/>
      <c r="GJU39" s="45"/>
      <c r="GJV39" s="46"/>
      <c r="GJW39" s="46"/>
      <c r="GJX39" s="47"/>
      <c r="GJY39" s="48"/>
      <c r="GJZ39" s="48"/>
      <c r="GKA39" s="48"/>
      <c r="GKB39" s="48"/>
      <c r="GKC39" s="48"/>
      <c r="GKD39" s="48"/>
      <c r="GKE39" s="48"/>
      <c r="GKF39" s="48"/>
      <c r="GKG39" s="48"/>
      <c r="GKH39" s="48"/>
      <c r="GKI39" s="48"/>
      <c r="GKJ39" s="48"/>
      <c r="GKK39" s="48"/>
      <c r="GKL39" s="48"/>
      <c r="GKM39" s="48"/>
      <c r="GKN39" s="48"/>
      <c r="GKO39" s="48"/>
      <c r="GKP39" s="48"/>
      <c r="GKQ39" s="45"/>
      <c r="GKR39" s="46"/>
      <c r="GKS39" s="46"/>
      <c r="GKT39" s="47"/>
      <c r="GKU39" s="48"/>
      <c r="GKV39" s="48"/>
      <c r="GKW39" s="48"/>
      <c r="GKX39" s="48"/>
      <c r="GKY39" s="48"/>
      <c r="GKZ39" s="48"/>
      <c r="GLA39" s="48"/>
      <c r="GLB39" s="48"/>
      <c r="GLC39" s="48"/>
      <c r="GLD39" s="48"/>
      <c r="GLE39" s="48"/>
      <c r="GLF39" s="48"/>
      <c r="GLG39" s="48"/>
      <c r="GLH39" s="48"/>
      <c r="GLI39" s="48"/>
      <c r="GLJ39" s="48"/>
      <c r="GLK39" s="48"/>
      <c r="GLL39" s="48"/>
      <c r="GLM39" s="45"/>
      <c r="GLN39" s="46"/>
      <c r="GLO39" s="46"/>
      <c r="GLP39" s="47"/>
      <c r="GLQ39" s="48"/>
      <c r="GLR39" s="48"/>
      <c r="GLS39" s="48"/>
      <c r="GLT39" s="48"/>
      <c r="GLU39" s="48"/>
      <c r="GLV39" s="48"/>
      <c r="GLW39" s="48"/>
      <c r="GLX39" s="48"/>
      <c r="GLY39" s="48"/>
      <c r="GLZ39" s="48"/>
      <c r="GMA39" s="48"/>
      <c r="GMB39" s="48"/>
      <c r="GMC39" s="48"/>
      <c r="GMD39" s="48"/>
      <c r="GME39" s="48"/>
      <c r="GMF39" s="48"/>
      <c r="GMG39" s="48"/>
      <c r="GMH39" s="48"/>
      <c r="GMI39" s="45"/>
      <c r="GMJ39" s="46"/>
      <c r="GMK39" s="46"/>
      <c r="GML39" s="47"/>
      <c r="GMM39" s="48"/>
      <c r="GMN39" s="48"/>
      <c r="GMO39" s="48"/>
      <c r="GMP39" s="48"/>
      <c r="GMQ39" s="48"/>
      <c r="GMR39" s="48"/>
      <c r="GMS39" s="48"/>
      <c r="GMT39" s="48"/>
      <c r="GMU39" s="48"/>
      <c r="GMV39" s="48"/>
      <c r="GMW39" s="48"/>
      <c r="GMX39" s="48"/>
      <c r="GMY39" s="48"/>
      <c r="GMZ39" s="48"/>
      <c r="GNA39" s="48"/>
      <c r="GNB39" s="48"/>
      <c r="GNC39" s="48"/>
      <c r="GND39" s="48"/>
      <c r="GNE39" s="45"/>
      <c r="GNF39" s="46"/>
      <c r="GNG39" s="46"/>
      <c r="GNH39" s="47"/>
      <c r="GNI39" s="48"/>
      <c r="GNJ39" s="48"/>
      <c r="GNK39" s="48"/>
      <c r="GNL39" s="48"/>
      <c r="GNM39" s="48"/>
      <c r="GNN39" s="48"/>
      <c r="GNO39" s="48"/>
      <c r="GNP39" s="48"/>
      <c r="GNQ39" s="48"/>
      <c r="GNR39" s="48"/>
      <c r="GNS39" s="48"/>
      <c r="GNT39" s="48"/>
      <c r="GNU39" s="48"/>
      <c r="GNV39" s="48"/>
      <c r="GNW39" s="48"/>
      <c r="GNX39" s="48"/>
      <c r="GNY39" s="48"/>
      <c r="GNZ39" s="48"/>
      <c r="GOA39" s="45"/>
      <c r="GOB39" s="46"/>
      <c r="GOC39" s="46"/>
      <c r="GOD39" s="47"/>
      <c r="GOE39" s="48"/>
      <c r="GOF39" s="48"/>
      <c r="GOG39" s="48"/>
      <c r="GOH39" s="48"/>
      <c r="GOI39" s="48"/>
      <c r="GOJ39" s="48"/>
      <c r="GOK39" s="48"/>
      <c r="GOL39" s="48"/>
      <c r="GOM39" s="48"/>
      <c r="GON39" s="48"/>
      <c r="GOO39" s="48"/>
      <c r="GOP39" s="48"/>
      <c r="GOQ39" s="48"/>
      <c r="GOR39" s="48"/>
      <c r="GOS39" s="48"/>
      <c r="GOT39" s="48"/>
      <c r="GOU39" s="48"/>
      <c r="GOV39" s="48"/>
      <c r="GOW39" s="45"/>
      <c r="GOX39" s="46"/>
      <c r="GOY39" s="46"/>
      <c r="GOZ39" s="47"/>
      <c r="GPA39" s="48"/>
      <c r="GPB39" s="48"/>
      <c r="GPC39" s="48"/>
      <c r="GPD39" s="48"/>
      <c r="GPE39" s="48"/>
      <c r="GPF39" s="48"/>
      <c r="GPG39" s="48"/>
      <c r="GPH39" s="48"/>
      <c r="GPI39" s="48"/>
      <c r="GPJ39" s="48"/>
      <c r="GPK39" s="48"/>
      <c r="GPL39" s="48"/>
      <c r="GPM39" s="48"/>
      <c r="GPN39" s="48"/>
      <c r="GPO39" s="48"/>
      <c r="GPP39" s="48"/>
      <c r="GPQ39" s="48"/>
      <c r="GPR39" s="48"/>
      <c r="GPS39" s="45"/>
      <c r="GPT39" s="46"/>
      <c r="GPU39" s="46"/>
      <c r="GPV39" s="47"/>
      <c r="GPW39" s="48"/>
      <c r="GPX39" s="48"/>
      <c r="GPY39" s="48"/>
      <c r="GPZ39" s="48"/>
      <c r="GQA39" s="48"/>
      <c r="GQB39" s="48"/>
      <c r="GQC39" s="48"/>
      <c r="GQD39" s="48"/>
      <c r="GQE39" s="48"/>
      <c r="GQF39" s="48"/>
      <c r="GQG39" s="48"/>
      <c r="GQH39" s="48"/>
      <c r="GQI39" s="48"/>
      <c r="GQJ39" s="48"/>
      <c r="GQK39" s="48"/>
      <c r="GQL39" s="48"/>
      <c r="GQM39" s="48"/>
      <c r="GQN39" s="48"/>
      <c r="GQO39" s="45"/>
      <c r="GQP39" s="46"/>
      <c r="GQQ39" s="46"/>
      <c r="GQR39" s="47"/>
      <c r="GQS39" s="48"/>
      <c r="GQT39" s="48"/>
      <c r="GQU39" s="48"/>
      <c r="GQV39" s="48"/>
      <c r="GQW39" s="48"/>
      <c r="GQX39" s="48"/>
      <c r="GQY39" s="48"/>
      <c r="GQZ39" s="48"/>
      <c r="GRA39" s="48"/>
      <c r="GRB39" s="48"/>
      <c r="GRC39" s="48"/>
      <c r="GRD39" s="48"/>
      <c r="GRE39" s="48"/>
      <c r="GRF39" s="48"/>
      <c r="GRG39" s="48"/>
      <c r="GRH39" s="48"/>
      <c r="GRI39" s="48"/>
      <c r="GRJ39" s="48"/>
      <c r="GRK39" s="45"/>
      <c r="GRL39" s="46"/>
      <c r="GRM39" s="46"/>
      <c r="GRN39" s="47"/>
      <c r="GRO39" s="48"/>
      <c r="GRP39" s="48"/>
      <c r="GRQ39" s="48"/>
      <c r="GRR39" s="48"/>
      <c r="GRS39" s="48"/>
      <c r="GRT39" s="48"/>
      <c r="GRU39" s="48"/>
      <c r="GRV39" s="48"/>
      <c r="GRW39" s="48"/>
      <c r="GRX39" s="48"/>
      <c r="GRY39" s="48"/>
      <c r="GRZ39" s="48"/>
      <c r="GSA39" s="48"/>
      <c r="GSB39" s="48"/>
      <c r="GSC39" s="48"/>
      <c r="GSD39" s="48"/>
      <c r="GSE39" s="48"/>
      <c r="GSF39" s="48"/>
      <c r="GSG39" s="45"/>
      <c r="GSH39" s="46"/>
      <c r="GSI39" s="46"/>
      <c r="GSJ39" s="47"/>
      <c r="GSK39" s="48"/>
      <c r="GSL39" s="48"/>
      <c r="GSM39" s="48"/>
      <c r="GSN39" s="48"/>
      <c r="GSO39" s="48"/>
      <c r="GSP39" s="48"/>
      <c r="GSQ39" s="48"/>
      <c r="GSR39" s="48"/>
      <c r="GSS39" s="48"/>
      <c r="GST39" s="48"/>
      <c r="GSU39" s="48"/>
      <c r="GSV39" s="48"/>
      <c r="GSW39" s="48"/>
      <c r="GSX39" s="48"/>
      <c r="GSY39" s="48"/>
      <c r="GSZ39" s="48"/>
      <c r="GTA39" s="48"/>
      <c r="GTB39" s="48"/>
      <c r="GTC39" s="45"/>
      <c r="GTD39" s="46"/>
      <c r="GTE39" s="46"/>
      <c r="GTF39" s="47"/>
      <c r="GTG39" s="48"/>
      <c r="GTH39" s="48"/>
      <c r="GTI39" s="48"/>
      <c r="GTJ39" s="48"/>
      <c r="GTK39" s="48"/>
      <c r="GTL39" s="48"/>
      <c r="GTM39" s="48"/>
      <c r="GTN39" s="48"/>
      <c r="GTO39" s="48"/>
      <c r="GTP39" s="48"/>
      <c r="GTQ39" s="48"/>
      <c r="GTR39" s="48"/>
      <c r="GTS39" s="48"/>
      <c r="GTT39" s="48"/>
      <c r="GTU39" s="48"/>
      <c r="GTV39" s="48"/>
      <c r="GTW39" s="48"/>
      <c r="GTX39" s="48"/>
      <c r="GTY39" s="45"/>
      <c r="GTZ39" s="46"/>
      <c r="GUA39" s="46"/>
      <c r="GUB39" s="47"/>
      <c r="GUC39" s="48"/>
      <c r="GUD39" s="48"/>
      <c r="GUE39" s="48"/>
      <c r="GUF39" s="48"/>
      <c r="GUG39" s="48"/>
      <c r="GUH39" s="48"/>
      <c r="GUI39" s="48"/>
      <c r="GUJ39" s="48"/>
      <c r="GUK39" s="48"/>
      <c r="GUL39" s="48"/>
      <c r="GUM39" s="48"/>
      <c r="GUN39" s="48"/>
      <c r="GUO39" s="48"/>
      <c r="GUP39" s="48"/>
      <c r="GUQ39" s="48"/>
      <c r="GUR39" s="48"/>
      <c r="GUS39" s="48"/>
      <c r="GUT39" s="48"/>
      <c r="GUU39" s="45"/>
      <c r="GUV39" s="46"/>
      <c r="GUW39" s="46"/>
      <c r="GUX39" s="47"/>
      <c r="GUY39" s="48"/>
      <c r="GUZ39" s="48"/>
      <c r="GVA39" s="48"/>
      <c r="GVB39" s="48"/>
      <c r="GVC39" s="48"/>
      <c r="GVD39" s="48"/>
      <c r="GVE39" s="48"/>
      <c r="GVF39" s="48"/>
      <c r="GVG39" s="48"/>
      <c r="GVH39" s="48"/>
      <c r="GVI39" s="48"/>
      <c r="GVJ39" s="48"/>
      <c r="GVK39" s="48"/>
      <c r="GVL39" s="48"/>
      <c r="GVM39" s="48"/>
      <c r="GVN39" s="48"/>
      <c r="GVO39" s="48"/>
      <c r="GVP39" s="48"/>
      <c r="GVQ39" s="45"/>
      <c r="GVR39" s="46"/>
      <c r="GVS39" s="46"/>
      <c r="GVT39" s="47"/>
      <c r="GVU39" s="48"/>
      <c r="GVV39" s="48"/>
      <c r="GVW39" s="48"/>
      <c r="GVX39" s="48"/>
      <c r="GVY39" s="48"/>
      <c r="GVZ39" s="48"/>
      <c r="GWA39" s="48"/>
      <c r="GWB39" s="48"/>
      <c r="GWC39" s="48"/>
      <c r="GWD39" s="48"/>
      <c r="GWE39" s="48"/>
      <c r="GWF39" s="48"/>
      <c r="GWG39" s="48"/>
      <c r="GWH39" s="48"/>
      <c r="GWI39" s="48"/>
      <c r="GWJ39" s="48"/>
      <c r="GWK39" s="48"/>
      <c r="GWL39" s="48"/>
      <c r="GWM39" s="45"/>
      <c r="GWN39" s="46"/>
      <c r="GWO39" s="46"/>
      <c r="GWP39" s="47"/>
      <c r="GWQ39" s="48"/>
      <c r="GWR39" s="48"/>
      <c r="GWS39" s="48"/>
      <c r="GWT39" s="48"/>
      <c r="GWU39" s="48"/>
      <c r="GWV39" s="48"/>
      <c r="GWW39" s="48"/>
      <c r="GWX39" s="48"/>
      <c r="GWY39" s="48"/>
      <c r="GWZ39" s="48"/>
      <c r="GXA39" s="48"/>
      <c r="GXB39" s="48"/>
      <c r="GXC39" s="48"/>
      <c r="GXD39" s="48"/>
      <c r="GXE39" s="48"/>
      <c r="GXF39" s="48"/>
      <c r="GXG39" s="48"/>
      <c r="GXH39" s="48"/>
      <c r="GXI39" s="45"/>
      <c r="GXJ39" s="46"/>
      <c r="GXK39" s="46"/>
      <c r="GXL39" s="47"/>
      <c r="GXM39" s="48"/>
      <c r="GXN39" s="48"/>
      <c r="GXO39" s="48"/>
      <c r="GXP39" s="48"/>
      <c r="GXQ39" s="48"/>
      <c r="GXR39" s="48"/>
      <c r="GXS39" s="48"/>
      <c r="GXT39" s="48"/>
      <c r="GXU39" s="48"/>
      <c r="GXV39" s="48"/>
      <c r="GXW39" s="48"/>
      <c r="GXX39" s="48"/>
      <c r="GXY39" s="48"/>
      <c r="GXZ39" s="48"/>
      <c r="GYA39" s="48"/>
      <c r="GYB39" s="48"/>
      <c r="GYC39" s="48"/>
      <c r="GYD39" s="48"/>
      <c r="GYE39" s="45"/>
      <c r="GYF39" s="46"/>
      <c r="GYG39" s="46"/>
      <c r="GYH39" s="47"/>
      <c r="GYI39" s="48"/>
      <c r="GYJ39" s="48"/>
      <c r="GYK39" s="48"/>
      <c r="GYL39" s="48"/>
      <c r="GYM39" s="48"/>
      <c r="GYN39" s="48"/>
      <c r="GYO39" s="48"/>
      <c r="GYP39" s="48"/>
      <c r="GYQ39" s="48"/>
      <c r="GYR39" s="48"/>
      <c r="GYS39" s="48"/>
      <c r="GYT39" s="48"/>
      <c r="GYU39" s="48"/>
      <c r="GYV39" s="48"/>
      <c r="GYW39" s="48"/>
      <c r="GYX39" s="48"/>
      <c r="GYY39" s="48"/>
      <c r="GYZ39" s="48"/>
      <c r="GZA39" s="45"/>
      <c r="GZB39" s="46"/>
      <c r="GZC39" s="46"/>
      <c r="GZD39" s="47"/>
      <c r="GZE39" s="48"/>
      <c r="GZF39" s="48"/>
      <c r="GZG39" s="48"/>
      <c r="GZH39" s="48"/>
      <c r="GZI39" s="48"/>
      <c r="GZJ39" s="48"/>
      <c r="GZK39" s="48"/>
      <c r="GZL39" s="48"/>
      <c r="GZM39" s="48"/>
      <c r="GZN39" s="48"/>
      <c r="GZO39" s="48"/>
      <c r="GZP39" s="48"/>
      <c r="GZQ39" s="48"/>
      <c r="GZR39" s="48"/>
      <c r="GZS39" s="48"/>
      <c r="GZT39" s="48"/>
      <c r="GZU39" s="48"/>
      <c r="GZV39" s="48"/>
      <c r="GZW39" s="45"/>
      <c r="GZX39" s="46"/>
      <c r="GZY39" s="46"/>
      <c r="GZZ39" s="47"/>
      <c r="HAA39" s="48"/>
      <c r="HAB39" s="48"/>
      <c r="HAC39" s="48"/>
      <c r="HAD39" s="48"/>
      <c r="HAE39" s="48"/>
      <c r="HAF39" s="48"/>
      <c r="HAG39" s="48"/>
      <c r="HAH39" s="48"/>
      <c r="HAI39" s="48"/>
      <c r="HAJ39" s="48"/>
      <c r="HAK39" s="48"/>
      <c r="HAL39" s="48"/>
      <c r="HAM39" s="48"/>
      <c r="HAN39" s="48"/>
      <c r="HAO39" s="48"/>
      <c r="HAP39" s="48"/>
      <c r="HAQ39" s="48"/>
      <c r="HAR39" s="48"/>
      <c r="HAS39" s="45"/>
      <c r="HAT39" s="46"/>
      <c r="HAU39" s="46"/>
      <c r="HAV39" s="47"/>
      <c r="HAW39" s="48"/>
      <c r="HAX39" s="48"/>
      <c r="HAY39" s="48"/>
      <c r="HAZ39" s="48"/>
      <c r="HBA39" s="48"/>
      <c r="HBB39" s="48"/>
      <c r="HBC39" s="48"/>
      <c r="HBD39" s="48"/>
      <c r="HBE39" s="48"/>
      <c r="HBF39" s="48"/>
      <c r="HBG39" s="48"/>
      <c r="HBH39" s="48"/>
      <c r="HBI39" s="48"/>
      <c r="HBJ39" s="48"/>
      <c r="HBK39" s="48"/>
      <c r="HBL39" s="48"/>
      <c r="HBM39" s="48"/>
      <c r="HBN39" s="48"/>
      <c r="HBO39" s="45"/>
      <c r="HBP39" s="46"/>
      <c r="HBQ39" s="46"/>
      <c r="HBR39" s="47"/>
      <c r="HBS39" s="48"/>
      <c r="HBT39" s="48"/>
      <c r="HBU39" s="48"/>
      <c r="HBV39" s="48"/>
      <c r="HBW39" s="48"/>
      <c r="HBX39" s="48"/>
      <c r="HBY39" s="48"/>
      <c r="HBZ39" s="48"/>
      <c r="HCA39" s="48"/>
      <c r="HCB39" s="48"/>
      <c r="HCC39" s="48"/>
      <c r="HCD39" s="48"/>
      <c r="HCE39" s="48"/>
      <c r="HCF39" s="48"/>
      <c r="HCG39" s="48"/>
      <c r="HCH39" s="48"/>
      <c r="HCI39" s="48"/>
      <c r="HCJ39" s="48"/>
      <c r="HCK39" s="45"/>
      <c r="HCL39" s="46"/>
      <c r="HCM39" s="46"/>
      <c r="HCN39" s="47"/>
      <c r="HCO39" s="48"/>
      <c r="HCP39" s="48"/>
      <c r="HCQ39" s="48"/>
      <c r="HCR39" s="48"/>
      <c r="HCS39" s="48"/>
      <c r="HCT39" s="48"/>
      <c r="HCU39" s="48"/>
      <c r="HCV39" s="48"/>
      <c r="HCW39" s="48"/>
      <c r="HCX39" s="48"/>
      <c r="HCY39" s="48"/>
      <c r="HCZ39" s="48"/>
      <c r="HDA39" s="48"/>
      <c r="HDB39" s="48"/>
      <c r="HDC39" s="48"/>
      <c r="HDD39" s="48"/>
      <c r="HDE39" s="48"/>
      <c r="HDF39" s="48"/>
      <c r="HDG39" s="45"/>
      <c r="HDH39" s="46"/>
      <c r="HDI39" s="46"/>
      <c r="HDJ39" s="47"/>
      <c r="HDK39" s="48"/>
      <c r="HDL39" s="48"/>
      <c r="HDM39" s="48"/>
      <c r="HDN39" s="48"/>
      <c r="HDO39" s="48"/>
      <c r="HDP39" s="48"/>
      <c r="HDQ39" s="48"/>
      <c r="HDR39" s="48"/>
      <c r="HDS39" s="48"/>
      <c r="HDT39" s="48"/>
      <c r="HDU39" s="48"/>
      <c r="HDV39" s="48"/>
      <c r="HDW39" s="48"/>
      <c r="HDX39" s="48"/>
      <c r="HDY39" s="48"/>
      <c r="HDZ39" s="48"/>
      <c r="HEA39" s="48"/>
      <c r="HEB39" s="48"/>
      <c r="HEC39" s="45"/>
      <c r="HED39" s="46"/>
      <c r="HEE39" s="46"/>
      <c r="HEF39" s="47"/>
      <c r="HEG39" s="48"/>
      <c r="HEH39" s="48"/>
      <c r="HEI39" s="48"/>
      <c r="HEJ39" s="48"/>
      <c r="HEK39" s="48"/>
      <c r="HEL39" s="48"/>
      <c r="HEM39" s="48"/>
      <c r="HEN39" s="48"/>
      <c r="HEO39" s="48"/>
      <c r="HEP39" s="48"/>
      <c r="HEQ39" s="48"/>
      <c r="HER39" s="48"/>
      <c r="HES39" s="48"/>
      <c r="HET39" s="48"/>
      <c r="HEU39" s="48"/>
      <c r="HEV39" s="48"/>
      <c r="HEW39" s="48"/>
      <c r="HEX39" s="48"/>
      <c r="HEY39" s="45"/>
      <c r="HEZ39" s="46"/>
      <c r="HFA39" s="46"/>
      <c r="HFB39" s="47"/>
      <c r="HFC39" s="48"/>
      <c r="HFD39" s="48"/>
      <c r="HFE39" s="48"/>
      <c r="HFF39" s="48"/>
      <c r="HFG39" s="48"/>
      <c r="HFH39" s="48"/>
      <c r="HFI39" s="48"/>
      <c r="HFJ39" s="48"/>
      <c r="HFK39" s="48"/>
      <c r="HFL39" s="48"/>
      <c r="HFM39" s="48"/>
      <c r="HFN39" s="48"/>
      <c r="HFO39" s="48"/>
      <c r="HFP39" s="48"/>
      <c r="HFQ39" s="48"/>
      <c r="HFR39" s="48"/>
      <c r="HFS39" s="48"/>
      <c r="HFT39" s="48"/>
      <c r="HFU39" s="45"/>
      <c r="HFV39" s="46"/>
      <c r="HFW39" s="46"/>
      <c r="HFX39" s="47"/>
      <c r="HFY39" s="48"/>
      <c r="HFZ39" s="48"/>
      <c r="HGA39" s="48"/>
      <c r="HGB39" s="48"/>
      <c r="HGC39" s="48"/>
      <c r="HGD39" s="48"/>
      <c r="HGE39" s="48"/>
      <c r="HGF39" s="48"/>
      <c r="HGG39" s="48"/>
      <c r="HGH39" s="48"/>
      <c r="HGI39" s="48"/>
      <c r="HGJ39" s="48"/>
      <c r="HGK39" s="48"/>
      <c r="HGL39" s="48"/>
      <c r="HGM39" s="48"/>
      <c r="HGN39" s="48"/>
      <c r="HGO39" s="48"/>
      <c r="HGP39" s="48"/>
      <c r="HGQ39" s="45"/>
      <c r="HGR39" s="46"/>
      <c r="HGS39" s="46"/>
      <c r="HGT39" s="47"/>
      <c r="HGU39" s="48"/>
      <c r="HGV39" s="48"/>
      <c r="HGW39" s="48"/>
      <c r="HGX39" s="48"/>
      <c r="HGY39" s="48"/>
      <c r="HGZ39" s="48"/>
      <c r="HHA39" s="48"/>
      <c r="HHB39" s="48"/>
      <c r="HHC39" s="48"/>
      <c r="HHD39" s="48"/>
      <c r="HHE39" s="48"/>
      <c r="HHF39" s="48"/>
      <c r="HHG39" s="48"/>
      <c r="HHH39" s="48"/>
      <c r="HHI39" s="48"/>
      <c r="HHJ39" s="48"/>
      <c r="HHK39" s="48"/>
      <c r="HHL39" s="48"/>
      <c r="HHM39" s="45"/>
      <c r="HHN39" s="46"/>
      <c r="HHO39" s="46"/>
      <c r="HHP39" s="47"/>
      <c r="HHQ39" s="48"/>
      <c r="HHR39" s="48"/>
      <c r="HHS39" s="48"/>
      <c r="HHT39" s="48"/>
      <c r="HHU39" s="48"/>
      <c r="HHV39" s="48"/>
      <c r="HHW39" s="48"/>
      <c r="HHX39" s="48"/>
      <c r="HHY39" s="48"/>
      <c r="HHZ39" s="48"/>
      <c r="HIA39" s="48"/>
      <c r="HIB39" s="48"/>
      <c r="HIC39" s="48"/>
      <c r="HID39" s="48"/>
      <c r="HIE39" s="48"/>
      <c r="HIF39" s="48"/>
      <c r="HIG39" s="48"/>
      <c r="HIH39" s="48"/>
      <c r="HII39" s="45"/>
      <c r="HIJ39" s="46"/>
      <c r="HIK39" s="46"/>
      <c r="HIL39" s="47"/>
      <c r="HIM39" s="48"/>
      <c r="HIN39" s="48"/>
      <c r="HIO39" s="48"/>
      <c r="HIP39" s="48"/>
      <c r="HIQ39" s="48"/>
      <c r="HIR39" s="48"/>
      <c r="HIS39" s="48"/>
      <c r="HIT39" s="48"/>
      <c r="HIU39" s="48"/>
      <c r="HIV39" s="48"/>
      <c r="HIW39" s="48"/>
      <c r="HIX39" s="48"/>
      <c r="HIY39" s="48"/>
      <c r="HIZ39" s="48"/>
      <c r="HJA39" s="48"/>
      <c r="HJB39" s="48"/>
      <c r="HJC39" s="48"/>
      <c r="HJD39" s="48"/>
      <c r="HJE39" s="45"/>
      <c r="HJF39" s="46"/>
      <c r="HJG39" s="46"/>
      <c r="HJH39" s="47"/>
      <c r="HJI39" s="48"/>
      <c r="HJJ39" s="48"/>
      <c r="HJK39" s="48"/>
      <c r="HJL39" s="48"/>
      <c r="HJM39" s="48"/>
      <c r="HJN39" s="48"/>
      <c r="HJO39" s="48"/>
      <c r="HJP39" s="48"/>
      <c r="HJQ39" s="48"/>
      <c r="HJR39" s="48"/>
      <c r="HJS39" s="48"/>
      <c r="HJT39" s="48"/>
      <c r="HJU39" s="48"/>
      <c r="HJV39" s="48"/>
      <c r="HJW39" s="48"/>
      <c r="HJX39" s="48"/>
      <c r="HJY39" s="48"/>
      <c r="HJZ39" s="48"/>
      <c r="HKA39" s="45"/>
      <c r="HKB39" s="46"/>
      <c r="HKC39" s="46"/>
      <c r="HKD39" s="47"/>
      <c r="HKE39" s="48"/>
      <c r="HKF39" s="48"/>
      <c r="HKG39" s="48"/>
      <c r="HKH39" s="48"/>
      <c r="HKI39" s="48"/>
      <c r="HKJ39" s="48"/>
      <c r="HKK39" s="48"/>
      <c r="HKL39" s="48"/>
      <c r="HKM39" s="48"/>
      <c r="HKN39" s="48"/>
      <c r="HKO39" s="48"/>
      <c r="HKP39" s="48"/>
      <c r="HKQ39" s="48"/>
      <c r="HKR39" s="48"/>
      <c r="HKS39" s="48"/>
      <c r="HKT39" s="48"/>
      <c r="HKU39" s="48"/>
      <c r="HKV39" s="48"/>
      <c r="HKW39" s="45"/>
      <c r="HKX39" s="46"/>
      <c r="HKY39" s="46"/>
      <c r="HKZ39" s="47"/>
      <c r="HLA39" s="48"/>
      <c r="HLB39" s="48"/>
      <c r="HLC39" s="48"/>
      <c r="HLD39" s="48"/>
      <c r="HLE39" s="48"/>
      <c r="HLF39" s="48"/>
      <c r="HLG39" s="48"/>
      <c r="HLH39" s="48"/>
      <c r="HLI39" s="48"/>
      <c r="HLJ39" s="48"/>
      <c r="HLK39" s="48"/>
      <c r="HLL39" s="48"/>
      <c r="HLM39" s="48"/>
      <c r="HLN39" s="48"/>
      <c r="HLO39" s="48"/>
      <c r="HLP39" s="48"/>
      <c r="HLQ39" s="48"/>
      <c r="HLR39" s="48"/>
      <c r="HLS39" s="45"/>
      <c r="HLT39" s="46"/>
      <c r="HLU39" s="46"/>
      <c r="HLV39" s="47"/>
      <c r="HLW39" s="48"/>
      <c r="HLX39" s="48"/>
      <c r="HLY39" s="48"/>
      <c r="HLZ39" s="48"/>
      <c r="HMA39" s="48"/>
      <c r="HMB39" s="48"/>
      <c r="HMC39" s="48"/>
      <c r="HMD39" s="48"/>
      <c r="HME39" s="48"/>
      <c r="HMF39" s="48"/>
      <c r="HMG39" s="48"/>
      <c r="HMH39" s="48"/>
      <c r="HMI39" s="48"/>
      <c r="HMJ39" s="48"/>
      <c r="HMK39" s="48"/>
      <c r="HML39" s="48"/>
      <c r="HMM39" s="48"/>
      <c r="HMN39" s="48"/>
      <c r="HMO39" s="45"/>
      <c r="HMP39" s="46"/>
      <c r="HMQ39" s="46"/>
      <c r="HMR39" s="47"/>
      <c r="HMS39" s="48"/>
      <c r="HMT39" s="48"/>
      <c r="HMU39" s="48"/>
      <c r="HMV39" s="48"/>
      <c r="HMW39" s="48"/>
      <c r="HMX39" s="48"/>
      <c r="HMY39" s="48"/>
      <c r="HMZ39" s="48"/>
      <c r="HNA39" s="48"/>
      <c r="HNB39" s="48"/>
      <c r="HNC39" s="48"/>
      <c r="HND39" s="48"/>
      <c r="HNE39" s="48"/>
      <c r="HNF39" s="48"/>
      <c r="HNG39" s="48"/>
      <c r="HNH39" s="48"/>
      <c r="HNI39" s="48"/>
      <c r="HNJ39" s="48"/>
      <c r="HNK39" s="45"/>
      <c r="HNL39" s="46"/>
      <c r="HNM39" s="46"/>
      <c r="HNN39" s="47"/>
      <c r="HNO39" s="48"/>
      <c r="HNP39" s="48"/>
      <c r="HNQ39" s="48"/>
      <c r="HNR39" s="48"/>
      <c r="HNS39" s="48"/>
      <c r="HNT39" s="48"/>
      <c r="HNU39" s="48"/>
      <c r="HNV39" s="48"/>
      <c r="HNW39" s="48"/>
      <c r="HNX39" s="48"/>
      <c r="HNY39" s="48"/>
      <c r="HNZ39" s="48"/>
      <c r="HOA39" s="48"/>
      <c r="HOB39" s="48"/>
      <c r="HOC39" s="48"/>
      <c r="HOD39" s="48"/>
      <c r="HOE39" s="48"/>
      <c r="HOF39" s="48"/>
      <c r="HOG39" s="45"/>
      <c r="HOH39" s="46"/>
      <c r="HOI39" s="46"/>
      <c r="HOJ39" s="47"/>
      <c r="HOK39" s="48"/>
      <c r="HOL39" s="48"/>
      <c r="HOM39" s="48"/>
      <c r="HON39" s="48"/>
      <c r="HOO39" s="48"/>
      <c r="HOP39" s="48"/>
      <c r="HOQ39" s="48"/>
      <c r="HOR39" s="48"/>
      <c r="HOS39" s="48"/>
      <c r="HOT39" s="48"/>
      <c r="HOU39" s="48"/>
      <c r="HOV39" s="48"/>
      <c r="HOW39" s="48"/>
      <c r="HOX39" s="48"/>
      <c r="HOY39" s="48"/>
      <c r="HOZ39" s="48"/>
      <c r="HPA39" s="48"/>
      <c r="HPB39" s="48"/>
      <c r="HPC39" s="45"/>
      <c r="HPD39" s="46"/>
      <c r="HPE39" s="46"/>
      <c r="HPF39" s="47"/>
      <c r="HPG39" s="48"/>
      <c r="HPH39" s="48"/>
      <c r="HPI39" s="48"/>
      <c r="HPJ39" s="48"/>
      <c r="HPK39" s="48"/>
      <c r="HPL39" s="48"/>
      <c r="HPM39" s="48"/>
      <c r="HPN39" s="48"/>
      <c r="HPO39" s="48"/>
      <c r="HPP39" s="48"/>
      <c r="HPQ39" s="48"/>
      <c r="HPR39" s="48"/>
      <c r="HPS39" s="48"/>
      <c r="HPT39" s="48"/>
      <c r="HPU39" s="48"/>
      <c r="HPV39" s="48"/>
      <c r="HPW39" s="48"/>
      <c r="HPX39" s="48"/>
      <c r="HPY39" s="45"/>
      <c r="HPZ39" s="46"/>
      <c r="HQA39" s="46"/>
      <c r="HQB39" s="47"/>
      <c r="HQC39" s="48"/>
      <c r="HQD39" s="48"/>
      <c r="HQE39" s="48"/>
      <c r="HQF39" s="48"/>
      <c r="HQG39" s="48"/>
      <c r="HQH39" s="48"/>
      <c r="HQI39" s="48"/>
      <c r="HQJ39" s="48"/>
      <c r="HQK39" s="48"/>
      <c r="HQL39" s="48"/>
      <c r="HQM39" s="48"/>
      <c r="HQN39" s="48"/>
      <c r="HQO39" s="48"/>
      <c r="HQP39" s="48"/>
      <c r="HQQ39" s="48"/>
      <c r="HQR39" s="48"/>
      <c r="HQS39" s="48"/>
      <c r="HQT39" s="48"/>
      <c r="HQU39" s="45"/>
      <c r="HQV39" s="46"/>
      <c r="HQW39" s="46"/>
      <c r="HQX39" s="47"/>
      <c r="HQY39" s="48"/>
      <c r="HQZ39" s="48"/>
      <c r="HRA39" s="48"/>
      <c r="HRB39" s="48"/>
      <c r="HRC39" s="48"/>
      <c r="HRD39" s="48"/>
      <c r="HRE39" s="48"/>
      <c r="HRF39" s="48"/>
      <c r="HRG39" s="48"/>
      <c r="HRH39" s="48"/>
      <c r="HRI39" s="48"/>
      <c r="HRJ39" s="48"/>
      <c r="HRK39" s="48"/>
      <c r="HRL39" s="48"/>
      <c r="HRM39" s="48"/>
      <c r="HRN39" s="48"/>
      <c r="HRO39" s="48"/>
      <c r="HRP39" s="48"/>
      <c r="HRQ39" s="45"/>
      <c r="HRR39" s="46"/>
      <c r="HRS39" s="46"/>
      <c r="HRT39" s="47"/>
      <c r="HRU39" s="48"/>
      <c r="HRV39" s="48"/>
      <c r="HRW39" s="48"/>
      <c r="HRX39" s="48"/>
      <c r="HRY39" s="48"/>
      <c r="HRZ39" s="48"/>
      <c r="HSA39" s="48"/>
      <c r="HSB39" s="48"/>
      <c r="HSC39" s="48"/>
      <c r="HSD39" s="48"/>
      <c r="HSE39" s="48"/>
      <c r="HSF39" s="48"/>
      <c r="HSG39" s="48"/>
      <c r="HSH39" s="48"/>
      <c r="HSI39" s="48"/>
      <c r="HSJ39" s="48"/>
      <c r="HSK39" s="48"/>
      <c r="HSL39" s="48"/>
      <c r="HSM39" s="45"/>
      <c r="HSN39" s="46"/>
      <c r="HSO39" s="46"/>
      <c r="HSP39" s="47"/>
      <c r="HSQ39" s="48"/>
      <c r="HSR39" s="48"/>
      <c r="HSS39" s="48"/>
      <c r="HST39" s="48"/>
      <c r="HSU39" s="48"/>
      <c r="HSV39" s="48"/>
      <c r="HSW39" s="48"/>
      <c r="HSX39" s="48"/>
      <c r="HSY39" s="48"/>
      <c r="HSZ39" s="48"/>
      <c r="HTA39" s="48"/>
      <c r="HTB39" s="48"/>
      <c r="HTC39" s="48"/>
      <c r="HTD39" s="48"/>
      <c r="HTE39" s="48"/>
      <c r="HTF39" s="48"/>
      <c r="HTG39" s="48"/>
      <c r="HTH39" s="48"/>
      <c r="HTI39" s="45"/>
      <c r="HTJ39" s="46"/>
      <c r="HTK39" s="46"/>
      <c r="HTL39" s="47"/>
      <c r="HTM39" s="48"/>
      <c r="HTN39" s="48"/>
      <c r="HTO39" s="48"/>
      <c r="HTP39" s="48"/>
      <c r="HTQ39" s="48"/>
      <c r="HTR39" s="48"/>
      <c r="HTS39" s="48"/>
      <c r="HTT39" s="48"/>
      <c r="HTU39" s="48"/>
      <c r="HTV39" s="48"/>
      <c r="HTW39" s="48"/>
      <c r="HTX39" s="48"/>
      <c r="HTY39" s="48"/>
      <c r="HTZ39" s="48"/>
      <c r="HUA39" s="48"/>
      <c r="HUB39" s="48"/>
      <c r="HUC39" s="48"/>
      <c r="HUD39" s="48"/>
      <c r="HUE39" s="45"/>
      <c r="HUF39" s="46"/>
      <c r="HUG39" s="46"/>
      <c r="HUH39" s="47"/>
      <c r="HUI39" s="48"/>
      <c r="HUJ39" s="48"/>
      <c r="HUK39" s="48"/>
      <c r="HUL39" s="48"/>
      <c r="HUM39" s="48"/>
      <c r="HUN39" s="48"/>
      <c r="HUO39" s="48"/>
      <c r="HUP39" s="48"/>
      <c r="HUQ39" s="48"/>
      <c r="HUR39" s="48"/>
      <c r="HUS39" s="48"/>
      <c r="HUT39" s="48"/>
      <c r="HUU39" s="48"/>
      <c r="HUV39" s="48"/>
      <c r="HUW39" s="48"/>
      <c r="HUX39" s="48"/>
      <c r="HUY39" s="48"/>
      <c r="HUZ39" s="48"/>
      <c r="HVA39" s="45"/>
      <c r="HVB39" s="46"/>
      <c r="HVC39" s="46"/>
      <c r="HVD39" s="47"/>
      <c r="HVE39" s="48"/>
      <c r="HVF39" s="48"/>
      <c r="HVG39" s="48"/>
      <c r="HVH39" s="48"/>
      <c r="HVI39" s="48"/>
      <c r="HVJ39" s="48"/>
      <c r="HVK39" s="48"/>
      <c r="HVL39" s="48"/>
      <c r="HVM39" s="48"/>
      <c r="HVN39" s="48"/>
      <c r="HVO39" s="48"/>
      <c r="HVP39" s="48"/>
      <c r="HVQ39" s="48"/>
      <c r="HVR39" s="48"/>
      <c r="HVS39" s="48"/>
      <c r="HVT39" s="48"/>
      <c r="HVU39" s="48"/>
      <c r="HVV39" s="48"/>
      <c r="HVW39" s="45"/>
      <c r="HVX39" s="46"/>
      <c r="HVY39" s="46"/>
      <c r="HVZ39" s="47"/>
      <c r="HWA39" s="48"/>
      <c r="HWB39" s="48"/>
      <c r="HWC39" s="48"/>
      <c r="HWD39" s="48"/>
      <c r="HWE39" s="48"/>
      <c r="HWF39" s="48"/>
      <c r="HWG39" s="48"/>
      <c r="HWH39" s="48"/>
      <c r="HWI39" s="48"/>
      <c r="HWJ39" s="48"/>
      <c r="HWK39" s="48"/>
      <c r="HWL39" s="48"/>
      <c r="HWM39" s="48"/>
      <c r="HWN39" s="48"/>
      <c r="HWO39" s="48"/>
      <c r="HWP39" s="48"/>
      <c r="HWQ39" s="48"/>
      <c r="HWR39" s="48"/>
      <c r="HWS39" s="45"/>
      <c r="HWT39" s="46"/>
      <c r="HWU39" s="46"/>
      <c r="HWV39" s="47"/>
      <c r="HWW39" s="48"/>
      <c r="HWX39" s="48"/>
      <c r="HWY39" s="48"/>
      <c r="HWZ39" s="48"/>
      <c r="HXA39" s="48"/>
      <c r="HXB39" s="48"/>
      <c r="HXC39" s="48"/>
      <c r="HXD39" s="48"/>
      <c r="HXE39" s="48"/>
      <c r="HXF39" s="48"/>
      <c r="HXG39" s="48"/>
      <c r="HXH39" s="48"/>
      <c r="HXI39" s="48"/>
      <c r="HXJ39" s="48"/>
      <c r="HXK39" s="48"/>
      <c r="HXL39" s="48"/>
      <c r="HXM39" s="48"/>
      <c r="HXN39" s="48"/>
      <c r="HXO39" s="45"/>
      <c r="HXP39" s="46"/>
      <c r="HXQ39" s="46"/>
      <c r="HXR39" s="47"/>
      <c r="HXS39" s="48"/>
      <c r="HXT39" s="48"/>
      <c r="HXU39" s="48"/>
      <c r="HXV39" s="48"/>
      <c r="HXW39" s="48"/>
      <c r="HXX39" s="48"/>
      <c r="HXY39" s="48"/>
      <c r="HXZ39" s="48"/>
      <c r="HYA39" s="48"/>
      <c r="HYB39" s="48"/>
      <c r="HYC39" s="48"/>
      <c r="HYD39" s="48"/>
      <c r="HYE39" s="48"/>
      <c r="HYF39" s="48"/>
      <c r="HYG39" s="48"/>
      <c r="HYH39" s="48"/>
      <c r="HYI39" s="48"/>
      <c r="HYJ39" s="48"/>
      <c r="HYK39" s="45"/>
      <c r="HYL39" s="46"/>
      <c r="HYM39" s="46"/>
      <c r="HYN39" s="47"/>
      <c r="HYO39" s="48"/>
      <c r="HYP39" s="48"/>
      <c r="HYQ39" s="48"/>
      <c r="HYR39" s="48"/>
      <c r="HYS39" s="48"/>
      <c r="HYT39" s="48"/>
      <c r="HYU39" s="48"/>
      <c r="HYV39" s="48"/>
      <c r="HYW39" s="48"/>
      <c r="HYX39" s="48"/>
      <c r="HYY39" s="48"/>
      <c r="HYZ39" s="48"/>
      <c r="HZA39" s="48"/>
      <c r="HZB39" s="48"/>
      <c r="HZC39" s="48"/>
      <c r="HZD39" s="48"/>
      <c r="HZE39" s="48"/>
      <c r="HZF39" s="48"/>
      <c r="HZG39" s="45"/>
      <c r="HZH39" s="46"/>
      <c r="HZI39" s="46"/>
      <c r="HZJ39" s="47"/>
      <c r="HZK39" s="48"/>
      <c r="HZL39" s="48"/>
      <c r="HZM39" s="48"/>
      <c r="HZN39" s="48"/>
      <c r="HZO39" s="48"/>
      <c r="HZP39" s="48"/>
      <c r="HZQ39" s="48"/>
      <c r="HZR39" s="48"/>
      <c r="HZS39" s="48"/>
      <c r="HZT39" s="48"/>
      <c r="HZU39" s="48"/>
      <c r="HZV39" s="48"/>
      <c r="HZW39" s="48"/>
      <c r="HZX39" s="48"/>
      <c r="HZY39" s="48"/>
      <c r="HZZ39" s="48"/>
      <c r="IAA39" s="48"/>
      <c r="IAB39" s="48"/>
      <c r="IAC39" s="45"/>
      <c r="IAD39" s="46"/>
      <c r="IAE39" s="46"/>
      <c r="IAF39" s="47"/>
      <c r="IAG39" s="48"/>
      <c r="IAH39" s="48"/>
      <c r="IAI39" s="48"/>
      <c r="IAJ39" s="48"/>
      <c r="IAK39" s="48"/>
      <c r="IAL39" s="48"/>
      <c r="IAM39" s="48"/>
      <c r="IAN39" s="48"/>
      <c r="IAO39" s="48"/>
      <c r="IAP39" s="48"/>
      <c r="IAQ39" s="48"/>
      <c r="IAR39" s="48"/>
      <c r="IAS39" s="48"/>
      <c r="IAT39" s="48"/>
      <c r="IAU39" s="48"/>
      <c r="IAV39" s="48"/>
      <c r="IAW39" s="48"/>
      <c r="IAX39" s="48"/>
      <c r="IAY39" s="45"/>
      <c r="IAZ39" s="46"/>
      <c r="IBA39" s="46"/>
      <c r="IBB39" s="47"/>
      <c r="IBC39" s="48"/>
      <c r="IBD39" s="48"/>
      <c r="IBE39" s="48"/>
      <c r="IBF39" s="48"/>
      <c r="IBG39" s="48"/>
      <c r="IBH39" s="48"/>
      <c r="IBI39" s="48"/>
      <c r="IBJ39" s="48"/>
      <c r="IBK39" s="48"/>
      <c r="IBL39" s="48"/>
      <c r="IBM39" s="48"/>
      <c r="IBN39" s="48"/>
      <c r="IBO39" s="48"/>
      <c r="IBP39" s="48"/>
      <c r="IBQ39" s="48"/>
      <c r="IBR39" s="48"/>
      <c r="IBS39" s="48"/>
      <c r="IBT39" s="48"/>
      <c r="IBU39" s="45"/>
      <c r="IBV39" s="46"/>
      <c r="IBW39" s="46"/>
      <c r="IBX39" s="47"/>
      <c r="IBY39" s="48"/>
      <c r="IBZ39" s="48"/>
      <c r="ICA39" s="48"/>
      <c r="ICB39" s="48"/>
      <c r="ICC39" s="48"/>
      <c r="ICD39" s="48"/>
      <c r="ICE39" s="48"/>
      <c r="ICF39" s="48"/>
      <c r="ICG39" s="48"/>
      <c r="ICH39" s="48"/>
      <c r="ICI39" s="48"/>
      <c r="ICJ39" s="48"/>
      <c r="ICK39" s="48"/>
      <c r="ICL39" s="48"/>
      <c r="ICM39" s="48"/>
      <c r="ICN39" s="48"/>
      <c r="ICO39" s="48"/>
      <c r="ICP39" s="48"/>
      <c r="ICQ39" s="45"/>
      <c r="ICR39" s="46"/>
      <c r="ICS39" s="46"/>
      <c r="ICT39" s="47"/>
      <c r="ICU39" s="48"/>
      <c r="ICV39" s="48"/>
      <c r="ICW39" s="48"/>
      <c r="ICX39" s="48"/>
      <c r="ICY39" s="48"/>
      <c r="ICZ39" s="48"/>
      <c r="IDA39" s="48"/>
      <c r="IDB39" s="48"/>
      <c r="IDC39" s="48"/>
      <c r="IDD39" s="48"/>
      <c r="IDE39" s="48"/>
      <c r="IDF39" s="48"/>
      <c r="IDG39" s="48"/>
      <c r="IDH39" s="48"/>
      <c r="IDI39" s="48"/>
      <c r="IDJ39" s="48"/>
      <c r="IDK39" s="48"/>
      <c r="IDL39" s="48"/>
      <c r="IDM39" s="45"/>
      <c r="IDN39" s="46"/>
      <c r="IDO39" s="46"/>
      <c r="IDP39" s="47"/>
      <c r="IDQ39" s="48"/>
      <c r="IDR39" s="48"/>
      <c r="IDS39" s="48"/>
      <c r="IDT39" s="48"/>
      <c r="IDU39" s="48"/>
      <c r="IDV39" s="48"/>
      <c r="IDW39" s="48"/>
      <c r="IDX39" s="48"/>
      <c r="IDY39" s="48"/>
      <c r="IDZ39" s="48"/>
      <c r="IEA39" s="48"/>
      <c r="IEB39" s="48"/>
      <c r="IEC39" s="48"/>
      <c r="IED39" s="48"/>
      <c r="IEE39" s="48"/>
      <c r="IEF39" s="48"/>
      <c r="IEG39" s="48"/>
      <c r="IEH39" s="48"/>
      <c r="IEI39" s="45"/>
      <c r="IEJ39" s="46"/>
      <c r="IEK39" s="46"/>
      <c r="IEL39" s="47"/>
      <c r="IEM39" s="48"/>
      <c r="IEN39" s="48"/>
      <c r="IEO39" s="48"/>
      <c r="IEP39" s="48"/>
      <c r="IEQ39" s="48"/>
      <c r="IER39" s="48"/>
      <c r="IES39" s="48"/>
      <c r="IET39" s="48"/>
      <c r="IEU39" s="48"/>
      <c r="IEV39" s="48"/>
      <c r="IEW39" s="48"/>
      <c r="IEX39" s="48"/>
      <c r="IEY39" s="48"/>
      <c r="IEZ39" s="48"/>
      <c r="IFA39" s="48"/>
      <c r="IFB39" s="48"/>
      <c r="IFC39" s="48"/>
      <c r="IFD39" s="48"/>
      <c r="IFE39" s="45"/>
      <c r="IFF39" s="46"/>
      <c r="IFG39" s="46"/>
      <c r="IFH39" s="47"/>
      <c r="IFI39" s="48"/>
      <c r="IFJ39" s="48"/>
      <c r="IFK39" s="48"/>
      <c r="IFL39" s="48"/>
      <c r="IFM39" s="48"/>
      <c r="IFN39" s="48"/>
      <c r="IFO39" s="48"/>
      <c r="IFP39" s="48"/>
      <c r="IFQ39" s="48"/>
      <c r="IFR39" s="48"/>
      <c r="IFS39" s="48"/>
      <c r="IFT39" s="48"/>
      <c r="IFU39" s="48"/>
      <c r="IFV39" s="48"/>
      <c r="IFW39" s="48"/>
      <c r="IFX39" s="48"/>
      <c r="IFY39" s="48"/>
      <c r="IFZ39" s="48"/>
      <c r="IGA39" s="45"/>
      <c r="IGB39" s="46"/>
      <c r="IGC39" s="46"/>
      <c r="IGD39" s="47"/>
      <c r="IGE39" s="48"/>
      <c r="IGF39" s="48"/>
      <c r="IGG39" s="48"/>
      <c r="IGH39" s="48"/>
      <c r="IGI39" s="48"/>
      <c r="IGJ39" s="48"/>
      <c r="IGK39" s="48"/>
      <c r="IGL39" s="48"/>
      <c r="IGM39" s="48"/>
      <c r="IGN39" s="48"/>
      <c r="IGO39" s="48"/>
      <c r="IGP39" s="48"/>
      <c r="IGQ39" s="48"/>
      <c r="IGR39" s="48"/>
      <c r="IGS39" s="48"/>
      <c r="IGT39" s="48"/>
      <c r="IGU39" s="48"/>
      <c r="IGV39" s="48"/>
      <c r="IGW39" s="45"/>
      <c r="IGX39" s="46"/>
      <c r="IGY39" s="46"/>
      <c r="IGZ39" s="47"/>
      <c r="IHA39" s="48"/>
      <c r="IHB39" s="48"/>
      <c r="IHC39" s="48"/>
      <c r="IHD39" s="48"/>
      <c r="IHE39" s="48"/>
      <c r="IHF39" s="48"/>
      <c r="IHG39" s="48"/>
      <c r="IHH39" s="48"/>
      <c r="IHI39" s="48"/>
      <c r="IHJ39" s="48"/>
      <c r="IHK39" s="48"/>
      <c r="IHL39" s="48"/>
      <c r="IHM39" s="48"/>
      <c r="IHN39" s="48"/>
      <c r="IHO39" s="48"/>
      <c r="IHP39" s="48"/>
      <c r="IHQ39" s="48"/>
      <c r="IHR39" s="48"/>
      <c r="IHS39" s="45"/>
      <c r="IHT39" s="46"/>
      <c r="IHU39" s="46"/>
      <c r="IHV39" s="47"/>
      <c r="IHW39" s="48"/>
      <c r="IHX39" s="48"/>
      <c r="IHY39" s="48"/>
      <c r="IHZ39" s="48"/>
      <c r="IIA39" s="48"/>
      <c r="IIB39" s="48"/>
      <c r="IIC39" s="48"/>
      <c r="IID39" s="48"/>
      <c r="IIE39" s="48"/>
      <c r="IIF39" s="48"/>
      <c r="IIG39" s="48"/>
      <c r="IIH39" s="48"/>
      <c r="III39" s="48"/>
      <c r="IIJ39" s="48"/>
      <c r="IIK39" s="48"/>
      <c r="IIL39" s="48"/>
      <c r="IIM39" s="48"/>
      <c r="IIN39" s="48"/>
      <c r="IIO39" s="45"/>
      <c r="IIP39" s="46"/>
      <c r="IIQ39" s="46"/>
      <c r="IIR39" s="47"/>
      <c r="IIS39" s="48"/>
      <c r="IIT39" s="48"/>
      <c r="IIU39" s="48"/>
      <c r="IIV39" s="48"/>
      <c r="IIW39" s="48"/>
      <c r="IIX39" s="48"/>
      <c r="IIY39" s="48"/>
      <c r="IIZ39" s="48"/>
      <c r="IJA39" s="48"/>
      <c r="IJB39" s="48"/>
      <c r="IJC39" s="48"/>
      <c r="IJD39" s="48"/>
      <c r="IJE39" s="48"/>
      <c r="IJF39" s="48"/>
      <c r="IJG39" s="48"/>
      <c r="IJH39" s="48"/>
      <c r="IJI39" s="48"/>
      <c r="IJJ39" s="48"/>
      <c r="IJK39" s="45"/>
      <c r="IJL39" s="46"/>
      <c r="IJM39" s="46"/>
      <c r="IJN39" s="47"/>
      <c r="IJO39" s="48"/>
      <c r="IJP39" s="48"/>
      <c r="IJQ39" s="48"/>
      <c r="IJR39" s="48"/>
      <c r="IJS39" s="48"/>
      <c r="IJT39" s="48"/>
      <c r="IJU39" s="48"/>
      <c r="IJV39" s="48"/>
      <c r="IJW39" s="48"/>
      <c r="IJX39" s="48"/>
      <c r="IJY39" s="48"/>
      <c r="IJZ39" s="48"/>
      <c r="IKA39" s="48"/>
      <c r="IKB39" s="48"/>
      <c r="IKC39" s="48"/>
      <c r="IKD39" s="48"/>
      <c r="IKE39" s="48"/>
      <c r="IKF39" s="48"/>
      <c r="IKG39" s="45"/>
      <c r="IKH39" s="46"/>
      <c r="IKI39" s="46"/>
      <c r="IKJ39" s="47"/>
      <c r="IKK39" s="48"/>
      <c r="IKL39" s="48"/>
      <c r="IKM39" s="48"/>
      <c r="IKN39" s="48"/>
      <c r="IKO39" s="48"/>
      <c r="IKP39" s="48"/>
      <c r="IKQ39" s="48"/>
      <c r="IKR39" s="48"/>
      <c r="IKS39" s="48"/>
      <c r="IKT39" s="48"/>
      <c r="IKU39" s="48"/>
      <c r="IKV39" s="48"/>
      <c r="IKW39" s="48"/>
      <c r="IKX39" s="48"/>
      <c r="IKY39" s="48"/>
      <c r="IKZ39" s="48"/>
      <c r="ILA39" s="48"/>
      <c r="ILB39" s="48"/>
      <c r="ILC39" s="45"/>
      <c r="ILD39" s="46"/>
      <c r="ILE39" s="46"/>
      <c r="ILF39" s="47"/>
      <c r="ILG39" s="48"/>
      <c r="ILH39" s="48"/>
      <c r="ILI39" s="48"/>
      <c r="ILJ39" s="48"/>
      <c r="ILK39" s="48"/>
      <c r="ILL39" s="48"/>
      <c r="ILM39" s="48"/>
      <c r="ILN39" s="48"/>
      <c r="ILO39" s="48"/>
      <c r="ILP39" s="48"/>
      <c r="ILQ39" s="48"/>
      <c r="ILR39" s="48"/>
      <c r="ILS39" s="48"/>
      <c r="ILT39" s="48"/>
      <c r="ILU39" s="48"/>
      <c r="ILV39" s="48"/>
      <c r="ILW39" s="48"/>
      <c r="ILX39" s="48"/>
      <c r="ILY39" s="45"/>
      <c r="ILZ39" s="46"/>
      <c r="IMA39" s="46"/>
      <c r="IMB39" s="47"/>
      <c r="IMC39" s="48"/>
      <c r="IMD39" s="48"/>
      <c r="IME39" s="48"/>
      <c r="IMF39" s="48"/>
      <c r="IMG39" s="48"/>
      <c r="IMH39" s="48"/>
      <c r="IMI39" s="48"/>
      <c r="IMJ39" s="48"/>
      <c r="IMK39" s="48"/>
      <c r="IML39" s="48"/>
      <c r="IMM39" s="48"/>
      <c r="IMN39" s="48"/>
      <c r="IMO39" s="48"/>
      <c r="IMP39" s="48"/>
      <c r="IMQ39" s="48"/>
      <c r="IMR39" s="48"/>
      <c r="IMS39" s="48"/>
      <c r="IMT39" s="48"/>
      <c r="IMU39" s="45"/>
      <c r="IMV39" s="46"/>
      <c r="IMW39" s="46"/>
      <c r="IMX39" s="47"/>
      <c r="IMY39" s="48"/>
      <c r="IMZ39" s="48"/>
      <c r="INA39" s="48"/>
      <c r="INB39" s="48"/>
      <c r="INC39" s="48"/>
      <c r="IND39" s="48"/>
      <c r="INE39" s="48"/>
      <c r="INF39" s="48"/>
      <c r="ING39" s="48"/>
      <c r="INH39" s="48"/>
      <c r="INI39" s="48"/>
      <c r="INJ39" s="48"/>
      <c r="INK39" s="48"/>
      <c r="INL39" s="48"/>
      <c r="INM39" s="48"/>
      <c r="INN39" s="48"/>
      <c r="INO39" s="48"/>
      <c r="INP39" s="48"/>
      <c r="INQ39" s="45"/>
      <c r="INR39" s="46"/>
      <c r="INS39" s="46"/>
      <c r="INT39" s="47"/>
      <c r="INU39" s="48"/>
      <c r="INV39" s="48"/>
      <c r="INW39" s="48"/>
      <c r="INX39" s="48"/>
      <c r="INY39" s="48"/>
      <c r="INZ39" s="48"/>
      <c r="IOA39" s="48"/>
      <c r="IOB39" s="48"/>
      <c r="IOC39" s="48"/>
      <c r="IOD39" s="48"/>
      <c r="IOE39" s="48"/>
      <c r="IOF39" s="48"/>
      <c r="IOG39" s="48"/>
      <c r="IOH39" s="48"/>
      <c r="IOI39" s="48"/>
      <c r="IOJ39" s="48"/>
      <c r="IOK39" s="48"/>
      <c r="IOL39" s="48"/>
      <c r="IOM39" s="45"/>
      <c r="ION39" s="46"/>
      <c r="IOO39" s="46"/>
      <c r="IOP39" s="47"/>
      <c r="IOQ39" s="48"/>
      <c r="IOR39" s="48"/>
      <c r="IOS39" s="48"/>
      <c r="IOT39" s="48"/>
      <c r="IOU39" s="48"/>
      <c r="IOV39" s="48"/>
      <c r="IOW39" s="48"/>
      <c r="IOX39" s="48"/>
      <c r="IOY39" s="48"/>
      <c r="IOZ39" s="48"/>
      <c r="IPA39" s="48"/>
      <c r="IPB39" s="48"/>
      <c r="IPC39" s="48"/>
      <c r="IPD39" s="48"/>
      <c r="IPE39" s="48"/>
      <c r="IPF39" s="48"/>
      <c r="IPG39" s="48"/>
      <c r="IPH39" s="48"/>
      <c r="IPI39" s="45"/>
      <c r="IPJ39" s="46"/>
      <c r="IPK39" s="46"/>
      <c r="IPL39" s="47"/>
      <c r="IPM39" s="48"/>
      <c r="IPN39" s="48"/>
      <c r="IPO39" s="48"/>
      <c r="IPP39" s="48"/>
      <c r="IPQ39" s="48"/>
      <c r="IPR39" s="48"/>
      <c r="IPS39" s="48"/>
      <c r="IPT39" s="48"/>
      <c r="IPU39" s="48"/>
      <c r="IPV39" s="48"/>
      <c r="IPW39" s="48"/>
      <c r="IPX39" s="48"/>
      <c r="IPY39" s="48"/>
      <c r="IPZ39" s="48"/>
      <c r="IQA39" s="48"/>
      <c r="IQB39" s="48"/>
      <c r="IQC39" s="48"/>
      <c r="IQD39" s="48"/>
      <c r="IQE39" s="45"/>
      <c r="IQF39" s="46"/>
      <c r="IQG39" s="46"/>
      <c r="IQH39" s="47"/>
      <c r="IQI39" s="48"/>
      <c r="IQJ39" s="48"/>
      <c r="IQK39" s="48"/>
      <c r="IQL39" s="48"/>
      <c r="IQM39" s="48"/>
      <c r="IQN39" s="48"/>
      <c r="IQO39" s="48"/>
      <c r="IQP39" s="48"/>
      <c r="IQQ39" s="48"/>
      <c r="IQR39" s="48"/>
      <c r="IQS39" s="48"/>
      <c r="IQT39" s="48"/>
      <c r="IQU39" s="48"/>
      <c r="IQV39" s="48"/>
      <c r="IQW39" s="48"/>
      <c r="IQX39" s="48"/>
      <c r="IQY39" s="48"/>
      <c r="IQZ39" s="48"/>
      <c r="IRA39" s="45"/>
      <c r="IRB39" s="46"/>
      <c r="IRC39" s="46"/>
      <c r="IRD39" s="47"/>
      <c r="IRE39" s="48"/>
      <c r="IRF39" s="48"/>
      <c r="IRG39" s="48"/>
      <c r="IRH39" s="48"/>
      <c r="IRI39" s="48"/>
      <c r="IRJ39" s="48"/>
      <c r="IRK39" s="48"/>
      <c r="IRL39" s="48"/>
      <c r="IRM39" s="48"/>
      <c r="IRN39" s="48"/>
      <c r="IRO39" s="48"/>
      <c r="IRP39" s="48"/>
      <c r="IRQ39" s="48"/>
      <c r="IRR39" s="48"/>
      <c r="IRS39" s="48"/>
      <c r="IRT39" s="48"/>
      <c r="IRU39" s="48"/>
      <c r="IRV39" s="48"/>
      <c r="IRW39" s="45"/>
      <c r="IRX39" s="46"/>
      <c r="IRY39" s="46"/>
      <c r="IRZ39" s="47"/>
      <c r="ISA39" s="48"/>
      <c r="ISB39" s="48"/>
      <c r="ISC39" s="48"/>
      <c r="ISD39" s="48"/>
      <c r="ISE39" s="48"/>
      <c r="ISF39" s="48"/>
      <c r="ISG39" s="48"/>
      <c r="ISH39" s="48"/>
      <c r="ISI39" s="48"/>
      <c r="ISJ39" s="48"/>
      <c r="ISK39" s="48"/>
      <c r="ISL39" s="48"/>
      <c r="ISM39" s="48"/>
      <c r="ISN39" s="48"/>
      <c r="ISO39" s="48"/>
      <c r="ISP39" s="48"/>
      <c r="ISQ39" s="48"/>
      <c r="ISR39" s="48"/>
      <c r="ISS39" s="45"/>
      <c r="IST39" s="46"/>
      <c r="ISU39" s="46"/>
      <c r="ISV39" s="47"/>
      <c r="ISW39" s="48"/>
      <c r="ISX39" s="48"/>
      <c r="ISY39" s="48"/>
      <c r="ISZ39" s="48"/>
      <c r="ITA39" s="48"/>
      <c r="ITB39" s="48"/>
      <c r="ITC39" s="48"/>
      <c r="ITD39" s="48"/>
      <c r="ITE39" s="48"/>
      <c r="ITF39" s="48"/>
      <c r="ITG39" s="48"/>
      <c r="ITH39" s="48"/>
      <c r="ITI39" s="48"/>
      <c r="ITJ39" s="48"/>
      <c r="ITK39" s="48"/>
      <c r="ITL39" s="48"/>
      <c r="ITM39" s="48"/>
      <c r="ITN39" s="48"/>
      <c r="ITO39" s="45"/>
      <c r="ITP39" s="46"/>
      <c r="ITQ39" s="46"/>
      <c r="ITR39" s="47"/>
      <c r="ITS39" s="48"/>
      <c r="ITT39" s="48"/>
      <c r="ITU39" s="48"/>
      <c r="ITV39" s="48"/>
      <c r="ITW39" s="48"/>
      <c r="ITX39" s="48"/>
      <c r="ITY39" s="48"/>
      <c r="ITZ39" s="48"/>
      <c r="IUA39" s="48"/>
      <c r="IUB39" s="48"/>
      <c r="IUC39" s="48"/>
      <c r="IUD39" s="48"/>
      <c r="IUE39" s="48"/>
      <c r="IUF39" s="48"/>
      <c r="IUG39" s="48"/>
      <c r="IUH39" s="48"/>
      <c r="IUI39" s="48"/>
      <c r="IUJ39" s="48"/>
      <c r="IUK39" s="45"/>
      <c r="IUL39" s="46"/>
      <c r="IUM39" s="46"/>
      <c r="IUN39" s="47"/>
      <c r="IUO39" s="48"/>
      <c r="IUP39" s="48"/>
      <c r="IUQ39" s="48"/>
      <c r="IUR39" s="48"/>
      <c r="IUS39" s="48"/>
      <c r="IUT39" s="48"/>
      <c r="IUU39" s="48"/>
      <c r="IUV39" s="48"/>
      <c r="IUW39" s="48"/>
      <c r="IUX39" s="48"/>
      <c r="IUY39" s="48"/>
      <c r="IUZ39" s="48"/>
      <c r="IVA39" s="48"/>
      <c r="IVB39" s="48"/>
      <c r="IVC39" s="48"/>
      <c r="IVD39" s="48"/>
      <c r="IVE39" s="48"/>
      <c r="IVF39" s="48"/>
      <c r="IVG39" s="45"/>
      <c r="IVH39" s="46"/>
      <c r="IVI39" s="46"/>
      <c r="IVJ39" s="47"/>
      <c r="IVK39" s="48"/>
      <c r="IVL39" s="48"/>
      <c r="IVM39" s="48"/>
      <c r="IVN39" s="48"/>
      <c r="IVO39" s="48"/>
      <c r="IVP39" s="48"/>
      <c r="IVQ39" s="48"/>
      <c r="IVR39" s="48"/>
      <c r="IVS39" s="48"/>
      <c r="IVT39" s="48"/>
      <c r="IVU39" s="48"/>
      <c r="IVV39" s="48"/>
      <c r="IVW39" s="48"/>
      <c r="IVX39" s="48"/>
      <c r="IVY39" s="48"/>
      <c r="IVZ39" s="48"/>
      <c r="IWA39" s="48"/>
      <c r="IWB39" s="48"/>
      <c r="IWC39" s="45"/>
      <c r="IWD39" s="46"/>
      <c r="IWE39" s="46"/>
      <c r="IWF39" s="47"/>
      <c r="IWG39" s="48"/>
      <c r="IWH39" s="48"/>
      <c r="IWI39" s="48"/>
      <c r="IWJ39" s="48"/>
      <c r="IWK39" s="48"/>
      <c r="IWL39" s="48"/>
      <c r="IWM39" s="48"/>
      <c r="IWN39" s="48"/>
      <c r="IWO39" s="48"/>
      <c r="IWP39" s="48"/>
      <c r="IWQ39" s="48"/>
      <c r="IWR39" s="48"/>
      <c r="IWS39" s="48"/>
      <c r="IWT39" s="48"/>
      <c r="IWU39" s="48"/>
      <c r="IWV39" s="48"/>
      <c r="IWW39" s="48"/>
      <c r="IWX39" s="48"/>
      <c r="IWY39" s="45"/>
      <c r="IWZ39" s="46"/>
      <c r="IXA39" s="46"/>
      <c r="IXB39" s="47"/>
      <c r="IXC39" s="48"/>
      <c r="IXD39" s="48"/>
      <c r="IXE39" s="48"/>
      <c r="IXF39" s="48"/>
      <c r="IXG39" s="48"/>
      <c r="IXH39" s="48"/>
      <c r="IXI39" s="48"/>
      <c r="IXJ39" s="48"/>
      <c r="IXK39" s="48"/>
      <c r="IXL39" s="48"/>
      <c r="IXM39" s="48"/>
      <c r="IXN39" s="48"/>
      <c r="IXO39" s="48"/>
      <c r="IXP39" s="48"/>
      <c r="IXQ39" s="48"/>
      <c r="IXR39" s="48"/>
      <c r="IXS39" s="48"/>
      <c r="IXT39" s="48"/>
      <c r="IXU39" s="45"/>
      <c r="IXV39" s="46"/>
      <c r="IXW39" s="46"/>
      <c r="IXX39" s="47"/>
      <c r="IXY39" s="48"/>
      <c r="IXZ39" s="48"/>
      <c r="IYA39" s="48"/>
      <c r="IYB39" s="48"/>
      <c r="IYC39" s="48"/>
      <c r="IYD39" s="48"/>
      <c r="IYE39" s="48"/>
      <c r="IYF39" s="48"/>
      <c r="IYG39" s="48"/>
      <c r="IYH39" s="48"/>
      <c r="IYI39" s="48"/>
      <c r="IYJ39" s="48"/>
      <c r="IYK39" s="48"/>
      <c r="IYL39" s="48"/>
      <c r="IYM39" s="48"/>
      <c r="IYN39" s="48"/>
      <c r="IYO39" s="48"/>
      <c r="IYP39" s="48"/>
      <c r="IYQ39" s="45"/>
      <c r="IYR39" s="46"/>
      <c r="IYS39" s="46"/>
      <c r="IYT39" s="47"/>
      <c r="IYU39" s="48"/>
      <c r="IYV39" s="48"/>
      <c r="IYW39" s="48"/>
      <c r="IYX39" s="48"/>
      <c r="IYY39" s="48"/>
      <c r="IYZ39" s="48"/>
      <c r="IZA39" s="48"/>
      <c r="IZB39" s="48"/>
      <c r="IZC39" s="48"/>
      <c r="IZD39" s="48"/>
      <c r="IZE39" s="48"/>
      <c r="IZF39" s="48"/>
      <c r="IZG39" s="48"/>
      <c r="IZH39" s="48"/>
      <c r="IZI39" s="48"/>
      <c r="IZJ39" s="48"/>
      <c r="IZK39" s="48"/>
      <c r="IZL39" s="48"/>
      <c r="IZM39" s="45"/>
      <c r="IZN39" s="46"/>
      <c r="IZO39" s="46"/>
      <c r="IZP39" s="47"/>
      <c r="IZQ39" s="48"/>
      <c r="IZR39" s="48"/>
      <c r="IZS39" s="48"/>
      <c r="IZT39" s="48"/>
      <c r="IZU39" s="48"/>
      <c r="IZV39" s="48"/>
      <c r="IZW39" s="48"/>
      <c r="IZX39" s="48"/>
      <c r="IZY39" s="48"/>
      <c r="IZZ39" s="48"/>
      <c r="JAA39" s="48"/>
      <c r="JAB39" s="48"/>
      <c r="JAC39" s="48"/>
      <c r="JAD39" s="48"/>
      <c r="JAE39" s="48"/>
      <c r="JAF39" s="48"/>
      <c r="JAG39" s="48"/>
      <c r="JAH39" s="48"/>
      <c r="JAI39" s="45"/>
      <c r="JAJ39" s="46"/>
      <c r="JAK39" s="46"/>
      <c r="JAL39" s="47"/>
      <c r="JAM39" s="48"/>
      <c r="JAN39" s="48"/>
      <c r="JAO39" s="48"/>
      <c r="JAP39" s="48"/>
      <c r="JAQ39" s="48"/>
      <c r="JAR39" s="48"/>
      <c r="JAS39" s="48"/>
      <c r="JAT39" s="48"/>
      <c r="JAU39" s="48"/>
      <c r="JAV39" s="48"/>
      <c r="JAW39" s="48"/>
      <c r="JAX39" s="48"/>
      <c r="JAY39" s="48"/>
      <c r="JAZ39" s="48"/>
      <c r="JBA39" s="48"/>
      <c r="JBB39" s="48"/>
      <c r="JBC39" s="48"/>
      <c r="JBD39" s="48"/>
      <c r="JBE39" s="45"/>
      <c r="JBF39" s="46"/>
      <c r="JBG39" s="46"/>
      <c r="JBH39" s="47"/>
      <c r="JBI39" s="48"/>
      <c r="JBJ39" s="48"/>
      <c r="JBK39" s="48"/>
      <c r="JBL39" s="48"/>
      <c r="JBM39" s="48"/>
      <c r="JBN39" s="48"/>
      <c r="JBO39" s="48"/>
      <c r="JBP39" s="48"/>
      <c r="JBQ39" s="48"/>
      <c r="JBR39" s="48"/>
      <c r="JBS39" s="48"/>
      <c r="JBT39" s="48"/>
      <c r="JBU39" s="48"/>
      <c r="JBV39" s="48"/>
      <c r="JBW39" s="48"/>
      <c r="JBX39" s="48"/>
      <c r="JBY39" s="48"/>
      <c r="JBZ39" s="48"/>
      <c r="JCA39" s="45"/>
      <c r="JCB39" s="46"/>
      <c r="JCC39" s="46"/>
      <c r="JCD39" s="47"/>
      <c r="JCE39" s="48"/>
      <c r="JCF39" s="48"/>
      <c r="JCG39" s="48"/>
      <c r="JCH39" s="48"/>
      <c r="JCI39" s="48"/>
      <c r="JCJ39" s="48"/>
      <c r="JCK39" s="48"/>
      <c r="JCL39" s="48"/>
      <c r="JCM39" s="48"/>
      <c r="JCN39" s="48"/>
      <c r="JCO39" s="48"/>
      <c r="JCP39" s="48"/>
      <c r="JCQ39" s="48"/>
      <c r="JCR39" s="48"/>
      <c r="JCS39" s="48"/>
      <c r="JCT39" s="48"/>
      <c r="JCU39" s="48"/>
      <c r="JCV39" s="48"/>
      <c r="JCW39" s="45"/>
      <c r="JCX39" s="46"/>
      <c r="JCY39" s="46"/>
      <c r="JCZ39" s="47"/>
      <c r="JDA39" s="48"/>
      <c r="JDB39" s="48"/>
      <c r="JDC39" s="48"/>
      <c r="JDD39" s="48"/>
      <c r="JDE39" s="48"/>
      <c r="JDF39" s="48"/>
      <c r="JDG39" s="48"/>
      <c r="JDH39" s="48"/>
      <c r="JDI39" s="48"/>
      <c r="JDJ39" s="48"/>
      <c r="JDK39" s="48"/>
      <c r="JDL39" s="48"/>
      <c r="JDM39" s="48"/>
      <c r="JDN39" s="48"/>
      <c r="JDO39" s="48"/>
      <c r="JDP39" s="48"/>
      <c r="JDQ39" s="48"/>
      <c r="JDR39" s="48"/>
      <c r="JDS39" s="45"/>
      <c r="JDT39" s="46"/>
      <c r="JDU39" s="46"/>
      <c r="JDV39" s="47"/>
      <c r="JDW39" s="48"/>
      <c r="JDX39" s="48"/>
      <c r="JDY39" s="48"/>
      <c r="JDZ39" s="48"/>
      <c r="JEA39" s="48"/>
      <c r="JEB39" s="48"/>
      <c r="JEC39" s="48"/>
      <c r="JED39" s="48"/>
      <c r="JEE39" s="48"/>
      <c r="JEF39" s="48"/>
      <c r="JEG39" s="48"/>
      <c r="JEH39" s="48"/>
      <c r="JEI39" s="48"/>
      <c r="JEJ39" s="48"/>
      <c r="JEK39" s="48"/>
      <c r="JEL39" s="48"/>
      <c r="JEM39" s="48"/>
      <c r="JEN39" s="48"/>
      <c r="JEO39" s="45"/>
      <c r="JEP39" s="46"/>
      <c r="JEQ39" s="46"/>
      <c r="JER39" s="47"/>
      <c r="JES39" s="48"/>
      <c r="JET39" s="48"/>
      <c r="JEU39" s="48"/>
      <c r="JEV39" s="48"/>
      <c r="JEW39" s="48"/>
      <c r="JEX39" s="48"/>
      <c r="JEY39" s="48"/>
      <c r="JEZ39" s="48"/>
      <c r="JFA39" s="48"/>
      <c r="JFB39" s="48"/>
      <c r="JFC39" s="48"/>
      <c r="JFD39" s="48"/>
      <c r="JFE39" s="48"/>
      <c r="JFF39" s="48"/>
      <c r="JFG39" s="48"/>
      <c r="JFH39" s="48"/>
      <c r="JFI39" s="48"/>
      <c r="JFJ39" s="48"/>
      <c r="JFK39" s="45"/>
      <c r="JFL39" s="46"/>
      <c r="JFM39" s="46"/>
      <c r="JFN39" s="47"/>
      <c r="JFO39" s="48"/>
      <c r="JFP39" s="48"/>
      <c r="JFQ39" s="48"/>
      <c r="JFR39" s="48"/>
      <c r="JFS39" s="48"/>
      <c r="JFT39" s="48"/>
      <c r="JFU39" s="48"/>
      <c r="JFV39" s="48"/>
      <c r="JFW39" s="48"/>
      <c r="JFX39" s="48"/>
      <c r="JFY39" s="48"/>
      <c r="JFZ39" s="48"/>
      <c r="JGA39" s="48"/>
      <c r="JGB39" s="48"/>
      <c r="JGC39" s="48"/>
      <c r="JGD39" s="48"/>
      <c r="JGE39" s="48"/>
      <c r="JGF39" s="48"/>
      <c r="JGG39" s="45"/>
      <c r="JGH39" s="46"/>
      <c r="JGI39" s="46"/>
      <c r="JGJ39" s="47"/>
      <c r="JGK39" s="48"/>
      <c r="JGL39" s="48"/>
      <c r="JGM39" s="48"/>
      <c r="JGN39" s="48"/>
      <c r="JGO39" s="48"/>
      <c r="JGP39" s="48"/>
      <c r="JGQ39" s="48"/>
      <c r="JGR39" s="48"/>
      <c r="JGS39" s="48"/>
      <c r="JGT39" s="48"/>
      <c r="JGU39" s="48"/>
      <c r="JGV39" s="48"/>
      <c r="JGW39" s="48"/>
      <c r="JGX39" s="48"/>
      <c r="JGY39" s="48"/>
      <c r="JGZ39" s="48"/>
      <c r="JHA39" s="48"/>
      <c r="JHB39" s="48"/>
      <c r="JHC39" s="45"/>
      <c r="JHD39" s="46"/>
      <c r="JHE39" s="46"/>
      <c r="JHF39" s="47"/>
      <c r="JHG39" s="48"/>
      <c r="JHH39" s="48"/>
      <c r="JHI39" s="48"/>
      <c r="JHJ39" s="48"/>
      <c r="JHK39" s="48"/>
      <c r="JHL39" s="48"/>
      <c r="JHM39" s="48"/>
      <c r="JHN39" s="48"/>
      <c r="JHO39" s="48"/>
      <c r="JHP39" s="48"/>
      <c r="JHQ39" s="48"/>
      <c r="JHR39" s="48"/>
      <c r="JHS39" s="48"/>
      <c r="JHT39" s="48"/>
      <c r="JHU39" s="48"/>
      <c r="JHV39" s="48"/>
      <c r="JHW39" s="48"/>
      <c r="JHX39" s="48"/>
      <c r="JHY39" s="45"/>
      <c r="JHZ39" s="46"/>
      <c r="JIA39" s="46"/>
      <c r="JIB39" s="47"/>
      <c r="JIC39" s="48"/>
      <c r="JID39" s="48"/>
      <c r="JIE39" s="48"/>
      <c r="JIF39" s="48"/>
      <c r="JIG39" s="48"/>
      <c r="JIH39" s="48"/>
      <c r="JII39" s="48"/>
      <c r="JIJ39" s="48"/>
      <c r="JIK39" s="48"/>
      <c r="JIL39" s="48"/>
      <c r="JIM39" s="48"/>
      <c r="JIN39" s="48"/>
      <c r="JIO39" s="48"/>
      <c r="JIP39" s="48"/>
      <c r="JIQ39" s="48"/>
      <c r="JIR39" s="48"/>
      <c r="JIS39" s="48"/>
      <c r="JIT39" s="48"/>
      <c r="JIU39" s="45"/>
      <c r="JIV39" s="46"/>
      <c r="JIW39" s="46"/>
      <c r="JIX39" s="47"/>
      <c r="JIY39" s="48"/>
      <c r="JIZ39" s="48"/>
      <c r="JJA39" s="48"/>
      <c r="JJB39" s="48"/>
      <c r="JJC39" s="48"/>
      <c r="JJD39" s="48"/>
      <c r="JJE39" s="48"/>
      <c r="JJF39" s="48"/>
      <c r="JJG39" s="48"/>
      <c r="JJH39" s="48"/>
      <c r="JJI39" s="48"/>
      <c r="JJJ39" s="48"/>
      <c r="JJK39" s="48"/>
      <c r="JJL39" s="48"/>
      <c r="JJM39" s="48"/>
      <c r="JJN39" s="48"/>
      <c r="JJO39" s="48"/>
      <c r="JJP39" s="48"/>
      <c r="JJQ39" s="45"/>
      <c r="JJR39" s="46"/>
      <c r="JJS39" s="46"/>
      <c r="JJT39" s="47"/>
      <c r="JJU39" s="48"/>
      <c r="JJV39" s="48"/>
      <c r="JJW39" s="48"/>
      <c r="JJX39" s="48"/>
      <c r="JJY39" s="48"/>
      <c r="JJZ39" s="48"/>
      <c r="JKA39" s="48"/>
      <c r="JKB39" s="48"/>
      <c r="JKC39" s="48"/>
      <c r="JKD39" s="48"/>
      <c r="JKE39" s="48"/>
      <c r="JKF39" s="48"/>
      <c r="JKG39" s="48"/>
      <c r="JKH39" s="48"/>
      <c r="JKI39" s="48"/>
      <c r="JKJ39" s="48"/>
      <c r="JKK39" s="48"/>
      <c r="JKL39" s="48"/>
      <c r="JKM39" s="45"/>
      <c r="JKN39" s="46"/>
      <c r="JKO39" s="46"/>
      <c r="JKP39" s="47"/>
      <c r="JKQ39" s="48"/>
      <c r="JKR39" s="48"/>
      <c r="JKS39" s="48"/>
      <c r="JKT39" s="48"/>
      <c r="JKU39" s="48"/>
      <c r="JKV39" s="48"/>
      <c r="JKW39" s="48"/>
      <c r="JKX39" s="48"/>
      <c r="JKY39" s="48"/>
      <c r="JKZ39" s="48"/>
      <c r="JLA39" s="48"/>
      <c r="JLB39" s="48"/>
      <c r="JLC39" s="48"/>
      <c r="JLD39" s="48"/>
      <c r="JLE39" s="48"/>
      <c r="JLF39" s="48"/>
      <c r="JLG39" s="48"/>
      <c r="JLH39" s="48"/>
      <c r="JLI39" s="45"/>
      <c r="JLJ39" s="46"/>
      <c r="JLK39" s="46"/>
      <c r="JLL39" s="47"/>
      <c r="JLM39" s="48"/>
      <c r="JLN39" s="48"/>
      <c r="JLO39" s="48"/>
      <c r="JLP39" s="48"/>
      <c r="JLQ39" s="48"/>
      <c r="JLR39" s="48"/>
      <c r="JLS39" s="48"/>
      <c r="JLT39" s="48"/>
      <c r="JLU39" s="48"/>
      <c r="JLV39" s="48"/>
      <c r="JLW39" s="48"/>
      <c r="JLX39" s="48"/>
      <c r="JLY39" s="48"/>
      <c r="JLZ39" s="48"/>
      <c r="JMA39" s="48"/>
      <c r="JMB39" s="48"/>
      <c r="JMC39" s="48"/>
      <c r="JMD39" s="48"/>
      <c r="JME39" s="45"/>
      <c r="JMF39" s="46"/>
      <c r="JMG39" s="46"/>
      <c r="JMH39" s="47"/>
      <c r="JMI39" s="48"/>
      <c r="JMJ39" s="48"/>
      <c r="JMK39" s="48"/>
      <c r="JML39" s="48"/>
      <c r="JMM39" s="48"/>
      <c r="JMN39" s="48"/>
      <c r="JMO39" s="48"/>
      <c r="JMP39" s="48"/>
      <c r="JMQ39" s="48"/>
      <c r="JMR39" s="48"/>
      <c r="JMS39" s="48"/>
      <c r="JMT39" s="48"/>
      <c r="JMU39" s="48"/>
      <c r="JMV39" s="48"/>
      <c r="JMW39" s="48"/>
      <c r="JMX39" s="48"/>
      <c r="JMY39" s="48"/>
      <c r="JMZ39" s="48"/>
      <c r="JNA39" s="45"/>
      <c r="JNB39" s="46"/>
      <c r="JNC39" s="46"/>
      <c r="JND39" s="47"/>
      <c r="JNE39" s="48"/>
      <c r="JNF39" s="48"/>
      <c r="JNG39" s="48"/>
      <c r="JNH39" s="48"/>
      <c r="JNI39" s="48"/>
      <c r="JNJ39" s="48"/>
      <c r="JNK39" s="48"/>
      <c r="JNL39" s="48"/>
      <c r="JNM39" s="48"/>
      <c r="JNN39" s="48"/>
      <c r="JNO39" s="48"/>
      <c r="JNP39" s="48"/>
      <c r="JNQ39" s="48"/>
      <c r="JNR39" s="48"/>
      <c r="JNS39" s="48"/>
      <c r="JNT39" s="48"/>
      <c r="JNU39" s="48"/>
      <c r="JNV39" s="48"/>
      <c r="JNW39" s="45"/>
      <c r="JNX39" s="46"/>
      <c r="JNY39" s="46"/>
      <c r="JNZ39" s="47"/>
      <c r="JOA39" s="48"/>
      <c r="JOB39" s="48"/>
      <c r="JOC39" s="48"/>
      <c r="JOD39" s="48"/>
      <c r="JOE39" s="48"/>
      <c r="JOF39" s="48"/>
      <c r="JOG39" s="48"/>
      <c r="JOH39" s="48"/>
      <c r="JOI39" s="48"/>
      <c r="JOJ39" s="48"/>
      <c r="JOK39" s="48"/>
      <c r="JOL39" s="48"/>
      <c r="JOM39" s="48"/>
      <c r="JON39" s="48"/>
      <c r="JOO39" s="48"/>
      <c r="JOP39" s="48"/>
      <c r="JOQ39" s="48"/>
      <c r="JOR39" s="48"/>
      <c r="JOS39" s="45"/>
      <c r="JOT39" s="46"/>
      <c r="JOU39" s="46"/>
      <c r="JOV39" s="47"/>
      <c r="JOW39" s="48"/>
      <c r="JOX39" s="48"/>
      <c r="JOY39" s="48"/>
      <c r="JOZ39" s="48"/>
      <c r="JPA39" s="48"/>
      <c r="JPB39" s="48"/>
      <c r="JPC39" s="48"/>
      <c r="JPD39" s="48"/>
      <c r="JPE39" s="48"/>
      <c r="JPF39" s="48"/>
      <c r="JPG39" s="48"/>
      <c r="JPH39" s="48"/>
      <c r="JPI39" s="48"/>
      <c r="JPJ39" s="48"/>
      <c r="JPK39" s="48"/>
      <c r="JPL39" s="48"/>
      <c r="JPM39" s="48"/>
      <c r="JPN39" s="48"/>
      <c r="JPO39" s="45"/>
      <c r="JPP39" s="46"/>
      <c r="JPQ39" s="46"/>
      <c r="JPR39" s="47"/>
      <c r="JPS39" s="48"/>
      <c r="JPT39" s="48"/>
      <c r="JPU39" s="48"/>
      <c r="JPV39" s="48"/>
      <c r="JPW39" s="48"/>
      <c r="JPX39" s="48"/>
      <c r="JPY39" s="48"/>
      <c r="JPZ39" s="48"/>
      <c r="JQA39" s="48"/>
      <c r="JQB39" s="48"/>
      <c r="JQC39" s="48"/>
      <c r="JQD39" s="48"/>
      <c r="JQE39" s="48"/>
      <c r="JQF39" s="48"/>
      <c r="JQG39" s="48"/>
      <c r="JQH39" s="48"/>
      <c r="JQI39" s="48"/>
      <c r="JQJ39" s="48"/>
      <c r="JQK39" s="45"/>
      <c r="JQL39" s="46"/>
      <c r="JQM39" s="46"/>
      <c r="JQN39" s="47"/>
      <c r="JQO39" s="48"/>
      <c r="JQP39" s="48"/>
      <c r="JQQ39" s="48"/>
      <c r="JQR39" s="48"/>
      <c r="JQS39" s="48"/>
      <c r="JQT39" s="48"/>
      <c r="JQU39" s="48"/>
      <c r="JQV39" s="48"/>
      <c r="JQW39" s="48"/>
      <c r="JQX39" s="48"/>
      <c r="JQY39" s="48"/>
      <c r="JQZ39" s="48"/>
      <c r="JRA39" s="48"/>
      <c r="JRB39" s="48"/>
      <c r="JRC39" s="48"/>
      <c r="JRD39" s="48"/>
      <c r="JRE39" s="48"/>
      <c r="JRF39" s="48"/>
      <c r="JRG39" s="45"/>
      <c r="JRH39" s="46"/>
      <c r="JRI39" s="46"/>
      <c r="JRJ39" s="47"/>
      <c r="JRK39" s="48"/>
      <c r="JRL39" s="48"/>
      <c r="JRM39" s="48"/>
      <c r="JRN39" s="48"/>
      <c r="JRO39" s="48"/>
      <c r="JRP39" s="48"/>
      <c r="JRQ39" s="48"/>
      <c r="JRR39" s="48"/>
      <c r="JRS39" s="48"/>
      <c r="JRT39" s="48"/>
      <c r="JRU39" s="48"/>
      <c r="JRV39" s="48"/>
      <c r="JRW39" s="48"/>
      <c r="JRX39" s="48"/>
      <c r="JRY39" s="48"/>
      <c r="JRZ39" s="48"/>
      <c r="JSA39" s="48"/>
      <c r="JSB39" s="48"/>
      <c r="JSC39" s="45"/>
      <c r="JSD39" s="46"/>
      <c r="JSE39" s="46"/>
      <c r="JSF39" s="47"/>
      <c r="JSG39" s="48"/>
      <c r="JSH39" s="48"/>
      <c r="JSI39" s="48"/>
      <c r="JSJ39" s="48"/>
      <c r="JSK39" s="48"/>
      <c r="JSL39" s="48"/>
      <c r="JSM39" s="48"/>
      <c r="JSN39" s="48"/>
      <c r="JSO39" s="48"/>
      <c r="JSP39" s="48"/>
      <c r="JSQ39" s="48"/>
      <c r="JSR39" s="48"/>
      <c r="JSS39" s="48"/>
      <c r="JST39" s="48"/>
      <c r="JSU39" s="48"/>
      <c r="JSV39" s="48"/>
      <c r="JSW39" s="48"/>
      <c r="JSX39" s="48"/>
      <c r="JSY39" s="45"/>
      <c r="JSZ39" s="46"/>
      <c r="JTA39" s="46"/>
      <c r="JTB39" s="47"/>
      <c r="JTC39" s="48"/>
      <c r="JTD39" s="48"/>
      <c r="JTE39" s="48"/>
      <c r="JTF39" s="48"/>
      <c r="JTG39" s="48"/>
      <c r="JTH39" s="48"/>
      <c r="JTI39" s="48"/>
      <c r="JTJ39" s="48"/>
      <c r="JTK39" s="48"/>
      <c r="JTL39" s="48"/>
      <c r="JTM39" s="48"/>
      <c r="JTN39" s="48"/>
      <c r="JTO39" s="48"/>
      <c r="JTP39" s="48"/>
      <c r="JTQ39" s="48"/>
      <c r="JTR39" s="48"/>
      <c r="JTS39" s="48"/>
      <c r="JTT39" s="48"/>
      <c r="JTU39" s="45"/>
      <c r="JTV39" s="46"/>
      <c r="JTW39" s="46"/>
      <c r="JTX39" s="47"/>
      <c r="JTY39" s="48"/>
      <c r="JTZ39" s="48"/>
      <c r="JUA39" s="48"/>
      <c r="JUB39" s="48"/>
      <c r="JUC39" s="48"/>
      <c r="JUD39" s="48"/>
      <c r="JUE39" s="48"/>
      <c r="JUF39" s="48"/>
      <c r="JUG39" s="48"/>
      <c r="JUH39" s="48"/>
      <c r="JUI39" s="48"/>
      <c r="JUJ39" s="48"/>
      <c r="JUK39" s="48"/>
      <c r="JUL39" s="48"/>
      <c r="JUM39" s="48"/>
      <c r="JUN39" s="48"/>
      <c r="JUO39" s="48"/>
      <c r="JUP39" s="48"/>
      <c r="JUQ39" s="45"/>
      <c r="JUR39" s="46"/>
      <c r="JUS39" s="46"/>
      <c r="JUT39" s="47"/>
      <c r="JUU39" s="48"/>
      <c r="JUV39" s="48"/>
      <c r="JUW39" s="48"/>
      <c r="JUX39" s="48"/>
      <c r="JUY39" s="48"/>
      <c r="JUZ39" s="48"/>
      <c r="JVA39" s="48"/>
      <c r="JVB39" s="48"/>
      <c r="JVC39" s="48"/>
      <c r="JVD39" s="48"/>
      <c r="JVE39" s="48"/>
      <c r="JVF39" s="48"/>
      <c r="JVG39" s="48"/>
      <c r="JVH39" s="48"/>
      <c r="JVI39" s="48"/>
      <c r="JVJ39" s="48"/>
      <c r="JVK39" s="48"/>
      <c r="JVL39" s="48"/>
      <c r="JVM39" s="45"/>
      <c r="JVN39" s="46"/>
      <c r="JVO39" s="46"/>
      <c r="JVP39" s="47"/>
      <c r="JVQ39" s="48"/>
      <c r="JVR39" s="48"/>
      <c r="JVS39" s="48"/>
      <c r="JVT39" s="48"/>
      <c r="JVU39" s="48"/>
      <c r="JVV39" s="48"/>
      <c r="JVW39" s="48"/>
      <c r="JVX39" s="48"/>
      <c r="JVY39" s="48"/>
      <c r="JVZ39" s="48"/>
      <c r="JWA39" s="48"/>
      <c r="JWB39" s="48"/>
      <c r="JWC39" s="48"/>
      <c r="JWD39" s="48"/>
      <c r="JWE39" s="48"/>
      <c r="JWF39" s="48"/>
      <c r="JWG39" s="48"/>
      <c r="JWH39" s="48"/>
      <c r="JWI39" s="45"/>
      <c r="JWJ39" s="46"/>
      <c r="JWK39" s="46"/>
      <c r="JWL39" s="47"/>
      <c r="JWM39" s="48"/>
      <c r="JWN39" s="48"/>
      <c r="JWO39" s="48"/>
      <c r="JWP39" s="48"/>
      <c r="JWQ39" s="48"/>
      <c r="JWR39" s="48"/>
      <c r="JWS39" s="48"/>
      <c r="JWT39" s="48"/>
      <c r="JWU39" s="48"/>
      <c r="JWV39" s="48"/>
      <c r="JWW39" s="48"/>
      <c r="JWX39" s="48"/>
      <c r="JWY39" s="48"/>
      <c r="JWZ39" s="48"/>
      <c r="JXA39" s="48"/>
      <c r="JXB39" s="48"/>
      <c r="JXC39" s="48"/>
      <c r="JXD39" s="48"/>
      <c r="JXE39" s="45"/>
      <c r="JXF39" s="46"/>
      <c r="JXG39" s="46"/>
      <c r="JXH39" s="47"/>
      <c r="JXI39" s="48"/>
      <c r="JXJ39" s="48"/>
      <c r="JXK39" s="48"/>
      <c r="JXL39" s="48"/>
      <c r="JXM39" s="48"/>
      <c r="JXN39" s="48"/>
      <c r="JXO39" s="48"/>
      <c r="JXP39" s="48"/>
      <c r="JXQ39" s="48"/>
      <c r="JXR39" s="48"/>
      <c r="JXS39" s="48"/>
      <c r="JXT39" s="48"/>
      <c r="JXU39" s="48"/>
      <c r="JXV39" s="48"/>
      <c r="JXW39" s="48"/>
      <c r="JXX39" s="48"/>
      <c r="JXY39" s="48"/>
      <c r="JXZ39" s="48"/>
      <c r="JYA39" s="45"/>
      <c r="JYB39" s="46"/>
      <c r="JYC39" s="46"/>
      <c r="JYD39" s="47"/>
      <c r="JYE39" s="48"/>
      <c r="JYF39" s="48"/>
      <c r="JYG39" s="48"/>
      <c r="JYH39" s="48"/>
      <c r="JYI39" s="48"/>
      <c r="JYJ39" s="48"/>
      <c r="JYK39" s="48"/>
      <c r="JYL39" s="48"/>
      <c r="JYM39" s="48"/>
      <c r="JYN39" s="48"/>
      <c r="JYO39" s="48"/>
      <c r="JYP39" s="48"/>
      <c r="JYQ39" s="48"/>
      <c r="JYR39" s="48"/>
      <c r="JYS39" s="48"/>
      <c r="JYT39" s="48"/>
      <c r="JYU39" s="48"/>
      <c r="JYV39" s="48"/>
      <c r="JYW39" s="45"/>
      <c r="JYX39" s="46"/>
      <c r="JYY39" s="46"/>
      <c r="JYZ39" s="47"/>
      <c r="JZA39" s="48"/>
      <c r="JZB39" s="48"/>
      <c r="JZC39" s="48"/>
      <c r="JZD39" s="48"/>
      <c r="JZE39" s="48"/>
      <c r="JZF39" s="48"/>
      <c r="JZG39" s="48"/>
      <c r="JZH39" s="48"/>
      <c r="JZI39" s="48"/>
      <c r="JZJ39" s="48"/>
      <c r="JZK39" s="48"/>
      <c r="JZL39" s="48"/>
      <c r="JZM39" s="48"/>
      <c r="JZN39" s="48"/>
      <c r="JZO39" s="48"/>
      <c r="JZP39" s="48"/>
      <c r="JZQ39" s="48"/>
      <c r="JZR39" s="48"/>
      <c r="JZS39" s="45"/>
      <c r="JZT39" s="46"/>
      <c r="JZU39" s="46"/>
      <c r="JZV39" s="47"/>
      <c r="JZW39" s="48"/>
      <c r="JZX39" s="48"/>
      <c r="JZY39" s="48"/>
      <c r="JZZ39" s="48"/>
      <c r="KAA39" s="48"/>
      <c r="KAB39" s="48"/>
      <c r="KAC39" s="48"/>
      <c r="KAD39" s="48"/>
      <c r="KAE39" s="48"/>
      <c r="KAF39" s="48"/>
      <c r="KAG39" s="48"/>
      <c r="KAH39" s="48"/>
      <c r="KAI39" s="48"/>
      <c r="KAJ39" s="48"/>
      <c r="KAK39" s="48"/>
      <c r="KAL39" s="48"/>
      <c r="KAM39" s="48"/>
      <c r="KAN39" s="48"/>
      <c r="KAO39" s="45"/>
      <c r="KAP39" s="46"/>
      <c r="KAQ39" s="46"/>
      <c r="KAR39" s="47"/>
      <c r="KAS39" s="48"/>
      <c r="KAT39" s="48"/>
      <c r="KAU39" s="48"/>
      <c r="KAV39" s="48"/>
      <c r="KAW39" s="48"/>
      <c r="KAX39" s="48"/>
      <c r="KAY39" s="48"/>
      <c r="KAZ39" s="48"/>
      <c r="KBA39" s="48"/>
      <c r="KBB39" s="48"/>
      <c r="KBC39" s="48"/>
      <c r="KBD39" s="48"/>
      <c r="KBE39" s="48"/>
      <c r="KBF39" s="48"/>
      <c r="KBG39" s="48"/>
      <c r="KBH39" s="48"/>
      <c r="KBI39" s="48"/>
      <c r="KBJ39" s="48"/>
      <c r="KBK39" s="45"/>
      <c r="KBL39" s="46"/>
      <c r="KBM39" s="46"/>
      <c r="KBN39" s="47"/>
      <c r="KBO39" s="48"/>
      <c r="KBP39" s="48"/>
      <c r="KBQ39" s="48"/>
      <c r="KBR39" s="48"/>
      <c r="KBS39" s="48"/>
      <c r="KBT39" s="48"/>
      <c r="KBU39" s="48"/>
      <c r="KBV39" s="48"/>
      <c r="KBW39" s="48"/>
      <c r="KBX39" s="48"/>
      <c r="KBY39" s="48"/>
      <c r="KBZ39" s="48"/>
      <c r="KCA39" s="48"/>
      <c r="KCB39" s="48"/>
      <c r="KCC39" s="48"/>
      <c r="KCD39" s="48"/>
      <c r="KCE39" s="48"/>
      <c r="KCF39" s="48"/>
      <c r="KCG39" s="45"/>
      <c r="KCH39" s="46"/>
      <c r="KCI39" s="46"/>
      <c r="KCJ39" s="47"/>
      <c r="KCK39" s="48"/>
      <c r="KCL39" s="48"/>
      <c r="KCM39" s="48"/>
      <c r="KCN39" s="48"/>
      <c r="KCO39" s="48"/>
      <c r="KCP39" s="48"/>
      <c r="KCQ39" s="48"/>
      <c r="KCR39" s="48"/>
      <c r="KCS39" s="48"/>
      <c r="KCT39" s="48"/>
      <c r="KCU39" s="48"/>
      <c r="KCV39" s="48"/>
      <c r="KCW39" s="48"/>
      <c r="KCX39" s="48"/>
      <c r="KCY39" s="48"/>
      <c r="KCZ39" s="48"/>
      <c r="KDA39" s="48"/>
      <c r="KDB39" s="48"/>
      <c r="KDC39" s="45"/>
      <c r="KDD39" s="46"/>
      <c r="KDE39" s="46"/>
      <c r="KDF39" s="47"/>
      <c r="KDG39" s="48"/>
      <c r="KDH39" s="48"/>
      <c r="KDI39" s="48"/>
      <c r="KDJ39" s="48"/>
      <c r="KDK39" s="48"/>
      <c r="KDL39" s="48"/>
      <c r="KDM39" s="48"/>
      <c r="KDN39" s="48"/>
      <c r="KDO39" s="48"/>
      <c r="KDP39" s="48"/>
      <c r="KDQ39" s="48"/>
      <c r="KDR39" s="48"/>
      <c r="KDS39" s="48"/>
      <c r="KDT39" s="48"/>
      <c r="KDU39" s="48"/>
      <c r="KDV39" s="48"/>
      <c r="KDW39" s="48"/>
      <c r="KDX39" s="48"/>
      <c r="KDY39" s="45"/>
      <c r="KDZ39" s="46"/>
      <c r="KEA39" s="46"/>
      <c r="KEB39" s="47"/>
      <c r="KEC39" s="48"/>
      <c r="KED39" s="48"/>
      <c r="KEE39" s="48"/>
      <c r="KEF39" s="48"/>
      <c r="KEG39" s="48"/>
      <c r="KEH39" s="48"/>
      <c r="KEI39" s="48"/>
      <c r="KEJ39" s="48"/>
      <c r="KEK39" s="48"/>
      <c r="KEL39" s="48"/>
      <c r="KEM39" s="48"/>
      <c r="KEN39" s="48"/>
      <c r="KEO39" s="48"/>
      <c r="KEP39" s="48"/>
      <c r="KEQ39" s="48"/>
      <c r="KER39" s="48"/>
      <c r="KES39" s="48"/>
      <c r="KET39" s="48"/>
      <c r="KEU39" s="45"/>
      <c r="KEV39" s="46"/>
      <c r="KEW39" s="46"/>
      <c r="KEX39" s="47"/>
      <c r="KEY39" s="48"/>
      <c r="KEZ39" s="48"/>
      <c r="KFA39" s="48"/>
      <c r="KFB39" s="48"/>
      <c r="KFC39" s="48"/>
      <c r="KFD39" s="48"/>
      <c r="KFE39" s="48"/>
      <c r="KFF39" s="48"/>
      <c r="KFG39" s="48"/>
      <c r="KFH39" s="48"/>
      <c r="KFI39" s="48"/>
      <c r="KFJ39" s="48"/>
      <c r="KFK39" s="48"/>
      <c r="KFL39" s="48"/>
      <c r="KFM39" s="48"/>
      <c r="KFN39" s="48"/>
      <c r="KFO39" s="48"/>
      <c r="KFP39" s="48"/>
      <c r="KFQ39" s="45"/>
      <c r="KFR39" s="46"/>
      <c r="KFS39" s="46"/>
      <c r="KFT39" s="47"/>
      <c r="KFU39" s="48"/>
      <c r="KFV39" s="48"/>
      <c r="KFW39" s="48"/>
      <c r="KFX39" s="48"/>
      <c r="KFY39" s="48"/>
      <c r="KFZ39" s="48"/>
      <c r="KGA39" s="48"/>
      <c r="KGB39" s="48"/>
      <c r="KGC39" s="48"/>
      <c r="KGD39" s="48"/>
      <c r="KGE39" s="48"/>
      <c r="KGF39" s="48"/>
      <c r="KGG39" s="48"/>
      <c r="KGH39" s="48"/>
      <c r="KGI39" s="48"/>
      <c r="KGJ39" s="48"/>
      <c r="KGK39" s="48"/>
      <c r="KGL39" s="48"/>
      <c r="KGM39" s="45"/>
      <c r="KGN39" s="46"/>
      <c r="KGO39" s="46"/>
      <c r="KGP39" s="47"/>
      <c r="KGQ39" s="48"/>
      <c r="KGR39" s="48"/>
      <c r="KGS39" s="48"/>
      <c r="KGT39" s="48"/>
      <c r="KGU39" s="48"/>
      <c r="KGV39" s="48"/>
      <c r="KGW39" s="48"/>
      <c r="KGX39" s="48"/>
      <c r="KGY39" s="48"/>
      <c r="KGZ39" s="48"/>
      <c r="KHA39" s="48"/>
      <c r="KHB39" s="48"/>
      <c r="KHC39" s="48"/>
      <c r="KHD39" s="48"/>
      <c r="KHE39" s="48"/>
      <c r="KHF39" s="48"/>
      <c r="KHG39" s="48"/>
      <c r="KHH39" s="48"/>
      <c r="KHI39" s="45"/>
      <c r="KHJ39" s="46"/>
      <c r="KHK39" s="46"/>
      <c r="KHL39" s="47"/>
      <c r="KHM39" s="48"/>
      <c r="KHN39" s="48"/>
      <c r="KHO39" s="48"/>
      <c r="KHP39" s="48"/>
      <c r="KHQ39" s="48"/>
      <c r="KHR39" s="48"/>
      <c r="KHS39" s="48"/>
      <c r="KHT39" s="48"/>
      <c r="KHU39" s="48"/>
      <c r="KHV39" s="48"/>
      <c r="KHW39" s="48"/>
      <c r="KHX39" s="48"/>
      <c r="KHY39" s="48"/>
      <c r="KHZ39" s="48"/>
      <c r="KIA39" s="48"/>
      <c r="KIB39" s="48"/>
      <c r="KIC39" s="48"/>
      <c r="KID39" s="48"/>
      <c r="KIE39" s="45"/>
      <c r="KIF39" s="46"/>
      <c r="KIG39" s="46"/>
      <c r="KIH39" s="47"/>
      <c r="KII39" s="48"/>
      <c r="KIJ39" s="48"/>
      <c r="KIK39" s="48"/>
      <c r="KIL39" s="48"/>
      <c r="KIM39" s="48"/>
      <c r="KIN39" s="48"/>
      <c r="KIO39" s="48"/>
      <c r="KIP39" s="48"/>
      <c r="KIQ39" s="48"/>
      <c r="KIR39" s="48"/>
      <c r="KIS39" s="48"/>
      <c r="KIT39" s="48"/>
      <c r="KIU39" s="48"/>
      <c r="KIV39" s="48"/>
      <c r="KIW39" s="48"/>
      <c r="KIX39" s="48"/>
      <c r="KIY39" s="48"/>
      <c r="KIZ39" s="48"/>
      <c r="KJA39" s="45"/>
      <c r="KJB39" s="46"/>
      <c r="KJC39" s="46"/>
      <c r="KJD39" s="47"/>
      <c r="KJE39" s="48"/>
      <c r="KJF39" s="48"/>
      <c r="KJG39" s="48"/>
      <c r="KJH39" s="48"/>
      <c r="KJI39" s="48"/>
      <c r="KJJ39" s="48"/>
      <c r="KJK39" s="48"/>
      <c r="KJL39" s="48"/>
      <c r="KJM39" s="48"/>
      <c r="KJN39" s="48"/>
      <c r="KJO39" s="48"/>
      <c r="KJP39" s="48"/>
      <c r="KJQ39" s="48"/>
      <c r="KJR39" s="48"/>
      <c r="KJS39" s="48"/>
      <c r="KJT39" s="48"/>
      <c r="KJU39" s="48"/>
      <c r="KJV39" s="48"/>
      <c r="KJW39" s="45"/>
      <c r="KJX39" s="46"/>
      <c r="KJY39" s="46"/>
      <c r="KJZ39" s="47"/>
      <c r="KKA39" s="48"/>
      <c r="KKB39" s="48"/>
      <c r="KKC39" s="48"/>
      <c r="KKD39" s="48"/>
      <c r="KKE39" s="48"/>
      <c r="KKF39" s="48"/>
      <c r="KKG39" s="48"/>
      <c r="KKH39" s="48"/>
      <c r="KKI39" s="48"/>
      <c r="KKJ39" s="48"/>
      <c r="KKK39" s="48"/>
      <c r="KKL39" s="48"/>
      <c r="KKM39" s="48"/>
      <c r="KKN39" s="48"/>
      <c r="KKO39" s="48"/>
      <c r="KKP39" s="48"/>
      <c r="KKQ39" s="48"/>
      <c r="KKR39" s="48"/>
      <c r="KKS39" s="45"/>
      <c r="KKT39" s="46"/>
      <c r="KKU39" s="46"/>
      <c r="KKV39" s="47"/>
      <c r="KKW39" s="48"/>
      <c r="KKX39" s="48"/>
      <c r="KKY39" s="48"/>
      <c r="KKZ39" s="48"/>
      <c r="KLA39" s="48"/>
      <c r="KLB39" s="48"/>
      <c r="KLC39" s="48"/>
      <c r="KLD39" s="48"/>
      <c r="KLE39" s="48"/>
      <c r="KLF39" s="48"/>
      <c r="KLG39" s="48"/>
      <c r="KLH39" s="48"/>
      <c r="KLI39" s="48"/>
      <c r="KLJ39" s="48"/>
      <c r="KLK39" s="48"/>
      <c r="KLL39" s="48"/>
      <c r="KLM39" s="48"/>
      <c r="KLN39" s="48"/>
      <c r="KLO39" s="45"/>
      <c r="KLP39" s="46"/>
      <c r="KLQ39" s="46"/>
      <c r="KLR39" s="47"/>
      <c r="KLS39" s="48"/>
      <c r="KLT39" s="48"/>
      <c r="KLU39" s="48"/>
      <c r="KLV39" s="48"/>
      <c r="KLW39" s="48"/>
      <c r="KLX39" s="48"/>
      <c r="KLY39" s="48"/>
      <c r="KLZ39" s="48"/>
      <c r="KMA39" s="48"/>
      <c r="KMB39" s="48"/>
      <c r="KMC39" s="48"/>
      <c r="KMD39" s="48"/>
      <c r="KME39" s="48"/>
      <c r="KMF39" s="48"/>
      <c r="KMG39" s="48"/>
      <c r="KMH39" s="48"/>
      <c r="KMI39" s="48"/>
      <c r="KMJ39" s="48"/>
      <c r="KMK39" s="45"/>
      <c r="KML39" s="46"/>
      <c r="KMM39" s="46"/>
      <c r="KMN39" s="47"/>
      <c r="KMO39" s="48"/>
      <c r="KMP39" s="48"/>
      <c r="KMQ39" s="48"/>
      <c r="KMR39" s="48"/>
      <c r="KMS39" s="48"/>
      <c r="KMT39" s="48"/>
      <c r="KMU39" s="48"/>
      <c r="KMV39" s="48"/>
      <c r="KMW39" s="48"/>
      <c r="KMX39" s="48"/>
      <c r="KMY39" s="48"/>
      <c r="KMZ39" s="48"/>
      <c r="KNA39" s="48"/>
      <c r="KNB39" s="48"/>
      <c r="KNC39" s="48"/>
      <c r="KND39" s="48"/>
      <c r="KNE39" s="48"/>
      <c r="KNF39" s="48"/>
      <c r="KNG39" s="45"/>
      <c r="KNH39" s="46"/>
      <c r="KNI39" s="46"/>
      <c r="KNJ39" s="47"/>
      <c r="KNK39" s="48"/>
      <c r="KNL39" s="48"/>
      <c r="KNM39" s="48"/>
      <c r="KNN39" s="48"/>
      <c r="KNO39" s="48"/>
      <c r="KNP39" s="48"/>
      <c r="KNQ39" s="48"/>
      <c r="KNR39" s="48"/>
      <c r="KNS39" s="48"/>
      <c r="KNT39" s="48"/>
      <c r="KNU39" s="48"/>
      <c r="KNV39" s="48"/>
      <c r="KNW39" s="48"/>
      <c r="KNX39" s="48"/>
      <c r="KNY39" s="48"/>
      <c r="KNZ39" s="48"/>
      <c r="KOA39" s="48"/>
      <c r="KOB39" s="48"/>
      <c r="KOC39" s="45"/>
      <c r="KOD39" s="46"/>
      <c r="KOE39" s="46"/>
      <c r="KOF39" s="47"/>
      <c r="KOG39" s="48"/>
      <c r="KOH39" s="48"/>
      <c r="KOI39" s="48"/>
      <c r="KOJ39" s="48"/>
      <c r="KOK39" s="48"/>
      <c r="KOL39" s="48"/>
      <c r="KOM39" s="48"/>
      <c r="KON39" s="48"/>
      <c r="KOO39" s="48"/>
      <c r="KOP39" s="48"/>
      <c r="KOQ39" s="48"/>
      <c r="KOR39" s="48"/>
      <c r="KOS39" s="48"/>
      <c r="KOT39" s="48"/>
      <c r="KOU39" s="48"/>
      <c r="KOV39" s="48"/>
      <c r="KOW39" s="48"/>
      <c r="KOX39" s="48"/>
      <c r="KOY39" s="45"/>
      <c r="KOZ39" s="46"/>
      <c r="KPA39" s="46"/>
      <c r="KPB39" s="47"/>
      <c r="KPC39" s="48"/>
      <c r="KPD39" s="48"/>
      <c r="KPE39" s="48"/>
      <c r="KPF39" s="48"/>
      <c r="KPG39" s="48"/>
      <c r="KPH39" s="48"/>
      <c r="KPI39" s="48"/>
      <c r="KPJ39" s="48"/>
      <c r="KPK39" s="48"/>
      <c r="KPL39" s="48"/>
      <c r="KPM39" s="48"/>
      <c r="KPN39" s="48"/>
      <c r="KPO39" s="48"/>
      <c r="KPP39" s="48"/>
      <c r="KPQ39" s="48"/>
      <c r="KPR39" s="48"/>
      <c r="KPS39" s="48"/>
      <c r="KPT39" s="48"/>
      <c r="KPU39" s="45"/>
      <c r="KPV39" s="46"/>
      <c r="KPW39" s="46"/>
      <c r="KPX39" s="47"/>
      <c r="KPY39" s="48"/>
      <c r="KPZ39" s="48"/>
      <c r="KQA39" s="48"/>
      <c r="KQB39" s="48"/>
      <c r="KQC39" s="48"/>
      <c r="KQD39" s="48"/>
      <c r="KQE39" s="48"/>
      <c r="KQF39" s="48"/>
      <c r="KQG39" s="48"/>
      <c r="KQH39" s="48"/>
      <c r="KQI39" s="48"/>
      <c r="KQJ39" s="48"/>
      <c r="KQK39" s="48"/>
      <c r="KQL39" s="48"/>
      <c r="KQM39" s="48"/>
      <c r="KQN39" s="48"/>
      <c r="KQO39" s="48"/>
      <c r="KQP39" s="48"/>
      <c r="KQQ39" s="45"/>
      <c r="KQR39" s="46"/>
      <c r="KQS39" s="46"/>
      <c r="KQT39" s="47"/>
      <c r="KQU39" s="48"/>
      <c r="KQV39" s="48"/>
      <c r="KQW39" s="48"/>
      <c r="KQX39" s="48"/>
      <c r="KQY39" s="48"/>
      <c r="KQZ39" s="48"/>
      <c r="KRA39" s="48"/>
      <c r="KRB39" s="48"/>
      <c r="KRC39" s="48"/>
      <c r="KRD39" s="48"/>
      <c r="KRE39" s="48"/>
      <c r="KRF39" s="48"/>
      <c r="KRG39" s="48"/>
      <c r="KRH39" s="48"/>
      <c r="KRI39" s="48"/>
      <c r="KRJ39" s="48"/>
      <c r="KRK39" s="48"/>
      <c r="KRL39" s="48"/>
      <c r="KRM39" s="45"/>
      <c r="KRN39" s="46"/>
      <c r="KRO39" s="46"/>
      <c r="KRP39" s="47"/>
      <c r="KRQ39" s="48"/>
      <c r="KRR39" s="48"/>
      <c r="KRS39" s="48"/>
      <c r="KRT39" s="48"/>
      <c r="KRU39" s="48"/>
      <c r="KRV39" s="48"/>
      <c r="KRW39" s="48"/>
      <c r="KRX39" s="48"/>
      <c r="KRY39" s="48"/>
      <c r="KRZ39" s="48"/>
      <c r="KSA39" s="48"/>
      <c r="KSB39" s="48"/>
      <c r="KSC39" s="48"/>
      <c r="KSD39" s="48"/>
      <c r="KSE39" s="48"/>
      <c r="KSF39" s="48"/>
      <c r="KSG39" s="48"/>
      <c r="KSH39" s="48"/>
      <c r="KSI39" s="45"/>
      <c r="KSJ39" s="46"/>
      <c r="KSK39" s="46"/>
      <c r="KSL39" s="47"/>
      <c r="KSM39" s="48"/>
      <c r="KSN39" s="48"/>
      <c r="KSO39" s="48"/>
      <c r="KSP39" s="48"/>
      <c r="KSQ39" s="48"/>
      <c r="KSR39" s="48"/>
      <c r="KSS39" s="48"/>
      <c r="KST39" s="48"/>
      <c r="KSU39" s="48"/>
      <c r="KSV39" s="48"/>
      <c r="KSW39" s="48"/>
      <c r="KSX39" s="48"/>
      <c r="KSY39" s="48"/>
      <c r="KSZ39" s="48"/>
      <c r="KTA39" s="48"/>
      <c r="KTB39" s="48"/>
      <c r="KTC39" s="48"/>
      <c r="KTD39" s="48"/>
      <c r="KTE39" s="45"/>
      <c r="KTF39" s="46"/>
      <c r="KTG39" s="46"/>
      <c r="KTH39" s="47"/>
      <c r="KTI39" s="48"/>
      <c r="KTJ39" s="48"/>
      <c r="KTK39" s="48"/>
      <c r="KTL39" s="48"/>
      <c r="KTM39" s="48"/>
      <c r="KTN39" s="48"/>
      <c r="KTO39" s="48"/>
      <c r="KTP39" s="48"/>
      <c r="KTQ39" s="48"/>
      <c r="KTR39" s="48"/>
      <c r="KTS39" s="48"/>
      <c r="KTT39" s="48"/>
      <c r="KTU39" s="48"/>
      <c r="KTV39" s="48"/>
      <c r="KTW39" s="48"/>
      <c r="KTX39" s="48"/>
      <c r="KTY39" s="48"/>
      <c r="KTZ39" s="48"/>
      <c r="KUA39" s="45"/>
      <c r="KUB39" s="46"/>
      <c r="KUC39" s="46"/>
      <c r="KUD39" s="47"/>
      <c r="KUE39" s="48"/>
      <c r="KUF39" s="48"/>
      <c r="KUG39" s="48"/>
      <c r="KUH39" s="48"/>
      <c r="KUI39" s="48"/>
      <c r="KUJ39" s="48"/>
      <c r="KUK39" s="48"/>
      <c r="KUL39" s="48"/>
      <c r="KUM39" s="48"/>
      <c r="KUN39" s="48"/>
      <c r="KUO39" s="48"/>
      <c r="KUP39" s="48"/>
      <c r="KUQ39" s="48"/>
      <c r="KUR39" s="48"/>
      <c r="KUS39" s="48"/>
      <c r="KUT39" s="48"/>
      <c r="KUU39" s="48"/>
      <c r="KUV39" s="48"/>
      <c r="KUW39" s="45"/>
      <c r="KUX39" s="46"/>
      <c r="KUY39" s="46"/>
      <c r="KUZ39" s="47"/>
      <c r="KVA39" s="48"/>
      <c r="KVB39" s="48"/>
      <c r="KVC39" s="48"/>
      <c r="KVD39" s="48"/>
      <c r="KVE39" s="48"/>
      <c r="KVF39" s="48"/>
      <c r="KVG39" s="48"/>
      <c r="KVH39" s="48"/>
      <c r="KVI39" s="48"/>
      <c r="KVJ39" s="48"/>
      <c r="KVK39" s="48"/>
      <c r="KVL39" s="48"/>
      <c r="KVM39" s="48"/>
      <c r="KVN39" s="48"/>
      <c r="KVO39" s="48"/>
      <c r="KVP39" s="48"/>
      <c r="KVQ39" s="48"/>
      <c r="KVR39" s="48"/>
      <c r="KVS39" s="45"/>
      <c r="KVT39" s="46"/>
      <c r="KVU39" s="46"/>
      <c r="KVV39" s="47"/>
      <c r="KVW39" s="48"/>
      <c r="KVX39" s="48"/>
      <c r="KVY39" s="48"/>
      <c r="KVZ39" s="48"/>
      <c r="KWA39" s="48"/>
      <c r="KWB39" s="48"/>
      <c r="KWC39" s="48"/>
      <c r="KWD39" s="48"/>
      <c r="KWE39" s="48"/>
      <c r="KWF39" s="48"/>
      <c r="KWG39" s="48"/>
      <c r="KWH39" s="48"/>
      <c r="KWI39" s="48"/>
      <c r="KWJ39" s="48"/>
      <c r="KWK39" s="48"/>
      <c r="KWL39" s="48"/>
      <c r="KWM39" s="48"/>
      <c r="KWN39" s="48"/>
      <c r="KWO39" s="45"/>
      <c r="KWP39" s="46"/>
      <c r="KWQ39" s="46"/>
      <c r="KWR39" s="47"/>
      <c r="KWS39" s="48"/>
      <c r="KWT39" s="48"/>
      <c r="KWU39" s="48"/>
      <c r="KWV39" s="48"/>
      <c r="KWW39" s="48"/>
      <c r="KWX39" s="48"/>
      <c r="KWY39" s="48"/>
      <c r="KWZ39" s="48"/>
      <c r="KXA39" s="48"/>
      <c r="KXB39" s="48"/>
      <c r="KXC39" s="48"/>
      <c r="KXD39" s="48"/>
      <c r="KXE39" s="48"/>
      <c r="KXF39" s="48"/>
      <c r="KXG39" s="48"/>
      <c r="KXH39" s="48"/>
      <c r="KXI39" s="48"/>
      <c r="KXJ39" s="48"/>
      <c r="KXK39" s="45"/>
      <c r="KXL39" s="46"/>
      <c r="KXM39" s="46"/>
      <c r="KXN39" s="47"/>
      <c r="KXO39" s="48"/>
      <c r="KXP39" s="48"/>
      <c r="KXQ39" s="48"/>
      <c r="KXR39" s="48"/>
      <c r="KXS39" s="48"/>
      <c r="KXT39" s="48"/>
      <c r="KXU39" s="48"/>
      <c r="KXV39" s="48"/>
      <c r="KXW39" s="48"/>
      <c r="KXX39" s="48"/>
      <c r="KXY39" s="48"/>
      <c r="KXZ39" s="48"/>
      <c r="KYA39" s="48"/>
      <c r="KYB39" s="48"/>
      <c r="KYC39" s="48"/>
      <c r="KYD39" s="48"/>
      <c r="KYE39" s="48"/>
      <c r="KYF39" s="48"/>
      <c r="KYG39" s="45"/>
      <c r="KYH39" s="46"/>
      <c r="KYI39" s="46"/>
      <c r="KYJ39" s="47"/>
      <c r="KYK39" s="48"/>
      <c r="KYL39" s="48"/>
      <c r="KYM39" s="48"/>
      <c r="KYN39" s="48"/>
      <c r="KYO39" s="48"/>
      <c r="KYP39" s="48"/>
      <c r="KYQ39" s="48"/>
      <c r="KYR39" s="48"/>
      <c r="KYS39" s="48"/>
      <c r="KYT39" s="48"/>
      <c r="KYU39" s="48"/>
      <c r="KYV39" s="48"/>
      <c r="KYW39" s="48"/>
      <c r="KYX39" s="48"/>
      <c r="KYY39" s="48"/>
      <c r="KYZ39" s="48"/>
      <c r="KZA39" s="48"/>
      <c r="KZB39" s="48"/>
      <c r="KZC39" s="45"/>
      <c r="KZD39" s="46"/>
      <c r="KZE39" s="46"/>
      <c r="KZF39" s="47"/>
      <c r="KZG39" s="48"/>
      <c r="KZH39" s="48"/>
      <c r="KZI39" s="48"/>
      <c r="KZJ39" s="48"/>
      <c r="KZK39" s="48"/>
      <c r="KZL39" s="48"/>
      <c r="KZM39" s="48"/>
      <c r="KZN39" s="48"/>
      <c r="KZO39" s="48"/>
      <c r="KZP39" s="48"/>
      <c r="KZQ39" s="48"/>
      <c r="KZR39" s="48"/>
      <c r="KZS39" s="48"/>
      <c r="KZT39" s="48"/>
      <c r="KZU39" s="48"/>
      <c r="KZV39" s="48"/>
      <c r="KZW39" s="48"/>
      <c r="KZX39" s="48"/>
      <c r="KZY39" s="45"/>
      <c r="KZZ39" s="46"/>
      <c r="LAA39" s="46"/>
      <c r="LAB39" s="47"/>
      <c r="LAC39" s="48"/>
      <c r="LAD39" s="48"/>
      <c r="LAE39" s="48"/>
      <c r="LAF39" s="48"/>
      <c r="LAG39" s="48"/>
      <c r="LAH39" s="48"/>
      <c r="LAI39" s="48"/>
      <c r="LAJ39" s="48"/>
      <c r="LAK39" s="48"/>
      <c r="LAL39" s="48"/>
      <c r="LAM39" s="48"/>
      <c r="LAN39" s="48"/>
      <c r="LAO39" s="48"/>
      <c r="LAP39" s="48"/>
      <c r="LAQ39" s="48"/>
      <c r="LAR39" s="48"/>
      <c r="LAS39" s="48"/>
      <c r="LAT39" s="48"/>
      <c r="LAU39" s="45"/>
      <c r="LAV39" s="46"/>
      <c r="LAW39" s="46"/>
      <c r="LAX39" s="47"/>
      <c r="LAY39" s="48"/>
      <c r="LAZ39" s="48"/>
      <c r="LBA39" s="48"/>
      <c r="LBB39" s="48"/>
      <c r="LBC39" s="48"/>
      <c r="LBD39" s="48"/>
      <c r="LBE39" s="48"/>
      <c r="LBF39" s="48"/>
      <c r="LBG39" s="48"/>
      <c r="LBH39" s="48"/>
      <c r="LBI39" s="48"/>
      <c r="LBJ39" s="48"/>
      <c r="LBK39" s="48"/>
      <c r="LBL39" s="48"/>
      <c r="LBM39" s="48"/>
      <c r="LBN39" s="48"/>
      <c r="LBO39" s="48"/>
      <c r="LBP39" s="48"/>
      <c r="LBQ39" s="45"/>
      <c r="LBR39" s="46"/>
      <c r="LBS39" s="46"/>
      <c r="LBT39" s="47"/>
      <c r="LBU39" s="48"/>
      <c r="LBV39" s="48"/>
      <c r="LBW39" s="48"/>
      <c r="LBX39" s="48"/>
      <c r="LBY39" s="48"/>
      <c r="LBZ39" s="48"/>
      <c r="LCA39" s="48"/>
      <c r="LCB39" s="48"/>
      <c r="LCC39" s="48"/>
      <c r="LCD39" s="48"/>
      <c r="LCE39" s="48"/>
      <c r="LCF39" s="48"/>
      <c r="LCG39" s="48"/>
      <c r="LCH39" s="48"/>
      <c r="LCI39" s="48"/>
      <c r="LCJ39" s="48"/>
      <c r="LCK39" s="48"/>
      <c r="LCL39" s="48"/>
      <c r="LCM39" s="45"/>
      <c r="LCN39" s="46"/>
      <c r="LCO39" s="46"/>
      <c r="LCP39" s="47"/>
      <c r="LCQ39" s="48"/>
      <c r="LCR39" s="48"/>
      <c r="LCS39" s="48"/>
      <c r="LCT39" s="48"/>
      <c r="LCU39" s="48"/>
      <c r="LCV39" s="48"/>
      <c r="LCW39" s="48"/>
      <c r="LCX39" s="48"/>
      <c r="LCY39" s="48"/>
      <c r="LCZ39" s="48"/>
      <c r="LDA39" s="48"/>
      <c r="LDB39" s="48"/>
      <c r="LDC39" s="48"/>
      <c r="LDD39" s="48"/>
      <c r="LDE39" s="48"/>
      <c r="LDF39" s="48"/>
      <c r="LDG39" s="48"/>
      <c r="LDH39" s="48"/>
      <c r="LDI39" s="45"/>
      <c r="LDJ39" s="46"/>
      <c r="LDK39" s="46"/>
      <c r="LDL39" s="47"/>
      <c r="LDM39" s="48"/>
      <c r="LDN39" s="48"/>
      <c r="LDO39" s="48"/>
      <c r="LDP39" s="48"/>
      <c r="LDQ39" s="48"/>
      <c r="LDR39" s="48"/>
      <c r="LDS39" s="48"/>
      <c r="LDT39" s="48"/>
      <c r="LDU39" s="48"/>
      <c r="LDV39" s="48"/>
      <c r="LDW39" s="48"/>
      <c r="LDX39" s="48"/>
      <c r="LDY39" s="48"/>
      <c r="LDZ39" s="48"/>
      <c r="LEA39" s="48"/>
      <c r="LEB39" s="48"/>
      <c r="LEC39" s="48"/>
      <c r="LED39" s="48"/>
      <c r="LEE39" s="45"/>
      <c r="LEF39" s="46"/>
      <c r="LEG39" s="46"/>
      <c r="LEH39" s="47"/>
      <c r="LEI39" s="48"/>
      <c r="LEJ39" s="48"/>
      <c r="LEK39" s="48"/>
      <c r="LEL39" s="48"/>
      <c r="LEM39" s="48"/>
      <c r="LEN39" s="48"/>
      <c r="LEO39" s="48"/>
      <c r="LEP39" s="48"/>
      <c r="LEQ39" s="48"/>
      <c r="LER39" s="48"/>
      <c r="LES39" s="48"/>
      <c r="LET39" s="48"/>
      <c r="LEU39" s="48"/>
      <c r="LEV39" s="48"/>
      <c r="LEW39" s="48"/>
      <c r="LEX39" s="48"/>
      <c r="LEY39" s="48"/>
      <c r="LEZ39" s="48"/>
      <c r="LFA39" s="45"/>
      <c r="LFB39" s="46"/>
      <c r="LFC39" s="46"/>
      <c r="LFD39" s="47"/>
      <c r="LFE39" s="48"/>
      <c r="LFF39" s="48"/>
      <c r="LFG39" s="48"/>
      <c r="LFH39" s="48"/>
      <c r="LFI39" s="48"/>
      <c r="LFJ39" s="48"/>
      <c r="LFK39" s="48"/>
      <c r="LFL39" s="48"/>
      <c r="LFM39" s="48"/>
      <c r="LFN39" s="48"/>
      <c r="LFO39" s="48"/>
      <c r="LFP39" s="48"/>
      <c r="LFQ39" s="48"/>
      <c r="LFR39" s="48"/>
      <c r="LFS39" s="48"/>
      <c r="LFT39" s="48"/>
      <c r="LFU39" s="48"/>
      <c r="LFV39" s="48"/>
      <c r="LFW39" s="45"/>
      <c r="LFX39" s="46"/>
      <c r="LFY39" s="46"/>
      <c r="LFZ39" s="47"/>
      <c r="LGA39" s="48"/>
      <c r="LGB39" s="48"/>
      <c r="LGC39" s="48"/>
      <c r="LGD39" s="48"/>
      <c r="LGE39" s="48"/>
      <c r="LGF39" s="48"/>
      <c r="LGG39" s="48"/>
      <c r="LGH39" s="48"/>
      <c r="LGI39" s="48"/>
      <c r="LGJ39" s="48"/>
      <c r="LGK39" s="48"/>
      <c r="LGL39" s="48"/>
      <c r="LGM39" s="48"/>
      <c r="LGN39" s="48"/>
      <c r="LGO39" s="48"/>
      <c r="LGP39" s="48"/>
      <c r="LGQ39" s="48"/>
      <c r="LGR39" s="48"/>
      <c r="LGS39" s="45"/>
      <c r="LGT39" s="46"/>
      <c r="LGU39" s="46"/>
      <c r="LGV39" s="47"/>
      <c r="LGW39" s="48"/>
      <c r="LGX39" s="48"/>
      <c r="LGY39" s="48"/>
      <c r="LGZ39" s="48"/>
      <c r="LHA39" s="48"/>
      <c r="LHB39" s="48"/>
      <c r="LHC39" s="48"/>
      <c r="LHD39" s="48"/>
      <c r="LHE39" s="48"/>
      <c r="LHF39" s="48"/>
      <c r="LHG39" s="48"/>
      <c r="LHH39" s="48"/>
      <c r="LHI39" s="48"/>
      <c r="LHJ39" s="48"/>
      <c r="LHK39" s="48"/>
      <c r="LHL39" s="48"/>
      <c r="LHM39" s="48"/>
      <c r="LHN39" s="48"/>
      <c r="LHO39" s="45"/>
      <c r="LHP39" s="46"/>
      <c r="LHQ39" s="46"/>
      <c r="LHR39" s="47"/>
      <c r="LHS39" s="48"/>
      <c r="LHT39" s="48"/>
      <c r="LHU39" s="48"/>
      <c r="LHV39" s="48"/>
      <c r="LHW39" s="48"/>
      <c r="LHX39" s="48"/>
      <c r="LHY39" s="48"/>
      <c r="LHZ39" s="48"/>
      <c r="LIA39" s="48"/>
      <c r="LIB39" s="48"/>
      <c r="LIC39" s="48"/>
      <c r="LID39" s="48"/>
      <c r="LIE39" s="48"/>
      <c r="LIF39" s="48"/>
      <c r="LIG39" s="48"/>
      <c r="LIH39" s="48"/>
      <c r="LII39" s="48"/>
      <c r="LIJ39" s="48"/>
      <c r="LIK39" s="45"/>
      <c r="LIL39" s="46"/>
      <c r="LIM39" s="46"/>
      <c r="LIN39" s="47"/>
      <c r="LIO39" s="48"/>
      <c r="LIP39" s="48"/>
      <c r="LIQ39" s="48"/>
      <c r="LIR39" s="48"/>
      <c r="LIS39" s="48"/>
      <c r="LIT39" s="48"/>
      <c r="LIU39" s="48"/>
      <c r="LIV39" s="48"/>
      <c r="LIW39" s="48"/>
      <c r="LIX39" s="48"/>
      <c r="LIY39" s="48"/>
      <c r="LIZ39" s="48"/>
      <c r="LJA39" s="48"/>
      <c r="LJB39" s="48"/>
      <c r="LJC39" s="48"/>
      <c r="LJD39" s="48"/>
      <c r="LJE39" s="48"/>
      <c r="LJF39" s="48"/>
      <c r="LJG39" s="45"/>
      <c r="LJH39" s="46"/>
      <c r="LJI39" s="46"/>
      <c r="LJJ39" s="47"/>
      <c r="LJK39" s="48"/>
      <c r="LJL39" s="48"/>
      <c r="LJM39" s="48"/>
      <c r="LJN39" s="48"/>
      <c r="LJO39" s="48"/>
      <c r="LJP39" s="48"/>
      <c r="LJQ39" s="48"/>
      <c r="LJR39" s="48"/>
      <c r="LJS39" s="48"/>
      <c r="LJT39" s="48"/>
      <c r="LJU39" s="48"/>
      <c r="LJV39" s="48"/>
      <c r="LJW39" s="48"/>
      <c r="LJX39" s="48"/>
      <c r="LJY39" s="48"/>
      <c r="LJZ39" s="48"/>
      <c r="LKA39" s="48"/>
      <c r="LKB39" s="48"/>
      <c r="LKC39" s="45"/>
      <c r="LKD39" s="46"/>
      <c r="LKE39" s="46"/>
      <c r="LKF39" s="47"/>
      <c r="LKG39" s="48"/>
      <c r="LKH39" s="48"/>
      <c r="LKI39" s="48"/>
      <c r="LKJ39" s="48"/>
      <c r="LKK39" s="48"/>
      <c r="LKL39" s="48"/>
      <c r="LKM39" s="48"/>
      <c r="LKN39" s="48"/>
      <c r="LKO39" s="48"/>
      <c r="LKP39" s="48"/>
      <c r="LKQ39" s="48"/>
      <c r="LKR39" s="48"/>
      <c r="LKS39" s="48"/>
      <c r="LKT39" s="48"/>
      <c r="LKU39" s="48"/>
      <c r="LKV39" s="48"/>
      <c r="LKW39" s="48"/>
      <c r="LKX39" s="48"/>
      <c r="LKY39" s="45"/>
      <c r="LKZ39" s="46"/>
      <c r="LLA39" s="46"/>
      <c r="LLB39" s="47"/>
      <c r="LLC39" s="48"/>
      <c r="LLD39" s="48"/>
      <c r="LLE39" s="48"/>
      <c r="LLF39" s="48"/>
      <c r="LLG39" s="48"/>
      <c r="LLH39" s="48"/>
      <c r="LLI39" s="48"/>
      <c r="LLJ39" s="48"/>
      <c r="LLK39" s="48"/>
      <c r="LLL39" s="48"/>
      <c r="LLM39" s="48"/>
      <c r="LLN39" s="48"/>
      <c r="LLO39" s="48"/>
      <c r="LLP39" s="48"/>
      <c r="LLQ39" s="48"/>
      <c r="LLR39" s="48"/>
      <c r="LLS39" s="48"/>
      <c r="LLT39" s="48"/>
      <c r="LLU39" s="45"/>
      <c r="LLV39" s="46"/>
      <c r="LLW39" s="46"/>
      <c r="LLX39" s="47"/>
      <c r="LLY39" s="48"/>
      <c r="LLZ39" s="48"/>
      <c r="LMA39" s="48"/>
      <c r="LMB39" s="48"/>
      <c r="LMC39" s="48"/>
      <c r="LMD39" s="48"/>
      <c r="LME39" s="48"/>
      <c r="LMF39" s="48"/>
      <c r="LMG39" s="48"/>
      <c r="LMH39" s="48"/>
      <c r="LMI39" s="48"/>
      <c r="LMJ39" s="48"/>
      <c r="LMK39" s="48"/>
      <c r="LML39" s="48"/>
      <c r="LMM39" s="48"/>
      <c r="LMN39" s="48"/>
      <c r="LMO39" s="48"/>
      <c r="LMP39" s="48"/>
      <c r="LMQ39" s="45"/>
      <c r="LMR39" s="46"/>
      <c r="LMS39" s="46"/>
      <c r="LMT39" s="47"/>
      <c r="LMU39" s="48"/>
      <c r="LMV39" s="48"/>
      <c r="LMW39" s="48"/>
      <c r="LMX39" s="48"/>
      <c r="LMY39" s="48"/>
      <c r="LMZ39" s="48"/>
      <c r="LNA39" s="48"/>
      <c r="LNB39" s="48"/>
      <c r="LNC39" s="48"/>
      <c r="LND39" s="48"/>
      <c r="LNE39" s="48"/>
      <c r="LNF39" s="48"/>
      <c r="LNG39" s="48"/>
      <c r="LNH39" s="48"/>
      <c r="LNI39" s="48"/>
      <c r="LNJ39" s="48"/>
      <c r="LNK39" s="48"/>
      <c r="LNL39" s="48"/>
      <c r="LNM39" s="45"/>
      <c r="LNN39" s="46"/>
      <c r="LNO39" s="46"/>
      <c r="LNP39" s="47"/>
      <c r="LNQ39" s="48"/>
      <c r="LNR39" s="48"/>
      <c r="LNS39" s="48"/>
      <c r="LNT39" s="48"/>
      <c r="LNU39" s="48"/>
      <c r="LNV39" s="48"/>
      <c r="LNW39" s="48"/>
      <c r="LNX39" s="48"/>
      <c r="LNY39" s="48"/>
      <c r="LNZ39" s="48"/>
      <c r="LOA39" s="48"/>
      <c r="LOB39" s="48"/>
      <c r="LOC39" s="48"/>
      <c r="LOD39" s="48"/>
      <c r="LOE39" s="48"/>
      <c r="LOF39" s="48"/>
      <c r="LOG39" s="48"/>
      <c r="LOH39" s="48"/>
      <c r="LOI39" s="45"/>
      <c r="LOJ39" s="46"/>
      <c r="LOK39" s="46"/>
      <c r="LOL39" s="47"/>
      <c r="LOM39" s="48"/>
      <c r="LON39" s="48"/>
      <c r="LOO39" s="48"/>
      <c r="LOP39" s="48"/>
      <c r="LOQ39" s="48"/>
      <c r="LOR39" s="48"/>
      <c r="LOS39" s="48"/>
      <c r="LOT39" s="48"/>
      <c r="LOU39" s="48"/>
      <c r="LOV39" s="48"/>
      <c r="LOW39" s="48"/>
      <c r="LOX39" s="48"/>
      <c r="LOY39" s="48"/>
      <c r="LOZ39" s="48"/>
      <c r="LPA39" s="48"/>
      <c r="LPB39" s="48"/>
      <c r="LPC39" s="48"/>
      <c r="LPD39" s="48"/>
      <c r="LPE39" s="45"/>
      <c r="LPF39" s="46"/>
      <c r="LPG39" s="46"/>
      <c r="LPH39" s="47"/>
      <c r="LPI39" s="48"/>
      <c r="LPJ39" s="48"/>
      <c r="LPK39" s="48"/>
      <c r="LPL39" s="48"/>
      <c r="LPM39" s="48"/>
      <c r="LPN39" s="48"/>
      <c r="LPO39" s="48"/>
      <c r="LPP39" s="48"/>
      <c r="LPQ39" s="48"/>
      <c r="LPR39" s="48"/>
      <c r="LPS39" s="48"/>
      <c r="LPT39" s="48"/>
      <c r="LPU39" s="48"/>
      <c r="LPV39" s="48"/>
      <c r="LPW39" s="48"/>
      <c r="LPX39" s="48"/>
      <c r="LPY39" s="48"/>
      <c r="LPZ39" s="48"/>
      <c r="LQA39" s="45"/>
      <c r="LQB39" s="46"/>
      <c r="LQC39" s="46"/>
      <c r="LQD39" s="47"/>
      <c r="LQE39" s="48"/>
      <c r="LQF39" s="48"/>
      <c r="LQG39" s="48"/>
      <c r="LQH39" s="48"/>
      <c r="LQI39" s="48"/>
      <c r="LQJ39" s="48"/>
      <c r="LQK39" s="48"/>
      <c r="LQL39" s="48"/>
      <c r="LQM39" s="48"/>
      <c r="LQN39" s="48"/>
      <c r="LQO39" s="48"/>
      <c r="LQP39" s="48"/>
      <c r="LQQ39" s="48"/>
      <c r="LQR39" s="48"/>
      <c r="LQS39" s="48"/>
      <c r="LQT39" s="48"/>
      <c r="LQU39" s="48"/>
      <c r="LQV39" s="48"/>
      <c r="LQW39" s="45"/>
      <c r="LQX39" s="46"/>
      <c r="LQY39" s="46"/>
      <c r="LQZ39" s="47"/>
      <c r="LRA39" s="48"/>
      <c r="LRB39" s="48"/>
      <c r="LRC39" s="48"/>
      <c r="LRD39" s="48"/>
      <c r="LRE39" s="48"/>
      <c r="LRF39" s="48"/>
      <c r="LRG39" s="48"/>
      <c r="LRH39" s="48"/>
      <c r="LRI39" s="48"/>
      <c r="LRJ39" s="48"/>
      <c r="LRK39" s="48"/>
      <c r="LRL39" s="48"/>
      <c r="LRM39" s="48"/>
      <c r="LRN39" s="48"/>
      <c r="LRO39" s="48"/>
      <c r="LRP39" s="48"/>
      <c r="LRQ39" s="48"/>
      <c r="LRR39" s="48"/>
      <c r="LRS39" s="45"/>
      <c r="LRT39" s="46"/>
      <c r="LRU39" s="46"/>
      <c r="LRV39" s="47"/>
      <c r="LRW39" s="48"/>
      <c r="LRX39" s="48"/>
      <c r="LRY39" s="48"/>
      <c r="LRZ39" s="48"/>
      <c r="LSA39" s="48"/>
      <c r="LSB39" s="48"/>
      <c r="LSC39" s="48"/>
      <c r="LSD39" s="48"/>
      <c r="LSE39" s="48"/>
      <c r="LSF39" s="48"/>
      <c r="LSG39" s="48"/>
      <c r="LSH39" s="48"/>
      <c r="LSI39" s="48"/>
      <c r="LSJ39" s="48"/>
      <c r="LSK39" s="48"/>
      <c r="LSL39" s="48"/>
      <c r="LSM39" s="48"/>
      <c r="LSN39" s="48"/>
      <c r="LSO39" s="45"/>
      <c r="LSP39" s="46"/>
      <c r="LSQ39" s="46"/>
      <c r="LSR39" s="47"/>
      <c r="LSS39" s="48"/>
      <c r="LST39" s="48"/>
      <c r="LSU39" s="48"/>
      <c r="LSV39" s="48"/>
      <c r="LSW39" s="48"/>
      <c r="LSX39" s="48"/>
      <c r="LSY39" s="48"/>
      <c r="LSZ39" s="48"/>
      <c r="LTA39" s="48"/>
      <c r="LTB39" s="48"/>
      <c r="LTC39" s="48"/>
      <c r="LTD39" s="48"/>
      <c r="LTE39" s="48"/>
      <c r="LTF39" s="48"/>
      <c r="LTG39" s="48"/>
      <c r="LTH39" s="48"/>
      <c r="LTI39" s="48"/>
      <c r="LTJ39" s="48"/>
      <c r="LTK39" s="45"/>
      <c r="LTL39" s="46"/>
      <c r="LTM39" s="46"/>
      <c r="LTN39" s="47"/>
      <c r="LTO39" s="48"/>
      <c r="LTP39" s="48"/>
      <c r="LTQ39" s="48"/>
      <c r="LTR39" s="48"/>
      <c r="LTS39" s="48"/>
      <c r="LTT39" s="48"/>
      <c r="LTU39" s="48"/>
      <c r="LTV39" s="48"/>
      <c r="LTW39" s="48"/>
      <c r="LTX39" s="48"/>
      <c r="LTY39" s="48"/>
      <c r="LTZ39" s="48"/>
      <c r="LUA39" s="48"/>
      <c r="LUB39" s="48"/>
      <c r="LUC39" s="48"/>
      <c r="LUD39" s="48"/>
      <c r="LUE39" s="48"/>
      <c r="LUF39" s="48"/>
      <c r="LUG39" s="45"/>
      <c r="LUH39" s="46"/>
      <c r="LUI39" s="46"/>
      <c r="LUJ39" s="47"/>
      <c r="LUK39" s="48"/>
      <c r="LUL39" s="48"/>
      <c r="LUM39" s="48"/>
      <c r="LUN39" s="48"/>
      <c r="LUO39" s="48"/>
      <c r="LUP39" s="48"/>
      <c r="LUQ39" s="48"/>
      <c r="LUR39" s="48"/>
      <c r="LUS39" s="48"/>
      <c r="LUT39" s="48"/>
      <c r="LUU39" s="48"/>
      <c r="LUV39" s="48"/>
      <c r="LUW39" s="48"/>
      <c r="LUX39" s="48"/>
      <c r="LUY39" s="48"/>
      <c r="LUZ39" s="48"/>
      <c r="LVA39" s="48"/>
      <c r="LVB39" s="48"/>
      <c r="LVC39" s="45"/>
      <c r="LVD39" s="46"/>
      <c r="LVE39" s="46"/>
      <c r="LVF39" s="47"/>
      <c r="LVG39" s="48"/>
      <c r="LVH39" s="48"/>
      <c r="LVI39" s="48"/>
      <c r="LVJ39" s="48"/>
      <c r="LVK39" s="48"/>
      <c r="LVL39" s="48"/>
      <c r="LVM39" s="48"/>
      <c r="LVN39" s="48"/>
      <c r="LVO39" s="48"/>
      <c r="LVP39" s="48"/>
      <c r="LVQ39" s="48"/>
      <c r="LVR39" s="48"/>
      <c r="LVS39" s="48"/>
      <c r="LVT39" s="48"/>
      <c r="LVU39" s="48"/>
      <c r="LVV39" s="48"/>
      <c r="LVW39" s="48"/>
      <c r="LVX39" s="48"/>
      <c r="LVY39" s="45"/>
      <c r="LVZ39" s="46"/>
      <c r="LWA39" s="46"/>
      <c r="LWB39" s="47"/>
      <c r="LWC39" s="48"/>
      <c r="LWD39" s="48"/>
      <c r="LWE39" s="48"/>
      <c r="LWF39" s="48"/>
      <c r="LWG39" s="48"/>
      <c r="LWH39" s="48"/>
      <c r="LWI39" s="48"/>
      <c r="LWJ39" s="48"/>
      <c r="LWK39" s="48"/>
      <c r="LWL39" s="48"/>
      <c r="LWM39" s="48"/>
      <c r="LWN39" s="48"/>
      <c r="LWO39" s="48"/>
      <c r="LWP39" s="48"/>
      <c r="LWQ39" s="48"/>
      <c r="LWR39" s="48"/>
      <c r="LWS39" s="48"/>
      <c r="LWT39" s="48"/>
      <c r="LWU39" s="45"/>
      <c r="LWV39" s="46"/>
      <c r="LWW39" s="46"/>
      <c r="LWX39" s="47"/>
      <c r="LWY39" s="48"/>
      <c r="LWZ39" s="48"/>
      <c r="LXA39" s="48"/>
      <c r="LXB39" s="48"/>
      <c r="LXC39" s="48"/>
      <c r="LXD39" s="48"/>
      <c r="LXE39" s="48"/>
      <c r="LXF39" s="48"/>
      <c r="LXG39" s="48"/>
      <c r="LXH39" s="48"/>
      <c r="LXI39" s="48"/>
      <c r="LXJ39" s="48"/>
      <c r="LXK39" s="48"/>
      <c r="LXL39" s="48"/>
      <c r="LXM39" s="48"/>
      <c r="LXN39" s="48"/>
      <c r="LXO39" s="48"/>
      <c r="LXP39" s="48"/>
      <c r="LXQ39" s="45"/>
      <c r="LXR39" s="46"/>
      <c r="LXS39" s="46"/>
      <c r="LXT39" s="47"/>
      <c r="LXU39" s="48"/>
      <c r="LXV39" s="48"/>
      <c r="LXW39" s="48"/>
      <c r="LXX39" s="48"/>
      <c r="LXY39" s="48"/>
      <c r="LXZ39" s="48"/>
      <c r="LYA39" s="48"/>
      <c r="LYB39" s="48"/>
      <c r="LYC39" s="48"/>
      <c r="LYD39" s="48"/>
      <c r="LYE39" s="48"/>
      <c r="LYF39" s="48"/>
      <c r="LYG39" s="48"/>
      <c r="LYH39" s="48"/>
      <c r="LYI39" s="48"/>
      <c r="LYJ39" s="48"/>
      <c r="LYK39" s="48"/>
      <c r="LYL39" s="48"/>
      <c r="LYM39" s="45"/>
      <c r="LYN39" s="46"/>
      <c r="LYO39" s="46"/>
      <c r="LYP39" s="47"/>
      <c r="LYQ39" s="48"/>
      <c r="LYR39" s="48"/>
      <c r="LYS39" s="48"/>
      <c r="LYT39" s="48"/>
      <c r="LYU39" s="48"/>
      <c r="LYV39" s="48"/>
      <c r="LYW39" s="48"/>
      <c r="LYX39" s="48"/>
      <c r="LYY39" s="48"/>
      <c r="LYZ39" s="48"/>
      <c r="LZA39" s="48"/>
      <c r="LZB39" s="48"/>
      <c r="LZC39" s="48"/>
      <c r="LZD39" s="48"/>
      <c r="LZE39" s="48"/>
      <c r="LZF39" s="48"/>
      <c r="LZG39" s="48"/>
      <c r="LZH39" s="48"/>
      <c r="LZI39" s="45"/>
      <c r="LZJ39" s="46"/>
      <c r="LZK39" s="46"/>
      <c r="LZL39" s="47"/>
      <c r="LZM39" s="48"/>
      <c r="LZN39" s="48"/>
      <c r="LZO39" s="48"/>
      <c r="LZP39" s="48"/>
      <c r="LZQ39" s="48"/>
      <c r="LZR39" s="48"/>
      <c r="LZS39" s="48"/>
      <c r="LZT39" s="48"/>
      <c r="LZU39" s="48"/>
      <c r="LZV39" s="48"/>
      <c r="LZW39" s="48"/>
      <c r="LZX39" s="48"/>
      <c r="LZY39" s="48"/>
      <c r="LZZ39" s="48"/>
      <c r="MAA39" s="48"/>
      <c r="MAB39" s="48"/>
      <c r="MAC39" s="48"/>
      <c r="MAD39" s="48"/>
      <c r="MAE39" s="45"/>
      <c r="MAF39" s="46"/>
      <c r="MAG39" s="46"/>
      <c r="MAH39" s="47"/>
      <c r="MAI39" s="48"/>
      <c r="MAJ39" s="48"/>
      <c r="MAK39" s="48"/>
      <c r="MAL39" s="48"/>
      <c r="MAM39" s="48"/>
      <c r="MAN39" s="48"/>
      <c r="MAO39" s="48"/>
      <c r="MAP39" s="48"/>
      <c r="MAQ39" s="48"/>
      <c r="MAR39" s="48"/>
      <c r="MAS39" s="48"/>
      <c r="MAT39" s="48"/>
      <c r="MAU39" s="48"/>
      <c r="MAV39" s="48"/>
      <c r="MAW39" s="48"/>
      <c r="MAX39" s="48"/>
      <c r="MAY39" s="48"/>
      <c r="MAZ39" s="48"/>
      <c r="MBA39" s="45"/>
      <c r="MBB39" s="46"/>
      <c r="MBC39" s="46"/>
      <c r="MBD39" s="47"/>
      <c r="MBE39" s="48"/>
      <c r="MBF39" s="48"/>
      <c r="MBG39" s="48"/>
      <c r="MBH39" s="48"/>
      <c r="MBI39" s="48"/>
      <c r="MBJ39" s="48"/>
      <c r="MBK39" s="48"/>
      <c r="MBL39" s="48"/>
      <c r="MBM39" s="48"/>
      <c r="MBN39" s="48"/>
      <c r="MBO39" s="48"/>
      <c r="MBP39" s="48"/>
      <c r="MBQ39" s="48"/>
      <c r="MBR39" s="48"/>
      <c r="MBS39" s="48"/>
      <c r="MBT39" s="48"/>
      <c r="MBU39" s="48"/>
      <c r="MBV39" s="48"/>
      <c r="MBW39" s="45"/>
      <c r="MBX39" s="46"/>
      <c r="MBY39" s="46"/>
      <c r="MBZ39" s="47"/>
      <c r="MCA39" s="48"/>
      <c r="MCB39" s="48"/>
      <c r="MCC39" s="48"/>
      <c r="MCD39" s="48"/>
      <c r="MCE39" s="48"/>
      <c r="MCF39" s="48"/>
      <c r="MCG39" s="48"/>
      <c r="MCH39" s="48"/>
      <c r="MCI39" s="48"/>
      <c r="MCJ39" s="48"/>
      <c r="MCK39" s="48"/>
      <c r="MCL39" s="48"/>
      <c r="MCM39" s="48"/>
      <c r="MCN39" s="48"/>
      <c r="MCO39" s="48"/>
      <c r="MCP39" s="48"/>
      <c r="MCQ39" s="48"/>
      <c r="MCR39" s="48"/>
      <c r="MCS39" s="45"/>
      <c r="MCT39" s="46"/>
      <c r="MCU39" s="46"/>
      <c r="MCV39" s="47"/>
      <c r="MCW39" s="48"/>
      <c r="MCX39" s="48"/>
      <c r="MCY39" s="48"/>
      <c r="MCZ39" s="48"/>
      <c r="MDA39" s="48"/>
      <c r="MDB39" s="48"/>
      <c r="MDC39" s="48"/>
      <c r="MDD39" s="48"/>
      <c r="MDE39" s="48"/>
      <c r="MDF39" s="48"/>
      <c r="MDG39" s="48"/>
      <c r="MDH39" s="48"/>
      <c r="MDI39" s="48"/>
      <c r="MDJ39" s="48"/>
      <c r="MDK39" s="48"/>
      <c r="MDL39" s="48"/>
      <c r="MDM39" s="48"/>
      <c r="MDN39" s="48"/>
      <c r="MDO39" s="45"/>
      <c r="MDP39" s="46"/>
      <c r="MDQ39" s="46"/>
      <c r="MDR39" s="47"/>
      <c r="MDS39" s="48"/>
      <c r="MDT39" s="48"/>
      <c r="MDU39" s="48"/>
      <c r="MDV39" s="48"/>
      <c r="MDW39" s="48"/>
      <c r="MDX39" s="48"/>
      <c r="MDY39" s="48"/>
      <c r="MDZ39" s="48"/>
      <c r="MEA39" s="48"/>
      <c r="MEB39" s="48"/>
      <c r="MEC39" s="48"/>
      <c r="MED39" s="48"/>
      <c r="MEE39" s="48"/>
      <c r="MEF39" s="48"/>
      <c r="MEG39" s="48"/>
      <c r="MEH39" s="48"/>
      <c r="MEI39" s="48"/>
      <c r="MEJ39" s="48"/>
      <c r="MEK39" s="45"/>
      <c r="MEL39" s="46"/>
      <c r="MEM39" s="46"/>
      <c r="MEN39" s="47"/>
      <c r="MEO39" s="48"/>
      <c r="MEP39" s="48"/>
      <c r="MEQ39" s="48"/>
      <c r="MER39" s="48"/>
      <c r="MES39" s="48"/>
      <c r="MET39" s="48"/>
      <c r="MEU39" s="48"/>
      <c r="MEV39" s="48"/>
      <c r="MEW39" s="48"/>
      <c r="MEX39" s="48"/>
      <c r="MEY39" s="48"/>
      <c r="MEZ39" s="48"/>
      <c r="MFA39" s="48"/>
      <c r="MFB39" s="48"/>
      <c r="MFC39" s="48"/>
      <c r="MFD39" s="48"/>
      <c r="MFE39" s="48"/>
      <c r="MFF39" s="48"/>
      <c r="MFG39" s="45"/>
      <c r="MFH39" s="46"/>
      <c r="MFI39" s="46"/>
      <c r="MFJ39" s="47"/>
      <c r="MFK39" s="48"/>
      <c r="MFL39" s="48"/>
      <c r="MFM39" s="48"/>
      <c r="MFN39" s="48"/>
      <c r="MFO39" s="48"/>
      <c r="MFP39" s="48"/>
      <c r="MFQ39" s="48"/>
      <c r="MFR39" s="48"/>
      <c r="MFS39" s="48"/>
      <c r="MFT39" s="48"/>
      <c r="MFU39" s="48"/>
      <c r="MFV39" s="48"/>
      <c r="MFW39" s="48"/>
      <c r="MFX39" s="48"/>
      <c r="MFY39" s="48"/>
      <c r="MFZ39" s="48"/>
      <c r="MGA39" s="48"/>
      <c r="MGB39" s="48"/>
      <c r="MGC39" s="45"/>
      <c r="MGD39" s="46"/>
      <c r="MGE39" s="46"/>
      <c r="MGF39" s="47"/>
      <c r="MGG39" s="48"/>
      <c r="MGH39" s="48"/>
      <c r="MGI39" s="48"/>
      <c r="MGJ39" s="48"/>
      <c r="MGK39" s="48"/>
      <c r="MGL39" s="48"/>
      <c r="MGM39" s="48"/>
      <c r="MGN39" s="48"/>
      <c r="MGO39" s="48"/>
      <c r="MGP39" s="48"/>
      <c r="MGQ39" s="48"/>
      <c r="MGR39" s="48"/>
      <c r="MGS39" s="48"/>
      <c r="MGT39" s="48"/>
      <c r="MGU39" s="48"/>
      <c r="MGV39" s="48"/>
      <c r="MGW39" s="48"/>
      <c r="MGX39" s="48"/>
      <c r="MGY39" s="45"/>
      <c r="MGZ39" s="46"/>
      <c r="MHA39" s="46"/>
      <c r="MHB39" s="47"/>
      <c r="MHC39" s="48"/>
      <c r="MHD39" s="48"/>
      <c r="MHE39" s="48"/>
      <c r="MHF39" s="48"/>
      <c r="MHG39" s="48"/>
      <c r="MHH39" s="48"/>
      <c r="MHI39" s="48"/>
      <c r="MHJ39" s="48"/>
      <c r="MHK39" s="48"/>
      <c r="MHL39" s="48"/>
      <c r="MHM39" s="48"/>
      <c r="MHN39" s="48"/>
      <c r="MHO39" s="48"/>
      <c r="MHP39" s="48"/>
      <c r="MHQ39" s="48"/>
      <c r="MHR39" s="48"/>
      <c r="MHS39" s="48"/>
      <c r="MHT39" s="48"/>
      <c r="MHU39" s="45"/>
      <c r="MHV39" s="46"/>
      <c r="MHW39" s="46"/>
      <c r="MHX39" s="47"/>
      <c r="MHY39" s="48"/>
      <c r="MHZ39" s="48"/>
      <c r="MIA39" s="48"/>
      <c r="MIB39" s="48"/>
      <c r="MIC39" s="48"/>
      <c r="MID39" s="48"/>
      <c r="MIE39" s="48"/>
      <c r="MIF39" s="48"/>
      <c r="MIG39" s="48"/>
      <c r="MIH39" s="48"/>
      <c r="MII39" s="48"/>
      <c r="MIJ39" s="48"/>
      <c r="MIK39" s="48"/>
      <c r="MIL39" s="48"/>
      <c r="MIM39" s="48"/>
      <c r="MIN39" s="48"/>
      <c r="MIO39" s="48"/>
      <c r="MIP39" s="48"/>
      <c r="MIQ39" s="45"/>
      <c r="MIR39" s="46"/>
      <c r="MIS39" s="46"/>
      <c r="MIT39" s="47"/>
      <c r="MIU39" s="48"/>
      <c r="MIV39" s="48"/>
      <c r="MIW39" s="48"/>
      <c r="MIX39" s="48"/>
      <c r="MIY39" s="48"/>
      <c r="MIZ39" s="48"/>
      <c r="MJA39" s="48"/>
      <c r="MJB39" s="48"/>
      <c r="MJC39" s="48"/>
      <c r="MJD39" s="48"/>
      <c r="MJE39" s="48"/>
      <c r="MJF39" s="48"/>
      <c r="MJG39" s="48"/>
      <c r="MJH39" s="48"/>
      <c r="MJI39" s="48"/>
      <c r="MJJ39" s="48"/>
      <c r="MJK39" s="48"/>
      <c r="MJL39" s="48"/>
      <c r="MJM39" s="45"/>
      <c r="MJN39" s="46"/>
      <c r="MJO39" s="46"/>
      <c r="MJP39" s="47"/>
      <c r="MJQ39" s="48"/>
      <c r="MJR39" s="48"/>
      <c r="MJS39" s="48"/>
      <c r="MJT39" s="48"/>
      <c r="MJU39" s="48"/>
      <c r="MJV39" s="48"/>
      <c r="MJW39" s="48"/>
      <c r="MJX39" s="48"/>
      <c r="MJY39" s="48"/>
      <c r="MJZ39" s="48"/>
      <c r="MKA39" s="48"/>
      <c r="MKB39" s="48"/>
      <c r="MKC39" s="48"/>
      <c r="MKD39" s="48"/>
      <c r="MKE39" s="48"/>
      <c r="MKF39" s="48"/>
      <c r="MKG39" s="48"/>
      <c r="MKH39" s="48"/>
      <c r="MKI39" s="45"/>
      <c r="MKJ39" s="46"/>
      <c r="MKK39" s="46"/>
      <c r="MKL39" s="47"/>
      <c r="MKM39" s="48"/>
      <c r="MKN39" s="48"/>
      <c r="MKO39" s="48"/>
      <c r="MKP39" s="48"/>
      <c r="MKQ39" s="48"/>
      <c r="MKR39" s="48"/>
      <c r="MKS39" s="48"/>
      <c r="MKT39" s="48"/>
      <c r="MKU39" s="48"/>
      <c r="MKV39" s="48"/>
      <c r="MKW39" s="48"/>
      <c r="MKX39" s="48"/>
      <c r="MKY39" s="48"/>
      <c r="MKZ39" s="48"/>
      <c r="MLA39" s="48"/>
      <c r="MLB39" s="48"/>
      <c r="MLC39" s="48"/>
      <c r="MLD39" s="48"/>
      <c r="MLE39" s="45"/>
      <c r="MLF39" s="46"/>
      <c r="MLG39" s="46"/>
      <c r="MLH39" s="47"/>
      <c r="MLI39" s="48"/>
      <c r="MLJ39" s="48"/>
      <c r="MLK39" s="48"/>
      <c r="MLL39" s="48"/>
      <c r="MLM39" s="48"/>
      <c r="MLN39" s="48"/>
      <c r="MLO39" s="48"/>
      <c r="MLP39" s="48"/>
      <c r="MLQ39" s="48"/>
      <c r="MLR39" s="48"/>
      <c r="MLS39" s="48"/>
      <c r="MLT39" s="48"/>
      <c r="MLU39" s="48"/>
      <c r="MLV39" s="48"/>
      <c r="MLW39" s="48"/>
      <c r="MLX39" s="48"/>
      <c r="MLY39" s="48"/>
      <c r="MLZ39" s="48"/>
      <c r="MMA39" s="45"/>
      <c r="MMB39" s="46"/>
      <c r="MMC39" s="46"/>
      <c r="MMD39" s="47"/>
      <c r="MME39" s="48"/>
      <c r="MMF39" s="48"/>
      <c r="MMG39" s="48"/>
      <c r="MMH39" s="48"/>
      <c r="MMI39" s="48"/>
      <c r="MMJ39" s="48"/>
      <c r="MMK39" s="48"/>
      <c r="MML39" s="48"/>
      <c r="MMM39" s="48"/>
      <c r="MMN39" s="48"/>
      <c r="MMO39" s="48"/>
      <c r="MMP39" s="48"/>
      <c r="MMQ39" s="48"/>
      <c r="MMR39" s="48"/>
      <c r="MMS39" s="48"/>
      <c r="MMT39" s="48"/>
      <c r="MMU39" s="48"/>
      <c r="MMV39" s="48"/>
      <c r="MMW39" s="45"/>
      <c r="MMX39" s="46"/>
      <c r="MMY39" s="46"/>
      <c r="MMZ39" s="47"/>
      <c r="MNA39" s="48"/>
      <c r="MNB39" s="48"/>
      <c r="MNC39" s="48"/>
      <c r="MND39" s="48"/>
      <c r="MNE39" s="48"/>
      <c r="MNF39" s="48"/>
      <c r="MNG39" s="48"/>
      <c r="MNH39" s="48"/>
      <c r="MNI39" s="48"/>
      <c r="MNJ39" s="48"/>
      <c r="MNK39" s="48"/>
      <c r="MNL39" s="48"/>
      <c r="MNM39" s="48"/>
      <c r="MNN39" s="48"/>
      <c r="MNO39" s="48"/>
      <c r="MNP39" s="48"/>
      <c r="MNQ39" s="48"/>
      <c r="MNR39" s="48"/>
      <c r="MNS39" s="45"/>
      <c r="MNT39" s="46"/>
      <c r="MNU39" s="46"/>
      <c r="MNV39" s="47"/>
      <c r="MNW39" s="48"/>
      <c r="MNX39" s="48"/>
      <c r="MNY39" s="48"/>
      <c r="MNZ39" s="48"/>
      <c r="MOA39" s="48"/>
      <c r="MOB39" s="48"/>
      <c r="MOC39" s="48"/>
      <c r="MOD39" s="48"/>
      <c r="MOE39" s="48"/>
      <c r="MOF39" s="48"/>
      <c r="MOG39" s="48"/>
      <c r="MOH39" s="48"/>
      <c r="MOI39" s="48"/>
      <c r="MOJ39" s="48"/>
      <c r="MOK39" s="48"/>
      <c r="MOL39" s="48"/>
      <c r="MOM39" s="48"/>
      <c r="MON39" s="48"/>
      <c r="MOO39" s="45"/>
      <c r="MOP39" s="46"/>
      <c r="MOQ39" s="46"/>
      <c r="MOR39" s="47"/>
      <c r="MOS39" s="48"/>
      <c r="MOT39" s="48"/>
      <c r="MOU39" s="48"/>
      <c r="MOV39" s="48"/>
      <c r="MOW39" s="48"/>
      <c r="MOX39" s="48"/>
      <c r="MOY39" s="48"/>
      <c r="MOZ39" s="48"/>
      <c r="MPA39" s="48"/>
      <c r="MPB39" s="48"/>
      <c r="MPC39" s="48"/>
      <c r="MPD39" s="48"/>
      <c r="MPE39" s="48"/>
      <c r="MPF39" s="48"/>
      <c r="MPG39" s="48"/>
      <c r="MPH39" s="48"/>
      <c r="MPI39" s="48"/>
      <c r="MPJ39" s="48"/>
      <c r="MPK39" s="45"/>
      <c r="MPL39" s="46"/>
      <c r="MPM39" s="46"/>
      <c r="MPN39" s="47"/>
      <c r="MPO39" s="48"/>
      <c r="MPP39" s="48"/>
      <c r="MPQ39" s="48"/>
      <c r="MPR39" s="48"/>
      <c r="MPS39" s="48"/>
      <c r="MPT39" s="48"/>
      <c r="MPU39" s="48"/>
      <c r="MPV39" s="48"/>
      <c r="MPW39" s="48"/>
      <c r="MPX39" s="48"/>
      <c r="MPY39" s="48"/>
      <c r="MPZ39" s="48"/>
      <c r="MQA39" s="48"/>
      <c r="MQB39" s="48"/>
      <c r="MQC39" s="48"/>
      <c r="MQD39" s="48"/>
      <c r="MQE39" s="48"/>
      <c r="MQF39" s="48"/>
      <c r="MQG39" s="45"/>
      <c r="MQH39" s="46"/>
      <c r="MQI39" s="46"/>
      <c r="MQJ39" s="47"/>
      <c r="MQK39" s="48"/>
      <c r="MQL39" s="48"/>
      <c r="MQM39" s="48"/>
      <c r="MQN39" s="48"/>
      <c r="MQO39" s="48"/>
      <c r="MQP39" s="48"/>
      <c r="MQQ39" s="48"/>
      <c r="MQR39" s="48"/>
      <c r="MQS39" s="48"/>
      <c r="MQT39" s="48"/>
      <c r="MQU39" s="48"/>
      <c r="MQV39" s="48"/>
      <c r="MQW39" s="48"/>
      <c r="MQX39" s="48"/>
      <c r="MQY39" s="48"/>
      <c r="MQZ39" s="48"/>
      <c r="MRA39" s="48"/>
      <c r="MRB39" s="48"/>
      <c r="MRC39" s="45"/>
      <c r="MRD39" s="46"/>
      <c r="MRE39" s="46"/>
      <c r="MRF39" s="47"/>
      <c r="MRG39" s="48"/>
      <c r="MRH39" s="48"/>
      <c r="MRI39" s="48"/>
      <c r="MRJ39" s="48"/>
      <c r="MRK39" s="48"/>
      <c r="MRL39" s="48"/>
      <c r="MRM39" s="48"/>
      <c r="MRN39" s="48"/>
      <c r="MRO39" s="48"/>
      <c r="MRP39" s="48"/>
      <c r="MRQ39" s="48"/>
      <c r="MRR39" s="48"/>
      <c r="MRS39" s="48"/>
      <c r="MRT39" s="48"/>
      <c r="MRU39" s="48"/>
      <c r="MRV39" s="48"/>
      <c r="MRW39" s="48"/>
      <c r="MRX39" s="48"/>
      <c r="MRY39" s="45"/>
      <c r="MRZ39" s="46"/>
      <c r="MSA39" s="46"/>
      <c r="MSB39" s="47"/>
      <c r="MSC39" s="48"/>
      <c r="MSD39" s="48"/>
      <c r="MSE39" s="48"/>
      <c r="MSF39" s="48"/>
      <c r="MSG39" s="48"/>
      <c r="MSH39" s="48"/>
      <c r="MSI39" s="48"/>
      <c r="MSJ39" s="48"/>
      <c r="MSK39" s="48"/>
      <c r="MSL39" s="48"/>
      <c r="MSM39" s="48"/>
      <c r="MSN39" s="48"/>
      <c r="MSO39" s="48"/>
      <c r="MSP39" s="48"/>
      <c r="MSQ39" s="48"/>
      <c r="MSR39" s="48"/>
      <c r="MSS39" s="48"/>
      <c r="MST39" s="48"/>
      <c r="MSU39" s="45"/>
      <c r="MSV39" s="46"/>
      <c r="MSW39" s="46"/>
      <c r="MSX39" s="47"/>
      <c r="MSY39" s="48"/>
      <c r="MSZ39" s="48"/>
      <c r="MTA39" s="48"/>
      <c r="MTB39" s="48"/>
      <c r="MTC39" s="48"/>
      <c r="MTD39" s="48"/>
      <c r="MTE39" s="48"/>
      <c r="MTF39" s="48"/>
      <c r="MTG39" s="48"/>
      <c r="MTH39" s="48"/>
      <c r="MTI39" s="48"/>
      <c r="MTJ39" s="48"/>
      <c r="MTK39" s="48"/>
      <c r="MTL39" s="48"/>
      <c r="MTM39" s="48"/>
      <c r="MTN39" s="48"/>
      <c r="MTO39" s="48"/>
      <c r="MTP39" s="48"/>
      <c r="MTQ39" s="45"/>
      <c r="MTR39" s="46"/>
      <c r="MTS39" s="46"/>
      <c r="MTT39" s="47"/>
      <c r="MTU39" s="48"/>
      <c r="MTV39" s="48"/>
      <c r="MTW39" s="48"/>
      <c r="MTX39" s="48"/>
      <c r="MTY39" s="48"/>
      <c r="MTZ39" s="48"/>
      <c r="MUA39" s="48"/>
      <c r="MUB39" s="48"/>
      <c r="MUC39" s="48"/>
      <c r="MUD39" s="48"/>
      <c r="MUE39" s="48"/>
      <c r="MUF39" s="48"/>
      <c r="MUG39" s="48"/>
      <c r="MUH39" s="48"/>
      <c r="MUI39" s="48"/>
      <c r="MUJ39" s="48"/>
      <c r="MUK39" s="48"/>
      <c r="MUL39" s="48"/>
      <c r="MUM39" s="45"/>
      <c r="MUN39" s="46"/>
      <c r="MUO39" s="46"/>
      <c r="MUP39" s="47"/>
      <c r="MUQ39" s="48"/>
      <c r="MUR39" s="48"/>
      <c r="MUS39" s="48"/>
      <c r="MUT39" s="48"/>
      <c r="MUU39" s="48"/>
      <c r="MUV39" s="48"/>
      <c r="MUW39" s="48"/>
      <c r="MUX39" s="48"/>
      <c r="MUY39" s="48"/>
      <c r="MUZ39" s="48"/>
      <c r="MVA39" s="48"/>
      <c r="MVB39" s="48"/>
      <c r="MVC39" s="48"/>
      <c r="MVD39" s="48"/>
      <c r="MVE39" s="48"/>
      <c r="MVF39" s="48"/>
      <c r="MVG39" s="48"/>
      <c r="MVH39" s="48"/>
      <c r="MVI39" s="45"/>
      <c r="MVJ39" s="46"/>
      <c r="MVK39" s="46"/>
      <c r="MVL39" s="47"/>
      <c r="MVM39" s="48"/>
      <c r="MVN39" s="48"/>
      <c r="MVO39" s="48"/>
      <c r="MVP39" s="48"/>
      <c r="MVQ39" s="48"/>
      <c r="MVR39" s="48"/>
      <c r="MVS39" s="48"/>
      <c r="MVT39" s="48"/>
      <c r="MVU39" s="48"/>
      <c r="MVV39" s="48"/>
      <c r="MVW39" s="48"/>
      <c r="MVX39" s="48"/>
      <c r="MVY39" s="48"/>
      <c r="MVZ39" s="48"/>
      <c r="MWA39" s="48"/>
      <c r="MWB39" s="48"/>
      <c r="MWC39" s="48"/>
      <c r="MWD39" s="48"/>
      <c r="MWE39" s="45"/>
      <c r="MWF39" s="46"/>
      <c r="MWG39" s="46"/>
      <c r="MWH39" s="47"/>
      <c r="MWI39" s="48"/>
      <c r="MWJ39" s="48"/>
      <c r="MWK39" s="48"/>
      <c r="MWL39" s="48"/>
      <c r="MWM39" s="48"/>
      <c r="MWN39" s="48"/>
      <c r="MWO39" s="48"/>
      <c r="MWP39" s="48"/>
      <c r="MWQ39" s="48"/>
      <c r="MWR39" s="48"/>
      <c r="MWS39" s="48"/>
      <c r="MWT39" s="48"/>
      <c r="MWU39" s="48"/>
      <c r="MWV39" s="48"/>
      <c r="MWW39" s="48"/>
      <c r="MWX39" s="48"/>
      <c r="MWY39" s="48"/>
      <c r="MWZ39" s="48"/>
      <c r="MXA39" s="45"/>
      <c r="MXB39" s="46"/>
      <c r="MXC39" s="46"/>
      <c r="MXD39" s="47"/>
      <c r="MXE39" s="48"/>
      <c r="MXF39" s="48"/>
      <c r="MXG39" s="48"/>
      <c r="MXH39" s="48"/>
      <c r="MXI39" s="48"/>
      <c r="MXJ39" s="48"/>
      <c r="MXK39" s="48"/>
      <c r="MXL39" s="48"/>
      <c r="MXM39" s="48"/>
      <c r="MXN39" s="48"/>
      <c r="MXO39" s="48"/>
      <c r="MXP39" s="48"/>
      <c r="MXQ39" s="48"/>
      <c r="MXR39" s="48"/>
      <c r="MXS39" s="48"/>
      <c r="MXT39" s="48"/>
      <c r="MXU39" s="48"/>
      <c r="MXV39" s="48"/>
      <c r="MXW39" s="45"/>
      <c r="MXX39" s="46"/>
      <c r="MXY39" s="46"/>
      <c r="MXZ39" s="47"/>
      <c r="MYA39" s="48"/>
      <c r="MYB39" s="48"/>
      <c r="MYC39" s="48"/>
      <c r="MYD39" s="48"/>
      <c r="MYE39" s="48"/>
      <c r="MYF39" s="48"/>
      <c r="MYG39" s="48"/>
      <c r="MYH39" s="48"/>
      <c r="MYI39" s="48"/>
      <c r="MYJ39" s="48"/>
      <c r="MYK39" s="48"/>
      <c r="MYL39" s="48"/>
      <c r="MYM39" s="48"/>
      <c r="MYN39" s="48"/>
      <c r="MYO39" s="48"/>
      <c r="MYP39" s="48"/>
      <c r="MYQ39" s="48"/>
      <c r="MYR39" s="48"/>
      <c r="MYS39" s="45"/>
      <c r="MYT39" s="46"/>
      <c r="MYU39" s="46"/>
      <c r="MYV39" s="47"/>
      <c r="MYW39" s="48"/>
      <c r="MYX39" s="48"/>
      <c r="MYY39" s="48"/>
      <c r="MYZ39" s="48"/>
      <c r="MZA39" s="48"/>
      <c r="MZB39" s="48"/>
      <c r="MZC39" s="48"/>
      <c r="MZD39" s="48"/>
      <c r="MZE39" s="48"/>
      <c r="MZF39" s="48"/>
      <c r="MZG39" s="48"/>
      <c r="MZH39" s="48"/>
      <c r="MZI39" s="48"/>
      <c r="MZJ39" s="48"/>
      <c r="MZK39" s="48"/>
      <c r="MZL39" s="48"/>
      <c r="MZM39" s="48"/>
      <c r="MZN39" s="48"/>
      <c r="MZO39" s="45"/>
      <c r="MZP39" s="46"/>
      <c r="MZQ39" s="46"/>
      <c r="MZR39" s="47"/>
      <c r="MZS39" s="48"/>
      <c r="MZT39" s="48"/>
      <c r="MZU39" s="48"/>
      <c r="MZV39" s="48"/>
      <c r="MZW39" s="48"/>
      <c r="MZX39" s="48"/>
      <c r="MZY39" s="48"/>
      <c r="MZZ39" s="48"/>
      <c r="NAA39" s="48"/>
      <c r="NAB39" s="48"/>
      <c r="NAC39" s="48"/>
      <c r="NAD39" s="48"/>
      <c r="NAE39" s="48"/>
      <c r="NAF39" s="48"/>
      <c r="NAG39" s="48"/>
      <c r="NAH39" s="48"/>
      <c r="NAI39" s="48"/>
      <c r="NAJ39" s="48"/>
      <c r="NAK39" s="45"/>
      <c r="NAL39" s="46"/>
      <c r="NAM39" s="46"/>
      <c r="NAN39" s="47"/>
      <c r="NAO39" s="48"/>
      <c r="NAP39" s="48"/>
      <c r="NAQ39" s="48"/>
      <c r="NAR39" s="48"/>
      <c r="NAS39" s="48"/>
      <c r="NAT39" s="48"/>
      <c r="NAU39" s="48"/>
      <c r="NAV39" s="48"/>
      <c r="NAW39" s="48"/>
      <c r="NAX39" s="48"/>
      <c r="NAY39" s="48"/>
      <c r="NAZ39" s="48"/>
      <c r="NBA39" s="48"/>
      <c r="NBB39" s="48"/>
      <c r="NBC39" s="48"/>
      <c r="NBD39" s="48"/>
      <c r="NBE39" s="48"/>
      <c r="NBF39" s="48"/>
      <c r="NBG39" s="45"/>
      <c r="NBH39" s="46"/>
      <c r="NBI39" s="46"/>
      <c r="NBJ39" s="47"/>
      <c r="NBK39" s="48"/>
      <c r="NBL39" s="48"/>
      <c r="NBM39" s="48"/>
      <c r="NBN39" s="48"/>
      <c r="NBO39" s="48"/>
      <c r="NBP39" s="48"/>
      <c r="NBQ39" s="48"/>
      <c r="NBR39" s="48"/>
      <c r="NBS39" s="48"/>
      <c r="NBT39" s="48"/>
      <c r="NBU39" s="48"/>
      <c r="NBV39" s="48"/>
      <c r="NBW39" s="48"/>
      <c r="NBX39" s="48"/>
      <c r="NBY39" s="48"/>
      <c r="NBZ39" s="48"/>
      <c r="NCA39" s="48"/>
      <c r="NCB39" s="48"/>
      <c r="NCC39" s="45"/>
      <c r="NCD39" s="46"/>
      <c r="NCE39" s="46"/>
      <c r="NCF39" s="47"/>
      <c r="NCG39" s="48"/>
      <c r="NCH39" s="48"/>
      <c r="NCI39" s="48"/>
      <c r="NCJ39" s="48"/>
      <c r="NCK39" s="48"/>
      <c r="NCL39" s="48"/>
      <c r="NCM39" s="48"/>
      <c r="NCN39" s="48"/>
      <c r="NCO39" s="48"/>
      <c r="NCP39" s="48"/>
      <c r="NCQ39" s="48"/>
      <c r="NCR39" s="48"/>
      <c r="NCS39" s="48"/>
      <c r="NCT39" s="48"/>
      <c r="NCU39" s="48"/>
      <c r="NCV39" s="48"/>
      <c r="NCW39" s="48"/>
      <c r="NCX39" s="48"/>
      <c r="NCY39" s="45"/>
      <c r="NCZ39" s="46"/>
      <c r="NDA39" s="46"/>
      <c r="NDB39" s="47"/>
      <c r="NDC39" s="48"/>
      <c r="NDD39" s="48"/>
      <c r="NDE39" s="48"/>
      <c r="NDF39" s="48"/>
      <c r="NDG39" s="48"/>
      <c r="NDH39" s="48"/>
      <c r="NDI39" s="48"/>
      <c r="NDJ39" s="48"/>
      <c r="NDK39" s="48"/>
      <c r="NDL39" s="48"/>
      <c r="NDM39" s="48"/>
      <c r="NDN39" s="48"/>
      <c r="NDO39" s="48"/>
      <c r="NDP39" s="48"/>
      <c r="NDQ39" s="48"/>
      <c r="NDR39" s="48"/>
      <c r="NDS39" s="48"/>
      <c r="NDT39" s="48"/>
      <c r="NDU39" s="45"/>
      <c r="NDV39" s="46"/>
      <c r="NDW39" s="46"/>
      <c r="NDX39" s="47"/>
      <c r="NDY39" s="48"/>
      <c r="NDZ39" s="48"/>
      <c r="NEA39" s="48"/>
      <c r="NEB39" s="48"/>
      <c r="NEC39" s="48"/>
      <c r="NED39" s="48"/>
      <c r="NEE39" s="48"/>
      <c r="NEF39" s="48"/>
      <c r="NEG39" s="48"/>
      <c r="NEH39" s="48"/>
      <c r="NEI39" s="48"/>
      <c r="NEJ39" s="48"/>
      <c r="NEK39" s="48"/>
      <c r="NEL39" s="48"/>
      <c r="NEM39" s="48"/>
      <c r="NEN39" s="48"/>
      <c r="NEO39" s="48"/>
      <c r="NEP39" s="48"/>
      <c r="NEQ39" s="45"/>
      <c r="NER39" s="46"/>
      <c r="NES39" s="46"/>
      <c r="NET39" s="47"/>
      <c r="NEU39" s="48"/>
      <c r="NEV39" s="48"/>
      <c r="NEW39" s="48"/>
      <c r="NEX39" s="48"/>
      <c r="NEY39" s="48"/>
      <c r="NEZ39" s="48"/>
      <c r="NFA39" s="48"/>
      <c r="NFB39" s="48"/>
      <c r="NFC39" s="48"/>
      <c r="NFD39" s="48"/>
      <c r="NFE39" s="48"/>
      <c r="NFF39" s="48"/>
      <c r="NFG39" s="48"/>
      <c r="NFH39" s="48"/>
      <c r="NFI39" s="48"/>
      <c r="NFJ39" s="48"/>
      <c r="NFK39" s="48"/>
      <c r="NFL39" s="48"/>
      <c r="NFM39" s="45"/>
      <c r="NFN39" s="46"/>
      <c r="NFO39" s="46"/>
      <c r="NFP39" s="47"/>
      <c r="NFQ39" s="48"/>
      <c r="NFR39" s="48"/>
      <c r="NFS39" s="48"/>
      <c r="NFT39" s="48"/>
      <c r="NFU39" s="48"/>
      <c r="NFV39" s="48"/>
      <c r="NFW39" s="48"/>
      <c r="NFX39" s="48"/>
      <c r="NFY39" s="48"/>
      <c r="NFZ39" s="48"/>
      <c r="NGA39" s="48"/>
      <c r="NGB39" s="48"/>
      <c r="NGC39" s="48"/>
      <c r="NGD39" s="48"/>
      <c r="NGE39" s="48"/>
      <c r="NGF39" s="48"/>
      <c r="NGG39" s="48"/>
      <c r="NGH39" s="48"/>
      <c r="NGI39" s="45"/>
      <c r="NGJ39" s="46"/>
      <c r="NGK39" s="46"/>
      <c r="NGL39" s="47"/>
      <c r="NGM39" s="48"/>
      <c r="NGN39" s="48"/>
      <c r="NGO39" s="48"/>
      <c r="NGP39" s="48"/>
      <c r="NGQ39" s="48"/>
      <c r="NGR39" s="48"/>
      <c r="NGS39" s="48"/>
      <c r="NGT39" s="48"/>
      <c r="NGU39" s="48"/>
      <c r="NGV39" s="48"/>
      <c r="NGW39" s="48"/>
      <c r="NGX39" s="48"/>
      <c r="NGY39" s="48"/>
      <c r="NGZ39" s="48"/>
      <c r="NHA39" s="48"/>
      <c r="NHB39" s="48"/>
      <c r="NHC39" s="48"/>
      <c r="NHD39" s="48"/>
      <c r="NHE39" s="45"/>
      <c r="NHF39" s="46"/>
      <c r="NHG39" s="46"/>
      <c r="NHH39" s="47"/>
      <c r="NHI39" s="48"/>
      <c r="NHJ39" s="48"/>
      <c r="NHK39" s="48"/>
      <c r="NHL39" s="48"/>
      <c r="NHM39" s="48"/>
      <c r="NHN39" s="48"/>
      <c r="NHO39" s="48"/>
      <c r="NHP39" s="48"/>
      <c r="NHQ39" s="48"/>
      <c r="NHR39" s="48"/>
      <c r="NHS39" s="48"/>
      <c r="NHT39" s="48"/>
      <c r="NHU39" s="48"/>
      <c r="NHV39" s="48"/>
      <c r="NHW39" s="48"/>
      <c r="NHX39" s="48"/>
      <c r="NHY39" s="48"/>
      <c r="NHZ39" s="48"/>
      <c r="NIA39" s="45"/>
      <c r="NIB39" s="46"/>
      <c r="NIC39" s="46"/>
      <c r="NID39" s="47"/>
      <c r="NIE39" s="48"/>
      <c r="NIF39" s="48"/>
      <c r="NIG39" s="48"/>
      <c r="NIH39" s="48"/>
      <c r="NII39" s="48"/>
      <c r="NIJ39" s="48"/>
      <c r="NIK39" s="48"/>
      <c r="NIL39" s="48"/>
      <c r="NIM39" s="48"/>
      <c r="NIN39" s="48"/>
      <c r="NIO39" s="48"/>
      <c r="NIP39" s="48"/>
      <c r="NIQ39" s="48"/>
      <c r="NIR39" s="48"/>
      <c r="NIS39" s="48"/>
      <c r="NIT39" s="48"/>
      <c r="NIU39" s="48"/>
      <c r="NIV39" s="48"/>
      <c r="NIW39" s="45"/>
      <c r="NIX39" s="46"/>
      <c r="NIY39" s="46"/>
      <c r="NIZ39" s="47"/>
      <c r="NJA39" s="48"/>
      <c r="NJB39" s="48"/>
      <c r="NJC39" s="48"/>
      <c r="NJD39" s="48"/>
      <c r="NJE39" s="48"/>
      <c r="NJF39" s="48"/>
      <c r="NJG39" s="48"/>
      <c r="NJH39" s="48"/>
      <c r="NJI39" s="48"/>
      <c r="NJJ39" s="48"/>
      <c r="NJK39" s="48"/>
      <c r="NJL39" s="48"/>
      <c r="NJM39" s="48"/>
      <c r="NJN39" s="48"/>
      <c r="NJO39" s="48"/>
      <c r="NJP39" s="48"/>
      <c r="NJQ39" s="48"/>
      <c r="NJR39" s="48"/>
      <c r="NJS39" s="45"/>
      <c r="NJT39" s="46"/>
      <c r="NJU39" s="46"/>
      <c r="NJV39" s="47"/>
      <c r="NJW39" s="48"/>
      <c r="NJX39" s="48"/>
      <c r="NJY39" s="48"/>
      <c r="NJZ39" s="48"/>
      <c r="NKA39" s="48"/>
      <c r="NKB39" s="48"/>
      <c r="NKC39" s="48"/>
      <c r="NKD39" s="48"/>
      <c r="NKE39" s="48"/>
      <c r="NKF39" s="48"/>
      <c r="NKG39" s="48"/>
      <c r="NKH39" s="48"/>
      <c r="NKI39" s="48"/>
      <c r="NKJ39" s="48"/>
      <c r="NKK39" s="48"/>
      <c r="NKL39" s="48"/>
      <c r="NKM39" s="48"/>
      <c r="NKN39" s="48"/>
      <c r="NKO39" s="45"/>
      <c r="NKP39" s="46"/>
      <c r="NKQ39" s="46"/>
      <c r="NKR39" s="47"/>
      <c r="NKS39" s="48"/>
      <c r="NKT39" s="48"/>
      <c r="NKU39" s="48"/>
      <c r="NKV39" s="48"/>
      <c r="NKW39" s="48"/>
      <c r="NKX39" s="48"/>
      <c r="NKY39" s="48"/>
      <c r="NKZ39" s="48"/>
      <c r="NLA39" s="48"/>
      <c r="NLB39" s="48"/>
      <c r="NLC39" s="48"/>
      <c r="NLD39" s="48"/>
      <c r="NLE39" s="48"/>
      <c r="NLF39" s="48"/>
      <c r="NLG39" s="48"/>
      <c r="NLH39" s="48"/>
      <c r="NLI39" s="48"/>
      <c r="NLJ39" s="48"/>
      <c r="NLK39" s="45"/>
      <c r="NLL39" s="46"/>
      <c r="NLM39" s="46"/>
      <c r="NLN39" s="47"/>
      <c r="NLO39" s="48"/>
      <c r="NLP39" s="48"/>
      <c r="NLQ39" s="48"/>
      <c r="NLR39" s="48"/>
      <c r="NLS39" s="48"/>
      <c r="NLT39" s="48"/>
      <c r="NLU39" s="48"/>
      <c r="NLV39" s="48"/>
      <c r="NLW39" s="48"/>
      <c r="NLX39" s="48"/>
      <c r="NLY39" s="48"/>
      <c r="NLZ39" s="48"/>
      <c r="NMA39" s="48"/>
      <c r="NMB39" s="48"/>
      <c r="NMC39" s="48"/>
      <c r="NMD39" s="48"/>
      <c r="NME39" s="48"/>
      <c r="NMF39" s="48"/>
      <c r="NMG39" s="45"/>
      <c r="NMH39" s="46"/>
      <c r="NMI39" s="46"/>
      <c r="NMJ39" s="47"/>
      <c r="NMK39" s="48"/>
      <c r="NML39" s="48"/>
      <c r="NMM39" s="48"/>
      <c r="NMN39" s="48"/>
      <c r="NMO39" s="48"/>
      <c r="NMP39" s="48"/>
      <c r="NMQ39" s="48"/>
      <c r="NMR39" s="48"/>
      <c r="NMS39" s="48"/>
      <c r="NMT39" s="48"/>
      <c r="NMU39" s="48"/>
      <c r="NMV39" s="48"/>
      <c r="NMW39" s="48"/>
      <c r="NMX39" s="48"/>
      <c r="NMY39" s="48"/>
      <c r="NMZ39" s="48"/>
      <c r="NNA39" s="48"/>
      <c r="NNB39" s="48"/>
      <c r="NNC39" s="45"/>
      <c r="NND39" s="46"/>
      <c r="NNE39" s="46"/>
      <c r="NNF39" s="47"/>
      <c r="NNG39" s="48"/>
      <c r="NNH39" s="48"/>
      <c r="NNI39" s="48"/>
      <c r="NNJ39" s="48"/>
      <c r="NNK39" s="48"/>
      <c r="NNL39" s="48"/>
      <c r="NNM39" s="48"/>
      <c r="NNN39" s="48"/>
      <c r="NNO39" s="48"/>
      <c r="NNP39" s="48"/>
      <c r="NNQ39" s="48"/>
      <c r="NNR39" s="48"/>
      <c r="NNS39" s="48"/>
      <c r="NNT39" s="48"/>
      <c r="NNU39" s="48"/>
      <c r="NNV39" s="48"/>
      <c r="NNW39" s="48"/>
      <c r="NNX39" s="48"/>
      <c r="NNY39" s="45"/>
      <c r="NNZ39" s="46"/>
      <c r="NOA39" s="46"/>
      <c r="NOB39" s="47"/>
      <c r="NOC39" s="48"/>
      <c r="NOD39" s="48"/>
      <c r="NOE39" s="48"/>
      <c r="NOF39" s="48"/>
      <c r="NOG39" s="48"/>
      <c r="NOH39" s="48"/>
      <c r="NOI39" s="48"/>
      <c r="NOJ39" s="48"/>
      <c r="NOK39" s="48"/>
      <c r="NOL39" s="48"/>
      <c r="NOM39" s="48"/>
      <c r="NON39" s="48"/>
      <c r="NOO39" s="48"/>
      <c r="NOP39" s="48"/>
      <c r="NOQ39" s="48"/>
      <c r="NOR39" s="48"/>
      <c r="NOS39" s="48"/>
      <c r="NOT39" s="48"/>
      <c r="NOU39" s="45"/>
      <c r="NOV39" s="46"/>
      <c r="NOW39" s="46"/>
      <c r="NOX39" s="47"/>
      <c r="NOY39" s="48"/>
      <c r="NOZ39" s="48"/>
      <c r="NPA39" s="48"/>
      <c r="NPB39" s="48"/>
      <c r="NPC39" s="48"/>
      <c r="NPD39" s="48"/>
      <c r="NPE39" s="48"/>
      <c r="NPF39" s="48"/>
      <c r="NPG39" s="48"/>
      <c r="NPH39" s="48"/>
      <c r="NPI39" s="48"/>
      <c r="NPJ39" s="48"/>
      <c r="NPK39" s="48"/>
      <c r="NPL39" s="48"/>
      <c r="NPM39" s="48"/>
      <c r="NPN39" s="48"/>
      <c r="NPO39" s="48"/>
      <c r="NPP39" s="48"/>
      <c r="NPQ39" s="45"/>
      <c r="NPR39" s="46"/>
      <c r="NPS39" s="46"/>
      <c r="NPT39" s="47"/>
      <c r="NPU39" s="48"/>
      <c r="NPV39" s="48"/>
      <c r="NPW39" s="48"/>
      <c r="NPX39" s="48"/>
      <c r="NPY39" s="48"/>
      <c r="NPZ39" s="48"/>
      <c r="NQA39" s="48"/>
      <c r="NQB39" s="48"/>
      <c r="NQC39" s="48"/>
      <c r="NQD39" s="48"/>
      <c r="NQE39" s="48"/>
      <c r="NQF39" s="48"/>
      <c r="NQG39" s="48"/>
      <c r="NQH39" s="48"/>
      <c r="NQI39" s="48"/>
      <c r="NQJ39" s="48"/>
      <c r="NQK39" s="48"/>
      <c r="NQL39" s="48"/>
      <c r="NQM39" s="45"/>
      <c r="NQN39" s="46"/>
      <c r="NQO39" s="46"/>
      <c r="NQP39" s="47"/>
      <c r="NQQ39" s="48"/>
      <c r="NQR39" s="48"/>
      <c r="NQS39" s="48"/>
      <c r="NQT39" s="48"/>
      <c r="NQU39" s="48"/>
      <c r="NQV39" s="48"/>
      <c r="NQW39" s="48"/>
      <c r="NQX39" s="48"/>
      <c r="NQY39" s="48"/>
      <c r="NQZ39" s="48"/>
      <c r="NRA39" s="48"/>
      <c r="NRB39" s="48"/>
      <c r="NRC39" s="48"/>
      <c r="NRD39" s="48"/>
      <c r="NRE39" s="48"/>
      <c r="NRF39" s="48"/>
      <c r="NRG39" s="48"/>
      <c r="NRH39" s="48"/>
      <c r="NRI39" s="45"/>
      <c r="NRJ39" s="46"/>
      <c r="NRK39" s="46"/>
      <c r="NRL39" s="47"/>
      <c r="NRM39" s="48"/>
      <c r="NRN39" s="48"/>
      <c r="NRO39" s="48"/>
      <c r="NRP39" s="48"/>
      <c r="NRQ39" s="48"/>
      <c r="NRR39" s="48"/>
      <c r="NRS39" s="48"/>
      <c r="NRT39" s="48"/>
      <c r="NRU39" s="48"/>
      <c r="NRV39" s="48"/>
      <c r="NRW39" s="48"/>
      <c r="NRX39" s="48"/>
      <c r="NRY39" s="48"/>
      <c r="NRZ39" s="48"/>
      <c r="NSA39" s="48"/>
      <c r="NSB39" s="48"/>
      <c r="NSC39" s="48"/>
      <c r="NSD39" s="48"/>
      <c r="NSE39" s="45"/>
      <c r="NSF39" s="46"/>
      <c r="NSG39" s="46"/>
      <c r="NSH39" s="47"/>
      <c r="NSI39" s="48"/>
      <c r="NSJ39" s="48"/>
      <c r="NSK39" s="48"/>
      <c r="NSL39" s="48"/>
      <c r="NSM39" s="48"/>
      <c r="NSN39" s="48"/>
      <c r="NSO39" s="48"/>
      <c r="NSP39" s="48"/>
      <c r="NSQ39" s="48"/>
      <c r="NSR39" s="48"/>
      <c r="NSS39" s="48"/>
      <c r="NST39" s="48"/>
      <c r="NSU39" s="48"/>
      <c r="NSV39" s="48"/>
      <c r="NSW39" s="48"/>
      <c r="NSX39" s="48"/>
      <c r="NSY39" s="48"/>
      <c r="NSZ39" s="48"/>
      <c r="NTA39" s="45"/>
      <c r="NTB39" s="46"/>
      <c r="NTC39" s="46"/>
      <c r="NTD39" s="47"/>
      <c r="NTE39" s="48"/>
      <c r="NTF39" s="48"/>
      <c r="NTG39" s="48"/>
      <c r="NTH39" s="48"/>
      <c r="NTI39" s="48"/>
      <c r="NTJ39" s="48"/>
      <c r="NTK39" s="48"/>
      <c r="NTL39" s="48"/>
      <c r="NTM39" s="48"/>
      <c r="NTN39" s="48"/>
      <c r="NTO39" s="48"/>
      <c r="NTP39" s="48"/>
      <c r="NTQ39" s="48"/>
      <c r="NTR39" s="48"/>
      <c r="NTS39" s="48"/>
      <c r="NTT39" s="48"/>
      <c r="NTU39" s="48"/>
      <c r="NTV39" s="48"/>
      <c r="NTW39" s="45"/>
      <c r="NTX39" s="46"/>
      <c r="NTY39" s="46"/>
      <c r="NTZ39" s="47"/>
      <c r="NUA39" s="48"/>
      <c r="NUB39" s="48"/>
      <c r="NUC39" s="48"/>
      <c r="NUD39" s="48"/>
      <c r="NUE39" s="48"/>
      <c r="NUF39" s="48"/>
      <c r="NUG39" s="48"/>
      <c r="NUH39" s="48"/>
      <c r="NUI39" s="48"/>
      <c r="NUJ39" s="48"/>
      <c r="NUK39" s="48"/>
      <c r="NUL39" s="48"/>
      <c r="NUM39" s="48"/>
      <c r="NUN39" s="48"/>
      <c r="NUO39" s="48"/>
      <c r="NUP39" s="48"/>
      <c r="NUQ39" s="48"/>
      <c r="NUR39" s="48"/>
      <c r="NUS39" s="45"/>
      <c r="NUT39" s="46"/>
      <c r="NUU39" s="46"/>
      <c r="NUV39" s="47"/>
      <c r="NUW39" s="48"/>
      <c r="NUX39" s="48"/>
      <c r="NUY39" s="48"/>
      <c r="NUZ39" s="48"/>
      <c r="NVA39" s="48"/>
      <c r="NVB39" s="48"/>
      <c r="NVC39" s="48"/>
      <c r="NVD39" s="48"/>
      <c r="NVE39" s="48"/>
      <c r="NVF39" s="48"/>
      <c r="NVG39" s="48"/>
      <c r="NVH39" s="48"/>
      <c r="NVI39" s="48"/>
      <c r="NVJ39" s="48"/>
      <c r="NVK39" s="48"/>
      <c r="NVL39" s="48"/>
      <c r="NVM39" s="48"/>
      <c r="NVN39" s="48"/>
      <c r="NVO39" s="45"/>
      <c r="NVP39" s="46"/>
      <c r="NVQ39" s="46"/>
      <c r="NVR39" s="47"/>
      <c r="NVS39" s="48"/>
      <c r="NVT39" s="48"/>
      <c r="NVU39" s="48"/>
      <c r="NVV39" s="48"/>
      <c r="NVW39" s="48"/>
      <c r="NVX39" s="48"/>
      <c r="NVY39" s="48"/>
      <c r="NVZ39" s="48"/>
      <c r="NWA39" s="48"/>
      <c r="NWB39" s="48"/>
      <c r="NWC39" s="48"/>
      <c r="NWD39" s="48"/>
      <c r="NWE39" s="48"/>
      <c r="NWF39" s="48"/>
      <c r="NWG39" s="48"/>
      <c r="NWH39" s="48"/>
      <c r="NWI39" s="48"/>
      <c r="NWJ39" s="48"/>
      <c r="NWK39" s="45"/>
      <c r="NWL39" s="46"/>
      <c r="NWM39" s="46"/>
      <c r="NWN39" s="47"/>
      <c r="NWO39" s="48"/>
      <c r="NWP39" s="48"/>
      <c r="NWQ39" s="48"/>
      <c r="NWR39" s="48"/>
      <c r="NWS39" s="48"/>
      <c r="NWT39" s="48"/>
      <c r="NWU39" s="48"/>
      <c r="NWV39" s="48"/>
      <c r="NWW39" s="48"/>
      <c r="NWX39" s="48"/>
      <c r="NWY39" s="48"/>
      <c r="NWZ39" s="48"/>
      <c r="NXA39" s="48"/>
      <c r="NXB39" s="48"/>
      <c r="NXC39" s="48"/>
      <c r="NXD39" s="48"/>
      <c r="NXE39" s="48"/>
      <c r="NXF39" s="48"/>
      <c r="NXG39" s="45"/>
      <c r="NXH39" s="46"/>
      <c r="NXI39" s="46"/>
      <c r="NXJ39" s="47"/>
      <c r="NXK39" s="48"/>
      <c r="NXL39" s="48"/>
      <c r="NXM39" s="48"/>
      <c r="NXN39" s="48"/>
      <c r="NXO39" s="48"/>
      <c r="NXP39" s="48"/>
      <c r="NXQ39" s="48"/>
      <c r="NXR39" s="48"/>
      <c r="NXS39" s="48"/>
      <c r="NXT39" s="48"/>
      <c r="NXU39" s="48"/>
      <c r="NXV39" s="48"/>
      <c r="NXW39" s="48"/>
      <c r="NXX39" s="48"/>
      <c r="NXY39" s="48"/>
      <c r="NXZ39" s="48"/>
      <c r="NYA39" s="48"/>
      <c r="NYB39" s="48"/>
      <c r="NYC39" s="45"/>
      <c r="NYD39" s="46"/>
      <c r="NYE39" s="46"/>
      <c r="NYF39" s="47"/>
      <c r="NYG39" s="48"/>
      <c r="NYH39" s="48"/>
      <c r="NYI39" s="48"/>
      <c r="NYJ39" s="48"/>
      <c r="NYK39" s="48"/>
      <c r="NYL39" s="48"/>
      <c r="NYM39" s="48"/>
      <c r="NYN39" s="48"/>
      <c r="NYO39" s="48"/>
      <c r="NYP39" s="48"/>
      <c r="NYQ39" s="48"/>
      <c r="NYR39" s="48"/>
      <c r="NYS39" s="48"/>
      <c r="NYT39" s="48"/>
      <c r="NYU39" s="48"/>
      <c r="NYV39" s="48"/>
      <c r="NYW39" s="48"/>
      <c r="NYX39" s="48"/>
      <c r="NYY39" s="45"/>
      <c r="NYZ39" s="46"/>
      <c r="NZA39" s="46"/>
      <c r="NZB39" s="47"/>
      <c r="NZC39" s="48"/>
      <c r="NZD39" s="48"/>
      <c r="NZE39" s="48"/>
      <c r="NZF39" s="48"/>
      <c r="NZG39" s="48"/>
      <c r="NZH39" s="48"/>
      <c r="NZI39" s="48"/>
      <c r="NZJ39" s="48"/>
      <c r="NZK39" s="48"/>
      <c r="NZL39" s="48"/>
      <c r="NZM39" s="48"/>
      <c r="NZN39" s="48"/>
      <c r="NZO39" s="48"/>
      <c r="NZP39" s="48"/>
      <c r="NZQ39" s="48"/>
      <c r="NZR39" s="48"/>
      <c r="NZS39" s="48"/>
      <c r="NZT39" s="48"/>
      <c r="NZU39" s="45"/>
      <c r="NZV39" s="46"/>
      <c r="NZW39" s="46"/>
      <c r="NZX39" s="47"/>
      <c r="NZY39" s="48"/>
      <c r="NZZ39" s="48"/>
      <c r="OAA39" s="48"/>
      <c r="OAB39" s="48"/>
      <c r="OAC39" s="48"/>
      <c r="OAD39" s="48"/>
      <c r="OAE39" s="48"/>
      <c r="OAF39" s="48"/>
      <c r="OAG39" s="48"/>
      <c r="OAH39" s="48"/>
      <c r="OAI39" s="48"/>
      <c r="OAJ39" s="48"/>
      <c r="OAK39" s="48"/>
      <c r="OAL39" s="48"/>
      <c r="OAM39" s="48"/>
      <c r="OAN39" s="48"/>
      <c r="OAO39" s="48"/>
      <c r="OAP39" s="48"/>
      <c r="OAQ39" s="45"/>
      <c r="OAR39" s="46"/>
      <c r="OAS39" s="46"/>
      <c r="OAT39" s="47"/>
      <c r="OAU39" s="48"/>
      <c r="OAV39" s="48"/>
      <c r="OAW39" s="48"/>
      <c r="OAX39" s="48"/>
      <c r="OAY39" s="48"/>
      <c r="OAZ39" s="48"/>
      <c r="OBA39" s="48"/>
      <c r="OBB39" s="48"/>
      <c r="OBC39" s="48"/>
      <c r="OBD39" s="48"/>
      <c r="OBE39" s="48"/>
      <c r="OBF39" s="48"/>
      <c r="OBG39" s="48"/>
      <c r="OBH39" s="48"/>
      <c r="OBI39" s="48"/>
      <c r="OBJ39" s="48"/>
      <c r="OBK39" s="48"/>
      <c r="OBL39" s="48"/>
      <c r="OBM39" s="45"/>
      <c r="OBN39" s="46"/>
      <c r="OBO39" s="46"/>
      <c r="OBP39" s="47"/>
      <c r="OBQ39" s="48"/>
      <c r="OBR39" s="48"/>
      <c r="OBS39" s="48"/>
      <c r="OBT39" s="48"/>
      <c r="OBU39" s="48"/>
      <c r="OBV39" s="48"/>
      <c r="OBW39" s="48"/>
      <c r="OBX39" s="48"/>
      <c r="OBY39" s="48"/>
      <c r="OBZ39" s="48"/>
      <c r="OCA39" s="48"/>
      <c r="OCB39" s="48"/>
      <c r="OCC39" s="48"/>
      <c r="OCD39" s="48"/>
      <c r="OCE39" s="48"/>
      <c r="OCF39" s="48"/>
      <c r="OCG39" s="48"/>
      <c r="OCH39" s="48"/>
      <c r="OCI39" s="45"/>
      <c r="OCJ39" s="46"/>
      <c r="OCK39" s="46"/>
      <c r="OCL39" s="47"/>
      <c r="OCM39" s="48"/>
      <c r="OCN39" s="48"/>
      <c r="OCO39" s="48"/>
      <c r="OCP39" s="48"/>
      <c r="OCQ39" s="48"/>
      <c r="OCR39" s="48"/>
      <c r="OCS39" s="48"/>
      <c r="OCT39" s="48"/>
      <c r="OCU39" s="48"/>
      <c r="OCV39" s="48"/>
      <c r="OCW39" s="48"/>
      <c r="OCX39" s="48"/>
      <c r="OCY39" s="48"/>
      <c r="OCZ39" s="48"/>
      <c r="ODA39" s="48"/>
      <c r="ODB39" s="48"/>
      <c r="ODC39" s="48"/>
      <c r="ODD39" s="48"/>
      <c r="ODE39" s="45"/>
      <c r="ODF39" s="46"/>
      <c r="ODG39" s="46"/>
      <c r="ODH39" s="47"/>
      <c r="ODI39" s="48"/>
      <c r="ODJ39" s="48"/>
      <c r="ODK39" s="48"/>
      <c r="ODL39" s="48"/>
      <c r="ODM39" s="48"/>
      <c r="ODN39" s="48"/>
      <c r="ODO39" s="48"/>
      <c r="ODP39" s="48"/>
      <c r="ODQ39" s="48"/>
      <c r="ODR39" s="48"/>
      <c r="ODS39" s="48"/>
      <c r="ODT39" s="48"/>
      <c r="ODU39" s="48"/>
      <c r="ODV39" s="48"/>
      <c r="ODW39" s="48"/>
      <c r="ODX39" s="48"/>
      <c r="ODY39" s="48"/>
      <c r="ODZ39" s="48"/>
      <c r="OEA39" s="45"/>
      <c r="OEB39" s="46"/>
      <c r="OEC39" s="46"/>
      <c r="OED39" s="47"/>
      <c r="OEE39" s="48"/>
      <c r="OEF39" s="48"/>
      <c r="OEG39" s="48"/>
      <c r="OEH39" s="48"/>
      <c r="OEI39" s="48"/>
      <c r="OEJ39" s="48"/>
      <c r="OEK39" s="48"/>
      <c r="OEL39" s="48"/>
      <c r="OEM39" s="48"/>
      <c r="OEN39" s="48"/>
      <c r="OEO39" s="48"/>
      <c r="OEP39" s="48"/>
      <c r="OEQ39" s="48"/>
      <c r="OER39" s="48"/>
      <c r="OES39" s="48"/>
      <c r="OET39" s="48"/>
      <c r="OEU39" s="48"/>
      <c r="OEV39" s="48"/>
      <c r="OEW39" s="45"/>
      <c r="OEX39" s="46"/>
      <c r="OEY39" s="46"/>
      <c r="OEZ39" s="47"/>
      <c r="OFA39" s="48"/>
      <c r="OFB39" s="48"/>
      <c r="OFC39" s="48"/>
      <c r="OFD39" s="48"/>
      <c r="OFE39" s="48"/>
      <c r="OFF39" s="48"/>
      <c r="OFG39" s="48"/>
      <c r="OFH39" s="48"/>
      <c r="OFI39" s="48"/>
      <c r="OFJ39" s="48"/>
      <c r="OFK39" s="48"/>
      <c r="OFL39" s="48"/>
      <c r="OFM39" s="48"/>
      <c r="OFN39" s="48"/>
      <c r="OFO39" s="48"/>
      <c r="OFP39" s="48"/>
      <c r="OFQ39" s="48"/>
      <c r="OFR39" s="48"/>
      <c r="OFS39" s="45"/>
      <c r="OFT39" s="46"/>
      <c r="OFU39" s="46"/>
      <c r="OFV39" s="47"/>
      <c r="OFW39" s="48"/>
      <c r="OFX39" s="48"/>
      <c r="OFY39" s="48"/>
      <c r="OFZ39" s="48"/>
      <c r="OGA39" s="48"/>
      <c r="OGB39" s="48"/>
      <c r="OGC39" s="48"/>
      <c r="OGD39" s="48"/>
      <c r="OGE39" s="48"/>
      <c r="OGF39" s="48"/>
      <c r="OGG39" s="48"/>
      <c r="OGH39" s="48"/>
      <c r="OGI39" s="48"/>
      <c r="OGJ39" s="48"/>
      <c r="OGK39" s="48"/>
      <c r="OGL39" s="48"/>
      <c r="OGM39" s="48"/>
      <c r="OGN39" s="48"/>
      <c r="OGO39" s="45"/>
      <c r="OGP39" s="46"/>
      <c r="OGQ39" s="46"/>
      <c r="OGR39" s="47"/>
      <c r="OGS39" s="48"/>
      <c r="OGT39" s="48"/>
      <c r="OGU39" s="48"/>
      <c r="OGV39" s="48"/>
      <c r="OGW39" s="48"/>
      <c r="OGX39" s="48"/>
      <c r="OGY39" s="48"/>
      <c r="OGZ39" s="48"/>
      <c r="OHA39" s="48"/>
      <c r="OHB39" s="48"/>
      <c r="OHC39" s="48"/>
      <c r="OHD39" s="48"/>
      <c r="OHE39" s="48"/>
      <c r="OHF39" s="48"/>
      <c r="OHG39" s="48"/>
      <c r="OHH39" s="48"/>
      <c r="OHI39" s="48"/>
      <c r="OHJ39" s="48"/>
      <c r="OHK39" s="45"/>
      <c r="OHL39" s="46"/>
      <c r="OHM39" s="46"/>
      <c r="OHN39" s="47"/>
      <c r="OHO39" s="48"/>
      <c r="OHP39" s="48"/>
      <c r="OHQ39" s="48"/>
      <c r="OHR39" s="48"/>
      <c r="OHS39" s="48"/>
      <c r="OHT39" s="48"/>
      <c r="OHU39" s="48"/>
      <c r="OHV39" s="48"/>
      <c r="OHW39" s="48"/>
      <c r="OHX39" s="48"/>
      <c r="OHY39" s="48"/>
      <c r="OHZ39" s="48"/>
      <c r="OIA39" s="48"/>
      <c r="OIB39" s="48"/>
      <c r="OIC39" s="48"/>
      <c r="OID39" s="48"/>
      <c r="OIE39" s="48"/>
      <c r="OIF39" s="48"/>
      <c r="OIG39" s="45"/>
      <c r="OIH39" s="46"/>
      <c r="OII39" s="46"/>
      <c r="OIJ39" s="47"/>
      <c r="OIK39" s="48"/>
      <c r="OIL39" s="48"/>
      <c r="OIM39" s="48"/>
      <c r="OIN39" s="48"/>
      <c r="OIO39" s="48"/>
      <c r="OIP39" s="48"/>
      <c r="OIQ39" s="48"/>
      <c r="OIR39" s="48"/>
      <c r="OIS39" s="48"/>
      <c r="OIT39" s="48"/>
      <c r="OIU39" s="48"/>
      <c r="OIV39" s="48"/>
      <c r="OIW39" s="48"/>
      <c r="OIX39" s="48"/>
      <c r="OIY39" s="48"/>
      <c r="OIZ39" s="48"/>
      <c r="OJA39" s="48"/>
      <c r="OJB39" s="48"/>
      <c r="OJC39" s="45"/>
      <c r="OJD39" s="46"/>
      <c r="OJE39" s="46"/>
      <c r="OJF39" s="47"/>
      <c r="OJG39" s="48"/>
      <c r="OJH39" s="48"/>
      <c r="OJI39" s="48"/>
      <c r="OJJ39" s="48"/>
      <c r="OJK39" s="48"/>
      <c r="OJL39" s="48"/>
      <c r="OJM39" s="48"/>
      <c r="OJN39" s="48"/>
      <c r="OJO39" s="48"/>
      <c r="OJP39" s="48"/>
      <c r="OJQ39" s="48"/>
      <c r="OJR39" s="48"/>
      <c r="OJS39" s="48"/>
      <c r="OJT39" s="48"/>
      <c r="OJU39" s="48"/>
      <c r="OJV39" s="48"/>
      <c r="OJW39" s="48"/>
      <c r="OJX39" s="48"/>
      <c r="OJY39" s="45"/>
      <c r="OJZ39" s="46"/>
      <c r="OKA39" s="46"/>
      <c r="OKB39" s="47"/>
      <c r="OKC39" s="48"/>
      <c r="OKD39" s="48"/>
      <c r="OKE39" s="48"/>
      <c r="OKF39" s="48"/>
      <c r="OKG39" s="48"/>
      <c r="OKH39" s="48"/>
      <c r="OKI39" s="48"/>
      <c r="OKJ39" s="48"/>
      <c r="OKK39" s="48"/>
      <c r="OKL39" s="48"/>
      <c r="OKM39" s="48"/>
      <c r="OKN39" s="48"/>
      <c r="OKO39" s="48"/>
      <c r="OKP39" s="48"/>
      <c r="OKQ39" s="48"/>
      <c r="OKR39" s="48"/>
      <c r="OKS39" s="48"/>
      <c r="OKT39" s="48"/>
      <c r="OKU39" s="45"/>
      <c r="OKV39" s="46"/>
      <c r="OKW39" s="46"/>
      <c r="OKX39" s="47"/>
      <c r="OKY39" s="48"/>
      <c r="OKZ39" s="48"/>
      <c r="OLA39" s="48"/>
      <c r="OLB39" s="48"/>
      <c r="OLC39" s="48"/>
      <c r="OLD39" s="48"/>
      <c r="OLE39" s="48"/>
      <c r="OLF39" s="48"/>
      <c r="OLG39" s="48"/>
      <c r="OLH39" s="48"/>
      <c r="OLI39" s="48"/>
      <c r="OLJ39" s="48"/>
      <c r="OLK39" s="48"/>
      <c r="OLL39" s="48"/>
      <c r="OLM39" s="48"/>
      <c r="OLN39" s="48"/>
      <c r="OLO39" s="48"/>
      <c r="OLP39" s="48"/>
      <c r="OLQ39" s="45"/>
      <c r="OLR39" s="46"/>
      <c r="OLS39" s="46"/>
      <c r="OLT39" s="47"/>
      <c r="OLU39" s="48"/>
      <c r="OLV39" s="48"/>
      <c r="OLW39" s="48"/>
      <c r="OLX39" s="48"/>
      <c r="OLY39" s="48"/>
      <c r="OLZ39" s="48"/>
      <c r="OMA39" s="48"/>
      <c r="OMB39" s="48"/>
      <c r="OMC39" s="48"/>
      <c r="OMD39" s="48"/>
      <c r="OME39" s="48"/>
      <c r="OMF39" s="48"/>
      <c r="OMG39" s="48"/>
      <c r="OMH39" s="48"/>
      <c r="OMI39" s="48"/>
      <c r="OMJ39" s="48"/>
      <c r="OMK39" s="48"/>
      <c r="OML39" s="48"/>
      <c r="OMM39" s="45"/>
      <c r="OMN39" s="46"/>
      <c r="OMO39" s="46"/>
      <c r="OMP39" s="47"/>
      <c r="OMQ39" s="48"/>
      <c r="OMR39" s="48"/>
      <c r="OMS39" s="48"/>
      <c r="OMT39" s="48"/>
      <c r="OMU39" s="48"/>
      <c r="OMV39" s="48"/>
      <c r="OMW39" s="48"/>
      <c r="OMX39" s="48"/>
      <c r="OMY39" s="48"/>
      <c r="OMZ39" s="48"/>
      <c r="ONA39" s="48"/>
      <c r="ONB39" s="48"/>
      <c r="ONC39" s="48"/>
      <c r="OND39" s="48"/>
      <c r="ONE39" s="48"/>
      <c r="ONF39" s="48"/>
      <c r="ONG39" s="48"/>
      <c r="ONH39" s="48"/>
      <c r="ONI39" s="45"/>
      <c r="ONJ39" s="46"/>
      <c r="ONK39" s="46"/>
      <c r="ONL39" s="47"/>
      <c r="ONM39" s="48"/>
      <c r="ONN39" s="48"/>
      <c r="ONO39" s="48"/>
      <c r="ONP39" s="48"/>
      <c r="ONQ39" s="48"/>
      <c r="ONR39" s="48"/>
      <c r="ONS39" s="48"/>
      <c r="ONT39" s="48"/>
      <c r="ONU39" s="48"/>
      <c r="ONV39" s="48"/>
      <c r="ONW39" s="48"/>
      <c r="ONX39" s="48"/>
      <c r="ONY39" s="48"/>
      <c r="ONZ39" s="48"/>
      <c r="OOA39" s="48"/>
      <c r="OOB39" s="48"/>
      <c r="OOC39" s="48"/>
      <c r="OOD39" s="48"/>
      <c r="OOE39" s="45"/>
      <c r="OOF39" s="46"/>
      <c r="OOG39" s="46"/>
      <c r="OOH39" s="47"/>
      <c r="OOI39" s="48"/>
      <c r="OOJ39" s="48"/>
      <c r="OOK39" s="48"/>
      <c r="OOL39" s="48"/>
      <c r="OOM39" s="48"/>
      <c r="OON39" s="48"/>
      <c r="OOO39" s="48"/>
      <c r="OOP39" s="48"/>
      <c r="OOQ39" s="48"/>
      <c r="OOR39" s="48"/>
      <c r="OOS39" s="48"/>
      <c r="OOT39" s="48"/>
      <c r="OOU39" s="48"/>
      <c r="OOV39" s="48"/>
      <c r="OOW39" s="48"/>
      <c r="OOX39" s="48"/>
      <c r="OOY39" s="48"/>
      <c r="OOZ39" s="48"/>
      <c r="OPA39" s="45"/>
      <c r="OPB39" s="46"/>
      <c r="OPC39" s="46"/>
      <c r="OPD39" s="47"/>
      <c r="OPE39" s="48"/>
      <c r="OPF39" s="48"/>
      <c r="OPG39" s="48"/>
      <c r="OPH39" s="48"/>
      <c r="OPI39" s="48"/>
      <c r="OPJ39" s="48"/>
      <c r="OPK39" s="48"/>
      <c r="OPL39" s="48"/>
      <c r="OPM39" s="48"/>
      <c r="OPN39" s="48"/>
      <c r="OPO39" s="48"/>
      <c r="OPP39" s="48"/>
      <c r="OPQ39" s="48"/>
      <c r="OPR39" s="48"/>
      <c r="OPS39" s="48"/>
      <c r="OPT39" s="48"/>
      <c r="OPU39" s="48"/>
      <c r="OPV39" s="48"/>
      <c r="OPW39" s="45"/>
      <c r="OPX39" s="46"/>
      <c r="OPY39" s="46"/>
      <c r="OPZ39" s="47"/>
      <c r="OQA39" s="48"/>
      <c r="OQB39" s="48"/>
      <c r="OQC39" s="48"/>
      <c r="OQD39" s="48"/>
      <c r="OQE39" s="48"/>
      <c r="OQF39" s="48"/>
      <c r="OQG39" s="48"/>
      <c r="OQH39" s="48"/>
      <c r="OQI39" s="48"/>
      <c r="OQJ39" s="48"/>
      <c r="OQK39" s="48"/>
      <c r="OQL39" s="48"/>
      <c r="OQM39" s="48"/>
      <c r="OQN39" s="48"/>
      <c r="OQO39" s="48"/>
      <c r="OQP39" s="48"/>
      <c r="OQQ39" s="48"/>
      <c r="OQR39" s="48"/>
      <c r="OQS39" s="45"/>
      <c r="OQT39" s="46"/>
      <c r="OQU39" s="46"/>
      <c r="OQV39" s="47"/>
      <c r="OQW39" s="48"/>
      <c r="OQX39" s="48"/>
      <c r="OQY39" s="48"/>
      <c r="OQZ39" s="48"/>
      <c r="ORA39" s="48"/>
      <c r="ORB39" s="48"/>
      <c r="ORC39" s="48"/>
      <c r="ORD39" s="48"/>
      <c r="ORE39" s="48"/>
      <c r="ORF39" s="48"/>
      <c r="ORG39" s="48"/>
      <c r="ORH39" s="48"/>
      <c r="ORI39" s="48"/>
      <c r="ORJ39" s="48"/>
      <c r="ORK39" s="48"/>
      <c r="ORL39" s="48"/>
      <c r="ORM39" s="48"/>
      <c r="ORN39" s="48"/>
      <c r="ORO39" s="45"/>
      <c r="ORP39" s="46"/>
      <c r="ORQ39" s="46"/>
      <c r="ORR39" s="47"/>
      <c r="ORS39" s="48"/>
      <c r="ORT39" s="48"/>
      <c r="ORU39" s="48"/>
      <c r="ORV39" s="48"/>
      <c r="ORW39" s="48"/>
      <c r="ORX39" s="48"/>
      <c r="ORY39" s="48"/>
      <c r="ORZ39" s="48"/>
      <c r="OSA39" s="48"/>
      <c r="OSB39" s="48"/>
      <c r="OSC39" s="48"/>
      <c r="OSD39" s="48"/>
      <c r="OSE39" s="48"/>
      <c r="OSF39" s="48"/>
      <c r="OSG39" s="48"/>
      <c r="OSH39" s="48"/>
      <c r="OSI39" s="48"/>
      <c r="OSJ39" s="48"/>
      <c r="OSK39" s="45"/>
      <c r="OSL39" s="46"/>
      <c r="OSM39" s="46"/>
      <c r="OSN39" s="47"/>
      <c r="OSO39" s="48"/>
      <c r="OSP39" s="48"/>
      <c r="OSQ39" s="48"/>
      <c r="OSR39" s="48"/>
      <c r="OSS39" s="48"/>
      <c r="OST39" s="48"/>
      <c r="OSU39" s="48"/>
      <c r="OSV39" s="48"/>
      <c r="OSW39" s="48"/>
      <c r="OSX39" s="48"/>
      <c r="OSY39" s="48"/>
      <c r="OSZ39" s="48"/>
      <c r="OTA39" s="48"/>
      <c r="OTB39" s="48"/>
      <c r="OTC39" s="48"/>
      <c r="OTD39" s="48"/>
      <c r="OTE39" s="48"/>
      <c r="OTF39" s="48"/>
      <c r="OTG39" s="45"/>
      <c r="OTH39" s="46"/>
      <c r="OTI39" s="46"/>
      <c r="OTJ39" s="47"/>
      <c r="OTK39" s="48"/>
      <c r="OTL39" s="48"/>
      <c r="OTM39" s="48"/>
      <c r="OTN39" s="48"/>
      <c r="OTO39" s="48"/>
      <c r="OTP39" s="48"/>
      <c r="OTQ39" s="48"/>
      <c r="OTR39" s="48"/>
      <c r="OTS39" s="48"/>
      <c r="OTT39" s="48"/>
      <c r="OTU39" s="48"/>
      <c r="OTV39" s="48"/>
      <c r="OTW39" s="48"/>
      <c r="OTX39" s="48"/>
      <c r="OTY39" s="48"/>
      <c r="OTZ39" s="48"/>
      <c r="OUA39" s="48"/>
      <c r="OUB39" s="48"/>
      <c r="OUC39" s="45"/>
      <c r="OUD39" s="46"/>
      <c r="OUE39" s="46"/>
      <c r="OUF39" s="47"/>
      <c r="OUG39" s="48"/>
      <c r="OUH39" s="48"/>
      <c r="OUI39" s="48"/>
      <c r="OUJ39" s="48"/>
      <c r="OUK39" s="48"/>
      <c r="OUL39" s="48"/>
      <c r="OUM39" s="48"/>
      <c r="OUN39" s="48"/>
      <c r="OUO39" s="48"/>
      <c r="OUP39" s="48"/>
      <c r="OUQ39" s="48"/>
      <c r="OUR39" s="48"/>
      <c r="OUS39" s="48"/>
      <c r="OUT39" s="48"/>
      <c r="OUU39" s="48"/>
      <c r="OUV39" s="48"/>
      <c r="OUW39" s="48"/>
      <c r="OUX39" s="48"/>
      <c r="OUY39" s="45"/>
      <c r="OUZ39" s="46"/>
      <c r="OVA39" s="46"/>
      <c r="OVB39" s="47"/>
      <c r="OVC39" s="48"/>
      <c r="OVD39" s="48"/>
      <c r="OVE39" s="48"/>
      <c r="OVF39" s="48"/>
      <c r="OVG39" s="48"/>
      <c r="OVH39" s="48"/>
      <c r="OVI39" s="48"/>
      <c r="OVJ39" s="48"/>
      <c r="OVK39" s="48"/>
      <c r="OVL39" s="48"/>
      <c r="OVM39" s="48"/>
      <c r="OVN39" s="48"/>
      <c r="OVO39" s="48"/>
      <c r="OVP39" s="48"/>
      <c r="OVQ39" s="48"/>
      <c r="OVR39" s="48"/>
      <c r="OVS39" s="48"/>
      <c r="OVT39" s="48"/>
      <c r="OVU39" s="45"/>
      <c r="OVV39" s="46"/>
      <c r="OVW39" s="46"/>
      <c r="OVX39" s="47"/>
      <c r="OVY39" s="48"/>
      <c r="OVZ39" s="48"/>
      <c r="OWA39" s="48"/>
      <c r="OWB39" s="48"/>
      <c r="OWC39" s="48"/>
      <c r="OWD39" s="48"/>
      <c r="OWE39" s="48"/>
      <c r="OWF39" s="48"/>
      <c r="OWG39" s="48"/>
      <c r="OWH39" s="48"/>
      <c r="OWI39" s="48"/>
      <c r="OWJ39" s="48"/>
      <c r="OWK39" s="48"/>
      <c r="OWL39" s="48"/>
      <c r="OWM39" s="48"/>
      <c r="OWN39" s="48"/>
      <c r="OWO39" s="48"/>
      <c r="OWP39" s="48"/>
      <c r="OWQ39" s="45"/>
      <c r="OWR39" s="46"/>
      <c r="OWS39" s="46"/>
      <c r="OWT39" s="47"/>
      <c r="OWU39" s="48"/>
      <c r="OWV39" s="48"/>
      <c r="OWW39" s="48"/>
      <c r="OWX39" s="48"/>
      <c r="OWY39" s="48"/>
      <c r="OWZ39" s="48"/>
      <c r="OXA39" s="48"/>
      <c r="OXB39" s="48"/>
      <c r="OXC39" s="48"/>
      <c r="OXD39" s="48"/>
      <c r="OXE39" s="48"/>
      <c r="OXF39" s="48"/>
      <c r="OXG39" s="48"/>
      <c r="OXH39" s="48"/>
      <c r="OXI39" s="48"/>
      <c r="OXJ39" s="48"/>
      <c r="OXK39" s="48"/>
      <c r="OXL39" s="48"/>
      <c r="OXM39" s="45"/>
      <c r="OXN39" s="46"/>
      <c r="OXO39" s="46"/>
      <c r="OXP39" s="47"/>
      <c r="OXQ39" s="48"/>
      <c r="OXR39" s="48"/>
      <c r="OXS39" s="48"/>
      <c r="OXT39" s="48"/>
      <c r="OXU39" s="48"/>
      <c r="OXV39" s="48"/>
      <c r="OXW39" s="48"/>
      <c r="OXX39" s="48"/>
      <c r="OXY39" s="48"/>
      <c r="OXZ39" s="48"/>
      <c r="OYA39" s="48"/>
      <c r="OYB39" s="48"/>
      <c r="OYC39" s="48"/>
      <c r="OYD39" s="48"/>
      <c r="OYE39" s="48"/>
      <c r="OYF39" s="48"/>
      <c r="OYG39" s="48"/>
      <c r="OYH39" s="48"/>
      <c r="OYI39" s="45"/>
      <c r="OYJ39" s="46"/>
      <c r="OYK39" s="46"/>
      <c r="OYL39" s="47"/>
      <c r="OYM39" s="48"/>
      <c r="OYN39" s="48"/>
      <c r="OYO39" s="48"/>
      <c r="OYP39" s="48"/>
      <c r="OYQ39" s="48"/>
      <c r="OYR39" s="48"/>
      <c r="OYS39" s="48"/>
      <c r="OYT39" s="48"/>
      <c r="OYU39" s="48"/>
      <c r="OYV39" s="48"/>
      <c r="OYW39" s="48"/>
      <c r="OYX39" s="48"/>
      <c r="OYY39" s="48"/>
      <c r="OYZ39" s="48"/>
      <c r="OZA39" s="48"/>
      <c r="OZB39" s="48"/>
      <c r="OZC39" s="48"/>
      <c r="OZD39" s="48"/>
      <c r="OZE39" s="45"/>
      <c r="OZF39" s="46"/>
      <c r="OZG39" s="46"/>
      <c r="OZH39" s="47"/>
      <c r="OZI39" s="48"/>
      <c r="OZJ39" s="48"/>
      <c r="OZK39" s="48"/>
      <c r="OZL39" s="48"/>
      <c r="OZM39" s="48"/>
      <c r="OZN39" s="48"/>
      <c r="OZO39" s="48"/>
      <c r="OZP39" s="48"/>
      <c r="OZQ39" s="48"/>
      <c r="OZR39" s="48"/>
      <c r="OZS39" s="48"/>
      <c r="OZT39" s="48"/>
      <c r="OZU39" s="48"/>
      <c r="OZV39" s="48"/>
      <c r="OZW39" s="48"/>
      <c r="OZX39" s="48"/>
      <c r="OZY39" s="48"/>
      <c r="OZZ39" s="48"/>
      <c r="PAA39" s="45"/>
      <c r="PAB39" s="46"/>
      <c r="PAC39" s="46"/>
      <c r="PAD39" s="47"/>
      <c r="PAE39" s="48"/>
      <c r="PAF39" s="48"/>
      <c r="PAG39" s="48"/>
      <c r="PAH39" s="48"/>
      <c r="PAI39" s="48"/>
      <c r="PAJ39" s="48"/>
      <c r="PAK39" s="48"/>
      <c r="PAL39" s="48"/>
      <c r="PAM39" s="48"/>
      <c r="PAN39" s="48"/>
      <c r="PAO39" s="48"/>
      <c r="PAP39" s="48"/>
      <c r="PAQ39" s="48"/>
      <c r="PAR39" s="48"/>
      <c r="PAS39" s="48"/>
      <c r="PAT39" s="48"/>
      <c r="PAU39" s="48"/>
      <c r="PAV39" s="48"/>
      <c r="PAW39" s="45"/>
      <c r="PAX39" s="46"/>
      <c r="PAY39" s="46"/>
      <c r="PAZ39" s="47"/>
      <c r="PBA39" s="48"/>
      <c r="PBB39" s="48"/>
      <c r="PBC39" s="48"/>
      <c r="PBD39" s="48"/>
      <c r="PBE39" s="48"/>
      <c r="PBF39" s="48"/>
      <c r="PBG39" s="48"/>
      <c r="PBH39" s="48"/>
      <c r="PBI39" s="48"/>
      <c r="PBJ39" s="48"/>
      <c r="PBK39" s="48"/>
      <c r="PBL39" s="48"/>
      <c r="PBM39" s="48"/>
      <c r="PBN39" s="48"/>
      <c r="PBO39" s="48"/>
      <c r="PBP39" s="48"/>
      <c r="PBQ39" s="48"/>
      <c r="PBR39" s="48"/>
      <c r="PBS39" s="45"/>
      <c r="PBT39" s="46"/>
      <c r="PBU39" s="46"/>
      <c r="PBV39" s="47"/>
      <c r="PBW39" s="48"/>
      <c r="PBX39" s="48"/>
      <c r="PBY39" s="48"/>
      <c r="PBZ39" s="48"/>
      <c r="PCA39" s="48"/>
      <c r="PCB39" s="48"/>
      <c r="PCC39" s="48"/>
      <c r="PCD39" s="48"/>
      <c r="PCE39" s="48"/>
      <c r="PCF39" s="48"/>
      <c r="PCG39" s="48"/>
      <c r="PCH39" s="48"/>
      <c r="PCI39" s="48"/>
      <c r="PCJ39" s="48"/>
      <c r="PCK39" s="48"/>
      <c r="PCL39" s="48"/>
      <c r="PCM39" s="48"/>
      <c r="PCN39" s="48"/>
      <c r="PCO39" s="45"/>
      <c r="PCP39" s="46"/>
      <c r="PCQ39" s="46"/>
      <c r="PCR39" s="47"/>
      <c r="PCS39" s="48"/>
      <c r="PCT39" s="48"/>
      <c r="PCU39" s="48"/>
      <c r="PCV39" s="48"/>
      <c r="PCW39" s="48"/>
      <c r="PCX39" s="48"/>
      <c r="PCY39" s="48"/>
      <c r="PCZ39" s="48"/>
      <c r="PDA39" s="48"/>
      <c r="PDB39" s="48"/>
      <c r="PDC39" s="48"/>
      <c r="PDD39" s="48"/>
      <c r="PDE39" s="48"/>
      <c r="PDF39" s="48"/>
      <c r="PDG39" s="48"/>
      <c r="PDH39" s="48"/>
      <c r="PDI39" s="48"/>
      <c r="PDJ39" s="48"/>
      <c r="PDK39" s="45"/>
      <c r="PDL39" s="46"/>
      <c r="PDM39" s="46"/>
      <c r="PDN39" s="47"/>
      <c r="PDO39" s="48"/>
      <c r="PDP39" s="48"/>
      <c r="PDQ39" s="48"/>
      <c r="PDR39" s="48"/>
      <c r="PDS39" s="48"/>
      <c r="PDT39" s="48"/>
      <c r="PDU39" s="48"/>
      <c r="PDV39" s="48"/>
      <c r="PDW39" s="48"/>
      <c r="PDX39" s="48"/>
      <c r="PDY39" s="48"/>
      <c r="PDZ39" s="48"/>
      <c r="PEA39" s="48"/>
      <c r="PEB39" s="48"/>
      <c r="PEC39" s="48"/>
      <c r="PED39" s="48"/>
      <c r="PEE39" s="48"/>
      <c r="PEF39" s="48"/>
      <c r="PEG39" s="45"/>
      <c r="PEH39" s="46"/>
      <c r="PEI39" s="46"/>
      <c r="PEJ39" s="47"/>
      <c r="PEK39" s="48"/>
      <c r="PEL39" s="48"/>
      <c r="PEM39" s="48"/>
      <c r="PEN39" s="48"/>
      <c r="PEO39" s="48"/>
      <c r="PEP39" s="48"/>
      <c r="PEQ39" s="48"/>
      <c r="PER39" s="48"/>
      <c r="PES39" s="48"/>
      <c r="PET39" s="48"/>
      <c r="PEU39" s="48"/>
      <c r="PEV39" s="48"/>
      <c r="PEW39" s="48"/>
      <c r="PEX39" s="48"/>
      <c r="PEY39" s="48"/>
      <c r="PEZ39" s="48"/>
      <c r="PFA39" s="48"/>
      <c r="PFB39" s="48"/>
      <c r="PFC39" s="45"/>
      <c r="PFD39" s="46"/>
      <c r="PFE39" s="46"/>
      <c r="PFF39" s="47"/>
      <c r="PFG39" s="48"/>
      <c r="PFH39" s="48"/>
      <c r="PFI39" s="48"/>
      <c r="PFJ39" s="48"/>
      <c r="PFK39" s="48"/>
      <c r="PFL39" s="48"/>
      <c r="PFM39" s="48"/>
      <c r="PFN39" s="48"/>
      <c r="PFO39" s="48"/>
      <c r="PFP39" s="48"/>
      <c r="PFQ39" s="48"/>
      <c r="PFR39" s="48"/>
      <c r="PFS39" s="48"/>
      <c r="PFT39" s="48"/>
      <c r="PFU39" s="48"/>
      <c r="PFV39" s="48"/>
      <c r="PFW39" s="48"/>
      <c r="PFX39" s="48"/>
      <c r="PFY39" s="45"/>
      <c r="PFZ39" s="46"/>
      <c r="PGA39" s="46"/>
      <c r="PGB39" s="47"/>
      <c r="PGC39" s="48"/>
      <c r="PGD39" s="48"/>
      <c r="PGE39" s="48"/>
      <c r="PGF39" s="48"/>
      <c r="PGG39" s="48"/>
      <c r="PGH39" s="48"/>
      <c r="PGI39" s="48"/>
      <c r="PGJ39" s="48"/>
      <c r="PGK39" s="48"/>
      <c r="PGL39" s="48"/>
      <c r="PGM39" s="48"/>
      <c r="PGN39" s="48"/>
      <c r="PGO39" s="48"/>
      <c r="PGP39" s="48"/>
      <c r="PGQ39" s="48"/>
      <c r="PGR39" s="48"/>
      <c r="PGS39" s="48"/>
      <c r="PGT39" s="48"/>
      <c r="PGU39" s="45"/>
      <c r="PGV39" s="46"/>
      <c r="PGW39" s="46"/>
      <c r="PGX39" s="47"/>
      <c r="PGY39" s="48"/>
      <c r="PGZ39" s="48"/>
      <c r="PHA39" s="48"/>
      <c r="PHB39" s="48"/>
      <c r="PHC39" s="48"/>
      <c r="PHD39" s="48"/>
      <c r="PHE39" s="48"/>
      <c r="PHF39" s="48"/>
      <c r="PHG39" s="48"/>
      <c r="PHH39" s="48"/>
      <c r="PHI39" s="48"/>
      <c r="PHJ39" s="48"/>
      <c r="PHK39" s="48"/>
      <c r="PHL39" s="48"/>
      <c r="PHM39" s="48"/>
      <c r="PHN39" s="48"/>
      <c r="PHO39" s="48"/>
      <c r="PHP39" s="48"/>
      <c r="PHQ39" s="45"/>
      <c r="PHR39" s="46"/>
      <c r="PHS39" s="46"/>
      <c r="PHT39" s="47"/>
      <c r="PHU39" s="48"/>
      <c r="PHV39" s="48"/>
      <c r="PHW39" s="48"/>
      <c r="PHX39" s="48"/>
      <c r="PHY39" s="48"/>
      <c r="PHZ39" s="48"/>
      <c r="PIA39" s="48"/>
      <c r="PIB39" s="48"/>
      <c r="PIC39" s="48"/>
      <c r="PID39" s="48"/>
      <c r="PIE39" s="48"/>
      <c r="PIF39" s="48"/>
      <c r="PIG39" s="48"/>
      <c r="PIH39" s="48"/>
      <c r="PII39" s="48"/>
      <c r="PIJ39" s="48"/>
      <c r="PIK39" s="48"/>
      <c r="PIL39" s="48"/>
      <c r="PIM39" s="45"/>
      <c r="PIN39" s="46"/>
      <c r="PIO39" s="46"/>
      <c r="PIP39" s="47"/>
      <c r="PIQ39" s="48"/>
      <c r="PIR39" s="48"/>
      <c r="PIS39" s="48"/>
      <c r="PIT39" s="48"/>
      <c r="PIU39" s="48"/>
      <c r="PIV39" s="48"/>
      <c r="PIW39" s="48"/>
      <c r="PIX39" s="48"/>
      <c r="PIY39" s="48"/>
      <c r="PIZ39" s="48"/>
      <c r="PJA39" s="48"/>
      <c r="PJB39" s="48"/>
      <c r="PJC39" s="48"/>
      <c r="PJD39" s="48"/>
      <c r="PJE39" s="48"/>
      <c r="PJF39" s="48"/>
      <c r="PJG39" s="48"/>
      <c r="PJH39" s="48"/>
      <c r="PJI39" s="45"/>
      <c r="PJJ39" s="46"/>
      <c r="PJK39" s="46"/>
      <c r="PJL39" s="47"/>
      <c r="PJM39" s="48"/>
      <c r="PJN39" s="48"/>
      <c r="PJO39" s="48"/>
      <c r="PJP39" s="48"/>
      <c r="PJQ39" s="48"/>
      <c r="PJR39" s="48"/>
      <c r="PJS39" s="48"/>
      <c r="PJT39" s="48"/>
      <c r="PJU39" s="48"/>
      <c r="PJV39" s="48"/>
      <c r="PJW39" s="48"/>
      <c r="PJX39" s="48"/>
      <c r="PJY39" s="48"/>
      <c r="PJZ39" s="48"/>
      <c r="PKA39" s="48"/>
      <c r="PKB39" s="48"/>
      <c r="PKC39" s="48"/>
      <c r="PKD39" s="48"/>
      <c r="PKE39" s="45"/>
      <c r="PKF39" s="46"/>
      <c r="PKG39" s="46"/>
      <c r="PKH39" s="47"/>
      <c r="PKI39" s="48"/>
      <c r="PKJ39" s="48"/>
      <c r="PKK39" s="48"/>
      <c r="PKL39" s="48"/>
      <c r="PKM39" s="48"/>
      <c r="PKN39" s="48"/>
      <c r="PKO39" s="48"/>
      <c r="PKP39" s="48"/>
      <c r="PKQ39" s="48"/>
      <c r="PKR39" s="48"/>
      <c r="PKS39" s="48"/>
      <c r="PKT39" s="48"/>
      <c r="PKU39" s="48"/>
      <c r="PKV39" s="48"/>
      <c r="PKW39" s="48"/>
      <c r="PKX39" s="48"/>
      <c r="PKY39" s="48"/>
      <c r="PKZ39" s="48"/>
      <c r="PLA39" s="45"/>
      <c r="PLB39" s="46"/>
      <c r="PLC39" s="46"/>
      <c r="PLD39" s="47"/>
      <c r="PLE39" s="48"/>
      <c r="PLF39" s="48"/>
      <c r="PLG39" s="48"/>
      <c r="PLH39" s="48"/>
      <c r="PLI39" s="48"/>
      <c r="PLJ39" s="48"/>
      <c r="PLK39" s="48"/>
      <c r="PLL39" s="48"/>
      <c r="PLM39" s="48"/>
      <c r="PLN39" s="48"/>
      <c r="PLO39" s="48"/>
      <c r="PLP39" s="48"/>
      <c r="PLQ39" s="48"/>
      <c r="PLR39" s="48"/>
      <c r="PLS39" s="48"/>
      <c r="PLT39" s="48"/>
      <c r="PLU39" s="48"/>
      <c r="PLV39" s="48"/>
      <c r="PLW39" s="45"/>
      <c r="PLX39" s="46"/>
      <c r="PLY39" s="46"/>
      <c r="PLZ39" s="47"/>
      <c r="PMA39" s="48"/>
      <c r="PMB39" s="48"/>
      <c r="PMC39" s="48"/>
      <c r="PMD39" s="48"/>
      <c r="PME39" s="48"/>
      <c r="PMF39" s="48"/>
      <c r="PMG39" s="48"/>
      <c r="PMH39" s="48"/>
      <c r="PMI39" s="48"/>
      <c r="PMJ39" s="48"/>
      <c r="PMK39" s="48"/>
      <c r="PML39" s="48"/>
      <c r="PMM39" s="48"/>
      <c r="PMN39" s="48"/>
      <c r="PMO39" s="48"/>
      <c r="PMP39" s="48"/>
      <c r="PMQ39" s="48"/>
      <c r="PMR39" s="48"/>
      <c r="PMS39" s="45"/>
      <c r="PMT39" s="46"/>
      <c r="PMU39" s="46"/>
      <c r="PMV39" s="47"/>
      <c r="PMW39" s="48"/>
      <c r="PMX39" s="48"/>
      <c r="PMY39" s="48"/>
      <c r="PMZ39" s="48"/>
      <c r="PNA39" s="48"/>
      <c r="PNB39" s="48"/>
      <c r="PNC39" s="48"/>
      <c r="PND39" s="48"/>
      <c r="PNE39" s="48"/>
      <c r="PNF39" s="48"/>
      <c r="PNG39" s="48"/>
      <c r="PNH39" s="48"/>
      <c r="PNI39" s="48"/>
      <c r="PNJ39" s="48"/>
      <c r="PNK39" s="48"/>
      <c r="PNL39" s="48"/>
      <c r="PNM39" s="48"/>
      <c r="PNN39" s="48"/>
      <c r="PNO39" s="45"/>
      <c r="PNP39" s="46"/>
      <c r="PNQ39" s="46"/>
      <c r="PNR39" s="47"/>
      <c r="PNS39" s="48"/>
      <c r="PNT39" s="48"/>
      <c r="PNU39" s="48"/>
      <c r="PNV39" s="48"/>
      <c r="PNW39" s="48"/>
      <c r="PNX39" s="48"/>
      <c r="PNY39" s="48"/>
      <c r="PNZ39" s="48"/>
      <c r="POA39" s="48"/>
      <c r="POB39" s="48"/>
      <c r="POC39" s="48"/>
      <c r="POD39" s="48"/>
      <c r="POE39" s="48"/>
      <c r="POF39" s="48"/>
      <c r="POG39" s="48"/>
      <c r="POH39" s="48"/>
      <c r="POI39" s="48"/>
      <c r="POJ39" s="48"/>
      <c r="POK39" s="45"/>
      <c r="POL39" s="46"/>
      <c r="POM39" s="46"/>
      <c r="PON39" s="47"/>
      <c r="POO39" s="48"/>
      <c r="POP39" s="48"/>
      <c r="POQ39" s="48"/>
      <c r="POR39" s="48"/>
      <c r="POS39" s="48"/>
      <c r="POT39" s="48"/>
      <c r="POU39" s="48"/>
      <c r="POV39" s="48"/>
      <c r="POW39" s="48"/>
      <c r="POX39" s="48"/>
      <c r="POY39" s="48"/>
      <c r="POZ39" s="48"/>
      <c r="PPA39" s="48"/>
      <c r="PPB39" s="48"/>
      <c r="PPC39" s="48"/>
      <c r="PPD39" s="48"/>
      <c r="PPE39" s="48"/>
      <c r="PPF39" s="48"/>
      <c r="PPG39" s="45"/>
      <c r="PPH39" s="46"/>
      <c r="PPI39" s="46"/>
      <c r="PPJ39" s="47"/>
      <c r="PPK39" s="48"/>
      <c r="PPL39" s="48"/>
      <c r="PPM39" s="48"/>
      <c r="PPN39" s="48"/>
      <c r="PPO39" s="48"/>
      <c r="PPP39" s="48"/>
      <c r="PPQ39" s="48"/>
      <c r="PPR39" s="48"/>
      <c r="PPS39" s="48"/>
      <c r="PPT39" s="48"/>
      <c r="PPU39" s="48"/>
      <c r="PPV39" s="48"/>
      <c r="PPW39" s="48"/>
      <c r="PPX39" s="48"/>
      <c r="PPY39" s="48"/>
      <c r="PPZ39" s="48"/>
      <c r="PQA39" s="48"/>
      <c r="PQB39" s="48"/>
      <c r="PQC39" s="45"/>
      <c r="PQD39" s="46"/>
      <c r="PQE39" s="46"/>
      <c r="PQF39" s="47"/>
      <c r="PQG39" s="48"/>
      <c r="PQH39" s="48"/>
      <c r="PQI39" s="48"/>
      <c r="PQJ39" s="48"/>
      <c r="PQK39" s="48"/>
      <c r="PQL39" s="48"/>
      <c r="PQM39" s="48"/>
      <c r="PQN39" s="48"/>
      <c r="PQO39" s="48"/>
      <c r="PQP39" s="48"/>
      <c r="PQQ39" s="48"/>
      <c r="PQR39" s="48"/>
      <c r="PQS39" s="48"/>
      <c r="PQT39" s="48"/>
      <c r="PQU39" s="48"/>
      <c r="PQV39" s="48"/>
      <c r="PQW39" s="48"/>
      <c r="PQX39" s="48"/>
      <c r="PQY39" s="45"/>
      <c r="PQZ39" s="46"/>
      <c r="PRA39" s="46"/>
      <c r="PRB39" s="47"/>
      <c r="PRC39" s="48"/>
      <c r="PRD39" s="48"/>
      <c r="PRE39" s="48"/>
      <c r="PRF39" s="48"/>
      <c r="PRG39" s="48"/>
      <c r="PRH39" s="48"/>
      <c r="PRI39" s="48"/>
      <c r="PRJ39" s="48"/>
      <c r="PRK39" s="48"/>
      <c r="PRL39" s="48"/>
      <c r="PRM39" s="48"/>
      <c r="PRN39" s="48"/>
      <c r="PRO39" s="48"/>
      <c r="PRP39" s="48"/>
      <c r="PRQ39" s="48"/>
      <c r="PRR39" s="48"/>
      <c r="PRS39" s="48"/>
      <c r="PRT39" s="48"/>
      <c r="PRU39" s="45"/>
      <c r="PRV39" s="46"/>
      <c r="PRW39" s="46"/>
      <c r="PRX39" s="47"/>
      <c r="PRY39" s="48"/>
      <c r="PRZ39" s="48"/>
      <c r="PSA39" s="48"/>
      <c r="PSB39" s="48"/>
      <c r="PSC39" s="48"/>
      <c r="PSD39" s="48"/>
      <c r="PSE39" s="48"/>
      <c r="PSF39" s="48"/>
      <c r="PSG39" s="48"/>
      <c r="PSH39" s="48"/>
      <c r="PSI39" s="48"/>
      <c r="PSJ39" s="48"/>
      <c r="PSK39" s="48"/>
      <c r="PSL39" s="48"/>
      <c r="PSM39" s="48"/>
      <c r="PSN39" s="48"/>
      <c r="PSO39" s="48"/>
      <c r="PSP39" s="48"/>
      <c r="PSQ39" s="45"/>
      <c r="PSR39" s="46"/>
      <c r="PSS39" s="46"/>
      <c r="PST39" s="47"/>
      <c r="PSU39" s="48"/>
      <c r="PSV39" s="48"/>
      <c r="PSW39" s="48"/>
      <c r="PSX39" s="48"/>
      <c r="PSY39" s="48"/>
      <c r="PSZ39" s="48"/>
      <c r="PTA39" s="48"/>
      <c r="PTB39" s="48"/>
      <c r="PTC39" s="48"/>
      <c r="PTD39" s="48"/>
      <c r="PTE39" s="48"/>
      <c r="PTF39" s="48"/>
      <c r="PTG39" s="48"/>
      <c r="PTH39" s="48"/>
      <c r="PTI39" s="48"/>
      <c r="PTJ39" s="48"/>
      <c r="PTK39" s="48"/>
      <c r="PTL39" s="48"/>
      <c r="PTM39" s="45"/>
      <c r="PTN39" s="46"/>
      <c r="PTO39" s="46"/>
      <c r="PTP39" s="47"/>
      <c r="PTQ39" s="48"/>
      <c r="PTR39" s="48"/>
      <c r="PTS39" s="48"/>
      <c r="PTT39" s="48"/>
      <c r="PTU39" s="48"/>
      <c r="PTV39" s="48"/>
      <c r="PTW39" s="48"/>
      <c r="PTX39" s="48"/>
      <c r="PTY39" s="48"/>
      <c r="PTZ39" s="48"/>
      <c r="PUA39" s="48"/>
      <c r="PUB39" s="48"/>
      <c r="PUC39" s="48"/>
      <c r="PUD39" s="48"/>
      <c r="PUE39" s="48"/>
      <c r="PUF39" s="48"/>
      <c r="PUG39" s="48"/>
      <c r="PUH39" s="48"/>
      <c r="PUI39" s="45"/>
      <c r="PUJ39" s="46"/>
      <c r="PUK39" s="46"/>
      <c r="PUL39" s="47"/>
      <c r="PUM39" s="48"/>
      <c r="PUN39" s="48"/>
      <c r="PUO39" s="48"/>
      <c r="PUP39" s="48"/>
      <c r="PUQ39" s="48"/>
      <c r="PUR39" s="48"/>
      <c r="PUS39" s="48"/>
      <c r="PUT39" s="48"/>
      <c r="PUU39" s="48"/>
      <c r="PUV39" s="48"/>
      <c r="PUW39" s="48"/>
      <c r="PUX39" s="48"/>
      <c r="PUY39" s="48"/>
      <c r="PUZ39" s="48"/>
      <c r="PVA39" s="48"/>
      <c r="PVB39" s="48"/>
      <c r="PVC39" s="48"/>
      <c r="PVD39" s="48"/>
      <c r="PVE39" s="45"/>
      <c r="PVF39" s="46"/>
      <c r="PVG39" s="46"/>
      <c r="PVH39" s="47"/>
      <c r="PVI39" s="48"/>
      <c r="PVJ39" s="48"/>
      <c r="PVK39" s="48"/>
      <c r="PVL39" s="48"/>
      <c r="PVM39" s="48"/>
      <c r="PVN39" s="48"/>
      <c r="PVO39" s="48"/>
      <c r="PVP39" s="48"/>
      <c r="PVQ39" s="48"/>
      <c r="PVR39" s="48"/>
      <c r="PVS39" s="48"/>
      <c r="PVT39" s="48"/>
      <c r="PVU39" s="48"/>
      <c r="PVV39" s="48"/>
      <c r="PVW39" s="48"/>
      <c r="PVX39" s="48"/>
      <c r="PVY39" s="48"/>
      <c r="PVZ39" s="48"/>
      <c r="PWA39" s="45"/>
      <c r="PWB39" s="46"/>
      <c r="PWC39" s="46"/>
      <c r="PWD39" s="47"/>
      <c r="PWE39" s="48"/>
      <c r="PWF39" s="48"/>
      <c r="PWG39" s="48"/>
      <c r="PWH39" s="48"/>
      <c r="PWI39" s="48"/>
      <c r="PWJ39" s="48"/>
      <c r="PWK39" s="48"/>
      <c r="PWL39" s="48"/>
      <c r="PWM39" s="48"/>
      <c r="PWN39" s="48"/>
      <c r="PWO39" s="48"/>
      <c r="PWP39" s="48"/>
      <c r="PWQ39" s="48"/>
      <c r="PWR39" s="48"/>
      <c r="PWS39" s="48"/>
      <c r="PWT39" s="48"/>
      <c r="PWU39" s="48"/>
      <c r="PWV39" s="48"/>
      <c r="PWW39" s="45"/>
      <c r="PWX39" s="46"/>
      <c r="PWY39" s="46"/>
      <c r="PWZ39" s="47"/>
      <c r="PXA39" s="48"/>
      <c r="PXB39" s="48"/>
      <c r="PXC39" s="48"/>
      <c r="PXD39" s="48"/>
      <c r="PXE39" s="48"/>
      <c r="PXF39" s="48"/>
      <c r="PXG39" s="48"/>
      <c r="PXH39" s="48"/>
      <c r="PXI39" s="48"/>
      <c r="PXJ39" s="48"/>
      <c r="PXK39" s="48"/>
      <c r="PXL39" s="48"/>
      <c r="PXM39" s="48"/>
      <c r="PXN39" s="48"/>
      <c r="PXO39" s="48"/>
      <c r="PXP39" s="48"/>
      <c r="PXQ39" s="48"/>
      <c r="PXR39" s="48"/>
      <c r="PXS39" s="45"/>
      <c r="PXT39" s="46"/>
      <c r="PXU39" s="46"/>
      <c r="PXV39" s="47"/>
      <c r="PXW39" s="48"/>
      <c r="PXX39" s="48"/>
      <c r="PXY39" s="48"/>
      <c r="PXZ39" s="48"/>
      <c r="PYA39" s="48"/>
      <c r="PYB39" s="48"/>
      <c r="PYC39" s="48"/>
      <c r="PYD39" s="48"/>
      <c r="PYE39" s="48"/>
      <c r="PYF39" s="48"/>
      <c r="PYG39" s="48"/>
      <c r="PYH39" s="48"/>
      <c r="PYI39" s="48"/>
      <c r="PYJ39" s="48"/>
      <c r="PYK39" s="48"/>
      <c r="PYL39" s="48"/>
      <c r="PYM39" s="48"/>
      <c r="PYN39" s="48"/>
      <c r="PYO39" s="45"/>
      <c r="PYP39" s="46"/>
      <c r="PYQ39" s="46"/>
      <c r="PYR39" s="47"/>
      <c r="PYS39" s="48"/>
      <c r="PYT39" s="48"/>
      <c r="PYU39" s="48"/>
      <c r="PYV39" s="48"/>
      <c r="PYW39" s="48"/>
      <c r="PYX39" s="48"/>
      <c r="PYY39" s="48"/>
      <c r="PYZ39" s="48"/>
      <c r="PZA39" s="48"/>
      <c r="PZB39" s="48"/>
      <c r="PZC39" s="48"/>
      <c r="PZD39" s="48"/>
      <c r="PZE39" s="48"/>
      <c r="PZF39" s="48"/>
      <c r="PZG39" s="48"/>
      <c r="PZH39" s="48"/>
      <c r="PZI39" s="48"/>
      <c r="PZJ39" s="48"/>
      <c r="PZK39" s="45"/>
      <c r="PZL39" s="46"/>
      <c r="PZM39" s="46"/>
      <c r="PZN39" s="47"/>
      <c r="PZO39" s="48"/>
      <c r="PZP39" s="48"/>
      <c r="PZQ39" s="48"/>
      <c r="PZR39" s="48"/>
      <c r="PZS39" s="48"/>
      <c r="PZT39" s="48"/>
      <c r="PZU39" s="48"/>
      <c r="PZV39" s="48"/>
      <c r="PZW39" s="48"/>
      <c r="PZX39" s="48"/>
      <c r="PZY39" s="48"/>
      <c r="PZZ39" s="48"/>
      <c r="QAA39" s="48"/>
      <c r="QAB39" s="48"/>
      <c r="QAC39" s="48"/>
      <c r="QAD39" s="48"/>
      <c r="QAE39" s="48"/>
      <c r="QAF39" s="48"/>
      <c r="QAG39" s="45"/>
      <c r="QAH39" s="46"/>
      <c r="QAI39" s="46"/>
      <c r="QAJ39" s="47"/>
      <c r="QAK39" s="48"/>
      <c r="QAL39" s="48"/>
      <c r="QAM39" s="48"/>
      <c r="QAN39" s="48"/>
      <c r="QAO39" s="48"/>
      <c r="QAP39" s="48"/>
      <c r="QAQ39" s="48"/>
      <c r="QAR39" s="48"/>
      <c r="QAS39" s="48"/>
      <c r="QAT39" s="48"/>
      <c r="QAU39" s="48"/>
      <c r="QAV39" s="48"/>
      <c r="QAW39" s="48"/>
      <c r="QAX39" s="48"/>
      <c r="QAY39" s="48"/>
      <c r="QAZ39" s="48"/>
      <c r="QBA39" s="48"/>
      <c r="QBB39" s="48"/>
      <c r="QBC39" s="45"/>
      <c r="QBD39" s="46"/>
      <c r="QBE39" s="46"/>
      <c r="QBF39" s="47"/>
      <c r="QBG39" s="48"/>
      <c r="QBH39" s="48"/>
      <c r="QBI39" s="48"/>
      <c r="QBJ39" s="48"/>
      <c r="QBK39" s="48"/>
      <c r="QBL39" s="48"/>
      <c r="QBM39" s="48"/>
      <c r="QBN39" s="48"/>
      <c r="QBO39" s="48"/>
      <c r="QBP39" s="48"/>
      <c r="QBQ39" s="48"/>
      <c r="QBR39" s="48"/>
      <c r="QBS39" s="48"/>
      <c r="QBT39" s="48"/>
      <c r="QBU39" s="48"/>
      <c r="QBV39" s="48"/>
      <c r="QBW39" s="48"/>
      <c r="QBX39" s="48"/>
      <c r="QBY39" s="45"/>
      <c r="QBZ39" s="46"/>
      <c r="QCA39" s="46"/>
      <c r="QCB39" s="47"/>
      <c r="QCC39" s="48"/>
      <c r="QCD39" s="48"/>
      <c r="QCE39" s="48"/>
      <c r="QCF39" s="48"/>
      <c r="QCG39" s="48"/>
      <c r="QCH39" s="48"/>
      <c r="QCI39" s="48"/>
      <c r="QCJ39" s="48"/>
      <c r="QCK39" s="48"/>
      <c r="QCL39" s="48"/>
      <c r="QCM39" s="48"/>
      <c r="QCN39" s="48"/>
      <c r="QCO39" s="48"/>
      <c r="QCP39" s="48"/>
      <c r="QCQ39" s="48"/>
      <c r="QCR39" s="48"/>
      <c r="QCS39" s="48"/>
      <c r="QCT39" s="48"/>
      <c r="QCU39" s="45"/>
      <c r="QCV39" s="46"/>
      <c r="QCW39" s="46"/>
      <c r="QCX39" s="47"/>
      <c r="QCY39" s="48"/>
      <c r="QCZ39" s="48"/>
      <c r="QDA39" s="48"/>
      <c r="QDB39" s="48"/>
      <c r="QDC39" s="48"/>
      <c r="QDD39" s="48"/>
      <c r="QDE39" s="48"/>
      <c r="QDF39" s="48"/>
      <c r="QDG39" s="48"/>
      <c r="QDH39" s="48"/>
      <c r="QDI39" s="48"/>
      <c r="QDJ39" s="48"/>
      <c r="QDK39" s="48"/>
      <c r="QDL39" s="48"/>
      <c r="QDM39" s="48"/>
      <c r="QDN39" s="48"/>
      <c r="QDO39" s="48"/>
      <c r="QDP39" s="48"/>
      <c r="QDQ39" s="45"/>
      <c r="QDR39" s="46"/>
      <c r="QDS39" s="46"/>
      <c r="QDT39" s="47"/>
      <c r="QDU39" s="48"/>
      <c r="QDV39" s="48"/>
      <c r="QDW39" s="48"/>
      <c r="QDX39" s="48"/>
      <c r="QDY39" s="48"/>
      <c r="QDZ39" s="48"/>
      <c r="QEA39" s="48"/>
      <c r="QEB39" s="48"/>
      <c r="QEC39" s="48"/>
      <c r="QED39" s="48"/>
      <c r="QEE39" s="48"/>
      <c r="QEF39" s="48"/>
      <c r="QEG39" s="48"/>
      <c r="QEH39" s="48"/>
      <c r="QEI39" s="48"/>
      <c r="QEJ39" s="48"/>
      <c r="QEK39" s="48"/>
      <c r="QEL39" s="48"/>
      <c r="QEM39" s="45"/>
      <c r="QEN39" s="46"/>
      <c r="QEO39" s="46"/>
      <c r="QEP39" s="47"/>
      <c r="QEQ39" s="48"/>
      <c r="QER39" s="48"/>
      <c r="QES39" s="48"/>
      <c r="QET39" s="48"/>
      <c r="QEU39" s="48"/>
      <c r="QEV39" s="48"/>
      <c r="QEW39" s="48"/>
      <c r="QEX39" s="48"/>
      <c r="QEY39" s="48"/>
      <c r="QEZ39" s="48"/>
      <c r="QFA39" s="48"/>
      <c r="QFB39" s="48"/>
      <c r="QFC39" s="48"/>
      <c r="QFD39" s="48"/>
      <c r="QFE39" s="48"/>
      <c r="QFF39" s="48"/>
      <c r="QFG39" s="48"/>
      <c r="QFH39" s="48"/>
      <c r="QFI39" s="45"/>
      <c r="QFJ39" s="46"/>
      <c r="QFK39" s="46"/>
      <c r="QFL39" s="47"/>
      <c r="QFM39" s="48"/>
      <c r="QFN39" s="48"/>
      <c r="QFO39" s="48"/>
      <c r="QFP39" s="48"/>
      <c r="QFQ39" s="48"/>
      <c r="QFR39" s="48"/>
      <c r="QFS39" s="48"/>
      <c r="QFT39" s="48"/>
      <c r="QFU39" s="48"/>
      <c r="QFV39" s="48"/>
      <c r="QFW39" s="48"/>
      <c r="QFX39" s="48"/>
      <c r="QFY39" s="48"/>
      <c r="QFZ39" s="48"/>
      <c r="QGA39" s="48"/>
      <c r="QGB39" s="48"/>
      <c r="QGC39" s="48"/>
      <c r="QGD39" s="48"/>
      <c r="QGE39" s="45"/>
      <c r="QGF39" s="46"/>
      <c r="QGG39" s="46"/>
      <c r="QGH39" s="47"/>
      <c r="QGI39" s="48"/>
      <c r="QGJ39" s="48"/>
      <c r="QGK39" s="48"/>
      <c r="QGL39" s="48"/>
      <c r="QGM39" s="48"/>
      <c r="QGN39" s="48"/>
      <c r="QGO39" s="48"/>
      <c r="QGP39" s="48"/>
      <c r="QGQ39" s="48"/>
      <c r="QGR39" s="48"/>
      <c r="QGS39" s="48"/>
      <c r="QGT39" s="48"/>
      <c r="QGU39" s="48"/>
      <c r="QGV39" s="48"/>
      <c r="QGW39" s="48"/>
      <c r="QGX39" s="48"/>
      <c r="QGY39" s="48"/>
      <c r="QGZ39" s="48"/>
      <c r="QHA39" s="45"/>
      <c r="QHB39" s="46"/>
      <c r="QHC39" s="46"/>
      <c r="QHD39" s="47"/>
      <c r="QHE39" s="48"/>
      <c r="QHF39" s="48"/>
      <c r="QHG39" s="48"/>
      <c r="QHH39" s="48"/>
      <c r="QHI39" s="48"/>
      <c r="QHJ39" s="48"/>
      <c r="QHK39" s="48"/>
      <c r="QHL39" s="48"/>
      <c r="QHM39" s="48"/>
      <c r="QHN39" s="48"/>
      <c r="QHO39" s="48"/>
      <c r="QHP39" s="48"/>
      <c r="QHQ39" s="48"/>
      <c r="QHR39" s="48"/>
      <c r="QHS39" s="48"/>
      <c r="QHT39" s="48"/>
      <c r="QHU39" s="48"/>
      <c r="QHV39" s="48"/>
      <c r="QHW39" s="45"/>
      <c r="QHX39" s="46"/>
      <c r="QHY39" s="46"/>
      <c r="QHZ39" s="47"/>
      <c r="QIA39" s="48"/>
      <c r="QIB39" s="48"/>
      <c r="QIC39" s="48"/>
      <c r="QID39" s="48"/>
      <c r="QIE39" s="48"/>
      <c r="QIF39" s="48"/>
      <c r="QIG39" s="48"/>
      <c r="QIH39" s="48"/>
      <c r="QII39" s="48"/>
      <c r="QIJ39" s="48"/>
      <c r="QIK39" s="48"/>
      <c r="QIL39" s="48"/>
      <c r="QIM39" s="48"/>
      <c r="QIN39" s="48"/>
      <c r="QIO39" s="48"/>
      <c r="QIP39" s="48"/>
      <c r="QIQ39" s="48"/>
      <c r="QIR39" s="48"/>
      <c r="QIS39" s="45"/>
      <c r="QIT39" s="46"/>
      <c r="QIU39" s="46"/>
      <c r="QIV39" s="47"/>
      <c r="QIW39" s="48"/>
      <c r="QIX39" s="48"/>
      <c r="QIY39" s="48"/>
      <c r="QIZ39" s="48"/>
      <c r="QJA39" s="48"/>
      <c r="QJB39" s="48"/>
      <c r="QJC39" s="48"/>
      <c r="QJD39" s="48"/>
      <c r="QJE39" s="48"/>
      <c r="QJF39" s="48"/>
      <c r="QJG39" s="48"/>
      <c r="QJH39" s="48"/>
      <c r="QJI39" s="48"/>
      <c r="QJJ39" s="48"/>
      <c r="QJK39" s="48"/>
      <c r="QJL39" s="48"/>
      <c r="QJM39" s="48"/>
      <c r="QJN39" s="48"/>
      <c r="QJO39" s="45"/>
      <c r="QJP39" s="46"/>
      <c r="QJQ39" s="46"/>
      <c r="QJR39" s="47"/>
      <c r="QJS39" s="48"/>
      <c r="QJT39" s="48"/>
      <c r="QJU39" s="48"/>
      <c r="QJV39" s="48"/>
      <c r="QJW39" s="48"/>
      <c r="QJX39" s="48"/>
      <c r="QJY39" s="48"/>
      <c r="QJZ39" s="48"/>
      <c r="QKA39" s="48"/>
      <c r="QKB39" s="48"/>
      <c r="QKC39" s="48"/>
      <c r="QKD39" s="48"/>
      <c r="QKE39" s="48"/>
      <c r="QKF39" s="48"/>
      <c r="QKG39" s="48"/>
      <c r="QKH39" s="48"/>
      <c r="QKI39" s="48"/>
      <c r="QKJ39" s="48"/>
      <c r="QKK39" s="45"/>
      <c r="QKL39" s="46"/>
      <c r="QKM39" s="46"/>
      <c r="QKN39" s="47"/>
      <c r="QKO39" s="48"/>
      <c r="QKP39" s="48"/>
      <c r="QKQ39" s="48"/>
      <c r="QKR39" s="48"/>
      <c r="QKS39" s="48"/>
      <c r="QKT39" s="48"/>
      <c r="QKU39" s="48"/>
      <c r="QKV39" s="48"/>
      <c r="QKW39" s="48"/>
      <c r="QKX39" s="48"/>
      <c r="QKY39" s="48"/>
      <c r="QKZ39" s="48"/>
      <c r="QLA39" s="48"/>
      <c r="QLB39" s="48"/>
      <c r="QLC39" s="48"/>
      <c r="QLD39" s="48"/>
      <c r="QLE39" s="48"/>
      <c r="QLF39" s="48"/>
      <c r="QLG39" s="45"/>
      <c r="QLH39" s="46"/>
      <c r="QLI39" s="46"/>
      <c r="QLJ39" s="47"/>
      <c r="QLK39" s="48"/>
      <c r="QLL39" s="48"/>
      <c r="QLM39" s="48"/>
      <c r="QLN39" s="48"/>
      <c r="QLO39" s="48"/>
      <c r="QLP39" s="48"/>
      <c r="QLQ39" s="48"/>
      <c r="QLR39" s="48"/>
      <c r="QLS39" s="48"/>
      <c r="QLT39" s="48"/>
      <c r="QLU39" s="48"/>
      <c r="QLV39" s="48"/>
      <c r="QLW39" s="48"/>
      <c r="QLX39" s="48"/>
      <c r="QLY39" s="48"/>
      <c r="QLZ39" s="48"/>
      <c r="QMA39" s="48"/>
      <c r="QMB39" s="48"/>
      <c r="QMC39" s="45"/>
      <c r="QMD39" s="46"/>
      <c r="QME39" s="46"/>
      <c r="QMF39" s="47"/>
      <c r="QMG39" s="48"/>
      <c r="QMH39" s="48"/>
      <c r="QMI39" s="48"/>
      <c r="QMJ39" s="48"/>
      <c r="QMK39" s="48"/>
      <c r="QML39" s="48"/>
      <c r="QMM39" s="48"/>
      <c r="QMN39" s="48"/>
      <c r="QMO39" s="48"/>
      <c r="QMP39" s="48"/>
      <c r="QMQ39" s="48"/>
      <c r="QMR39" s="48"/>
      <c r="QMS39" s="48"/>
      <c r="QMT39" s="48"/>
      <c r="QMU39" s="48"/>
      <c r="QMV39" s="48"/>
      <c r="QMW39" s="48"/>
      <c r="QMX39" s="48"/>
      <c r="QMY39" s="45"/>
      <c r="QMZ39" s="46"/>
      <c r="QNA39" s="46"/>
      <c r="QNB39" s="47"/>
      <c r="QNC39" s="48"/>
      <c r="QND39" s="48"/>
      <c r="QNE39" s="48"/>
      <c r="QNF39" s="48"/>
      <c r="QNG39" s="48"/>
      <c r="QNH39" s="48"/>
      <c r="QNI39" s="48"/>
      <c r="QNJ39" s="48"/>
      <c r="QNK39" s="48"/>
      <c r="QNL39" s="48"/>
      <c r="QNM39" s="48"/>
      <c r="QNN39" s="48"/>
      <c r="QNO39" s="48"/>
      <c r="QNP39" s="48"/>
      <c r="QNQ39" s="48"/>
      <c r="QNR39" s="48"/>
      <c r="QNS39" s="48"/>
      <c r="QNT39" s="48"/>
      <c r="QNU39" s="45"/>
      <c r="QNV39" s="46"/>
      <c r="QNW39" s="46"/>
      <c r="QNX39" s="47"/>
      <c r="QNY39" s="48"/>
      <c r="QNZ39" s="48"/>
      <c r="QOA39" s="48"/>
      <c r="QOB39" s="48"/>
      <c r="QOC39" s="48"/>
      <c r="QOD39" s="48"/>
      <c r="QOE39" s="48"/>
      <c r="QOF39" s="48"/>
      <c r="QOG39" s="48"/>
      <c r="QOH39" s="48"/>
      <c r="QOI39" s="48"/>
      <c r="QOJ39" s="48"/>
      <c r="QOK39" s="48"/>
      <c r="QOL39" s="48"/>
      <c r="QOM39" s="48"/>
      <c r="QON39" s="48"/>
      <c r="QOO39" s="48"/>
      <c r="QOP39" s="48"/>
      <c r="QOQ39" s="45"/>
      <c r="QOR39" s="46"/>
      <c r="QOS39" s="46"/>
      <c r="QOT39" s="47"/>
      <c r="QOU39" s="48"/>
      <c r="QOV39" s="48"/>
      <c r="QOW39" s="48"/>
      <c r="QOX39" s="48"/>
      <c r="QOY39" s="48"/>
      <c r="QOZ39" s="48"/>
      <c r="QPA39" s="48"/>
      <c r="QPB39" s="48"/>
      <c r="QPC39" s="48"/>
      <c r="QPD39" s="48"/>
      <c r="QPE39" s="48"/>
      <c r="QPF39" s="48"/>
      <c r="QPG39" s="48"/>
      <c r="QPH39" s="48"/>
      <c r="QPI39" s="48"/>
      <c r="QPJ39" s="48"/>
      <c r="QPK39" s="48"/>
      <c r="QPL39" s="48"/>
      <c r="QPM39" s="45"/>
      <c r="QPN39" s="46"/>
      <c r="QPO39" s="46"/>
      <c r="QPP39" s="47"/>
      <c r="QPQ39" s="48"/>
      <c r="QPR39" s="48"/>
      <c r="QPS39" s="48"/>
      <c r="QPT39" s="48"/>
      <c r="QPU39" s="48"/>
      <c r="QPV39" s="48"/>
      <c r="QPW39" s="48"/>
      <c r="QPX39" s="48"/>
      <c r="QPY39" s="48"/>
      <c r="QPZ39" s="48"/>
      <c r="QQA39" s="48"/>
      <c r="QQB39" s="48"/>
      <c r="QQC39" s="48"/>
      <c r="QQD39" s="48"/>
      <c r="QQE39" s="48"/>
      <c r="QQF39" s="48"/>
      <c r="QQG39" s="48"/>
      <c r="QQH39" s="48"/>
      <c r="QQI39" s="45"/>
      <c r="QQJ39" s="46"/>
      <c r="QQK39" s="46"/>
      <c r="QQL39" s="47"/>
      <c r="QQM39" s="48"/>
      <c r="QQN39" s="48"/>
      <c r="QQO39" s="48"/>
      <c r="QQP39" s="48"/>
      <c r="QQQ39" s="48"/>
      <c r="QQR39" s="48"/>
      <c r="QQS39" s="48"/>
      <c r="QQT39" s="48"/>
      <c r="QQU39" s="48"/>
      <c r="QQV39" s="48"/>
      <c r="QQW39" s="48"/>
      <c r="QQX39" s="48"/>
      <c r="QQY39" s="48"/>
      <c r="QQZ39" s="48"/>
      <c r="QRA39" s="48"/>
      <c r="QRB39" s="48"/>
      <c r="QRC39" s="48"/>
      <c r="QRD39" s="48"/>
      <c r="QRE39" s="45"/>
      <c r="QRF39" s="46"/>
      <c r="QRG39" s="46"/>
      <c r="QRH39" s="47"/>
      <c r="QRI39" s="48"/>
      <c r="QRJ39" s="48"/>
      <c r="QRK39" s="48"/>
      <c r="QRL39" s="48"/>
      <c r="QRM39" s="48"/>
      <c r="QRN39" s="48"/>
      <c r="QRO39" s="48"/>
      <c r="QRP39" s="48"/>
      <c r="QRQ39" s="48"/>
      <c r="QRR39" s="48"/>
      <c r="QRS39" s="48"/>
      <c r="QRT39" s="48"/>
      <c r="QRU39" s="48"/>
      <c r="QRV39" s="48"/>
      <c r="QRW39" s="48"/>
      <c r="QRX39" s="48"/>
      <c r="QRY39" s="48"/>
      <c r="QRZ39" s="48"/>
      <c r="QSA39" s="45"/>
      <c r="QSB39" s="46"/>
      <c r="QSC39" s="46"/>
      <c r="QSD39" s="47"/>
      <c r="QSE39" s="48"/>
      <c r="QSF39" s="48"/>
      <c r="QSG39" s="48"/>
      <c r="QSH39" s="48"/>
      <c r="QSI39" s="48"/>
      <c r="QSJ39" s="48"/>
      <c r="QSK39" s="48"/>
      <c r="QSL39" s="48"/>
      <c r="QSM39" s="48"/>
      <c r="QSN39" s="48"/>
      <c r="QSO39" s="48"/>
      <c r="QSP39" s="48"/>
      <c r="QSQ39" s="48"/>
      <c r="QSR39" s="48"/>
      <c r="QSS39" s="48"/>
      <c r="QST39" s="48"/>
      <c r="QSU39" s="48"/>
      <c r="QSV39" s="48"/>
      <c r="QSW39" s="45"/>
      <c r="QSX39" s="46"/>
      <c r="QSY39" s="46"/>
      <c r="QSZ39" s="47"/>
      <c r="QTA39" s="48"/>
      <c r="QTB39" s="48"/>
      <c r="QTC39" s="48"/>
      <c r="QTD39" s="48"/>
      <c r="QTE39" s="48"/>
      <c r="QTF39" s="48"/>
      <c r="QTG39" s="48"/>
      <c r="QTH39" s="48"/>
      <c r="QTI39" s="48"/>
      <c r="QTJ39" s="48"/>
      <c r="QTK39" s="48"/>
      <c r="QTL39" s="48"/>
      <c r="QTM39" s="48"/>
      <c r="QTN39" s="48"/>
      <c r="QTO39" s="48"/>
      <c r="QTP39" s="48"/>
      <c r="QTQ39" s="48"/>
      <c r="QTR39" s="48"/>
      <c r="QTS39" s="45"/>
      <c r="QTT39" s="46"/>
      <c r="QTU39" s="46"/>
      <c r="QTV39" s="47"/>
      <c r="QTW39" s="48"/>
      <c r="QTX39" s="48"/>
      <c r="QTY39" s="48"/>
      <c r="QTZ39" s="48"/>
      <c r="QUA39" s="48"/>
      <c r="QUB39" s="48"/>
      <c r="QUC39" s="48"/>
      <c r="QUD39" s="48"/>
      <c r="QUE39" s="48"/>
      <c r="QUF39" s="48"/>
      <c r="QUG39" s="48"/>
      <c r="QUH39" s="48"/>
      <c r="QUI39" s="48"/>
      <c r="QUJ39" s="48"/>
      <c r="QUK39" s="48"/>
      <c r="QUL39" s="48"/>
      <c r="QUM39" s="48"/>
      <c r="QUN39" s="48"/>
      <c r="QUO39" s="45"/>
      <c r="QUP39" s="46"/>
      <c r="QUQ39" s="46"/>
      <c r="QUR39" s="47"/>
      <c r="QUS39" s="48"/>
      <c r="QUT39" s="48"/>
      <c r="QUU39" s="48"/>
      <c r="QUV39" s="48"/>
      <c r="QUW39" s="48"/>
      <c r="QUX39" s="48"/>
      <c r="QUY39" s="48"/>
      <c r="QUZ39" s="48"/>
      <c r="QVA39" s="48"/>
      <c r="QVB39" s="48"/>
      <c r="QVC39" s="48"/>
      <c r="QVD39" s="48"/>
      <c r="QVE39" s="48"/>
      <c r="QVF39" s="48"/>
      <c r="QVG39" s="48"/>
      <c r="QVH39" s="48"/>
      <c r="QVI39" s="48"/>
      <c r="QVJ39" s="48"/>
      <c r="QVK39" s="45"/>
      <c r="QVL39" s="46"/>
      <c r="QVM39" s="46"/>
      <c r="QVN39" s="47"/>
      <c r="QVO39" s="48"/>
      <c r="QVP39" s="48"/>
      <c r="QVQ39" s="48"/>
      <c r="QVR39" s="48"/>
      <c r="QVS39" s="48"/>
      <c r="QVT39" s="48"/>
      <c r="QVU39" s="48"/>
      <c r="QVV39" s="48"/>
      <c r="QVW39" s="48"/>
      <c r="QVX39" s="48"/>
      <c r="QVY39" s="48"/>
      <c r="QVZ39" s="48"/>
      <c r="QWA39" s="48"/>
      <c r="QWB39" s="48"/>
      <c r="QWC39" s="48"/>
      <c r="QWD39" s="48"/>
      <c r="QWE39" s="48"/>
      <c r="QWF39" s="48"/>
      <c r="QWG39" s="45"/>
      <c r="QWH39" s="46"/>
      <c r="QWI39" s="46"/>
      <c r="QWJ39" s="47"/>
      <c r="QWK39" s="48"/>
      <c r="QWL39" s="48"/>
      <c r="QWM39" s="48"/>
      <c r="QWN39" s="48"/>
      <c r="QWO39" s="48"/>
      <c r="QWP39" s="48"/>
      <c r="QWQ39" s="48"/>
      <c r="QWR39" s="48"/>
      <c r="QWS39" s="48"/>
      <c r="QWT39" s="48"/>
      <c r="QWU39" s="48"/>
      <c r="QWV39" s="48"/>
      <c r="QWW39" s="48"/>
      <c r="QWX39" s="48"/>
      <c r="QWY39" s="48"/>
      <c r="QWZ39" s="48"/>
      <c r="QXA39" s="48"/>
      <c r="QXB39" s="48"/>
      <c r="QXC39" s="45"/>
      <c r="QXD39" s="46"/>
      <c r="QXE39" s="46"/>
      <c r="QXF39" s="47"/>
      <c r="QXG39" s="48"/>
      <c r="QXH39" s="48"/>
      <c r="QXI39" s="48"/>
      <c r="QXJ39" s="48"/>
      <c r="QXK39" s="48"/>
      <c r="QXL39" s="48"/>
      <c r="QXM39" s="48"/>
      <c r="QXN39" s="48"/>
      <c r="QXO39" s="48"/>
      <c r="QXP39" s="48"/>
      <c r="QXQ39" s="48"/>
      <c r="QXR39" s="48"/>
      <c r="QXS39" s="48"/>
      <c r="QXT39" s="48"/>
      <c r="QXU39" s="48"/>
      <c r="QXV39" s="48"/>
      <c r="QXW39" s="48"/>
      <c r="QXX39" s="48"/>
      <c r="QXY39" s="45"/>
      <c r="QXZ39" s="46"/>
      <c r="QYA39" s="46"/>
      <c r="QYB39" s="47"/>
      <c r="QYC39" s="48"/>
      <c r="QYD39" s="48"/>
      <c r="QYE39" s="48"/>
      <c r="QYF39" s="48"/>
      <c r="QYG39" s="48"/>
      <c r="QYH39" s="48"/>
      <c r="QYI39" s="48"/>
      <c r="QYJ39" s="48"/>
      <c r="QYK39" s="48"/>
      <c r="QYL39" s="48"/>
      <c r="QYM39" s="48"/>
      <c r="QYN39" s="48"/>
      <c r="QYO39" s="48"/>
      <c r="QYP39" s="48"/>
      <c r="QYQ39" s="48"/>
      <c r="QYR39" s="48"/>
      <c r="QYS39" s="48"/>
      <c r="QYT39" s="48"/>
      <c r="QYU39" s="45"/>
      <c r="QYV39" s="46"/>
      <c r="QYW39" s="46"/>
      <c r="QYX39" s="47"/>
      <c r="QYY39" s="48"/>
      <c r="QYZ39" s="48"/>
      <c r="QZA39" s="48"/>
      <c r="QZB39" s="48"/>
      <c r="QZC39" s="48"/>
      <c r="QZD39" s="48"/>
      <c r="QZE39" s="48"/>
      <c r="QZF39" s="48"/>
      <c r="QZG39" s="48"/>
      <c r="QZH39" s="48"/>
      <c r="QZI39" s="48"/>
      <c r="QZJ39" s="48"/>
      <c r="QZK39" s="48"/>
      <c r="QZL39" s="48"/>
      <c r="QZM39" s="48"/>
      <c r="QZN39" s="48"/>
      <c r="QZO39" s="48"/>
      <c r="QZP39" s="48"/>
      <c r="QZQ39" s="45"/>
      <c r="QZR39" s="46"/>
      <c r="QZS39" s="46"/>
      <c r="QZT39" s="47"/>
      <c r="QZU39" s="48"/>
      <c r="QZV39" s="48"/>
      <c r="QZW39" s="48"/>
      <c r="QZX39" s="48"/>
      <c r="QZY39" s="48"/>
      <c r="QZZ39" s="48"/>
      <c r="RAA39" s="48"/>
      <c r="RAB39" s="48"/>
      <c r="RAC39" s="48"/>
      <c r="RAD39" s="48"/>
      <c r="RAE39" s="48"/>
      <c r="RAF39" s="48"/>
      <c r="RAG39" s="48"/>
      <c r="RAH39" s="48"/>
      <c r="RAI39" s="48"/>
      <c r="RAJ39" s="48"/>
      <c r="RAK39" s="48"/>
      <c r="RAL39" s="48"/>
      <c r="RAM39" s="45"/>
      <c r="RAN39" s="46"/>
      <c r="RAO39" s="46"/>
      <c r="RAP39" s="47"/>
      <c r="RAQ39" s="48"/>
      <c r="RAR39" s="48"/>
      <c r="RAS39" s="48"/>
      <c r="RAT39" s="48"/>
      <c r="RAU39" s="48"/>
      <c r="RAV39" s="48"/>
      <c r="RAW39" s="48"/>
      <c r="RAX39" s="48"/>
      <c r="RAY39" s="48"/>
      <c r="RAZ39" s="48"/>
      <c r="RBA39" s="48"/>
      <c r="RBB39" s="48"/>
      <c r="RBC39" s="48"/>
      <c r="RBD39" s="48"/>
      <c r="RBE39" s="48"/>
      <c r="RBF39" s="48"/>
      <c r="RBG39" s="48"/>
      <c r="RBH39" s="48"/>
      <c r="RBI39" s="45"/>
      <c r="RBJ39" s="46"/>
      <c r="RBK39" s="46"/>
      <c r="RBL39" s="47"/>
      <c r="RBM39" s="48"/>
      <c r="RBN39" s="48"/>
      <c r="RBO39" s="48"/>
      <c r="RBP39" s="48"/>
      <c r="RBQ39" s="48"/>
      <c r="RBR39" s="48"/>
      <c r="RBS39" s="48"/>
      <c r="RBT39" s="48"/>
      <c r="RBU39" s="48"/>
      <c r="RBV39" s="48"/>
      <c r="RBW39" s="48"/>
      <c r="RBX39" s="48"/>
      <c r="RBY39" s="48"/>
      <c r="RBZ39" s="48"/>
      <c r="RCA39" s="48"/>
      <c r="RCB39" s="48"/>
      <c r="RCC39" s="48"/>
      <c r="RCD39" s="48"/>
      <c r="RCE39" s="45"/>
      <c r="RCF39" s="46"/>
      <c r="RCG39" s="46"/>
      <c r="RCH39" s="47"/>
      <c r="RCI39" s="48"/>
      <c r="RCJ39" s="48"/>
      <c r="RCK39" s="48"/>
      <c r="RCL39" s="48"/>
      <c r="RCM39" s="48"/>
      <c r="RCN39" s="48"/>
      <c r="RCO39" s="48"/>
      <c r="RCP39" s="48"/>
      <c r="RCQ39" s="48"/>
      <c r="RCR39" s="48"/>
      <c r="RCS39" s="48"/>
      <c r="RCT39" s="48"/>
      <c r="RCU39" s="48"/>
      <c r="RCV39" s="48"/>
      <c r="RCW39" s="48"/>
      <c r="RCX39" s="48"/>
      <c r="RCY39" s="48"/>
      <c r="RCZ39" s="48"/>
      <c r="RDA39" s="45"/>
      <c r="RDB39" s="46"/>
      <c r="RDC39" s="46"/>
      <c r="RDD39" s="47"/>
      <c r="RDE39" s="48"/>
      <c r="RDF39" s="48"/>
      <c r="RDG39" s="48"/>
      <c r="RDH39" s="48"/>
      <c r="RDI39" s="48"/>
      <c r="RDJ39" s="48"/>
      <c r="RDK39" s="48"/>
      <c r="RDL39" s="48"/>
      <c r="RDM39" s="48"/>
      <c r="RDN39" s="48"/>
      <c r="RDO39" s="48"/>
      <c r="RDP39" s="48"/>
      <c r="RDQ39" s="48"/>
      <c r="RDR39" s="48"/>
      <c r="RDS39" s="48"/>
      <c r="RDT39" s="48"/>
      <c r="RDU39" s="48"/>
      <c r="RDV39" s="48"/>
      <c r="RDW39" s="45"/>
      <c r="RDX39" s="46"/>
      <c r="RDY39" s="46"/>
      <c r="RDZ39" s="47"/>
      <c r="REA39" s="48"/>
      <c r="REB39" s="48"/>
      <c r="REC39" s="48"/>
      <c r="RED39" s="48"/>
      <c r="REE39" s="48"/>
      <c r="REF39" s="48"/>
      <c r="REG39" s="48"/>
      <c r="REH39" s="48"/>
      <c r="REI39" s="48"/>
      <c r="REJ39" s="48"/>
      <c r="REK39" s="48"/>
      <c r="REL39" s="48"/>
      <c r="REM39" s="48"/>
      <c r="REN39" s="48"/>
      <c r="REO39" s="48"/>
      <c r="REP39" s="48"/>
      <c r="REQ39" s="48"/>
      <c r="RER39" s="48"/>
      <c r="RES39" s="45"/>
      <c r="RET39" s="46"/>
      <c r="REU39" s="46"/>
      <c r="REV39" s="47"/>
      <c r="REW39" s="48"/>
      <c r="REX39" s="48"/>
      <c r="REY39" s="48"/>
      <c r="REZ39" s="48"/>
      <c r="RFA39" s="48"/>
      <c r="RFB39" s="48"/>
      <c r="RFC39" s="48"/>
      <c r="RFD39" s="48"/>
      <c r="RFE39" s="48"/>
      <c r="RFF39" s="48"/>
      <c r="RFG39" s="48"/>
      <c r="RFH39" s="48"/>
      <c r="RFI39" s="48"/>
      <c r="RFJ39" s="48"/>
      <c r="RFK39" s="48"/>
      <c r="RFL39" s="48"/>
      <c r="RFM39" s="48"/>
      <c r="RFN39" s="48"/>
      <c r="RFO39" s="45"/>
      <c r="RFP39" s="46"/>
      <c r="RFQ39" s="46"/>
      <c r="RFR39" s="47"/>
      <c r="RFS39" s="48"/>
      <c r="RFT39" s="48"/>
      <c r="RFU39" s="48"/>
      <c r="RFV39" s="48"/>
      <c r="RFW39" s="48"/>
      <c r="RFX39" s="48"/>
      <c r="RFY39" s="48"/>
      <c r="RFZ39" s="48"/>
      <c r="RGA39" s="48"/>
      <c r="RGB39" s="48"/>
      <c r="RGC39" s="48"/>
      <c r="RGD39" s="48"/>
      <c r="RGE39" s="48"/>
      <c r="RGF39" s="48"/>
      <c r="RGG39" s="48"/>
      <c r="RGH39" s="48"/>
      <c r="RGI39" s="48"/>
      <c r="RGJ39" s="48"/>
      <c r="RGK39" s="45"/>
      <c r="RGL39" s="46"/>
      <c r="RGM39" s="46"/>
      <c r="RGN39" s="47"/>
      <c r="RGO39" s="48"/>
      <c r="RGP39" s="48"/>
      <c r="RGQ39" s="48"/>
      <c r="RGR39" s="48"/>
      <c r="RGS39" s="48"/>
      <c r="RGT39" s="48"/>
      <c r="RGU39" s="48"/>
      <c r="RGV39" s="48"/>
      <c r="RGW39" s="48"/>
      <c r="RGX39" s="48"/>
      <c r="RGY39" s="48"/>
      <c r="RGZ39" s="48"/>
      <c r="RHA39" s="48"/>
      <c r="RHB39" s="48"/>
      <c r="RHC39" s="48"/>
      <c r="RHD39" s="48"/>
      <c r="RHE39" s="48"/>
      <c r="RHF39" s="48"/>
      <c r="RHG39" s="45"/>
      <c r="RHH39" s="46"/>
      <c r="RHI39" s="46"/>
      <c r="RHJ39" s="47"/>
      <c r="RHK39" s="48"/>
      <c r="RHL39" s="48"/>
      <c r="RHM39" s="48"/>
      <c r="RHN39" s="48"/>
      <c r="RHO39" s="48"/>
      <c r="RHP39" s="48"/>
      <c r="RHQ39" s="48"/>
      <c r="RHR39" s="48"/>
      <c r="RHS39" s="48"/>
      <c r="RHT39" s="48"/>
      <c r="RHU39" s="48"/>
      <c r="RHV39" s="48"/>
      <c r="RHW39" s="48"/>
      <c r="RHX39" s="48"/>
      <c r="RHY39" s="48"/>
      <c r="RHZ39" s="48"/>
      <c r="RIA39" s="48"/>
      <c r="RIB39" s="48"/>
      <c r="RIC39" s="45"/>
      <c r="RID39" s="46"/>
      <c r="RIE39" s="46"/>
      <c r="RIF39" s="47"/>
      <c r="RIG39" s="48"/>
      <c r="RIH39" s="48"/>
      <c r="RII39" s="48"/>
      <c r="RIJ39" s="48"/>
      <c r="RIK39" s="48"/>
      <c r="RIL39" s="48"/>
      <c r="RIM39" s="48"/>
      <c r="RIN39" s="48"/>
      <c r="RIO39" s="48"/>
      <c r="RIP39" s="48"/>
      <c r="RIQ39" s="48"/>
      <c r="RIR39" s="48"/>
      <c r="RIS39" s="48"/>
      <c r="RIT39" s="48"/>
      <c r="RIU39" s="48"/>
      <c r="RIV39" s="48"/>
      <c r="RIW39" s="48"/>
      <c r="RIX39" s="48"/>
      <c r="RIY39" s="45"/>
      <c r="RIZ39" s="46"/>
      <c r="RJA39" s="46"/>
      <c r="RJB39" s="47"/>
      <c r="RJC39" s="48"/>
      <c r="RJD39" s="48"/>
      <c r="RJE39" s="48"/>
      <c r="RJF39" s="48"/>
      <c r="RJG39" s="48"/>
      <c r="RJH39" s="48"/>
      <c r="RJI39" s="48"/>
      <c r="RJJ39" s="48"/>
      <c r="RJK39" s="48"/>
      <c r="RJL39" s="48"/>
      <c r="RJM39" s="48"/>
      <c r="RJN39" s="48"/>
      <c r="RJO39" s="48"/>
      <c r="RJP39" s="48"/>
      <c r="RJQ39" s="48"/>
      <c r="RJR39" s="48"/>
      <c r="RJS39" s="48"/>
      <c r="RJT39" s="48"/>
      <c r="RJU39" s="45"/>
      <c r="RJV39" s="46"/>
      <c r="RJW39" s="46"/>
      <c r="RJX39" s="47"/>
      <c r="RJY39" s="48"/>
      <c r="RJZ39" s="48"/>
      <c r="RKA39" s="48"/>
      <c r="RKB39" s="48"/>
      <c r="RKC39" s="48"/>
      <c r="RKD39" s="48"/>
      <c r="RKE39" s="48"/>
      <c r="RKF39" s="48"/>
      <c r="RKG39" s="48"/>
      <c r="RKH39" s="48"/>
      <c r="RKI39" s="48"/>
      <c r="RKJ39" s="48"/>
      <c r="RKK39" s="48"/>
      <c r="RKL39" s="48"/>
      <c r="RKM39" s="48"/>
      <c r="RKN39" s="48"/>
      <c r="RKO39" s="48"/>
      <c r="RKP39" s="48"/>
      <c r="RKQ39" s="45"/>
      <c r="RKR39" s="46"/>
      <c r="RKS39" s="46"/>
      <c r="RKT39" s="47"/>
      <c r="RKU39" s="48"/>
      <c r="RKV39" s="48"/>
      <c r="RKW39" s="48"/>
      <c r="RKX39" s="48"/>
      <c r="RKY39" s="48"/>
      <c r="RKZ39" s="48"/>
      <c r="RLA39" s="48"/>
      <c r="RLB39" s="48"/>
      <c r="RLC39" s="48"/>
      <c r="RLD39" s="48"/>
      <c r="RLE39" s="48"/>
      <c r="RLF39" s="48"/>
      <c r="RLG39" s="48"/>
      <c r="RLH39" s="48"/>
      <c r="RLI39" s="48"/>
      <c r="RLJ39" s="48"/>
      <c r="RLK39" s="48"/>
      <c r="RLL39" s="48"/>
      <c r="RLM39" s="45"/>
      <c r="RLN39" s="46"/>
      <c r="RLO39" s="46"/>
      <c r="RLP39" s="47"/>
      <c r="RLQ39" s="48"/>
      <c r="RLR39" s="48"/>
      <c r="RLS39" s="48"/>
      <c r="RLT39" s="48"/>
      <c r="RLU39" s="48"/>
      <c r="RLV39" s="48"/>
      <c r="RLW39" s="48"/>
      <c r="RLX39" s="48"/>
      <c r="RLY39" s="48"/>
      <c r="RLZ39" s="48"/>
      <c r="RMA39" s="48"/>
      <c r="RMB39" s="48"/>
      <c r="RMC39" s="48"/>
      <c r="RMD39" s="48"/>
      <c r="RME39" s="48"/>
      <c r="RMF39" s="48"/>
      <c r="RMG39" s="48"/>
      <c r="RMH39" s="48"/>
      <c r="RMI39" s="45"/>
      <c r="RMJ39" s="46"/>
      <c r="RMK39" s="46"/>
      <c r="RML39" s="47"/>
      <c r="RMM39" s="48"/>
      <c r="RMN39" s="48"/>
      <c r="RMO39" s="48"/>
      <c r="RMP39" s="48"/>
      <c r="RMQ39" s="48"/>
      <c r="RMR39" s="48"/>
      <c r="RMS39" s="48"/>
      <c r="RMT39" s="48"/>
      <c r="RMU39" s="48"/>
      <c r="RMV39" s="48"/>
      <c r="RMW39" s="48"/>
      <c r="RMX39" s="48"/>
      <c r="RMY39" s="48"/>
      <c r="RMZ39" s="48"/>
      <c r="RNA39" s="48"/>
      <c r="RNB39" s="48"/>
      <c r="RNC39" s="48"/>
      <c r="RND39" s="48"/>
      <c r="RNE39" s="45"/>
      <c r="RNF39" s="46"/>
      <c r="RNG39" s="46"/>
      <c r="RNH39" s="47"/>
      <c r="RNI39" s="48"/>
      <c r="RNJ39" s="48"/>
      <c r="RNK39" s="48"/>
      <c r="RNL39" s="48"/>
      <c r="RNM39" s="48"/>
      <c r="RNN39" s="48"/>
      <c r="RNO39" s="48"/>
      <c r="RNP39" s="48"/>
      <c r="RNQ39" s="48"/>
      <c r="RNR39" s="48"/>
      <c r="RNS39" s="48"/>
      <c r="RNT39" s="48"/>
      <c r="RNU39" s="48"/>
      <c r="RNV39" s="48"/>
      <c r="RNW39" s="48"/>
      <c r="RNX39" s="48"/>
      <c r="RNY39" s="48"/>
      <c r="RNZ39" s="48"/>
      <c r="ROA39" s="45"/>
      <c r="ROB39" s="46"/>
      <c r="ROC39" s="46"/>
      <c r="ROD39" s="47"/>
      <c r="ROE39" s="48"/>
      <c r="ROF39" s="48"/>
      <c r="ROG39" s="48"/>
      <c r="ROH39" s="48"/>
      <c r="ROI39" s="48"/>
      <c r="ROJ39" s="48"/>
      <c r="ROK39" s="48"/>
      <c r="ROL39" s="48"/>
      <c r="ROM39" s="48"/>
      <c r="RON39" s="48"/>
      <c r="ROO39" s="48"/>
      <c r="ROP39" s="48"/>
      <c r="ROQ39" s="48"/>
      <c r="ROR39" s="48"/>
      <c r="ROS39" s="48"/>
      <c r="ROT39" s="48"/>
      <c r="ROU39" s="48"/>
      <c r="ROV39" s="48"/>
      <c r="ROW39" s="45"/>
      <c r="ROX39" s="46"/>
      <c r="ROY39" s="46"/>
      <c r="ROZ39" s="47"/>
      <c r="RPA39" s="48"/>
      <c r="RPB39" s="48"/>
      <c r="RPC39" s="48"/>
      <c r="RPD39" s="48"/>
      <c r="RPE39" s="48"/>
      <c r="RPF39" s="48"/>
      <c r="RPG39" s="48"/>
      <c r="RPH39" s="48"/>
      <c r="RPI39" s="48"/>
      <c r="RPJ39" s="48"/>
      <c r="RPK39" s="48"/>
      <c r="RPL39" s="48"/>
      <c r="RPM39" s="48"/>
      <c r="RPN39" s="48"/>
      <c r="RPO39" s="48"/>
      <c r="RPP39" s="48"/>
      <c r="RPQ39" s="48"/>
      <c r="RPR39" s="48"/>
      <c r="RPS39" s="45"/>
      <c r="RPT39" s="46"/>
      <c r="RPU39" s="46"/>
      <c r="RPV39" s="47"/>
      <c r="RPW39" s="48"/>
      <c r="RPX39" s="48"/>
      <c r="RPY39" s="48"/>
      <c r="RPZ39" s="48"/>
      <c r="RQA39" s="48"/>
      <c r="RQB39" s="48"/>
      <c r="RQC39" s="48"/>
      <c r="RQD39" s="48"/>
      <c r="RQE39" s="48"/>
      <c r="RQF39" s="48"/>
      <c r="RQG39" s="48"/>
      <c r="RQH39" s="48"/>
      <c r="RQI39" s="48"/>
      <c r="RQJ39" s="48"/>
      <c r="RQK39" s="48"/>
      <c r="RQL39" s="48"/>
      <c r="RQM39" s="48"/>
      <c r="RQN39" s="48"/>
      <c r="RQO39" s="45"/>
      <c r="RQP39" s="46"/>
      <c r="RQQ39" s="46"/>
      <c r="RQR39" s="47"/>
      <c r="RQS39" s="48"/>
      <c r="RQT39" s="48"/>
      <c r="RQU39" s="48"/>
      <c r="RQV39" s="48"/>
      <c r="RQW39" s="48"/>
      <c r="RQX39" s="48"/>
      <c r="RQY39" s="48"/>
      <c r="RQZ39" s="48"/>
      <c r="RRA39" s="48"/>
      <c r="RRB39" s="48"/>
      <c r="RRC39" s="48"/>
      <c r="RRD39" s="48"/>
      <c r="RRE39" s="48"/>
      <c r="RRF39" s="48"/>
      <c r="RRG39" s="48"/>
      <c r="RRH39" s="48"/>
      <c r="RRI39" s="48"/>
      <c r="RRJ39" s="48"/>
      <c r="RRK39" s="45"/>
      <c r="RRL39" s="46"/>
      <c r="RRM39" s="46"/>
      <c r="RRN39" s="47"/>
      <c r="RRO39" s="48"/>
      <c r="RRP39" s="48"/>
      <c r="RRQ39" s="48"/>
      <c r="RRR39" s="48"/>
      <c r="RRS39" s="48"/>
      <c r="RRT39" s="48"/>
      <c r="RRU39" s="48"/>
      <c r="RRV39" s="48"/>
      <c r="RRW39" s="48"/>
      <c r="RRX39" s="48"/>
      <c r="RRY39" s="48"/>
      <c r="RRZ39" s="48"/>
      <c r="RSA39" s="48"/>
      <c r="RSB39" s="48"/>
      <c r="RSC39" s="48"/>
      <c r="RSD39" s="48"/>
      <c r="RSE39" s="48"/>
      <c r="RSF39" s="48"/>
      <c r="RSG39" s="45"/>
      <c r="RSH39" s="46"/>
      <c r="RSI39" s="46"/>
      <c r="RSJ39" s="47"/>
      <c r="RSK39" s="48"/>
      <c r="RSL39" s="48"/>
      <c r="RSM39" s="48"/>
      <c r="RSN39" s="48"/>
      <c r="RSO39" s="48"/>
      <c r="RSP39" s="48"/>
      <c r="RSQ39" s="48"/>
      <c r="RSR39" s="48"/>
      <c r="RSS39" s="48"/>
      <c r="RST39" s="48"/>
      <c r="RSU39" s="48"/>
      <c r="RSV39" s="48"/>
      <c r="RSW39" s="48"/>
      <c r="RSX39" s="48"/>
      <c r="RSY39" s="48"/>
      <c r="RSZ39" s="48"/>
      <c r="RTA39" s="48"/>
      <c r="RTB39" s="48"/>
      <c r="RTC39" s="45"/>
      <c r="RTD39" s="46"/>
      <c r="RTE39" s="46"/>
      <c r="RTF39" s="47"/>
      <c r="RTG39" s="48"/>
      <c r="RTH39" s="48"/>
      <c r="RTI39" s="48"/>
      <c r="RTJ39" s="48"/>
      <c r="RTK39" s="48"/>
      <c r="RTL39" s="48"/>
      <c r="RTM39" s="48"/>
      <c r="RTN39" s="48"/>
      <c r="RTO39" s="48"/>
      <c r="RTP39" s="48"/>
      <c r="RTQ39" s="48"/>
      <c r="RTR39" s="48"/>
      <c r="RTS39" s="48"/>
      <c r="RTT39" s="48"/>
      <c r="RTU39" s="48"/>
      <c r="RTV39" s="48"/>
      <c r="RTW39" s="48"/>
      <c r="RTX39" s="48"/>
      <c r="RTY39" s="45"/>
      <c r="RTZ39" s="46"/>
      <c r="RUA39" s="46"/>
      <c r="RUB39" s="47"/>
      <c r="RUC39" s="48"/>
      <c r="RUD39" s="48"/>
      <c r="RUE39" s="48"/>
      <c r="RUF39" s="48"/>
      <c r="RUG39" s="48"/>
      <c r="RUH39" s="48"/>
      <c r="RUI39" s="48"/>
      <c r="RUJ39" s="48"/>
      <c r="RUK39" s="48"/>
      <c r="RUL39" s="48"/>
      <c r="RUM39" s="48"/>
      <c r="RUN39" s="48"/>
      <c r="RUO39" s="48"/>
      <c r="RUP39" s="48"/>
      <c r="RUQ39" s="48"/>
      <c r="RUR39" s="48"/>
      <c r="RUS39" s="48"/>
      <c r="RUT39" s="48"/>
      <c r="RUU39" s="45"/>
      <c r="RUV39" s="46"/>
      <c r="RUW39" s="46"/>
      <c r="RUX39" s="47"/>
      <c r="RUY39" s="48"/>
      <c r="RUZ39" s="48"/>
      <c r="RVA39" s="48"/>
      <c r="RVB39" s="48"/>
      <c r="RVC39" s="48"/>
      <c r="RVD39" s="48"/>
      <c r="RVE39" s="48"/>
      <c r="RVF39" s="48"/>
      <c r="RVG39" s="48"/>
      <c r="RVH39" s="48"/>
      <c r="RVI39" s="48"/>
      <c r="RVJ39" s="48"/>
      <c r="RVK39" s="48"/>
      <c r="RVL39" s="48"/>
      <c r="RVM39" s="48"/>
      <c r="RVN39" s="48"/>
      <c r="RVO39" s="48"/>
      <c r="RVP39" s="48"/>
      <c r="RVQ39" s="45"/>
      <c r="RVR39" s="46"/>
      <c r="RVS39" s="46"/>
      <c r="RVT39" s="47"/>
      <c r="RVU39" s="48"/>
      <c r="RVV39" s="48"/>
      <c r="RVW39" s="48"/>
      <c r="RVX39" s="48"/>
      <c r="RVY39" s="48"/>
      <c r="RVZ39" s="48"/>
      <c r="RWA39" s="48"/>
      <c r="RWB39" s="48"/>
      <c r="RWC39" s="48"/>
      <c r="RWD39" s="48"/>
      <c r="RWE39" s="48"/>
      <c r="RWF39" s="48"/>
      <c r="RWG39" s="48"/>
      <c r="RWH39" s="48"/>
      <c r="RWI39" s="48"/>
      <c r="RWJ39" s="48"/>
      <c r="RWK39" s="48"/>
      <c r="RWL39" s="48"/>
      <c r="RWM39" s="45"/>
      <c r="RWN39" s="46"/>
      <c r="RWO39" s="46"/>
      <c r="RWP39" s="47"/>
      <c r="RWQ39" s="48"/>
      <c r="RWR39" s="48"/>
      <c r="RWS39" s="48"/>
      <c r="RWT39" s="48"/>
      <c r="RWU39" s="48"/>
      <c r="RWV39" s="48"/>
      <c r="RWW39" s="48"/>
      <c r="RWX39" s="48"/>
      <c r="RWY39" s="48"/>
      <c r="RWZ39" s="48"/>
      <c r="RXA39" s="48"/>
      <c r="RXB39" s="48"/>
      <c r="RXC39" s="48"/>
      <c r="RXD39" s="48"/>
      <c r="RXE39" s="48"/>
      <c r="RXF39" s="48"/>
      <c r="RXG39" s="48"/>
      <c r="RXH39" s="48"/>
      <c r="RXI39" s="45"/>
      <c r="RXJ39" s="46"/>
      <c r="RXK39" s="46"/>
      <c r="RXL39" s="47"/>
      <c r="RXM39" s="48"/>
      <c r="RXN39" s="48"/>
      <c r="RXO39" s="48"/>
      <c r="RXP39" s="48"/>
      <c r="RXQ39" s="48"/>
      <c r="RXR39" s="48"/>
      <c r="RXS39" s="48"/>
      <c r="RXT39" s="48"/>
      <c r="RXU39" s="48"/>
      <c r="RXV39" s="48"/>
      <c r="RXW39" s="48"/>
      <c r="RXX39" s="48"/>
      <c r="RXY39" s="48"/>
      <c r="RXZ39" s="48"/>
      <c r="RYA39" s="48"/>
      <c r="RYB39" s="48"/>
      <c r="RYC39" s="48"/>
      <c r="RYD39" s="48"/>
      <c r="RYE39" s="45"/>
      <c r="RYF39" s="46"/>
      <c r="RYG39" s="46"/>
      <c r="RYH39" s="47"/>
      <c r="RYI39" s="48"/>
      <c r="RYJ39" s="48"/>
      <c r="RYK39" s="48"/>
      <c r="RYL39" s="48"/>
      <c r="RYM39" s="48"/>
      <c r="RYN39" s="48"/>
      <c r="RYO39" s="48"/>
      <c r="RYP39" s="48"/>
      <c r="RYQ39" s="48"/>
      <c r="RYR39" s="48"/>
      <c r="RYS39" s="48"/>
      <c r="RYT39" s="48"/>
      <c r="RYU39" s="48"/>
      <c r="RYV39" s="48"/>
      <c r="RYW39" s="48"/>
      <c r="RYX39" s="48"/>
      <c r="RYY39" s="48"/>
      <c r="RYZ39" s="48"/>
      <c r="RZA39" s="45"/>
      <c r="RZB39" s="46"/>
      <c r="RZC39" s="46"/>
      <c r="RZD39" s="47"/>
      <c r="RZE39" s="48"/>
      <c r="RZF39" s="48"/>
      <c r="RZG39" s="48"/>
      <c r="RZH39" s="48"/>
      <c r="RZI39" s="48"/>
      <c r="RZJ39" s="48"/>
      <c r="RZK39" s="48"/>
      <c r="RZL39" s="48"/>
      <c r="RZM39" s="48"/>
      <c r="RZN39" s="48"/>
      <c r="RZO39" s="48"/>
      <c r="RZP39" s="48"/>
      <c r="RZQ39" s="48"/>
      <c r="RZR39" s="48"/>
      <c r="RZS39" s="48"/>
      <c r="RZT39" s="48"/>
      <c r="RZU39" s="48"/>
      <c r="RZV39" s="48"/>
      <c r="RZW39" s="45"/>
      <c r="RZX39" s="46"/>
      <c r="RZY39" s="46"/>
      <c r="RZZ39" s="47"/>
      <c r="SAA39" s="48"/>
      <c r="SAB39" s="48"/>
      <c r="SAC39" s="48"/>
      <c r="SAD39" s="48"/>
      <c r="SAE39" s="48"/>
      <c r="SAF39" s="48"/>
      <c r="SAG39" s="48"/>
      <c r="SAH39" s="48"/>
      <c r="SAI39" s="48"/>
      <c r="SAJ39" s="48"/>
      <c r="SAK39" s="48"/>
      <c r="SAL39" s="48"/>
      <c r="SAM39" s="48"/>
      <c r="SAN39" s="48"/>
      <c r="SAO39" s="48"/>
      <c r="SAP39" s="48"/>
      <c r="SAQ39" s="48"/>
      <c r="SAR39" s="48"/>
      <c r="SAS39" s="45"/>
      <c r="SAT39" s="46"/>
      <c r="SAU39" s="46"/>
      <c r="SAV39" s="47"/>
      <c r="SAW39" s="48"/>
      <c r="SAX39" s="48"/>
      <c r="SAY39" s="48"/>
      <c r="SAZ39" s="48"/>
      <c r="SBA39" s="48"/>
      <c r="SBB39" s="48"/>
      <c r="SBC39" s="48"/>
      <c r="SBD39" s="48"/>
      <c r="SBE39" s="48"/>
      <c r="SBF39" s="48"/>
      <c r="SBG39" s="48"/>
      <c r="SBH39" s="48"/>
      <c r="SBI39" s="48"/>
      <c r="SBJ39" s="48"/>
      <c r="SBK39" s="48"/>
      <c r="SBL39" s="48"/>
      <c r="SBM39" s="48"/>
      <c r="SBN39" s="48"/>
      <c r="SBO39" s="45"/>
      <c r="SBP39" s="46"/>
      <c r="SBQ39" s="46"/>
      <c r="SBR39" s="47"/>
      <c r="SBS39" s="48"/>
      <c r="SBT39" s="48"/>
      <c r="SBU39" s="48"/>
      <c r="SBV39" s="48"/>
      <c r="SBW39" s="48"/>
      <c r="SBX39" s="48"/>
      <c r="SBY39" s="48"/>
      <c r="SBZ39" s="48"/>
      <c r="SCA39" s="48"/>
      <c r="SCB39" s="48"/>
      <c r="SCC39" s="48"/>
      <c r="SCD39" s="48"/>
      <c r="SCE39" s="48"/>
      <c r="SCF39" s="48"/>
      <c r="SCG39" s="48"/>
      <c r="SCH39" s="48"/>
      <c r="SCI39" s="48"/>
      <c r="SCJ39" s="48"/>
      <c r="SCK39" s="45"/>
      <c r="SCL39" s="46"/>
      <c r="SCM39" s="46"/>
      <c r="SCN39" s="47"/>
      <c r="SCO39" s="48"/>
      <c r="SCP39" s="48"/>
      <c r="SCQ39" s="48"/>
      <c r="SCR39" s="48"/>
      <c r="SCS39" s="48"/>
      <c r="SCT39" s="48"/>
      <c r="SCU39" s="48"/>
      <c r="SCV39" s="48"/>
      <c r="SCW39" s="48"/>
      <c r="SCX39" s="48"/>
      <c r="SCY39" s="48"/>
      <c r="SCZ39" s="48"/>
      <c r="SDA39" s="48"/>
      <c r="SDB39" s="48"/>
      <c r="SDC39" s="48"/>
      <c r="SDD39" s="48"/>
      <c r="SDE39" s="48"/>
      <c r="SDF39" s="48"/>
      <c r="SDG39" s="45"/>
      <c r="SDH39" s="46"/>
      <c r="SDI39" s="46"/>
      <c r="SDJ39" s="47"/>
      <c r="SDK39" s="48"/>
      <c r="SDL39" s="48"/>
      <c r="SDM39" s="48"/>
      <c r="SDN39" s="48"/>
      <c r="SDO39" s="48"/>
      <c r="SDP39" s="48"/>
      <c r="SDQ39" s="48"/>
      <c r="SDR39" s="48"/>
      <c r="SDS39" s="48"/>
      <c r="SDT39" s="48"/>
      <c r="SDU39" s="48"/>
      <c r="SDV39" s="48"/>
      <c r="SDW39" s="48"/>
      <c r="SDX39" s="48"/>
      <c r="SDY39" s="48"/>
      <c r="SDZ39" s="48"/>
      <c r="SEA39" s="48"/>
      <c r="SEB39" s="48"/>
      <c r="SEC39" s="45"/>
      <c r="SED39" s="46"/>
      <c r="SEE39" s="46"/>
      <c r="SEF39" s="47"/>
      <c r="SEG39" s="48"/>
      <c r="SEH39" s="48"/>
      <c r="SEI39" s="48"/>
      <c r="SEJ39" s="48"/>
      <c r="SEK39" s="48"/>
      <c r="SEL39" s="48"/>
      <c r="SEM39" s="48"/>
      <c r="SEN39" s="48"/>
      <c r="SEO39" s="48"/>
      <c r="SEP39" s="48"/>
      <c r="SEQ39" s="48"/>
      <c r="SER39" s="48"/>
      <c r="SES39" s="48"/>
      <c r="SET39" s="48"/>
      <c r="SEU39" s="48"/>
      <c r="SEV39" s="48"/>
      <c r="SEW39" s="48"/>
      <c r="SEX39" s="48"/>
      <c r="SEY39" s="45"/>
      <c r="SEZ39" s="46"/>
      <c r="SFA39" s="46"/>
      <c r="SFB39" s="47"/>
      <c r="SFC39" s="48"/>
      <c r="SFD39" s="48"/>
      <c r="SFE39" s="48"/>
      <c r="SFF39" s="48"/>
      <c r="SFG39" s="48"/>
      <c r="SFH39" s="48"/>
      <c r="SFI39" s="48"/>
      <c r="SFJ39" s="48"/>
      <c r="SFK39" s="48"/>
      <c r="SFL39" s="48"/>
      <c r="SFM39" s="48"/>
      <c r="SFN39" s="48"/>
      <c r="SFO39" s="48"/>
      <c r="SFP39" s="48"/>
      <c r="SFQ39" s="48"/>
      <c r="SFR39" s="48"/>
      <c r="SFS39" s="48"/>
      <c r="SFT39" s="48"/>
      <c r="SFU39" s="45"/>
      <c r="SFV39" s="46"/>
      <c r="SFW39" s="46"/>
      <c r="SFX39" s="47"/>
      <c r="SFY39" s="48"/>
      <c r="SFZ39" s="48"/>
      <c r="SGA39" s="48"/>
      <c r="SGB39" s="48"/>
      <c r="SGC39" s="48"/>
      <c r="SGD39" s="48"/>
      <c r="SGE39" s="48"/>
      <c r="SGF39" s="48"/>
      <c r="SGG39" s="48"/>
      <c r="SGH39" s="48"/>
      <c r="SGI39" s="48"/>
      <c r="SGJ39" s="48"/>
      <c r="SGK39" s="48"/>
      <c r="SGL39" s="48"/>
      <c r="SGM39" s="48"/>
      <c r="SGN39" s="48"/>
      <c r="SGO39" s="48"/>
      <c r="SGP39" s="48"/>
      <c r="SGQ39" s="45"/>
      <c r="SGR39" s="46"/>
      <c r="SGS39" s="46"/>
      <c r="SGT39" s="47"/>
      <c r="SGU39" s="48"/>
      <c r="SGV39" s="48"/>
      <c r="SGW39" s="48"/>
      <c r="SGX39" s="48"/>
      <c r="SGY39" s="48"/>
      <c r="SGZ39" s="48"/>
      <c r="SHA39" s="48"/>
      <c r="SHB39" s="48"/>
      <c r="SHC39" s="48"/>
      <c r="SHD39" s="48"/>
      <c r="SHE39" s="48"/>
      <c r="SHF39" s="48"/>
      <c r="SHG39" s="48"/>
      <c r="SHH39" s="48"/>
      <c r="SHI39" s="48"/>
      <c r="SHJ39" s="48"/>
      <c r="SHK39" s="48"/>
      <c r="SHL39" s="48"/>
      <c r="SHM39" s="45"/>
      <c r="SHN39" s="46"/>
      <c r="SHO39" s="46"/>
      <c r="SHP39" s="47"/>
      <c r="SHQ39" s="48"/>
      <c r="SHR39" s="48"/>
      <c r="SHS39" s="48"/>
      <c r="SHT39" s="48"/>
      <c r="SHU39" s="48"/>
      <c r="SHV39" s="48"/>
      <c r="SHW39" s="48"/>
      <c r="SHX39" s="48"/>
      <c r="SHY39" s="48"/>
      <c r="SHZ39" s="48"/>
      <c r="SIA39" s="48"/>
      <c r="SIB39" s="48"/>
      <c r="SIC39" s="48"/>
      <c r="SID39" s="48"/>
      <c r="SIE39" s="48"/>
      <c r="SIF39" s="48"/>
      <c r="SIG39" s="48"/>
      <c r="SIH39" s="48"/>
      <c r="SII39" s="45"/>
      <c r="SIJ39" s="46"/>
      <c r="SIK39" s="46"/>
      <c r="SIL39" s="47"/>
      <c r="SIM39" s="48"/>
      <c r="SIN39" s="48"/>
      <c r="SIO39" s="48"/>
      <c r="SIP39" s="48"/>
      <c r="SIQ39" s="48"/>
      <c r="SIR39" s="48"/>
      <c r="SIS39" s="48"/>
      <c r="SIT39" s="48"/>
      <c r="SIU39" s="48"/>
      <c r="SIV39" s="48"/>
      <c r="SIW39" s="48"/>
      <c r="SIX39" s="48"/>
      <c r="SIY39" s="48"/>
      <c r="SIZ39" s="48"/>
      <c r="SJA39" s="48"/>
      <c r="SJB39" s="48"/>
      <c r="SJC39" s="48"/>
      <c r="SJD39" s="48"/>
      <c r="SJE39" s="45"/>
      <c r="SJF39" s="46"/>
      <c r="SJG39" s="46"/>
      <c r="SJH39" s="47"/>
      <c r="SJI39" s="48"/>
      <c r="SJJ39" s="48"/>
      <c r="SJK39" s="48"/>
      <c r="SJL39" s="48"/>
      <c r="SJM39" s="48"/>
      <c r="SJN39" s="48"/>
      <c r="SJO39" s="48"/>
      <c r="SJP39" s="48"/>
      <c r="SJQ39" s="48"/>
      <c r="SJR39" s="48"/>
      <c r="SJS39" s="48"/>
      <c r="SJT39" s="48"/>
      <c r="SJU39" s="48"/>
      <c r="SJV39" s="48"/>
      <c r="SJW39" s="48"/>
      <c r="SJX39" s="48"/>
      <c r="SJY39" s="48"/>
      <c r="SJZ39" s="48"/>
      <c r="SKA39" s="45"/>
      <c r="SKB39" s="46"/>
      <c r="SKC39" s="46"/>
      <c r="SKD39" s="47"/>
      <c r="SKE39" s="48"/>
      <c r="SKF39" s="48"/>
      <c r="SKG39" s="48"/>
      <c r="SKH39" s="48"/>
      <c r="SKI39" s="48"/>
      <c r="SKJ39" s="48"/>
      <c r="SKK39" s="48"/>
      <c r="SKL39" s="48"/>
      <c r="SKM39" s="48"/>
      <c r="SKN39" s="48"/>
      <c r="SKO39" s="48"/>
      <c r="SKP39" s="48"/>
      <c r="SKQ39" s="48"/>
      <c r="SKR39" s="48"/>
      <c r="SKS39" s="48"/>
      <c r="SKT39" s="48"/>
      <c r="SKU39" s="48"/>
      <c r="SKV39" s="48"/>
      <c r="SKW39" s="45"/>
      <c r="SKX39" s="46"/>
      <c r="SKY39" s="46"/>
      <c r="SKZ39" s="47"/>
      <c r="SLA39" s="48"/>
      <c r="SLB39" s="48"/>
      <c r="SLC39" s="48"/>
      <c r="SLD39" s="48"/>
      <c r="SLE39" s="48"/>
      <c r="SLF39" s="48"/>
      <c r="SLG39" s="48"/>
      <c r="SLH39" s="48"/>
      <c r="SLI39" s="48"/>
      <c r="SLJ39" s="48"/>
      <c r="SLK39" s="48"/>
      <c r="SLL39" s="48"/>
      <c r="SLM39" s="48"/>
      <c r="SLN39" s="48"/>
      <c r="SLO39" s="48"/>
      <c r="SLP39" s="48"/>
      <c r="SLQ39" s="48"/>
      <c r="SLR39" s="48"/>
      <c r="SLS39" s="45"/>
      <c r="SLT39" s="46"/>
      <c r="SLU39" s="46"/>
      <c r="SLV39" s="47"/>
      <c r="SLW39" s="48"/>
      <c r="SLX39" s="48"/>
      <c r="SLY39" s="48"/>
      <c r="SLZ39" s="48"/>
      <c r="SMA39" s="48"/>
      <c r="SMB39" s="48"/>
      <c r="SMC39" s="48"/>
      <c r="SMD39" s="48"/>
      <c r="SME39" s="48"/>
      <c r="SMF39" s="48"/>
      <c r="SMG39" s="48"/>
      <c r="SMH39" s="48"/>
      <c r="SMI39" s="48"/>
      <c r="SMJ39" s="48"/>
      <c r="SMK39" s="48"/>
      <c r="SML39" s="48"/>
      <c r="SMM39" s="48"/>
      <c r="SMN39" s="48"/>
      <c r="SMO39" s="45"/>
      <c r="SMP39" s="46"/>
      <c r="SMQ39" s="46"/>
      <c r="SMR39" s="47"/>
      <c r="SMS39" s="48"/>
      <c r="SMT39" s="48"/>
      <c r="SMU39" s="48"/>
      <c r="SMV39" s="48"/>
      <c r="SMW39" s="48"/>
      <c r="SMX39" s="48"/>
      <c r="SMY39" s="48"/>
      <c r="SMZ39" s="48"/>
      <c r="SNA39" s="48"/>
      <c r="SNB39" s="48"/>
      <c r="SNC39" s="48"/>
      <c r="SND39" s="48"/>
      <c r="SNE39" s="48"/>
      <c r="SNF39" s="48"/>
      <c r="SNG39" s="48"/>
      <c r="SNH39" s="48"/>
      <c r="SNI39" s="48"/>
      <c r="SNJ39" s="48"/>
      <c r="SNK39" s="45"/>
      <c r="SNL39" s="46"/>
      <c r="SNM39" s="46"/>
      <c r="SNN39" s="47"/>
      <c r="SNO39" s="48"/>
      <c r="SNP39" s="48"/>
      <c r="SNQ39" s="48"/>
      <c r="SNR39" s="48"/>
      <c r="SNS39" s="48"/>
      <c r="SNT39" s="48"/>
      <c r="SNU39" s="48"/>
      <c r="SNV39" s="48"/>
      <c r="SNW39" s="48"/>
      <c r="SNX39" s="48"/>
      <c r="SNY39" s="48"/>
      <c r="SNZ39" s="48"/>
      <c r="SOA39" s="48"/>
      <c r="SOB39" s="48"/>
      <c r="SOC39" s="48"/>
      <c r="SOD39" s="48"/>
      <c r="SOE39" s="48"/>
      <c r="SOF39" s="48"/>
      <c r="SOG39" s="45"/>
      <c r="SOH39" s="46"/>
      <c r="SOI39" s="46"/>
      <c r="SOJ39" s="47"/>
      <c r="SOK39" s="48"/>
      <c r="SOL39" s="48"/>
      <c r="SOM39" s="48"/>
      <c r="SON39" s="48"/>
      <c r="SOO39" s="48"/>
      <c r="SOP39" s="48"/>
      <c r="SOQ39" s="48"/>
      <c r="SOR39" s="48"/>
      <c r="SOS39" s="48"/>
      <c r="SOT39" s="48"/>
      <c r="SOU39" s="48"/>
      <c r="SOV39" s="48"/>
      <c r="SOW39" s="48"/>
      <c r="SOX39" s="48"/>
      <c r="SOY39" s="48"/>
      <c r="SOZ39" s="48"/>
      <c r="SPA39" s="48"/>
      <c r="SPB39" s="48"/>
      <c r="SPC39" s="45"/>
      <c r="SPD39" s="46"/>
      <c r="SPE39" s="46"/>
      <c r="SPF39" s="47"/>
      <c r="SPG39" s="48"/>
      <c r="SPH39" s="48"/>
      <c r="SPI39" s="48"/>
      <c r="SPJ39" s="48"/>
      <c r="SPK39" s="48"/>
      <c r="SPL39" s="48"/>
      <c r="SPM39" s="48"/>
      <c r="SPN39" s="48"/>
      <c r="SPO39" s="48"/>
      <c r="SPP39" s="48"/>
      <c r="SPQ39" s="48"/>
      <c r="SPR39" s="48"/>
      <c r="SPS39" s="48"/>
      <c r="SPT39" s="48"/>
      <c r="SPU39" s="48"/>
      <c r="SPV39" s="48"/>
      <c r="SPW39" s="48"/>
      <c r="SPX39" s="48"/>
      <c r="SPY39" s="45"/>
      <c r="SPZ39" s="46"/>
      <c r="SQA39" s="46"/>
      <c r="SQB39" s="47"/>
      <c r="SQC39" s="48"/>
      <c r="SQD39" s="48"/>
      <c r="SQE39" s="48"/>
      <c r="SQF39" s="48"/>
      <c r="SQG39" s="48"/>
      <c r="SQH39" s="48"/>
      <c r="SQI39" s="48"/>
      <c r="SQJ39" s="48"/>
      <c r="SQK39" s="48"/>
      <c r="SQL39" s="48"/>
      <c r="SQM39" s="48"/>
      <c r="SQN39" s="48"/>
      <c r="SQO39" s="48"/>
      <c r="SQP39" s="48"/>
      <c r="SQQ39" s="48"/>
      <c r="SQR39" s="48"/>
      <c r="SQS39" s="48"/>
      <c r="SQT39" s="48"/>
      <c r="SQU39" s="45"/>
      <c r="SQV39" s="46"/>
      <c r="SQW39" s="46"/>
      <c r="SQX39" s="47"/>
      <c r="SQY39" s="48"/>
      <c r="SQZ39" s="48"/>
      <c r="SRA39" s="48"/>
      <c r="SRB39" s="48"/>
      <c r="SRC39" s="48"/>
      <c r="SRD39" s="48"/>
      <c r="SRE39" s="48"/>
      <c r="SRF39" s="48"/>
      <c r="SRG39" s="48"/>
      <c r="SRH39" s="48"/>
      <c r="SRI39" s="48"/>
      <c r="SRJ39" s="48"/>
      <c r="SRK39" s="48"/>
      <c r="SRL39" s="48"/>
      <c r="SRM39" s="48"/>
      <c r="SRN39" s="48"/>
      <c r="SRO39" s="48"/>
      <c r="SRP39" s="48"/>
      <c r="SRQ39" s="45"/>
      <c r="SRR39" s="46"/>
      <c r="SRS39" s="46"/>
      <c r="SRT39" s="47"/>
      <c r="SRU39" s="48"/>
      <c r="SRV39" s="48"/>
      <c r="SRW39" s="48"/>
      <c r="SRX39" s="48"/>
      <c r="SRY39" s="48"/>
      <c r="SRZ39" s="48"/>
      <c r="SSA39" s="48"/>
      <c r="SSB39" s="48"/>
      <c r="SSC39" s="48"/>
      <c r="SSD39" s="48"/>
      <c r="SSE39" s="48"/>
      <c r="SSF39" s="48"/>
      <c r="SSG39" s="48"/>
      <c r="SSH39" s="48"/>
      <c r="SSI39" s="48"/>
      <c r="SSJ39" s="48"/>
      <c r="SSK39" s="48"/>
      <c r="SSL39" s="48"/>
      <c r="SSM39" s="45"/>
      <c r="SSN39" s="46"/>
      <c r="SSO39" s="46"/>
      <c r="SSP39" s="47"/>
      <c r="SSQ39" s="48"/>
      <c r="SSR39" s="48"/>
      <c r="SSS39" s="48"/>
      <c r="SST39" s="48"/>
      <c r="SSU39" s="48"/>
      <c r="SSV39" s="48"/>
      <c r="SSW39" s="48"/>
      <c r="SSX39" s="48"/>
      <c r="SSY39" s="48"/>
      <c r="SSZ39" s="48"/>
      <c r="STA39" s="48"/>
      <c r="STB39" s="48"/>
      <c r="STC39" s="48"/>
      <c r="STD39" s="48"/>
      <c r="STE39" s="48"/>
      <c r="STF39" s="48"/>
      <c r="STG39" s="48"/>
      <c r="STH39" s="48"/>
      <c r="STI39" s="45"/>
      <c r="STJ39" s="46"/>
      <c r="STK39" s="46"/>
      <c r="STL39" s="47"/>
      <c r="STM39" s="48"/>
      <c r="STN39" s="48"/>
      <c r="STO39" s="48"/>
      <c r="STP39" s="48"/>
      <c r="STQ39" s="48"/>
      <c r="STR39" s="48"/>
      <c r="STS39" s="48"/>
      <c r="STT39" s="48"/>
      <c r="STU39" s="48"/>
      <c r="STV39" s="48"/>
      <c r="STW39" s="48"/>
      <c r="STX39" s="48"/>
      <c r="STY39" s="48"/>
      <c r="STZ39" s="48"/>
      <c r="SUA39" s="48"/>
      <c r="SUB39" s="48"/>
      <c r="SUC39" s="48"/>
      <c r="SUD39" s="48"/>
      <c r="SUE39" s="45"/>
      <c r="SUF39" s="46"/>
      <c r="SUG39" s="46"/>
      <c r="SUH39" s="47"/>
      <c r="SUI39" s="48"/>
      <c r="SUJ39" s="48"/>
      <c r="SUK39" s="48"/>
      <c r="SUL39" s="48"/>
      <c r="SUM39" s="48"/>
      <c r="SUN39" s="48"/>
      <c r="SUO39" s="48"/>
      <c r="SUP39" s="48"/>
      <c r="SUQ39" s="48"/>
      <c r="SUR39" s="48"/>
      <c r="SUS39" s="48"/>
      <c r="SUT39" s="48"/>
      <c r="SUU39" s="48"/>
      <c r="SUV39" s="48"/>
      <c r="SUW39" s="48"/>
      <c r="SUX39" s="48"/>
      <c r="SUY39" s="48"/>
      <c r="SUZ39" s="48"/>
      <c r="SVA39" s="45"/>
      <c r="SVB39" s="46"/>
      <c r="SVC39" s="46"/>
      <c r="SVD39" s="47"/>
      <c r="SVE39" s="48"/>
      <c r="SVF39" s="48"/>
      <c r="SVG39" s="48"/>
      <c r="SVH39" s="48"/>
      <c r="SVI39" s="48"/>
      <c r="SVJ39" s="48"/>
      <c r="SVK39" s="48"/>
      <c r="SVL39" s="48"/>
      <c r="SVM39" s="48"/>
      <c r="SVN39" s="48"/>
      <c r="SVO39" s="48"/>
      <c r="SVP39" s="48"/>
      <c r="SVQ39" s="48"/>
      <c r="SVR39" s="48"/>
      <c r="SVS39" s="48"/>
      <c r="SVT39" s="48"/>
      <c r="SVU39" s="48"/>
      <c r="SVV39" s="48"/>
      <c r="SVW39" s="45"/>
      <c r="SVX39" s="46"/>
      <c r="SVY39" s="46"/>
      <c r="SVZ39" s="47"/>
      <c r="SWA39" s="48"/>
      <c r="SWB39" s="48"/>
      <c r="SWC39" s="48"/>
      <c r="SWD39" s="48"/>
      <c r="SWE39" s="48"/>
      <c r="SWF39" s="48"/>
      <c r="SWG39" s="48"/>
      <c r="SWH39" s="48"/>
      <c r="SWI39" s="48"/>
      <c r="SWJ39" s="48"/>
      <c r="SWK39" s="48"/>
      <c r="SWL39" s="48"/>
      <c r="SWM39" s="48"/>
      <c r="SWN39" s="48"/>
      <c r="SWO39" s="48"/>
      <c r="SWP39" s="48"/>
      <c r="SWQ39" s="48"/>
      <c r="SWR39" s="48"/>
      <c r="SWS39" s="45"/>
      <c r="SWT39" s="46"/>
      <c r="SWU39" s="46"/>
      <c r="SWV39" s="47"/>
      <c r="SWW39" s="48"/>
      <c r="SWX39" s="48"/>
      <c r="SWY39" s="48"/>
      <c r="SWZ39" s="48"/>
      <c r="SXA39" s="48"/>
      <c r="SXB39" s="48"/>
      <c r="SXC39" s="48"/>
      <c r="SXD39" s="48"/>
      <c r="SXE39" s="48"/>
      <c r="SXF39" s="48"/>
      <c r="SXG39" s="48"/>
      <c r="SXH39" s="48"/>
      <c r="SXI39" s="48"/>
      <c r="SXJ39" s="48"/>
      <c r="SXK39" s="48"/>
      <c r="SXL39" s="48"/>
      <c r="SXM39" s="48"/>
      <c r="SXN39" s="48"/>
      <c r="SXO39" s="45"/>
      <c r="SXP39" s="46"/>
      <c r="SXQ39" s="46"/>
      <c r="SXR39" s="47"/>
      <c r="SXS39" s="48"/>
      <c r="SXT39" s="48"/>
      <c r="SXU39" s="48"/>
      <c r="SXV39" s="48"/>
      <c r="SXW39" s="48"/>
      <c r="SXX39" s="48"/>
      <c r="SXY39" s="48"/>
      <c r="SXZ39" s="48"/>
      <c r="SYA39" s="48"/>
      <c r="SYB39" s="48"/>
      <c r="SYC39" s="48"/>
      <c r="SYD39" s="48"/>
      <c r="SYE39" s="48"/>
      <c r="SYF39" s="48"/>
      <c r="SYG39" s="48"/>
      <c r="SYH39" s="48"/>
      <c r="SYI39" s="48"/>
      <c r="SYJ39" s="48"/>
      <c r="SYK39" s="45"/>
      <c r="SYL39" s="46"/>
      <c r="SYM39" s="46"/>
      <c r="SYN39" s="47"/>
      <c r="SYO39" s="48"/>
      <c r="SYP39" s="48"/>
      <c r="SYQ39" s="48"/>
      <c r="SYR39" s="48"/>
      <c r="SYS39" s="48"/>
      <c r="SYT39" s="48"/>
      <c r="SYU39" s="48"/>
      <c r="SYV39" s="48"/>
      <c r="SYW39" s="48"/>
      <c r="SYX39" s="48"/>
      <c r="SYY39" s="48"/>
      <c r="SYZ39" s="48"/>
      <c r="SZA39" s="48"/>
      <c r="SZB39" s="48"/>
      <c r="SZC39" s="48"/>
      <c r="SZD39" s="48"/>
      <c r="SZE39" s="48"/>
      <c r="SZF39" s="48"/>
      <c r="SZG39" s="45"/>
      <c r="SZH39" s="46"/>
      <c r="SZI39" s="46"/>
      <c r="SZJ39" s="47"/>
      <c r="SZK39" s="48"/>
      <c r="SZL39" s="48"/>
      <c r="SZM39" s="48"/>
      <c r="SZN39" s="48"/>
      <c r="SZO39" s="48"/>
      <c r="SZP39" s="48"/>
      <c r="SZQ39" s="48"/>
      <c r="SZR39" s="48"/>
      <c r="SZS39" s="48"/>
      <c r="SZT39" s="48"/>
      <c r="SZU39" s="48"/>
      <c r="SZV39" s="48"/>
      <c r="SZW39" s="48"/>
      <c r="SZX39" s="48"/>
      <c r="SZY39" s="48"/>
      <c r="SZZ39" s="48"/>
      <c r="TAA39" s="48"/>
      <c r="TAB39" s="48"/>
      <c r="TAC39" s="45"/>
      <c r="TAD39" s="46"/>
      <c r="TAE39" s="46"/>
      <c r="TAF39" s="47"/>
      <c r="TAG39" s="48"/>
      <c r="TAH39" s="48"/>
      <c r="TAI39" s="48"/>
      <c r="TAJ39" s="48"/>
      <c r="TAK39" s="48"/>
      <c r="TAL39" s="48"/>
      <c r="TAM39" s="48"/>
      <c r="TAN39" s="48"/>
      <c r="TAO39" s="48"/>
      <c r="TAP39" s="48"/>
      <c r="TAQ39" s="48"/>
      <c r="TAR39" s="48"/>
      <c r="TAS39" s="48"/>
      <c r="TAT39" s="48"/>
      <c r="TAU39" s="48"/>
      <c r="TAV39" s="48"/>
      <c r="TAW39" s="48"/>
      <c r="TAX39" s="48"/>
      <c r="TAY39" s="45"/>
      <c r="TAZ39" s="46"/>
      <c r="TBA39" s="46"/>
      <c r="TBB39" s="47"/>
      <c r="TBC39" s="48"/>
      <c r="TBD39" s="48"/>
      <c r="TBE39" s="48"/>
      <c r="TBF39" s="48"/>
      <c r="TBG39" s="48"/>
      <c r="TBH39" s="48"/>
      <c r="TBI39" s="48"/>
      <c r="TBJ39" s="48"/>
      <c r="TBK39" s="48"/>
      <c r="TBL39" s="48"/>
      <c r="TBM39" s="48"/>
      <c r="TBN39" s="48"/>
      <c r="TBO39" s="48"/>
      <c r="TBP39" s="48"/>
      <c r="TBQ39" s="48"/>
      <c r="TBR39" s="48"/>
      <c r="TBS39" s="48"/>
      <c r="TBT39" s="48"/>
      <c r="TBU39" s="45"/>
      <c r="TBV39" s="46"/>
      <c r="TBW39" s="46"/>
      <c r="TBX39" s="47"/>
      <c r="TBY39" s="48"/>
      <c r="TBZ39" s="48"/>
      <c r="TCA39" s="48"/>
      <c r="TCB39" s="48"/>
      <c r="TCC39" s="48"/>
      <c r="TCD39" s="48"/>
      <c r="TCE39" s="48"/>
      <c r="TCF39" s="48"/>
      <c r="TCG39" s="48"/>
      <c r="TCH39" s="48"/>
      <c r="TCI39" s="48"/>
      <c r="TCJ39" s="48"/>
      <c r="TCK39" s="48"/>
      <c r="TCL39" s="48"/>
      <c r="TCM39" s="48"/>
      <c r="TCN39" s="48"/>
      <c r="TCO39" s="48"/>
      <c r="TCP39" s="48"/>
      <c r="TCQ39" s="45"/>
      <c r="TCR39" s="46"/>
      <c r="TCS39" s="46"/>
      <c r="TCT39" s="47"/>
      <c r="TCU39" s="48"/>
      <c r="TCV39" s="48"/>
      <c r="TCW39" s="48"/>
      <c r="TCX39" s="48"/>
      <c r="TCY39" s="48"/>
      <c r="TCZ39" s="48"/>
      <c r="TDA39" s="48"/>
      <c r="TDB39" s="48"/>
      <c r="TDC39" s="48"/>
      <c r="TDD39" s="48"/>
      <c r="TDE39" s="48"/>
      <c r="TDF39" s="48"/>
      <c r="TDG39" s="48"/>
      <c r="TDH39" s="48"/>
      <c r="TDI39" s="48"/>
      <c r="TDJ39" s="48"/>
      <c r="TDK39" s="48"/>
      <c r="TDL39" s="48"/>
      <c r="TDM39" s="45"/>
      <c r="TDN39" s="46"/>
      <c r="TDO39" s="46"/>
      <c r="TDP39" s="47"/>
      <c r="TDQ39" s="48"/>
      <c r="TDR39" s="48"/>
      <c r="TDS39" s="48"/>
      <c r="TDT39" s="48"/>
      <c r="TDU39" s="48"/>
      <c r="TDV39" s="48"/>
      <c r="TDW39" s="48"/>
      <c r="TDX39" s="48"/>
      <c r="TDY39" s="48"/>
      <c r="TDZ39" s="48"/>
      <c r="TEA39" s="48"/>
      <c r="TEB39" s="48"/>
      <c r="TEC39" s="48"/>
      <c r="TED39" s="48"/>
      <c r="TEE39" s="48"/>
      <c r="TEF39" s="48"/>
      <c r="TEG39" s="48"/>
      <c r="TEH39" s="48"/>
      <c r="TEI39" s="45"/>
      <c r="TEJ39" s="46"/>
      <c r="TEK39" s="46"/>
      <c r="TEL39" s="47"/>
      <c r="TEM39" s="48"/>
      <c r="TEN39" s="48"/>
      <c r="TEO39" s="48"/>
      <c r="TEP39" s="48"/>
      <c r="TEQ39" s="48"/>
      <c r="TER39" s="48"/>
      <c r="TES39" s="48"/>
      <c r="TET39" s="48"/>
      <c r="TEU39" s="48"/>
      <c r="TEV39" s="48"/>
      <c r="TEW39" s="48"/>
      <c r="TEX39" s="48"/>
      <c r="TEY39" s="48"/>
      <c r="TEZ39" s="48"/>
      <c r="TFA39" s="48"/>
      <c r="TFB39" s="48"/>
      <c r="TFC39" s="48"/>
      <c r="TFD39" s="48"/>
      <c r="TFE39" s="45"/>
      <c r="TFF39" s="46"/>
      <c r="TFG39" s="46"/>
      <c r="TFH39" s="47"/>
      <c r="TFI39" s="48"/>
      <c r="TFJ39" s="48"/>
      <c r="TFK39" s="48"/>
      <c r="TFL39" s="48"/>
      <c r="TFM39" s="48"/>
      <c r="TFN39" s="48"/>
      <c r="TFO39" s="48"/>
      <c r="TFP39" s="48"/>
      <c r="TFQ39" s="48"/>
      <c r="TFR39" s="48"/>
      <c r="TFS39" s="48"/>
      <c r="TFT39" s="48"/>
      <c r="TFU39" s="48"/>
      <c r="TFV39" s="48"/>
      <c r="TFW39" s="48"/>
      <c r="TFX39" s="48"/>
      <c r="TFY39" s="48"/>
      <c r="TFZ39" s="48"/>
      <c r="TGA39" s="45"/>
      <c r="TGB39" s="46"/>
      <c r="TGC39" s="46"/>
      <c r="TGD39" s="47"/>
      <c r="TGE39" s="48"/>
      <c r="TGF39" s="48"/>
      <c r="TGG39" s="48"/>
      <c r="TGH39" s="48"/>
      <c r="TGI39" s="48"/>
      <c r="TGJ39" s="48"/>
      <c r="TGK39" s="48"/>
      <c r="TGL39" s="48"/>
      <c r="TGM39" s="48"/>
      <c r="TGN39" s="48"/>
      <c r="TGO39" s="48"/>
      <c r="TGP39" s="48"/>
      <c r="TGQ39" s="48"/>
      <c r="TGR39" s="48"/>
      <c r="TGS39" s="48"/>
      <c r="TGT39" s="48"/>
      <c r="TGU39" s="48"/>
      <c r="TGV39" s="48"/>
      <c r="TGW39" s="45"/>
      <c r="TGX39" s="46"/>
      <c r="TGY39" s="46"/>
      <c r="TGZ39" s="47"/>
      <c r="THA39" s="48"/>
      <c r="THB39" s="48"/>
      <c r="THC39" s="48"/>
      <c r="THD39" s="48"/>
      <c r="THE39" s="48"/>
      <c r="THF39" s="48"/>
      <c r="THG39" s="48"/>
      <c r="THH39" s="48"/>
      <c r="THI39" s="48"/>
      <c r="THJ39" s="48"/>
      <c r="THK39" s="48"/>
      <c r="THL39" s="48"/>
      <c r="THM39" s="48"/>
      <c r="THN39" s="48"/>
      <c r="THO39" s="48"/>
      <c r="THP39" s="48"/>
      <c r="THQ39" s="48"/>
      <c r="THR39" s="48"/>
      <c r="THS39" s="45"/>
      <c r="THT39" s="46"/>
      <c r="THU39" s="46"/>
      <c r="THV39" s="47"/>
      <c r="THW39" s="48"/>
      <c r="THX39" s="48"/>
      <c r="THY39" s="48"/>
      <c r="THZ39" s="48"/>
      <c r="TIA39" s="48"/>
      <c r="TIB39" s="48"/>
      <c r="TIC39" s="48"/>
      <c r="TID39" s="48"/>
      <c r="TIE39" s="48"/>
      <c r="TIF39" s="48"/>
      <c r="TIG39" s="48"/>
      <c r="TIH39" s="48"/>
      <c r="TII39" s="48"/>
      <c r="TIJ39" s="48"/>
      <c r="TIK39" s="48"/>
      <c r="TIL39" s="48"/>
      <c r="TIM39" s="48"/>
      <c r="TIN39" s="48"/>
      <c r="TIO39" s="45"/>
      <c r="TIP39" s="46"/>
      <c r="TIQ39" s="46"/>
      <c r="TIR39" s="47"/>
      <c r="TIS39" s="48"/>
      <c r="TIT39" s="48"/>
      <c r="TIU39" s="48"/>
      <c r="TIV39" s="48"/>
      <c r="TIW39" s="48"/>
      <c r="TIX39" s="48"/>
      <c r="TIY39" s="48"/>
      <c r="TIZ39" s="48"/>
      <c r="TJA39" s="48"/>
      <c r="TJB39" s="48"/>
      <c r="TJC39" s="48"/>
      <c r="TJD39" s="48"/>
      <c r="TJE39" s="48"/>
      <c r="TJF39" s="48"/>
      <c r="TJG39" s="48"/>
      <c r="TJH39" s="48"/>
      <c r="TJI39" s="48"/>
      <c r="TJJ39" s="48"/>
      <c r="TJK39" s="45"/>
      <c r="TJL39" s="46"/>
      <c r="TJM39" s="46"/>
      <c r="TJN39" s="47"/>
      <c r="TJO39" s="48"/>
      <c r="TJP39" s="48"/>
      <c r="TJQ39" s="48"/>
      <c r="TJR39" s="48"/>
      <c r="TJS39" s="48"/>
      <c r="TJT39" s="48"/>
      <c r="TJU39" s="48"/>
      <c r="TJV39" s="48"/>
      <c r="TJW39" s="48"/>
      <c r="TJX39" s="48"/>
      <c r="TJY39" s="48"/>
      <c r="TJZ39" s="48"/>
      <c r="TKA39" s="48"/>
      <c r="TKB39" s="48"/>
      <c r="TKC39" s="48"/>
      <c r="TKD39" s="48"/>
      <c r="TKE39" s="48"/>
      <c r="TKF39" s="48"/>
      <c r="TKG39" s="45"/>
      <c r="TKH39" s="46"/>
      <c r="TKI39" s="46"/>
      <c r="TKJ39" s="47"/>
      <c r="TKK39" s="48"/>
      <c r="TKL39" s="48"/>
      <c r="TKM39" s="48"/>
      <c r="TKN39" s="48"/>
      <c r="TKO39" s="48"/>
      <c r="TKP39" s="48"/>
      <c r="TKQ39" s="48"/>
      <c r="TKR39" s="48"/>
      <c r="TKS39" s="48"/>
      <c r="TKT39" s="48"/>
      <c r="TKU39" s="48"/>
      <c r="TKV39" s="48"/>
      <c r="TKW39" s="48"/>
      <c r="TKX39" s="48"/>
      <c r="TKY39" s="48"/>
      <c r="TKZ39" s="48"/>
      <c r="TLA39" s="48"/>
      <c r="TLB39" s="48"/>
      <c r="TLC39" s="45"/>
      <c r="TLD39" s="46"/>
      <c r="TLE39" s="46"/>
      <c r="TLF39" s="47"/>
      <c r="TLG39" s="48"/>
      <c r="TLH39" s="48"/>
      <c r="TLI39" s="48"/>
      <c r="TLJ39" s="48"/>
      <c r="TLK39" s="48"/>
      <c r="TLL39" s="48"/>
      <c r="TLM39" s="48"/>
      <c r="TLN39" s="48"/>
      <c r="TLO39" s="48"/>
      <c r="TLP39" s="48"/>
      <c r="TLQ39" s="48"/>
      <c r="TLR39" s="48"/>
      <c r="TLS39" s="48"/>
      <c r="TLT39" s="48"/>
      <c r="TLU39" s="48"/>
      <c r="TLV39" s="48"/>
      <c r="TLW39" s="48"/>
      <c r="TLX39" s="48"/>
      <c r="TLY39" s="45"/>
      <c r="TLZ39" s="46"/>
      <c r="TMA39" s="46"/>
      <c r="TMB39" s="47"/>
      <c r="TMC39" s="48"/>
      <c r="TMD39" s="48"/>
      <c r="TME39" s="48"/>
      <c r="TMF39" s="48"/>
      <c r="TMG39" s="48"/>
      <c r="TMH39" s="48"/>
      <c r="TMI39" s="48"/>
      <c r="TMJ39" s="48"/>
      <c r="TMK39" s="48"/>
      <c r="TML39" s="48"/>
      <c r="TMM39" s="48"/>
      <c r="TMN39" s="48"/>
      <c r="TMO39" s="48"/>
      <c r="TMP39" s="48"/>
      <c r="TMQ39" s="48"/>
      <c r="TMR39" s="48"/>
      <c r="TMS39" s="48"/>
      <c r="TMT39" s="48"/>
      <c r="TMU39" s="45"/>
      <c r="TMV39" s="46"/>
      <c r="TMW39" s="46"/>
      <c r="TMX39" s="47"/>
      <c r="TMY39" s="48"/>
      <c r="TMZ39" s="48"/>
      <c r="TNA39" s="48"/>
      <c r="TNB39" s="48"/>
      <c r="TNC39" s="48"/>
      <c r="TND39" s="48"/>
      <c r="TNE39" s="48"/>
      <c r="TNF39" s="48"/>
      <c r="TNG39" s="48"/>
      <c r="TNH39" s="48"/>
      <c r="TNI39" s="48"/>
      <c r="TNJ39" s="48"/>
      <c r="TNK39" s="48"/>
      <c r="TNL39" s="48"/>
      <c r="TNM39" s="48"/>
      <c r="TNN39" s="48"/>
      <c r="TNO39" s="48"/>
      <c r="TNP39" s="48"/>
      <c r="TNQ39" s="45"/>
      <c r="TNR39" s="46"/>
      <c r="TNS39" s="46"/>
      <c r="TNT39" s="47"/>
      <c r="TNU39" s="48"/>
      <c r="TNV39" s="48"/>
      <c r="TNW39" s="48"/>
      <c r="TNX39" s="48"/>
      <c r="TNY39" s="48"/>
      <c r="TNZ39" s="48"/>
      <c r="TOA39" s="48"/>
      <c r="TOB39" s="48"/>
      <c r="TOC39" s="48"/>
      <c r="TOD39" s="48"/>
      <c r="TOE39" s="48"/>
      <c r="TOF39" s="48"/>
      <c r="TOG39" s="48"/>
      <c r="TOH39" s="48"/>
      <c r="TOI39" s="48"/>
      <c r="TOJ39" s="48"/>
      <c r="TOK39" s="48"/>
      <c r="TOL39" s="48"/>
      <c r="TOM39" s="45"/>
      <c r="TON39" s="46"/>
      <c r="TOO39" s="46"/>
      <c r="TOP39" s="47"/>
      <c r="TOQ39" s="48"/>
      <c r="TOR39" s="48"/>
      <c r="TOS39" s="48"/>
      <c r="TOT39" s="48"/>
      <c r="TOU39" s="48"/>
      <c r="TOV39" s="48"/>
      <c r="TOW39" s="48"/>
      <c r="TOX39" s="48"/>
      <c r="TOY39" s="48"/>
      <c r="TOZ39" s="48"/>
      <c r="TPA39" s="48"/>
      <c r="TPB39" s="48"/>
      <c r="TPC39" s="48"/>
      <c r="TPD39" s="48"/>
      <c r="TPE39" s="48"/>
      <c r="TPF39" s="48"/>
      <c r="TPG39" s="48"/>
      <c r="TPH39" s="48"/>
      <c r="TPI39" s="45"/>
      <c r="TPJ39" s="46"/>
      <c r="TPK39" s="46"/>
      <c r="TPL39" s="47"/>
      <c r="TPM39" s="48"/>
      <c r="TPN39" s="48"/>
      <c r="TPO39" s="48"/>
      <c r="TPP39" s="48"/>
      <c r="TPQ39" s="48"/>
      <c r="TPR39" s="48"/>
      <c r="TPS39" s="48"/>
      <c r="TPT39" s="48"/>
      <c r="TPU39" s="48"/>
      <c r="TPV39" s="48"/>
      <c r="TPW39" s="48"/>
      <c r="TPX39" s="48"/>
      <c r="TPY39" s="48"/>
      <c r="TPZ39" s="48"/>
      <c r="TQA39" s="48"/>
      <c r="TQB39" s="48"/>
      <c r="TQC39" s="48"/>
      <c r="TQD39" s="48"/>
      <c r="TQE39" s="45"/>
      <c r="TQF39" s="46"/>
      <c r="TQG39" s="46"/>
      <c r="TQH39" s="47"/>
      <c r="TQI39" s="48"/>
      <c r="TQJ39" s="48"/>
      <c r="TQK39" s="48"/>
      <c r="TQL39" s="48"/>
      <c r="TQM39" s="48"/>
      <c r="TQN39" s="48"/>
      <c r="TQO39" s="48"/>
      <c r="TQP39" s="48"/>
      <c r="TQQ39" s="48"/>
      <c r="TQR39" s="48"/>
      <c r="TQS39" s="48"/>
      <c r="TQT39" s="48"/>
      <c r="TQU39" s="48"/>
      <c r="TQV39" s="48"/>
      <c r="TQW39" s="48"/>
      <c r="TQX39" s="48"/>
      <c r="TQY39" s="48"/>
      <c r="TQZ39" s="48"/>
      <c r="TRA39" s="45"/>
      <c r="TRB39" s="46"/>
      <c r="TRC39" s="46"/>
      <c r="TRD39" s="47"/>
      <c r="TRE39" s="48"/>
      <c r="TRF39" s="48"/>
      <c r="TRG39" s="48"/>
      <c r="TRH39" s="48"/>
      <c r="TRI39" s="48"/>
      <c r="TRJ39" s="48"/>
      <c r="TRK39" s="48"/>
      <c r="TRL39" s="48"/>
      <c r="TRM39" s="48"/>
      <c r="TRN39" s="48"/>
      <c r="TRO39" s="48"/>
      <c r="TRP39" s="48"/>
      <c r="TRQ39" s="48"/>
      <c r="TRR39" s="48"/>
      <c r="TRS39" s="48"/>
      <c r="TRT39" s="48"/>
      <c r="TRU39" s="48"/>
      <c r="TRV39" s="48"/>
      <c r="TRW39" s="45"/>
      <c r="TRX39" s="46"/>
      <c r="TRY39" s="46"/>
      <c r="TRZ39" s="47"/>
      <c r="TSA39" s="48"/>
      <c r="TSB39" s="48"/>
      <c r="TSC39" s="48"/>
      <c r="TSD39" s="48"/>
      <c r="TSE39" s="48"/>
      <c r="TSF39" s="48"/>
      <c r="TSG39" s="48"/>
      <c r="TSH39" s="48"/>
      <c r="TSI39" s="48"/>
      <c r="TSJ39" s="48"/>
      <c r="TSK39" s="48"/>
      <c r="TSL39" s="48"/>
      <c r="TSM39" s="48"/>
      <c r="TSN39" s="48"/>
      <c r="TSO39" s="48"/>
      <c r="TSP39" s="48"/>
      <c r="TSQ39" s="48"/>
      <c r="TSR39" s="48"/>
      <c r="TSS39" s="45"/>
      <c r="TST39" s="46"/>
      <c r="TSU39" s="46"/>
      <c r="TSV39" s="47"/>
      <c r="TSW39" s="48"/>
      <c r="TSX39" s="48"/>
      <c r="TSY39" s="48"/>
      <c r="TSZ39" s="48"/>
      <c r="TTA39" s="48"/>
      <c r="TTB39" s="48"/>
      <c r="TTC39" s="48"/>
      <c r="TTD39" s="48"/>
      <c r="TTE39" s="48"/>
      <c r="TTF39" s="48"/>
      <c r="TTG39" s="48"/>
      <c r="TTH39" s="48"/>
      <c r="TTI39" s="48"/>
      <c r="TTJ39" s="48"/>
      <c r="TTK39" s="48"/>
      <c r="TTL39" s="48"/>
      <c r="TTM39" s="48"/>
      <c r="TTN39" s="48"/>
      <c r="TTO39" s="45"/>
      <c r="TTP39" s="46"/>
      <c r="TTQ39" s="46"/>
      <c r="TTR39" s="47"/>
      <c r="TTS39" s="48"/>
      <c r="TTT39" s="48"/>
      <c r="TTU39" s="48"/>
      <c r="TTV39" s="48"/>
      <c r="TTW39" s="48"/>
      <c r="TTX39" s="48"/>
      <c r="TTY39" s="48"/>
      <c r="TTZ39" s="48"/>
      <c r="TUA39" s="48"/>
      <c r="TUB39" s="48"/>
      <c r="TUC39" s="48"/>
      <c r="TUD39" s="48"/>
      <c r="TUE39" s="48"/>
      <c r="TUF39" s="48"/>
      <c r="TUG39" s="48"/>
      <c r="TUH39" s="48"/>
      <c r="TUI39" s="48"/>
      <c r="TUJ39" s="48"/>
      <c r="TUK39" s="45"/>
      <c r="TUL39" s="46"/>
      <c r="TUM39" s="46"/>
      <c r="TUN39" s="47"/>
      <c r="TUO39" s="48"/>
      <c r="TUP39" s="48"/>
      <c r="TUQ39" s="48"/>
      <c r="TUR39" s="48"/>
      <c r="TUS39" s="48"/>
      <c r="TUT39" s="48"/>
      <c r="TUU39" s="48"/>
      <c r="TUV39" s="48"/>
      <c r="TUW39" s="48"/>
      <c r="TUX39" s="48"/>
      <c r="TUY39" s="48"/>
      <c r="TUZ39" s="48"/>
      <c r="TVA39" s="48"/>
      <c r="TVB39" s="48"/>
      <c r="TVC39" s="48"/>
      <c r="TVD39" s="48"/>
      <c r="TVE39" s="48"/>
      <c r="TVF39" s="48"/>
      <c r="TVG39" s="45"/>
      <c r="TVH39" s="46"/>
      <c r="TVI39" s="46"/>
      <c r="TVJ39" s="47"/>
      <c r="TVK39" s="48"/>
      <c r="TVL39" s="48"/>
      <c r="TVM39" s="48"/>
      <c r="TVN39" s="48"/>
      <c r="TVO39" s="48"/>
      <c r="TVP39" s="48"/>
      <c r="TVQ39" s="48"/>
      <c r="TVR39" s="48"/>
      <c r="TVS39" s="48"/>
      <c r="TVT39" s="48"/>
      <c r="TVU39" s="48"/>
      <c r="TVV39" s="48"/>
      <c r="TVW39" s="48"/>
      <c r="TVX39" s="48"/>
      <c r="TVY39" s="48"/>
      <c r="TVZ39" s="48"/>
      <c r="TWA39" s="48"/>
      <c r="TWB39" s="48"/>
      <c r="TWC39" s="45"/>
      <c r="TWD39" s="46"/>
      <c r="TWE39" s="46"/>
      <c r="TWF39" s="47"/>
      <c r="TWG39" s="48"/>
      <c r="TWH39" s="48"/>
      <c r="TWI39" s="48"/>
      <c r="TWJ39" s="48"/>
      <c r="TWK39" s="48"/>
      <c r="TWL39" s="48"/>
      <c r="TWM39" s="48"/>
      <c r="TWN39" s="48"/>
      <c r="TWO39" s="48"/>
      <c r="TWP39" s="48"/>
      <c r="TWQ39" s="48"/>
      <c r="TWR39" s="48"/>
      <c r="TWS39" s="48"/>
      <c r="TWT39" s="48"/>
      <c r="TWU39" s="48"/>
      <c r="TWV39" s="48"/>
      <c r="TWW39" s="48"/>
      <c r="TWX39" s="48"/>
      <c r="TWY39" s="45"/>
      <c r="TWZ39" s="46"/>
      <c r="TXA39" s="46"/>
      <c r="TXB39" s="47"/>
      <c r="TXC39" s="48"/>
      <c r="TXD39" s="48"/>
      <c r="TXE39" s="48"/>
      <c r="TXF39" s="48"/>
      <c r="TXG39" s="48"/>
      <c r="TXH39" s="48"/>
      <c r="TXI39" s="48"/>
      <c r="TXJ39" s="48"/>
      <c r="TXK39" s="48"/>
      <c r="TXL39" s="48"/>
      <c r="TXM39" s="48"/>
      <c r="TXN39" s="48"/>
      <c r="TXO39" s="48"/>
      <c r="TXP39" s="48"/>
      <c r="TXQ39" s="48"/>
      <c r="TXR39" s="48"/>
      <c r="TXS39" s="48"/>
      <c r="TXT39" s="48"/>
      <c r="TXU39" s="45"/>
      <c r="TXV39" s="46"/>
      <c r="TXW39" s="46"/>
      <c r="TXX39" s="47"/>
      <c r="TXY39" s="48"/>
      <c r="TXZ39" s="48"/>
      <c r="TYA39" s="48"/>
      <c r="TYB39" s="48"/>
      <c r="TYC39" s="48"/>
      <c r="TYD39" s="48"/>
      <c r="TYE39" s="48"/>
      <c r="TYF39" s="48"/>
      <c r="TYG39" s="48"/>
      <c r="TYH39" s="48"/>
      <c r="TYI39" s="48"/>
      <c r="TYJ39" s="48"/>
      <c r="TYK39" s="48"/>
      <c r="TYL39" s="48"/>
      <c r="TYM39" s="48"/>
      <c r="TYN39" s="48"/>
      <c r="TYO39" s="48"/>
      <c r="TYP39" s="48"/>
      <c r="TYQ39" s="45"/>
      <c r="TYR39" s="46"/>
      <c r="TYS39" s="46"/>
      <c r="TYT39" s="47"/>
      <c r="TYU39" s="48"/>
      <c r="TYV39" s="48"/>
      <c r="TYW39" s="48"/>
      <c r="TYX39" s="48"/>
      <c r="TYY39" s="48"/>
      <c r="TYZ39" s="48"/>
      <c r="TZA39" s="48"/>
      <c r="TZB39" s="48"/>
      <c r="TZC39" s="48"/>
      <c r="TZD39" s="48"/>
      <c r="TZE39" s="48"/>
      <c r="TZF39" s="48"/>
      <c r="TZG39" s="48"/>
      <c r="TZH39" s="48"/>
      <c r="TZI39" s="48"/>
      <c r="TZJ39" s="48"/>
      <c r="TZK39" s="48"/>
      <c r="TZL39" s="48"/>
      <c r="TZM39" s="45"/>
      <c r="TZN39" s="46"/>
      <c r="TZO39" s="46"/>
      <c r="TZP39" s="47"/>
      <c r="TZQ39" s="48"/>
      <c r="TZR39" s="48"/>
      <c r="TZS39" s="48"/>
      <c r="TZT39" s="48"/>
      <c r="TZU39" s="48"/>
      <c r="TZV39" s="48"/>
      <c r="TZW39" s="48"/>
      <c r="TZX39" s="48"/>
      <c r="TZY39" s="48"/>
      <c r="TZZ39" s="48"/>
      <c r="UAA39" s="48"/>
      <c r="UAB39" s="48"/>
      <c r="UAC39" s="48"/>
      <c r="UAD39" s="48"/>
      <c r="UAE39" s="48"/>
      <c r="UAF39" s="48"/>
      <c r="UAG39" s="48"/>
      <c r="UAH39" s="48"/>
      <c r="UAI39" s="45"/>
      <c r="UAJ39" s="46"/>
      <c r="UAK39" s="46"/>
      <c r="UAL39" s="47"/>
      <c r="UAM39" s="48"/>
      <c r="UAN39" s="48"/>
      <c r="UAO39" s="48"/>
      <c r="UAP39" s="48"/>
      <c r="UAQ39" s="48"/>
      <c r="UAR39" s="48"/>
      <c r="UAS39" s="48"/>
      <c r="UAT39" s="48"/>
      <c r="UAU39" s="48"/>
      <c r="UAV39" s="48"/>
      <c r="UAW39" s="48"/>
      <c r="UAX39" s="48"/>
      <c r="UAY39" s="48"/>
      <c r="UAZ39" s="48"/>
      <c r="UBA39" s="48"/>
      <c r="UBB39" s="48"/>
      <c r="UBC39" s="48"/>
      <c r="UBD39" s="48"/>
      <c r="UBE39" s="45"/>
      <c r="UBF39" s="46"/>
      <c r="UBG39" s="46"/>
      <c r="UBH39" s="47"/>
      <c r="UBI39" s="48"/>
      <c r="UBJ39" s="48"/>
      <c r="UBK39" s="48"/>
      <c r="UBL39" s="48"/>
      <c r="UBM39" s="48"/>
      <c r="UBN39" s="48"/>
      <c r="UBO39" s="48"/>
      <c r="UBP39" s="48"/>
      <c r="UBQ39" s="48"/>
      <c r="UBR39" s="48"/>
      <c r="UBS39" s="48"/>
      <c r="UBT39" s="48"/>
      <c r="UBU39" s="48"/>
      <c r="UBV39" s="48"/>
      <c r="UBW39" s="48"/>
      <c r="UBX39" s="48"/>
      <c r="UBY39" s="48"/>
      <c r="UBZ39" s="48"/>
      <c r="UCA39" s="45"/>
      <c r="UCB39" s="46"/>
      <c r="UCC39" s="46"/>
      <c r="UCD39" s="47"/>
      <c r="UCE39" s="48"/>
      <c r="UCF39" s="48"/>
      <c r="UCG39" s="48"/>
      <c r="UCH39" s="48"/>
      <c r="UCI39" s="48"/>
      <c r="UCJ39" s="48"/>
      <c r="UCK39" s="48"/>
      <c r="UCL39" s="48"/>
      <c r="UCM39" s="48"/>
      <c r="UCN39" s="48"/>
      <c r="UCO39" s="48"/>
      <c r="UCP39" s="48"/>
      <c r="UCQ39" s="48"/>
      <c r="UCR39" s="48"/>
      <c r="UCS39" s="48"/>
      <c r="UCT39" s="48"/>
      <c r="UCU39" s="48"/>
      <c r="UCV39" s="48"/>
      <c r="UCW39" s="45"/>
      <c r="UCX39" s="46"/>
      <c r="UCY39" s="46"/>
      <c r="UCZ39" s="47"/>
      <c r="UDA39" s="48"/>
      <c r="UDB39" s="48"/>
      <c r="UDC39" s="48"/>
      <c r="UDD39" s="48"/>
      <c r="UDE39" s="48"/>
      <c r="UDF39" s="48"/>
      <c r="UDG39" s="48"/>
      <c r="UDH39" s="48"/>
      <c r="UDI39" s="48"/>
      <c r="UDJ39" s="48"/>
      <c r="UDK39" s="48"/>
      <c r="UDL39" s="48"/>
      <c r="UDM39" s="48"/>
      <c r="UDN39" s="48"/>
      <c r="UDO39" s="48"/>
      <c r="UDP39" s="48"/>
      <c r="UDQ39" s="48"/>
      <c r="UDR39" s="48"/>
      <c r="UDS39" s="45"/>
      <c r="UDT39" s="46"/>
      <c r="UDU39" s="46"/>
      <c r="UDV39" s="47"/>
      <c r="UDW39" s="48"/>
      <c r="UDX39" s="48"/>
      <c r="UDY39" s="48"/>
      <c r="UDZ39" s="48"/>
      <c r="UEA39" s="48"/>
      <c r="UEB39" s="48"/>
      <c r="UEC39" s="48"/>
      <c r="UED39" s="48"/>
      <c r="UEE39" s="48"/>
      <c r="UEF39" s="48"/>
      <c r="UEG39" s="48"/>
      <c r="UEH39" s="48"/>
      <c r="UEI39" s="48"/>
      <c r="UEJ39" s="48"/>
      <c r="UEK39" s="48"/>
      <c r="UEL39" s="48"/>
      <c r="UEM39" s="48"/>
      <c r="UEN39" s="48"/>
      <c r="UEO39" s="45"/>
      <c r="UEP39" s="46"/>
      <c r="UEQ39" s="46"/>
      <c r="UER39" s="47"/>
      <c r="UES39" s="48"/>
      <c r="UET39" s="48"/>
      <c r="UEU39" s="48"/>
      <c r="UEV39" s="48"/>
      <c r="UEW39" s="48"/>
      <c r="UEX39" s="48"/>
      <c r="UEY39" s="48"/>
      <c r="UEZ39" s="48"/>
      <c r="UFA39" s="48"/>
      <c r="UFB39" s="48"/>
      <c r="UFC39" s="48"/>
      <c r="UFD39" s="48"/>
      <c r="UFE39" s="48"/>
      <c r="UFF39" s="48"/>
      <c r="UFG39" s="48"/>
      <c r="UFH39" s="48"/>
      <c r="UFI39" s="48"/>
      <c r="UFJ39" s="48"/>
      <c r="UFK39" s="45"/>
      <c r="UFL39" s="46"/>
      <c r="UFM39" s="46"/>
      <c r="UFN39" s="47"/>
      <c r="UFO39" s="48"/>
      <c r="UFP39" s="48"/>
      <c r="UFQ39" s="48"/>
      <c r="UFR39" s="48"/>
      <c r="UFS39" s="48"/>
      <c r="UFT39" s="48"/>
      <c r="UFU39" s="48"/>
      <c r="UFV39" s="48"/>
      <c r="UFW39" s="48"/>
      <c r="UFX39" s="48"/>
      <c r="UFY39" s="48"/>
      <c r="UFZ39" s="48"/>
      <c r="UGA39" s="48"/>
      <c r="UGB39" s="48"/>
      <c r="UGC39" s="48"/>
      <c r="UGD39" s="48"/>
      <c r="UGE39" s="48"/>
      <c r="UGF39" s="48"/>
      <c r="UGG39" s="45"/>
      <c r="UGH39" s="46"/>
      <c r="UGI39" s="46"/>
      <c r="UGJ39" s="47"/>
      <c r="UGK39" s="48"/>
      <c r="UGL39" s="48"/>
      <c r="UGM39" s="48"/>
      <c r="UGN39" s="48"/>
      <c r="UGO39" s="48"/>
      <c r="UGP39" s="48"/>
      <c r="UGQ39" s="48"/>
      <c r="UGR39" s="48"/>
      <c r="UGS39" s="48"/>
      <c r="UGT39" s="48"/>
      <c r="UGU39" s="48"/>
      <c r="UGV39" s="48"/>
      <c r="UGW39" s="48"/>
      <c r="UGX39" s="48"/>
      <c r="UGY39" s="48"/>
      <c r="UGZ39" s="48"/>
      <c r="UHA39" s="48"/>
      <c r="UHB39" s="48"/>
      <c r="UHC39" s="45"/>
      <c r="UHD39" s="46"/>
      <c r="UHE39" s="46"/>
      <c r="UHF39" s="47"/>
      <c r="UHG39" s="48"/>
      <c r="UHH39" s="48"/>
      <c r="UHI39" s="48"/>
      <c r="UHJ39" s="48"/>
      <c r="UHK39" s="48"/>
      <c r="UHL39" s="48"/>
      <c r="UHM39" s="48"/>
      <c r="UHN39" s="48"/>
      <c r="UHO39" s="48"/>
      <c r="UHP39" s="48"/>
      <c r="UHQ39" s="48"/>
      <c r="UHR39" s="48"/>
      <c r="UHS39" s="48"/>
      <c r="UHT39" s="48"/>
      <c r="UHU39" s="48"/>
      <c r="UHV39" s="48"/>
      <c r="UHW39" s="48"/>
      <c r="UHX39" s="48"/>
      <c r="UHY39" s="45"/>
      <c r="UHZ39" s="46"/>
      <c r="UIA39" s="46"/>
      <c r="UIB39" s="47"/>
      <c r="UIC39" s="48"/>
      <c r="UID39" s="48"/>
      <c r="UIE39" s="48"/>
      <c r="UIF39" s="48"/>
      <c r="UIG39" s="48"/>
      <c r="UIH39" s="48"/>
      <c r="UII39" s="48"/>
      <c r="UIJ39" s="48"/>
      <c r="UIK39" s="48"/>
      <c r="UIL39" s="48"/>
      <c r="UIM39" s="48"/>
      <c r="UIN39" s="48"/>
      <c r="UIO39" s="48"/>
      <c r="UIP39" s="48"/>
      <c r="UIQ39" s="48"/>
      <c r="UIR39" s="48"/>
      <c r="UIS39" s="48"/>
      <c r="UIT39" s="48"/>
      <c r="UIU39" s="45"/>
      <c r="UIV39" s="46"/>
      <c r="UIW39" s="46"/>
      <c r="UIX39" s="47"/>
      <c r="UIY39" s="48"/>
      <c r="UIZ39" s="48"/>
      <c r="UJA39" s="48"/>
      <c r="UJB39" s="48"/>
      <c r="UJC39" s="48"/>
      <c r="UJD39" s="48"/>
      <c r="UJE39" s="48"/>
      <c r="UJF39" s="48"/>
      <c r="UJG39" s="48"/>
      <c r="UJH39" s="48"/>
      <c r="UJI39" s="48"/>
      <c r="UJJ39" s="48"/>
      <c r="UJK39" s="48"/>
      <c r="UJL39" s="48"/>
      <c r="UJM39" s="48"/>
      <c r="UJN39" s="48"/>
      <c r="UJO39" s="48"/>
      <c r="UJP39" s="48"/>
      <c r="UJQ39" s="45"/>
      <c r="UJR39" s="46"/>
      <c r="UJS39" s="46"/>
      <c r="UJT39" s="47"/>
      <c r="UJU39" s="48"/>
      <c r="UJV39" s="48"/>
      <c r="UJW39" s="48"/>
      <c r="UJX39" s="48"/>
      <c r="UJY39" s="48"/>
      <c r="UJZ39" s="48"/>
      <c r="UKA39" s="48"/>
      <c r="UKB39" s="48"/>
      <c r="UKC39" s="48"/>
      <c r="UKD39" s="48"/>
      <c r="UKE39" s="48"/>
      <c r="UKF39" s="48"/>
      <c r="UKG39" s="48"/>
      <c r="UKH39" s="48"/>
      <c r="UKI39" s="48"/>
      <c r="UKJ39" s="48"/>
      <c r="UKK39" s="48"/>
      <c r="UKL39" s="48"/>
      <c r="UKM39" s="45"/>
      <c r="UKN39" s="46"/>
      <c r="UKO39" s="46"/>
      <c r="UKP39" s="47"/>
      <c r="UKQ39" s="48"/>
      <c r="UKR39" s="48"/>
      <c r="UKS39" s="48"/>
      <c r="UKT39" s="48"/>
      <c r="UKU39" s="48"/>
      <c r="UKV39" s="48"/>
      <c r="UKW39" s="48"/>
      <c r="UKX39" s="48"/>
      <c r="UKY39" s="48"/>
      <c r="UKZ39" s="48"/>
      <c r="ULA39" s="48"/>
      <c r="ULB39" s="48"/>
      <c r="ULC39" s="48"/>
      <c r="ULD39" s="48"/>
      <c r="ULE39" s="48"/>
      <c r="ULF39" s="48"/>
      <c r="ULG39" s="48"/>
      <c r="ULH39" s="48"/>
      <c r="ULI39" s="45"/>
      <c r="ULJ39" s="46"/>
      <c r="ULK39" s="46"/>
      <c r="ULL39" s="47"/>
      <c r="ULM39" s="48"/>
      <c r="ULN39" s="48"/>
      <c r="ULO39" s="48"/>
      <c r="ULP39" s="48"/>
      <c r="ULQ39" s="48"/>
      <c r="ULR39" s="48"/>
      <c r="ULS39" s="48"/>
      <c r="ULT39" s="48"/>
      <c r="ULU39" s="48"/>
      <c r="ULV39" s="48"/>
      <c r="ULW39" s="48"/>
      <c r="ULX39" s="48"/>
      <c r="ULY39" s="48"/>
      <c r="ULZ39" s="48"/>
      <c r="UMA39" s="48"/>
      <c r="UMB39" s="48"/>
      <c r="UMC39" s="48"/>
      <c r="UMD39" s="48"/>
      <c r="UME39" s="45"/>
      <c r="UMF39" s="46"/>
      <c r="UMG39" s="46"/>
      <c r="UMH39" s="47"/>
      <c r="UMI39" s="48"/>
      <c r="UMJ39" s="48"/>
      <c r="UMK39" s="48"/>
      <c r="UML39" s="48"/>
      <c r="UMM39" s="48"/>
      <c r="UMN39" s="48"/>
      <c r="UMO39" s="48"/>
      <c r="UMP39" s="48"/>
      <c r="UMQ39" s="48"/>
      <c r="UMR39" s="48"/>
      <c r="UMS39" s="48"/>
      <c r="UMT39" s="48"/>
      <c r="UMU39" s="48"/>
      <c r="UMV39" s="48"/>
      <c r="UMW39" s="48"/>
      <c r="UMX39" s="48"/>
      <c r="UMY39" s="48"/>
      <c r="UMZ39" s="48"/>
      <c r="UNA39" s="45"/>
      <c r="UNB39" s="46"/>
      <c r="UNC39" s="46"/>
      <c r="UND39" s="47"/>
      <c r="UNE39" s="48"/>
      <c r="UNF39" s="48"/>
      <c r="UNG39" s="48"/>
      <c r="UNH39" s="48"/>
      <c r="UNI39" s="48"/>
      <c r="UNJ39" s="48"/>
      <c r="UNK39" s="48"/>
      <c r="UNL39" s="48"/>
      <c r="UNM39" s="48"/>
      <c r="UNN39" s="48"/>
      <c r="UNO39" s="48"/>
      <c r="UNP39" s="48"/>
      <c r="UNQ39" s="48"/>
      <c r="UNR39" s="48"/>
      <c r="UNS39" s="48"/>
      <c r="UNT39" s="48"/>
      <c r="UNU39" s="48"/>
      <c r="UNV39" s="48"/>
      <c r="UNW39" s="45"/>
      <c r="UNX39" s="46"/>
      <c r="UNY39" s="46"/>
      <c r="UNZ39" s="47"/>
      <c r="UOA39" s="48"/>
      <c r="UOB39" s="48"/>
      <c r="UOC39" s="48"/>
      <c r="UOD39" s="48"/>
      <c r="UOE39" s="48"/>
      <c r="UOF39" s="48"/>
      <c r="UOG39" s="48"/>
      <c r="UOH39" s="48"/>
      <c r="UOI39" s="48"/>
      <c r="UOJ39" s="48"/>
      <c r="UOK39" s="48"/>
      <c r="UOL39" s="48"/>
      <c r="UOM39" s="48"/>
      <c r="UON39" s="48"/>
      <c r="UOO39" s="48"/>
      <c r="UOP39" s="48"/>
      <c r="UOQ39" s="48"/>
      <c r="UOR39" s="48"/>
      <c r="UOS39" s="45"/>
      <c r="UOT39" s="46"/>
      <c r="UOU39" s="46"/>
      <c r="UOV39" s="47"/>
      <c r="UOW39" s="48"/>
      <c r="UOX39" s="48"/>
      <c r="UOY39" s="48"/>
      <c r="UOZ39" s="48"/>
      <c r="UPA39" s="48"/>
      <c r="UPB39" s="48"/>
      <c r="UPC39" s="48"/>
      <c r="UPD39" s="48"/>
      <c r="UPE39" s="48"/>
      <c r="UPF39" s="48"/>
      <c r="UPG39" s="48"/>
      <c r="UPH39" s="48"/>
      <c r="UPI39" s="48"/>
      <c r="UPJ39" s="48"/>
      <c r="UPK39" s="48"/>
      <c r="UPL39" s="48"/>
      <c r="UPM39" s="48"/>
      <c r="UPN39" s="48"/>
      <c r="UPO39" s="45"/>
      <c r="UPP39" s="46"/>
      <c r="UPQ39" s="46"/>
      <c r="UPR39" s="47"/>
      <c r="UPS39" s="48"/>
      <c r="UPT39" s="48"/>
      <c r="UPU39" s="48"/>
      <c r="UPV39" s="48"/>
      <c r="UPW39" s="48"/>
      <c r="UPX39" s="48"/>
      <c r="UPY39" s="48"/>
      <c r="UPZ39" s="48"/>
      <c r="UQA39" s="48"/>
      <c r="UQB39" s="48"/>
      <c r="UQC39" s="48"/>
      <c r="UQD39" s="48"/>
      <c r="UQE39" s="48"/>
      <c r="UQF39" s="48"/>
      <c r="UQG39" s="48"/>
      <c r="UQH39" s="48"/>
      <c r="UQI39" s="48"/>
      <c r="UQJ39" s="48"/>
      <c r="UQK39" s="45"/>
      <c r="UQL39" s="46"/>
      <c r="UQM39" s="46"/>
      <c r="UQN39" s="47"/>
      <c r="UQO39" s="48"/>
      <c r="UQP39" s="48"/>
      <c r="UQQ39" s="48"/>
      <c r="UQR39" s="48"/>
      <c r="UQS39" s="48"/>
      <c r="UQT39" s="48"/>
      <c r="UQU39" s="48"/>
      <c r="UQV39" s="48"/>
      <c r="UQW39" s="48"/>
      <c r="UQX39" s="48"/>
      <c r="UQY39" s="48"/>
      <c r="UQZ39" s="48"/>
      <c r="URA39" s="48"/>
      <c r="URB39" s="48"/>
      <c r="URC39" s="48"/>
      <c r="URD39" s="48"/>
      <c r="URE39" s="48"/>
      <c r="URF39" s="48"/>
      <c r="URG39" s="45"/>
      <c r="URH39" s="46"/>
      <c r="URI39" s="46"/>
      <c r="URJ39" s="47"/>
      <c r="URK39" s="48"/>
      <c r="URL39" s="48"/>
      <c r="URM39" s="48"/>
      <c r="URN39" s="48"/>
      <c r="URO39" s="48"/>
      <c r="URP39" s="48"/>
      <c r="URQ39" s="48"/>
      <c r="URR39" s="48"/>
      <c r="URS39" s="48"/>
      <c r="URT39" s="48"/>
      <c r="URU39" s="48"/>
      <c r="URV39" s="48"/>
      <c r="URW39" s="48"/>
      <c r="URX39" s="48"/>
      <c r="URY39" s="48"/>
      <c r="URZ39" s="48"/>
      <c r="USA39" s="48"/>
      <c r="USB39" s="48"/>
      <c r="USC39" s="45"/>
      <c r="USD39" s="46"/>
      <c r="USE39" s="46"/>
      <c r="USF39" s="47"/>
      <c r="USG39" s="48"/>
      <c r="USH39" s="48"/>
      <c r="USI39" s="48"/>
      <c r="USJ39" s="48"/>
      <c r="USK39" s="48"/>
      <c r="USL39" s="48"/>
      <c r="USM39" s="48"/>
      <c r="USN39" s="48"/>
      <c r="USO39" s="48"/>
      <c r="USP39" s="48"/>
      <c r="USQ39" s="48"/>
      <c r="USR39" s="48"/>
      <c r="USS39" s="48"/>
      <c r="UST39" s="48"/>
      <c r="USU39" s="48"/>
      <c r="USV39" s="48"/>
      <c r="USW39" s="48"/>
      <c r="USX39" s="48"/>
      <c r="USY39" s="45"/>
      <c r="USZ39" s="46"/>
      <c r="UTA39" s="46"/>
      <c r="UTB39" s="47"/>
      <c r="UTC39" s="48"/>
      <c r="UTD39" s="48"/>
      <c r="UTE39" s="48"/>
      <c r="UTF39" s="48"/>
      <c r="UTG39" s="48"/>
      <c r="UTH39" s="48"/>
      <c r="UTI39" s="48"/>
      <c r="UTJ39" s="48"/>
      <c r="UTK39" s="48"/>
      <c r="UTL39" s="48"/>
      <c r="UTM39" s="48"/>
      <c r="UTN39" s="48"/>
      <c r="UTO39" s="48"/>
      <c r="UTP39" s="48"/>
      <c r="UTQ39" s="48"/>
      <c r="UTR39" s="48"/>
      <c r="UTS39" s="48"/>
      <c r="UTT39" s="48"/>
      <c r="UTU39" s="45"/>
      <c r="UTV39" s="46"/>
      <c r="UTW39" s="46"/>
      <c r="UTX39" s="47"/>
      <c r="UTY39" s="48"/>
      <c r="UTZ39" s="48"/>
      <c r="UUA39" s="48"/>
      <c r="UUB39" s="48"/>
      <c r="UUC39" s="48"/>
      <c r="UUD39" s="48"/>
      <c r="UUE39" s="48"/>
      <c r="UUF39" s="48"/>
      <c r="UUG39" s="48"/>
      <c r="UUH39" s="48"/>
      <c r="UUI39" s="48"/>
      <c r="UUJ39" s="48"/>
      <c r="UUK39" s="48"/>
      <c r="UUL39" s="48"/>
      <c r="UUM39" s="48"/>
      <c r="UUN39" s="48"/>
      <c r="UUO39" s="48"/>
      <c r="UUP39" s="48"/>
      <c r="UUQ39" s="45"/>
      <c r="UUR39" s="46"/>
      <c r="UUS39" s="46"/>
      <c r="UUT39" s="47"/>
      <c r="UUU39" s="48"/>
      <c r="UUV39" s="48"/>
      <c r="UUW39" s="48"/>
      <c r="UUX39" s="48"/>
      <c r="UUY39" s="48"/>
      <c r="UUZ39" s="48"/>
      <c r="UVA39" s="48"/>
      <c r="UVB39" s="48"/>
      <c r="UVC39" s="48"/>
      <c r="UVD39" s="48"/>
      <c r="UVE39" s="48"/>
      <c r="UVF39" s="48"/>
      <c r="UVG39" s="48"/>
      <c r="UVH39" s="48"/>
      <c r="UVI39" s="48"/>
      <c r="UVJ39" s="48"/>
      <c r="UVK39" s="48"/>
      <c r="UVL39" s="48"/>
      <c r="UVM39" s="45"/>
      <c r="UVN39" s="46"/>
      <c r="UVO39" s="46"/>
      <c r="UVP39" s="47"/>
      <c r="UVQ39" s="48"/>
      <c r="UVR39" s="48"/>
      <c r="UVS39" s="48"/>
      <c r="UVT39" s="48"/>
      <c r="UVU39" s="48"/>
      <c r="UVV39" s="48"/>
      <c r="UVW39" s="48"/>
      <c r="UVX39" s="48"/>
      <c r="UVY39" s="48"/>
      <c r="UVZ39" s="48"/>
      <c r="UWA39" s="48"/>
      <c r="UWB39" s="48"/>
      <c r="UWC39" s="48"/>
      <c r="UWD39" s="48"/>
      <c r="UWE39" s="48"/>
      <c r="UWF39" s="48"/>
      <c r="UWG39" s="48"/>
      <c r="UWH39" s="48"/>
      <c r="UWI39" s="45"/>
      <c r="UWJ39" s="46"/>
      <c r="UWK39" s="46"/>
      <c r="UWL39" s="47"/>
      <c r="UWM39" s="48"/>
      <c r="UWN39" s="48"/>
      <c r="UWO39" s="48"/>
      <c r="UWP39" s="48"/>
      <c r="UWQ39" s="48"/>
      <c r="UWR39" s="48"/>
      <c r="UWS39" s="48"/>
      <c r="UWT39" s="48"/>
      <c r="UWU39" s="48"/>
      <c r="UWV39" s="48"/>
      <c r="UWW39" s="48"/>
      <c r="UWX39" s="48"/>
      <c r="UWY39" s="48"/>
      <c r="UWZ39" s="48"/>
      <c r="UXA39" s="48"/>
      <c r="UXB39" s="48"/>
      <c r="UXC39" s="48"/>
      <c r="UXD39" s="48"/>
      <c r="UXE39" s="45"/>
      <c r="UXF39" s="46"/>
      <c r="UXG39" s="46"/>
      <c r="UXH39" s="47"/>
      <c r="UXI39" s="48"/>
      <c r="UXJ39" s="48"/>
      <c r="UXK39" s="48"/>
      <c r="UXL39" s="48"/>
      <c r="UXM39" s="48"/>
      <c r="UXN39" s="48"/>
      <c r="UXO39" s="48"/>
      <c r="UXP39" s="48"/>
      <c r="UXQ39" s="48"/>
      <c r="UXR39" s="48"/>
      <c r="UXS39" s="48"/>
      <c r="UXT39" s="48"/>
      <c r="UXU39" s="48"/>
      <c r="UXV39" s="48"/>
      <c r="UXW39" s="48"/>
      <c r="UXX39" s="48"/>
      <c r="UXY39" s="48"/>
      <c r="UXZ39" s="48"/>
      <c r="UYA39" s="45"/>
      <c r="UYB39" s="46"/>
      <c r="UYC39" s="46"/>
      <c r="UYD39" s="47"/>
      <c r="UYE39" s="48"/>
      <c r="UYF39" s="48"/>
      <c r="UYG39" s="48"/>
      <c r="UYH39" s="48"/>
      <c r="UYI39" s="48"/>
      <c r="UYJ39" s="48"/>
      <c r="UYK39" s="48"/>
      <c r="UYL39" s="48"/>
      <c r="UYM39" s="48"/>
      <c r="UYN39" s="48"/>
      <c r="UYO39" s="48"/>
      <c r="UYP39" s="48"/>
      <c r="UYQ39" s="48"/>
      <c r="UYR39" s="48"/>
      <c r="UYS39" s="48"/>
      <c r="UYT39" s="48"/>
      <c r="UYU39" s="48"/>
      <c r="UYV39" s="48"/>
      <c r="UYW39" s="45"/>
      <c r="UYX39" s="46"/>
      <c r="UYY39" s="46"/>
      <c r="UYZ39" s="47"/>
      <c r="UZA39" s="48"/>
      <c r="UZB39" s="48"/>
      <c r="UZC39" s="48"/>
      <c r="UZD39" s="48"/>
      <c r="UZE39" s="48"/>
      <c r="UZF39" s="48"/>
      <c r="UZG39" s="48"/>
      <c r="UZH39" s="48"/>
      <c r="UZI39" s="48"/>
      <c r="UZJ39" s="48"/>
      <c r="UZK39" s="48"/>
      <c r="UZL39" s="48"/>
      <c r="UZM39" s="48"/>
      <c r="UZN39" s="48"/>
      <c r="UZO39" s="48"/>
      <c r="UZP39" s="48"/>
      <c r="UZQ39" s="48"/>
      <c r="UZR39" s="48"/>
      <c r="UZS39" s="45"/>
      <c r="UZT39" s="46"/>
      <c r="UZU39" s="46"/>
      <c r="UZV39" s="47"/>
      <c r="UZW39" s="48"/>
      <c r="UZX39" s="48"/>
      <c r="UZY39" s="48"/>
      <c r="UZZ39" s="48"/>
      <c r="VAA39" s="48"/>
      <c r="VAB39" s="48"/>
      <c r="VAC39" s="48"/>
      <c r="VAD39" s="48"/>
      <c r="VAE39" s="48"/>
      <c r="VAF39" s="48"/>
      <c r="VAG39" s="48"/>
      <c r="VAH39" s="48"/>
      <c r="VAI39" s="48"/>
      <c r="VAJ39" s="48"/>
      <c r="VAK39" s="48"/>
      <c r="VAL39" s="48"/>
      <c r="VAM39" s="48"/>
      <c r="VAN39" s="48"/>
      <c r="VAO39" s="45"/>
      <c r="VAP39" s="46"/>
      <c r="VAQ39" s="46"/>
      <c r="VAR39" s="47"/>
      <c r="VAS39" s="48"/>
      <c r="VAT39" s="48"/>
      <c r="VAU39" s="48"/>
      <c r="VAV39" s="48"/>
      <c r="VAW39" s="48"/>
      <c r="VAX39" s="48"/>
      <c r="VAY39" s="48"/>
      <c r="VAZ39" s="48"/>
      <c r="VBA39" s="48"/>
      <c r="VBB39" s="48"/>
      <c r="VBC39" s="48"/>
      <c r="VBD39" s="48"/>
      <c r="VBE39" s="48"/>
      <c r="VBF39" s="48"/>
      <c r="VBG39" s="48"/>
      <c r="VBH39" s="48"/>
      <c r="VBI39" s="48"/>
      <c r="VBJ39" s="48"/>
      <c r="VBK39" s="45"/>
      <c r="VBL39" s="46"/>
      <c r="VBM39" s="46"/>
      <c r="VBN39" s="47"/>
      <c r="VBO39" s="48"/>
      <c r="VBP39" s="48"/>
      <c r="VBQ39" s="48"/>
      <c r="VBR39" s="48"/>
      <c r="VBS39" s="48"/>
      <c r="VBT39" s="48"/>
      <c r="VBU39" s="48"/>
      <c r="VBV39" s="48"/>
      <c r="VBW39" s="48"/>
      <c r="VBX39" s="48"/>
      <c r="VBY39" s="48"/>
      <c r="VBZ39" s="48"/>
      <c r="VCA39" s="48"/>
      <c r="VCB39" s="48"/>
      <c r="VCC39" s="48"/>
      <c r="VCD39" s="48"/>
      <c r="VCE39" s="48"/>
      <c r="VCF39" s="48"/>
      <c r="VCG39" s="45"/>
      <c r="VCH39" s="46"/>
      <c r="VCI39" s="46"/>
      <c r="VCJ39" s="47"/>
      <c r="VCK39" s="48"/>
      <c r="VCL39" s="48"/>
      <c r="VCM39" s="48"/>
      <c r="VCN39" s="48"/>
      <c r="VCO39" s="48"/>
      <c r="VCP39" s="48"/>
      <c r="VCQ39" s="48"/>
      <c r="VCR39" s="48"/>
      <c r="VCS39" s="48"/>
      <c r="VCT39" s="48"/>
      <c r="VCU39" s="48"/>
      <c r="VCV39" s="48"/>
      <c r="VCW39" s="48"/>
      <c r="VCX39" s="48"/>
      <c r="VCY39" s="48"/>
      <c r="VCZ39" s="48"/>
      <c r="VDA39" s="48"/>
      <c r="VDB39" s="48"/>
      <c r="VDC39" s="45"/>
      <c r="VDD39" s="46"/>
      <c r="VDE39" s="46"/>
      <c r="VDF39" s="47"/>
      <c r="VDG39" s="48"/>
      <c r="VDH39" s="48"/>
      <c r="VDI39" s="48"/>
      <c r="VDJ39" s="48"/>
      <c r="VDK39" s="48"/>
      <c r="VDL39" s="48"/>
      <c r="VDM39" s="48"/>
      <c r="VDN39" s="48"/>
      <c r="VDO39" s="48"/>
      <c r="VDP39" s="48"/>
      <c r="VDQ39" s="48"/>
      <c r="VDR39" s="48"/>
      <c r="VDS39" s="48"/>
      <c r="VDT39" s="48"/>
      <c r="VDU39" s="48"/>
      <c r="VDV39" s="48"/>
      <c r="VDW39" s="48"/>
      <c r="VDX39" s="48"/>
      <c r="VDY39" s="45"/>
      <c r="VDZ39" s="46"/>
      <c r="VEA39" s="46"/>
      <c r="VEB39" s="47"/>
      <c r="VEC39" s="48"/>
      <c r="VED39" s="48"/>
      <c r="VEE39" s="48"/>
      <c r="VEF39" s="48"/>
      <c r="VEG39" s="48"/>
      <c r="VEH39" s="48"/>
      <c r="VEI39" s="48"/>
      <c r="VEJ39" s="48"/>
      <c r="VEK39" s="48"/>
      <c r="VEL39" s="48"/>
      <c r="VEM39" s="48"/>
      <c r="VEN39" s="48"/>
      <c r="VEO39" s="48"/>
      <c r="VEP39" s="48"/>
      <c r="VEQ39" s="48"/>
      <c r="VER39" s="48"/>
      <c r="VES39" s="48"/>
      <c r="VET39" s="48"/>
      <c r="VEU39" s="45"/>
      <c r="VEV39" s="46"/>
      <c r="VEW39" s="46"/>
      <c r="VEX39" s="47"/>
      <c r="VEY39" s="48"/>
      <c r="VEZ39" s="48"/>
      <c r="VFA39" s="48"/>
      <c r="VFB39" s="48"/>
      <c r="VFC39" s="48"/>
      <c r="VFD39" s="48"/>
      <c r="VFE39" s="48"/>
      <c r="VFF39" s="48"/>
      <c r="VFG39" s="48"/>
      <c r="VFH39" s="48"/>
      <c r="VFI39" s="48"/>
      <c r="VFJ39" s="48"/>
      <c r="VFK39" s="48"/>
      <c r="VFL39" s="48"/>
      <c r="VFM39" s="48"/>
      <c r="VFN39" s="48"/>
      <c r="VFO39" s="48"/>
      <c r="VFP39" s="48"/>
      <c r="VFQ39" s="45"/>
      <c r="VFR39" s="46"/>
      <c r="VFS39" s="46"/>
      <c r="VFT39" s="47"/>
      <c r="VFU39" s="48"/>
      <c r="VFV39" s="48"/>
      <c r="VFW39" s="48"/>
      <c r="VFX39" s="48"/>
      <c r="VFY39" s="48"/>
      <c r="VFZ39" s="48"/>
      <c r="VGA39" s="48"/>
      <c r="VGB39" s="48"/>
      <c r="VGC39" s="48"/>
      <c r="VGD39" s="48"/>
      <c r="VGE39" s="48"/>
      <c r="VGF39" s="48"/>
      <c r="VGG39" s="48"/>
      <c r="VGH39" s="48"/>
      <c r="VGI39" s="48"/>
      <c r="VGJ39" s="48"/>
      <c r="VGK39" s="48"/>
      <c r="VGL39" s="48"/>
      <c r="VGM39" s="45"/>
      <c r="VGN39" s="46"/>
      <c r="VGO39" s="46"/>
      <c r="VGP39" s="47"/>
      <c r="VGQ39" s="48"/>
      <c r="VGR39" s="48"/>
      <c r="VGS39" s="48"/>
      <c r="VGT39" s="48"/>
      <c r="VGU39" s="48"/>
      <c r="VGV39" s="48"/>
      <c r="VGW39" s="48"/>
      <c r="VGX39" s="48"/>
      <c r="VGY39" s="48"/>
      <c r="VGZ39" s="48"/>
      <c r="VHA39" s="48"/>
      <c r="VHB39" s="48"/>
      <c r="VHC39" s="48"/>
      <c r="VHD39" s="48"/>
      <c r="VHE39" s="48"/>
      <c r="VHF39" s="48"/>
      <c r="VHG39" s="48"/>
      <c r="VHH39" s="48"/>
      <c r="VHI39" s="45"/>
      <c r="VHJ39" s="46"/>
      <c r="VHK39" s="46"/>
      <c r="VHL39" s="47"/>
      <c r="VHM39" s="48"/>
      <c r="VHN39" s="48"/>
      <c r="VHO39" s="48"/>
      <c r="VHP39" s="48"/>
      <c r="VHQ39" s="48"/>
      <c r="VHR39" s="48"/>
      <c r="VHS39" s="48"/>
      <c r="VHT39" s="48"/>
      <c r="VHU39" s="48"/>
      <c r="VHV39" s="48"/>
      <c r="VHW39" s="48"/>
      <c r="VHX39" s="48"/>
      <c r="VHY39" s="48"/>
      <c r="VHZ39" s="48"/>
      <c r="VIA39" s="48"/>
      <c r="VIB39" s="48"/>
      <c r="VIC39" s="48"/>
      <c r="VID39" s="48"/>
      <c r="VIE39" s="45"/>
      <c r="VIF39" s="46"/>
      <c r="VIG39" s="46"/>
      <c r="VIH39" s="47"/>
      <c r="VII39" s="48"/>
      <c r="VIJ39" s="48"/>
      <c r="VIK39" s="48"/>
      <c r="VIL39" s="48"/>
      <c r="VIM39" s="48"/>
      <c r="VIN39" s="48"/>
      <c r="VIO39" s="48"/>
      <c r="VIP39" s="48"/>
      <c r="VIQ39" s="48"/>
      <c r="VIR39" s="48"/>
      <c r="VIS39" s="48"/>
      <c r="VIT39" s="48"/>
      <c r="VIU39" s="48"/>
      <c r="VIV39" s="48"/>
      <c r="VIW39" s="48"/>
      <c r="VIX39" s="48"/>
      <c r="VIY39" s="48"/>
      <c r="VIZ39" s="48"/>
      <c r="VJA39" s="45"/>
      <c r="VJB39" s="46"/>
      <c r="VJC39" s="46"/>
      <c r="VJD39" s="47"/>
      <c r="VJE39" s="48"/>
      <c r="VJF39" s="48"/>
      <c r="VJG39" s="48"/>
      <c r="VJH39" s="48"/>
      <c r="VJI39" s="48"/>
      <c r="VJJ39" s="48"/>
      <c r="VJK39" s="48"/>
      <c r="VJL39" s="48"/>
      <c r="VJM39" s="48"/>
      <c r="VJN39" s="48"/>
      <c r="VJO39" s="48"/>
      <c r="VJP39" s="48"/>
      <c r="VJQ39" s="48"/>
      <c r="VJR39" s="48"/>
      <c r="VJS39" s="48"/>
      <c r="VJT39" s="48"/>
      <c r="VJU39" s="48"/>
      <c r="VJV39" s="48"/>
      <c r="VJW39" s="45"/>
      <c r="VJX39" s="46"/>
      <c r="VJY39" s="46"/>
      <c r="VJZ39" s="47"/>
      <c r="VKA39" s="48"/>
      <c r="VKB39" s="48"/>
      <c r="VKC39" s="48"/>
      <c r="VKD39" s="48"/>
      <c r="VKE39" s="48"/>
      <c r="VKF39" s="48"/>
      <c r="VKG39" s="48"/>
      <c r="VKH39" s="48"/>
      <c r="VKI39" s="48"/>
      <c r="VKJ39" s="48"/>
      <c r="VKK39" s="48"/>
      <c r="VKL39" s="48"/>
      <c r="VKM39" s="48"/>
      <c r="VKN39" s="48"/>
      <c r="VKO39" s="48"/>
      <c r="VKP39" s="48"/>
      <c r="VKQ39" s="48"/>
      <c r="VKR39" s="48"/>
      <c r="VKS39" s="45"/>
      <c r="VKT39" s="46"/>
      <c r="VKU39" s="46"/>
      <c r="VKV39" s="47"/>
      <c r="VKW39" s="48"/>
      <c r="VKX39" s="48"/>
      <c r="VKY39" s="48"/>
      <c r="VKZ39" s="48"/>
      <c r="VLA39" s="48"/>
      <c r="VLB39" s="48"/>
      <c r="VLC39" s="48"/>
      <c r="VLD39" s="48"/>
      <c r="VLE39" s="48"/>
      <c r="VLF39" s="48"/>
      <c r="VLG39" s="48"/>
      <c r="VLH39" s="48"/>
      <c r="VLI39" s="48"/>
      <c r="VLJ39" s="48"/>
      <c r="VLK39" s="48"/>
      <c r="VLL39" s="48"/>
      <c r="VLM39" s="48"/>
      <c r="VLN39" s="48"/>
      <c r="VLO39" s="45"/>
      <c r="VLP39" s="46"/>
      <c r="VLQ39" s="46"/>
      <c r="VLR39" s="47"/>
      <c r="VLS39" s="48"/>
      <c r="VLT39" s="48"/>
      <c r="VLU39" s="48"/>
      <c r="VLV39" s="48"/>
      <c r="VLW39" s="48"/>
      <c r="VLX39" s="48"/>
      <c r="VLY39" s="48"/>
      <c r="VLZ39" s="48"/>
      <c r="VMA39" s="48"/>
      <c r="VMB39" s="48"/>
      <c r="VMC39" s="48"/>
      <c r="VMD39" s="48"/>
      <c r="VME39" s="48"/>
      <c r="VMF39" s="48"/>
      <c r="VMG39" s="48"/>
      <c r="VMH39" s="48"/>
      <c r="VMI39" s="48"/>
      <c r="VMJ39" s="48"/>
      <c r="VMK39" s="45"/>
      <c r="VML39" s="46"/>
      <c r="VMM39" s="46"/>
      <c r="VMN39" s="47"/>
      <c r="VMO39" s="48"/>
      <c r="VMP39" s="48"/>
      <c r="VMQ39" s="48"/>
      <c r="VMR39" s="48"/>
      <c r="VMS39" s="48"/>
      <c r="VMT39" s="48"/>
      <c r="VMU39" s="48"/>
      <c r="VMV39" s="48"/>
      <c r="VMW39" s="48"/>
      <c r="VMX39" s="48"/>
      <c r="VMY39" s="48"/>
      <c r="VMZ39" s="48"/>
      <c r="VNA39" s="48"/>
      <c r="VNB39" s="48"/>
      <c r="VNC39" s="48"/>
      <c r="VND39" s="48"/>
      <c r="VNE39" s="48"/>
      <c r="VNF39" s="48"/>
      <c r="VNG39" s="45"/>
      <c r="VNH39" s="46"/>
      <c r="VNI39" s="46"/>
      <c r="VNJ39" s="47"/>
      <c r="VNK39" s="48"/>
      <c r="VNL39" s="48"/>
      <c r="VNM39" s="48"/>
      <c r="VNN39" s="48"/>
      <c r="VNO39" s="48"/>
      <c r="VNP39" s="48"/>
      <c r="VNQ39" s="48"/>
      <c r="VNR39" s="48"/>
      <c r="VNS39" s="48"/>
      <c r="VNT39" s="48"/>
      <c r="VNU39" s="48"/>
      <c r="VNV39" s="48"/>
      <c r="VNW39" s="48"/>
      <c r="VNX39" s="48"/>
      <c r="VNY39" s="48"/>
      <c r="VNZ39" s="48"/>
      <c r="VOA39" s="48"/>
      <c r="VOB39" s="48"/>
      <c r="VOC39" s="45"/>
      <c r="VOD39" s="46"/>
      <c r="VOE39" s="46"/>
      <c r="VOF39" s="47"/>
      <c r="VOG39" s="48"/>
      <c r="VOH39" s="48"/>
      <c r="VOI39" s="48"/>
      <c r="VOJ39" s="48"/>
      <c r="VOK39" s="48"/>
      <c r="VOL39" s="48"/>
      <c r="VOM39" s="48"/>
      <c r="VON39" s="48"/>
      <c r="VOO39" s="48"/>
      <c r="VOP39" s="48"/>
      <c r="VOQ39" s="48"/>
      <c r="VOR39" s="48"/>
      <c r="VOS39" s="48"/>
      <c r="VOT39" s="48"/>
      <c r="VOU39" s="48"/>
      <c r="VOV39" s="48"/>
      <c r="VOW39" s="48"/>
      <c r="VOX39" s="48"/>
      <c r="VOY39" s="45"/>
      <c r="VOZ39" s="46"/>
      <c r="VPA39" s="46"/>
      <c r="VPB39" s="47"/>
      <c r="VPC39" s="48"/>
      <c r="VPD39" s="48"/>
      <c r="VPE39" s="48"/>
      <c r="VPF39" s="48"/>
      <c r="VPG39" s="48"/>
      <c r="VPH39" s="48"/>
      <c r="VPI39" s="48"/>
      <c r="VPJ39" s="48"/>
      <c r="VPK39" s="48"/>
      <c r="VPL39" s="48"/>
      <c r="VPM39" s="48"/>
      <c r="VPN39" s="48"/>
      <c r="VPO39" s="48"/>
      <c r="VPP39" s="48"/>
      <c r="VPQ39" s="48"/>
      <c r="VPR39" s="48"/>
      <c r="VPS39" s="48"/>
      <c r="VPT39" s="48"/>
      <c r="VPU39" s="45"/>
      <c r="VPV39" s="46"/>
      <c r="VPW39" s="46"/>
      <c r="VPX39" s="47"/>
      <c r="VPY39" s="48"/>
      <c r="VPZ39" s="48"/>
      <c r="VQA39" s="48"/>
      <c r="VQB39" s="48"/>
      <c r="VQC39" s="48"/>
      <c r="VQD39" s="48"/>
      <c r="VQE39" s="48"/>
      <c r="VQF39" s="48"/>
      <c r="VQG39" s="48"/>
      <c r="VQH39" s="48"/>
      <c r="VQI39" s="48"/>
      <c r="VQJ39" s="48"/>
      <c r="VQK39" s="48"/>
      <c r="VQL39" s="48"/>
      <c r="VQM39" s="48"/>
      <c r="VQN39" s="48"/>
      <c r="VQO39" s="48"/>
      <c r="VQP39" s="48"/>
      <c r="VQQ39" s="45"/>
      <c r="VQR39" s="46"/>
      <c r="VQS39" s="46"/>
      <c r="VQT39" s="47"/>
      <c r="VQU39" s="48"/>
      <c r="VQV39" s="48"/>
      <c r="VQW39" s="48"/>
      <c r="VQX39" s="48"/>
      <c r="VQY39" s="48"/>
      <c r="VQZ39" s="48"/>
      <c r="VRA39" s="48"/>
      <c r="VRB39" s="48"/>
      <c r="VRC39" s="48"/>
      <c r="VRD39" s="48"/>
      <c r="VRE39" s="48"/>
      <c r="VRF39" s="48"/>
      <c r="VRG39" s="48"/>
      <c r="VRH39" s="48"/>
      <c r="VRI39" s="48"/>
      <c r="VRJ39" s="48"/>
      <c r="VRK39" s="48"/>
      <c r="VRL39" s="48"/>
      <c r="VRM39" s="45"/>
      <c r="VRN39" s="46"/>
      <c r="VRO39" s="46"/>
      <c r="VRP39" s="47"/>
      <c r="VRQ39" s="48"/>
      <c r="VRR39" s="48"/>
      <c r="VRS39" s="48"/>
      <c r="VRT39" s="48"/>
      <c r="VRU39" s="48"/>
      <c r="VRV39" s="48"/>
      <c r="VRW39" s="48"/>
      <c r="VRX39" s="48"/>
      <c r="VRY39" s="48"/>
      <c r="VRZ39" s="48"/>
      <c r="VSA39" s="48"/>
      <c r="VSB39" s="48"/>
      <c r="VSC39" s="48"/>
      <c r="VSD39" s="48"/>
      <c r="VSE39" s="48"/>
      <c r="VSF39" s="48"/>
      <c r="VSG39" s="48"/>
      <c r="VSH39" s="48"/>
      <c r="VSI39" s="45"/>
      <c r="VSJ39" s="46"/>
      <c r="VSK39" s="46"/>
      <c r="VSL39" s="47"/>
      <c r="VSM39" s="48"/>
      <c r="VSN39" s="48"/>
      <c r="VSO39" s="48"/>
      <c r="VSP39" s="48"/>
      <c r="VSQ39" s="48"/>
      <c r="VSR39" s="48"/>
      <c r="VSS39" s="48"/>
      <c r="VST39" s="48"/>
      <c r="VSU39" s="48"/>
      <c r="VSV39" s="48"/>
      <c r="VSW39" s="48"/>
      <c r="VSX39" s="48"/>
      <c r="VSY39" s="48"/>
      <c r="VSZ39" s="48"/>
      <c r="VTA39" s="48"/>
      <c r="VTB39" s="48"/>
      <c r="VTC39" s="48"/>
      <c r="VTD39" s="48"/>
      <c r="VTE39" s="45"/>
      <c r="VTF39" s="46"/>
      <c r="VTG39" s="46"/>
      <c r="VTH39" s="47"/>
      <c r="VTI39" s="48"/>
      <c r="VTJ39" s="48"/>
      <c r="VTK39" s="48"/>
      <c r="VTL39" s="48"/>
      <c r="VTM39" s="48"/>
      <c r="VTN39" s="48"/>
      <c r="VTO39" s="48"/>
      <c r="VTP39" s="48"/>
      <c r="VTQ39" s="48"/>
      <c r="VTR39" s="48"/>
      <c r="VTS39" s="48"/>
      <c r="VTT39" s="48"/>
      <c r="VTU39" s="48"/>
      <c r="VTV39" s="48"/>
      <c r="VTW39" s="48"/>
      <c r="VTX39" s="48"/>
      <c r="VTY39" s="48"/>
      <c r="VTZ39" s="48"/>
      <c r="VUA39" s="45"/>
      <c r="VUB39" s="46"/>
      <c r="VUC39" s="46"/>
      <c r="VUD39" s="47"/>
      <c r="VUE39" s="48"/>
      <c r="VUF39" s="48"/>
      <c r="VUG39" s="48"/>
      <c r="VUH39" s="48"/>
      <c r="VUI39" s="48"/>
      <c r="VUJ39" s="48"/>
      <c r="VUK39" s="48"/>
      <c r="VUL39" s="48"/>
      <c r="VUM39" s="48"/>
      <c r="VUN39" s="48"/>
      <c r="VUO39" s="48"/>
      <c r="VUP39" s="48"/>
      <c r="VUQ39" s="48"/>
      <c r="VUR39" s="48"/>
      <c r="VUS39" s="48"/>
      <c r="VUT39" s="48"/>
      <c r="VUU39" s="48"/>
      <c r="VUV39" s="48"/>
      <c r="VUW39" s="45"/>
      <c r="VUX39" s="46"/>
      <c r="VUY39" s="46"/>
      <c r="VUZ39" s="47"/>
      <c r="VVA39" s="48"/>
      <c r="VVB39" s="48"/>
      <c r="VVC39" s="48"/>
      <c r="VVD39" s="48"/>
      <c r="VVE39" s="48"/>
      <c r="VVF39" s="48"/>
      <c r="VVG39" s="48"/>
      <c r="VVH39" s="48"/>
      <c r="VVI39" s="48"/>
      <c r="VVJ39" s="48"/>
      <c r="VVK39" s="48"/>
      <c r="VVL39" s="48"/>
      <c r="VVM39" s="48"/>
      <c r="VVN39" s="48"/>
      <c r="VVO39" s="48"/>
      <c r="VVP39" s="48"/>
      <c r="VVQ39" s="48"/>
      <c r="VVR39" s="48"/>
      <c r="VVS39" s="45"/>
      <c r="VVT39" s="46"/>
      <c r="VVU39" s="46"/>
      <c r="VVV39" s="47"/>
      <c r="VVW39" s="48"/>
      <c r="VVX39" s="48"/>
      <c r="VVY39" s="48"/>
      <c r="VVZ39" s="48"/>
      <c r="VWA39" s="48"/>
      <c r="VWB39" s="48"/>
      <c r="VWC39" s="48"/>
      <c r="VWD39" s="48"/>
      <c r="VWE39" s="48"/>
      <c r="VWF39" s="48"/>
      <c r="VWG39" s="48"/>
      <c r="VWH39" s="48"/>
      <c r="VWI39" s="48"/>
      <c r="VWJ39" s="48"/>
      <c r="VWK39" s="48"/>
      <c r="VWL39" s="48"/>
      <c r="VWM39" s="48"/>
      <c r="VWN39" s="48"/>
      <c r="VWO39" s="45"/>
      <c r="VWP39" s="46"/>
      <c r="VWQ39" s="46"/>
      <c r="VWR39" s="47"/>
      <c r="VWS39" s="48"/>
      <c r="VWT39" s="48"/>
      <c r="VWU39" s="48"/>
      <c r="VWV39" s="48"/>
      <c r="VWW39" s="48"/>
      <c r="VWX39" s="48"/>
      <c r="VWY39" s="48"/>
      <c r="VWZ39" s="48"/>
      <c r="VXA39" s="48"/>
      <c r="VXB39" s="48"/>
      <c r="VXC39" s="48"/>
      <c r="VXD39" s="48"/>
      <c r="VXE39" s="48"/>
      <c r="VXF39" s="48"/>
      <c r="VXG39" s="48"/>
      <c r="VXH39" s="48"/>
      <c r="VXI39" s="48"/>
      <c r="VXJ39" s="48"/>
      <c r="VXK39" s="45"/>
      <c r="VXL39" s="46"/>
      <c r="VXM39" s="46"/>
      <c r="VXN39" s="47"/>
      <c r="VXO39" s="48"/>
      <c r="VXP39" s="48"/>
      <c r="VXQ39" s="48"/>
      <c r="VXR39" s="48"/>
      <c r="VXS39" s="48"/>
      <c r="VXT39" s="48"/>
      <c r="VXU39" s="48"/>
      <c r="VXV39" s="48"/>
      <c r="VXW39" s="48"/>
      <c r="VXX39" s="48"/>
      <c r="VXY39" s="48"/>
      <c r="VXZ39" s="48"/>
      <c r="VYA39" s="48"/>
      <c r="VYB39" s="48"/>
      <c r="VYC39" s="48"/>
      <c r="VYD39" s="48"/>
      <c r="VYE39" s="48"/>
      <c r="VYF39" s="48"/>
      <c r="VYG39" s="45"/>
      <c r="VYH39" s="46"/>
      <c r="VYI39" s="46"/>
      <c r="VYJ39" s="47"/>
      <c r="VYK39" s="48"/>
      <c r="VYL39" s="48"/>
      <c r="VYM39" s="48"/>
      <c r="VYN39" s="48"/>
      <c r="VYO39" s="48"/>
      <c r="VYP39" s="48"/>
      <c r="VYQ39" s="48"/>
      <c r="VYR39" s="48"/>
      <c r="VYS39" s="48"/>
      <c r="VYT39" s="48"/>
      <c r="VYU39" s="48"/>
      <c r="VYV39" s="48"/>
      <c r="VYW39" s="48"/>
      <c r="VYX39" s="48"/>
      <c r="VYY39" s="48"/>
      <c r="VYZ39" s="48"/>
      <c r="VZA39" s="48"/>
      <c r="VZB39" s="48"/>
      <c r="VZC39" s="45"/>
      <c r="VZD39" s="46"/>
      <c r="VZE39" s="46"/>
      <c r="VZF39" s="47"/>
      <c r="VZG39" s="48"/>
      <c r="VZH39" s="48"/>
      <c r="VZI39" s="48"/>
      <c r="VZJ39" s="48"/>
      <c r="VZK39" s="48"/>
      <c r="VZL39" s="48"/>
      <c r="VZM39" s="48"/>
      <c r="VZN39" s="48"/>
      <c r="VZO39" s="48"/>
      <c r="VZP39" s="48"/>
      <c r="VZQ39" s="48"/>
      <c r="VZR39" s="48"/>
      <c r="VZS39" s="48"/>
      <c r="VZT39" s="48"/>
      <c r="VZU39" s="48"/>
      <c r="VZV39" s="48"/>
      <c r="VZW39" s="48"/>
      <c r="VZX39" s="48"/>
      <c r="VZY39" s="45"/>
      <c r="VZZ39" s="46"/>
      <c r="WAA39" s="46"/>
      <c r="WAB39" s="47"/>
      <c r="WAC39" s="48"/>
      <c r="WAD39" s="48"/>
      <c r="WAE39" s="48"/>
      <c r="WAF39" s="48"/>
      <c r="WAG39" s="48"/>
      <c r="WAH39" s="48"/>
      <c r="WAI39" s="48"/>
      <c r="WAJ39" s="48"/>
      <c r="WAK39" s="48"/>
      <c r="WAL39" s="48"/>
      <c r="WAM39" s="48"/>
      <c r="WAN39" s="48"/>
      <c r="WAO39" s="48"/>
      <c r="WAP39" s="48"/>
      <c r="WAQ39" s="48"/>
      <c r="WAR39" s="48"/>
      <c r="WAS39" s="48"/>
      <c r="WAT39" s="48"/>
      <c r="WAU39" s="45"/>
      <c r="WAV39" s="46"/>
      <c r="WAW39" s="46"/>
      <c r="WAX39" s="47"/>
      <c r="WAY39" s="48"/>
      <c r="WAZ39" s="48"/>
      <c r="WBA39" s="48"/>
      <c r="WBB39" s="48"/>
      <c r="WBC39" s="48"/>
      <c r="WBD39" s="48"/>
      <c r="WBE39" s="48"/>
      <c r="WBF39" s="48"/>
      <c r="WBG39" s="48"/>
      <c r="WBH39" s="48"/>
      <c r="WBI39" s="48"/>
      <c r="WBJ39" s="48"/>
      <c r="WBK39" s="48"/>
      <c r="WBL39" s="48"/>
      <c r="WBM39" s="48"/>
      <c r="WBN39" s="48"/>
      <c r="WBO39" s="48"/>
      <c r="WBP39" s="48"/>
      <c r="WBQ39" s="45"/>
      <c r="WBR39" s="46"/>
      <c r="WBS39" s="46"/>
      <c r="WBT39" s="47"/>
      <c r="WBU39" s="48"/>
      <c r="WBV39" s="48"/>
      <c r="WBW39" s="48"/>
      <c r="WBX39" s="48"/>
      <c r="WBY39" s="48"/>
      <c r="WBZ39" s="48"/>
      <c r="WCA39" s="48"/>
      <c r="WCB39" s="48"/>
      <c r="WCC39" s="48"/>
      <c r="WCD39" s="48"/>
      <c r="WCE39" s="48"/>
      <c r="WCF39" s="48"/>
      <c r="WCG39" s="48"/>
      <c r="WCH39" s="48"/>
      <c r="WCI39" s="48"/>
      <c r="WCJ39" s="48"/>
      <c r="WCK39" s="48"/>
      <c r="WCL39" s="48"/>
      <c r="WCM39" s="45"/>
      <c r="WCN39" s="46"/>
      <c r="WCO39" s="46"/>
      <c r="WCP39" s="47"/>
      <c r="WCQ39" s="48"/>
      <c r="WCR39" s="48"/>
      <c r="WCS39" s="48"/>
      <c r="WCT39" s="48"/>
      <c r="WCU39" s="48"/>
      <c r="WCV39" s="48"/>
      <c r="WCW39" s="48"/>
      <c r="WCX39" s="48"/>
      <c r="WCY39" s="48"/>
      <c r="WCZ39" s="48"/>
      <c r="WDA39" s="48"/>
      <c r="WDB39" s="48"/>
      <c r="WDC39" s="48"/>
      <c r="WDD39" s="48"/>
      <c r="WDE39" s="48"/>
      <c r="WDF39" s="48"/>
      <c r="WDG39" s="48"/>
      <c r="WDH39" s="48"/>
      <c r="WDI39" s="45"/>
      <c r="WDJ39" s="46"/>
      <c r="WDK39" s="46"/>
      <c r="WDL39" s="47"/>
      <c r="WDM39" s="48"/>
      <c r="WDN39" s="48"/>
      <c r="WDO39" s="48"/>
      <c r="WDP39" s="48"/>
      <c r="WDQ39" s="48"/>
      <c r="WDR39" s="48"/>
      <c r="WDS39" s="48"/>
      <c r="WDT39" s="48"/>
      <c r="WDU39" s="48"/>
      <c r="WDV39" s="48"/>
      <c r="WDW39" s="48"/>
      <c r="WDX39" s="48"/>
      <c r="WDY39" s="48"/>
      <c r="WDZ39" s="48"/>
      <c r="WEA39" s="48"/>
      <c r="WEB39" s="48"/>
      <c r="WEC39" s="48"/>
      <c r="WED39" s="48"/>
      <c r="WEE39" s="45"/>
      <c r="WEF39" s="46"/>
      <c r="WEG39" s="46"/>
      <c r="WEH39" s="47"/>
      <c r="WEI39" s="48"/>
      <c r="WEJ39" s="48"/>
      <c r="WEK39" s="48"/>
      <c r="WEL39" s="48"/>
      <c r="WEM39" s="48"/>
      <c r="WEN39" s="48"/>
      <c r="WEO39" s="48"/>
      <c r="WEP39" s="48"/>
      <c r="WEQ39" s="48"/>
      <c r="WER39" s="48"/>
      <c r="WES39" s="48"/>
      <c r="WET39" s="48"/>
      <c r="WEU39" s="48"/>
      <c r="WEV39" s="48"/>
      <c r="WEW39" s="48"/>
      <c r="WEX39" s="48"/>
      <c r="WEY39" s="48"/>
      <c r="WEZ39" s="48"/>
      <c r="WFA39" s="45"/>
      <c r="WFB39" s="46"/>
      <c r="WFC39" s="46"/>
      <c r="WFD39" s="47"/>
      <c r="WFE39" s="48"/>
      <c r="WFF39" s="48"/>
      <c r="WFG39" s="48"/>
      <c r="WFH39" s="48"/>
      <c r="WFI39" s="48"/>
      <c r="WFJ39" s="48"/>
      <c r="WFK39" s="48"/>
      <c r="WFL39" s="48"/>
      <c r="WFM39" s="48"/>
      <c r="WFN39" s="48"/>
      <c r="WFO39" s="48"/>
      <c r="WFP39" s="48"/>
      <c r="WFQ39" s="48"/>
      <c r="WFR39" s="48"/>
      <c r="WFS39" s="48"/>
      <c r="WFT39" s="48"/>
      <c r="WFU39" s="48"/>
      <c r="WFV39" s="48"/>
      <c r="WFW39" s="45"/>
      <c r="WFX39" s="46"/>
      <c r="WFY39" s="46"/>
      <c r="WFZ39" s="47"/>
      <c r="WGA39" s="48"/>
      <c r="WGB39" s="48"/>
      <c r="WGC39" s="48"/>
      <c r="WGD39" s="48"/>
      <c r="WGE39" s="48"/>
      <c r="WGF39" s="48"/>
      <c r="WGG39" s="48"/>
      <c r="WGH39" s="48"/>
      <c r="WGI39" s="48"/>
      <c r="WGJ39" s="48"/>
      <c r="WGK39" s="48"/>
      <c r="WGL39" s="48"/>
      <c r="WGM39" s="48"/>
      <c r="WGN39" s="48"/>
      <c r="WGO39" s="48"/>
      <c r="WGP39" s="48"/>
      <c r="WGQ39" s="48"/>
      <c r="WGR39" s="48"/>
      <c r="WGS39" s="45"/>
      <c r="WGT39" s="46"/>
      <c r="WGU39" s="46"/>
      <c r="WGV39" s="47"/>
      <c r="WGW39" s="48"/>
      <c r="WGX39" s="48"/>
      <c r="WGY39" s="48"/>
      <c r="WGZ39" s="48"/>
      <c r="WHA39" s="48"/>
      <c r="WHB39" s="48"/>
      <c r="WHC39" s="48"/>
      <c r="WHD39" s="48"/>
      <c r="WHE39" s="48"/>
      <c r="WHF39" s="48"/>
      <c r="WHG39" s="48"/>
      <c r="WHH39" s="48"/>
      <c r="WHI39" s="48"/>
      <c r="WHJ39" s="48"/>
      <c r="WHK39" s="48"/>
      <c r="WHL39" s="48"/>
      <c r="WHM39" s="48"/>
      <c r="WHN39" s="48"/>
      <c r="WHO39" s="45"/>
      <c r="WHP39" s="46"/>
      <c r="WHQ39" s="46"/>
      <c r="WHR39" s="47"/>
      <c r="WHS39" s="48"/>
      <c r="WHT39" s="48"/>
      <c r="WHU39" s="48"/>
      <c r="WHV39" s="48"/>
      <c r="WHW39" s="48"/>
      <c r="WHX39" s="48"/>
      <c r="WHY39" s="48"/>
      <c r="WHZ39" s="48"/>
      <c r="WIA39" s="48"/>
      <c r="WIB39" s="48"/>
      <c r="WIC39" s="48"/>
      <c r="WID39" s="48"/>
      <c r="WIE39" s="48"/>
      <c r="WIF39" s="48"/>
      <c r="WIG39" s="48"/>
      <c r="WIH39" s="48"/>
      <c r="WII39" s="48"/>
      <c r="WIJ39" s="48"/>
      <c r="WIK39" s="45"/>
      <c r="WIL39" s="46"/>
      <c r="WIM39" s="46"/>
      <c r="WIN39" s="47"/>
      <c r="WIO39" s="48"/>
      <c r="WIP39" s="48"/>
      <c r="WIQ39" s="48"/>
      <c r="WIR39" s="48"/>
      <c r="WIS39" s="48"/>
      <c r="WIT39" s="48"/>
      <c r="WIU39" s="48"/>
      <c r="WIV39" s="48"/>
      <c r="WIW39" s="48"/>
      <c r="WIX39" s="48"/>
      <c r="WIY39" s="48"/>
      <c r="WIZ39" s="48"/>
      <c r="WJA39" s="48"/>
      <c r="WJB39" s="48"/>
      <c r="WJC39" s="48"/>
      <c r="WJD39" s="48"/>
      <c r="WJE39" s="48"/>
      <c r="WJF39" s="48"/>
      <c r="WJG39" s="45"/>
      <c r="WJH39" s="46"/>
      <c r="WJI39" s="46"/>
      <c r="WJJ39" s="47"/>
      <c r="WJK39" s="48"/>
      <c r="WJL39" s="48"/>
      <c r="WJM39" s="48"/>
      <c r="WJN39" s="48"/>
      <c r="WJO39" s="48"/>
      <c r="WJP39" s="48"/>
      <c r="WJQ39" s="48"/>
      <c r="WJR39" s="48"/>
      <c r="WJS39" s="48"/>
      <c r="WJT39" s="48"/>
      <c r="WJU39" s="48"/>
      <c r="WJV39" s="48"/>
      <c r="WJW39" s="48"/>
      <c r="WJX39" s="48"/>
      <c r="WJY39" s="48"/>
      <c r="WJZ39" s="48"/>
      <c r="WKA39" s="48"/>
      <c r="WKB39" s="48"/>
      <c r="WKC39" s="45"/>
      <c r="WKD39" s="46"/>
      <c r="WKE39" s="46"/>
      <c r="WKF39" s="47"/>
      <c r="WKG39" s="48"/>
      <c r="WKH39" s="48"/>
      <c r="WKI39" s="48"/>
      <c r="WKJ39" s="48"/>
      <c r="WKK39" s="48"/>
      <c r="WKL39" s="48"/>
      <c r="WKM39" s="48"/>
      <c r="WKN39" s="48"/>
      <c r="WKO39" s="48"/>
      <c r="WKP39" s="48"/>
      <c r="WKQ39" s="48"/>
      <c r="WKR39" s="48"/>
      <c r="WKS39" s="48"/>
      <c r="WKT39" s="48"/>
      <c r="WKU39" s="48"/>
      <c r="WKV39" s="48"/>
      <c r="WKW39" s="48"/>
      <c r="WKX39" s="48"/>
      <c r="WKY39" s="45"/>
      <c r="WKZ39" s="46"/>
      <c r="WLA39" s="46"/>
      <c r="WLB39" s="47"/>
      <c r="WLC39" s="48"/>
      <c r="WLD39" s="48"/>
      <c r="WLE39" s="48"/>
      <c r="WLF39" s="48"/>
      <c r="WLG39" s="48"/>
      <c r="WLH39" s="48"/>
      <c r="WLI39" s="48"/>
      <c r="WLJ39" s="48"/>
      <c r="WLK39" s="48"/>
      <c r="WLL39" s="48"/>
      <c r="WLM39" s="48"/>
      <c r="WLN39" s="48"/>
      <c r="WLO39" s="48"/>
      <c r="WLP39" s="48"/>
      <c r="WLQ39" s="48"/>
      <c r="WLR39" s="48"/>
      <c r="WLS39" s="48"/>
      <c r="WLT39" s="48"/>
      <c r="WLU39" s="45"/>
      <c r="WLV39" s="46"/>
      <c r="WLW39" s="46"/>
      <c r="WLX39" s="47"/>
      <c r="WLY39" s="48"/>
      <c r="WLZ39" s="48"/>
      <c r="WMA39" s="48"/>
      <c r="WMB39" s="48"/>
      <c r="WMC39" s="48"/>
      <c r="WMD39" s="48"/>
      <c r="WME39" s="48"/>
      <c r="WMF39" s="48"/>
      <c r="WMG39" s="48"/>
      <c r="WMH39" s="48"/>
      <c r="WMI39" s="48"/>
      <c r="WMJ39" s="48"/>
      <c r="WMK39" s="48"/>
      <c r="WML39" s="48"/>
      <c r="WMM39" s="48"/>
      <c r="WMN39" s="48"/>
      <c r="WMO39" s="48"/>
      <c r="WMP39" s="48"/>
      <c r="WMQ39" s="45"/>
      <c r="WMR39" s="46"/>
      <c r="WMS39" s="46"/>
      <c r="WMT39" s="47"/>
      <c r="WMU39" s="48"/>
      <c r="WMV39" s="48"/>
      <c r="WMW39" s="48"/>
      <c r="WMX39" s="48"/>
      <c r="WMY39" s="48"/>
      <c r="WMZ39" s="48"/>
      <c r="WNA39" s="48"/>
      <c r="WNB39" s="48"/>
      <c r="WNC39" s="48"/>
      <c r="WND39" s="48"/>
      <c r="WNE39" s="48"/>
      <c r="WNF39" s="48"/>
      <c r="WNG39" s="48"/>
      <c r="WNH39" s="48"/>
      <c r="WNI39" s="48"/>
      <c r="WNJ39" s="48"/>
      <c r="WNK39" s="48"/>
      <c r="WNL39" s="48"/>
      <c r="WNM39" s="45"/>
      <c r="WNN39" s="46"/>
      <c r="WNO39" s="46"/>
      <c r="WNP39" s="47"/>
      <c r="WNQ39" s="48"/>
      <c r="WNR39" s="48"/>
      <c r="WNS39" s="48"/>
      <c r="WNT39" s="48"/>
      <c r="WNU39" s="48"/>
      <c r="WNV39" s="48"/>
      <c r="WNW39" s="48"/>
      <c r="WNX39" s="48"/>
      <c r="WNY39" s="48"/>
      <c r="WNZ39" s="48"/>
      <c r="WOA39" s="48"/>
      <c r="WOB39" s="48"/>
      <c r="WOC39" s="48"/>
      <c r="WOD39" s="48"/>
      <c r="WOE39" s="48"/>
      <c r="WOF39" s="48"/>
      <c r="WOG39" s="48"/>
      <c r="WOH39" s="48"/>
      <c r="WOI39" s="45"/>
      <c r="WOJ39" s="46"/>
      <c r="WOK39" s="46"/>
      <c r="WOL39" s="47"/>
      <c r="WOM39" s="48"/>
      <c r="WON39" s="48"/>
      <c r="WOO39" s="48"/>
      <c r="WOP39" s="48"/>
      <c r="WOQ39" s="48"/>
      <c r="WOR39" s="48"/>
      <c r="WOS39" s="48"/>
      <c r="WOT39" s="48"/>
      <c r="WOU39" s="48"/>
      <c r="WOV39" s="48"/>
      <c r="WOW39" s="48"/>
      <c r="WOX39" s="48"/>
      <c r="WOY39" s="48"/>
      <c r="WOZ39" s="48"/>
      <c r="WPA39" s="48"/>
      <c r="WPB39" s="48"/>
      <c r="WPC39" s="48"/>
      <c r="WPD39" s="48"/>
      <c r="WPE39" s="45"/>
      <c r="WPF39" s="46"/>
      <c r="WPG39" s="46"/>
      <c r="WPH39" s="47"/>
      <c r="WPI39" s="48"/>
      <c r="WPJ39" s="48"/>
      <c r="WPK39" s="48"/>
      <c r="WPL39" s="48"/>
      <c r="WPM39" s="48"/>
      <c r="WPN39" s="48"/>
      <c r="WPO39" s="48"/>
      <c r="WPP39" s="48"/>
      <c r="WPQ39" s="48"/>
      <c r="WPR39" s="48"/>
      <c r="WPS39" s="48"/>
      <c r="WPT39" s="48"/>
      <c r="WPU39" s="48"/>
      <c r="WPV39" s="48"/>
      <c r="WPW39" s="48"/>
      <c r="WPX39" s="48"/>
      <c r="WPY39" s="48"/>
      <c r="WPZ39" s="48"/>
      <c r="WQA39" s="45"/>
      <c r="WQB39" s="46"/>
      <c r="WQC39" s="46"/>
      <c r="WQD39" s="47"/>
      <c r="WQE39" s="48"/>
      <c r="WQF39" s="48"/>
      <c r="WQG39" s="48"/>
      <c r="WQH39" s="48"/>
      <c r="WQI39" s="48"/>
      <c r="WQJ39" s="48"/>
      <c r="WQK39" s="48"/>
      <c r="WQL39" s="48"/>
      <c r="WQM39" s="48"/>
      <c r="WQN39" s="48"/>
      <c r="WQO39" s="48"/>
      <c r="WQP39" s="48"/>
      <c r="WQQ39" s="48"/>
      <c r="WQR39" s="48"/>
      <c r="WQS39" s="48"/>
      <c r="WQT39" s="48"/>
      <c r="WQU39" s="48"/>
      <c r="WQV39" s="48"/>
      <c r="WQW39" s="45"/>
      <c r="WQX39" s="46"/>
      <c r="WQY39" s="46"/>
      <c r="WQZ39" s="47"/>
      <c r="WRA39" s="48"/>
      <c r="WRB39" s="48"/>
      <c r="WRC39" s="48"/>
      <c r="WRD39" s="48"/>
      <c r="WRE39" s="48"/>
      <c r="WRF39" s="48"/>
      <c r="WRG39" s="48"/>
      <c r="WRH39" s="48"/>
      <c r="WRI39" s="48"/>
      <c r="WRJ39" s="48"/>
      <c r="WRK39" s="48"/>
      <c r="WRL39" s="48"/>
      <c r="WRM39" s="48"/>
      <c r="WRN39" s="48"/>
      <c r="WRO39" s="48"/>
      <c r="WRP39" s="48"/>
      <c r="WRQ39" s="48"/>
      <c r="WRR39" s="48"/>
      <c r="WRS39" s="45"/>
      <c r="WRT39" s="46"/>
      <c r="WRU39" s="46"/>
      <c r="WRV39" s="47"/>
      <c r="WRW39" s="48"/>
      <c r="WRX39" s="48"/>
      <c r="WRY39" s="48"/>
      <c r="WRZ39" s="48"/>
      <c r="WSA39" s="48"/>
      <c r="WSB39" s="48"/>
      <c r="WSC39" s="48"/>
      <c r="WSD39" s="48"/>
      <c r="WSE39" s="48"/>
      <c r="WSF39" s="48"/>
      <c r="WSG39" s="48"/>
      <c r="WSH39" s="48"/>
      <c r="WSI39" s="48"/>
      <c r="WSJ39" s="48"/>
      <c r="WSK39" s="48"/>
      <c r="WSL39" s="48"/>
      <c r="WSM39" s="48"/>
      <c r="WSN39" s="48"/>
      <c r="WSO39" s="45"/>
      <c r="WSP39" s="46"/>
      <c r="WSQ39" s="46"/>
      <c r="WSR39" s="47"/>
      <c r="WSS39" s="48"/>
      <c r="WST39" s="48"/>
      <c r="WSU39" s="48"/>
      <c r="WSV39" s="48"/>
      <c r="WSW39" s="48"/>
      <c r="WSX39" s="48"/>
      <c r="WSY39" s="48"/>
      <c r="WSZ39" s="48"/>
      <c r="WTA39" s="48"/>
      <c r="WTB39" s="48"/>
      <c r="WTC39" s="48"/>
      <c r="WTD39" s="48"/>
      <c r="WTE39" s="48"/>
      <c r="WTF39" s="48"/>
      <c r="WTG39" s="48"/>
      <c r="WTH39" s="48"/>
      <c r="WTI39" s="48"/>
      <c r="WTJ39" s="48"/>
      <c r="WTK39" s="45"/>
      <c r="WTL39" s="46"/>
      <c r="WTM39" s="46"/>
      <c r="WTN39" s="47"/>
      <c r="WTO39" s="48"/>
      <c r="WTP39" s="48"/>
      <c r="WTQ39" s="48"/>
      <c r="WTR39" s="48"/>
      <c r="WTS39" s="48"/>
      <c r="WTT39" s="48"/>
      <c r="WTU39" s="48"/>
      <c r="WTV39" s="48"/>
      <c r="WTW39" s="48"/>
      <c r="WTX39" s="48"/>
      <c r="WTY39" s="48"/>
      <c r="WTZ39" s="48"/>
      <c r="WUA39" s="48"/>
      <c r="WUB39" s="48"/>
      <c r="WUC39" s="48"/>
      <c r="WUD39" s="48"/>
      <c r="WUE39" s="48"/>
      <c r="WUF39" s="48"/>
      <c r="WUG39" s="45"/>
      <c r="WUH39" s="46"/>
      <c r="WUI39" s="46"/>
      <c r="WUJ39" s="47"/>
      <c r="WUK39" s="48"/>
      <c r="WUL39" s="48"/>
      <c r="WUM39" s="48"/>
      <c r="WUN39" s="48"/>
      <c r="WUO39" s="48"/>
      <c r="WUP39" s="48"/>
      <c r="WUQ39" s="48"/>
      <c r="WUR39" s="48"/>
      <c r="WUS39" s="48"/>
      <c r="WUT39" s="48"/>
      <c r="WUU39" s="48"/>
      <c r="WUV39" s="48"/>
      <c r="WUW39" s="48"/>
      <c r="WUX39" s="48"/>
      <c r="WUY39" s="48"/>
      <c r="WUZ39" s="48"/>
      <c r="WVA39" s="48"/>
      <c r="WVB39" s="48"/>
      <c r="WVC39" s="45"/>
      <c r="WVD39" s="46"/>
      <c r="WVE39" s="46"/>
      <c r="WVF39" s="47"/>
      <c r="WVG39" s="48"/>
      <c r="WVH39" s="48"/>
      <c r="WVI39" s="48"/>
      <c r="WVJ39" s="48"/>
      <c r="WVK39" s="48"/>
      <c r="WVL39" s="48"/>
      <c r="WVM39" s="48"/>
      <c r="WVN39" s="48"/>
      <c r="WVO39" s="48"/>
      <c r="WVP39" s="48"/>
      <c r="WVQ39" s="48"/>
      <c r="WVR39" s="48"/>
      <c r="WVS39" s="48"/>
      <c r="WVT39" s="48"/>
      <c r="WVU39" s="48"/>
      <c r="WVV39" s="48"/>
      <c r="WVW39" s="48"/>
      <c r="WVX39" s="48"/>
      <c r="WVY39" s="45"/>
      <c r="WVZ39" s="46"/>
      <c r="WWA39" s="46"/>
      <c r="WWB39" s="47"/>
      <c r="WWC39" s="48"/>
      <c r="WWD39" s="48"/>
      <c r="WWE39" s="48"/>
      <c r="WWF39" s="48"/>
      <c r="WWG39" s="48"/>
      <c r="WWH39" s="48"/>
      <c r="WWI39" s="48"/>
      <c r="WWJ39" s="48"/>
      <c r="WWK39" s="48"/>
      <c r="WWL39" s="48"/>
      <c r="WWM39" s="48"/>
      <c r="WWN39" s="48"/>
      <c r="WWO39" s="48"/>
      <c r="WWP39" s="48"/>
      <c r="WWQ39" s="48"/>
      <c r="WWR39" s="48"/>
      <c r="WWS39" s="48"/>
      <c r="WWT39" s="48"/>
      <c r="WWU39" s="45"/>
      <c r="WWV39" s="46"/>
      <c r="WWW39" s="46"/>
      <c r="WWX39" s="47"/>
      <c r="WWY39" s="48"/>
      <c r="WWZ39" s="48"/>
      <c r="WXA39" s="48"/>
      <c r="WXB39" s="48"/>
      <c r="WXC39" s="48"/>
      <c r="WXD39" s="48"/>
      <c r="WXE39" s="48"/>
      <c r="WXF39" s="48"/>
      <c r="WXG39" s="48"/>
      <c r="WXH39" s="48"/>
      <c r="WXI39" s="48"/>
      <c r="WXJ39" s="48"/>
      <c r="WXK39" s="48"/>
      <c r="WXL39" s="48"/>
      <c r="WXM39" s="48"/>
      <c r="WXN39" s="48"/>
      <c r="WXO39" s="48"/>
      <c r="WXP39" s="48"/>
      <c r="WXQ39" s="45"/>
      <c r="WXR39" s="46"/>
      <c r="WXS39" s="46"/>
      <c r="WXT39" s="47"/>
      <c r="WXU39" s="48"/>
      <c r="WXV39" s="48"/>
      <c r="WXW39" s="48"/>
      <c r="WXX39" s="48"/>
      <c r="WXY39" s="48"/>
      <c r="WXZ39" s="48"/>
      <c r="WYA39" s="48"/>
      <c r="WYB39" s="48"/>
      <c r="WYC39" s="48"/>
      <c r="WYD39" s="48"/>
      <c r="WYE39" s="48"/>
      <c r="WYF39" s="48"/>
      <c r="WYG39" s="48"/>
      <c r="WYH39" s="48"/>
      <c r="WYI39" s="48"/>
      <c r="WYJ39" s="48"/>
      <c r="WYK39" s="48"/>
      <c r="WYL39" s="48"/>
      <c r="WYM39" s="45"/>
      <c r="WYN39" s="46"/>
      <c r="WYO39" s="46"/>
      <c r="WYP39" s="47"/>
      <c r="WYQ39" s="48"/>
      <c r="WYR39" s="48"/>
      <c r="WYS39" s="48"/>
      <c r="WYT39" s="48"/>
      <c r="WYU39" s="48"/>
      <c r="WYV39" s="48"/>
      <c r="WYW39" s="48"/>
      <c r="WYX39" s="48"/>
      <c r="WYY39" s="48"/>
      <c r="WYZ39" s="48"/>
      <c r="WZA39" s="48"/>
      <c r="WZB39" s="48"/>
      <c r="WZC39" s="48"/>
      <c r="WZD39" s="48"/>
      <c r="WZE39" s="48"/>
      <c r="WZF39" s="48"/>
      <c r="WZG39" s="48"/>
      <c r="WZH39" s="48"/>
      <c r="WZI39" s="45"/>
      <c r="WZJ39" s="46"/>
      <c r="WZK39" s="46"/>
      <c r="WZL39" s="47"/>
      <c r="WZM39" s="48"/>
      <c r="WZN39" s="48"/>
      <c r="WZO39" s="48"/>
      <c r="WZP39" s="48"/>
      <c r="WZQ39" s="48"/>
      <c r="WZR39" s="48"/>
      <c r="WZS39" s="48"/>
      <c r="WZT39" s="48"/>
      <c r="WZU39" s="48"/>
      <c r="WZV39" s="48"/>
      <c r="WZW39" s="48"/>
      <c r="WZX39" s="48"/>
      <c r="WZY39" s="48"/>
      <c r="WZZ39" s="48"/>
      <c r="XAA39" s="48"/>
      <c r="XAB39" s="48"/>
      <c r="XAC39" s="48"/>
      <c r="XAD39" s="48"/>
      <c r="XAE39" s="45"/>
      <c r="XAF39" s="46"/>
      <c r="XAG39" s="46"/>
      <c r="XAH39" s="47"/>
      <c r="XAI39" s="48"/>
      <c r="XAJ39" s="48"/>
      <c r="XAK39" s="48"/>
      <c r="XAL39" s="48"/>
      <c r="XAM39" s="48"/>
      <c r="XAN39" s="48"/>
      <c r="XAO39" s="48"/>
      <c r="XAP39" s="48"/>
      <c r="XAQ39" s="48"/>
      <c r="XAR39" s="48"/>
      <c r="XAS39" s="48"/>
      <c r="XAT39" s="48"/>
      <c r="XAU39" s="48"/>
      <c r="XAV39" s="48"/>
      <c r="XAW39" s="48"/>
      <c r="XAX39" s="48"/>
      <c r="XAY39" s="48"/>
      <c r="XAZ39" s="48"/>
      <c r="XBA39" s="45"/>
      <c r="XBB39" s="46"/>
      <c r="XBC39" s="46"/>
      <c r="XBD39" s="47"/>
      <c r="XBE39" s="48"/>
      <c r="XBF39" s="48"/>
      <c r="XBG39" s="48"/>
      <c r="XBH39" s="48"/>
      <c r="XBI39" s="48"/>
      <c r="XBJ39" s="48"/>
      <c r="XBK39" s="48"/>
      <c r="XBL39" s="48"/>
      <c r="XBM39" s="48"/>
      <c r="XBN39" s="48"/>
      <c r="XBO39" s="48"/>
      <c r="XBP39" s="48"/>
      <c r="XBQ39" s="48"/>
      <c r="XBR39" s="48"/>
      <c r="XBS39" s="48"/>
      <c r="XBT39" s="48"/>
      <c r="XBU39" s="48"/>
      <c r="XBV39" s="48"/>
      <c r="XBW39" s="45"/>
      <c r="XBX39" s="46"/>
      <c r="XBY39" s="46"/>
      <c r="XBZ39" s="47"/>
      <c r="XCA39" s="48"/>
      <c r="XCB39" s="48"/>
      <c r="XCC39" s="48"/>
      <c r="XCD39" s="48"/>
      <c r="XCE39" s="48"/>
      <c r="XCF39" s="48"/>
      <c r="XCG39" s="48"/>
      <c r="XCH39" s="48"/>
      <c r="XCI39" s="48"/>
      <c r="XCJ39" s="48"/>
      <c r="XCK39" s="48"/>
      <c r="XCL39" s="48"/>
      <c r="XCM39" s="48"/>
      <c r="XCN39" s="48"/>
      <c r="XCO39" s="48"/>
      <c r="XCP39" s="48"/>
      <c r="XCQ39" s="48"/>
      <c r="XCR39" s="48"/>
      <c r="XCS39" s="45"/>
      <c r="XCT39" s="46"/>
      <c r="XCU39" s="46"/>
      <c r="XCV39" s="47"/>
      <c r="XCW39" s="48"/>
      <c r="XCX39" s="48"/>
      <c r="XCY39" s="48"/>
      <c r="XCZ39" s="48"/>
      <c r="XDA39" s="48"/>
      <c r="XDB39" s="48"/>
      <c r="XDC39" s="48"/>
      <c r="XDD39" s="48"/>
      <c r="XDE39" s="48"/>
      <c r="XDF39" s="48"/>
      <c r="XDG39" s="48"/>
      <c r="XDH39" s="48"/>
      <c r="XDI39" s="48"/>
      <c r="XDJ39" s="48"/>
      <c r="XDK39" s="48"/>
      <c r="XDL39" s="48"/>
      <c r="XDM39" s="48"/>
      <c r="XDN39" s="48"/>
      <c r="XDO39" s="45"/>
      <c r="XDP39" s="46"/>
      <c r="XDQ39" s="46"/>
      <c r="XDR39" s="47"/>
      <c r="XDS39" s="48"/>
      <c r="XDT39" s="48"/>
      <c r="XDU39" s="48"/>
      <c r="XDV39" s="48"/>
      <c r="XDW39" s="48"/>
      <c r="XDX39" s="48"/>
      <c r="XDY39" s="48"/>
      <c r="XDZ39" s="48"/>
      <c r="XEA39" s="48"/>
      <c r="XEB39" s="48"/>
      <c r="XEC39" s="48"/>
      <c r="XED39" s="48"/>
      <c r="XEE39" s="48"/>
      <c r="XEF39" s="48"/>
      <c r="XEG39" s="48"/>
      <c r="XEH39" s="48"/>
      <c r="XEI39" s="48"/>
      <c r="XEJ39" s="48"/>
      <c r="XEK39" s="45"/>
      <c r="XEL39" s="46"/>
      <c r="XEM39" s="46"/>
      <c r="XEN39" s="47"/>
      <c r="XEO39" s="48"/>
      <c r="XEP39" s="48"/>
      <c r="XEQ39" s="48"/>
      <c r="XER39" s="48"/>
      <c r="XES39" s="48"/>
      <c r="XET39" s="48"/>
      <c r="XEU39" s="48"/>
      <c r="XEV39" s="48"/>
      <c r="XEW39" s="48"/>
      <c r="XEX39" s="48"/>
      <c r="XEY39" s="48"/>
      <c r="XEZ39" s="48"/>
      <c r="XFA39" s="48"/>
      <c r="XFB39" s="48"/>
      <c r="XFC39" s="48"/>
    </row>
    <row r="40" spans="1:16383" s="50" customFormat="1" x14ac:dyDescent="0.3">
      <c r="A40" s="47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61"/>
      <c r="N40" s="45"/>
      <c r="O40" s="45"/>
      <c r="P40" s="45"/>
      <c r="Q40" s="45"/>
      <c r="R40" s="45"/>
      <c r="S40" s="45"/>
      <c r="T40" s="45" t="str">
        <f t="shared" si="6"/>
        <v/>
      </c>
      <c r="U40" s="45" t="str">
        <f t="shared" si="7"/>
        <v/>
      </c>
      <c r="V40" s="68" t="str">
        <f t="shared" si="8"/>
        <v/>
      </c>
      <c r="W40" s="48"/>
      <c r="X40" s="66" t="str">
        <f t="shared" si="9"/>
        <v/>
      </c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43"/>
      <c r="CY40" s="43"/>
      <c r="CZ40" s="43"/>
      <c r="DA40" s="43"/>
      <c r="DB40" s="43"/>
      <c r="DC40" s="43"/>
      <c r="DD40" s="43"/>
      <c r="DE40" s="43"/>
      <c r="DF40" s="43"/>
      <c r="DG40" s="43"/>
      <c r="DH40" s="43"/>
      <c r="DI40" s="43"/>
      <c r="DJ40" s="43"/>
      <c r="DK40" s="43"/>
      <c r="DL40" s="43"/>
      <c r="DM40" s="43"/>
      <c r="DN40" s="43"/>
      <c r="DO40" s="43"/>
      <c r="DP40" s="43"/>
      <c r="DQ40" s="43"/>
      <c r="DR40" s="43"/>
      <c r="DS40" s="43"/>
      <c r="DT40" s="43"/>
      <c r="DU40" s="43"/>
      <c r="DV40" s="43"/>
      <c r="DW40" s="43"/>
      <c r="DX40" s="43"/>
      <c r="DY40" s="43"/>
      <c r="DZ40" s="43"/>
      <c r="EA40" s="43"/>
      <c r="EB40" s="43"/>
      <c r="EC40" s="43"/>
      <c r="ED40" s="43"/>
      <c r="EE40" s="43"/>
      <c r="EF40" s="43"/>
      <c r="EG40" s="43"/>
      <c r="EH40" s="43"/>
      <c r="EI40" s="43"/>
      <c r="EJ40" s="43"/>
      <c r="EK40" s="43"/>
      <c r="EL40" s="43"/>
      <c r="EM40" s="43"/>
      <c r="EN40" s="43"/>
      <c r="EO40" s="43"/>
      <c r="EP40" s="43"/>
      <c r="EQ40" s="43"/>
      <c r="ER40" s="43"/>
      <c r="ES40" s="43"/>
      <c r="ET40" s="43"/>
      <c r="EU40" s="43"/>
      <c r="EV40" s="43"/>
      <c r="EW40" s="43"/>
      <c r="EX40" s="43"/>
      <c r="EY40" s="43"/>
      <c r="EZ40" s="43"/>
      <c r="FA40" s="43"/>
      <c r="FB40" s="43"/>
      <c r="FC40" s="43"/>
      <c r="FD40" s="43"/>
      <c r="FE40" s="43"/>
      <c r="FF40" s="43"/>
      <c r="FG40" s="43"/>
      <c r="FH40" s="43"/>
      <c r="FI40" s="43"/>
      <c r="FJ40" s="43"/>
      <c r="FK40" s="43"/>
      <c r="FL40" s="43"/>
      <c r="FM40" s="43"/>
      <c r="FN40" s="43"/>
      <c r="FO40" s="43"/>
      <c r="FP40" s="43"/>
      <c r="FQ40" s="43"/>
      <c r="FR40" s="43"/>
      <c r="FS40" s="43"/>
      <c r="FT40" s="43"/>
      <c r="FU40" s="43"/>
      <c r="FV40" s="43"/>
      <c r="FW40" s="43"/>
      <c r="FX40" s="43"/>
      <c r="FY40" s="43"/>
      <c r="FZ40" s="43"/>
      <c r="GA40" s="43"/>
      <c r="GB40" s="43"/>
      <c r="GC40" s="43"/>
      <c r="GD40" s="43"/>
      <c r="GE40" s="43"/>
      <c r="GF40" s="43"/>
      <c r="GG40" s="43"/>
      <c r="GH40" s="43"/>
      <c r="GI40" s="43"/>
      <c r="GJ40" s="43"/>
      <c r="GK40" s="43"/>
      <c r="GL40" s="43"/>
      <c r="GM40" s="43"/>
      <c r="GN40" s="43"/>
      <c r="GO40" s="43"/>
      <c r="GP40" s="43"/>
      <c r="GQ40" s="43"/>
      <c r="GR40" s="43"/>
      <c r="GS40" s="43"/>
      <c r="GT40" s="43"/>
      <c r="GU40" s="43"/>
      <c r="GV40" s="43"/>
      <c r="GW40" s="43"/>
      <c r="GX40" s="43"/>
      <c r="GY40" s="43"/>
      <c r="GZ40" s="43"/>
      <c r="HA40" s="43"/>
      <c r="HB40" s="43"/>
      <c r="HC40" s="43"/>
      <c r="HD40" s="43"/>
      <c r="HE40" s="43"/>
      <c r="HF40" s="43"/>
      <c r="HG40" s="43"/>
      <c r="HH40" s="43"/>
      <c r="HI40" s="43"/>
      <c r="HJ40" s="43"/>
      <c r="HK40" s="43"/>
      <c r="HL40" s="43"/>
      <c r="HM40" s="43"/>
      <c r="HN40" s="43"/>
      <c r="HO40" s="43"/>
      <c r="HP40" s="43"/>
      <c r="HQ40" s="43"/>
      <c r="HR40" s="43"/>
      <c r="HS40" s="43"/>
      <c r="HT40" s="43"/>
      <c r="HU40" s="43"/>
      <c r="HV40" s="43"/>
      <c r="HW40" s="43"/>
      <c r="HX40" s="43"/>
      <c r="HY40" s="43"/>
      <c r="HZ40" s="43"/>
      <c r="IA40" s="43"/>
      <c r="IB40" s="43"/>
      <c r="IC40" s="43"/>
      <c r="ID40" s="43"/>
      <c r="IE40" s="43"/>
      <c r="IF40" s="43"/>
      <c r="IG40" s="43"/>
      <c r="IH40" s="43"/>
      <c r="II40" s="43"/>
      <c r="IJ40" s="43"/>
      <c r="IK40" s="43"/>
      <c r="IL40" s="43"/>
      <c r="IM40" s="43"/>
      <c r="IN40" s="43"/>
      <c r="IO40" s="43"/>
      <c r="IP40" s="43"/>
      <c r="IQ40" s="43"/>
      <c r="IR40" s="43"/>
      <c r="IS40" s="43"/>
      <c r="IT40" s="43"/>
      <c r="IU40" s="43"/>
      <c r="IV40" s="43"/>
      <c r="IW40" s="43"/>
      <c r="IX40" s="43"/>
      <c r="IY40" s="43"/>
      <c r="IZ40" s="43"/>
      <c r="JA40" s="43"/>
      <c r="JB40" s="43"/>
      <c r="JC40" s="43"/>
      <c r="JD40" s="43"/>
      <c r="JE40" s="43"/>
      <c r="JF40" s="43"/>
      <c r="JG40" s="43"/>
      <c r="JH40" s="43"/>
      <c r="JI40" s="43"/>
      <c r="JJ40" s="43"/>
      <c r="JK40" s="43"/>
      <c r="JL40" s="43"/>
      <c r="JM40" s="43"/>
      <c r="JN40" s="43"/>
      <c r="JO40" s="43"/>
      <c r="JP40" s="43"/>
      <c r="JQ40" s="43"/>
      <c r="JR40" s="43"/>
      <c r="JS40" s="43"/>
      <c r="JT40" s="43"/>
      <c r="JU40" s="43"/>
      <c r="JV40" s="43"/>
      <c r="JW40" s="43"/>
      <c r="JX40" s="43"/>
      <c r="JY40" s="43"/>
      <c r="JZ40" s="43"/>
      <c r="KA40" s="43"/>
      <c r="KB40" s="43"/>
      <c r="KC40" s="43"/>
      <c r="KD40" s="43"/>
      <c r="KE40" s="43"/>
      <c r="KF40" s="43"/>
      <c r="KG40" s="43"/>
      <c r="KH40" s="43"/>
      <c r="KI40" s="43"/>
      <c r="KJ40" s="43"/>
      <c r="KK40" s="43"/>
      <c r="KL40" s="43"/>
      <c r="KM40" s="43"/>
      <c r="KN40" s="43"/>
      <c r="KO40" s="43"/>
      <c r="KP40" s="43"/>
      <c r="KQ40" s="43"/>
      <c r="KR40" s="43"/>
      <c r="KS40" s="43"/>
      <c r="KT40" s="43"/>
      <c r="KU40" s="43"/>
      <c r="KV40" s="43"/>
      <c r="KW40" s="43"/>
      <c r="KX40" s="43"/>
      <c r="KY40" s="43"/>
      <c r="KZ40" s="43"/>
      <c r="LA40" s="43"/>
      <c r="LB40" s="43"/>
      <c r="LC40" s="43"/>
      <c r="LD40" s="43"/>
      <c r="LE40" s="43"/>
      <c r="LF40" s="43"/>
      <c r="LG40" s="43"/>
      <c r="LH40" s="43"/>
      <c r="LI40" s="43"/>
      <c r="LJ40" s="43"/>
      <c r="LK40" s="43"/>
      <c r="LL40" s="43"/>
      <c r="LM40" s="43"/>
      <c r="LN40" s="43"/>
      <c r="LO40" s="43"/>
      <c r="LP40" s="43"/>
      <c r="LQ40" s="43"/>
      <c r="LR40" s="43"/>
      <c r="LS40" s="43"/>
      <c r="LT40" s="43"/>
      <c r="LU40" s="43"/>
      <c r="LV40" s="43"/>
      <c r="LW40" s="43"/>
      <c r="LX40" s="43"/>
      <c r="LY40" s="43"/>
      <c r="LZ40" s="43"/>
      <c r="MA40" s="43"/>
      <c r="MB40" s="43"/>
      <c r="MC40" s="43"/>
      <c r="MD40" s="43"/>
      <c r="ME40" s="43"/>
      <c r="MF40" s="43"/>
      <c r="MG40" s="43"/>
      <c r="MH40" s="43"/>
      <c r="MI40" s="43"/>
      <c r="MJ40" s="43"/>
      <c r="MK40" s="43"/>
      <c r="ML40" s="43"/>
      <c r="MM40" s="43"/>
      <c r="MN40" s="43"/>
      <c r="MO40" s="43"/>
      <c r="MP40" s="43"/>
      <c r="MQ40" s="43"/>
      <c r="MR40" s="43"/>
      <c r="MS40" s="43"/>
      <c r="MT40" s="43"/>
      <c r="MU40" s="43"/>
      <c r="MV40" s="43"/>
      <c r="MW40" s="43"/>
      <c r="MX40" s="43"/>
      <c r="MY40" s="43"/>
      <c r="MZ40" s="43"/>
      <c r="NA40" s="43"/>
      <c r="NB40" s="43"/>
      <c r="NC40" s="43"/>
      <c r="ND40" s="43"/>
      <c r="NE40" s="43"/>
      <c r="NF40" s="43"/>
      <c r="NG40" s="43"/>
      <c r="NH40" s="43"/>
      <c r="NI40" s="43"/>
      <c r="NJ40" s="43"/>
      <c r="NK40" s="43"/>
      <c r="NL40" s="43"/>
      <c r="NM40" s="43"/>
      <c r="NN40" s="43"/>
      <c r="NO40" s="43"/>
      <c r="NP40" s="43"/>
      <c r="NQ40" s="43"/>
      <c r="NR40" s="43"/>
      <c r="NS40" s="43"/>
      <c r="NT40" s="43"/>
      <c r="NU40" s="43"/>
      <c r="NV40" s="43"/>
      <c r="NW40" s="43"/>
      <c r="NX40" s="43"/>
      <c r="NY40" s="43"/>
      <c r="NZ40" s="43"/>
      <c r="OA40" s="43"/>
      <c r="OB40" s="43"/>
      <c r="OC40" s="43"/>
      <c r="OD40" s="43"/>
      <c r="OE40" s="43"/>
      <c r="OF40" s="43"/>
      <c r="OG40" s="43"/>
      <c r="OH40" s="43"/>
      <c r="OI40" s="43"/>
      <c r="OJ40" s="43"/>
      <c r="OK40" s="43"/>
      <c r="OL40" s="43"/>
      <c r="OM40" s="43"/>
      <c r="ON40" s="43"/>
      <c r="OO40" s="43"/>
      <c r="OP40" s="43"/>
      <c r="OQ40" s="43"/>
      <c r="OR40" s="43"/>
      <c r="OS40" s="43"/>
      <c r="OT40" s="43"/>
      <c r="OU40" s="43"/>
      <c r="OV40" s="43"/>
      <c r="OW40" s="43"/>
      <c r="OX40" s="43"/>
      <c r="OY40" s="43"/>
      <c r="OZ40" s="43"/>
      <c r="PA40" s="43"/>
      <c r="PB40" s="43"/>
      <c r="PC40" s="43"/>
      <c r="PD40" s="43"/>
      <c r="PE40" s="43"/>
      <c r="PF40" s="43"/>
      <c r="PG40" s="43"/>
      <c r="PH40" s="43"/>
      <c r="PI40" s="43"/>
      <c r="PJ40" s="43"/>
      <c r="PK40" s="43"/>
      <c r="PL40" s="43"/>
      <c r="PM40" s="43"/>
      <c r="PN40" s="43"/>
      <c r="PO40" s="43"/>
      <c r="PP40" s="43"/>
      <c r="PQ40" s="43"/>
      <c r="PR40" s="43"/>
      <c r="PS40" s="43"/>
      <c r="PT40" s="43"/>
      <c r="PU40" s="43"/>
      <c r="PV40" s="43"/>
      <c r="PW40" s="43"/>
      <c r="PX40" s="43"/>
      <c r="PY40" s="43"/>
      <c r="PZ40" s="43"/>
      <c r="QA40" s="43"/>
      <c r="QB40" s="43"/>
      <c r="QC40" s="43"/>
    </row>
    <row r="41" spans="1:16383" s="50" customFormat="1" x14ac:dyDescent="0.3">
      <c r="A41" s="47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8"/>
      <c r="O41" s="45"/>
      <c r="P41" s="45"/>
      <c r="Q41" s="45"/>
      <c r="R41" s="45"/>
      <c r="S41" s="45"/>
      <c r="T41" s="45" t="str">
        <f t="shared" si="6"/>
        <v/>
      </c>
      <c r="U41" s="45" t="str">
        <f t="shared" si="7"/>
        <v/>
      </c>
      <c r="V41" s="68" t="str">
        <f t="shared" si="8"/>
        <v/>
      </c>
      <c r="W41" s="48"/>
      <c r="X41" s="66" t="str">
        <f t="shared" si="9"/>
        <v/>
      </c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43"/>
      <c r="CY41" s="43"/>
      <c r="CZ41" s="43"/>
      <c r="DA41" s="43"/>
      <c r="DB41" s="43"/>
      <c r="DC41" s="43"/>
      <c r="DD41" s="43"/>
      <c r="DE41" s="43"/>
      <c r="DF41" s="43"/>
      <c r="DG41" s="43"/>
      <c r="DH41" s="43"/>
      <c r="DI41" s="43"/>
      <c r="DJ41" s="43"/>
      <c r="DK41" s="43"/>
      <c r="DL41" s="43"/>
      <c r="DM41" s="43"/>
      <c r="DN41" s="43"/>
      <c r="DO41" s="43"/>
      <c r="DP41" s="43"/>
      <c r="DQ41" s="43"/>
      <c r="DR41" s="43"/>
      <c r="DS41" s="43"/>
      <c r="DT41" s="43"/>
      <c r="DU41" s="43"/>
      <c r="DV41" s="43"/>
      <c r="DW41" s="43"/>
      <c r="DX41" s="43"/>
      <c r="DY41" s="43"/>
      <c r="DZ41" s="43"/>
      <c r="EA41" s="43"/>
      <c r="EB41" s="43"/>
      <c r="EC41" s="43"/>
      <c r="ED41" s="43"/>
      <c r="EE41" s="43"/>
      <c r="EF41" s="43"/>
      <c r="EG41" s="43"/>
      <c r="EH41" s="43"/>
      <c r="EI41" s="43"/>
      <c r="EJ41" s="43"/>
      <c r="EK41" s="43"/>
      <c r="EL41" s="43"/>
      <c r="EM41" s="43"/>
      <c r="EN41" s="43"/>
      <c r="EO41" s="43"/>
      <c r="EP41" s="43"/>
      <c r="EQ41" s="43"/>
      <c r="ER41" s="43"/>
      <c r="ES41" s="43"/>
      <c r="ET41" s="43"/>
      <c r="EU41" s="43"/>
      <c r="EV41" s="43"/>
      <c r="EW41" s="43"/>
      <c r="EX41" s="43"/>
      <c r="EY41" s="43"/>
      <c r="EZ41" s="43"/>
      <c r="FA41" s="43"/>
      <c r="FB41" s="43"/>
      <c r="FC41" s="43"/>
      <c r="FD41" s="43"/>
      <c r="FE41" s="43"/>
      <c r="FF41" s="43"/>
      <c r="FG41" s="43"/>
      <c r="FH41" s="43"/>
      <c r="FI41" s="43"/>
      <c r="FJ41" s="43"/>
      <c r="FK41" s="43"/>
      <c r="FL41" s="43"/>
      <c r="FM41" s="43"/>
      <c r="FN41" s="43"/>
      <c r="FO41" s="43"/>
      <c r="FP41" s="43"/>
      <c r="FQ41" s="43"/>
      <c r="FR41" s="43"/>
      <c r="FS41" s="43"/>
      <c r="FT41" s="43"/>
      <c r="FU41" s="43"/>
      <c r="FV41" s="43"/>
      <c r="FW41" s="43"/>
      <c r="FX41" s="43"/>
      <c r="FY41" s="43"/>
      <c r="FZ41" s="43"/>
      <c r="GA41" s="43"/>
      <c r="GB41" s="43"/>
      <c r="GC41" s="43"/>
      <c r="GD41" s="43"/>
      <c r="GE41" s="43"/>
      <c r="GF41" s="43"/>
      <c r="GG41" s="43"/>
      <c r="GH41" s="43"/>
      <c r="GI41" s="43"/>
      <c r="GJ41" s="43"/>
      <c r="GK41" s="43"/>
      <c r="GL41" s="43"/>
      <c r="GM41" s="43"/>
      <c r="GN41" s="43"/>
      <c r="GO41" s="43"/>
      <c r="GP41" s="43"/>
      <c r="GQ41" s="43"/>
      <c r="GR41" s="43"/>
      <c r="GS41" s="43"/>
      <c r="GT41" s="43"/>
      <c r="GU41" s="43"/>
      <c r="GV41" s="43"/>
      <c r="GW41" s="43"/>
      <c r="GX41" s="43"/>
      <c r="GY41" s="43"/>
      <c r="GZ41" s="43"/>
      <c r="HA41" s="43"/>
      <c r="HB41" s="43"/>
      <c r="HC41" s="43"/>
      <c r="HD41" s="43"/>
      <c r="HE41" s="43"/>
      <c r="HF41" s="43"/>
      <c r="HG41" s="43"/>
      <c r="HH41" s="43"/>
      <c r="HI41" s="43"/>
      <c r="HJ41" s="43"/>
      <c r="HK41" s="43"/>
      <c r="HL41" s="43"/>
      <c r="HM41" s="43"/>
      <c r="HN41" s="43"/>
      <c r="HO41" s="43"/>
      <c r="HP41" s="43"/>
      <c r="HQ41" s="43"/>
      <c r="HR41" s="43"/>
      <c r="HS41" s="43"/>
      <c r="HT41" s="43"/>
      <c r="HU41" s="43"/>
      <c r="HV41" s="43"/>
      <c r="HW41" s="43"/>
      <c r="HX41" s="43"/>
      <c r="HY41" s="43"/>
      <c r="HZ41" s="43"/>
      <c r="IA41" s="43"/>
      <c r="IB41" s="43"/>
      <c r="IC41" s="43"/>
      <c r="ID41" s="43"/>
      <c r="IE41" s="43"/>
      <c r="IF41" s="43"/>
      <c r="IG41" s="43"/>
      <c r="IH41" s="43"/>
      <c r="II41" s="43"/>
      <c r="IJ41" s="43"/>
      <c r="IK41" s="43"/>
      <c r="IL41" s="43"/>
      <c r="IM41" s="43"/>
      <c r="IN41" s="43"/>
      <c r="IO41" s="43"/>
      <c r="IP41" s="43"/>
      <c r="IQ41" s="43"/>
      <c r="IR41" s="43"/>
      <c r="IS41" s="43"/>
      <c r="IT41" s="43"/>
      <c r="IU41" s="43"/>
      <c r="IV41" s="43"/>
      <c r="IW41" s="43"/>
      <c r="IX41" s="43"/>
      <c r="IY41" s="43"/>
      <c r="IZ41" s="43"/>
      <c r="JA41" s="43"/>
      <c r="JB41" s="43"/>
      <c r="JC41" s="43"/>
      <c r="JD41" s="43"/>
      <c r="JE41" s="43"/>
      <c r="JF41" s="43"/>
      <c r="JG41" s="43"/>
      <c r="JH41" s="43"/>
      <c r="JI41" s="43"/>
      <c r="JJ41" s="43"/>
      <c r="JK41" s="43"/>
      <c r="JL41" s="43"/>
      <c r="JM41" s="43"/>
      <c r="JN41" s="43"/>
      <c r="JO41" s="43"/>
      <c r="JP41" s="43"/>
      <c r="JQ41" s="43"/>
      <c r="JR41" s="43"/>
      <c r="JS41" s="43"/>
      <c r="JT41" s="43"/>
      <c r="JU41" s="43"/>
      <c r="JV41" s="43"/>
      <c r="JW41" s="43"/>
      <c r="JX41" s="43"/>
      <c r="JY41" s="43"/>
      <c r="JZ41" s="43"/>
      <c r="KA41" s="43"/>
      <c r="KB41" s="43"/>
      <c r="KC41" s="43"/>
      <c r="KD41" s="43"/>
      <c r="KE41" s="43"/>
      <c r="KF41" s="43"/>
      <c r="KG41" s="43"/>
      <c r="KH41" s="43"/>
      <c r="KI41" s="43"/>
      <c r="KJ41" s="43"/>
      <c r="KK41" s="43"/>
      <c r="KL41" s="43"/>
      <c r="KM41" s="43"/>
      <c r="KN41" s="43"/>
      <c r="KO41" s="43"/>
      <c r="KP41" s="43"/>
      <c r="KQ41" s="43"/>
      <c r="KR41" s="43"/>
      <c r="KS41" s="43"/>
      <c r="KT41" s="43"/>
      <c r="KU41" s="43"/>
      <c r="KV41" s="43"/>
      <c r="KW41" s="43"/>
      <c r="KX41" s="43"/>
      <c r="KY41" s="43"/>
      <c r="KZ41" s="43"/>
      <c r="LA41" s="43"/>
      <c r="LB41" s="43"/>
      <c r="LC41" s="43"/>
      <c r="LD41" s="43"/>
      <c r="LE41" s="43"/>
      <c r="LF41" s="43"/>
      <c r="LG41" s="43"/>
      <c r="LH41" s="43"/>
      <c r="LI41" s="43"/>
      <c r="LJ41" s="43"/>
      <c r="LK41" s="43"/>
      <c r="LL41" s="43"/>
      <c r="LM41" s="43"/>
      <c r="LN41" s="43"/>
      <c r="LO41" s="43"/>
      <c r="LP41" s="43"/>
      <c r="LQ41" s="43"/>
      <c r="LR41" s="43"/>
      <c r="LS41" s="43"/>
      <c r="LT41" s="43"/>
      <c r="LU41" s="43"/>
      <c r="LV41" s="43"/>
      <c r="LW41" s="43"/>
      <c r="LX41" s="43"/>
      <c r="LY41" s="43"/>
      <c r="LZ41" s="43"/>
      <c r="MA41" s="43"/>
      <c r="MB41" s="43"/>
      <c r="MC41" s="43"/>
      <c r="MD41" s="43"/>
      <c r="ME41" s="43"/>
      <c r="MF41" s="43"/>
      <c r="MG41" s="43"/>
      <c r="MH41" s="43"/>
      <c r="MI41" s="43"/>
      <c r="MJ41" s="43"/>
      <c r="MK41" s="43"/>
      <c r="ML41" s="43"/>
      <c r="MM41" s="43"/>
      <c r="MN41" s="43"/>
      <c r="MO41" s="43"/>
      <c r="MP41" s="43"/>
      <c r="MQ41" s="43"/>
      <c r="MR41" s="43"/>
      <c r="MS41" s="43"/>
      <c r="MT41" s="43"/>
      <c r="MU41" s="43"/>
      <c r="MV41" s="43"/>
      <c r="MW41" s="43"/>
      <c r="MX41" s="43"/>
      <c r="MY41" s="43"/>
      <c r="MZ41" s="43"/>
      <c r="NA41" s="43"/>
      <c r="NB41" s="43"/>
      <c r="NC41" s="43"/>
      <c r="ND41" s="43"/>
      <c r="NE41" s="43"/>
      <c r="NF41" s="43"/>
      <c r="NG41" s="43"/>
      <c r="NH41" s="43"/>
      <c r="NI41" s="43"/>
      <c r="NJ41" s="43"/>
      <c r="NK41" s="43"/>
      <c r="NL41" s="43"/>
      <c r="NM41" s="43"/>
      <c r="NN41" s="43"/>
      <c r="NO41" s="43"/>
      <c r="NP41" s="43"/>
      <c r="NQ41" s="43"/>
      <c r="NR41" s="43"/>
      <c r="NS41" s="43"/>
      <c r="NT41" s="43"/>
      <c r="NU41" s="43"/>
      <c r="NV41" s="43"/>
      <c r="NW41" s="43"/>
      <c r="NX41" s="43"/>
      <c r="NY41" s="43"/>
      <c r="NZ41" s="43"/>
      <c r="OA41" s="43"/>
      <c r="OB41" s="43"/>
      <c r="OC41" s="43"/>
      <c r="OD41" s="43"/>
      <c r="OE41" s="43"/>
      <c r="OF41" s="43"/>
      <c r="OG41" s="43"/>
      <c r="OH41" s="43"/>
      <c r="OI41" s="43"/>
      <c r="OJ41" s="43"/>
      <c r="OK41" s="43"/>
      <c r="OL41" s="43"/>
      <c r="OM41" s="43"/>
      <c r="ON41" s="43"/>
      <c r="OO41" s="43"/>
      <c r="OP41" s="43"/>
      <c r="OQ41" s="43"/>
      <c r="OR41" s="43"/>
      <c r="OS41" s="43"/>
      <c r="OT41" s="43"/>
      <c r="OU41" s="43"/>
      <c r="OV41" s="43"/>
      <c r="OW41" s="43"/>
      <c r="OX41" s="43"/>
      <c r="OY41" s="43"/>
      <c r="OZ41" s="43"/>
      <c r="PA41" s="43"/>
      <c r="PB41" s="43"/>
      <c r="PC41" s="43"/>
      <c r="PD41" s="43"/>
      <c r="PE41" s="43"/>
      <c r="PF41" s="43"/>
      <c r="PG41" s="43"/>
      <c r="PH41" s="43"/>
      <c r="PI41" s="43"/>
      <c r="PJ41" s="43"/>
      <c r="PK41" s="43"/>
      <c r="PL41" s="43"/>
      <c r="PM41" s="43"/>
      <c r="PN41" s="43"/>
      <c r="PO41" s="43"/>
      <c r="PP41" s="43"/>
      <c r="PQ41" s="43"/>
      <c r="PR41" s="43"/>
      <c r="PS41" s="43"/>
      <c r="PT41" s="43"/>
      <c r="PU41" s="43"/>
      <c r="PV41" s="43"/>
      <c r="PW41" s="43"/>
      <c r="PX41" s="43"/>
      <c r="PY41" s="43"/>
      <c r="PZ41" s="43"/>
      <c r="QA41" s="43"/>
      <c r="QB41" s="43"/>
      <c r="QC41" s="43"/>
    </row>
    <row r="42" spans="1:16383" s="50" customFormat="1" x14ac:dyDescent="0.3">
      <c r="A42" s="47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 t="str">
        <f t="shared" si="6"/>
        <v/>
      </c>
      <c r="U42" s="45" t="str">
        <f t="shared" si="7"/>
        <v/>
      </c>
      <c r="V42" s="68" t="str">
        <f t="shared" si="8"/>
        <v/>
      </c>
      <c r="W42" s="49"/>
      <c r="X42" s="66" t="str">
        <f t="shared" si="9"/>
        <v/>
      </c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43"/>
      <c r="CY42" s="43"/>
      <c r="CZ42" s="43"/>
      <c r="DA42" s="43"/>
      <c r="DB42" s="43"/>
      <c r="DC42" s="43"/>
      <c r="DD42" s="43"/>
      <c r="DE42" s="43"/>
      <c r="DF42" s="43"/>
      <c r="DG42" s="43"/>
      <c r="DH42" s="43"/>
      <c r="DI42" s="43"/>
      <c r="DJ42" s="43"/>
      <c r="DK42" s="43"/>
      <c r="DL42" s="43"/>
      <c r="DM42" s="43"/>
      <c r="DN42" s="43"/>
      <c r="DO42" s="43"/>
      <c r="DP42" s="43"/>
      <c r="DQ42" s="43"/>
      <c r="DR42" s="43"/>
      <c r="DS42" s="43"/>
      <c r="DT42" s="43"/>
      <c r="DU42" s="43"/>
      <c r="DV42" s="43"/>
      <c r="DW42" s="43"/>
      <c r="DX42" s="43"/>
      <c r="DY42" s="43"/>
      <c r="DZ42" s="43"/>
      <c r="EA42" s="43"/>
      <c r="EB42" s="43"/>
      <c r="EC42" s="43"/>
      <c r="ED42" s="43"/>
      <c r="EE42" s="43"/>
      <c r="EF42" s="43"/>
      <c r="EG42" s="43"/>
      <c r="EH42" s="43"/>
      <c r="EI42" s="43"/>
      <c r="EJ42" s="43"/>
      <c r="EK42" s="43"/>
      <c r="EL42" s="43"/>
      <c r="EM42" s="43"/>
      <c r="EN42" s="43"/>
      <c r="EO42" s="43"/>
      <c r="EP42" s="43"/>
      <c r="EQ42" s="43"/>
      <c r="ER42" s="43"/>
      <c r="ES42" s="43"/>
      <c r="ET42" s="43"/>
      <c r="EU42" s="43"/>
      <c r="EV42" s="43"/>
      <c r="EW42" s="43"/>
      <c r="EX42" s="43"/>
      <c r="EY42" s="43"/>
      <c r="EZ42" s="43"/>
      <c r="FA42" s="43"/>
      <c r="FB42" s="43"/>
      <c r="FC42" s="43"/>
      <c r="FD42" s="43"/>
      <c r="FE42" s="43"/>
      <c r="FF42" s="43"/>
      <c r="FG42" s="43"/>
      <c r="FH42" s="43"/>
      <c r="FI42" s="43"/>
      <c r="FJ42" s="43"/>
      <c r="FK42" s="43"/>
      <c r="FL42" s="43"/>
      <c r="FM42" s="43"/>
      <c r="FN42" s="43"/>
      <c r="FO42" s="43"/>
      <c r="FP42" s="43"/>
      <c r="FQ42" s="43"/>
      <c r="FR42" s="43"/>
      <c r="FS42" s="43"/>
      <c r="FT42" s="43"/>
      <c r="FU42" s="43"/>
      <c r="FV42" s="43"/>
      <c r="FW42" s="43"/>
      <c r="FX42" s="43"/>
      <c r="FY42" s="43"/>
      <c r="FZ42" s="43"/>
      <c r="GA42" s="43"/>
      <c r="GB42" s="43"/>
      <c r="GC42" s="43"/>
      <c r="GD42" s="43"/>
      <c r="GE42" s="43"/>
      <c r="GF42" s="43"/>
      <c r="GG42" s="43"/>
      <c r="GH42" s="43"/>
      <c r="GI42" s="43"/>
      <c r="GJ42" s="43"/>
      <c r="GK42" s="43"/>
      <c r="GL42" s="43"/>
      <c r="GM42" s="43"/>
      <c r="GN42" s="43"/>
      <c r="GO42" s="43"/>
      <c r="GP42" s="43"/>
      <c r="GQ42" s="43"/>
      <c r="GR42" s="43"/>
      <c r="GS42" s="43"/>
      <c r="GT42" s="43"/>
      <c r="GU42" s="43"/>
      <c r="GV42" s="43"/>
      <c r="GW42" s="43"/>
      <c r="GX42" s="43"/>
      <c r="GY42" s="43"/>
      <c r="GZ42" s="43"/>
      <c r="HA42" s="43"/>
      <c r="HB42" s="43"/>
      <c r="HC42" s="43"/>
      <c r="HD42" s="43"/>
      <c r="HE42" s="43"/>
      <c r="HF42" s="43"/>
      <c r="HG42" s="43"/>
      <c r="HH42" s="43"/>
      <c r="HI42" s="43"/>
      <c r="HJ42" s="43"/>
      <c r="HK42" s="43"/>
      <c r="HL42" s="43"/>
      <c r="HM42" s="43"/>
      <c r="HN42" s="43"/>
      <c r="HO42" s="43"/>
      <c r="HP42" s="43"/>
      <c r="HQ42" s="43"/>
      <c r="HR42" s="43"/>
      <c r="HS42" s="43"/>
      <c r="HT42" s="43"/>
      <c r="HU42" s="43"/>
      <c r="HV42" s="43"/>
      <c r="HW42" s="43"/>
      <c r="HX42" s="43"/>
      <c r="HY42" s="43"/>
      <c r="HZ42" s="43"/>
      <c r="IA42" s="43"/>
      <c r="IB42" s="43"/>
      <c r="IC42" s="43"/>
      <c r="ID42" s="43"/>
      <c r="IE42" s="43"/>
      <c r="IF42" s="43"/>
      <c r="IG42" s="43"/>
      <c r="IH42" s="43"/>
      <c r="II42" s="43"/>
      <c r="IJ42" s="43"/>
      <c r="IK42" s="43"/>
      <c r="IL42" s="43"/>
      <c r="IM42" s="43"/>
      <c r="IN42" s="43"/>
      <c r="IO42" s="43"/>
      <c r="IP42" s="43"/>
      <c r="IQ42" s="43"/>
      <c r="IR42" s="43"/>
      <c r="IS42" s="43"/>
      <c r="IT42" s="43"/>
      <c r="IU42" s="43"/>
      <c r="IV42" s="43"/>
      <c r="IW42" s="43"/>
      <c r="IX42" s="43"/>
      <c r="IY42" s="43"/>
      <c r="IZ42" s="43"/>
      <c r="JA42" s="43"/>
      <c r="JB42" s="43"/>
      <c r="JC42" s="43"/>
      <c r="JD42" s="43"/>
      <c r="JE42" s="43"/>
      <c r="JF42" s="43"/>
      <c r="JG42" s="43"/>
      <c r="JH42" s="43"/>
      <c r="JI42" s="43"/>
      <c r="JJ42" s="43"/>
      <c r="JK42" s="43"/>
      <c r="JL42" s="43"/>
      <c r="JM42" s="43"/>
      <c r="JN42" s="43"/>
      <c r="JO42" s="43"/>
      <c r="JP42" s="43"/>
      <c r="JQ42" s="43"/>
      <c r="JR42" s="43"/>
      <c r="JS42" s="43"/>
      <c r="JT42" s="43"/>
      <c r="JU42" s="43"/>
      <c r="JV42" s="43"/>
      <c r="JW42" s="43"/>
      <c r="JX42" s="43"/>
      <c r="JY42" s="43"/>
      <c r="JZ42" s="43"/>
      <c r="KA42" s="43"/>
      <c r="KB42" s="43"/>
      <c r="KC42" s="43"/>
      <c r="KD42" s="43"/>
      <c r="KE42" s="43"/>
      <c r="KF42" s="43"/>
      <c r="KG42" s="43"/>
      <c r="KH42" s="43"/>
      <c r="KI42" s="43"/>
      <c r="KJ42" s="43"/>
      <c r="KK42" s="43"/>
      <c r="KL42" s="43"/>
      <c r="KM42" s="43"/>
      <c r="KN42" s="43"/>
      <c r="KO42" s="43"/>
      <c r="KP42" s="43"/>
      <c r="KQ42" s="43"/>
      <c r="KR42" s="43"/>
      <c r="KS42" s="43"/>
      <c r="KT42" s="43"/>
      <c r="KU42" s="43"/>
      <c r="KV42" s="43"/>
      <c r="KW42" s="43"/>
      <c r="KX42" s="43"/>
      <c r="KY42" s="43"/>
      <c r="KZ42" s="43"/>
      <c r="LA42" s="43"/>
      <c r="LB42" s="43"/>
      <c r="LC42" s="43"/>
      <c r="LD42" s="43"/>
      <c r="LE42" s="43"/>
      <c r="LF42" s="43"/>
      <c r="LG42" s="43"/>
      <c r="LH42" s="43"/>
      <c r="LI42" s="43"/>
      <c r="LJ42" s="43"/>
      <c r="LK42" s="43"/>
      <c r="LL42" s="43"/>
      <c r="LM42" s="43"/>
      <c r="LN42" s="43"/>
      <c r="LO42" s="43"/>
      <c r="LP42" s="43"/>
      <c r="LQ42" s="43"/>
      <c r="LR42" s="43"/>
      <c r="LS42" s="43"/>
      <c r="LT42" s="43"/>
      <c r="LU42" s="43"/>
      <c r="LV42" s="43"/>
      <c r="LW42" s="43"/>
      <c r="LX42" s="43"/>
      <c r="LY42" s="43"/>
      <c r="LZ42" s="43"/>
      <c r="MA42" s="43"/>
      <c r="MB42" s="43"/>
      <c r="MC42" s="43"/>
      <c r="MD42" s="43"/>
      <c r="ME42" s="43"/>
      <c r="MF42" s="43"/>
      <c r="MG42" s="43"/>
      <c r="MH42" s="43"/>
      <c r="MI42" s="43"/>
      <c r="MJ42" s="43"/>
      <c r="MK42" s="43"/>
      <c r="ML42" s="43"/>
      <c r="MM42" s="43"/>
      <c r="MN42" s="43"/>
      <c r="MO42" s="43"/>
      <c r="MP42" s="43"/>
      <c r="MQ42" s="43"/>
      <c r="MR42" s="43"/>
      <c r="MS42" s="43"/>
      <c r="MT42" s="43"/>
      <c r="MU42" s="43"/>
      <c r="MV42" s="43"/>
      <c r="MW42" s="43"/>
      <c r="MX42" s="43"/>
      <c r="MY42" s="43"/>
      <c r="MZ42" s="43"/>
      <c r="NA42" s="43"/>
      <c r="NB42" s="43"/>
      <c r="NC42" s="43"/>
      <c r="ND42" s="43"/>
      <c r="NE42" s="43"/>
      <c r="NF42" s="43"/>
      <c r="NG42" s="43"/>
      <c r="NH42" s="43"/>
      <c r="NI42" s="43"/>
      <c r="NJ42" s="43"/>
      <c r="NK42" s="43"/>
      <c r="NL42" s="43"/>
      <c r="NM42" s="43"/>
      <c r="NN42" s="43"/>
      <c r="NO42" s="43"/>
      <c r="NP42" s="43"/>
      <c r="NQ42" s="43"/>
      <c r="NR42" s="43"/>
      <c r="NS42" s="43"/>
      <c r="NT42" s="43"/>
      <c r="NU42" s="43"/>
      <c r="NV42" s="43"/>
      <c r="NW42" s="43"/>
      <c r="NX42" s="43"/>
      <c r="NY42" s="43"/>
      <c r="NZ42" s="43"/>
      <c r="OA42" s="43"/>
      <c r="OB42" s="43"/>
      <c r="OC42" s="43"/>
      <c r="OD42" s="43"/>
      <c r="OE42" s="43"/>
      <c r="OF42" s="43"/>
      <c r="OG42" s="43"/>
      <c r="OH42" s="43"/>
      <c r="OI42" s="43"/>
      <c r="OJ42" s="43"/>
      <c r="OK42" s="43"/>
      <c r="OL42" s="43"/>
      <c r="OM42" s="43"/>
      <c r="ON42" s="43"/>
      <c r="OO42" s="43"/>
      <c r="OP42" s="43"/>
      <c r="OQ42" s="43"/>
      <c r="OR42" s="43"/>
      <c r="OS42" s="43"/>
      <c r="OT42" s="43"/>
      <c r="OU42" s="43"/>
      <c r="OV42" s="43"/>
      <c r="OW42" s="43"/>
      <c r="OX42" s="43"/>
      <c r="OY42" s="43"/>
      <c r="OZ42" s="43"/>
      <c r="PA42" s="43"/>
      <c r="PB42" s="43"/>
      <c r="PC42" s="43"/>
      <c r="PD42" s="43"/>
      <c r="PE42" s="43"/>
      <c r="PF42" s="43"/>
      <c r="PG42" s="43"/>
      <c r="PH42" s="43"/>
      <c r="PI42" s="43"/>
      <c r="PJ42" s="43"/>
      <c r="PK42" s="43"/>
      <c r="PL42" s="43"/>
      <c r="PM42" s="43"/>
      <c r="PN42" s="43"/>
      <c r="PO42" s="43"/>
      <c r="PP42" s="43"/>
      <c r="PQ42" s="43"/>
      <c r="PR42" s="43"/>
      <c r="PS42" s="43"/>
      <c r="PT42" s="43"/>
      <c r="PU42" s="43"/>
      <c r="PV42" s="43"/>
      <c r="PW42" s="43"/>
      <c r="PX42" s="43"/>
      <c r="PY42" s="43"/>
      <c r="PZ42" s="43"/>
      <c r="QA42" s="43"/>
      <c r="QB42" s="43"/>
      <c r="QC42" s="43"/>
    </row>
    <row r="43" spans="1:16383" s="50" customFormat="1" x14ac:dyDescent="0.3">
      <c r="A43" s="47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 t="str">
        <f t="shared" si="6"/>
        <v/>
      </c>
      <c r="U43" s="45" t="str">
        <f t="shared" si="7"/>
        <v/>
      </c>
      <c r="V43" s="68" t="str">
        <f t="shared" si="8"/>
        <v/>
      </c>
      <c r="W43" s="49"/>
      <c r="X43" s="66" t="str">
        <f t="shared" si="9"/>
        <v/>
      </c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43"/>
      <c r="CY43" s="43"/>
      <c r="CZ43" s="43"/>
      <c r="DA43" s="43"/>
      <c r="DB43" s="43"/>
      <c r="DC43" s="43"/>
      <c r="DD43" s="43"/>
      <c r="DE43" s="43"/>
      <c r="DF43" s="43"/>
      <c r="DG43" s="43"/>
      <c r="DH43" s="43"/>
      <c r="DI43" s="43"/>
      <c r="DJ43" s="43"/>
      <c r="DK43" s="43"/>
      <c r="DL43" s="43"/>
      <c r="DM43" s="43"/>
      <c r="DN43" s="43"/>
      <c r="DO43" s="43"/>
      <c r="DP43" s="43"/>
      <c r="DQ43" s="43"/>
      <c r="DR43" s="43"/>
      <c r="DS43" s="43"/>
      <c r="DT43" s="43"/>
      <c r="DU43" s="43"/>
      <c r="DV43" s="43"/>
      <c r="DW43" s="43"/>
      <c r="DX43" s="43"/>
      <c r="DY43" s="43"/>
      <c r="DZ43" s="43"/>
      <c r="EA43" s="43"/>
      <c r="EB43" s="43"/>
      <c r="EC43" s="43"/>
      <c r="ED43" s="43"/>
      <c r="EE43" s="43"/>
      <c r="EF43" s="43"/>
      <c r="EG43" s="43"/>
      <c r="EH43" s="43"/>
      <c r="EI43" s="43"/>
      <c r="EJ43" s="43"/>
      <c r="EK43" s="43"/>
      <c r="EL43" s="43"/>
      <c r="EM43" s="43"/>
      <c r="EN43" s="43"/>
      <c r="EO43" s="43"/>
      <c r="EP43" s="43"/>
      <c r="EQ43" s="43"/>
      <c r="ER43" s="43"/>
      <c r="ES43" s="43"/>
      <c r="ET43" s="43"/>
      <c r="EU43" s="43"/>
      <c r="EV43" s="43"/>
      <c r="EW43" s="43"/>
      <c r="EX43" s="43"/>
      <c r="EY43" s="43"/>
      <c r="EZ43" s="43"/>
      <c r="FA43" s="43"/>
      <c r="FB43" s="43"/>
      <c r="FC43" s="43"/>
      <c r="FD43" s="43"/>
      <c r="FE43" s="43"/>
      <c r="FF43" s="43"/>
      <c r="FG43" s="43"/>
      <c r="FH43" s="43"/>
      <c r="FI43" s="43"/>
      <c r="FJ43" s="43"/>
      <c r="FK43" s="43"/>
      <c r="FL43" s="43"/>
      <c r="FM43" s="43"/>
      <c r="FN43" s="43"/>
      <c r="FO43" s="43"/>
      <c r="FP43" s="43"/>
      <c r="FQ43" s="43"/>
      <c r="FR43" s="43"/>
      <c r="FS43" s="43"/>
      <c r="FT43" s="43"/>
      <c r="FU43" s="43"/>
      <c r="FV43" s="43"/>
      <c r="FW43" s="43"/>
      <c r="FX43" s="43"/>
      <c r="FY43" s="43"/>
      <c r="FZ43" s="43"/>
      <c r="GA43" s="43"/>
      <c r="GB43" s="43"/>
      <c r="GC43" s="43"/>
      <c r="GD43" s="43"/>
      <c r="GE43" s="43"/>
      <c r="GF43" s="43"/>
      <c r="GG43" s="43"/>
      <c r="GH43" s="43"/>
      <c r="GI43" s="43"/>
      <c r="GJ43" s="43"/>
      <c r="GK43" s="43"/>
      <c r="GL43" s="43"/>
      <c r="GM43" s="43"/>
      <c r="GN43" s="43"/>
      <c r="GO43" s="43"/>
      <c r="GP43" s="43"/>
      <c r="GQ43" s="43"/>
      <c r="GR43" s="43"/>
      <c r="GS43" s="43"/>
      <c r="GT43" s="43"/>
      <c r="GU43" s="43"/>
      <c r="GV43" s="43"/>
      <c r="GW43" s="43"/>
      <c r="GX43" s="43"/>
      <c r="GY43" s="43"/>
      <c r="GZ43" s="43"/>
      <c r="HA43" s="43"/>
      <c r="HB43" s="43"/>
      <c r="HC43" s="43"/>
      <c r="HD43" s="43"/>
      <c r="HE43" s="43"/>
      <c r="HF43" s="43"/>
      <c r="HG43" s="43"/>
      <c r="HH43" s="43"/>
      <c r="HI43" s="43"/>
      <c r="HJ43" s="43"/>
      <c r="HK43" s="43"/>
      <c r="HL43" s="43"/>
      <c r="HM43" s="43"/>
      <c r="HN43" s="43"/>
      <c r="HO43" s="43"/>
      <c r="HP43" s="43"/>
      <c r="HQ43" s="43"/>
      <c r="HR43" s="43"/>
      <c r="HS43" s="43"/>
      <c r="HT43" s="43"/>
      <c r="HU43" s="43"/>
      <c r="HV43" s="43"/>
      <c r="HW43" s="43"/>
      <c r="HX43" s="43"/>
      <c r="HY43" s="43"/>
      <c r="HZ43" s="43"/>
      <c r="IA43" s="43"/>
      <c r="IB43" s="43"/>
      <c r="IC43" s="43"/>
      <c r="ID43" s="43"/>
      <c r="IE43" s="43"/>
      <c r="IF43" s="43"/>
      <c r="IG43" s="43"/>
      <c r="IH43" s="43"/>
      <c r="II43" s="43"/>
      <c r="IJ43" s="43"/>
      <c r="IK43" s="43"/>
      <c r="IL43" s="43"/>
      <c r="IM43" s="43"/>
      <c r="IN43" s="43"/>
      <c r="IO43" s="43"/>
      <c r="IP43" s="43"/>
      <c r="IQ43" s="43"/>
      <c r="IR43" s="43"/>
      <c r="IS43" s="43"/>
      <c r="IT43" s="43"/>
      <c r="IU43" s="43"/>
      <c r="IV43" s="43"/>
      <c r="IW43" s="43"/>
      <c r="IX43" s="43"/>
      <c r="IY43" s="43"/>
      <c r="IZ43" s="43"/>
      <c r="JA43" s="43"/>
      <c r="JB43" s="43"/>
      <c r="JC43" s="43"/>
      <c r="JD43" s="43"/>
      <c r="JE43" s="43"/>
      <c r="JF43" s="43"/>
      <c r="JG43" s="43"/>
      <c r="JH43" s="43"/>
      <c r="JI43" s="43"/>
      <c r="JJ43" s="43"/>
      <c r="JK43" s="43"/>
      <c r="JL43" s="43"/>
      <c r="JM43" s="43"/>
      <c r="JN43" s="43"/>
      <c r="JO43" s="43"/>
      <c r="JP43" s="43"/>
      <c r="JQ43" s="43"/>
      <c r="JR43" s="43"/>
      <c r="JS43" s="43"/>
      <c r="JT43" s="43"/>
      <c r="JU43" s="43"/>
      <c r="JV43" s="43"/>
      <c r="JW43" s="43"/>
      <c r="JX43" s="43"/>
      <c r="JY43" s="43"/>
      <c r="JZ43" s="43"/>
      <c r="KA43" s="43"/>
      <c r="KB43" s="43"/>
      <c r="KC43" s="43"/>
      <c r="KD43" s="43"/>
      <c r="KE43" s="43"/>
      <c r="KF43" s="43"/>
      <c r="KG43" s="43"/>
      <c r="KH43" s="43"/>
      <c r="KI43" s="43"/>
      <c r="KJ43" s="43"/>
      <c r="KK43" s="43"/>
      <c r="KL43" s="43"/>
      <c r="KM43" s="43"/>
      <c r="KN43" s="43"/>
      <c r="KO43" s="43"/>
      <c r="KP43" s="43"/>
      <c r="KQ43" s="43"/>
      <c r="KR43" s="43"/>
      <c r="KS43" s="43"/>
      <c r="KT43" s="43"/>
      <c r="KU43" s="43"/>
      <c r="KV43" s="43"/>
      <c r="KW43" s="43"/>
      <c r="KX43" s="43"/>
      <c r="KY43" s="43"/>
      <c r="KZ43" s="43"/>
      <c r="LA43" s="43"/>
      <c r="LB43" s="43"/>
      <c r="LC43" s="43"/>
      <c r="LD43" s="43"/>
      <c r="LE43" s="43"/>
      <c r="LF43" s="43"/>
      <c r="LG43" s="43"/>
      <c r="LH43" s="43"/>
      <c r="LI43" s="43"/>
      <c r="LJ43" s="43"/>
      <c r="LK43" s="43"/>
      <c r="LL43" s="43"/>
      <c r="LM43" s="43"/>
      <c r="LN43" s="43"/>
      <c r="LO43" s="43"/>
      <c r="LP43" s="43"/>
      <c r="LQ43" s="43"/>
      <c r="LR43" s="43"/>
      <c r="LS43" s="43"/>
      <c r="LT43" s="43"/>
      <c r="LU43" s="43"/>
      <c r="LV43" s="43"/>
      <c r="LW43" s="43"/>
      <c r="LX43" s="43"/>
      <c r="LY43" s="43"/>
      <c r="LZ43" s="43"/>
      <c r="MA43" s="43"/>
      <c r="MB43" s="43"/>
      <c r="MC43" s="43"/>
      <c r="MD43" s="43"/>
      <c r="ME43" s="43"/>
      <c r="MF43" s="43"/>
      <c r="MG43" s="43"/>
      <c r="MH43" s="43"/>
      <c r="MI43" s="43"/>
      <c r="MJ43" s="43"/>
      <c r="MK43" s="43"/>
      <c r="ML43" s="43"/>
      <c r="MM43" s="43"/>
      <c r="MN43" s="43"/>
      <c r="MO43" s="43"/>
      <c r="MP43" s="43"/>
      <c r="MQ43" s="43"/>
      <c r="MR43" s="43"/>
      <c r="MS43" s="43"/>
      <c r="MT43" s="43"/>
      <c r="MU43" s="43"/>
      <c r="MV43" s="43"/>
      <c r="MW43" s="43"/>
      <c r="MX43" s="43"/>
      <c r="MY43" s="43"/>
      <c r="MZ43" s="43"/>
      <c r="NA43" s="43"/>
      <c r="NB43" s="43"/>
      <c r="NC43" s="43"/>
      <c r="ND43" s="43"/>
      <c r="NE43" s="43"/>
      <c r="NF43" s="43"/>
      <c r="NG43" s="43"/>
      <c r="NH43" s="43"/>
      <c r="NI43" s="43"/>
      <c r="NJ43" s="43"/>
      <c r="NK43" s="43"/>
      <c r="NL43" s="43"/>
      <c r="NM43" s="43"/>
      <c r="NN43" s="43"/>
      <c r="NO43" s="43"/>
      <c r="NP43" s="43"/>
      <c r="NQ43" s="43"/>
      <c r="NR43" s="43"/>
      <c r="NS43" s="43"/>
      <c r="NT43" s="43"/>
      <c r="NU43" s="43"/>
      <c r="NV43" s="43"/>
      <c r="NW43" s="43"/>
      <c r="NX43" s="43"/>
      <c r="NY43" s="43"/>
      <c r="NZ43" s="43"/>
      <c r="OA43" s="43"/>
      <c r="OB43" s="43"/>
      <c r="OC43" s="43"/>
      <c r="OD43" s="43"/>
      <c r="OE43" s="43"/>
      <c r="OF43" s="43"/>
      <c r="OG43" s="43"/>
      <c r="OH43" s="43"/>
      <c r="OI43" s="43"/>
      <c r="OJ43" s="43"/>
      <c r="OK43" s="43"/>
      <c r="OL43" s="43"/>
      <c r="OM43" s="43"/>
      <c r="ON43" s="43"/>
      <c r="OO43" s="43"/>
      <c r="OP43" s="43"/>
      <c r="OQ43" s="43"/>
      <c r="OR43" s="43"/>
      <c r="OS43" s="43"/>
      <c r="OT43" s="43"/>
      <c r="OU43" s="43"/>
      <c r="OV43" s="43"/>
      <c r="OW43" s="43"/>
      <c r="OX43" s="43"/>
      <c r="OY43" s="43"/>
      <c r="OZ43" s="43"/>
      <c r="PA43" s="43"/>
      <c r="PB43" s="43"/>
      <c r="PC43" s="43"/>
      <c r="PD43" s="43"/>
      <c r="PE43" s="43"/>
      <c r="PF43" s="43"/>
      <c r="PG43" s="43"/>
      <c r="PH43" s="43"/>
      <c r="PI43" s="43"/>
      <c r="PJ43" s="43"/>
      <c r="PK43" s="43"/>
      <c r="PL43" s="43"/>
      <c r="PM43" s="43"/>
      <c r="PN43" s="43"/>
      <c r="PO43" s="43"/>
      <c r="PP43" s="43"/>
      <c r="PQ43" s="43"/>
      <c r="PR43" s="43"/>
      <c r="PS43" s="43"/>
      <c r="PT43" s="43"/>
      <c r="PU43" s="43"/>
      <c r="PV43" s="43"/>
      <c r="PW43" s="43"/>
      <c r="PX43" s="43"/>
      <c r="PY43" s="43"/>
      <c r="PZ43" s="43"/>
      <c r="QA43" s="43"/>
      <c r="QB43" s="43"/>
      <c r="QC43" s="43"/>
    </row>
    <row r="44" spans="1:16383" x14ac:dyDescent="0.3"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 t="str">
        <f t="shared" si="6"/>
        <v/>
      </c>
      <c r="U44" s="45" t="str">
        <f t="shared" si="7"/>
        <v/>
      </c>
      <c r="V44" s="68" t="str">
        <f t="shared" si="8"/>
        <v/>
      </c>
      <c r="X44" s="66" t="str">
        <f t="shared" si="9"/>
        <v/>
      </c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43"/>
      <c r="CY44" s="43"/>
      <c r="CZ44" s="43"/>
      <c r="DA44" s="43"/>
      <c r="DB44" s="43"/>
      <c r="DC44" s="43"/>
      <c r="DD44" s="43"/>
      <c r="DE44" s="43"/>
      <c r="DF44" s="43"/>
      <c r="DG44" s="43"/>
      <c r="DH44" s="43"/>
      <c r="DI44" s="43"/>
      <c r="DJ44" s="43"/>
      <c r="DK44" s="43"/>
      <c r="DL44" s="43"/>
      <c r="DM44" s="43"/>
      <c r="DN44" s="43"/>
      <c r="DO44" s="43"/>
      <c r="DP44" s="43"/>
      <c r="DQ44" s="43"/>
      <c r="DR44" s="43"/>
      <c r="DS44" s="43"/>
      <c r="DT44" s="43"/>
      <c r="DU44" s="43"/>
      <c r="DV44" s="43"/>
      <c r="DW44" s="43"/>
      <c r="DX44" s="43"/>
      <c r="DY44" s="43"/>
      <c r="DZ44" s="43"/>
      <c r="EA44" s="43"/>
      <c r="EB44" s="43"/>
      <c r="EC44" s="43"/>
      <c r="ED44" s="43"/>
      <c r="EE44" s="43"/>
      <c r="EF44" s="43"/>
      <c r="EG44" s="43"/>
      <c r="EH44" s="43"/>
      <c r="EI44" s="43"/>
      <c r="EJ44" s="43"/>
      <c r="EK44" s="43"/>
      <c r="EL44" s="43"/>
      <c r="EM44" s="43"/>
      <c r="EN44" s="43"/>
      <c r="EO44" s="43"/>
      <c r="EP44" s="43"/>
      <c r="EQ44" s="43"/>
      <c r="ER44" s="43"/>
      <c r="ES44" s="43"/>
      <c r="ET44" s="43"/>
      <c r="EU44" s="43"/>
      <c r="EV44" s="43"/>
      <c r="EW44" s="43"/>
      <c r="EX44" s="43"/>
      <c r="EY44" s="43"/>
      <c r="EZ44" s="43"/>
      <c r="FA44" s="43"/>
      <c r="FB44" s="43"/>
      <c r="FC44" s="43"/>
      <c r="FD44" s="43"/>
      <c r="FE44" s="43"/>
      <c r="FF44" s="43"/>
      <c r="FG44" s="43"/>
      <c r="FH44" s="43"/>
      <c r="FI44" s="43"/>
      <c r="FJ44" s="43"/>
      <c r="FK44" s="43"/>
      <c r="FL44" s="43"/>
      <c r="FM44" s="43"/>
      <c r="FN44" s="43"/>
      <c r="FO44" s="43"/>
      <c r="FP44" s="43"/>
      <c r="FQ44" s="43"/>
      <c r="FR44" s="43"/>
      <c r="FS44" s="43"/>
      <c r="FT44" s="43"/>
      <c r="FU44" s="43"/>
      <c r="FV44" s="43"/>
      <c r="FW44" s="43"/>
      <c r="FX44" s="43"/>
      <c r="FY44" s="43"/>
      <c r="FZ44" s="43"/>
      <c r="GA44" s="43"/>
      <c r="GB44" s="43"/>
      <c r="GC44" s="43"/>
      <c r="GD44" s="43"/>
      <c r="GE44" s="43"/>
      <c r="GF44" s="43"/>
      <c r="GG44" s="43"/>
      <c r="GH44" s="43"/>
      <c r="GI44" s="43"/>
      <c r="GJ44" s="43"/>
      <c r="GK44" s="43"/>
      <c r="GL44" s="43"/>
      <c r="GM44" s="43"/>
      <c r="GN44" s="43"/>
      <c r="GO44" s="43"/>
      <c r="GP44" s="43"/>
      <c r="GQ44" s="43"/>
      <c r="GR44" s="43"/>
      <c r="GS44" s="43"/>
      <c r="GT44" s="43"/>
      <c r="GU44" s="43"/>
      <c r="GV44" s="43"/>
      <c r="GW44" s="43"/>
      <c r="GX44" s="43"/>
      <c r="GY44" s="43"/>
      <c r="GZ44" s="43"/>
      <c r="HA44" s="43"/>
      <c r="HB44" s="43"/>
      <c r="HC44" s="43"/>
      <c r="HD44" s="43"/>
      <c r="HE44" s="43"/>
      <c r="HF44" s="43"/>
      <c r="HG44" s="43"/>
      <c r="HH44" s="43"/>
      <c r="HI44" s="43"/>
      <c r="HJ44" s="43"/>
      <c r="HK44" s="43"/>
      <c r="HL44" s="43"/>
      <c r="HM44" s="43"/>
      <c r="HN44" s="43"/>
      <c r="HO44" s="43"/>
      <c r="HP44" s="43"/>
      <c r="HQ44" s="43"/>
      <c r="HR44" s="43"/>
      <c r="HS44" s="43"/>
      <c r="HT44" s="43"/>
      <c r="HU44" s="43"/>
      <c r="HV44" s="43"/>
      <c r="HW44" s="43"/>
      <c r="HX44" s="43"/>
      <c r="HY44" s="43"/>
      <c r="HZ44" s="43"/>
      <c r="IA44" s="43"/>
      <c r="IB44" s="43"/>
      <c r="IC44" s="43"/>
      <c r="ID44" s="43"/>
      <c r="IE44" s="43"/>
      <c r="IF44" s="43"/>
      <c r="IG44" s="43"/>
      <c r="IH44" s="43"/>
      <c r="II44" s="43"/>
      <c r="IJ44" s="43"/>
      <c r="IK44" s="43"/>
      <c r="IL44" s="43"/>
      <c r="IM44" s="43"/>
      <c r="IN44" s="43"/>
      <c r="IO44" s="43"/>
      <c r="IP44" s="43"/>
      <c r="IQ44" s="43"/>
      <c r="IR44" s="43"/>
      <c r="IS44" s="43"/>
      <c r="IT44" s="43"/>
      <c r="IU44" s="43"/>
      <c r="IV44" s="43"/>
      <c r="IW44" s="43"/>
      <c r="IX44" s="43"/>
      <c r="IY44" s="43"/>
      <c r="IZ44" s="43"/>
      <c r="JA44" s="43"/>
      <c r="JB44" s="43"/>
      <c r="JC44" s="43"/>
      <c r="JD44" s="43"/>
      <c r="JE44" s="43"/>
      <c r="JF44" s="43"/>
      <c r="JG44" s="43"/>
      <c r="JH44" s="43"/>
      <c r="JI44" s="43"/>
      <c r="JJ44" s="43"/>
      <c r="JK44" s="43"/>
      <c r="JL44" s="43"/>
      <c r="JM44" s="43"/>
      <c r="JN44" s="43"/>
      <c r="JO44" s="43"/>
      <c r="JP44" s="43"/>
      <c r="JQ44" s="43"/>
      <c r="JR44" s="43"/>
      <c r="JS44" s="43"/>
      <c r="JT44" s="43"/>
      <c r="JU44" s="43"/>
      <c r="JV44" s="43"/>
      <c r="JW44" s="43"/>
      <c r="JX44" s="43"/>
      <c r="JY44" s="43"/>
      <c r="JZ44" s="43"/>
      <c r="KA44" s="43"/>
      <c r="KB44" s="43"/>
      <c r="KC44" s="43"/>
      <c r="KD44" s="43"/>
      <c r="KE44" s="43"/>
      <c r="KF44" s="43"/>
      <c r="KG44" s="43"/>
      <c r="KH44" s="43"/>
      <c r="KI44" s="43"/>
      <c r="KJ44" s="43"/>
      <c r="KK44" s="43"/>
      <c r="KL44" s="43"/>
      <c r="KM44" s="43"/>
      <c r="KN44" s="43"/>
      <c r="KO44" s="43"/>
      <c r="KP44" s="43"/>
      <c r="KQ44" s="43"/>
      <c r="KR44" s="43"/>
      <c r="KS44" s="43"/>
      <c r="KT44" s="43"/>
      <c r="KU44" s="43"/>
      <c r="KV44" s="43"/>
      <c r="KW44" s="43"/>
      <c r="KX44" s="43"/>
      <c r="KY44" s="43"/>
      <c r="KZ44" s="43"/>
      <c r="LA44" s="43"/>
      <c r="LB44" s="43"/>
      <c r="LC44" s="43"/>
      <c r="LD44" s="43"/>
      <c r="LE44" s="43"/>
      <c r="LF44" s="43"/>
      <c r="LG44" s="43"/>
      <c r="LH44" s="43"/>
      <c r="LI44" s="43"/>
      <c r="LJ44" s="43"/>
      <c r="LK44" s="43"/>
      <c r="LL44" s="43"/>
      <c r="LM44" s="43"/>
      <c r="LN44" s="43"/>
      <c r="LO44" s="43"/>
      <c r="LP44" s="43"/>
      <c r="LQ44" s="43"/>
      <c r="LR44" s="43"/>
      <c r="LS44" s="43"/>
      <c r="LT44" s="43"/>
      <c r="LU44" s="43"/>
      <c r="LV44" s="43"/>
      <c r="LW44" s="43"/>
      <c r="LX44" s="43"/>
      <c r="LY44" s="43"/>
      <c r="LZ44" s="43"/>
      <c r="MA44" s="43"/>
      <c r="MB44" s="43"/>
      <c r="MC44" s="43"/>
      <c r="MD44" s="43"/>
      <c r="ME44" s="43"/>
      <c r="MF44" s="43"/>
      <c r="MG44" s="43"/>
      <c r="MH44" s="43"/>
      <c r="MI44" s="43"/>
      <c r="MJ44" s="43"/>
      <c r="MK44" s="43"/>
      <c r="ML44" s="43"/>
      <c r="MM44" s="43"/>
      <c r="MN44" s="43"/>
      <c r="MO44" s="43"/>
      <c r="MP44" s="43"/>
      <c r="MQ44" s="43"/>
      <c r="MR44" s="43"/>
      <c r="MS44" s="43"/>
      <c r="MT44" s="43"/>
      <c r="MU44" s="43"/>
      <c r="MV44" s="43"/>
      <c r="MW44" s="43"/>
      <c r="MX44" s="43"/>
      <c r="MY44" s="43"/>
      <c r="MZ44" s="43"/>
      <c r="NA44" s="43"/>
      <c r="NB44" s="43"/>
      <c r="NC44" s="43"/>
      <c r="ND44" s="43"/>
      <c r="NE44" s="43"/>
      <c r="NF44" s="43"/>
      <c r="NG44" s="43"/>
      <c r="NH44" s="43"/>
      <c r="NI44" s="43"/>
      <c r="NJ44" s="43"/>
      <c r="NK44" s="43"/>
      <c r="NL44" s="43"/>
      <c r="NM44" s="43"/>
      <c r="NN44" s="43"/>
      <c r="NO44" s="43"/>
      <c r="NP44" s="43"/>
      <c r="NQ44" s="43"/>
      <c r="NR44" s="43"/>
      <c r="NS44" s="43"/>
      <c r="NT44" s="43"/>
      <c r="NU44" s="43"/>
      <c r="NV44" s="43"/>
      <c r="NW44" s="43"/>
      <c r="NX44" s="43"/>
      <c r="NY44" s="43"/>
      <c r="NZ44" s="43"/>
      <c r="OA44" s="43"/>
      <c r="OB44" s="43"/>
      <c r="OC44" s="43"/>
      <c r="OD44" s="43"/>
      <c r="OE44" s="43"/>
      <c r="OF44" s="43"/>
      <c r="OG44" s="43"/>
      <c r="OH44" s="43"/>
      <c r="OI44" s="43"/>
      <c r="OJ44" s="43"/>
      <c r="OK44" s="43"/>
      <c r="OL44" s="43"/>
      <c r="OM44" s="43"/>
      <c r="ON44" s="43"/>
      <c r="OO44" s="43"/>
      <c r="OP44" s="43"/>
      <c r="OQ44" s="43"/>
      <c r="OR44" s="43"/>
      <c r="OS44" s="43"/>
      <c r="OT44" s="43"/>
      <c r="OU44" s="43"/>
      <c r="OV44" s="43"/>
      <c r="OW44" s="43"/>
      <c r="OX44" s="43"/>
      <c r="OY44" s="43"/>
      <c r="OZ44" s="43"/>
      <c r="PA44" s="43"/>
      <c r="PB44" s="43"/>
      <c r="PC44" s="43"/>
      <c r="PD44" s="43"/>
      <c r="PE44" s="43"/>
      <c r="PF44" s="43"/>
      <c r="PG44" s="43"/>
      <c r="PH44" s="43"/>
      <c r="PI44" s="43"/>
      <c r="PJ44" s="43"/>
      <c r="PK44" s="43"/>
      <c r="PL44" s="43"/>
      <c r="PM44" s="43"/>
      <c r="PN44" s="43"/>
      <c r="PO44" s="43"/>
      <c r="PP44" s="43"/>
      <c r="PQ44" s="43"/>
      <c r="PR44" s="43"/>
      <c r="PS44" s="43"/>
      <c r="PT44" s="43"/>
      <c r="PU44" s="43"/>
      <c r="PV44" s="43"/>
      <c r="PW44" s="43"/>
      <c r="PX44" s="43"/>
      <c r="PY44" s="43"/>
      <c r="PZ44" s="43"/>
      <c r="QA44" s="43"/>
      <c r="QB44" s="43"/>
      <c r="QC44" s="43"/>
    </row>
    <row r="45" spans="1:16383" x14ac:dyDescent="0.3"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 t="str">
        <f t="shared" si="6"/>
        <v/>
      </c>
      <c r="U45" s="45" t="str">
        <f t="shared" si="7"/>
        <v/>
      </c>
      <c r="V45" s="68" t="str">
        <f t="shared" si="8"/>
        <v/>
      </c>
      <c r="X45" s="66" t="str">
        <f t="shared" si="9"/>
        <v/>
      </c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43"/>
      <c r="CY45" s="43"/>
      <c r="CZ45" s="43"/>
      <c r="DA45" s="43"/>
      <c r="DB45" s="43"/>
      <c r="DC45" s="43"/>
      <c r="DD45" s="43"/>
      <c r="DE45" s="43"/>
      <c r="DF45" s="43"/>
      <c r="DG45" s="43"/>
      <c r="DH45" s="43"/>
      <c r="DI45" s="43"/>
      <c r="DJ45" s="43"/>
      <c r="DK45" s="43"/>
      <c r="DL45" s="43"/>
      <c r="DM45" s="43"/>
      <c r="DN45" s="43"/>
      <c r="DO45" s="43"/>
      <c r="DP45" s="43"/>
      <c r="DQ45" s="43"/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3"/>
      <c r="ED45" s="43"/>
      <c r="EE45" s="43"/>
      <c r="EF45" s="43"/>
      <c r="EG45" s="43"/>
      <c r="EH45" s="43"/>
      <c r="EI45" s="43"/>
      <c r="EJ45" s="43"/>
      <c r="EK45" s="43"/>
      <c r="EL45" s="43"/>
      <c r="EM45" s="43"/>
      <c r="EN45" s="43"/>
      <c r="EO45" s="43"/>
      <c r="EP45" s="43"/>
      <c r="EQ45" s="43"/>
      <c r="ER45" s="43"/>
      <c r="ES45" s="43"/>
      <c r="ET45" s="43"/>
      <c r="EU45" s="43"/>
      <c r="EV45" s="43"/>
      <c r="EW45" s="43"/>
      <c r="EX45" s="43"/>
      <c r="EY45" s="43"/>
      <c r="EZ45" s="43"/>
      <c r="FA45" s="43"/>
      <c r="FB45" s="43"/>
      <c r="FC45" s="43"/>
      <c r="FD45" s="43"/>
      <c r="FE45" s="43"/>
      <c r="FF45" s="43"/>
      <c r="FG45" s="43"/>
      <c r="FH45" s="43"/>
      <c r="FI45" s="43"/>
      <c r="FJ45" s="43"/>
      <c r="FK45" s="43"/>
      <c r="FL45" s="43"/>
      <c r="FM45" s="43"/>
      <c r="FN45" s="43"/>
      <c r="FO45" s="43"/>
      <c r="FP45" s="43"/>
      <c r="FQ45" s="43"/>
      <c r="FR45" s="43"/>
      <c r="FS45" s="43"/>
      <c r="FT45" s="43"/>
      <c r="FU45" s="43"/>
      <c r="FV45" s="43"/>
      <c r="FW45" s="43"/>
      <c r="FX45" s="43"/>
      <c r="FY45" s="43"/>
      <c r="FZ45" s="43"/>
      <c r="GA45" s="43"/>
      <c r="GB45" s="43"/>
      <c r="GC45" s="43"/>
      <c r="GD45" s="43"/>
      <c r="GE45" s="43"/>
      <c r="GF45" s="43"/>
      <c r="GG45" s="43"/>
      <c r="GH45" s="43"/>
      <c r="GI45" s="43"/>
      <c r="GJ45" s="43"/>
      <c r="GK45" s="43"/>
      <c r="GL45" s="43"/>
      <c r="GM45" s="43"/>
      <c r="GN45" s="43"/>
      <c r="GO45" s="43"/>
      <c r="GP45" s="43"/>
      <c r="GQ45" s="43"/>
      <c r="GR45" s="43"/>
      <c r="GS45" s="43"/>
      <c r="GT45" s="43"/>
      <c r="GU45" s="43"/>
      <c r="GV45" s="43"/>
      <c r="GW45" s="43"/>
      <c r="GX45" s="43"/>
      <c r="GY45" s="43"/>
      <c r="GZ45" s="43"/>
      <c r="HA45" s="43"/>
      <c r="HB45" s="43"/>
      <c r="HC45" s="43"/>
      <c r="HD45" s="43"/>
      <c r="HE45" s="43"/>
      <c r="HF45" s="43"/>
      <c r="HG45" s="43"/>
      <c r="HH45" s="43"/>
      <c r="HI45" s="43"/>
      <c r="HJ45" s="43"/>
      <c r="HK45" s="43"/>
      <c r="HL45" s="43"/>
      <c r="HM45" s="43"/>
      <c r="HN45" s="43"/>
      <c r="HO45" s="43"/>
      <c r="HP45" s="43"/>
      <c r="HQ45" s="43"/>
      <c r="HR45" s="43"/>
      <c r="HS45" s="43"/>
      <c r="HT45" s="43"/>
      <c r="HU45" s="43"/>
      <c r="HV45" s="43"/>
      <c r="HW45" s="43"/>
      <c r="HX45" s="43"/>
      <c r="HY45" s="43"/>
      <c r="HZ45" s="43"/>
      <c r="IA45" s="43"/>
      <c r="IB45" s="43"/>
      <c r="IC45" s="43"/>
      <c r="ID45" s="43"/>
      <c r="IE45" s="43"/>
      <c r="IF45" s="43"/>
      <c r="IG45" s="43"/>
      <c r="IH45" s="43"/>
      <c r="II45" s="43"/>
      <c r="IJ45" s="43"/>
      <c r="IK45" s="43"/>
      <c r="IL45" s="43"/>
      <c r="IM45" s="43"/>
      <c r="IN45" s="43"/>
      <c r="IO45" s="43"/>
      <c r="IP45" s="43"/>
      <c r="IQ45" s="43"/>
      <c r="IR45" s="43"/>
      <c r="IS45" s="43"/>
      <c r="IT45" s="43"/>
      <c r="IU45" s="43"/>
      <c r="IV45" s="43"/>
      <c r="IW45" s="43"/>
      <c r="IX45" s="43"/>
      <c r="IY45" s="43"/>
      <c r="IZ45" s="43"/>
      <c r="JA45" s="43"/>
      <c r="JB45" s="43"/>
      <c r="JC45" s="43"/>
      <c r="JD45" s="43"/>
      <c r="JE45" s="43"/>
      <c r="JF45" s="43"/>
      <c r="JG45" s="43"/>
      <c r="JH45" s="43"/>
      <c r="JI45" s="43"/>
      <c r="JJ45" s="43"/>
      <c r="JK45" s="43"/>
      <c r="JL45" s="43"/>
      <c r="JM45" s="43"/>
      <c r="JN45" s="43"/>
      <c r="JO45" s="43"/>
      <c r="JP45" s="43"/>
      <c r="JQ45" s="43"/>
      <c r="JR45" s="43"/>
      <c r="JS45" s="43"/>
      <c r="JT45" s="43"/>
      <c r="JU45" s="43"/>
      <c r="JV45" s="43"/>
      <c r="JW45" s="43"/>
      <c r="JX45" s="43"/>
      <c r="JY45" s="43"/>
      <c r="JZ45" s="43"/>
      <c r="KA45" s="43"/>
      <c r="KB45" s="43"/>
      <c r="KC45" s="43"/>
      <c r="KD45" s="43"/>
      <c r="KE45" s="43"/>
      <c r="KF45" s="43"/>
      <c r="KG45" s="43"/>
      <c r="KH45" s="43"/>
      <c r="KI45" s="43"/>
      <c r="KJ45" s="43"/>
      <c r="KK45" s="43"/>
      <c r="KL45" s="43"/>
      <c r="KM45" s="43"/>
      <c r="KN45" s="43"/>
      <c r="KO45" s="43"/>
      <c r="KP45" s="43"/>
      <c r="KQ45" s="43"/>
      <c r="KR45" s="43"/>
      <c r="KS45" s="43"/>
      <c r="KT45" s="43"/>
      <c r="KU45" s="43"/>
      <c r="KV45" s="43"/>
      <c r="KW45" s="43"/>
      <c r="KX45" s="43"/>
      <c r="KY45" s="43"/>
      <c r="KZ45" s="43"/>
      <c r="LA45" s="43"/>
      <c r="LB45" s="43"/>
      <c r="LC45" s="43"/>
      <c r="LD45" s="43"/>
      <c r="LE45" s="43"/>
      <c r="LF45" s="43"/>
      <c r="LG45" s="43"/>
      <c r="LH45" s="43"/>
      <c r="LI45" s="43"/>
      <c r="LJ45" s="43"/>
      <c r="LK45" s="43"/>
      <c r="LL45" s="43"/>
      <c r="LM45" s="43"/>
      <c r="LN45" s="43"/>
      <c r="LO45" s="43"/>
      <c r="LP45" s="43"/>
      <c r="LQ45" s="43"/>
      <c r="LR45" s="43"/>
      <c r="LS45" s="43"/>
      <c r="LT45" s="43"/>
      <c r="LU45" s="43"/>
      <c r="LV45" s="43"/>
      <c r="LW45" s="43"/>
      <c r="LX45" s="43"/>
      <c r="LY45" s="43"/>
      <c r="LZ45" s="43"/>
      <c r="MA45" s="43"/>
      <c r="MB45" s="43"/>
      <c r="MC45" s="43"/>
      <c r="MD45" s="43"/>
      <c r="ME45" s="43"/>
      <c r="MF45" s="43"/>
      <c r="MG45" s="43"/>
      <c r="MH45" s="43"/>
      <c r="MI45" s="43"/>
      <c r="MJ45" s="43"/>
      <c r="MK45" s="43"/>
      <c r="ML45" s="43"/>
      <c r="MM45" s="43"/>
      <c r="MN45" s="43"/>
      <c r="MO45" s="43"/>
      <c r="MP45" s="43"/>
      <c r="MQ45" s="43"/>
      <c r="MR45" s="43"/>
      <c r="MS45" s="43"/>
      <c r="MT45" s="43"/>
      <c r="MU45" s="43"/>
      <c r="MV45" s="43"/>
      <c r="MW45" s="43"/>
      <c r="MX45" s="43"/>
      <c r="MY45" s="43"/>
      <c r="MZ45" s="43"/>
      <c r="NA45" s="43"/>
      <c r="NB45" s="43"/>
      <c r="NC45" s="43"/>
      <c r="ND45" s="43"/>
      <c r="NE45" s="43"/>
      <c r="NF45" s="43"/>
      <c r="NG45" s="43"/>
      <c r="NH45" s="43"/>
      <c r="NI45" s="43"/>
      <c r="NJ45" s="43"/>
      <c r="NK45" s="43"/>
      <c r="NL45" s="43"/>
      <c r="NM45" s="43"/>
      <c r="NN45" s="43"/>
      <c r="NO45" s="43"/>
      <c r="NP45" s="43"/>
      <c r="NQ45" s="43"/>
      <c r="NR45" s="43"/>
      <c r="NS45" s="43"/>
      <c r="NT45" s="43"/>
      <c r="NU45" s="43"/>
      <c r="NV45" s="43"/>
      <c r="NW45" s="43"/>
      <c r="NX45" s="43"/>
      <c r="NY45" s="43"/>
      <c r="NZ45" s="43"/>
      <c r="OA45" s="43"/>
      <c r="OB45" s="43"/>
      <c r="OC45" s="43"/>
      <c r="OD45" s="43"/>
      <c r="OE45" s="43"/>
      <c r="OF45" s="43"/>
      <c r="OG45" s="43"/>
      <c r="OH45" s="43"/>
      <c r="OI45" s="43"/>
      <c r="OJ45" s="43"/>
      <c r="OK45" s="43"/>
      <c r="OL45" s="43"/>
      <c r="OM45" s="43"/>
      <c r="ON45" s="43"/>
      <c r="OO45" s="43"/>
      <c r="OP45" s="43"/>
      <c r="OQ45" s="43"/>
      <c r="OR45" s="43"/>
      <c r="OS45" s="43"/>
      <c r="OT45" s="43"/>
      <c r="OU45" s="43"/>
      <c r="OV45" s="43"/>
      <c r="OW45" s="43"/>
      <c r="OX45" s="43"/>
      <c r="OY45" s="43"/>
      <c r="OZ45" s="43"/>
      <c r="PA45" s="43"/>
      <c r="PB45" s="43"/>
      <c r="PC45" s="43"/>
      <c r="PD45" s="43"/>
      <c r="PE45" s="43"/>
      <c r="PF45" s="43"/>
      <c r="PG45" s="43"/>
      <c r="PH45" s="43"/>
      <c r="PI45" s="43"/>
      <c r="PJ45" s="43"/>
      <c r="PK45" s="43"/>
      <c r="PL45" s="43"/>
      <c r="PM45" s="43"/>
      <c r="PN45" s="43"/>
      <c r="PO45" s="43"/>
      <c r="PP45" s="43"/>
      <c r="PQ45" s="43"/>
      <c r="PR45" s="43"/>
      <c r="PS45" s="43"/>
      <c r="PT45" s="43"/>
      <c r="PU45" s="43"/>
      <c r="PV45" s="43"/>
      <c r="PW45" s="43"/>
      <c r="PX45" s="43"/>
      <c r="PY45" s="43"/>
      <c r="PZ45" s="43"/>
      <c r="QA45" s="43"/>
      <c r="QB45" s="43"/>
      <c r="QC45" s="43"/>
    </row>
    <row r="46" spans="1:16383" x14ac:dyDescent="0.3"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 t="str">
        <f t="shared" si="6"/>
        <v/>
      </c>
      <c r="U46" s="45" t="str">
        <f t="shared" si="7"/>
        <v/>
      </c>
      <c r="V46" s="68" t="str">
        <f t="shared" si="8"/>
        <v/>
      </c>
      <c r="W46" s="48"/>
      <c r="X46" s="66" t="str">
        <f t="shared" si="9"/>
        <v/>
      </c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43"/>
      <c r="CY46" s="43"/>
      <c r="CZ46" s="43"/>
      <c r="DA46" s="43"/>
      <c r="DB46" s="43"/>
      <c r="DC46" s="43"/>
      <c r="DD46" s="43"/>
      <c r="DE46" s="43"/>
      <c r="DF46" s="43"/>
      <c r="DG46" s="43"/>
      <c r="DH46" s="43"/>
      <c r="DI46" s="43"/>
      <c r="DJ46" s="43"/>
      <c r="DK46" s="43"/>
      <c r="DL46" s="43"/>
      <c r="DM46" s="43"/>
      <c r="DN46" s="43"/>
      <c r="DO46" s="43"/>
      <c r="DP46" s="43"/>
      <c r="DQ46" s="43"/>
      <c r="DR46" s="43"/>
      <c r="DS46" s="43"/>
      <c r="DT46" s="43"/>
      <c r="DU46" s="43"/>
      <c r="DV46" s="43"/>
      <c r="DW46" s="43"/>
      <c r="DX46" s="43"/>
      <c r="DY46" s="43"/>
      <c r="DZ46" s="43"/>
      <c r="EA46" s="43"/>
      <c r="EB46" s="43"/>
      <c r="EC46" s="43"/>
      <c r="ED46" s="43"/>
      <c r="EE46" s="43"/>
      <c r="EF46" s="43"/>
      <c r="EG46" s="43"/>
      <c r="EH46" s="43"/>
      <c r="EI46" s="43"/>
      <c r="EJ46" s="43"/>
      <c r="EK46" s="43"/>
      <c r="EL46" s="43"/>
      <c r="EM46" s="43"/>
      <c r="EN46" s="43"/>
      <c r="EO46" s="43"/>
      <c r="EP46" s="43"/>
      <c r="EQ46" s="43"/>
      <c r="ER46" s="43"/>
      <c r="ES46" s="43"/>
      <c r="ET46" s="43"/>
      <c r="EU46" s="43"/>
      <c r="EV46" s="43"/>
      <c r="EW46" s="43"/>
      <c r="EX46" s="43"/>
      <c r="EY46" s="43"/>
      <c r="EZ46" s="43"/>
      <c r="FA46" s="43"/>
      <c r="FB46" s="43"/>
      <c r="FC46" s="43"/>
      <c r="FD46" s="43"/>
      <c r="FE46" s="43"/>
      <c r="FF46" s="43"/>
      <c r="FG46" s="43"/>
      <c r="FH46" s="43"/>
      <c r="FI46" s="43"/>
      <c r="FJ46" s="43"/>
      <c r="FK46" s="43"/>
      <c r="FL46" s="43"/>
      <c r="FM46" s="43"/>
      <c r="FN46" s="43"/>
      <c r="FO46" s="43"/>
      <c r="FP46" s="43"/>
      <c r="FQ46" s="43"/>
      <c r="FR46" s="43"/>
      <c r="FS46" s="43"/>
      <c r="FT46" s="43"/>
      <c r="FU46" s="43"/>
      <c r="FV46" s="43"/>
      <c r="FW46" s="43"/>
      <c r="FX46" s="43"/>
      <c r="FY46" s="43"/>
      <c r="FZ46" s="43"/>
      <c r="GA46" s="43"/>
      <c r="GB46" s="43"/>
      <c r="GC46" s="43"/>
      <c r="GD46" s="43"/>
      <c r="GE46" s="43"/>
      <c r="GF46" s="43"/>
      <c r="GG46" s="43"/>
      <c r="GH46" s="43"/>
      <c r="GI46" s="43"/>
      <c r="GJ46" s="43"/>
      <c r="GK46" s="43"/>
      <c r="GL46" s="43"/>
      <c r="GM46" s="43"/>
      <c r="GN46" s="43"/>
      <c r="GO46" s="43"/>
      <c r="GP46" s="43"/>
      <c r="GQ46" s="43"/>
      <c r="GR46" s="43"/>
      <c r="GS46" s="43"/>
      <c r="GT46" s="43"/>
      <c r="GU46" s="43"/>
      <c r="GV46" s="43"/>
      <c r="GW46" s="43"/>
      <c r="GX46" s="43"/>
      <c r="GY46" s="43"/>
      <c r="GZ46" s="43"/>
      <c r="HA46" s="43"/>
      <c r="HB46" s="43"/>
      <c r="HC46" s="43"/>
      <c r="HD46" s="43"/>
      <c r="HE46" s="43"/>
      <c r="HF46" s="43"/>
      <c r="HG46" s="43"/>
      <c r="HH46" s="43"/>
      <c r="HI46" s="43"/>
      <c r="HJ46" s="43"/>
      <c r="HK46" s="43"/>
      <c r="HL46" s="43"/>
      <c r="HM46" s="43"/>
      <c r="HN46" s="43"/>
      <c r="HO46" s="43"/>
      <c r="HP46" s="43"/>
      <c r="HQ46" s="43"/>
      <c r="HR46" s="43"/>
      <c r="HS46" s="43"/>
      <c r="HT46" s="43"/>
      <c r="HU46" s="43"/>
      <c r="HV46" s="43"/>
      <c r="HW46" s="43"/>
      <c r="HX46" s="43"/>
      <c r="HY46" s="43"/>
      <c r="HZ46" s="43"/>
      <c r="IA46" s="43"/>
      <c r="IB46" s="43"/>
      <c r="IC46" s="43"/>
      <c r="ID46" s="43"/>
      <c r="IE46" s="43"/>
      <c r="IF46" s="43"/>
      <c r="IG46" s="43"/>
      <c r="IH46" s="43"/>
      <c r="II46" s="43"/>
      <c r="IJ46" s="43"/>
      <c r="IK46" s="43"/>
      <c r="IL46" s="43"/>
      <c r="IM46" s="43"/>
      <c r="IN46" s="43"/>
      <c r="IO46" s="43"/>
      <c r="IP46" s="43"/>
      <c r="IQ46" s="43"/>
      <c r="IR46" s="43"/>
      <c r="IS46" s="43"/>
      <c r="IT46" s="43"/>
      <c r="IU46" s="43"/>
      <c r="IV46" s="43"/>
      <c r="IW46" s="43"/>
      <c r="IX46" s="43"/>
      <c r="IY46" s="43"/>
      <c r="IZ46" s="43"/>
      <c r="JA46" s="43"/>
      <c r="JB46" s="43"/>
      <c r="JC46" s="43"/>
      <c r="JD46" s="43"/>
      <c r="JE46" s="43"/>
      <c r="JF46" s="43"/>
      <c r="JG46" s="43"/>
      <c r="JH46" s="43"/>
      <c r="JI46" s="43"/>
      <c r="JJ46" s="43"/>
      <c r="JK46" s="43"/>
      <c r="JL46" s="43"/>
      <c r="JM46" s="43"/>
      <c r="JN46" s="43"/>
      <c r="JO46" s="43"/>
      <c r="JP46" s="43"/>
      <c r="JQ46" s="43"/>
      <c r="JR46" s="43"/>
      <c r="JS46" s="43"/>
      <c r="JT46" s="43"/>
      <c r="JU46" s="43"/>
      <c r="JV46" s="43"/>
      <c r="JW46" s="43"/>
      <c r="JX46" s="43"/>
      <c r="JY46" s="43"/>
      <c r="JZ46" s="43"/>
      <c r="KA46" s="43"/>
      <c r="KB46" s="43"/>
      <c r="KC46" s="43"/>
      <c r="KD46" s="43"/>
      <c r="KE46" s="43"/>
      <c r="KF46" s="43"/>
      <c r="KG46" s="43"/>
      <c r="KH46" s="43"/>
      <c r="KI46" s="43"/>
      <c r="KJ46" s="43"/>
      <c r="KK46" s="43"/>
      <c r="KL46" s="43"/>
      <c r="KM46" s="43"/>
      <c r="KN46" s="43"/>
      <c r="KO46" s="43"/>
      <c r="KP46" s="43"/>
      <c r="KQ46" s="43"/>
      <c r="KR46" s="43"/>
      <c r="KS46" s="43"/>
      <c r="KT46" s="43"/>
      <c r="KU46" s="43"/>
      <c r="KV46" s="43"/>
      <c r="KW46" s="43"/>
      <c r="KX46" s="43"/>
      <c r="KY46" s="43"/>
      <c r="KZ46" s="43"/>
      <c r="LA46" s="43"/>
      <c r="LB46" s="43"/>
      <c r="LC46" s="43"/>
      <c r="LD46" s="43"/>
      <c r="LE46" s="43"/>
      <c r="LF46" s="43"/>
      <c r="LG46" s="43"/>
      <c r="LH46" s="43"/>
      <c r="LI46" s="43"/>
      <c r="LJ46" s="43"/>
      <c r="LK46" s="43"/>
      <c r="LL46" s="43"/>
      <c r="LM46" s="43"/>
      <c r="LN46" s="43"/>
      <c r="LO46" s="43"/>
      <c r="LP46" s="43"/>
      <c r="LQ46" s="43"/>
      <c r="LR46" s="43"/>
      <c r="LS46" s="43"/>
      <c r="LT46" s="43"/>
      <c r="LU46" s="43"/>
      <c r="LV46" s="43"/>
      <c r="LW46" s="43"/>
      <c r="LX46" s="43"/>
      <c r="LY46" s="43"/>
      <c r="LZ46" s="43"/>
      <c r="MA46" s="43"/>
      <c r="MB46" s="43"/>
      <c r="MC46" s="43"/>
      <c r="MD46" s="43"/>
      <c r="ME46" s="43"/>
      <c r="MF46" s="43"/>
      <c r="MG46" s="43"/>
      <c r="MH46" s="43"/>
      <c r="MI46" s="43"/>
      <c r="MJ46" s="43"/>
      <c r="MK46" s="43"/>
      <c r="ML46" s="43"/>
      <c r="MM46" s="43"/>
      <c r="MN46" s="43"/>
      <c r="MO46" s="43"/>
      <c r="MP46" s="43"/>
      <c r="MQ46" s="43"/>
      <c r="MR46" s="43"/>
      <c r="MS46" s="43"/>
      <c r="MT46" s="43"/>
      <c r="MU46" s="43"/>
      <c r="MV46" s="43"/>
      <c r="MW46" s="43"/>
      <c r="MX46" s="43"/>
      <c r="MY46" s="43"/>
      <c r="MZ46" s="43"/>
      <c r="NA46" s="43"/>
      <c r="NB46" s="43"/>
      <c r="NC46" s="43"/>
      <c r="ND46" s="43"/>
      <c r="NE46" s="43"/>
      <c r="NF46" s="43"/>
      <c r="NG46" s="43"/>
      <c r="NH46" s="43"/>
      <c r="NI46" s="43"/>
      <c r="NJ46" s="43"/>
      <c r="NK46" s="43"/>
      <c r="NL46" s="43"/>
      <c r="NM46" s="43"/>
      <c r="NN46" s="43"/>
      <c r="NO46" s="43"/>
      <c r="NP46" s="43"/>
      <c r="NQ46" s="43"/>
      <c r="NR46" s="43"/>
      <c r="NS46" s="43"/>
      <c r="NT46" s="43"/>
      <c r="NU46" s="43"/>
      <c r="NV46" s="43"/>
      <c r="NW46" s="43"/>
      <c r="NX46" s="43"/>
      <c r="NY46" s="43"/>
      <c r="NZ46" s="43"/>
      <c r="OA46" s="43"/>
      <c r="OB46" s="43"/>
      <c r="OC46" s="43"/>
      <c r="OD46" s="43"/>
      <c r="OE46" s="43"/>
      <c r="OF46" s="43"/>
      <c r="OG46" s="43"/>
      <c r="OH46" s="43"/>
      <c r="OI46" s="43"/>
      <c r="OJ46" s="43"/>
      <c r="OK46" s="43"/>
      <c r="OL46" s="43"/>
      <c r="OM46" s="43"/>
      <c r="ON46" s="43"/>
      <c r="OO46" s="43"/>
      <c r="OP46" s="43"/>
      <c r="OQ46" s="43"/>
      <c r="OR46" s="43"/>
      <c r="OS46" s="43"/>
      <c r="OT46" s="43"/>
      <c r="OU46" s="43"/>
      <c r="OV46" s="43"/>
      <c r="OW46" s="43"/>
      <c r="OX46" s="43"/>
      <c r="OY46" s="43"/>
      <c r="OZ46" s="43"/>
      <c r="PA46" s="43"/>
      <c r="PB46" s="43"/>
      <c r="PC46" s="43"/>
      <c r="PD46" s="43"/>
      <c r="PE46" s="43"/>
      <c r="PF46" s="43"/>
      <c r="PG46" s="43"/>
      <c r="PH46" s="43"/>
      <c r="PI46" s="43"/>
      <c r="PJ46" s="43"/>
      <c r="PK46" s="43"/>
      <c r="PL46" s="43"/>
      <c r="PM46" s="43"/>
      <c r="PN46" s="43"/>
      <c r="PO46" s="43"/>
      <c r="PP46" s="43"/>
      <c r="PQ46" s="43"/>
      <c r="PR46" s="43"/>
      <c r="PS46" s="43"/>
      <c r="PT46" s="43"/>
      <c r="PU46" s="43"/>
      <c r="PV46" s="43"/>
      <c r="PW46" s="43"/>
      <c r="PX46" s="43"/>
      <c r="PY46" s="43"/>
      <c r="PZ46" s="43"/>
      <c r="QA46" s="43"/>
      <c r="QB46" s="43"/>
      <c r="QC46" s="43"/>
    </row>
    <row r="47" spans="1:16383" x14ac:dyDescent="0.3">
      <c r="B47" s="45"/>
      <c r="C47" s="45"/>
      <c r="D47" s="45"/>
      <c r="E47" s="45"/>
      <c r="F47" s="45"/>
      <c r="G47" s="45"/>
      <c r="H47" s="45"/>
      <c r="I47" s="45"/>
      <c r="J47" s="52"/>
      <c r="K47" s="45"/>
      <c r="L47" s="45"/>
      <c r="M47" s="45"/>
      <c r="N47" s="45"/>
      <c r="O47" s="45"/>
      <c r="P47" s="45"/>
      <c r="Q47" s="45"/>
      <c r="R47" s="45"/>
      <c r="S47" s="45"/>
      <c r="T47" s="45" t="str">
        <f t="shared" si="6"/>
        <v/>
      </c>
      <c r="U47" s="45" t="str">
        <f t="shared" si="7"/>
        <v/>
      </c>
      <c r="V47" s="68" t="str">
        <f t="shared" si="8"/>
        <v/>
      </c>
      <c r="W47" s="48"/>
      <c r="X47" s="66" t="str">
        <f t="shared" si="9"/>
        <v/>
      </c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43"/>
      <c r="CY47" s="43"/>
      <c r="CZ47" s="43"/>
      <c r="DA47" s="43"/>
      <c r="DB47" s="43"/>
      <c r="DC47" s="43"/>
      <c r="DD47" s="43"/>
      <c r="DE47" s="43"/>
      <c r="DF47" s="43"/>
      <c r="DG47" s="43"/>
      <c r="DH47" s="43"/>
      <c r="DI47" s="43"/>
      <c r="DJ47" s="43"/>
      <c r="DK47" s="43"/>
      <c r="DL47" s="43"/>
      <c r="DM47" s="43"/>
      <c r="DN47" s="43"/>
      <c r="DO47" s="43"/>
      <c r="DP47" s="43"/>
      <c r="DQ47" s="43"/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43"/>
      <c r="EM47" s="43"/>
      <c r="EN47" s="43"/>
      <c r="EO47" s="43"/>
      <c r="EP47" s="43"/>
      <c r="EQ47" s="43"/>
      <c r="ER47" s="43"/>
      <c r="ES47" s="43"/>
      <c r="ET47" s="43"/>
      <c r="EU47" s="43"/>
      <c r="EV47" s="43"/>
      <c r="EW47" s="43"/>
      <c r="EX47" s="43"/>
      <c r="EY47" s="43"/>
      <c r="EZ47" s="43"/>
      <c r="FA47" s="43"/>
      <c r="FB47" s="43"/>
      <c r="FC47" s="43"/>
      <c r="FD47" s="43"/>
      <c r="FE47" s="43"/>
      <c r="FF47" s="43"/>
      <c r="FG47" s="43"/>
      <c r="FH47" s="43"/>
      <c r="FI47" s="43"/>
      <c r="FJ47" s="43"/>
      <c r="FK47" s="43"/>
      <c r="FL47" s="43"/>
      <c r="FM47" s="43"/>
      <c r="FN47" s="43"/>
      <c r="FO47" s="43"/>
      <c r="FP47" s="43"/>
      <c r="FQ47" s="43"/>
      <c r="FR47" s="43"/>
      <c r="FS47" s="43"/>
      <c r="FT47" s="43"/>
      <c r="FU47" s="43"/>
      <c r="FV47" s="43"/>
      <c r="FW47" s="43"/>
      <c r="FX47" s="43"/>
      <c r="FY47" s="43"/>
      <c r="FZ47" s="43"/>
      <c r="GA47" s="43"/>
      <c r="GB47" s="43"/>
      <c r="GC47" s="43"/>
      <c r="GD47" s="43"/>
      <c r="GE47" s="43"/>
      <c r="GF47" s="43"/>
      <c r="GG47" s="43"/>
      <c r="GH47" s="43"/>
      <c r="GI47" s="43"/>
      <c r="GJ47" s="43"/>
      <c r="GK47" s="43"/>
      <c r="GL47" s="43"/>
      <c r="GM47" s="43"/>
      <c r="GN47" s="43"/>
      <c r="GO47" s="43"/>
      <c r="GP47" s="43"/>
      <c r="GQ47" s="43"/>
      <c r="GR47" s="43"/>
      <c r="GS47" s="43"/>
      <c r="GT47" s="43"/>
      <c r="GU47" s="43"/>
      <c r="GV47" s="43"/>
      <c r="GW47" s="43"/>
      <c r="GX47" s="43"/>
      <c r="GY47" s="43"/>
      <c r="GZ47" s="43"/>
      <c r="HA47" s="43"/>
      <c r="HB47" s="43"/>
      <c r="HC47" s="43"/>
      <c r="HD47" s="43"/>
      <c r="HE47" s="43"/>
      <c r="HF47" s="43"/>
      <c r="HG47" s="43"/>
      <c r="HH47" s="43"/>
      <c r="HI47" s="43"/>
      <c r="HJ47" s="43"/>
      <c r="HK47" s="43"/>
      <c r="HL47" s="43"/>
      <c r="HM47" s="43"/>
      <c r="HN47" s="43"/>
      <c r="HO47" s="43"/>
      <c r="HP47" s="43"/>
      <c r="HQ47" s="43"/>
      <c r="HR47" s="43"/>
      <c r="HS47" s="43"/>
      <c r="HT47" s="43"/>
      <c r="HU47" s="43"/>
      <c r="HV47" s="43"/>
      <c r="HW47" s="43"/>
      <c r="HX47" s="43"/>
      <c r="HY47" s="43"/>
      <c r="HZ47" s="43"/>
      <c r="IA47" s="43"/>
      <c r="IB47" s="43"/>
      <c r="IC47" s="43"/>
      <c r="ID47" s="43"/>
      <c r="IE47" s="43"/>
      <c r="IF47" s="43"/>
      <c r="IG47" s="43"/>
      <c r="IH47" s="43"/>
      <c r="II47" s="43"/>
      <c r="IJ47" s="43"/>
      <c r="IK47" s="43"/>
      <c r="IL47" s="43"/>
      <c r="IM47" s="43"/>
      <c r="IN47" s="43"/>
      <c r="IO47" s="43"/>
      <c r="IP47" s="43"/>
      <c r="IQ47" s="43"/>
      <c r="IR47" s="43"/>
      <c r="IS47" s="43"/>
      <c r="IT47" s="43"/>
      <c r="IU47" s="43"/>
      <c r="IV47" s="43"/>
      <c r="IW47" s="43"/>
      <c r="IX47" s="43"/>
      <c r="IY47" s="43"/>
      <c r="IZ47" s="43"/>
      <c r="JA47" s="43"/>
      <c r="JB47" s="43"/>
      <c r="JC47" s="43"/>
      <c r="JD47" s="43"/>
      <c r="JE47" s="43"/>
      <c r="JF47" s="43"/>
      <c r="JG47" s="43"/>
      <c r="JH47" s="43"/>
      <c r="JI47" s="43"/>
      <c r="JJ47" s="43"/>
      <c r="JK47" s="43"/>
      <c r="JL47" s="43"/>
      <c r="JM47" s="43"/>
      <c r="JN47" s="43"/>
      <c r="JO47" s="43"/>
      <c r="JP47" s="43"/>
      <c r="JQ47" s="43"/>
      <c r="JR47" s="43"/>
      <c r="JS47" s="43"/>
      <c r="JT47" s="43"/>
      <c r="JU47" s="43"/>
      <c r="JV47" s="43"/>
      <c r="JW47" s="43"/>
      <c r="JX47" s="43"/>
      <c r="JY47" s="43"/>
      <c r="JZ47" s="43"/>
      <c r="KA47" s="43"/>
      <c r="KB47" s="43"/>
      <c r="KC47" s="43"/>
      <c r="KD47" s="43"/>
      <c r="KE47" s="43"/>
      <c r="KF47" s="43"/>
      <c r="KG47" s="43"/>
      <c r="KH47" s="43"/>
      <c r="KI47" s="43"/>
      <c r="KJ47" s="43"/>
      <c r="KK47" s="43"/>
      <c r="KL47" s="43"/>
      <c r="KM47" s="43"/>
      <c r="KN47" s="43"/>
      <c r="KO47" s="43"/>
      <c r="KP47" s="43"/>
      <c r="KQ47" s="43"/>
      <c r="KR47" s="43"/>
      <c r="KS47" s="43"/>
      <c r="KT47" s="43"/>
      <c r="KU47" s="43"/>
      <c r="KV47" s="43"/>
      <c r="KW47" s="43"/>
      <c r="KX47" s="43"/>
      <c r="KY47" s="43"/>
      <c r="KZ47" s="43"/>
      <c r="LA47" s="43"/>
      <c r="LB47" s="43"/>
      <c r="LC47" s="43"/>
      <c r="LD47" s="43"/>
      <c r="LE47" s="43"/>
      <c r="LF47" s="43"/>
      <c r="LG47" s="43"/>
      <c r="LH47" s="43"/>
      <c r="LI47" s="43"/>
      <c r="LJ47" s="43"/>
      <c r="LK47" s="43"/>
      <c r="LL47" s="43"/>
      <c r="LM47" s="43"/>
      <c r="LN47" s="43"/>
      <c r="LO47" s="43"/>
      <c r="LP47" s="43"/>
      <c r="LQ47" s="43"/>
      <c r="LR47" s="43"/>
      <c r="LS47" s="43"/>
      <c r="LT47" s="43"/>
      <c r="LU47" s="43"/>
      <c r="LV47" s="43"/>
      <c r="LW47" s="43"/>
      <c r="LX47" s="43"/>
      <c r="LY47" s="43"/>
      <c r="LZ47" s="43"/>
      <c r="MA47" s="43"/>
      <c r="MB47" s="43"/>
      <c r="MC47" s="43"/>
      <c r="MD47" s="43"/>
      <c r="ME47" s="43"/>
      <c r="MF47" s="43"/>
      <c r="MG47" s="43"/>
      <c r="MH47" s="43"/>
      <c r="MI47" s="43"/>
      <c r="MJ47" s="43"/>
      <c r="MK47" s="43"/>
      <c r="ML47" s="43"/>
      <c r="MM47" s="43"/>
      <c r="MN47" s="43"/>
      <c r="MO47" s="43"/>
      <c r="MP47" s="43"/>
      <c r="MQ47" s="43"/>
      <c r="MR47" s="43"/>
      <c r="MS47" s="43"/>
      <c r="MT47" s="43"/>
      <c r="MU47" s="43"/>
      <c r="MV47" s="43"/>
      <c r="MW47" s="43"/>
      <c r="MX47" s="43"/>
      <c r="MY47" s="43"/>
      <c r="MZ47" s="43"/>
      <c r="NA47" s="43"/>
      <c r="NB47" s="43"/>
      <c r="NC47" s="43"/>
      <c r="ND47" s="43"/>
      <c r="NE47" s="43"/>
      <c r="NF47" s="43"/>
      <c r="NG47" s="43"/>
      <c r="NH47" s="43"/>
      <c r="NI47" s="43"/>
      <c r="NJ47" s="43"/>
      <c r="NK47" s="43"/>
      <c r="NL47" s="43"/>
      <c r="NM47" s="43"/>
      <c r="NN47" s="43"/>
      <c r="NO47" s="43"/>
      <c r="NP47" s="43"/>
      <c r="NQ47" s="43"/>
      <c r="NR47" s="43"/>
      <c r="NS47" s="43"/>
      <c r="NT47" s="43"/>
      <c r="NU47" s="43"/>
      <c r="NV47" s="43"/>
      <c r="NW47" s="43"/>
      <c r="NX47" s="43"/>
      <c r="NY47" s="43"/>
      <c r="NZ47" s="43"/>
      <c r="OA47" s="43"/>
      <c r="OB47" s="43"/>
      <c r="OC47" s="43"/>
      <c r="OD47" s="43"/>
      <c r="OE47" s="43"/>
      <c r="OF47" s="43"/>
      <c r="OG47" s="43"/>
      <c r="OH47" s="43"/>
      <c r="OI47" s="43"/>
      <c r="OJ47" s="43"/>
      <c r="OK47" s="43"/>
      <c r="OL47" s="43"/>
      <c r="OM47" s="43"/>
      <c r="ON47" s="43"/>
      <c r="OO47" s="43"/>
      <c r="OP47" s="43"/>
      <c r="OQ47" s="43"/>
      <c r="OR47" s="43"/>
      <c r="OS47" s="43"/>
      <c r="OT47" s="43"/>
      <c r="OU47" s="43"/>
      <c r="OV47" s="43"/>
      <c r="OW47" s="43"/>
      <c r="OX47" s="43"/>
      <c r="OY47" s="43"/>
      <c r="OZ47" s="43"/>
      <c r="PA47" s="43"/>
      <c r="PB47" s="43"/>
      <c r="PC47" s="43"/>
      <c r="PD47" s="43"/>
      <c r="PE47" s="43"/>
      <c r="PF47" s="43"/>
      <c r="PG47" s="43"/>
      <c r="PH47" s="43"/>
      <c r="PI47" s="43"/>
      <c r="PJ47" s="43"/>
      <c r="PK47" s="43"/>
      <c r="PL47" s="43"/>
      <c r="PM47" s="43"/>
      <c r="PN47" s="43"/>
      <c r="PO47" s="43"/>
      <c r="PP47" s="43"/>
      <c r="PQ47" s="43"/>
      <c r="PR47" s="43"/>
      <c r="PS47" s="43"/>
      <c r="PT47" s="43"/>
      <c r="PU47" s="43"/>
      <c r="PV47" s="43"/>
      <c r="PW47" s="43"/>
      <c r="PX47" s="43"/>
      <c r="PY47" s="43"/>
      <c r="PZ47" s="43"/>
      <c r="QA47" s="43"/>
      <c r="QB47" s="43"/>
      <c r="QC47" s="43"/>
    </row>
    <row r="48" spans="1:16383" x14ac:dyDescent="0.3"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 t="str">
        <f t="shared" si="6"/>
        <v/>
      </c>
      <c r="U48" s="45" t="str">
        <f t="shared" si="7"/>
        <v/>
      </c>
      <c r="V48" s="68" t="str">
        <f t="shared" si="8"/>
        <v/>
      </c>
      <c r="W48" s="48"/>
      <c r="X48" s="66" t="str">
        <f t="shared" si="9"/>
        <v/>
      </c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  <c r="IW48" s="43"/>
      <c r="IX48" s="43"/>
      <c r="IY48" s="43"/>
      <c r="IZ48" s="43"/>
      <c r="JA48" s="43"/>
      <c r="JB48" s="43"/>
      <c r="JC48" s="43"/>
      <c r="JD48" s="43"/>
      <c r="JE48" s="43"/>
      <c r="JF48" s="43"/>
      <c r="JG48" s="43"/>
      <c r="JH48" s="43"/>
      <c r="JI48" s="43"/>
      <c r="JJ48" s="43"/>
      <c r="JK48" s="43"/>
      <c r="JL48" s="43"/>
      <c r="JM48" s="43"/>
      <c r="JN48" s="43"/>
      <c r="JO48" s="43"/>
      <c r="JP48" s="43"/>
      <c r="JQ48" s="43"/>
      <c r="JR48" s="43"/>
      <c r="JS48" s="43"/>
      <c r="JT48" s="43"/>
      <c r="JU48" s="43"/>
      <c r="JV48" s="43"/>
      <c r="JW48" s="43"/>
      <c r="JX48" s="43"/>
      <c r="JY48" s="43"/>
      <c r="JZ48" s="43"/>
      <c r="KA48" s="43"/>
      <c r="KB48" s="43"/>
      <c r="KC48" s="43"/>
      <c r="KD48" s="43"/>
      <c r="KE48" s="43"/>
      <c r="KF48" s="43"/>
      <c r="KG48" s="43"/>
      <c r="KH48" s="43"/>
      <c r="KI48" s="43"/>
      <c r="KJ48" s="43"/>
      <c r="KK48" s="43"/>
      <c r="KL48" s="43"/>
      <c r="KM48" s="43"/>
      <c r="KN48" s="43"/>
      <c r="KO48" s="43"/>
      <c r="KP48" s="43"/>
      <c r="KQ48" s="43"/>
      <c r="KR48" s="43"/>
      <c r="KS48" s="43"/>
      <c r="KT48" s="43"/>
      <c r="KU48" s="43"/>
      <c r="KV48" s="43"/>
      <c r="KW48" s="43"/>
      <c r="KX48" s="43"/>
      <c r="KY48" s="43"/>
      <c r="KZ48" s="43"/>
      <c r="LA48" s="43"/>
      <c r="LB48" s="43"/>
      <c r="LC48" s="43"/>
      <c r="LD48" s="43"/>
      <c r="LE48" s="43"/>
      <c r="LF48" s="43"/>
      <c r="LG48" s="43"/>
      <c r="LH48" s="43"/>
      <c r="LI48" s="43"/>
      <c r="LJ48" s="43"/>
      <c r="LK48" s="43"/>
      <c r="LL48" s="43"/>
      <c r="LM48" s="43"/>
      <c r="LN48" s="43"/>
      <c r="LO48" s="43"/>
      <c r="LP48" s="43"/>
      <c r="LQ48" s="43"/>
      <c r="LR48" s="43"/>
      <c r="LS48" s="43"/>
      <c r="LT48" s="43"/>
      <c r="LU48" s="43"/>
      <c r="LV48" s="43"/>
      <c r="LW48" s="43"/>
      <c r="LX48" s="43"/>
      <c r="LY48" s="43"/>
      <c r="LZ48" s="43"/>
      <c r="MA48" s="43"/>
      <c r="MB48" s="43"/>
      <c r="MC48" s="43"/>
      <c r="MD48" s="43"/>
      <c r="ME48" s="43"/>
      <c r="MF48" s="43"/>
      <c r="MG48" s="43"/>
      <c r="MH48" s="43"/>
      <c r="MI48" s="43"/>
      <c r="MJ48" s="43"/>
      <c r="MK48" s="43"/>
      <c r="ML48" s="43"/>
      <c r="MM48" s="43"/>
      <c r="MN48" s="43"/>
      <c r="MO48" s="43"/>
      <c r="MP48" s="43"/>
      <c r="MQ48" s="43"/>
      <c r="MR48" s="43"/>
      <c r="MS48" s="43"/>
      <c r="MT48" s="43"/>
      <c r="MU48" s="43"/>
      <c r="MV48" s="43"/>
      <c r="MW48" s="43"/>
      <c r="MX48" s="43"/>
      <c r="MY48" s="43"/>
      <c r="MZ48" s="43"/>
      <c r="NA48" s="43"/>
      <c r="NB48" s="43"/>
      <c r="NC48" s="43"/>
      <c r="ND48" s="43"/>
      <c r="NE48" s="43"/>
      <c r="NF48" s="43"/>
      <c r="NG48" s="43"/>
      <c r="NH48" s="43"/>
      <c r="NI48" s="43"/>
      <c r="NJ48" s="43"/>
      <c r="NK48" s="43"/>
      <c r="NL48" s="43"/>
      <c r="NM48" s="43"/>
      <c r="NN48" s="43"/>
      <c r="NO48" s="43"/>
      <c r="NP48" s="43"/>
      <c r="NQ48" s="43"/>
      <c r="NR48" s="43"/>
      <c r="NS48" s="43"/>
      <c r="NT48" s="43"/>
      <c r="NU48" s="43"/>
      <c r="NV48" s="43"/>
      <c r="NW48" s="43"/>
      <c r="NX48" s="43"/>
      <c r="NY48" s="43"/>
      <c r="NZ48" s="43"/>
      <c r="OA48" s="43"/>
      <c r="OB48" s="43"/>
      <c r="OC48" s="43"/>
      <c r="OD48" s="43"/>
      <c r="OE48" s="43"/>
      <c r="OF48" s="43"/>
      <c r="OG48" s="43"/>
      <c r="OH48" s="43"/>
      <c r="OI48" s="43"/>
      <c r="OJ48" s="43"/>
      <c r="OK48" s="43"/>
      <c r="OL48" s="43"/>
      <c r="OM48" s="43"/>
      <c r="ON48" s="43"/>
      <c r="OO48" s="43"/>
      <c r="OP48" s="43"/>
      <c r="OQ48" s="43"/>
      <c r="OR48" s="43"/>
      <c r="OS48" s="43"/>
      <c r="OT48" s="43"/>
      <c r="OU48" s="43"/>
      <c r="OV48" s="43"/>
      <c r="OW48" s="43"/>
      <c r="OX48" s="43"/>
      <c r="OY48" s="43"/>
      <c r="OZ48" s="43"/>
      <c r="PA48" s="43"/>
      <c r="PB48" s="43"/>
      <c r="PC48" s="43"/>
      <c r="PD48" s="43"/>
      <c r="PE48" s="43"/>
      <c r="PF48" s="43"/>
      <c r="PG48" s="43"/>
      <c r="PH48" s="43"/>
      <c r="PI48" s="43"/>
      <c r="PJ48" s="43"/>
      <c r="PK48" s="43"/>
      <c r="PL48" s="43"/>
      <c r="PM48" s="43"/>
      <c r="PN48" s="43"/>
      <c r="PO48" s="43"/>
      <c r="PP48" s="43"/>
      <c r="PQ48" s="43"/>
      <c r="PR48" s="43"/>
      <c r="PS48" s="43"/>
      <c r="PT48" s="43"/>
      <c r="PU48" s="43"/>
      <c r="PV48" s="43"/>
      <c r="PW48" s="43"/>
      <c r="PX48" s="43"/>
      <c r="PY48" s="43"/>
      <c r="PZ48" s="43"/>
      <c r="QA48" s="43"/>
      <c r="QB48" s="43"/>
      <c r="QC48" s="43"/>
    </row>
    <row r="49" spans="2:445" x14ac:dyDescent="0.3"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 t="str">
        <f t="shared" si="6"/>
        <v/>
      </c>
      <c r="U49" s="45" t="str">
        <f t="shared" si="7"/>
        <v/>
      </c>
      <c r="V49" s="68" t="str">
        <f t="shared" si="8"/>
        <v/>
      </c>
      <c r="W49" s="48"/>
      <c r="X49" s="66" t="str">
        <f t="shared" si="9"/>
        <v/>
      </c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  <c r="IW49" s="43"/>
      <c r="IX49" s="43"/>
      <c r="IY49" s="43"/>
      <c r="IZ49" s="43"/>
      <c r="JA49" s="43"/>
      <c r="JB49" s="43"/>
      <c r="JC49" s="43"/>
      <c r="JD49" s="43"/>
      <c r="JE49" s="43"/>
      <c r="JF49" s="43"/>
      <c r="JG49" s="43"/>
      <c r="JH49" s="43"/>
      <c r="JI49" s="43"/>
      <c r="JJ49" s="43"/>
      <c r="JK49" s="43"/>
      <c r="JL49" s="43"/>
      <c r="JM49" s="43"/>
      <c r="JN49" s="43"/>
      <c r="JO49" s="43"/>
      <c r="JP49" s="43"/>
      <c r="JQ49" s="43"/>
      <c r="JR49" s="43"/>
      <c r="JS49" s="43"/>
      <c r="JT49" s="43"/>
      <c r="JU49" s="43"/>
      <c r="JV49" s="43"/>
      <c r="JW49" s="43"/>
      <c r="JX49" s="43"/>
      <c r="JY49" s="43"/>
      <c r="JZ49" s="43"/>
      <c r="KA49" s="43"/>
      <c r="KB49" s="43"/>
      <c r="KC49" s="43"/>
      <c r="KD49" s="43"/>
      <c r="KE49" s="43"/>
      <c r="KF49" s="43"/>
      <c r="KG49" s="43"/>
      <c r="KH49" s="43"/>
      <c r="KI49" s="43"/>
      <c r="KJ49" s="43"/>
      <c r="KK49" s="43"/>
      <c r="KL49" s="43"/>
      <c r="KM49" s="43"/>
      <c r="KN49" s="43"/>
      <c r="KO49" s="43"/>
      <c r="KP49" s="43"/>
      <c r="KQ49" s="43"/>
      <c r="KR49" s="43"/>
      <c r="KS49" s="43"/>
      <c r="KT49" s="43"/>
      <c r="KU49" s="43"/>
      <c r="KV49" s="43"/>
      <c r="KW49" s="43"/>
      <c r="KX49" s="43"/>
      <c r="KY49" s="43"/>
      <c r="KZ49" s="43"/>
      <c r="LA49" s="43"/>
      <c r="LB49" s="43"/>
      <c r="LC49" s="43"/>
      <c r="LD49" s="43"/>
      <c r="LE49" s="43"/>
      <c r="LF49" s="43"/>
      <c r="LG49" s="43"/>
      <c r="LH49" s="43"/>
      <c r="LI49" s="43"/>
      <c r="LJ49" s="43"/>
      <c r="LK49" s="43"/>
      <c r="LL49" s="43"/>
      <c r="LM49" s="43"/>
      <c r="LN49" s="43"/>
      <c r="LO49" s="43"/>
      <c r="LP49" s="43"/>
      <c r="LQ49" s="43"/>
      <c r="LR49" s="43"/>
      <c r="LS49" s="43"/>
      <c r="LT49" s="43"/>
      <c r="LU49" s="43"/>
      <c r="LV49" s="43"/>
      <c r="LW49" s="43"/>
      <c r="LX49" s="43"/>
      <c r="LY49" s="43"/>
      <c r="LZ49" s="43"/>
      <c r="MA49" s="43"/>
      <c r="MB49" s="43"/>
      <c r="MC49" s="43"/>
      <c r="MD49" s="43"/>
      <c r="ME49" s="43"/>
      <c r="MF49" s="43"/>
      <c r="MG49" s="43"/>
      <c r="MH49" s="43"/>
      <c r="MI49" s="43"/>
      <c r="MJ49" s="43"/>
      <c r="MK49" s="43"/>
      <c r="ML49" s="43"/>
      <c r="MM49" s="43"/>
      <c r="MN49" s="43"/>
      <c r="MO49" s="43"/>
      <c r="MP49" s="43"/>
      <c r="MQ49" s="43"/>
      <c r="MR49" s="43"/>
      <c r="MS49" s="43"/>
      <c r="MT49" s="43"/>
      <c r="MU49" s="43"/>
      <c r="MV49" s="43"/>
      <c r="MW49" s="43"/>
      <c r="MX49" s="43"/>
      <c r="MY49" s="43"/>
      <c r="MZ49" s="43"/>
      <c r="NA49" s="43"/>
      <c r="NB49" s="43"/>
      <c r="NC49" s="43"/>
      <c r="ND49" s="43"/>
      <c r="NE49" s="43"/>
      <c r="NF49" s="43"/>
      <c r="NG49" s="43"/>
      <c r="NH49" s="43"/>
      <c r="NI49" s="43"/>
      <c r="NJ49" s="43"/>
      <c r="NK49" s="43"/>
      <c r="NL49" s="43"/>
      <c r="NM49" s="43"/>
      <c r="NN49" s="43"/>
      <c r="NO49" s="43"/>
      <c r="NP49" s="43"/>
      <c r="NQ49" s="43"/>
      <c r="NR49" s="43"/>
      <c r="NS49" s="43"/>
      <c r="NT49" s="43"/>
      <c r="NU49" s="43"/>
      <c r="NV49" s="43"/>
      <c r="NW49" s="43"/>
      <c r="NX49" s="43"/>
      <c r="NY49" s="43"/>
      <c r="NZ49" s="43"/>
      <c r="OA49" s="43"/>
      <c r="OB49" s="43"/>
      <c r="OC49" s="43"/>
      <c r="OD49" s="43"/>
      <c r="OE49" s="43"/>
      <c r="OF49" s="43"/>
      <c r="OG49" s="43"/>
      <c r="OH49" s="43"/>
      <c r="OI49" s="43"/>
      <c r="OJ49" s="43"/>
      <c r="OK49" s="43"/>
      <c r="OL49" s="43"/>
      <c r="OM49" s="43"/>
      <c r="ON49" s="43"/>
      <c r="OO49" s="43"/>
      <c r="OP49" s="43"/>
      <c r="OQ49" s="43"/>
      <c r="OR49" s="43"/>
      <c r="OS49" s="43"/>
      <c r="OT49" s="43"/>
      <c r="OU49" s="43"/>
      <c r="OV49" s="43"/>
      <c r="OW49" s="43"/>
      <c r="OX49" s="43"/>
      <c r="OY49" s="43"/>
      <c r="OZ49" s="43"/>
      <c r="PA49" s="43"/>
      <c r="PB49" s="43"/>
      <c r="PC49" s="43"/>
      <c r="PD49" s="43"/>
      <c r="PE49" s="43"/>
      <c r="PF49" s="43"/>
      <c r="PG49" s="43"/>
      <c r="PH49" s="43"/>
      <c r="PI49" s="43"/>
      <c r="PJ49" s="43"/>
      <c r="PK49" s="43"/>
      <c r="PL49" s="43"/>
      <c r="PM49" s="43"/>
      <c r="PN49" s="43"/>
      <c r="PO49" s="43"/>
      <c r="PP49" s="43"/>
      <c r="PQ49" s="43"/>
      <c r="PR49" s="43"/>
      <c r="PS49" s="43"/>
      <c r="PT49" s="43"/>
      <c r="PU49" s="43"/>
      <c r="PV49" s="43"/>
      <c r="PW49" s="43"/>
      <c r="PX49" s="43"/>
      <c r="PY49" s="43"/>
      <c r="PZ49" s="43"/>
      <c r="QA49" s="43"/>
      <c r="QB49" s="43"/>
      <c r="QC49" s="43"/>
    </row>
    <row r="50" spans="2:445" x14ac:dyDescent="0.3">
      <c r="B50" s="45"/>
      <c r="C50" s="45"/>
      <c r="D50" s="45"/>
      <c r="E50" s="45"/>
      <c r="F50" s="45"/>
      <c r="G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 t="str">
        <f t="shared" si="6"/>
        <v/>
      </c>
      <c r="U50" s="45" t="str">
        <f t="shared" si="7"/>
        <v/>
      </c>
      <c r="V50" s="68" t="str">
        <f t="shared" si="8"/>
        <v/>
      </c>
      <c r="W50" s="48"/>
      <c r="X50" s="66" t="str">
        <f t="shared" si="9"/>
        <v/>
      </c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43"/>
      <c r="CY50" s="43"/>
      <c r="CZ50" s="43"/>
      <c r="DA50" s="43"/>
      <c r="DB50" s="43"/>
      <c r="DC50" s="43"/>
      <c r="DD50" s="43"/>
      <c r="DE50" s="43"/>
      <c r="DF50" s="43"/>
      <c r="DG50" s="43"/>
      <c r="DH50" s="43"/>
      <c r="DI50" s="43"/>
      <c r="DJ50" s="43"/>
      <c r="DK50" s="43"/>
      <c r="DL50" s="43"/>
      <c r="DM50" s="43"/>
      <c r="DN50" s="43"/>
      <c r="DO50" s="43"/>
      <c r="DP50" s="43"/>
      <c r="DQ50" s="43"/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43"/>
      <c r="EM50" s="43"/>
      <c r="EN50" s="43"/>
      <c r="EO50" s="43"/>
      <c r="EP50" s="43"/>
      <c r="EQ50" s="43"/>
      <c r="ER50" s="43"/>
      <c r="ES50" s="43"/>
      <c r="ET50" s="43"/>
      <c r="EU50" s="43"/>
      <c r="EV50" s="43"/>
      <c r="EW50" s="43"/>
      <c r="EX50" s="43"/>
      <c r="EY50" s="43"/>
      <c r="EZ50" s="43"/>
      <c r="FA50" s="43"/>
      <c r="FB50" s="43"/>
      <c r="FC50" s="43"/>
      <c r="FD50" s="43"/>
      <c r="FE50" s="43"/>
      <c r="FF50" s="43"/>
      <c r="FG50" s="43"/>
      <c r="FH50" s="43"/>
      <c r="FI50" s="43"/>
      <c r="FJ50" s="43"/>
      <c r="FK50" s="43"/>
      <c r="FL50" s="43"/>
      <c r="FM50" s="43"/>
      <c r="FN50" s="43"/>
      <c r="FO50" s="43"/>
      <c r="FP50" s="43"/>
      <c r="FQ50" s="43"/>
      <c r="FR50" s="43"/>
      <c r="FS50" s="43"/>
      <c r="FT50" s="43"/>
      <c r="FU50" s="43"/>
      <c r="FV50" s="43"/>
      <c r="FW50" s="43"/>
      <c r="FX50" s="43"/>
      <c r="FY50" s="43"/>
      <c r="FZ50" s="43"/>
      <c r="GA50" s="43"/>
      <c r="GB50" s="43"/>
      <c r="GC50" s="43"/>
      <c r="GD50" s="43"/>
      <c r="GE50" s="43"/>
      <c r="GF50" s="43"/>
      <c r="GG50" s="43"/>
      <c r="GH50" s="43"/>
      <c r="GI50" s="43"/>
      <c r="GJ50" s="43"/>
      <c r="GK50" s="43"/>
      <c r="GL50" s="43"/>
      <c r="GM50" s="43"/>
      <c r="GN50" s="43"/>
      <c r="GO50" s="43"/>
      <c r="GP50" s="43"/>
      <c r="GQ50" s="43"/>
      <c r="GR50" s="43"/>
      <c r="GS50" s="43"/>
      <c r="GT50" s="43"/>
      <c r="GU50" s="43"/>
      <c r="GV50" s="43"/>
      <c r="GW50" s="43"/>
      <c r="GX50" s="43"/>
      <c r="GY50" s="43"/>
      <c r="GZ50" s="43"/>
      <c r="HA50" s="43"/>
      <c r="HB50" s="43"/>
      <c r="HC50" s="43"/>
      <c r="HD50" s="43"/>
      <c r="HE50" s="43"/>
      <c r="HF50" s="43"/>
      <c r="HG50" s="43"/>
      <c r="HH50" s="43"/>
      <c r="HI50" s="43"/>
      <c r="HJ50" s="43"/>
      <c r="HK50" s="43"/>
      <c r="HL50" s="43"/>
      <c r="HM50" s="43"/>
      <c r="HN50" s="43"/>
      <c r="HO50" s="43"/>
      <c r="HP50" s="43"/>
      <c r="HQ50" s="43"/>
      <c r="HR50" s="43"/>
      <c r="HS50" s="43"/>
      <c r="HT50" s="43"/>
      <c r="HU50" s="43"/>
      <c r="HV50" s="43"/>
      <c r="HW50" s="43"/>
      <c r="HX50" s="43"/>
      <c r="HY50" s="43"/>
      <c r="HZ50" s="43"/>
      <c r="IA50" s="43"/>
      <c r="IB50" s="43"/>
      <c r="IC50" s="43"/>
      <c r="ID50" s="43"/>
      <c r="IE50" s="43"/>
      <c r="IF50" s="43"/>
      <c r="IG50" s="43"/>
      <c r="IH50" s="43"/>
      <c r="II50" s="43"/>
      <c r="IJ50" s="43"/>
      <c r="IK50" s="43"/>
      <c r="IL50" s="43"/>
      <c r="IM50" s="43"/>
      <c r="IN50" s="43"/>
      <c r="IO50" s="43"/>
      <c r="IP50" s="43"/>
      <c r="IQ50" s="43"/>
      <c r="IR50" s="43"/>
      <c r="IS50" s="43"/>
      <c r="IT50" s="43"/>
      <c r="IU50" s="43"/>
      <c r="IV50" s="43"/>
      <c r="IW50" s="43"/>
      <c r="IX50" s="43"/>
      <c r="IY50" s="43"/>
      <c r="IZ50" s="43"/>
      <c r="JA50" s="43"/>
      <c r="JB50" s="43"/>
      <c r="JC50" s="43"/>
      <c r="JD50" s="43"/>
      <c r="JE50" s="43"/>
      <c r="JF50" s="43"/>
      <c r="JG50" s="43"/>
      <c r="JH50" s="43"/>
      <c r="JI50" s="43"/>
      <c r="JJ50" s="43"/>
      <c r="JK50" s="43"/>
      <c r="JL50" s="43"/>
      <c r="JM50" s="43"/>
      <c r="JN50" s="43"/>
      <c r="JO50" s="43"/>
      <c r="JP50" s="43"/>
      <c r="JQ50" s="43"/>
      <c r="JR50" s="43"/>
      <c r="JS50" s="43"/>
      <c r="JT50" s="43"/>
      <c r="JU50" s="43"/>
      <c r="JV50" s="43"/>
      <c r="JW50" s="43"/>
      <c r="JX50" s="43"/>
      <c r="JY50" s="43"/>
      <c r="JZ50" s="43"/>
      <c r="KA50" s="43"/>
      <c r="KB50" s="43"/>
      <c r="KC50" s="43"/>
      <c r="KD50" s="43"/>
      <c r="KE50" s="43"/>
      <c r="KF50" s="43"/>
      <c r="KG50" s="43"/>
      <c r="KH50" s="43"/>
      <c r="KI50" s="43"/>
      <c r="KJ50" s="43"/>
      <c r="KK50" s="43"/>
      <c r="KL50" s="43"/>
      <c r="KM50" s="43"/>
      <c r="KN50" s="43"/>
      <c r="KO50" s="43"/>
      <c r="KP50" s="43"/>
      <c r="KQ50" s="43"/>
      <c r="KR50" s="43"/>
      <c r="KS50" s="43"/>
      <c r="KT50" s="43"/>
      <c r="KU50" s="43"/>
      <c r="KV50" s="43"/>
      <c r="KW50" s="43"/>
      <c r="KX50" s="43"/>
      <c r="KY50" s="43"/>
      <c r="KZ50" s="43"/>
      <c r="LA50" s="43"/>
      <c r="LB50" s="43"/>
      <c r="LC50" s="43"/>
      <c r="LD50" s="43"/>
      <c r="LE50" s="43"/>
      <c r="LF50" s="43"/>
      <c r="LG50" s="43"/>
      <c r="LH50" s="43"/>
      <c r="LI50" s="43"/>
      <c r="LJ50" s="43"/>
      <c r="LK50" s="43"/>
      <c r="LL50" s="43"/>
      <c r="LM50" s="43"/>
      <c r="LN50" s="43"/>
      <c r="LO50" s="43"/>
      <c r="LP50" s="43"/>
      <c r="LQ50" s="43"/>
      <c r="LR50" s="43"/>
      <c r="LS50" s="43"/>
      <c r="LT50" s="43"/>
      <c r="LU50" s="43"/>
      <c r="LV50" s="43"/>
      <c r="LW50" s="43"/>
      <c r="LX50" s="43"/>
      <c r="LY50" s="43"/>
      <c r="LZ50" s="43"/>
      <c r="MA50" s="43"/>
      <c r="MB50" s="43"/>
      <c r="MC50" s="43"/>
      <c r="MD50" s="43"/>
      <c r="ME50" s="43"/>
      <c r="MF50" s="43"/>
      <c r="MG50" s="43"/>
      <c r="MH50" s="43"/>
      <c r="MI50" s="43"/>
      <c r="MJ50" s="43"/>
      <c r="MK50" s="43"/>
      <c r="ML50" s="43"/>
      <c r="MM50" s="43"/>
      <c r="MN50" s="43"/>
      <c r="MO50" s="43"/>
      <c r="MP50" s="43"/>
      <c r="MQ50" s="43"/>
      <c r="MR50" s="43"/>
      <c r="MS50" s="43"/>
      <c r="MT50" s="43"/>
      <c r="MU50" s="43"/>
      <c r="MV50" s="43"/>
      <c r="MW50" s="43"/>
      <c r="MX50" s="43"/>
      <c r="MY50" s="43"/>
      <c r="MZ50" s="43"/>
      <c r="NA50" s="43"/>
      <c r="NB50" s="43"/>
      <c r="NC50" s="43"/>
      <c r="ND50" s="43"/>
      <c r="NE50" s="43"/>
      <c r="NF50" s="43"/>
      <c r="NG50" s="43"/>
      <c r="NH50" s="43"/>
      <c r="NI50" s="43"/>
      <c r="NJ50" s="43"/>
      <c r="NK50" s="43"/>
      <c r="NL50" s="43"/>
      <c r="NM50" s="43"/>
      <c r="NN50" s="43"/>
      <c r="NO50" s="43"/>
      <c r="NP50" s="43"/>
      <c r="NQ50" s="43"/>
      <c r="NR50" s="43"/>
      <c r="NS50" s="43"/>
      <c r="NT50" s="43"/>
      <c r="NU50" s="43"/>
      <c r="NV50" s="43"/>
      <c r="NW50" s="43"/>
      <c r="NX50" s="43"/>
      <c r="NY50" s="43"/>
      <c r="NZ50" s="43"/>
      <c r="OA50" s="43"/>
      <c r="OB50" s="43"/>
      <c r="OC50" s="43"/>
      <c r="OD50" s="43"/>
      <c r="OE50" s="43"/>
      <c r="OF50" s="43"/>
      <c r="OG50" s="43"/>
      <c r="OH50" s="43"/>
      <c r="OI50" s="43"/>
      <c r="OJ50" s="43"/>
      <c r="OK50" s="43"/>
      <c r="OL50" s="43"/>
      <c r="OM50" s="43"/>
      <c r="ON50" s="43"/>
      <c r="OO50" s="43"/>
      <c r="OP50" s="43"/>
      <c r="OQ50" s="43"/>
      <c r="OR50" s="43"/>
      <c r="OS50" s="43"/>
      <c r="OT50" s="43"/>
      <c r="OU50" s="43"/>
      <c r="OV50" s="43"/>
      <c r="OW50" s="43"/>
      <c r="OX50" s="43"/>
      <c r="OY50" s="43"/>
      <c r="OZ50" s="43"/>
      <c r="PA50" s="43"/>
      <c r="PB50" s="43"/>
      <c r="PC50" s="43"/>
      <c r="PD50" s="43"/>
      <c r="PE50" s="43"/>
      <c r="PF50" s="43"/>
      <c r="PG50" s="43"/>
      <c r="PH50" s="43"/>
      <c r="PI50" s="43"/>
      <c r="PJ50" s="43"/>
      <c r="PK50" s="43"/>
      <c r="PL50" s="43"/>
      <c r="PM50" s="43"/>
      <c r="PN50" s="43"/>
      <c r="PO50" s="43"/>
      <c r="PP50" s="43"/>
      <c r="PQ50" s="43"/>
      <c r="PR50" s="43"/>
      <c r="PS50" s="43"/>
      <c r="PT50" s="43"/>
      <c r="PU50" s="43"/>
      <c r="PV50" s="43"/>
      <c r="PW50" s="43"/>
      <c r="PX50" s="43"/>
      <c r="PY50" s="43"/>
      <c r="PZ50" s="43"/>
      <c r="QA50" s="43"/>
      <c r="QB50" s="43"/>
      <c r="QC50" s="43"/>
    </row>
    <row r="51" spans="2:445" x14ac:dyDescent="0.3"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 t="str">
        <f t="shared" si="6"/>
        <v/>
      </c>
      <c r="U51" s="45" t="str">
        <f t="shared" si="7"/>
        <v/>
      </c>
      <c r="V51" s="68" t="str">
        <f t="shared" si="8"/>
        <v/>
      </c>
      <c r="W51" s="48"/>
      <c r="X51" s="66" t="str">
        <f t="shared" si="9"/>
        <v/>
      </c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V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  <c r="IW51" s="43"/>
      <c r="IX51" s="43"/>
      <c r="IY51" s="43"/>
      <c r="IZ51" s="43"/>
      <c r="JA51" s="43"/>
      <c r="JB51" s="43"/>
      <c r="JC51" s="43"/>
      <c r="JD51" s="43"/>
      <c r="JE51" s="43"/>
      <c r="JF51" s="43"/>
      <c r="JG51" s="43"/>
      <c r="JH51" s="43"/>
      <c r="JI51" s="43"/>
      <c r="JJ51" s="43"/>
      <c r="JK51" s="43"/>
      <c r="JL51" s="43"/>
      <c r="JM51" s="43"/>
      <c r="JN51" s="43"/>
      <c r="JO51" s="43"/>
      <c r="JP51" s="43"/>
      <c r="JQ51" s="43"/>
      <c r="JR51" s="43"/>
      <c r="JS51" s="43"/>
      <c r="JT51" s="43"/>
      <c r="JU51" s="43"/>
      <c r="JV51" s="43"/>
      <c r="JW51" s="43"/>
      <c r="JX51" s="43"/>
      <c r="JY51" s="43"/>
      <c r="JZ51" s="43"/>
      <c r="KA51" s="43"/>
      <c r="KB51" s="43"/>
      <c r="KC51" s="43"/>
      <c r="KD51" s="43"/>
      <c r="KE51" s="43"/>
      <c r="KF51" s="43"/>
      <c r="KG51" s="43"/>
      <c r="KH51" s="43"/>
      <c r="KI51" s="43"/>
      <c r="KJ51" s="43"/>
      <c r="KK51" s="43"/>
      <c r="KL51" s="43"/>
      <c r="KM51" s="43"/>
      <c r="KN51" s="43"/>
      <c r="KO51" s="43"/>
      <c r="KP51" s="43"/>
      <c r="KQ51" s="43"/>
      <c r="KR51" s="43"/>
      <c r="KS51" s="43"/>
      <c r="KT51" s="43"/>
      <c r="KU51" s="43"/>
      <c r="KV51" s="43"/>
      <c r="KW51" s="43"/>
      <c r="KX51" s="43"/>
      <c r="KY51" s="43"/>
      <c r="KZ51" s="43"/>
      <c r="LA51" s="43"/>
      <c r="LB51" s="43"/>
      <c r="LC51" s="43"/>
      <c r="LD51" s="43"/>
      <c r="LE51" s="43"/>
      <c r="LF51" s="43"/>
      <c r="LG51" s="43"/>
      <c r="LH51" s="43"/>
      <c r="LI51" s="43"/>
      <c r="LJ51" s="43"/>
      <c r="LK51" s="43"/>
      <c r="LL51" s="43"/>
      <c r="LM51" s="43"/>
      <c r="LN51" s="43"/>
      <c r="LO51" s="43"/>
      <c r="LP51" s="43"/>
      <c r="LQ51" s="43"/>
      <c r="LR51" s="43"/>
      <c r="LS51" s="43"/>
      <c r="LT51" s="43"/>
      <c r="LU51" s="43"/>
      <c r="LV51" s="43"/>
      <c r="LW51" s="43"/>
      <c r="LX51" s="43"/>
      <c r="LY51" s="43"/>
      <c r="LZ51" s="43"/>
      <c r="MA51" s="43"/>
      <c r="MB51" s="43"/>
      <c r="MC51" s="43"/>
      <c r="MD51" s="43"/>
      <c r="ME51" s="43"/>
      <c r="MF51" s="43"/>
      <c r="MG51" s="43"/>
      <c r="MH51" s="43"/>
      <c r="MI51" s="43"/>
      <c r="MJ51" s="43"/>
      <c r="MK51" s="43"/>
      <c r="ML51" s="43"/>
      <c r="MM51" s="43"/>
      <c r="MN51" s="43"/>
      <c r="MO51" s="43"/>
      <c r="MP51" s="43"/>
      <c r="MQ51" s="43"/>
      <c r="MR51" s="43"/>
      <c r="MS51" s="43"/>
      <c r="MT51" s="43"/>
      <c r="MU51" s="43"/>
      <c r="MV51" s="43"/>
      <c r="MW51" s="43"/>
      <c r="MX51" s="43"/>
      <c r="MY51" s="43"/>
      <c r="MZ51" s="43"/>
      <c r="NA51" s="43"/>
      <c r="NB51" s="43"/>
      <c r="NC51" s="43"/>
      <c r="ND51" s="43"/>
      <c r="NE51" s="43"/>
      <c r="NF51" s="43"/>
      <c r="NG51" s="43"/>
      <c r="NH51" s="43"/>
      <c r="NI51" s="43"/>
      <c r="NJ51" s="43"/>
      <c r="NK51" s="43"/>
      <c r="NL51" s="43"/>
      <c r="NM51" s="43"/>
      <c r="NN51" s="43"/>
      <c r="NO51" s="43"/>
      <c r="NP51" s="43"/>
      <c r="NQ51" s="43"/>
      <c r="NR51" s="43"/>
      <c r="NS51" s="43"/>
      <c r="NT51" s="43"/>
      <c r="NU51" s="43"/>
      <c r="NV51" s="43"/>
      <c r="NW51" s="43"/>
      <c r="NX51" s="43"/>
      <c r="NY51" s="43"/>
      <c r="NZ51" s="43"/>
      <c r="OA51" s="43"/>
      <c r="OB51" s="43"/>
      <c r="OC51" s="43"/>
      <c r="OD51" s="43"/>
      <c r="OE51" s="43"/>
      <c r="OF51" s="43"/>
      <c r="OG51" s="43"/>
      <c r="OH51" s="43"/>
      <c r="OI51" s="43"/>
      <c r="OJ51" s="43"/>
      <c r="OK51" s="43"/>
      <c r="OL51" s="43"/>
      <c r="OM51" s="43"/>
      <c r="ON51" s="43"/>
      <c r="OO51" s="43"/>
      <c r="OP51" s="43"/>
      <c r="OQ51" s="43"/>
      <c r="OR51" s="43"/>
      <c r="OS51" s="43"/>
      <c r="OT51" s="43"/>
      <c r="OU51" s="43"/>
      <c r="OV51" s="43"/>
      <c r="OW51" s="43"/>
      <c r="OX51" s="43"/>
      <c r="OY51" s="43"/>
      <c r="OZ51" s="43"/>
      <c r="PA51" s="43"/>
      <c r="PB51" s="43"/>
      <c r="PC51" s="43"/>
      <c r="PD51" s="43"/>
      <c r="PE51" s="43"/>
      <c r="PF51" s="43"/>
      <c r="PG51" s="43"/>
      <c r="PH51" s="43"/>
      <c r="PI51" s="43"/>
      <c r="PJ51" s="43"/>
      <c r="PK51" s="43"/>
      <c r="PL51" s="43"/>
      <c r="PM51" s="43"/>
      <c r="PN51" s="43"/>
      <c r="PO51" s="43"/>
      <c r="PP51" s="43"/>
      <c r="PQ51" s="43"/>
      <c r="PR51" s="43"/>
      <c r="PS51" s="43"/>
      <c r="PT51" s="43"/>
      <c r="PU51" s="43"/>
      <c r="PV51" s="43"/>
      <c r="PW51" s="43"/>
      <c r="PX51" s="43"/>
      <c r="PY51" s="43"/>
      <c r="PZ51" s="43"/>
      <c r="QA51" s="43"/>
      <c r="QB51" s="43"/>
      <c r="QC51" s="43"/>
    </row>
    <row r="52" spans="2:445" x14ac:dyDescent="0.3"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 t="str">
        <f t="shared" si="6"/>
        <v/>
      </c>
      <c r="U52" s="45" t="str">
        <f t="shared" si="7"/>
        <v/>
      </c>
      <c r="V52" s="68" t="str">
        <f t="shared" si="8"/>
        <v/>
      </c>
      <c r="X52" s="66" t="str">
        <f t="shared" si="9"/>
        <v/>
      </c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43"/>
      <c r="CY52" s="43"/>
      <c r="CZ52" s="43"/>
      <c r="DA52" s="43"/>
      <c r="DB52" s="43"/>
      <c r="DC52" s="43"/>
      <c r="DD52" s="43"/>
      <c r="DE52" s="43"/>
      <c r="DF52" s="43"/>
      <c r="DG52" s="43"/>
      <c r="DH52" s="43"/>
      <c r="DI52" s="43"/>
      <c r="DJ52" s="43"/>
      <c r="DK52" s="43"/>
      <c r="DL52" s="43"/>
      <c r="DM52" s="43"/>
      <c r="DN52" s="43"/>
      <c r="DO52" s="43"/>
      <c r="DP52" s="43"/>
      <c r="DQ52" s="43"/>
      <c r="DR52" s="43"/>
      <c r="DS52" s="43"/>
      <c r="DT52" s="43"/>
      <c r="DU52" s="43"/>
      <c r="DV52" s="43"/>
      <c r="DW52" s="43"/>
      <c r="DX52" s="43"/>
      <c r="DY52" s="43"/>
      <c r="DZ52" s="43"/>
      <c r="EA52" s="43"/>
      <c r="EB52" s="43"/>
      <c r="EC52" s="43"/>
      <c r="ED52" s="43"/>
      <c r="EE52" s="43"/>
      <c r="EF52" s="43"/>
      <c r="EG52" s="43"/>
      <c r="EH52" s="43"/>
      <c r="EI52" s="43"/>
      <c r="EJ52" s="43"/>
      <c r="EK52" s="43"/>
      <c r="EL52" s="43"/>
      <c r="EM52" s="43"/>
      <c r="EN52" s="43"/>
      <c r="EO52" s="43"/>
      <c r="EP52" s="43"/>
      <c r="EQ52" s="43"/>
      <c r="ER52" s="43"/>
      <c r="ES52" s="43"/>
      <c r="ET52" s="43"/>
      <c r="EU52" s="43"/>
      <c r="EV52" s="43"/>
      <c r="EW52" s="43"/>
      <c r="EX52" s="43"/>
      <c r="EY52" s="43"/>
      <c r="EZ52" s="43"/>
      <c r="FA52" s="43"/>
      <c r="FB52" s="43"/>
      <c r="FC52" s="43"/>
      <c r="FD52" s="43"/>
      <c r="FE52" s="43"/>
      <c r="FF52" s="43"/>
      <c r="FG52" s="43"/>
      <c r="FH52" s="43"/>
      <c r="FI52" s="43"/>
      <c r="FJ52" s="43"/>
      <c r="FK52" s="43"/>
      <c r="FL52" s="43"/>
      <c r="FM52" s="43"/>
      <c r="FN52" s="43"/>
      <c r="FO52" s="43"/>
      <c r="FP52" s="43"/>
      <c r="FQ52" s="43"/>
      <c r="FR52" s="43"/>
      <c r="FS52" s="43"/>
      <c r="FT52" s="43"/>
      <c r="FU52" s="43"/>
      <c r="FV52" s="43"/>
      <c r="FW52" s="43"/>
      <c r="FX52" s="43"/>
      <c r="FY52" s="43"/>
      <c r="FZ52" s="43"/>
      <c r="GA52" s="43"/>
      <c r="GB52" s="43"/>
      <c r="GC52" s="43"/>
      <c r="GD52" s="43"/>
      <c r="GE52" s="43"/>
      <c r="GF52" s="43"/>
      <c r="GG52" s="43"/>
      <c r="GH52" s="43"/>
      <c r="GI52" s="43"/>
      <c r="GJ52" s="43"/>
      <c r="GK52" s="43"/>
      <c r="GL52" s="43"/>
      <c r="GM52" s="43"/>
      <c r="GN52" s="43"/>
      <c r="GO52" s="43"/>
      <c r="GP52" s="43"/>
      <c r="GQ52" s="43"/>
      <c r="GR52" s="43"/>
      <c r="GS52" s="43"/>
      <c r="GT52" s="43"/>
      <c r="GU52" s="43"/>
      <c r="GV52" s="43"/>
      <c r="GW52" s="43"/>
      <c r="GX52" s="43"/>
      <c r="GY52" s="43"/>
      <c r="GZ52" s="43"/>
      <c r="HA52" s="43"/>
      <c r="HB52" s="43"/>
      <c r="HC52" s="43"/>
      <c r="HD52" s="43"/>
      <c r="HE52" s="43"/>
      <c r="HF52" s="43"/>
      <c r="HG52" s="43"/>
      <c r="HH52" s="43"/>
      <c r="HI52" s="43"/>
      <c r="HJ52" s="43"/>
      <c r="HK52" s="43"/>
      <c r="HL52" s="43"/>
      <c r="HM52" s="43"/>
      <c r="HN52" s="43"/>
      <c r="HO52" s="43"/>
      <c r="HP52" s="43"/>
      <c r="HQ52" s="43"/>
      <c r="HR52" s="43"/>
      <c r="HS52" s="43"/>
      <c r="HT52" s="43"/>
      <c r="HU52" s="43"/>
      <c r="HV52" s="43"/>
      <c r="HW52" s="43"/>
      <c r="HX52" s="43"/>
      <c r="HY52" s="43"/>
      <c r="HZ52" s="43"/>
      <c r="IA52" s="43"/>
      <c r="IB52" s="43"/>
      <c r="IC52" s="43"/>
      <c r="ID52" s="43"/>
      <c r="IE52" s="43"/>
      <c r="IF52" s="43"/>
      <c r="IG52" s="43"/>
      <c r="IH52" s="43"/>
      <c r="II52" s="43"/>
      <c r="IJ52" s="43"/>
      <c r="IK52" s="43"/>
      <c r="IL52" s="43"/>
      <c r="IM52" s="43"/>
      <c r="IN52" s="43"/>
      <c r="IO52" s="43"/>
      <c r="IP52" s="43"/>
      <c r="IQ52" s="43"/>
      <c r="IR52" s="43"/>
      <c r="IS52" s="43"/>
      <c r="IT52" s="43"/>
      <c r="IU52" s="43"/>
      <c r="IV52" s="43"/>
      <c r="IW52" s="43"/>
      <c r="IX52" s="43"/>
      <c r="IY52" s="43"/>
      <c r="IZ52" s="43"/>
      <c r="JA52" s="43"/>
      <c r="JB52" s="43"/>
      <c r="JC52" s="43"/>
      <c r="JD52" s="43"/>
      <c r="JE52" s="43"/>
      <c r="JF52" s="43"/>
      <c r="JG52" s="43"/>
      <c r="JH52" s="43"/>
      <c r="JI52" s="43"/>
      <c r="JJ52" s="43"/>
      <c r="JK52" s="43"/>
      <c r="JL52" s="43"/>
      <c r="JM52" s="43"/>
      <c r="JN52" s="43"/>
      <c r="JO52" s="43"/>
      <c r="JP52" s="43"/>
      <c r="JQ52" s="43"/>
      <c r="JR52" s="43"/>
      <c r="JS52" s="43"/>
      <c r="JT52" s="43"/>
      <c r="JU52" s="43"/>
      <c r="JV52" s="43"/>
      <c r="JW52" s="43"/>
      <c r="JX52" s="43"/>
      <c r="JY52" s="43"/>
      <c r="JZ52" s="43"/>
      <c r="KA52" s="43"/>
      <c r="KB52" s="43"/>
      <c r="KC52" s="43"/>
      <c r="KD52" s="43"/>
      <c r="KE52" s="43"/>
      <c r="KF52" s="43"/>
      <c r="KG52" s="43"/>
      <c r="KH52" s="43"/>
      <c r="KI52" s="43"/>
      <c r="KJ52" s="43"/>
      <c r="KK52" s="43"/>
      <c r="KL52" s="43"/>
      <c r="KM52" s="43"/>
      <c r="KN52" s="43"/>
      <c r="KO52" s="43"/>
      <c r="KP52" s="43"/>
      <c r="KQ52" s="43"/>
      <c r="KR52" s="43"/>
      <c r="KS52" s="43"/>
      <c r="KT52" s="43"/>
      <c r="KU52" s="43"/>
      <c r="KV52" s="43"/>
      <c r="KW52" s="43"/>
      <c r="KX52" s="43"/>
      <c r="KY52" s="43"/>
      <c r="KZ52" s="43"/>
      <c r="LA52" s="43"/>
      <c r="LB52" s="43"/>
      <c r="LC52" s="43"/>
      <c r="LD52" s="43"/>
      <c r="LE52" s="43"/>
      <c r="LF52" s="43"/>
      <c r="LG52" s="43"/>
      <c r="LH52" s="43"/>
      <c r="LI52" s="43"/>
      <c r="LJ52" s="43"/>
      <c r="LK52" s="43"/>
      <c r="LL52" s="43"/>
      <c r="LM52" s="43"/>
      <c r="LN52" s="43"/>
      <c r="LO52" s="43"/>
      <c r="LP52" s="43"/>
      <c r="LQ52" s="43"/>
      <c r="LR52" s="43"/>
      <c r="LS52" s="43"/>
      <c r="LT52" s="43"/>
      <c r="LU52" s="43"/>
      <c r="LV52" s="43"/>
      <c r="LW52" s="43"/>
      <c r="LX52" s="43"/>
      <c r="LY52" s="43"/>
      <c r="LZ52" s="43"/>
      <c r="MA52" s="43"/>
      <c r="MB52" s="43"/>
      <c r="MC52" s="43"/>
      <c r="MD52" s="43"/>
      <c r="ME52" s="43"/>
      <c r="MF52" s="43"/>
      <c r="MG52" s="43"/>
      <c r="MH52" s="43"/>
      <c r="MI52" s="43"/>
      <c r="MJ52" s="43"/>
      <c r="MK52" s="43"/>
      <c r="ML52" s="43"/>
      <c r="MM52" s="43"/>
      <c r="MN52" s="43"/>
      <c r="MO52" s="43"/>
      <c r="MP52" s="43"/>
      <c r="MQ52" s="43"/>
      <c r="MR52" s="43"/>
      <c r="MS52" s="43"/>
      <c r="MT52" s="43"/>
      <c r="MU52" s="43"/>
      <c r="MV52" s="43"/>
      <c r="MW52" s="43"/>
      <c r="MX52" s="43"/>
      <c r="MY52" s="43"/>
      <c r="MZ52" s="43"/>
      <c r="NA52" s="43"/>
      <c r="NB52" s="43"/>
      <c r="NC52" s="43"/>
      <c r="ND52" s="43"/>
      <c r="NE52" s="43"/>
      <c r="NF52" s="43"/>
      <c r="NG52" s="43"/>
      <c r="NH52" s="43"/>
      <c r="NI52" s="43"/>
      <c r="NJ52" s="43"/>
      <c r="NK52" s="43"/>
      <c r="NL52" s="43"/>
      <c r="NM52" s="43"/>
      <c r="NN52" s="43"/>
      <c r="NO52" s="43"/>
      <c r="NP52" s="43"/>
      <c r="NQ52" s="43"/>
      <c r="NR52" s="43"/>
      <c r="NS52" s="43"/>
      <c r="NT52" s="43"/>
      <c r="NU52" s="43"/>
      <c r="NV52" s="43"/>
      <c r="NW52" s="43"/>
      <c r="NX52" s="43"/>
      <c r="NY52" s="43"/>
      <c r="NZ52" s="43"/>
      <c r="OA52" s="43"/>
      <c r="OB52" s="43"/>
      <c r="OC52" s="43"/>
      <c r="OD52" s="43"/>
      <c r="OE52" s="43"/>
      <c r="OF52" s="43"/>
      <c r="OG52" s="43"/>
      <c r="OH52" s="43"/>
      <c r="OI52" s="43"/>
      <c r="OJ52" s="43"/>
      <c r="OK52" s="43"/>
      <c r="OL52" s="43"/>
      <c r="OM52" s="43"/>
      <c r="ON52" s="43"/>
      <c r="OO52" s="43"/>
      <c r="OP52" s="43"/>
      <c r="OQ52" s="43"/>
      <c r="OR52" s="43"/>
      <c r="OS52" s="43"/>
      <c r="OT52" s="43"/>
      <c r="OU52" s="43"/>
      <c r="OV52" s="43"/>
      <c r="OW52" s="43"/>
      <c r="OX52" s="43"/>
      <c r="OY52" s="43"/>
      <c r="OZ52" s="43"/>
      <c r="PA52" s="43"/>
      <c r="PB52" s="43"/>
      <c r="PC52" s="43"/>
      <c r="PD52" s="43"/>
      <c r="PE52" s="43"/>
      <c r="PF52" s="43"/>
      <c r="PG52" s="43"/>
      <c r="PH52" s="43"/>
      <c r="PI52" s="43"/>
      <c r="PJ52" s="43"/>
      <c r="PK52" s="43"/>
      <c r="PL52" s="43"/>
      <c r="PM52" s="43"/>
      <c r="PN52" s="43"/>
      <c r="PO52" s="43"/>
      <c r="PP52" s="43"/>
      <c r="PQ52" s="43"/>
      <c r="PR52" s="43"/>
      <c r="PS52" s="43"/>
      <c r="PT52" s="43"/>
      <c r="PU52" s="43"/>
      <c r="PV52" s="43"/>
      <c r="PW52" s="43"/>
      <c r="PX52" s="43"/>
      <c r="PY52" s="43"/>
      <c r="PZ52" s="43"/>
      <c r="QA52" s="43"/>
      <c r="QB52" s="43"/>
      <c r="QC52" s="43"/>
    </row>
    <row r="53" spans="2:445" x14ac:dyDescent="0.3"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 t="str">
        <f t="shared" si="6"/>
        <v/>
      </c>
      <c r="U53" s="45" t="str">
        <f t="shared" si="7"/>
        <v/>
      </c>
      <c r="V53" s="68" t="str">
        <f t="shared" si="8"/>
        <v/>
      </c>
      <c r="W53" s="48"/>
      <c r="X53" s="66" t="str">
        <f t="shared" si="9"/>
        <v/>
      </c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43"/>
      <c r="CY53" s="43"/>
      <c r="CZ53" s="43"/>
      <c r="DA53" s="43"/>
      <c r="DB53" s="43"/>
      <c r="DC53" s="43"/>
      <c r="DD53" s="43"/>
      <c r="DE53" s="43"/>
      <c r="DF53" s="43"/>
      <c r="DG53" s="43"/>
      <c r="DH53" s="43"/>
      <c r="DI53" s="43"/>
      <c r="DJ53" s="43"/>
      <c r="DK53" s="43"/>
      <c r="DL53" s="43"/>
      <c r="DM53" s="43"/>
      <c r="DN53" s="43"/>
      <c r="DO53" s="43"/>
      <c r="DP53" s="43"/>
      <c r="DQ53" s="43"/>
      <c r="DR53" s="43"/>
      <c r="DS53" s="43"/>
      <c r="DT53" s="43"/>
      <c r="DU53" s="43"/>
      <c r="DV53" s="43"/>
      <c r="DW53" s="43"/>
      <c r="DX53" s="43"/>
      <c r="DY53" s="43"/>
      <c r="DZ53" s="43"/>
      <c r="EA53" s="43"/>
      <c r="EB53" s="43"/>
      <c r="EC53" s="43"/>
      <c r="ED53" s="43"/>
      <c r="EE53" s="43"/>
      <c r="EF53" s="43"/>
      <c r="EG53" s="43"/>
      <c r="EH53" s="43"/>
      <c r="EI53" s="43"/>
      <c r="EJ53" s="43"/>
      <c r="EK53" s="43"/>
      <c r="EL53" s="43"/>
      <c r="EM53" s="43"/>
      <c r="EN53" s="43"/>
      <c r="EO53" s="43"/>
      <c r="EP53" s="43"/>
      <c r="EQ53" s="43"/>
      <c r="ER53" s="43"/>
      <c r="ES53" s="43"/>
      <c r="ET53" s="43"/>
      <c r="EU53" s="43"/>
      <c r="EV53" s="43"/>
      <c r="EW53" s="43"/>
      <c r="EX53" s="43"/>
      <c r="EY53" s="43"/>
      <c r="EZ53" s="43"/>
      <c r="FA53" s="43"/>
      <c r="FB53" s="43"/>
      <c r="FC53" s="43"/>
      <c r="FD53" s="43"/>
      <c r="FE53" s="43"/>
      <c r="FF53" s="43"/>
      <c r="FG53" s="43"/>
      <c r="FH53" s="43"/>
      <c r="FI53" s="43"/>
      <c r="FJ53" s="43"/>
      <c r="FK53" s="43"/>
      <c r="FL53" s="43"/>
      <c r="FM53" s="43"/>
      <c r="FN53" s="43"/>
      <c r="FO53" s="43"/>
      <c r="FP53" s="43"/>
      <c r="FQ53" s="43"/>
      <c r="FR53" s="43"/>
      <c r="FS53" s="43"/>
      <c r="FT53" s="43"/>
      <c r="FU53" s="43"/>
      <c r="FV53" s="43"/>
      <c r="FW53" s="43"/>
      <c r="FX53" s="43"/>
      <c r="FY53" s="43"/>
      <c r="FZ53" s="43"/>
      <c r="GA53" s="43"/>
      <c r="GB53" s="43"/>
      <c r="GC53" s="43"/>
      <c r="GD53" s="43"/>
      <c r="GE53" s="43"/>
      <c r="GF53" s="43"/>
      <c r="GG53" s="43"/>
      <c r="GH53" s="43"/>
      <c r="GI53" s="43"/>
      <c r="GJ53" s="43"/>
      <c r="GK53" s="43"/>
      <c r="GL53" s="43"/>
      <c r="GM53" s="43"/>
      <c r="GN53" s="43"/>
      <c r="GO53" s="43"/>
      <c r="GP53" s="43"/>
      <c r="GQ53" s="43"/>
      <c r="GR53" s="43"/>
      <c r="GS53" s="43"/>
      <c r="GT53" s="43"/>
      <c r="GU53" s="43"/>
      <c r="GV53" s="43"/>
      <c r="GW53" s="43"/>
      <c r="GX53" s="43"/>
      <c r="GY53" s="43"/>
      <c r="GZ53" s="43"/>
      <c r="HA53" s="43"/>
      <c r="HB53" s="43"/>
      <c r="HC53" s="43"/>
      <c r="HD53" s="43"/>
      <c r="HE53" s="43"/>
      <c r="HF53" s="43"/>
      <c r="HG53" s="43"/>
      <c r="HH53" s="43"/>
      <c r="HI53" s="43"/>
      <c r="HJ53" s="43"/>
      <c r="HK53" s="43"/>
      <c r="HL53" s="43"/>
      <c r="HM53" s="43"/>
      <c r="HN53" s="43"/>
      <c r="HO53" s="43"/>
      <c r="HP53" s="43"/>
      <c r="HQ53" s="43"/>
      <c r="HR53" s="43"/>
      <c r="HS53" s="43"/>
      <c r="HT53" s="43"/>
      <c r="HU53" s="43"/>
      <c r="HV53" s="43"/>
      <c r="HW53" s="43"/>
      <c r="HX53" s="43"/>
      <c r="HY53" s="43"/>
      <c r="HZ53" s="43"/>
      <c r="IA53" s="43"/>
      <c r="IB53" s="43"/>
      <c r="IC53" s="43"/>
      <c r="ID53" s="43"/>
      <c r="IE53" s="43"/>
      <c r="IF53" s="43"/>
      <c r="IG53" s="43"/>
      <c r="IH53" s="43"/>
      <c r="II53" s="43"/>
      <c r="IJ53" s="43"/>
      <c r="IK53" s="43"/>
      <c r="IL53" s="43"/>
      <c r="IM53" s="43"/>
      <c r="IN53" s="43"/>
      <c r="IO53" s="43"/>
      <c r="IP53" s="43"/>
      <c r="IQ53" s="43"/>
      <c r="IR53" s="43"/>
      <c r="IS53" s="43"/>
      <c r="IT53" s="43"/>
      <c r="IU53" s="43"/>
      <c r="IV53" s="43"/>
      <c r="IW53" s="43"/>
      <c r="IX53" s="43"/>
      <c r="IY53" s="43"/>
      <c r="IZ53" s="43"/>
      <c r="JA53" s="43"/>
      <c r="JB53" s="43"/>
      <c r="JC53" s="43"/>
      <c r="JD53" s="43"/>
      <c r="JE53" s="43"/>
      <c r="JF53" s="43"/>
      <c r="JG53" s="43"/>
      <c r="JH53" s="43"/>
      <c r="JI53" s="43"/>
      <c r="JJ53" s="43"/>
      <c r="JK53" s="43"/>
      <c r="JL53" s="43"/>
      <c r="JM53" s="43"/>
      <c r="JN53" s="43"/>
      <c r="JO53" s="43"/>
      <c r="JP53" s="43"/>
      <c r="JQ53" s="43"/>
      <c r="JR53" s="43"/>
      <c r="JS53" s="43"/>
      <c r="JT53" s="43"/>
      <c r="JU53" s="43"/>
      <c r="JV53" s="43"/>
      <c r="JW53" s="43"/>
      <c r="JX53" s="43"/>
      <c r="JY53" s="43"/>
      <c r="JZ53" s="43"/>
      <c r="KA53" s="43"/>
      <c r="KB53" s="43"/>
      <c r="KC53" s="43"/>
      <c r="KD53" s="43"/>
      <c r="KE53" s="43"/>
      <c r="KF53" s="43"/>
      <c r="KG53" s="43"/>
      <c r="KH53" s="43"/>
      <c r="KI53" s="43"/>
      <c r="KJ53" s="43"/>
      <c r="KK53" s="43"/>
      <c r="KL53" s="43"/>
      <c r="KM53" s="43"/>
      <c r="KN53" s="43"/>
      <c r="KO53" s="43"/>
      <c r="KP53" s="43"/>
      <c r="KQ53" s="43"/>
      <c r="KR53" s="43"/>
      <c r="KS53" s="43"/>
      <c r="KT53" s="43"/>
      <c r="KU53" s="43"/>
      <c r="KV53" s="43"/>
      <c r="KW53" s="43"/>
      <c r="KX53" s="43"/>
      <c r="KY53" s="43"/>
      <c r="KZ53" s="43"/>
      <c r="LA53" s="43"/>
      <c r="LB53" s="43"/>
      <c r="LC53" s="43"/>
      <c r="LD53" s="43"/>
      <c r="LE53" s="43"/>
      <c r="LF53" s="43"/>
      <c r="LG53" s="43"/>
      <c r="LH53" s="43"/>
      <c r="LI53" s="43"/>
      <c r="LJ53" s="43"/>
      <c r="LK53" s="43"/>
      <c r="LL53" s="43"/>
      <c r="LM53" s="43"/>
      <c r="LN53" s="43"/>
      <c r="LO53" s="43"/>
      <c r="LP53" s="43"/>
      <c r="LQ53" s="43"/>
      <c r="LR53" s="43"/>
      <c r="LS53" s="43"/>
      <c r="LT53" s="43"/>
      <c r="LU53" s="43"/>
      <c r="LV53" s="43"/>
      <c r="LW53" s="43"/>
      <c r="LX53" s="43"/>
      <c r="LY53" s="43"/>
      <c r="LZ53" s="43"/>
      <c r="MA53" s="43"/>
      <c r="MB53" s="43"/>
      <c r="MC53" s="43"/>
      <c r="MD53" s="43"/>
      <c r="ME53" s="43"/>
      <c r="MF53" s="43"/>
      <c r="MG53" s="43"/>
      <c r="MH53" s="43"/>
      <c r="MI53" s="43"/>
      <c r="MJ53" s="43"/>
      <c r="MK53" s="43"/>
      <c r="ML53" s="43"/>
      <c r="MM53" s="43"/>
      <c r="MN53" s="43"/>
      <c r="MO53" s="43"/>
      <c r="MP53" s="43"/>
      <c r="MQ53" s="43"/>
      <c r="MR53" s="43"/>
      <c r="MS53" s="43"/>
      <c r="MT53" s="43"/>
      <c r="MU53" s="43"/>
      <c r="MV53" s="43"/>
      <c r="MW53" s="43"/>
      <c r="MX53" s="43"/>
      <c r="MY53" s="43"/>
      <c r="MZ53" s="43"/>
      <c r="NA53" s="43"/>
      <c r="NB53" s="43"/>
      <c r="NC53" s="43"/>
      <c r="ND53" s="43"/>
      <c r="NE53" s="43"/>
      <c r="NF53" s="43"/>
      <c r="NG53" s="43"/>
      <c r="NH53" s="43"/>
      <c r="NI53" s="43"/>
      <c r="NJ53" s="43"/>
      <c r="NK53" s="43"/>
      <c r="NL53" s="43"/>
      <c r="NM53" s="43"/>
      <c r="NN53" s="43"/>
      <c r="NO53" s="43"/>
      <c r="NP53" s="43"/>
      <c r="NQ53" s="43"/>
      <c r="NR53" s="43"/>
      <c r="NS53" s="43"/>
      <c r="NT53" s="43"/>
      <c r="NU53" s="43"/>
      <c r="NV53" s="43"/>
      <c r="NW53" s="43"/>
      <c r="NX53" s="43"/>
      <c r="NY53" s="43"/>
      <c r="NZ53" s="43"/>
      <c r="OA53" s="43"/>
      <c r="OB53" s="43"/>
      <c r="OC53" s="43"/>
      <c r="OD53" s="43"/>
      <c r="OE53" s="43"/>
      <c r="OF53" s="43"/>
      <c r="OG53" s="43"/>
      <c r="OH53" s="43"/>
      <c r="OI53" s="43"/>
      <c r="OJ53" s="43"/>
      <c r="OK53" s="43"/>
      <c r="OL53" s="43"/>
      <c r="OM53" s="43"/>
      <c r="ON53" s="43"/>
      <c r="OO53" s="43"/>
      <c r="OP53" s="43"/>
      <c r="OQ53" s="43"/>
      <c r="OR53" s="43"/>
      <c r="OS53" s="43"/>
      <c r="OT53" s="43"/>
      <c r="OU53" s="43"/>
      <c r="OV53" s="43"/>
      <c r="OW53" s="43"/>
      <c r="OX53" s="43"/>
      <c r="OY53" s="43"/>
      <c r="OZ53" s="43"/>
      <c r="PA53" s="43"/>
      <c r="PB53" s="43"/>
      <c r="PC53" s="43"/>
      <c r="PD53" s="43"/>
      <c r="PE53" s="43"/>
      <c r="PF53" s="43"/>
      <c r="PG53" s="43"/>
      <c r="PH53" s="43"/>
      <c r="PI53" s="43"/>
      <c r="PJ53" s="43"/>
      <c r="PK53" s="43"/>
      <c r="PL53" s="43"/>
      <c r="PM53" s="43"/>
      <c r="PN53" s="43"/>
      <c r="PO53" s="43"/>
      <c r="PP53" s="43"/>
      <c r="PQ53" s="43"/>
      <c r="PR53" s="43"/>
      <c r="PS53" s="43"/>
      <c r="PT53" s="43"/>
      <c r="PU53" s="43"/>
      <c r="PV53" s="43"/>
      <c r="PW53" s="43"/>
      <c r="PX53" s="43"/>
      <c r="PY53" s="43"/>
      <c r="PZ53" s="43"/>
      <c r="QA53" s="43"/>
      <c r="QB53" s="43"/>
      <c r="QC53" s="43"/>
    </row>
    <row r="54" spans="2:445" x14ac:dyDescent="0.3">
      <c r="B54" s="45"/>
      <c r="C54" s="45"/>
      <c r="D54" s="45"/>
      <c r="E54" s="45"/>
      <c r="F54" s="45"/>
      <c r="G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 t="str">
        <f t="shared" si="6"/>
        <v/>
      </c>
      <c r="U54" s="45" t="str">
        <f t="shared" si="7"/>
        <v/>
      </c>
      <c r="V54" s="68" t="str">
        <f t="shared" si="8"/>
        <v/>
      </c>
      <c r="W54" s="48"/>
      <c r="X54" s="66" t="str">
        <f t="shared" si="9"/>
        <v/>
      </c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43"/>
      <c r="CY54" s="43"/>
      <c r="CZ54" s="43"/>
      <c r="DA54" s="43"/>
      <c r="DB54" s="43"/>
      <c r="DC54" s="43"/>
      <c r="DD54" s="43"/>
      <c r="DE54" s="43"/>
      <c r="DF54" s="43"/>
      <c r="DG54" s="43"/>
      <c r="DH54" s="43"/>
      <c r="DI54" s="43"/>
      <c r="DJ54" s="43"/>
      <c r="DK54" s="43"/>
      <c r="DL54" s="43"/>
      <c r="DM54" s="43"/>
      <c r="DN54" s="43"/>
      <c r="DO54" s="43"/>
      <c r="DP54" s="43"/>
      <c r="DQ54" s="43"/>
      <c r="DR54" s="43"/>
      <c r="DS54" s="43"/>
      <c r="DT54" s="43"/>
      <c r="DU54" s="43"/>
      <c r="DV54" s="43"/>
      <c r="DW54" s="43"/>
      <c r="DX54" s="43"/>
      <c r="DY54" s="43"/>
      <c r="DZ54" s="43"/>
      <c r="EA54" s="43"/>
      <c r="EB54" s="43"/>
      <c r="EC54" s="43"/>
      <c r="ED54" s="43"/>
      <c r="EE54" s="43"/>
      <c r="EF54" s="43"/>
      <c r="EG54" s="43"/>
      <c r="EH54" s="43"/>
      <c r="EI54" s="43"/>
      <c r="EJ54" s="43"/>
      <c r="EK54" s="43"/>
      <c r="EL54" s="43"/>
      <c r="EM54" s="43"/>
      <c r="EN54" s="43"/>
      <c r="EO54" s="43"/>
      <c r="EP54" s="43"/>
      <c r="EQ54" s="43"/>
      <c r="ER54" s="43"/>
      <c r="ES54" s="43"/>
      <c r="ET54" s="43"/>
      <c r="EU54" s="43"/>
      <c r="EV54" s="43"/>
      <c r="EW54" s="43"/>
      <c r="EX54" s="43"/>
      <c r="EY54" s="43"/>
      <c r="EZ54" s="43"/>
      <c r="FA54" s="43"/>
      <c r="FB54" s="43"/>
      <c r="FC54" s="43"/>
      <c r="FD54" s="43"/>
      <c r="FE54" s="43"/>
      <c r="FF54" s="43"/>
      <c r="FG54" s="43"/>
      <c r="FH54" s="43"/>
      <c r="FI54" s="43"/>
      <c r="FJ54" s="43"/>
      <c r="FK54" s="43"/>
      <c r="FL54" s="43"/>
      <c r="FM54" s="43"/>
      <c r="FN54" s="43"/>
      <c r="FO54" s="43"/>
      <c r="FP54" s="43"/>
      <c r="FQ54" s="43"/>
      <c r="FR54" s="43"/>
      <c r="FS54" s="43"/>
      <c r="FT54" s="43"/>
      <c r="FU54" s="43"/>
      <c r="FV54" s="43"/>
      <c r="FW54" s="43"/>
      <c r="FX54" s="43"/>
      <c r="FY54" s="43"/>
      <c r="FZ54" s="43"/>
      <c r="GA54" s="43"/>
      <c r="GB54" s="43"/>
      <c r="GC54" s="43"/>
      <c r="GD54" s="43"/>
      <c r="GE54" s="43"/>
      <c r="GF54" s="43"/>
      <c r="GG54" s="43"/>
      <c r="GH54" s="43"/>
      <c r="GI54" s="43"/>
      <c r="GJ54" s="43"/>
      <c r="GK54" s="43"/>
      <c r="GL54" s="43"/>
      <c r="GM54" s="43"/>
      <c r="GN54" s="43"/>
      <c r="GO54" s="43"/>
      <c r="GP54" s="43"/>
      <c r="GQ54" s="43"/>
      <c r="GR54" s="43"/>
      <c r="GS54" s="43"/>
      <c r="GT54" s="43"/>
      <c r="GU54" s="43"/>
      <c r="GV54" s="43"/>
      <c r="GW54" s="43"/>
      <c r="GX54" s="43"/>
      <c r="GY54" s="43"/>
      <c r="GZ54" s="43"/>
      <c r="HA54" s="43"/>
      <c r="HB54" s="43"/>
      <c r="HC54" s="43"/>
      <c r="HD54" s="43"/>
      <c r="HE54" s="43"/>
      <c r="HF54" s="43"/>
      <c r="HG54" s="43"/>
      <c r="HH54" s="43"/>
      <c r="HI54" s="43"/>
      <c r="HJ54" s="43"/>
      <c r="HK54" s="43"/>
      <c r="HL54" s="43"/>
      <c r="HM54" s="43"/>
      <c r="HN54" s="43"/>
      <c r="HO54" s="43"/>
      <c r="HP54" s="43"/>
      <c r="HQ54" s="43"/>
      <c r="HR54" s="43"/>
      <c r="HS54" s="43"/>
      <c r="HT54" s="43"/>
      <c r="HU54" s="43"/>
      <c r="HV54" s="43"/>
      <c r="HW54" s="43"/>
      <c r="HX54" s="43"/>
      <c r="HY54" s="43"/>
      <c r="HZ54" s="43"/>
      <c r="IA54" s="43"/>
      <c r="IB54" s="43"/>
      <c r="IC54" s="43"/>
      <c r="ID54" s="43"/>
      <c r="IE54" s="43"/>
      <c r="IF54" s="43"/>
      <c r="IG54" s="43"/>
      <c r="IH54" s="43"/>
      <c r="II54" s="43"/>
      <c r="IJ54" s="43"/>
      <c r="IK54" s="43"/>
      <c r="IL54" s="43"/>
      <c r="IM54" s="43"/>
      <c r="IN54" s="43"/>
      <c r="IO54" s="43"/>
      <c r="IP54" s="43"/>
      <c r="IQ54" s="43"/>
      <c r="IR54" s="43"/>
      <c r="IS54" s="43"/>
      <c r="IT54" s="43"/>
      <c r="IU54" s="43"/>
      <c r="IV54" s="43"/>
      <c r="IW54" s="43"/>
      <c r="IX54" s="43"/>
      <c r="IY54" s="43"/>
      <c r="IZ54" s="43"/>
      <c r="JA54" s="43"/>
      <c r="JB54" s="43"/>
      <c r="JC54" s="43"/>
      <c r="JD54" s="43"/>
      <c r="JE54" s="43"/>
      <c r="JF54" s="43"/>
      <c r="JG54" s="43"/>
      <c r="JH54" s="43"/>
      <c r="JI54" s="43"/>
      <c r="JJ54" s="43"/>
      <c r="JK54" s="43"/>
      <c r="JL54" s="43"/>
      <c r="JM54" s="43"/>
      <c r="JN54" s="43"/>
      <c r="JO54" s="43"/>
      <c r="JP54" s="43"/>
      <c r="JQ54" s="43"/>
      <c r="JR54" s="43"/>
      <c r="JS54" s="43"/>
      <c r="JT54" s="43"/>
      <c r="JU54" s="43"/>
      <c r="JV54" s="43"/>
      <c r="JW54" s="43"/>
      <c r="JX54" s="43"/>
      <c r="JY54" s="43"/>
      <c r="JZ54" s="43"/>
      <c r="KA54" s="43"/>
      <c r="KB54" s="43"/>
      <c r="KC54" s="43"/>
      <c r="KD54" s="43"/>
      <c r="KE54" s="43"/>
      <c r="KF54" s="43"/>
      <c r="KG54" s="43"/>
      <c r="KH54" s="43"/>
      <c r="KI54" s="43"/>
      <c r="KJ54" s="43"/>
      <c r="KK54" s="43"/>
      <c r="KL54" s="43"/>
      <c r="KM54" s="43"/>
      <c r="KN54" s="43"/>
      <c r="KO54" s="43"/>
      <c r="KP54" s="43"/>
      <c r="KQ54" s="43"/>
      <c r="KR54" s="43"/>
      <c r="KS54" s="43"/>
      <c r="KT54" s="43"/>
      <c r="KU54" s="43"/>
      <c r="KV54" s="43"/>
      <c r="KW54" s="43"/>
      <c r="KX54" s="43"/>
      <c r="KY54" s="43"/>
      <c r="KZ54" s="43"/>
      <c r="LA54" s="43"/>
      <c r="LB54" s="43"/>
      <c r="LC54" s="43"/>
      <c r="LD54" s="43"/>
      <c r="LE54" s="43"/>
      <c r="LF54" s="43"/>
      <c r="LG54" s="43"/>
      <c r="LH54" s="43"/>
      <c r="LI54" s="43"/>
      <c r="LJ54" s="43"/>
      <c r="LK54" s="43"/>
      <c r="LL54" s="43"/>
      <c r="LM54" s="43"/>
      <c r="LN54" s="43"/>
      <c r="LO54" s="43"/>
      <c r="LP54" s="43"/>
      <c r="LQ54" s="43"/>
      <c r="LR54" s="43"/>
      <c r="LS54" s="43"/>
      <c r="LT54" s="43"/>
      <c r="LU54" s="43"/>
      <c r="LV54" s="43"/>
      <c r="LW54" s="43"/>
      <c r="LX54" s="43"/>
      <c r="LY54" s="43"/>
      <c r="LZ54" s="43"/>
      <c r="MA54" s="43"/>
      <c r="MB54" s="43"/>
      <c r="MC54" s="43"/>
      <c r="MD54" s="43"/>
      <c r="ME54" s="43"/>
      <c r="MF54" s="43"/>
      <c r="MG54" s="43"/>
      <c r="MH54" s="43"/>
      <c r="MI54" s="43"/>
      <c r="MJ54" s="43"/>
      <c r="MK54" s="43"/>
      <c r="ML54" s="43"/>
      <c r="MM54" s="43"/>
      <c r="MN54" s="43"/>
      <c r="MO54" s="43"/>
      <c r="MP54" s="43"/>
      <c r="MQ54" s="43"/>
      <c r="MR54" s="43"/>
      <c r="MS54" s="43"/>
      <c r="MT54" s="43"/>
      <c r="MU54" s="43"/>
      <c r="MV54" s="43"/>
      <c r="MW54" s="43"/>
      <c r="MX54" s="43"/>
      <c r="MY54" s="43"/>
      <c r="MZ54" s="43"/>
      <c r="NA54" s="43"/>
      <c r="NB54" s="43"/>
      <c r="NC54" s="43"/>
      <c r="ND54" s="43"/>
      <c r="NE54" s="43"/>
      <c r="NF54" s="43"/>
      <c r="NG54" s="43"/>
      <c r="NH54" s="43"/>
      <c r="NI54" s="43"/>
      <c r="NJ54" s="43"/>
      <c r="NK54" s="43"/>
      <c r="NL54" s="43"/>
      <c r="NM54" s="43"/>
      <c r="NN54" s="43"/>
      <c r="NO54" s="43"/>
      <c r="NP54" s="43"/>
      <c r="NQ54" s="43"/>
      <c r="NR54" s="43"/>
      <c r="NS54" s="43"/>
      <c r="NT54" s="43"/>
      <c r="NU54" s="43"/>
      <c r="NV54" s="43"/>
      <c r="NW54" s="43"/>
      <c r="NX54" s="43"/>
      <c r="NY54" s="43"/>
      <c r="NZ54" s="43"/>
      <c r="OA54" s="43"/>
      <c r="OB54" s="43"/>
      <c r="OC54" s="43"/>
      <c r="OD54" s="43"/>
      <c r="OE54" s="43"/>
      <c r="OF54" s="43"/>
      <c r="OG54" s="43"/>
      <c r="OH54" s="43"/>
      <c r="OI54" s="43"/>
      <c r="OJ54" s="43"/>
      <c r="OK54" s="43"/>
      <c r="OL54" s="43"/>
      <c r="OM54" s="43"/>
      <c r="ON54" s="43"/>
      <c r="OO54" s="43"/>
      <c r="OP54" s="43"/>
      <c r="OQ54" s="43"/>
      <c r="OR54" s="43"/>
      <c r="OS54" s="43"/>
      <c r="OT54" s="43"/>
      <c r="OU54" s="43"/>
      <c r="OV54" s="43"/>
      <c r="OW54" s="43"/>
      <c r="OX54" s="43"/>
      <c r="OY54" s="43"/>
      <c r="OZ54" s="43"/>
      <c r="PA54" s="43"/>
      <c r="PB54" s="43"/>
      <c r="PC54" s="43"/>
      <c r="PD54" s="43"/>
      <c r="PE54" s="43"/>
      <c r="PF54" s="43"/>
      <c r="PG54" s="43"/>
      <c r="PH54" s="43"/>
      <c r="PI54" s="43"/>
      <c r="PJ54" s="43"/>
      <c r="PK54" s="43"/>
      <c r="PL54" s="43"/>
      <c r="PM54" s="43"/>
      <c r="PN54" s="43"/>
      <c r="PO54" s="43"/>
      <c r="PP54" s="43"/>
      <c r="PQ54" s="43"/>
      <c r="PR54" s="43"/>
      <c r="PS54" s="43"/>
      <c r="PT54" s="43"/>
      <c r="PU54" s="43"/>
      <c r="PV54" s="43"/>
      <c r="PW54" s="43"/>
      <c r="PX54" s="43"/>
      <c r="PY54" s="43"/>
      <c r="PZ54" s="43"/>
      <c r="QA54" s="43"/>
      <c r="QB54" s="43"/>
      <c r="QC54" s="43"/>
    </row>
    <row r="55" spans="2:445" x14ac:dyDescent="0.3"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 t="str">
        <f t="shared" si="6"/>
        <v/>
      </c>
      <c r="U55" s="45" t="str">
        <f t="shared" si="7"/>
        <v/>
      </c>
      <c r="V55" s="68" t="str">
        <f t="shared" si="8"/>
        <v/>
      </c>
      <c r="W55" s="48"/>
      <c r="X55" s="66" t="str">
        <f t="shared" si="9"/>
        <v/>
      </c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  <c r="CZ55" s="43"/>
      <c r="DA55" s="43"/>
      <c r="DB55" s="43"/>
      <c r="DC55" s="43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3"/>
      <c r="DP55" s="43"/>
      <c r="DQ55" s="4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M55" s="43"/>
      <c r="EN55" s="43"/>
      <c r="EO55" s="43"/>
      <c r="EP55" s="43"/>
      <c r="EQ55" s="43"/>
      <c r="ER55" s="43"/>
      <c r="ES55" s="43"/>
      <c r="ET55" s="43"/>
      <c r="EU55" s="43"/>
      <c r="EV55" s="43"/>
      <c r="EW55" s="43"/>
      <c r="EX55" s="43"/>
      <c r="EY55" s="43"/>
      <c r="EZ55" s="43"/>
      <c r="FA55" s="43"/>
      <c r="FB55" s="43"/>
      <c r="FC55" s="43"/>
      <c r="FD55" s="43"/>
      <c r="FE55" s="43"/>
      <c r="FF55" s="43"/>
      <c r="FG55" s="43"/>
      <c r="FH55" s="43"/>
      <c r="FI55" s="43"/>
      <c r="FJ55" s="43"/>
      <c r="FK55" s="43"/>
      <c r="FL55" s="43"/>
      <c r="FM55" s="43"/>
      <c r="FN55" s="43"/>
      <c r="FO55" s="43"/>
      <c r="FP55" s="43"/>
      <c r="FQ55" s="43"/>
      <c r="FR55" s="43"/>
      <c r="FS55" s="43"/>
      <c r="FT55" s="43"/>
      <c r="FU55" s="43"/>
      <c r="FV55" s="43"/>
      <c r="FW55" s="43"/>
      <c r="FX55" s="43"/>
      <c r="FY55" s="43"/>
      <c r="FZ55" s="43"/>
      <c r="GA55" s="43"/>
      <c r="GB55" s="43"/>
      <c r="GC55" s="43"/>
      <c r="GD55" s="43"/>
      <c r="GE55" s="43"/>
      <c r="GF55" s="43"/>
      <c r="GG55" s="43"/>
      <c r="GH55" s="43"/>
      <c r="GI55" s="43"/>
      <c r="GJ55" s="43"/>
      <c r="GK55" s="43"/>
      <c r="GL55" s="43"/>
      <c r="GM55" s="43"/>
      <c r="GN55" s="43"/>
      <c r="GO55" s="43"/>
      <c r="GP55" s="43"/>
      <c r="GQ55" s="43"/>
      <c r="GR55" s="43"/>
      <c r="GS55" s="43"/>
      <c r="GT55" s="43"/>
      <c r="GU55" s="43"/>
      <c r="GV55" s="43"/>
      <c r="GW55" s="43"/>
      <c r="GX55" s="43"/>
      <c r="GY55" s="43"/>
      <c r="GZ55" s="43"/>
      <c r="HA55" s="43"/>
      <c r="HB55" s="43"/>
      <c r="HC55" s="43"/>
      <c r="HD55" s="43"/>
      <c r="HE55" s="43"/>
      <c r="HF55" s="43"/>
      <c r="HG55" s="43"/>
      <c r="HH55" s="43"/>
      <c r="HI55" s="43"/>
      <c r="HJ55" s="43"/>
      <c r="HK55" s="43"/>
      <c r="HL55" s="43"/>
      <c r="HM55" s="43"/>
      <c r="HN55" s="43"/>
      <c r="HO55" s="43"/>
      <c r="HP55" s="43"/>
      <c r="HQ55" s="43"/>
      <c r="HR55" s="43"/>
      <c r="HS55" s="43"/>
      <c r="HT55" s="43"/>
      <c r="HU55" s="43"/>
      <c r="HV55" s="43"/>
      <c r="HW55" s="43"/>
      <c r="HX55" s="43"/>
      <c r="HY55" s="43"/>
      <c r="HZ55" s="43"/>
      <c r="IA55" s="43"/>
      <c r="IB55" s="43"/>
      <c r="IC55" s="43"/>
      <c r="ID55" s="43"/>
      <c r="IE55" s="43"/>
      <c r="IF55" s="43"/>
      <c r="IG55" s="43"/>
      <c r="IH55" s="43"/>
      <c r="II55" s="43"/>
      <c r="IJ55" s="43"/>
      <c r="IK55" s="43"/>
      <c r="IL55" s="43"/>
      <c r="IM55" s="43"/>
      <c r="IN55" s="43"/>
      <c r="IO55" s="43"/>
      <c r="IP55" s="43"/>
      <c r="IQ55" s="43"/>
      <c r="IR55" s="43"/>
      <c r="IS55" s="43"/>
      <c r="IT55" s="43"/>
      <c r="IU55" s="43"/>
      <c r="IV55" s="43"/>
      <c r="IW55" s="43"/>
      <c r="IX55" s="43"/>
      <c r="IY55" s="43"/>
      <c r="IZ55" s="43"/>
      <c r="JA55" s="43"/>
      <c r="JB55" s="43"/>
      <c r="JC55" s="43"/>
      <c r="JD55" s="43"/>
      <c r="JE55" s="43"/>
      <c r="JF55" s="43"/>
      <c r="JG55" s="43"/>
      <c r="JH55" s="43"/>
      <c r="JI55" s="43"/>
      <c r="JJ55" s="43"/>
      <c r="JK55" s="43"/>
      <c r="JL55" s="43"/>
      <c r="JM55" s="43"/>
      <c r="JN55" s="43"/>
      <c r="JO55" s="43"/>
      <c r="JP55" s="43"/>
      <c r="JQ55" s="43"/>
      <c r="JR55" s="43"/>
      <c r="JS55" s="43"/>
      <c r="JT55" s="43"/>
      <c r="JU55" s="43"/>
      <c r="JV55" s="43"/>
      <c r="JW55" s="43"/>
      <c r="JX55" s="43"/>
      <c r="JY55" s="43"/>
      <c r="JZ55" s="43"/>
      <c r="KA55" s="43"/>
      <c r="KB55" s="43"/>
      <c r="KC55" s="43"/>
      <c r="KD55" s="43"/>
      <c r="KE55" s="43"/>
      <c r="KF55" s="43"/>
      <c r="KG55" s="43"/>
      <c r="KH55" s="43"/>
      <c r="KI55" s="43"/>
      <c r="KJ55" s="43"/>
      <c r="KK55" s="43"/>
      <c r="KL55" s="43"/>
      <c r="KM55" s="43"/>
      <c r="KN55" s="43"/>
      <c r="KO55" s="43"/>
      <c r="KP55" s="43"/>
      <c r="KQ55" s="43"/>
      <c r="KR55" s="43"/>
      <c r="KS55" s="43"/>
      <c r="KT55" s="43"/>
      <c r="KU55" s="43"/>
      <c r="KV55" s="43"/>
      <c r="KW55" s="43"/>
      <c r="KX55" s="43"/>
      <c r="KY55" s="43"/>
      <c r="KZ55" s="43"/>
      <c r="LA55" s="43"/>
      <c r="LB55" s="43"/>
      <c r="LC55" s="43"/>
      <c r="LD55" s="43"/>
      <c r="LE55" s="43"/>
      <c r="LF55" s="43"/>
      <c r="LG55" s="43"/>
      <c r="LH55" s="43"/>
      <c r="LI55" s="43"/>
      <c r="LJ55" s="43"/>
      <c r="LK55" s="43"/>
      <c r="LL55" s="43"/>
      <c r="LM55" s="43"/>
      <c r="LN55" s="43"/>
      <c r="LO55" s="43"/>
      <c r="LP55" s="43"/>
      <c r="LQ55" s="43"/>
      <c r="LR55" s="43"/>
      <c r="LS55" s="43"/>
      <c r="LT55" s="43"/>
      <c r="LU55" s="43"/>
      <c r="LV55" s="43"/>
      <c r="LW55" s="43"/>
      <c r="LX55" s="43"/>
      <c r="LY55" s="43"/>
      <c r="LZ55" s="43"/>
      <c r="MA55" s="43"/>
      <c r="MB55" s="43"/>
      <c r="MC55" s="43"/>
      <c r="MD55" s="43"/>
      <c r="ME55" s="43"/>
      <c r="MF55" s="43"/>
      <c r="MG55" s="43"/>
      <c r="MH55" s="43"/>
      <c r="MI55" s="43"/>
      <c r="MJ55" s="43"/>
      <c r="MK55" s="43"/>
      <c r="ML55" s="43"/>
      <c r="MM55" s="43"/>
      <c r="MN55" s="43"/>
      <c r="MO55" s="43"/>
      <c r="MP55" s="43"/>
      <c r="MQ55" s="43"/>
      <c r="MR55" s="43"/>
      <c r="MS55" s="43"/>
      <c r="MT55" s="43"/>
      <c r="MU55" s="43"/>
      <c r="MV55" s="43"/>
      <c r="MW55" s="43"/>
      <c r="MX55" s="43"/>
      <c r="MY55" s="43"/>
      <c r="MZ55" s="43"/>
      <c r="NA55" s="43"/>
      <c r="NB55" s="43"/>
      <c r="NC55" s="43"/>
      <c r="ND55" s="43"/>
      <c r="NE55" s="43"/>
      <c r="NF55" s="43"/>
      <c r="NG55" s="43"/>
      <c r="NH55" s="43"/>
      <c r="NI55" s="43"/>
      <c r="NJ55" s="43"/>
      <c r="NK55" s="43"/>
      <c r="NL55" s="43"/>
      <c r="NM55" s="43"/>
      <c r="NN55" s="43"/>
      <c r="NO55" s="43"/>
      <c r="NP55" s="43"/>
      <c r="NQ55" s="43"/>
      <c r="NR55" s="43"/>
      <c r="NS55" s="43"/>
      <c r="NT55" s="43"/>
      <c r="NU55" s="43"/>
      <c r="NV55" s="43"/>
      <c r="NW55" s="43"/>
      <c r="NX55" s="43"/>
      <c r="NY55" s="43"/>
      <c r="NZ55" s="43"/>
      <c r="OA55" s="43"/>
      <c r="OB55" s="43"/>
      <c r="OC55" s="43"/>
      <c r="OD55" s="43"/>
      <c r="OE55" s="43"/>
      <c r="OF55" s="43"/>
      <c r="OG55" s="43"/>
      <c r="OH55" s="43"/>
      <c r="OI55" s="43"/>
      <c r="OJ55" s="43"/>
      <c r="OK55" s="43"/>
      <c r="OL55" s="43"/>
      <c r="OM55" s="43"/>
      <c r="ON55" s="43"/>
      <c r="OO55" s="43"/>
      <c r="OP55" s="43"/>
      <c r="OQ55" s="43"/>
      <c r="OR55" s="43"/>
      <c r="OS55" s="43"/>
      <c r="OT55" s="43"/>
      <c r="OU55" s="43"/>
      <c r="OV55" s="43"/>
      <c r="OW55" s="43"/>
      <c r="OX55" s="43"/>
      <c r="OY55" s="43"/>
      <c r="OZ55" s="43"/>
      <c r="PA55" s="43"/>
      <c r="PB55" s="43"/>
      <c r="PC55" s="43"/>
      <c r="PD55" s="43"/>
      <c r="PE55" s="43"/>
      <c r="PF55" s="43"/>
      <c r="PG55" s="43"/>
      <c r="PH55" s="43"/>
      <c r="PI55" s="43"/>
      <c r="PJ55" s="43"/>
      <c r="PK55" s="43"/>
      <c r="PL55" s="43"/>
      <c r="PM55" s="43"/>
      <c r="PN55" s="43"/>
      <c r="PO55" s="43"/>
      <c r="PP55" s="43"/>
      <c r="PQ55" s="43"/>
      <c r="PR55" s="43"/>
      <c r="PS55" s="43"/>
      <c r="PT55" s="43"/>
      <c r="PU55" s="43"/>
      <c r="PV55" s="43"/>
      <c r="PW55" s="43"/>
      <c r="PX55" s="43"/>
      <c r="PY55" s="43"/>
      <c r="PZ55" s="43"/>
      <c r="QA55" s="43"/>
      <c r="QB55" s="43"/>
      <c r="QC55" s="43"/>
    </row>
    <row r="56" spans="2:445" x14ac:dyDescent="0.3"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 t="str">
        <f t="shared" si="6"/>
        <v/>
      </c>
      <c r="U56" s="45" t="str">
        <f t="shared" si="7"/>
        <v/>
      </c>
      <c r="V56" s="68" t="str">
        <f t="shared" si="8"/>
        <v/>
      </c>
      <c r="W56" s="48"/>
      <c r="X56" s="66" t="str">
        <f t="shared" si="9"/>
        <v/>
      </c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43"/>
      <c r="CY56" s="43"/>
      <c r="CZ56" s="43"/>
      <c r="DA56" s="43"/>
      <c r="DB56" s="43"/>
      <c r="DC56" s="43"/>
      <c r="DD56" s="43"/>
      <c r="DE56" s="43"/>
      <c r="DF56" s="43"/>
      <c r="DG56" s="43"/>
      <c r="DH56" s="43"/>
      <c r="DI56" s="43"/>
      <c r="DJ56" s="43"/>
      <c r="DK56" s="43"/>
      <c r="DL56" s="43"/>
      <c r="DM56" s="43"/>
      <c r="DN56" s="43"/>
      <c r="DO56" s="43"/>
      <c r="DP56" s="43"/>
      <c r="DQ56" s="43"/>
      <c r="DR56" s="43"/>
      <c r="DS56" s="43"/>
      <c r="DT56" s="43"/>
      <c r="DU56" s="43"/>
      <c r="DV56" s="43"/>
      <c r="DW56" s="43"/>
      <c r="DX56" s="43"/>
      <c r="DY56" s="43"/>
      <c r="DZ56" s="43"/>
      <c r="EA56" s="43"/>
      <c r="EB56" s="43"/>
      <c r="EC56" s="43"/>
      <c r="ED56" s="43"/>
      <c r="EE56" s="43"/>
      <c r="EF56" s="43"/>
      <c r="EG56" s="43"/>
      <c r="EH56" s="43"/>
      <c r="EI56" s="43"/>
      <c r="EJ56" s="43"/>
      <c r="EK56" s="43"/>
      <c r="EL56" s="43"/>
      <c r="EM56" s="43"/>
      <c r="EN56" s="43"/>
      <c r="EO56" s="43"/>
      <c r="EP56" s="43"/>
      <c r="EQ56" s="43"/>
      <c r="ER56" s="43"/>
      <c r="ES56" s="43"/>
      <c r="ET56" s="43"/>
      <c r="EU56" s="43"/>
      <c r="EV56" s="43"/>
      <c r="EW56" s="43"/>
      <c r="EX56" s="43"/>
      <c r="EY56" s="43"/>
      <c r="EZ56" s="43"/>
      <c r="FA56" s="43"/>
      <c r="FB56" s="43"/>
      <c r="FC56" s="43"/>
      <c r="FD56" s="43"/>
      <c r="FE56" s="43"/>
      <c r="FF56" s="43"/>
      <c r="FG56" s="43"/>
      <c r="FH56" s="43"/>
      <c r="FI56" s="43"/>
      <c r="FJ56" s="43"/>
      <c r="FK56" s="43"/>
      <c r="FL56" s="43"/>
      <c r="FM56" s="43"/>
      <c r="FN56" s="43"/>
      <c r="FO56" s="43"/>
      <c r="FP56" s="43"/>
      <c r="FQ56" s="43"/>
      <c r="FR56" s="43"/>
      <c r="FS56" s="43"/>
      <c r="FT56" s="43"/>
      <c r="FU56" s="43"/>
      <c r="FV56" s="43"/>
      <c r="FW56" s="43"/>
      <c r="FX56" s="43"/>
      <c r="FY56" s="43"/>
      <c r="FZ56" s="43"/>
      <c r="GA56" s="43"/>
      <c r="GB56" s="43"/>
      <c r="GC56" s="43"/>
      <c r="GD56" s="43"/>
      <c r="GE56" s="43"/>
      <c r="GF56" s="43"/>
      <c r="GG56" s="43"/>
      <c r="GH56" s="43"/>
      <c r="GI56" s="43"/>
      <c r="GJ56" s="43"/>
      <c r="GK56" s="43"/>
      <c r="GL56" s="43"/>
      <c r="GM56" s="43"/>
      <c r="GN56" s="43"/>
      <c r="GO56" s="43"/>
      <c r="GP56" s="43"/>
      <c r="GQ56" s="43"/>
      <c r="GR56" s="43"/>
      <c r="GS56" s="43"/>
      <c r="GT56" s="43"/>
      <c r="GU56" s="43"/>
      <c r="GV56" s="43"/>
      <c r="GW56" s="43"/>
      <c r="GX56" s="43"/>
      <c r="GY56" s="43"/>
      <c r="GZ56" s="43"/>
      <c r="HA56" s="43"/>
      <c r="HB56" s="43"/>
      <c r="HC56" s="43"/>
      <c r="HD56" s="43"/>
      <c r="HE56" s="43"/>
      <c r="HF56" s="43"/>
      <c r="HG56" s="43"/>
      <c r="HH56" s="43"/>
      <c r="HI56" s="43"/>
      <c r="HJ56" s="43"/>
      <c r="HK56" s="43"/>
      <c r="HL56" s="43"/>
      <c r="HM56" s="43"/>
      <c r="HN56" s="43"/>
      <c r="HO56" s="43"/>
      <c r="HP56" s="43"/>
      <c r="HQ56" s="43"/>
      <c r="HR56" s="43"/>
      <c r="HS56" s="43"/>
      <c r="HT56" s="43"/>
      <c r="HU56" s="43"/>
      <c r="HV56" s="43"/>
      <c r="HW56" s="43"/>
      <c r="HX56" s="43"/>
      <c r="HY56" s="43"/>
      <c r="HZ56" s="43"/>
      <c r="IA56" s="43"/>
      <c r="IB56" s="43"/>
      <c r="IC56" s="43"/>
      <c r="ID56" s="43"/>
      <c r="IE56" s="43"/>
      <c r="IF56" s="43"/>
      <c r="IG56" s="43"/>
      <c r="IH56" s="43"/>
      <c r="II56" s="43"/>
      <c r="IJ56" s="43"/>
      <c r="IK56" s="43"/>
      <c r="IL56" s="43"/>
      <c r="IM56" s="43"/>
      <c r="IN56" s="43"/>
      <c r="IO56" s="43"/>
      <c r="IP56" s="43"/>
      <c r="IQ56" s="43"/>
      <c r="IR56" s="43"/>
      <c r="IS56" s="43"/>
      <c r="IT56" s="43"/>
      <c r="IU56" s="43"/>
      <c r="IV56" s="43"/>
      <c r="IW56" s="43"/>
      <c r="IX56" s="43"/>
      <c r="IY56" s="43"/>
      <c r="IZ56" s="43"/>
      <c r="JA56" s="43"/>
      <c r="JB56" s="43"/>
      <c r="JC56" s="43"/>
      <c r="JD56" s="43"/>
      <c r="JE56" s="43"/>
      <c r="JF56" s="43"/>
      <c r="JG56" s="43"/>
      <c r="JH56" s="43"/>
      <c r="JI56" s="43"/>
      <c r="JJ56" s="43"/>
      <c r="JK56" s="43"/>
      <c r="JL56" s="43"/>
      <c r="JM56" s="43"/>
      <c r="JN56" s="43"/>
      <c r="JO56" s="43"/>
      <c r="JP56" s="43"/>
      <c r="JQ56" s="43"/>
      <c r="JR56" s="43"/>
      <c r="JS56" s="43"/>
      <c r="JT56" s="43"/>
      <c r="JU56" s="43"/>
      <c r="JV56" s="43"/>
      <c r="JW56" s="43"/>
      <c r="JX56" s="43"/>
      <c r="JY56" s="43"/>
      <c r="JZ56" s="43"/>
      <c r="KA56" s="43"/>
      <c r="KB56" s="43"/>
      <c r="KC56" s="43"/>
      <c r="KD56" s="43"/>
      <c r="KE56" s="43"/>
      <c r="KF56" s="43"/>
      <c r="KG56" s="43"/>
      <c r="KH56" s="43"/>
      <c r="KI56" s="43"/>
      <c r="KJ56" s="43"/>
      <c r="KK56" s="43"/>
      <c r="KL56" s="43"/>
      <c r="KM56" s="43"/>
      <c r="KN56" s="43"/>
      <c r="KO56" s="43"/>
      <c r="KP56" s="43"/>
      <c r="KQ56" s="43"/>
      <c r="KR56" s="43"/>
      <c r="KS56" s="43"/>
      <c r="KT56" s="43"/>
      <c r="KU56" s="43"/>
      <c r="KV56" s="43"/>
      <c r="KW56" s="43"/>
      <c r="KX56" s="43"/>
      <c r="KY56" s="43"/>
      <c r="KZ56" s="43"/>
      <c r="LA56" s="43"/>
      <c r="LB56" s="43"/>
      <c r="LC56" s="43"/>
      <c r="LD56" s="43"/>
      <c r="LE56" s="43"/>
      <c r="LF56" s="43"/>
      <c r="LG56" s="43"/>
      <c r="LH56" s="43"/>
      <c r="LI56" s="43"/>
      <c r="LJ56" s="43"/>
      <c r="LK56" s="43"/>
      <c r="LL56" s="43"/>
      <c r="LM56" s="43"/>
      <c r="LN56" s="43"/>
      <c r="LO56" s="43"/>
      <c r="LP56" s="43"/>
      <c r="LQ56" s="43"/>
      <c r="LR56" s="43"/>
      <c r="LS56" s="43"/>
      <c r="LT56" s="43"/>
      <c r="LU56" s="43"/>
      <c r="LV56" s="43"/>
      <c r="LW56" s="43"/>
      <c r="LX56" s="43"/>
      <c r="LY56" s="43"/>
      <c r="LZ56" s="43"/>
      <c r="MA56" s="43"/>
      <c r="MB56" s="43"/>
      <c r="MC56" s="43"/>
      <c r="MD56" s="43"/>
      <c r="ME56" s="43"/>
      <c r="MF56" s="43"/>
      <c r="MG56" s="43"/>
      <c r="MH56" s="43"/>
      <c r="MI56" s="43"/>
      <c r="MJ56" s="43"/>
      <c r="MK56" s="43"/>
      <c r="ML56" s="43"/>
      <c r="MM56" s="43"/>
      <c r="MN56" s="43"/>
      <c r="MO56" s="43"/>
      <c r="MP56" s="43"/>
      <c r="MQ56" s="43"/>
      <c r="MR56" s="43"/>
      <c r="MS56" s="43"/>
      <c r="MT56" s="43"/>
      <c r="MU56" s="43"/>
      <c r="MV56" s="43"/>
      <c r="MW56" s="43"/>
      <c r="MX56" s="43"/>
      <c r="MY56" s="43"/>
      <c r="MZ56" s="43"/>
      <c r="NA56" s="43"/>
      <c r="NB56" s="43"/>
      <c r="NC56" s="43"/>
      <c r="ND56" s="43"/>
      <c r="NE56" s="43"/>
      <c r="NF56" s="43"/>
      <c r="NG56" s="43"/>
      <c r="NH56" s="43"/>
      <c r="NI56" s="43"/>
      <c r="NJ56" s="43"/>
      <c r="NK56" s="43"/>
      <c r="NL56" s="43"/>
      <c r="NM56" s="43"/>
      <c r="NN56" s="43"/>
      <c r="NO56" s="43"/>
      <c r="NP56" s="43"/>
      <c r="NQ56" s="43"/>
      <c r="NR56" s="43"/>
      <c r="NS56" s="43"/>
      <c r="NT56" s="43"/>
      <c r="NU56" s="43"/>
      <c r="NV56" s="43"/>
      <c r="NW56" s="43"/>
      <c r="NX56" s="43"/>
      <c r="NY56" s="43"/>
      <c r="NZ56" s="43"/>
      <c r="OA56" s="43"/>
      <c r="OB56" s="43"/>
      <c r="OC56" s="43"/>
      <c r="OD56" s="43"/>
      <c r="OE56" s="43"/>
      <c r="OF56" s="43"/>
      <c r="OG56" s="43"/>
      <c r="OH56" s="43"/>
      <c r="OI56" s="43"/>
      <c r="OJ56" s="43"/>
      <c r="OK56" s="43"/>
      <c r="OL56" s="43"/>
      <c r="OM56" s="43"/>
      <c r="ON56" s="43"/>
      <c r="OO56" s="43"/>
      <c r="OP56" s="43"/>
      <c r="OQ56" s="43"/>
      <c r="OR56" s="43"/>
      <c r="OS56" s="43"/>
      <c r="OT56" s="43"/>
      <c r="OU56" s="43"/>
      <c r="OV56" s="43"/>
      <c r="OW56" s="43"/>
      <c r="OX56" s="43"/>
      <c r="OY56" s="43"/>
      <c r="OZ56" s="43"/>
      <c r="PA56" s="43"/>
      <c r="PB56" s="43"/>
      <c r="PC56" s="43"/>
      <c r="PD56" s="43"/>
      <c r="PE56" s="43"/>
      <c r="PF56" s="43"/>
      <c r="PG56" s="43"/>
      <c r="PH56" s="43"/>
      <c r="PI56" s="43"/>
      <c r="PJ56" s="43"/>
      <c r="PK56" s="43"/>
      <c r="PL56" s="43"/>
      <c r="PM56" s="43"/>
      <c r="PN56" s="43"/>
      <c r="PO56" s="43"/>
      <c r="PP56" s="43"/>
      <c r="PQ56" s="43"/>
      <c r="PR56" s="43"/>
      <c r="PS56" s="43"/>
      <c r="PT56" s="43"/>
      <c r="PU56" s="43"/>
      <c r="PV56" s="43"/>
      <c r="PW56" s="43"/>
      <c r="PX56" s="43"/>
      <c r="PY56" s="43"/>
      <c r="PZ56" s="43"/>
      <c r="QA56" s="43"/>
      <c r="QB56" s="43"/>
      <c r="QC56" s="43"/>
    </row>
    <row r="57" spans="2:445" x14ac:dyDescent="0.3"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 t="str">
        <f t="shared" si="6"/>
        <v/>
      </c>
      <c r="U57" s="45" t="str">
        <f t="shared" si="7"/>
        <v/>
      </c>
      <c r="V57" s="68" t="str">
        <f t="shared" si="8"/>
        <v/>
      </c>
      <c r="X57" s="66" t="str">
        <f t="shared" si="9"/>
        <v/>
      </c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43"/>
      <c r="CY57" s="43"/>
      <c r="CZ57" s="43"/>
      <c r="DA57" s="43"/>
      <c r="DB57" s="43"/>
      <c r="DC57" s="43"/>
      <c r="DD57" s="43"/>
      <c r="DE57" s="43"/>
      <c r="DF57" s="43"/>
      <c r="DG57" s="43"/>
      <c r="DH57" s="43"/>
      <c r="DI57" s="43"/>
      <c r="DJ57" s="43"/>
      <c r="DK57" s="43"/>
      <c r="DL57" s="43"/>
      <c r="DM57" s="43"/>
      <c r="DN57" s="43"/>
      <c r="DO57" s="43"/>
      <c r="DP57" s="43"/>
      <c r="DQ57" s="43"/>
      <c r="DR57" s="43"/>
      <c r="DS57" s="43"/>
      <c r="DT57" s="43"/>
      <c r="DU57" s="43"/>
      <c r="DV57" s="43"/>
      <c r="DW57" s="43"/>
      <c r="DX57" s="43"/>
      <c r="DY57" s="43"/>
      <c r="DZ57" s="43"/>
      <c r="EA57" s="43"/>
      <c r="EB57" s="43"/>
      <c r="EC57" s="43"/>
      <c r="ED57" s="43"/>
      <c r="EE57" s="43"/>
      <c r="EF57" s="43"/>
      <c r="EG57" s="43"/>
      <c r="EH57" s="43"/>
      <c r="EI57" s="43"/>
      <c r="EJ57" s="43"/>
      <c r="EK57" s="43"/>
      <c r="EL57" s="43"/>
      <c r="EM57" s="43"/>
      <c r="EN57" s="43"/>
      <c r="EO57" s="43"/>
      <c r="EP57" s="43"/>
      <c r="EQ57" s="43"/>
      <c r="ER57" s="43"/>
      <c r="ES57" s="43"/>
      <c r="ET57" s="43"/>
      <c r="EU57" s="43"/>
      <c r="EV57" s="43"/>
      <c r="EW57" s="43"/>
      <c r="EX57" s="43"/>
      <c r="EY57" s="43"/>
      <c r="EZ57" s="43"/>
      <c r="FA57" s="43"/>
      <c r="FB57" s="43"/>
      <c r="FC57" s="43"/>
      <c r="FD57" s="43"/>
      <c r="FE57" s="43"/>
      <c r="FF57" s="43"/>
      <c r="FG57" s="43"/>
      <c r="FH57" s="43"/>
      <c r="FI57" s="43"/>
      <c r="FJ57" s="43"/>
      <c r="FK57" s="43"/>
      <c r="FL57" s="43"/>
      <c r="FM57" s="43"/>
      <c r="FN57" s="43"/>
      <c r="FO57" s="43"/>
      <c r="FP57" s="43"/>
      <c r="FQ57" s="43"/>
      <c r="FR57" s="43"/>
      <c r="FS57" s="43"/>
      <c r="FT57" s="43"/>
      <c r="FU57" s="43"/>
      <c r="FV57" s="43"/>
      <c r="FW57" s="43"/>
      <c r="FX57" s="43"/>
      <c r="FY57" s="43"/>
      <c r="FZ57" s="43"/>
      <c r="GA57" s="43"/>
      <c r="GB57" s="43"/>
      <c r="GC57" s="43"/>
      <c r="GD57" s="43"/>
      <c r="GE57" s="43"/>
      <c r="GF57" s="43"/>
      <c r="GG57" s="43"/>
      <c r="GH57" s="43"/>
      <c r="GI57" s="43"/>
      <c r="GJ57" s="43"/>
      <c r="GK57" s="43"/>
      <c r="GL57" s="43"/>
      <c r="GM57" s="43"/>
      <c r="GN57" s="43"/>
      <c r="GO57" s="43"/>
      <c r="GP57" s="43"/>
      <c r="GQ57" s="43"/>
      <c r="GR57" s="43"/>
      <c r="GS57" s="43"/>
      <c r="GT57" s="43"/>
      <c r="GU57" s="43"/>
      <c r="GV57" s="43"/>
      <c r="GW57" s="43"/>
      <c r="GX57" s="43"/>
      <c r="GY57" s="43"/>
      <c r="GZ57" s="43"/>
      <c r="HA57" s="43"/>
      <c r="HB57" s="43"/>
      <c r="HC57" s="43"/>
      <c r="HD57" s="43"/>
      <c r="HE57" s="43"/>
      <c r="HF57" s="43"/>
      <c r="HG57" s="43"/>
      <c r="HH57" s="43"/>
      <c r="HI57" s="43"/>
      <c r="HJ57" s="43"/>
      <c r="HK57" s="43"/>
      <c r="HL57" s="43"/>
      <c r="HM57" s="43"/>
      <c r="HN57" s="43"/>
      <c r="HO57" s="43"/>
      <c r="HP57" s="43"/>
      <c r="HQ57" s="43"/>
      <c r="HR57" s="43"/>
      <c r="HS57" s="43"/>
      <c r="HT57" s="43"/>
      <c r="HU57" s="43"/>
      <c r="HV57" s="43"/>
      <c r="HW57" s="43"/>
      <c r="HX57" s="43"/>
      <c r="HY57" s="43"/>
      <c r="HZ57" s="43"/>
      <c r="IA57" s="43"/>
      <c r="IB57" s="43"/>
      <c r="IC57" s="43"/>
      <c r="ID57" s="43"/>
      <c r="IE57" s="43"/>
      <c r="IF57" s="43"/>
      <c r="IG57" s="43"/>
      <c r="IH57" s="43"/>
      <c r="II57" s="43"/>
      <c r="IJ57" s="43"/>
      <c r="IK57" s="43"/>
      <c r="IL57" s="43"/>
      <c r="IM57" s="43"/>
      <c r="IN57" s="43"/>
      <c r="IO57" s="43"/>
      <c r="IP57" s="43"/>
      <c r="IQ57" s="43"/>
      <c r="IR57" s="43"/>
      <c r="IS57" s="43"/>
      <c r="IT57" s="43"/>
      <c r="IU57" s="43"/>
      <c r="IV57" s="43"/>
      <c r="IW57" s="43"/>
      <c r="IX57" s="43"/>
      <c r="IY57" s="43"/>
      <c r="IZ57" s="43"/>
      <c r="JA57" s="43"/>
      <c r="JB57" s="43"/>
      <c r="JC57" s="43"/>
      <c r="JD57" s="43"/>
      <c r="JE57" s="43"/>
      <c r="JF57" s="43"/>
      <c r="JG57" s="43"/>
      <c r="JH57" s="43"/>
      <c r="JI57" s="43"/>
      <c r="JJ57" s="43"/>
      <c r="JK57" s="43"/>
      <c r="JL57" s="43"/>
      <c r="JM57" s="43"/>
      <c r="JN57" s="43"/>
      <c r="JO57" s="43"/>
      <c r="JP57" s="43"/>
      <c r="JQ57" s="43"/>
      <c r="JR57" s="43"/>
      <c r="JS57" s="43"/>
      <c r="JT57" s="43"/>
      <c r="JU57" s="43"/>
      <c r="JV57" s="43"/>
      <c r="JW57" s="43"/>
      <c r="JX57" s="43"/>
      <c r="JY57" s="43"/>
      <c r="JZ57" s="43"/>
      <c r="KA57" s="43"/>
      <c r="KB57" s="43"/>
      <c r="KC57" s="43"/>
      <c r="KD57" s="43"/>
      <c r="KE57" s="43"/>
      <c r="KF57" s="43"/>
      <c r="KG57" s="43"/>
      <c r="KH57" s="43"/>
      <c r="KI57" s="43"/>
      <c r="KJ57" s="43"/>
      <c r="KK57" s="43"/>
      <c r="KL57" s="43"/>
      <c r="KM57" s="43"/>
      <c r="KN57" s="43"/>
      <c r="KO57" s="43"/>
      <c r="KP57" s="43"/>
      <c r="KQ57" s="43"/>
      <c r="KR57" s="43"/>
      <c r="KS57" s="43"/>
      <c r="KT57" s="43"/>
      <c r="KU57" s="43"/>
      <c r="KV57" s="43"/>
      <c r="KW57" s="43"/>
      <c r="KX57" s="43"/>
      <c r="KY57" s="43"/>
      <c r="KZ57" s="43"/>
      <c r="LA57" s="43"/>
      <c r="LB57" s="43"/>
      <c r="LC57" s="43"/>
      <c r="LD57" s="43"/>
      <c r="LE57" s="43"/>
      <c r="LF57" s="43"/>
      <c r="LG57" s="43"/>
      <c r="LH57" s="43"/>
      <c r="LI57" s="43"/>
      <c r="LJ57" s="43"/>
      <c r="LK57" s="43"/>
      <c r="LL57" s="43"/>
      <c r="LM57" s="43"/>
      <c r="LN57" s="43"/>
      <c r="LO57" s="43"/>
      <c r="LP57" s="43"/>
      <c r="LQ57" s="43"/>
      <c r="LR57" s="43"/>
      <c r="LS57" s="43"/>
      <c r="LT57" s="43"/>
      <c r="LU57" s="43"/>
      <c r="LV57" s="43"/>
      <c r="LW57" s="43"/>
      <c r="LX57" s="43"/>
      <c r="LY57" s="43"/>
      <c r="LZ57" s="43"/>
      <c r="MA57" s="43"/>
      <c r="MB57" s="43"/>
      <c r="MC57" s="43"/>
      <c r="MD57" s="43"/>
      <c r="ME57" s="43"/>
      <c r="MF57" s="43"/>
      <c r="MG57" s="43"/>
      <c r="MH57" s="43"/>
      <c r="MI57" s="43"/>
      <c r="MJ57" s="43"/>
      <c r="MK57" s="43"/>
      <c r="ML57" s="43"/>
      <c r="MM57" s="43"/>
      <c r="MN57" s="43"/>
      <c r="MO57" s="43"/>
      <c r="MP57" s="43"/>
      <c r="MQ57" s="43"/>
      <c r="MR57" s="43"/>
      <c r="MS57" s="43"/>
      <c r="MT57" s="43"/>
      <c r="MU57" s="43"/>
      <c r="MV57" s="43"/>
      <c r="MW57" s="43"/>
      <c r="MX57" s="43"/>
      <c r="MY57" s="43"/>
      <c r="MZ57" s="43"/>
      <c r="NA57" s="43"/>
      <c r="NB57" s="43"/>
      <c r="NC57" s="43"/>
      <c r="ND57" s="43"/>
      <c r="NE57" s="43"/>
      <c r="NF57" s="43"/>
      <c r="NG57" s="43"/>
      <c r="NH57" s="43"/>
      <c r="NI57" s="43"/>
      <c r="NJ57" s="43"/>
      <c r="NK57" s="43"/>
      <c r="NL57" s="43"/>
      <c r="NM57" s="43"/>
      <c r="NN57" s="43"/>
      <c r="NO57" s="43"/>
      <c r="NP57" s="43"/>
      <c r="NQ57" s="43"/>
      <c r="NR57" s="43"/>
      <c r="NS57" s="43"/>
      <c r="NT57" s="43"/>
      <c r="NU57" s="43"/>
      <c r="NV57" s="43"/>
      <c r="NW57" s="43"/>
      <c r="NX57" s="43"/>
      <c r="NY57" s="43"/>
      <c r="NZ57" s="43"/>
      <c r="OA57" s="43"/>
      <c r="OB57" s="43"/>
      <c r="OC57" s="43"/>
      <c r="OD57" s="43"/>
      <c r="OE57" s="43"/>
      <c r="OF57" s="43"/>
      <c r="OG57" s="43"/>
      <c r="OH57" s="43"/>
      <c r="OI57" s="43"/>
      <c r="OJ57" s="43"/>
      <c r="OK57" s="43"/>
      <c r="OL57" s="43"/>
      <c r="OM57" s="43"/>
      <c r="ON57" s="43"/>
      <c r="OO57" s="43"/>
      <c r="OP57" s="43"/>
      <c r="OQ57" s="43"/>
      <c r="OR57" s="43"/>
      <c r="OS57" s="43"/>
      <c r="OT57" s="43"/>
      <c r="OU57" s="43"/>
      <c r="OV57" s="43"/>
      <c r="OW57" s="43"/>
      <c r="OX57" s="43"/>
      <c r="OY57" s="43"/>
      <c r="OZ57" s="43"/>
      <c r="PA57" s="43"/>
      <c r="PB57" s="43"/>
      <c r="PC57" s="43"/>
      <c r="PD57" s="43"/>
      <c r="PE57" s="43"/>
      <c r="PF57" s="43"/>
      <c r="PG57" s="43"/>
      <c r="PH57" s="43"/>
      <c r="PI57" s="43"/>
      <c r="PJ57" s="43"/>
      <c r="PK57" s="43"/>
      <c r="PL57" s="43"/>
      <c r="PM57" s="43"/>
      <c r="PN57" s="43"/>
      <c r="PO57" s="43"/>
      <c r="PP57" s="43"/>
      <c r="PQ57" s="43"/>
      <c r="PR57" s="43"/>
      <c r="PS57" s="43"/>
      <c r="PT57" s="43"/>
      <c r="PU57" s="43"/>
      <c r="PV57" s="43"/>
      <c r="PW57" s="43"/>
      <c r="PX57" s="43"/>
      <c r="PY57" s="43"/>
      <c r="PZ57" s="43"/>
      <c r="QA57" s="43"/>
      <c r="QB57" s="43"/>
      <c r="QC57" s="43"/>
    </row>
    <row r="58" spans="2:445" x14ac:dyDescent="0.3"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 t="str">
        <f t="shared" si="6"/>
        <v/>
      </c>
      <c r="U58" s="45" t="str">
        <f t="shared" si="7"/>
        <v/>
      </c>
      <c r="V58" s="68" t="str">
        <f t="shared" si="8"/>
        <v/>
      </c>
      <c r="W58" s="48"/>
      <c r="X58" s="66" t="str">
        <f t="shared" si="9"/>
        <v/>
      </c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43"/>
      <c r="CY58" s="43"/>
      <c r="CZ58" s="43"/>
      <c r="DA58" s="43"/>
      <c r="DB58" s="43"/>
      <c r="DC58" s="43"/>
      <c r="DD58" s="43"/>
      <c r="DE58" s="43"/>
      <c r="DF58" s="43"/>
      <c r="DG58" s="43"/>
      <c r="DH58" s="43"/>
      <c r="DI58" s="43"/>
      <c r="DJ58" s="43"/>
      <c r="DK58" s="43"/>
      <c r="DL58" s="43"/>
      <c r="DM58" s="43"/>
      <c r="DN58" s="43"/>
      <c r="DO58" s="43"/>
      <c r="DP58" s="43"/>
      <c r="DQ58" s="43"/>
      <c r="DR58" s="43"/>
      <c r="DS58" s="43"/>
      <c r="DT58" s="43"/>
      <c r="DU58" s="43"/>
      <c r="DV58" s="43"/>
      <c r="DW58" s="43"/>
      <c r="DX58" s="43"/>
      <c r="DY58" s="43"/>
      <c r="DZ58" s="43"/>
      <c r="EA58" s="43"/>
      <c r="EB58" s="43"/>
      <c r="EC58" s="43"/>
      <c r="ED58" s="43"/>
      <c r="EE58" s="43"/>
      <c r="EF58" s="43"/>
      <c r="EG58" s="43"/>
      <c r="EH58" s="43"/>
      <c r="EI58" s="43"/>
      <c r="EJ58" s="43"/>
      <c r="EK58" s="43"/>
      <c r="EL58" s="43"/>
      <c r="EM58" s="43"/>
      <c r="EN58" s="43"/>
      <c r="EO58" s="43"/>
      <c r="EP58" s="43"/>
      <c r="EQ58" s="43"/>
      <c r="ER58" s="43"/>
      <c r="ES58" s="43"/>
      <c r="ET58" s="43"/>
      <c r="EU58" s="43"/>
      <c r="EV58" s="43"/>
      <c r="EW58" s="43"/>
      <c r="EX58" s="43"/>
      <c r="EY58" s="43"/>
      <c r="EZ58" s="43"/>
      <c r="FA58" s="43"/>
      <c r="FB58" s="43"/>
      <c r="FC58" s="43"/>
      <c r="FD58" s="43"/>
      <c r="FE58" s="43"/>
      <c r="FF58" s="43"/>
      <c r="FG58" s="43"/>
      <c r="FH58" s="43"/>
      <c r="FI58" s="43"/>
      <c r="FJ58" s="43"/>
      <c r="FK58" s="43"/>
      <c r="FL58" s="43"/>
      <c r="FM58" s="43"/>
      <c r="FN58" s="43"/>
      <c r="FO58" s="43"/>
      <c r="FP58" s="43"/>
      <c r="FQ58" s="43"/>
      <c r="FR58" s="43"/>
      <c r="FS58" s="43"/>
      <c r="FT58" s="43"/>
      <c r="FU58" s="43"/>
      <c r="FV58" s="43"/>
      <c r="FW58" s="43"/>
      <c r="FX58" s="43"/>
      <c r="FY58" s="43"/>
      <c r="FZ58" s="43"/>
      <c r="GA58" s="43"/>
      <c r="GB58" s="43"/>
      <c r="GC58" s="43"/>
      <c r="GD58" s="43"/>
      <c r="GE58" s="43"/>
      <c r="GF58" s="43"/>
      <c r="GG58" s="43"/>
      <c r="GH58" s="43"/>
      <c r="GI58" s="43"/>
      <c r="GJ58" s="43"/>
      <c r="GK58" s="43"/>
      <c r="GL58" s="43"/>
      <c r="GM58" s="43"/>
      <c r="GN58" s="43"/>
      <c r="GO58" s="43"/>
      <c r="GP58" s="43"/>
      <c r="GQ58" s="43"/>
      <c r="GR58" s="43"/>
      <c r="GS58" s="43"/>
      <c r="GT58" s="43"/>
      <c r="GU58" s="43"/>
      <c r="GV58" s="43"/>
      <c r="GW58" s="43"/>
      <c r="GX58" s="43"/>
      <c r="GY58" s="43"/>
      <c r="GZ58" s="43"/>
      <c r="HA58" s="43"/>
      <c r="HB58" s="43"/>
      <c r="HC58" s="43"/>
      <c r="HD58" s="43"/>
      <c r="HE58" s="43"/>
      <c r="HF58" s="43"/>
      <c r="HG58" s="43"/>
      <c r="HH58" s="43"/>
      <c r="HI58" s="43"/>
      <c r="HJ58" s="43"/>
      <c r="HK58" s="43"/>
      <c r="HL58" s="43"/>
      <c r="HM58" s="43"/>
      <c r="HN58" s="43"/>
      <c r="HO58" s="43"/>
      <c r="HP58" s="43"/>
      <c r="HQ58" s="43"/>
      <c r="HR58" s="43"/>
      <c r="HS58" s="43"/>
      <c r="HT58" s="43"/>
      <c r="HU58" s="43"/>
      <c r="HV58" s="43"/>
      <c r="HW58" s="43"/>
      <c r="HX58" s="43"/>
      <c r="HY58" s="43"/>
      <c r="HZ58" s="43"/>
      <c r="IA58" s="43"/>
      <c r="IB58" s="43"/>
      <c r="IC58" s="43"/>
      <c r="ID58" s="43"/>
      <c r="IE58" s="43"/>
      <c r="IF58" s="43"/>
      <c r="IG58" s="43"/>
      <c r="IH58" s="43"/>
      <c r="II58" s="43"/>
      <c r="IJ58" s="43"/>
      <c r="IK58" s="43"/>
      <c r="IL58" s="43"/>
      <c r="IM58" s="43"/>
      <c r="IN58" s="43"/>
      <c r="IO58" s="43"/>
      <c r="IP58" s="43"/>
      <c r="IQ58" s="43"/>
      <c r="IR58" s="43"/>
      <c r="IS58" s="43"/>
      <c r="IT58" s="43"/>
      <c r="IU58" s="43"/>
      <c r="IV58" s="43"/>
      <c r="IW58" s="43"/>
      <c r="IX58" s="43"/>
      <c r="IY58" s="43"/>
      <c r="IZ58" s="43"/>
      <c r="JA58" s="43"/>
      <c r="JB58" s="43"/>
      <c r="JC58" s="43"/>
      <c r="JD58" s="43"/>
      <c r="JE58" s="43"/>
      <c r="JF58" s="43"/>
      <c r="JG58" s="43"/>
      <c r="JH58" s="43"/>
      <c r="JI58" s="43"/>
      <c r="JJ58" s="43"/>
      <c r="JK58" s="43"/>
      <c r="JL58" s="43"/>
      <c r="JM58" s="43"/>
      <c r="JN58" s="43"/>
      <c r="JO58" s="43"/>
      <c r="JP58" s="43"/>
      <c r="JQ58" s="43"/>
      <c r="JR58" s="43"/>
      <c r="JS58" s="43"/>
      <c r="JT58" s="43"/>
      <c r="JU58" s="43"/>
      <c r="JV58" s="43"/>
      <c r="JW58" s="43"/>
      <c r="JX58" s="43"/>
      <c r="JY58" s="43"/>
      <c r="JZ58" s="43"/>
      <c r="KA58" s="43"/>
      <c r="KB58" s="43"/>
      <c r="KC58" s="43"/>
      <c r="KD58" s="43"/>
      <c r="KE58" s="43"/>
      <c r="KF58" s="43"/>
      <c r="KG58" s="43"/>
      <c r="KH58" s="43"/>
      <c r="KI58" s="43"/>
      <c r="KJ58" s="43"/>
      <c r="KK58" s="43"/>
      <c r="KL58" s="43"/>
      <c r="KM58" s="43"/>
      <c r="KN58" s="43"/>
      <c r="KO58" s="43"/>
      <c r="KP58" s="43"/>
      <c r="KQ58" s="43"/>
      <c r="KR58" s="43"/>
      <c r="KS58" s="43"/>
      <c r="KT58" s="43"/>
      <c r="KU58" s="43"/>
      <c r="KV58" s="43"/>
      <c r="KW58" s="43"/>
      <c r="KX58" s="43"/>
      <c r="KY58" s="43"/>
      <c r="KZ58" s="43"/>
      <c r="LA58" s="43"/>
      <c r="LB58" s="43"/>
      <c r="LC58" s="43"/>
      <c r="LD58" s="43"/>
      <c r="LE58" s="43"/>
      <c r="LF58" s="43"/>
      <c r="LG58" s="43"/>
      <c r="LH58" s="43"/>
      <c r="LI58" s="43"/>
      <c r="LJ58" s="43"/>
      <c r="LK58" s="43"/>
      <c r="LL58" s="43"/>
      <c r="LM58" s="43"/>
      <c r="LN58" s="43"/>
      <c r="LO58" s="43"/>
      <c r="LP58" s="43"/>
      <c r="LQ58" s="43"/>
      <c r="LR58" s="43"/>
      <c r="LS58" s="43"/>
      <c r="LT58" s="43"/>
      <c r="LU58" s="43"/>
      <c r="LV58" s="43"/>
      <c r="LW58" s="43"/>
      <c r="LX58" s="43"/>
      <c r="LY58" s="43"/>
      <c r="LZ58" s="43"/>
      <c r="MA58" s="43"/>
      <c r="MB58" s="43"/>
      <c r="MC58" s="43"/>
      <c r="MD58" s="43"/>
      <c r="ME58" s="43"/>
      <c r="MF58" s="43"/>
      <c r="MG58" s="43"/>
      <c r="MH58" s="43"/>
      <c r="MI58" s="43"/>
      <c r="MJ58" s="43"/>
      <c r="MK58" s="43"/>
      <c r="ML58" s="43"/>
      <c r="MM58" s="43"/>
      <c r="MN58" s="43"/>
      <c r="MO58" s="43"/>
      <c r="MP58" s="43"/>
      <c r="MQ58" s="43"/>
      <c r="MR58" s="43"/>
      <c r="MS58" s="43"/>
      <c r="MT58" s="43"/>
      <c r="MU58" s="43"/>
      <c r="MV58" s="43"/>
      <c r="MW58" s="43"/>
      <c r="MX58" s="43"/>
      <c r="MY58" s="43"/>
      <c r="MZ58" s="43"/>
      <c r="NA58" s="43"/>
      <c r="NB58" s="43"/>
      <c r="NC58" s="43"/>
      <c r="ND58" s="43"/>
      <c r="NE58" s="43"/>
      <c r="NF58" s="43"/>
      <c r="NG58" s="43"/>
      <c r="NH58" s="43"/>
      <c r="NI58" s="43"/>
      <c r="NJ58" s="43"/>
      <c r="NK58" s="43"/>
      <c r="NL58" s="43"/>
      <c r="NM58" s="43"/>
      <c r="NN58" s="43"/>
      <c r="NO58" s="43"/>
      <c r="NP58" s="43"/>
      <c r="NQ58" s="43"/>
      <c r="NR58" s="43"/>
      <c r="NS58" s="43"/>
      <c r="NT58" s="43"/>
      <c r="NU58" s="43"/>
      <c r="NV58" s="43"/>
      <c r="NW58" s="43"/>
      <c r="NX58" s="43"/>
      <c r="NY58" s="43"/>
      <c r="NZ58" s="43"/>
      <c r="OA58" s="43"/>
      <c r="OB58" s="43"/>
      <c r="OC58" s="43"/>
      <c r="OD58" s="43"/>
      <c r="OE58" s="43"/>
      <c r="OF58" s="43"/>
      <c r="OG58" s="43"/>
      <c r="OH58" s="43"/>
      <c r="OI58" s="43"/>
      <c r="OJ58" s="43"/>
      <c r="OK58" s="43"/>
      <c r="OL58" s="43"/>
      <c r="OM58" s="43"/>
      <c r="ON58" s="43"/>
      <c r="OO58" s="43"/>
      <c r="OP58" s="43"/>
      <c r="OQ58" s="43"/>
      <c r="OR58" s="43"/>
      <c r="OS58" s="43"/>
      <c r="OT58" s="43"/>
      <c r="OU58" s="43"/>
      <c r="OV58" s="43"/>
      <c r="OW58" s="43"/>
      <c r="OX58" s="43"/>
      <c r="OY58" s="43"/>
      <c r="OZ58" s="43"/>
      <c r="PA58" s="43"/>
      <c r="PB58" s="43"/>
      <c r="PC58" s="43"/>
      <c r="PD58" s="43"/>
      <c r="PE58" s="43"/>
      <c r="PF58" s="43"/>
      <c r="PG58" s="43"/>
      <c r="PH58" s="43"/>
      <c r="PI58" s="43"/>
      <c r="PJ58" s="43"/>
      <c r="PK58" s="43"/>
      <c r="PL58" s="43"/>
      <c r="PM58" s="43"/>
      <c r="PN58" s="43"/>
      <c r="PO58" s="43"/>
      <c r="PP58" s="43"/>
      <c r="PQ58" s="43"/>
      <c r="PR58" s="43"/>
      <c r="PS58" s="43"/>
      <c r="PT58" s="43"/>
      <c r="PU58" s="43"/>
      <c r="PV58" s="43"/>
      <c r="PW58" s="43"/>
      <c r="PX58" s="43"/>
      <c r="PY58" s="43"/>
      <c r="PZ58" s="43"/>
      <c r="QA58" s="43"/>
      <c r="QB58" s="43"/>
      <c r="QC58" s="43"/>
    </row>
    <row r="59" spans="2:445" x14ac:dyDescent="0.3"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 t="str">
        <f t="shared" si="6"/>
        <v/>
      </c>
      <c r="U59" s="45" t="str">
        <f t="shared" si="7"/>
        <v/>
      </c>
      <c r="V59" s="68" t="str">
        <f t="shared" si="8"/>
        <v/>
      </c>
      <c r="W59" s="48"/>
      <c r="X59" s="66" t="str">
        <f t="shared" si="9"/>
        <v/>
      </c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43"/>
      <c r="CY59" s="43"/>
      <c r="CZ59" s="43"/>
      <c r="DA59" s="43"/>
      <c r="DB59" s="43"/>
      <c r="DC59" s="43"/>
      <c r="DD59" s="43"/>
      <c r="DE59" s="43"/>
      <c r="DF59" s="43"/>
      <c r="DG59" s="43"/>
      <c r="DH59" s="43"/>
      <c r="DI59" s="43"/>
      <c r="DJ59" s="43"/>
      <c r="DK59" s="43"/>
      <c r="DL59" s="43"/>
      <c r="DM59" s="43"/>
      <c r="DN59" s="43"/>
      <c r="DO59" s="43"/>
      <c r="DP59" s="43"/>
      <c r="DQ59" s="43"/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 s="43"/>
      <c r="EI59" s="43"/>
      <c r="EJ59" s="43"/>
      <c r="EK59" s="43"/>
      <c r="EL59" s="43"/>
      <c r="EM59" s="43"/>
      <c r="EN59" s="43"/>
      <c r="EO59" s="43"/>
      <c r="EP59" s="43"/>
      <c r="EQ59" s="43"/>
      <c r="ER59" s="43"/>
      <c r="ES59" s="43"/>
      <c r="ET59" s="43"/>
      <c r="EU59" s="43"/>
      <c r="EV59" s="43"/>
      <c r="EW59" s="43"/>
      <c r="EX59" s="43"/>
      <c r="EY59" s="43"/>
      <c r="EZ59" s="43"/>
      <c r="FA59" s="43"/>
      <c r="FB59" s="43"/>
      <c r="FC59" s="43"/>
      <c r="FD59" s="43"/>
      <c r="FE59" s="43"/>
      <c r="FF59" s="43"/>
      <c r="FG59" s="43"/>
      <c r="FH59" s="43"/>
      <c r="FI59" s="43"/>
      <c r="FJ59" s="43"/>
      <c r="FK59" s="43"/>
      <c r="FL59" s="43"/>
      <c r="FM59" s="43"/>
      <c r="FN59" s="43"/>
      <c r="FO59" s="43"/>
      <c r="FP59" s="43"/>
      <c r="FQ59" s="43"/>
      <c r="FR59" s="43"/>
      <c r="FS59" s="43"/>
      <c r="FT59" s="43"/>
      <c r="FU59" s="43"/>
      <c r="FV59" s="43"/>
      <c r="FW59" s="43"/>
      <c r="FX59" s="43"/>
      <c r="FY59" s="43"/>
      <c r="FZ59" s="43"/>
      <c r="GA59" s="43"/>
      <c r="GB59" s="43"/>
      <c r="GC59" s="43"/>
      <c r="GD59" s="43"/>
      <c r="GE59" s="43"/>
      <c r="GF59" s="43"/>
      <c r="GG59" s="43"/>
      <c r="GH59" s="43"/>
      <c r="GI59" s="43"/>
      <c r="GJ59" s="43"/>
      <c r="GK59" s="43"/>
      <c r="GL59" s="43"/>
      <c r="GM59" s="43"/>
      <c r="GN59" s="43"/>
      <c r="GO59" s="43"/>
      <c r="GP59" s="43"/>
      <c r="GQ59" s="43"/>
      <c r="GR59" s="43"/>
      <c r="GS59" s="43"/>
      <c r="GT59" s="43"/>
      <c r="GU59" s="43"/>
      <c r="GV59" s="43"/>
      <c r="GW59" s="43"/>
      <c r="GX59" s="43"/>
      <c r="GY59" s="43"/>
      <c r="GZ59" s="43"/>
      <c r="HA59" s="43"/>
      <c r="HB59" s="43"/>
      <c r="HC59" s="43"/>
      <c r="HD59" s="43"/>
      <c r="HE59" s="43"/>
      <c r="HF59" s="43"/>
      <c r="HG59" s="43"/>
      <c r="HH59" s="43"/>
      <c r="HI59" s="43"/>
      <c r="HJ59" s="43"/>
      <c r="HK59" s="43"/>
      <c r="HL59" s="43"/>
      <c r="HM59" s="43"/>
      <c r="HN59" s="43"/>
      <c r="HO59" s="43"/>
      <c r="HP59" s="43"/>
      <c r="HQ59" s="43"/>
      <c r="HR59" s="43"/>
      <c r="HS59" s="43"/>
      <c r="HT59" s="43"/>
      <c r="HU59" s="43"/>
      <c r="HV59" s="43"/>
      <c r="HW59" s="43"/>
      <c r="HX59" s="43"/>
      <c r="HY59" s="43"/>
      <c r="HZ59" s="43"/>
      <c r="IA59" s="43"/>
      <c r="IB59" s="43"/>
      <c r="IC59" s="43"/>
      <c r="ID59" s="43"/>
      <c r="IE59" s="43"/>
      <c r="IF59" s="43"/>
      <c r="IG59" s="43"/>
      <c r="IH59" s="43"/>
      <c r="II59" s="43"/>
      <c r="IJ59" s="43"/>
      <c r="IK59" s="43"/>
      <c r="IL59" s="43"/>
      <c r="IM59" s="43"/>
      <c r="IN59" s="43"/>
      <c r="IO59" s="43"/>
      <c r="IP59" s="43"/>
      <c r="IQ59" s="43"/>
      <c r="IR59" s="43"/>
      <c r="IS59" s="43"/>
      <c r="IT59" s="43"/>
      <c r="IU59" s="43"/>
      <c r="IV59" s="43"/>
      <c r="IW59" s="43"/>
      <c r="IX59" s="43"/>
      <c r="IY59" s="43"/>
      <c r="IZ59" s="43"/>
      <c r="JA59" s="43"/>
      <c r="JB59" s="43"/>
      <c r="JC59" s="43"/>
      <c r="JD59" s="43"/>
      <c r="JE59" s="43"/>
      <c r="JF59" s="43"/>
      <c r="JG59" s="43"/>
      <c r="JH59" s="43"/>
      <c r="JI59" s="43"/>
      <c r="JJ59" s="43"/>
      <c r="JK59" s="43"/>
      <c r="JL59" s="43"/>
      <c r="JM59" s="43"/>
      <c r="JN59" s="43"/>
      <c r="JO59" s="43"/>
      <c r="JP59" s="43"/>
      <c r="JQ59" s="43"/>
      <c r="JR59" s="43"/>
      <c r="JS59" s="43"/>
      <c r="JT59" s="43"/>
      <c r="JU59" s="43"/>
      <c r="JV59" s="43"/>
      <c r="JW59" s="43"/>
      <c r="JX59" s="43"/>
      <c r="JY59" s="43"/>
      <c r="JZ59" s="43"/>
      <c r="KA59" s="43"/>
      <c r="KB59" s="43"/>
      <c r="KC59" s="43"/>
      <c r="KD59" s="43"/>
      <c r="KE59" s="43"/>
      <c r="KF59" s="43"/>
      <c r="KG59" s="43"/>
      <c r="KH59" s="43"/>
      <c r="KI59" s="43"/>
      <c r="KJ59" s="43"/>
      <c r="KK59" s="43"/>
      <c r="KL59" s="43"/>
      <c r="KM59" s="43"/>
      <c r="KN59" s="43"/>
      <c r="KO59" s="43"/>
      <c r="KP59" s="43"/>
      <c r="KQ59" s="43"/>
      <c r="KR59" s="43"/>
      <c r="KS59" s="43"/>
      <c r="KT59" s="43"/>
      <c r="KU59" s="43"/>
      <c r="KV59" s="43"/>
      <c r="KW59" s="43"/>
      <c r="KX59" s="43"/>
      <c r="KY59" s="43"/>
      <c r="KZ59" s="43"/>
      <c r="LA59" s="43"/>
      <c r="LB59" s="43"/>
      <c r="LC59" s="43"/>
      <c r="LD59" s="43"/>
      <c r="LE59" s="43"/>
      <c r="LF59" s="43"/>
      <c r="LG59" s="43"/>
      <c r="LH59" s="43"/>
      <c r="LI59" s="43"/>
      <c r="LJ59" s="43"/>
      <c r="LK59" s="43"/>
      <c r="LL59" s="43"/>
      <c r="LM59" s="43"/>
      <c r="LN59" s="43"/>
      <c r="LO59" s="43"/>
      <c r="LP59" s="43"/>
      <c r="LQ59" s="43"/>
      <c r="LR59" s="43"/>
      <c r="LS59" s="43"/>
      <c r="LT59" s="43"/>
      <c r="LU59" s="43"/>
      <c r="LV59" s="43"/>
      <c r="LW59" s="43"/>
      <c r="LX59" s="43"/>
      <c r="LY59" s="43"/>
      <c r="LZ59" s="43"/>
      <c r="MA59" s="43"/>
      <c r="MB59" s="43"/>
      <c r="MC59" s="43"/>
      <c r="MD59" s="43"/>
      <c r="ME59" s="43"/>
      <c r="MF59" s="43"/>
      <c r="MG59" s="43"/>
      <c r="MH59" s="43"/>
      <c r="MI59" s="43"/>
      <c r="MJ59" s="43"/>
      <c r="MK59" s="43"/>
      <c r="ML59" s="43"/>
      <c r="MM59" s="43"/>
      <c r="MN59" s="43"/>
      <c r="MO59" s="43"/>
      <c r="MP59" s="43"/>
      <c r="MQ59" s="43"/>
      <c r="MR59" s="43"/>
      <c r="MS59" s="43"/>
      <c r="MT59" s="43"/>
      <c r="MU59" s="43"/>
      <c r="MV59" s="43"/>
      <c r="MW59" s="43"/>
      <c r="MX59" s="43"/>
      <c r="MY59" s="43"/>
      <c r="MZ59" s="43"/>
      <c r="NA59" s="43"/>
      <c r="NB59" s="43"/>
      <c r="NC59" s="43"/>
      <c r="ND59" s="43"/>
      <c r="NE59" s="43"/>
      <c r="NF59" s="43"/>
      <c r="NG59" s="43"/>
      <c r="NH59" s="43"/>
      <c r="NI59" s="43"/>
      <c r="NJ59" s="43"/>
      <c r="NK59" s="43"/>
      <c r="NL59" s="43"/>
      <c r="NM59" s="43"/>
      <c r="NN59" s="43"/>
      <c r="NO59" s="43"/>
      <c r="NP59" s="43"/>
      <c r="NQ59" s="43"/>
      <c r="NR59" s="43"/>
      <c r="NS59" s="43"/>
      <c r="NT59" s="43"/>
      <c r="NU59" s="43"/>
      <c r="NV59" s="43"/>
      <c r="NW59" s="43"/>
      <c r="NX59" s="43"/>
      <c r="NY59" s="43"/>
      <c r="NZ59" s="43"/>
      <c r="OA59" s="43"/>
      <c r="OB59" s="43"/>
      <c r="OC59" s="43"/>
      <c r="OD59" s="43"/>
      <c r="OE59" s="43"/>
      <c r="OF59" s="43"/>
      <c r="OG59" s="43"/>
      <c r="OH59" s="43"/>
      <c r="OI59" s="43"/>
      <c r="OJ59" s="43"/>
      <c r="OK59" s="43"/>
      <c r="OL59" s="43"/>
      <c r="OM59" s="43"/>
      <c r="ON59" s="43"/>
      <c r="OO59" s="43"/>
      <c r="OP59" s="43"/>
      <c r="OQ59" s="43"/>
      <c r="OR59" s="43"/>
      <c r="OS59" s="43"/>
      <c r="OT59" s="43"/>
      <c r="OU59" s="43"/>
      <c r="OV59" s="43"/>
      <c r="OW59" s="43"/>
      <c r="OX59" s="43"/>
      <c r="OY59" s="43"/>
      <c r="OZ59" s="43"/>
      <c r="PA59" s="43"/>
      <c r="PB59" s="43"/>
      <c r="PC59" s="43"/>
      <c r="PD59" s="43"/>
      <c r="PE59" s="43"/>
      <c r="PF59" s="43"/>
      <c r="PG59" s="43"/>
      <c r="PH59" s="43"/>
      <c r="PI59" s="43"/>
      <c r="PJ59" s="43"/>
      <c r="PK59" s="43"/>
      <c r="PL59" s="43"/>
      <c r="PM59" s="43"/>
      <c r="PN59" s="43"/>
      <c r="PO59" s="43"/>
      <c r="PP59" s="43"/>
      <c r="PQ59" s="43"/>
      <c r="PR59" s="43"/>
      <c r="PS59" s="43"/>
      <c r="PT59" s="43"/>
      <c r="PU59" s="43"/>
      <c r="PV59" s="43"/>
      <c r="PW59" s="43"/>
      <c r="PX59" s="43"/>
      <c r="PY59" s="43"/>
      <c r="PZ59" s="43"/>
      <c r="QA59" s="43"/>
      <c r="QB59" s="43"/>
      <c r="QC59" s="43"/>
    </row>
    <row r="60" spans="2:445" x14ac:dyDescent="0.3"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 t="str">
        <f t="shared" si="6"/>
        <v/>
      </c>
      <c r="U60" s="45" t="str">
        <f t="shared" si="7"/>
        <v/>
      </c>
      <c r="V60" s="68" t="str">
        <f t="shared" si="8"/>
        <v/>
      </c>
      <c r="W60" s="48"/>
      <c r="X60" s="66" t="str">
        <f t="shared" si="9"/>
        <v/>
      </c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43"/>
      <c r="CY60" s="43"/>
      <c r="CZ60" s="43"/>
      <c r="DA60" s="43"/>
      <c r="DB60" s="43"/>
      <c r="DC60" s="43"/>
      <c r="DD60" s="43"/>
      <c r="DE60" s="43"/>
      <c r="DF60" s="43"/>
      <c r="DG60" s="43"/>
      <c r="DH60" s="43"/>
      <c r="DI60" s="43"/>
      <c r="DJ60" s="43"/>
      <c r="DK60" s="43"/>
      <c r="DL60" s="43"/>
      <c r="DM60" s="43"/>
      <c r="DN60" s="43"/>
      <c r="DO60" s="43"/>
      <c r="DP60" s="43"/>
      <c r="DQ60" s="43"/>
      <c r="DR60" s="43"/>
      <c r="DS60" s="43"/>
      <c r="DT60" s="43"/>
      <c r="DU60" s="43"/>
      <c r="DV60" s="43"/>
      <c r="DW60" s="43"/>
      <c r="DX60" s="43"/>
      <c r="DY60" s="43"/>
      <c r="DZ60" s="43"/>
      <c r="EA60" s="43"/>
      <c r="EB60" s="43"/>
      <c r="EC60" s="43"/>
      <c r="ED60" s="43"/>
      <c r="EE60" s="43"/>
      <c r="EF60" s="43"/>
      <c r="EG60" s="43"/>
      <c r="EH60" s="43"/>
      <c r="EI60" s="43"/>
      <c r="EJ60" s="43"/>
      <c r="EK60" s="43"/>
      <c r="EL60" s="43"/>
      <c r="EM60" s="43"/>
      <c r="EN60" s="43"/>
      <c r="EO60" s="43"/>
      <c r="EP60" s="43"/>
      <c r="EQ60" s="43"/>
      <c r="ER60" s="43"/>
      <c r="ES60" s="43"/>
      <c r="ET60" s="43"/>
      <c r="EU60" s="43"/>
      <c r="EV60" s="43"/>
      <c r="EW60" s="43"/>
      <c r="EX60" s="43"/>
      <c r="EY60" s="43"/>
      <c r="EZ60" s="43"/>
      <c r="FA60" s="43"/>
      <c r="FB60" s="43"/>
      <c r="FC60" s="43"/>
      <c r="FD60" s="43"/>
      <c r="FE60" s="43"/>
      <c r="FF60" s="43"/>
      <c r="FG60" s="43"/>
      <c r="FH60" s="43"/>
      <c r="FI60" s="43"/>
      <c r="FJ60" s="43"/>
      <c r="FK60" s="43"/>
      <c r="FL60" s="43"/>
      <c r="FM60" s="43"/>
      <c r="FN60" s="43"/>
      <c r="FO60" s="43"/>
      <c r="FP60" s="43"/>
      <c r="FQ60" s="43"/>
      <c r="FR60" s="43"/>
      <c r="FS60" s="43"/>
      <c r="FT60" s="43"/>
      <c r="FU60" s="43"/>
      <c r="FV60" s="43"/>
      <c r="FW60" s="43"/>
      <c r="FX60" s="43"/>
      <c r="FY60" s="43"/>
      <c r="FZ60" s="43"/>
      <c r="GA60" s="43"/>
      <c r="GB60" s="43"/>
      <c r="GC60" s="43"/>
      <c r="GD60" s="43"/>
      <c r="GE60" s="43"/>
      <c r="GF60" s="43"/>
      <c r="GG60" s="43"/>
      <c r="GH60" s="43"/>
      <c r="GI60" s="43"/>
      <c r="GJ60" s="43"/>
      <c r="GK60" s="43"/>
      <c r="GL60" s="43"/>
      <c r="GM60" s="43"/>
      <c r="GN60" s="43"/>
      <c r="GO60" s="43"/>
      <c r="GP60" s="43"/>
      <c r="GQ60" s="43"/>
      <c r="GR60" s="43"/>
      <c r="GS60" s="43"/>
      <c r="GT60" s="43"/>
      <c r="GU60" s="43"/>
      <c r="GV60" s="43"/>
      <c r="GW60" s="43"/>
      <c r="GX60" s="43"/>
      <c r="GY60" s="43"/>
      <c r="GZ60" s="43"/>
      <c r="HA60" s="43"/>
      <c r="HB60" s="43"/>
      <c r="HC60" s="43"/>
      <c r="HD60" s="43"/>
      <c r="HE60" s="43"/>
      <c r="HF60" s="43"/>
      <c r="HG60" s="43"/>
      <c r="HH60" s="43"/>
      <c r="HI60" s="43"/>
      <c r="HJ60" s="43"/>
      <c r="HK60" s="43"/>
      <c r="HL60" s="43"/>
      <c r="HM60" s="43"/>
      <c r="HN60" s="43"/>
      <c r="HO60" s="43"/>
      <c r="HP60" s="43"/>
      <c r="HQ60" s="43"/>
      <c r="HR60" s="43"/>
      <c r="HS60" s="43"/>
      <c r="HT60" s="43"/>
      <c r="HU60" s="43"/>
      <c r="HV60" s="43"/>
      <c r="HW60" s="43"/>
      <c r="HX60" s="43"/>
      <c r="HY60" s="43"/>
      <c r="HZ60" s="43"/>
      <c r="IA60" s="43"/>
      <c r="IB60" s="43"/>
      <c r="IC60" s="43"/>
      <c r="ID60" s="43"/>
      <c r="IE60" s="43"/>
      <c r="IF60" s="43"/>
      <c r="IG60" s="43"/>
      <c r="IH60" s="43"/>
      <c r="II60" s="43"/>
      <c r="IJ60" s="43"/>
      <c r="IK60" s="43"/>
      <c r="IL60" s="43"/>
      <c r="IM60" s="43"/>
      <c r="IN60" s="43"/>
      <c r="IO60" s="43"/>
      <c r="IP60" s="43"/>
      <c r="IQ60" s="43"/>
      <c r="IR60" s="43"/>
      <c r="IS60" s="43"/>
      <c r="IT60" s="43"/>
      <c r="IU60" s="43"/>
      <c r="IV60" s="43"/>
      <c r="IW60" s="43"/>
      <c r="IX60" s="43"/>
      <c r="IY60" s="43"/>
      <c r="IZ60" s="43"/>
      <c r="JA60" s="43"/>
      <c r="JB60" s="43"/>
      <c r="JC60" s="43"/>
      <c r="JD60" s="43"/>
      <c r="JE60" s="43"/>
      <c r="JF60" s="43"/>
      <c r="JG60" s="43"/>
      <c r="JH60" s="43"/>
      <c r="JI60" s="43"/>
      <c r="JJ60" s="43"/>
      <c r="JK60" s="43"/>
      <c r="JL60" s="43"/>
      <c r="JM60" s="43"/>
      <c r="JN60" s="43"/>
      <c r="JO60" s="43"/>
      <c r="JP60" s="43"/>
      <c r="JQ60" s="43"/>
      <c r="JR60" s="43"/>
      <c r="JS60" s="43"/>
      <c r="JT60" s="43"/>
      <c r="JU60" s="43"/>
      <c r="JV60" s="43"/>
      <c r="JW60" s="43"/>
      <c r="JX60" s="43"/>
      <c r="JY60" s="43"/>
      <c r="JZ60" s="43"/>
      <c r="KA60" s="43"/>
      <c r="KB60" s="43"/>
      <c r="KC60" s="43"/>
      <c r="KD60" s="43"/>
      <c r="KE60" s="43"/>
      <c r="KF60" s="43"/>
      <c r="KG60" s="43"/>
      <c r="KH60" s="43"/>
      <c r="KI60" s="43"/>
      <c r="KJ60" s="43"/>
      <c r="KK60" s="43"/>
      <c r="KL60" s="43"/>
      <c r="KM60" s="43"/>
      <c r="KN60" s="43"/>
      <c r="KO60" s="43"/>
      <c r="KP60" s="43"/>
      <c r="KQ60" s="43"/>
      <c r="KR60" s="43"/>
      <c r="KS60" s="43"/>
      <c r="KT60" s="43"/>
      <c r="KU60" s="43"/>
      <c r="KV60" s="43"/>
      <c r="KW60" s="43"/>
      <c r="KX60" s="43"/>
      <c r="KY60" s="43"/>
      <c r="KZ60" s="43"/>
      <c r="LA60" s="43"/>
      <c r="LB60" s="43"/>
      <c r="LC60" s="43"/>
      <c r="LD60" s="43"/>
      <c r="LE60" s="43"/>
      <c r="LF60" s="43"/>
      <c r="LG60" s="43"/>
      <c r="LH60" s="43"/>
      <c r="LI60" s="43"/>
      <c r="LJ60" s="43"/>
      <c r="LK60" s="43"/>
      <c r="LL60" s="43"/>
      <c r="LM60" s="43"/>
      <c r="LN60" s="43"/>
      <c r="LO60" s="43"/>
      <c r="LP60" s="43"/>
      <c r="LQ60" s="43"/>
      <c r="LR60" s="43"/>
      <c r="LS60" s="43"/>
      <c r="LT60" s="43"/>
      <c r="LU60" s="43"/>
      <c r="LV60" s="43"/>
      <c r="LW60" s="43"/>
      <c r="LX60" s="43"/>
      <c r="LY60" s="43"/>
      <c r="LZ60" s="43"/>
      <c r="MA60" s="43"/>
      <c r="MB60" s="43"/>
      <c r="MC60" s="43"/>
      <c r="MD60" s="43"/>
      <c r="ME60" s="43"/>
      <c r="MF60" s="43"/>
      <c r="MG60" s="43"/>
      <c r="MH60" s="43"/>
      <c r="MI60" s="43"/>
      <c r="MJ60" s="43"/>
      <c r="MK60" s="43"/>
      <c r="ML60" s="43"/>
      <c r="MM60" s="43"/>
      <c r="MN60" s="43"/>
      <c r="MO60" s="43"/>
      <c r="MP60" s="43"/>
      <c r="MQ60" s="43"/>
      <c r="MR60" s="43"/>
      <c r="MS60" s="43"/>
      <c r="MT60" s="43"/>
      <c r="MU60" s="43"/>
      <c r="MV60" s="43"/>
      <c r="MW60" s="43"/>
      <c r="MX60" s="43"/>
      <c r="MY60" s="43"/>
      <c r="MZ60" s="43"/>
      <c r="NA60" s="43"/>
      <c r="NB60" s="43"/>
      <c r="NC60" s="43"/>
      <c r="ND60" s="43"/>
      <c r="NE60" s="43"/>
      <c r="NF60" s="43"/>
      <c r="NG60" s="43"/>
      <c r="NH60" s="43"/>
      <c r="NI60" s="43"/>
      <c r="NJ60" s="43"/>
      <c r="NK60" s="43"/>
      <c r="NL60" s="43"/>
      <c r="NM60" s="43"/>
      <c r="NN60" s="43"/>
      <c r="NO60" s="43"/>
      <c r="NP60" s="43"/>
      <c r="NQ60" s="43"/>
      <c r="NR60" s="43"/>
      <c r="NS60" s="43"/>
      <c r="NT60" s="43"/>
      <c r="NU60" s="43"/>
      <c r="NV60" s="43"/>
      <c r="NW60" s="43"/>
      <c r="NX60" s="43"/>
      <c r="NY60" s="43"/>
      <c r="NZ60" s="43"/>
      <c r="OA60" s="43"/>
      <c r="OB60" s="43"/>
      <c r="OC60" s="43"/>
      <c r="OD60" s="43"/>
      <c r="OE60" s="43"/>
      <c r="OF60" s="43"/>
      <c r="OG60" s="43"/>
      <c r="OH60" s="43"/>
      <c r="OI60" s="43"/>
      <c r="OJ60" s="43"/>
      <c r="OK60" s="43"/>
      <c r="OL60" s="43"/>
      <c r="OM60" s="43"/>
      <c r="ON60" s="43"/>
      <c r="OO60" s="43"/>
      <c r="OP60" s="43"/>
      <c r="OQ60" s="43"/>
      <c r="OR60" s="43"/>
      <c r="OS60" s="43"/>
      <c r="OT60" s="43"/>
      <c r="OU60" s="43"/>
      <c r="OV60" s="43"/>
      <c r="OW60" s="43"/>
      <c r="OX60" s="43"/>
      <c r="OY60" s="43"/>
      <c r="OZ60" s="43"/>
      <c r="PA60" s="43"/>
      <c r="PB60" s="43"/>
      <c r="PC60" s="43"/>
      <c r="PD60" s="43"/>
      <c r="PE60" s="43"/>
      <c r="PF60" s="43"/>
      <c r="PG60" s="43"/>
      <c r="PH60" s="43"/>
      <c r="PI60" s="43"/>
      <c r="PJ60" s="43"/>
      <c r="PK60" s="43"/>
      <c r="PL60" s="43"/>
      <c r="PM60" s="43"/>
      <c r="PN60" s="43"/>
      <c r="PO60" s="43"/>
      <c r="PP60" s="43"/>
      <c r="PQ60" s="43"/>
      <c r="PR60" s="43"/>
      <c r="PS60" s="43"/>
      <c r="PT60" s="43"/>
      <c r="PU60" s="43"/>
      <c r="PV60" s="43"/>
      <c r="PW60" s="43"/>
      <c r="PX60" s="43"/>
      <c r="PY60" s="43"/>
      <c r="PZ60" s="43"/>
      <c r="QA60" s="43"/>
      <c r="QB60" s="43"/>
      <c r="QC60" s="43"/>
    </row>
    <row r="61" spans="2:445" x14ac:dyDescent="0.3"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 t="str">
        <f t="shared" si="6"/>
        <v/>
      </c>
      <c r="U61" s="45" t="str">
        <f t="shared" si="7"/>
        <v/>
      </c>
      <c r="V61" s="68" t="str">
        <f t="shared" si="8"/>
        <v/>
      </c>
      <c r="X61" s="66" t="str">
        <f t="shared" si="9"/>
        <v/>
      </c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43"/>
      <c r="CY61" s="43"/>
      <c r="CZ61" s="43"/>
      <c r="DA61" s="43"/>
      <c r="DB61" s="43"/>
      <c r="DC61" s="43"/>
      <c r="DD61" s="43"/>
      <c r="DE61" s="43"/>
      <c r="DF61" s="43"/>
      <c r="DG61" s="43"/>
      <c r="DH61" s="43"/>
      <c r="DI61" s="43"/>
      <c r="DJ61" s="43"/>
      <c r="DK61" s="43"/>
      <c r="DL61" s="43"/>
      <c r="DM61" s="43"/>
      <c r="DN61" s="43"/>
      <c r="DO61" s="43"/>
      <c r="DP61" s="43"/>
      <c r="DQ61" s="43"/>
      <c r="DR61" s="43"/>
      <c r="DS61" s="43"/>
      <c r="DT61" s="43"/>
      <c r="DU61" s="43"/>
      <c r="DV61" s="43"/>
      <c r="DW61" s="43"/>
      <c r="DX61" s="43"/>
      <c r="DY61" s="43"/>
      <c r="DZ61" s="43"/>
      <c r="EA61" s="43"/>
      <c r="EB61" s="43"/>
      <c r="EC61" s="43"/>
      <c r="ED61" s="43"/>
      <c r="EE61" s="43"/>
      <c r="EF61" s="43"/>
      <c r="EG61" s="43"/>
      <c r="EH61" s="43"/>
      <c r="EI61" s="43"/>
      <c r="EJ61" s="43"/>
      <c r="EK61" s="43"/>
      <c r="EL61" s="43"/>
      <c r="EM61" s="43"/>
      <c r="EN61" s="43"/>
      <c r="EO61" s="43"/>
      <c r="EP61" s="43"/>
      <c r="EQ61" s="43"/>
      <c r="ER61" s="43"/>
      <c r="ES61" s="43"/>
      <c r="ET61" s="43"/>
      <c r="EU61" s="43"/>
      <c r="EV61" s="43"/>
      <c r="EW61" s="43"/>
      <c r="EX61" s="43"/>
      <c r="EY61" s="43"/>
      <c r="EZ61" s="43"/>
      <c r="FA61" s="43"/>
      <c r="FB61" s="43"/>
      <c r="FC61" s="43"/>
      <c r="FD61" s="43"/>
      <c r="FE61" s="43"/>
      <c r="FF61" s="43"/>
      <c r="FG61" s="43"/>
      <c r="FH61" s="43"/>
      <c r="FI61" s="43"/>
      <c r="FJ61" s="43"/>
      <c r="FK61" s="43"/>
      <c r="FL61" s="43"/>
      <c r="FM61" s="43"/>
      <c r="FN61" s="43"/>
      <c r="FO61" s="43"/>
      <c r="FP61" s="43"/>
      <c r="FQ61" s="43"/>
      <c r="FR61" s="43"/>
      <c r="FS61" s="43"/>
      <c r="FT61" s="43"/>
      <c r="FU61" s="43"/>
      <c r="FV61" s="43"/>
      <c r="FW61" s="43"/>
      <c r="FX61" s="43"/>
      <c r="FY61" s="43"/>
      <c r="FZ61" s="43"/>
      <c r="GA61" s="43"/>
      <c r="GB61" s="43"/>
      <c r="GC61" s="43"/>
      <c r="GD61" s="43"/>
      <c r="GE61" s="43"/>
      <c r="GF61" s="43"/>
      <c r="GG61" s="43"/>
      <c r="GH61" s="43"/>
      <c r="GI61" s="43"/>
      <c r="GJ61" s="43"/>
      <c r="GK61" s="43"/>
      <c r="GL61" s="43"/>
      <c r="GM61" s="43"/>
      <c r="GN61" s="43"/>
      <c r="GO61" s="43"/>
      <c r="GP61" s="43"/>
      <c r="GQ61" s="43"/>
      <c r="GR61" s="43"/>
      <c r="GS61" s="43"/>
      <c r="GT61" s="43"/>
      <c r="GU61" s="43"/>
      <c r="GV61" s="43"/>
      <c r="GW61" s="43"/>
      <c r="GX61" s="43"/>
      <c r="GY61" s="43"/>
      <c r="GZ61" s="43"/>
      <c r="HA61" s="43"/>
      <c r="HB61" s="43"/>
      <c r="HC61" s="43"/>
      <c r="HD61" s="43"/>
      <c r="HE61" s="43"/>
      <c r="HF61" s="43"/>
      <c r="HG61" s="43"/>
      <c r="HH61" s="43"/>
      <c r="HI61" s="43"/>
      <c r="HJ61" s="43"/>
      <c r="HK61" s="43"/>
      <c r="HL61" s="43"/>
      <c r="HM61" s="43"/>
      <c r="HN61" s="43"/>
      <c r="HO61" s="43"/>
      <c r="HP61" s="43"/>
      <c r="HQ61" s="43"/>
      <c r="HR61" s="43"/>
      <c r="HS61" s="43"/>
      <c r="HT61" s="43"/>
      <c r="HU61" s="43"/>
      <c r="HV61" s="43"/>
      <c r="HW61" s="43"/>
      <c r="HX61" s="43"/>
      <c r="HY61" s="43"/>
      <c r="HZ61" s="43"/>
      <c r="IA61" s="43"/>
      <c r="IB61" s="43"/>
      <c r="IC61" s="43"/>
      <c r="ID61" s="43"/>
      <c r="IE61" s="43"/>
      <c r="IF61" s="43"/>
      <c r="IG61" s="43"/>
      <c r="IH61" s="43"/>
      <c r="II61" s="43"/>
      <c r="IJ61" s="43"/>
      <c r="IK61" s="43"/>
      <c r="IL61" s="43"/>
      <c r="IM61" s="43"/>
      <c r="IN61" s="43"/>
      <c r="IO61" s="43"/>
      <c r="IP61" s="43"/>
      <c r="IQ61" s="43"/>
      <c r="IR61" s="43"/>
      <c r="IS61" s="43"/>
      <c r="IT61" s="43"/>
      <c r="IU61" s="43"/>
      <c r="IV61" s="43"/>
      <c r="IW61" s="43"/>
      <c r="IX61" s="43"/>
      <c r="IY61" s="43"/>
      <c r="IZ61" s="43"/>
      <c r="JA61" s="43"/>
      <c r="JB61" s="43"/>
      <c r="JC61" s="43"/>
      <c r="JD61" s="43"/>
      <c r="JE61" s="43"/>
      <c r="JF61" s="43"/>
      <c r="JG61" s="43"/>
      <c r="JH61" s="43"/>
      <c r="JI61" s="43"/>
      <c r="JJ61" s="43"/>
      <c r="JK61" s="43"/>
      <c r="JL61" s="43"/>
      <c r="JM61" s="43"/>
      <c r="JN61" s="43"/>
      <c r="JO61" s="43"/>
      <c r="JP61" s="43"/>
      <c r="JQ61" s="43"/>
      <c r="JR61" s="43"/>
      <c r="JS61" s="43"/>
      <c r="JT61" s="43"/>
      <c r="JU61" s="43"/>
      <c r="JV61" s="43"/>
      <c r="JW61" s="43"/>
      <c r="JX61" s="43"/>
      <c r="JY61" s="43"/>
      <c r="JZ61" s="43"/>
      <c r="KA61" s="43"/>
      <c r="KB61" s="43"/>
      <c r="KC61" s="43"/>
      <c r="KD61" s="43"/>
      <c r="KE61" s="43"/>
      <c r="KF61" s="43"/>
      <c r="KG61" s="43"/>
      <c r="KH61" s="43"/>
      <c r="KI61" s="43"/>
      <c r="KJ61" s="43"/>
      <c r="KK61" s="43"/>
      <c r="KL61" s="43"/>
      <c r="KM61" s="43"/>
      <c r="KN61" s="43"/>
      <c r="KO61" s="43"/>
      <c r="KP61" s="43"/>
      <c r="KQ61" s="43"/>
      <c r="KR61" s="43"/>
      <c r="KS61" s="43"/>
      <c r="KT61" s="43"/>
      <c r="KU61" s="43"/>
      <c r="KV61" s="43"/>
      <c r="KW61" s="43"/>
      <c r="KX61" s="43"/>
      <c r="KY61" s="43"/>
      <c r="KZ61" s="43"/>
      <c r="LA61" s="43"/>
      <c r="LB61" s="43"/>
      <c r="LC61" s="43"/>
      <c r="LD61" s="43"/>
      <c r="LE61" s="43"/>
      <c r="LF61" s="43"/>
      <c r="LG61" s="43"/>
      <c r="LH61" s="43"/>
      <c r="LI61" s="43"/>
      <c r="LJ61" s="43"/>
      <c r="LK61" s="43"/>
      <c r="LL61" s="43"/>
      <c r="LM61" s="43"/>
      <c r="LN61" s="43"/>
      <c r="LO61" s="43"/>
      <c r="LP61" s="43"/>
      <c r="LQ61" s="43"/>
      <c r="LR61" s="43"/>
      <c r="LS61" s="43"/>
      <c r="LT61" s="43"/>
      <c r="LU61" s="43"/>
      <c r="LV61" s="43"/>
      <c r="LW61" s="43"/>
      <c r="LX61" s="43"/>
      <c r="LY61" s="43"/>
      <c r="LZ61" s="43"/>
      <c r="MA61" s="43"/>
      <c r="MB61" s="43"/>
      <c r="MC61" s="43"/>
      <c r="MD61" s="43"/>
      <c r="ME61" s="43"/>
      <c r="MF61" s="43"/>
      <c r="MG61" s="43"/>
      <c r="MH61" s="43"/>
      <c r="MI61" s="43"/>
      <c r="MJ61" s="43"/>
      <c r="MK61" s="43"/>
      <c r="ML61" s="43"/>
      <c r="MM61" s="43"/>
      <c r="MN61" s="43"/>
      <c r="MO61" s="43"/>
      <c r="MP61" s="43"/>
      <c r="MQ61" s="43"/>
      <c r="MR61" s="43"/>
      <c r="MS61" s="43"/>
      <c r="MT61" s="43"/>
      <c r="MU61" s="43"/>
      <c r="MV61" s="43"/>
      <c r="MW61" s="43"/>
      <c r="MX61" s="43"/>
      <c r="MY61" s="43"/>
      <c r="MZ61" s="43"/>
      <c r="NA61" s="43"/>
      <c r="NB61" s="43"/>
      <c r="NC61" s="43"/>
      <c r="ND61" s="43"/>
      <c r="NE61" s="43"/>
      <c r="NF61" s="43"/>
      <c r="NG61" s="43"/>
      <c r="NH61" s="43"/>
      <c r="NI61" s="43"/>
      <c r="NJ61" s="43"/>
      <c r="NK61" s="43"/>
      <c r="NL61" s="43"/>
      <c r="NM61" s="43"/>
      <c r="NN61" s="43"/>
      <c r="NO61" s="43"/>
      <c r="NP61" s="43"/>
      <c r="NQ61" s="43"/>
      <c r="NR61" s="43"/>
      <c r="NS61" s="43"/>
      <c r="NT61" s="43"/>
      <c r="NU61" s="43"/>
      <c r="NV61" s="43"/>
      <c r="NW61" s="43"/>
      <c r="NX61" s="43"/>
      <c r="NY61" s="43"/>
      <c r="NZ61" s="43"/>
      <c r="OA61" s="43"/>
      <c r="OB61" s="43"/>
      <c r="OC61" s="43"/>
      <c r="OD61" s="43"/>
      <c r="OE61" s="43"/>
      <c r="OF61" s="43"/>
      <c r="OG61" s="43"/>
      <c r="OH61" s="43"/>
      <c r="OI61" s="43"/>
      <c r="OJ61" s="43"/>
      <c r="OK61" s="43"/>
      <c r="OL61" s="43"/>
      <c r="OM61" s="43"/>
      <c r="ON61" s="43"/>
      <c r="OO61" s="43"/>
      <c r="OP61" s="43"/>
      <c r="OQ61" s="43"/>
      <c r="OR61" s="43"/>
      <c r="OS61" s="43"/>
      <c r="OT61" s="43"/>
      <c r="OU61" s="43"/>
      <c r="OV61" s="43"/>
      <c r="OW61" s="43"/>
      <c r="OX61" s="43"/>
      <c r="OY61" s="43"/>
      <c r="OZ61" s="43"/>
      <c r="PA61" s="43"/>
      <c r="PB61" s="43"/>
      <c r="PC61" s="43"/>
      <c r="PD61" s="43"/>
      <c r="PE61" s="43"/>
      <c r="PF61" s="43"/>
      <c r="PG61" s="43"/>
      <c r="PH61" s="43"/>
      <c r="PI61" s="43"/>
      <c r="PJ61" s="43"/>
      <c r="PK61" s="43"/>
      <c r="PL61" s="43"/>
      <c r="PM61" s="43"/>
      <c r="PN61" s="43"/>
      <c r="PO61" s="43"/>
      <c r="PP61" s="43"/>
      <c r="PQ61" s="43"/>
      <c r="PR61" s="43"/>
      <c r="PS61" s="43"/>
      <c r="PT61" s="43"/>
      <c r="PU61" s="43"/>
      <c r="PV61" s="43"/>
      <c r="PW61" s="43"/>
      <c r="PX61" s="43"/>
      <c r="PY61" s="43"/>
      <c r="PZ61" s="43"/>
      <c r="QA61" s="43"/>
      <c r="QB61" s="43"/>
      <c r="QC61" s="43"/>
    </row>
    <row r="62" spans="2:445" x14ac:dyDescent="0.3"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 t="str">
        <f t="shared" si="6"/>
        <v/>
      </c>
      <c r="U62" s="45" t="str">
        <f t="shared" si="7"/>
        <v/>
      </c>
      <c r="V62" s="68" t="str">
        <f t="shared" si="8"/>
        <v/>
      </c>
      <c r="X62" s="66" t="str">
        <f t="shared" si="9"/>
        <v/>
      </c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43"/>
      <c r="CY62" s="43"/>
      <c r="CZ62" s="43"/>
      <c r="DA62" s="43"/>
      <c r="DB62" s="43"/>
      <c r="DC62" s="43"/>
      <c r="DD62" s="43"/>
      <c r="DE62" s="43"/>
      <c r="DF62" s="43"/>
      <c r="DG62" s="43"/>
      <c r="DH62" s="43"/>
      <c r="DI62" s="43"/>
      <c r="DJ62" s="43"/>
      <c r="DK62" s="43"/>
      <c r="DL62" s="43"/>
      <c r="DM62" s="43"/>
      <c r="DN62" s="43"/>
      <c r="DO62" s="43"/>
      <c r="DP62" s="43"/>
      <c r="DQ62" s="43"/>
      <c r="DR62" s="43"/>
      <c r="DS62" s="43"/>
      <c r="DT62" s="43"/>
      <c r="DU62" s="43"/>
      <c r="DV62" s="43"/>
      <c r="DW62" s="43"/>
      <c r="DX62" s="43"/>
      <c r="DY62" s="43"/>
      <c r="DZ62" s="43"/>
      <c r="EA62" s="43"/>
      <c r="EB62" s="43"/>
      <c r="EC62" s="43"/>
      <c r="ED62" s="43"/>
      <c r="EE62" s="43"/>
      <c r="EF62" s="43"/>
      <c r="EG62" s="43"/>
      <c r="EH62" s="43"/>
      <c r="EI62" s="43"/>
      <c r="EJ62" s="43"/>
      <c r="EK62" s="43"/>
      <c r="EL62" s="43"/>
      <c r="EM62" s="43"/>
      <c r="EN62" s="43"/>
      <c r="EO62" s="43"/>
      <c r="EP62" s="43"/>
      <c r="EQ62" s="43"/>
      <c r="ER62" s="43"/>
      <c r="ES62" s="43"/>
      <c r="ET62" s="43"/>
      <c r="EU62" s="43"/>
      <c r="EV62" s="43"/>
      <c r="EW62" s="43"/>
      <c r="EX62" s="43"/>
      <c r="EY62" s="43"/>
      <c r="EZ62" s="43"/>
      <c r="FA62" s="43"/>
      <c r="FB62" s="43"/>
      <c r="FC62" s="43"/>
      <c r="FD62" s="43"/>
      <c r="FE62" s="43"/>
      <c r="FF62" s="43"/>
      <c r="FG62" s="43"/>
      <c r="FH62" s="43"/>
      <c r="FI62" s="43"/>
      <c r="FJ62" s="43"/>
      <c r="FK62" s="43"/>
      <c r="FL62" s="43"/>
      <c r="FM62" s="43"/>
      <c r="FN62" s="43"/>
      <c r="FO62" s="43"/>
      <c r="FP62" s="43"/>
      <c r="FQ62" s="43"/>
      <c r="FR62" s="43"/>
      <c r="FS62" s="43"/>
      <c r="FT62" s="43"/>
      <c r="FU62" s="43"/>
      <c r="FV62" s="43"/>
      <c r="FW62" s="43"/>
      <c r="FX62" s="43"/>
      <c r="FY62" s="43"/>
      <c r="FZ62" s="43"/>
      <c r="GA62" s="43"/>
      <c r="GB62" s="43"/>
      <c r="GC62" s="43"/>
      <c r="GD62" s="43"/>
      <c r="GE62" s="43"/>
      <c r="GF62" s="43"/>
      <c r="GG62" s="43"/>
      <c r="GH62" s="43"/>
      <c r="GI62" s="43"/>
      <c r="GJ62" s="43"/>
      <c r="GK62" s="43"/>
      <c r="GL62" s="43"/>
      <c r="GM62" s="43"/>
      <c r="GN62" s="43"/>
      <c r="GO62" s="43"/>
      <c r="GP62" s="43"/>
      <c r="GQ62" s="43"/>
      <c r="GR62" s="43"/>
      <c r="GS62" s="43"/>
      <c r="GT62" s="43"/>
      <c r="GU62" s="43"/>
      <c r="GV62" s="43"/>
      <c r="GW62" s="43"/>
      <c r="GX62" s="43"/>
      <c r="GY62" s="43"/>
      <c r="GZ62" s="43"/>
      <c r="HA62" s="43"/>
      <c r="HB62" s="43"/>
      <c r="HC62" s="43"/>
      <c r="HD62" s="43"/>
      <c r="HE62" s="43"/>
      <c r="HF62" s="43"/>
      <c r="HG62" s="43"/>
      <c r="HH62" s="43"/>
      <c r="HI62" s="43"/>
      <c r="HJ62" s="43"/>
      <c r="HK62" s="43"/>
      <c r="HL62" s="43"/>
      <c r="HM62" s="43"/>
      <c r="HN62" s="43"/>
      <c r="HO62" s="43"/>
      <c r="HP62" s="43"/>
      <c r="HQ62" s="43"/>
      <c r="HR62" s="43"/>
      <c r="HS62" s="43"/>
      <c r="HT62" s="43"/>
      <c r="HU62" s="43"/>
      <c r="HV62" s="43"/>
      <c r="HW62" s="43"/>
      <c r="HX62" s="43"/>
      <c r="HY62" s="43"/>
      <c r="HZ62" s="43"/>
      <c r="IA62" s="43"/>
      <c r="IB62" s="43"/>
      <c r="IC62" s="43"/>
      <c r="ID62" s="43"/>
      <c r="IE62" s="43"/>
      <c r="IF62" s="43"/>
      <c r="IG62" s="43"/>
      <c r="IH62" s="43"/>
      <c r="II62" s="43"/>
      <c r="IJ62" s="43"/>
      <c r="IK62" s="43"/>
      <c r="IL62" s="43"/>
      <c r="IM62" s="43"/>
      <c r="IN62" s="43"/>
      <c r="IO62" s="43"/>
      <c r="IP62" s="43"/>
      <c r="IQ62" s="43"/>
      <c r="IR62" s="43"/>
      <c r="IS62" s="43"/>
      <c r="IT62" s="43"/>
      <c r="IU62" s="43"/>
      <c r="IV62" s="43"/>
      <c r="IW62" s="43"/>
      <c r="IX62" s="43"/>
      <c r="IY62" s="43"/>
      <c r="IZ62" s="43"/>
      <c r="JA62" s="43"/>
      <c r="JB62" s="43"/>
      <c r="JC62" s="43"/>
      <c r="JD62" s="43"/>
      <c r="JE62" s="43"/>
      <c r="JF62" s="43"/>
      <c r="JG62" s="43"/>
      <c r="JH62" s="43"/>
      <c r="JI62" s="43"/>
      <c r="JJ62" s="43"/>
      <c r="JK62" s="43"/>
      <c r="JL62" s="43"/>
      <c r="JM62" s="43"/>
      <c r="JN62" s="43"/>
      <c r="JO62" s="43"/>
      <c r="JP62" s="43"/>
      <c r="JQ62" s="43"/>
      <c r="JR62" s="43"/>
      <c r="JS62" s="43"/>
      <c r="JT62" s="43"/>
      <c r="JU62" s="43"/>
      <c r="JV62" s="43"/>
      <c r="JW62" s="43"/>
      <c r="JX62" s="43"/>
      <c r="JY62" s="43"/>
      <c r="JZ62" s="43"/>
      <c r="KA62" s="43"/>
      <c r="KB62" s="43"/>
      <c r="KC62" s="43"/>
      <c r="KD62" s="43"/>
      <c r="KE62" s="43"/>
      <c r="KF62" s="43"/>
      <c r="KG62" s="43"/>
      <c r="KH62" s="43"/>
      <c r="KI62" s="43"/>
      <c r="KJ62" s="43"/>
      <c r="KK62" s="43"/>
      <c r="KL62" s="43"/>
      <c r="KM62" s="43"/>
      <c r="KN62" s="43"/>
      <c r="KO62" s="43"/>
      <c r="KP62" s="43"/>
      <c r="KQ62" s="43"/>
      <c r="KR62" s="43"/>
      <c r="KS62" s="43"/>
      <c r="KT62" s="43"/>
      <c r="KU62" s="43"/>
      <c r="KV62" s="43"/>
      <c r="KW62" s="43"/>
      <c r="KX62" s="43"/>
      <c r="KY62" s="43"/>
      <c r="KZ62" s="43"/>
      <c r="LA62" s="43"/>
      <c r="LB62" s="43"/>
      <c r="LC62" s="43"/>
      <c r="LD62" s="43"/>
      <c r="LE62" s="43"/>
      <c r="LF62" s="43"/>
      <c r="LG62" s="43"/>
      <c r="LH62" s="43"/>
      <c r="LI62" s="43"/>
      <c r="LJ62" s="43"/>
      <c r="LK62" s="43"/>
      <c r="LL62" s="43"/>
      <c r="LM62" s="43"/>
      <c r="LN62" s="43"/>
      <c r="LO62" s="43"/>
      <c r="LP62" s="43"/>
      <c r="LQ62" s="43"/>
      <c r="LR62" s="43"/>
      <c r="LS62" s="43"/>
      <c r="LT62" s="43"/>
      <c r="LU62" s="43"/>
      <c r="LV62" s="43"/>
      <c r="LW62" s="43"/>
      <c r="LX62" s="43"/>
      <c r="LY62" s="43"/>
      <c r="LZ62" s="43"/>
      <c r="MA62" s="43"/>
      <c r="MB62" s="43"/>
      <c r="MC62" s="43"/>
      <c r="MD62" s="43"/>
      <c r="ME62" s="43"/>
      <c r="MF62" s="43"/>
      <c r="MG62" s="43"/>
      <c r="MH62" s="43"/>
      <c r="MI62" s="43"/>
      <c r="MJ62" s="43"/>
      <c r="MK62" s="43"/>
      <c r="ML62" s="43"/>
      <c r="MM62" s="43"/>
      <c r="MN62" s="43"/>
      <c r="MO62" s="43"/>
      <c r="MP62" s="43"/>
      <c r="MQ62" s="43"/>
      <c r="MR62" s="43"/>
      <c r="MS62" s="43"/>
      <c r="MT62" s="43"/>
      <c r="MU62" s="43"/>
      <c r="MV62" s="43"/>
      <c r="MW62" s="43"/>
      <c r="MX62" s="43"/>
      <c r="MY62" s="43"/>
      <c r="MZ62" s="43"/>
      <c r="NA62" s="43"/>
      <c r="NB62" s="43"/>
      <c r="NC62" s="43"/>
      <c r="ND62" s="43"/>
      <c r="NE62" s="43"/>
      <c r="NF62" s="43"/>
      <c r="NG62" s="43"/>
      <c r="NH62" s="43"/>
      <c r="NI62" s="43"/>
      <c r="NJ62" s="43"/>
      <c r="NK62" s="43"/>
      <c r="NL62" s="43"/>
      <c r="NM62" s="43"/>
      <c r="NN62" s="43"/>
      <c r="NO62" s="43"/>
      <c r="NP62" s="43"/>
      <c r="NQ62" s="43"/>
      <c r="NR62" s="43"/>
      <c r="NS62" s="43"/>
      <c r="NT62" s="43"/>
      <c r="NU62" s="43"/>
      <c r="NV62" s="43"/>
      <c r="NW62" s="43"/>
      <c r="NX62" s="43"/>
      <c r="NY62" s="43"/>
      <c r="NZ62" s="43"/>
      <c r="OA62" s="43"/>
      <c r="OB62" s="43"/>
      <c r="OC62" s="43"/>
      <c r="OD62" s="43"/>
      <c r="OE62" s="43"/>
      <c r="OF62" s="43"/>
      <c r="OG62" s="43"/>
      <c r="OH62" s="43"/>
      <c r="OI62" s="43"/>
      <c r="OJ62" s="43"/>
      <c r="OK62" s="43"/>
      <c r="OL62" s="43"/>
      <c r="OM62" s="43"/>
      <c r="ON62" s="43"/>
      <c r="OO62" s="43"/>
      <c r="OP62" s="43"/>
      <c r="OQ62" s="43"/>
      <c r="OR62" s="43"/>
      <c r="OS62" s="43"/>
      <c r="OT62" s="43"/>
      <c r="OU62" s="43"/>
      <c r="OV62" s="43"/>
      <c r="OW62" s="43"/>
      <c r="OX62" s="43"/>
      <c r="OY62" s="43"/>
      <c r="OZ62" s="43"/>
      <c r="PA62" s="43"/>
      <c r="PB62" s="43"/>
      <c r="PC62" s="43"/>
      <c r="PD62" s="43"/>
      <c r="PE62" s="43"/>
      <c r="PF62" s="43"/>
      <c r="PG62" s="43"/>
      <c r="PH62" s="43"/>
      <c r="PI62" s="43"/>
      <c r="PJ62" s="43"/>
      <c r="PK62" s="43"/>
      <c r="PL62" s="43"/>
      <c r="PM62" s="43"/>
      <c r="PN62" s="43"/>
      <c r="PO62" s="43"/>
      <c r="PP62" s="43"/>
      <c r="PQ62" s="43"/>
      <c r="PR62" s="43"/>
      <c r="PS62" s="43"/>
      <c r="PT62" s="43"/>
      <c r="PU62" s="43"/>
      <c r="PV62" s="43"/>
      <c r="PW62" s="43"/>
      <c r="PX62" s="43"/>
      <c r="PY62" s="43"/>
      <c r="PZ62" s="43"/>
      <c r="QA62" s="43"/>
      <c r="QB62" s="43"/>
      <c r="QC62" s="43"/>
    </row>
    <row r="63" spans="2:445" x14ac:dyDescent="0.3"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 t="str">
        <f t="shared" si="6"/>
        <v/>
      </c>
      <c r="U63" s="45" t="str">
        <f t="shared" si="7"/>
        <v/>
      </c>
      <c r="V63" s="68" t="str">
        <f t="shared" si="8"/>
        <v/>
      </c>
      <c r="W63" s="48"/>
      <c r="X63" s="66" t="str">
        <f t="shared" si="9"/>
        <v/>
      </c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43"/>
      <c r="CY63" s="43"/>
      <c r="CZ63" s="43"/>
      <c r="DA63" s="43"/>
      <c r="DB63" s="43"/>
      <c r="DC63" s="43"/>
      <c r="DD63" s="43"/>
      <c r="DE63" s="43"/>
      <c r="DF63" s="43"/>
      <c r="DG63" s="43"/>
      <c r="DH63" s="43"/>
      <c r="DI63" s="43"/>
      <c r="DJ63" s="43"/>
      <c r="DK63" s="43"/>
      <c r="DL63" s="43"/>
      <c r="DM63" s="43"/>
      <c r="DN63" s="43"/>
      <c r="DO63" s="43"/>
      <c r="DP63" s="43"/>
      <c r="DQ63" s="43"/>
      <c r="DR63" s="43"/>
      <c r="DS63" s="43"/>
      <c r="DT63" s="43"/>
      <c r="DU63" s="43"/>
      <c r="DV63" s="43"/>
      <c r="DW63" s="43"/>
      <c r="DX63" s="43"/>
      <c r="DY63" s="43"/>
      <c r="DZ63" s="43"/>
      <c r="EA63" s="43"/>
      <c r="EB63" s="43"/>
      <c r="EC63" s="43"/>
      <c r="ED63" s="43"/>
      <c r="EE63" s="43"/>
      <c r="EF63" s="43"/>
      <c r="EG63" s="43"/>
      <c r="EH63" s="43"/>
      <c r="EI63" s="43"/>
      <c r="EJ63" s="43"/>
      <c r="EK63" s="43"/>
      <c r="EL63" s="43"/>
      <c r="EM63" s="43"/>
      <c r="EN63" s="43"/>
      <c r="EO63" s="43"/>
      <c r="EP63" s="43"/>
      <c r="EQ63" s="43"/>
      <c r="ER63" s="43"/>
      <c r="ES63" s="43"/>
      <c r="ET63" s="43"/>
      <c r="EU63" s="43"/>
      <c r="EV63" s="43"/>
      <c r="EW63" s="43"/>
      <c r="EX63" s="43"/>
      <c r="EY63" s="43"/>
      <c r="EZ63" s="43"/>
      <c r="FA63" s="43"/>
      <c r="FB63" s="43"/>
      <c r="FC63" s="43"/>
      <c r="FD63" s="43"/>
      <c r="FE63" s="43"/>
      <c r="FF63" s="43"/>
      <c r="FG63" s="43"/>
      <c r="FH63" s="43"/>
      <c r="FI63" s="43"/>
      <c r="FJ63" s="43"/>
      <c r="FK63" s="43"/>
      <c r="FL63" s="43"/>
      <c r="FM63" s="43"/>
      <c r="FN63" s="43"/>
      <c r="FO63" s="43"/>
      <c r="FP63" s="43"/>
      <c r="FQ63" s="43"/>
      <c r="FR63" s="43"/>
      <c r="FS63" s="43"/>
      <c r="FT63" s="43"/>
      <c r="FU63" s="43"/>
      <c r="FV63" s="43"/>
      <c r="FW63" s="43"/>
      <c r="FX63" s="43"/>
      <c r="FY63" s="43"/>
      <c r="FZ63" s="43"/>
      <c r="GA63" s="43"/>
      <c r="GB63" s="43"/>
      <c r="GC63" s="43"/>
      <c r="GD63" s="43"/>
      <c r="GE63" s="43"/>
      <c r="GF63" s="43"/>
      <c r="GG63" s="43"/>
      <c r="GH63" s="43"/>
      <c r="GI63" s="43"/>
      <c r="GJ63" s="43"/>
      <c r="GK63" s="43"/>
      <c r="GL63" s="43"/>
      <c r="GM63" s="43"/>
      <c r="GN63" s="43"/>
      <c r="GO63" s="43"/>
      <c r="GP63" s="43"/>
      <c r="GQ63" s="43"/>
      <c r="GR63" s="43"/>
      <c r="GS63" s="43"/>
      <c r="GT63" s="43"/>
      <c r="GU63" s="43"/>
      <c r="GV63" s="43"/>
      <c r="GW63" s="43"/>
      <c r="GX63" s="43"/>
      <c r="GY63" s="43"/>
      <c r="GZ63" s="43"/>
      <c r="HA63" s="43"/>
      <c r="HB63" s="43"/>
      <c r="HC63" s="43"/>
      <c r="HD63" s="43"/>
      <c r="HE63" s="43"/>
      <c r="HF63" s="43"/>
      <c r="HG63" s="43"/>
      <c r="HH63" s="43"/>
      <c r="HI63" s="43"/>
      <c r="HJ63" s="43"/>
      <c r="HK63" s="43"/>
      <c r="HL63" s="43"/>
      <c r="HM63" s="43"/>
      <c r="HN63" s="43"/>
      <c r="HO63" s="43"/>
      <c r="HP63" s="43"/>
      <c r="HQ63" s="43"/>
      <c r="HR63" s="43"/>
      <c r="HS63" s="43"/>
      <c r="HT63" s="43"/>
      <c r="HU63" s="43"/>
      <c r="HV63" s="43"/>
      <c r="HW63" s="43"/>
      <c r="HX63" s="43"/>
      <c r="HY63" s="43"/>
      <c r="HZ63" s="43"/>
      <c r="IA63" s="43"/>
      <c r="IB63" s="43"/>
      <c r="IC63" s="43"/>
      <c r="ID63" s="43"/>
      <c r="IE63" s="43"/>
      <c r="IF63" s="43"/>
      <c r="IG63" s="43"/>
      <c r="IH63" s="43"/>
      <c r="II63" s="43"/>
      <c r="IJ63" s="43"/>
      <c r="IK63" s="43"/>
      <c r="IL63" s="43"/>
      <c r="IM63" s="43"/>
      <c r="IN63" s="43"/>
      <c r="IO63" s="43"/>
      <c r="IP63" s="43"/>
      <c r="IQ63" s="43"/>
      <c r="IR63" s="43"/>
      <c r="IS63" s="43"/>
      <c r="IT63" s="43"/>
      <c r="IU63" s="43"/>
      <c r="IV63" s="43"/>
      <c r="IW63" s="43"/>
      <c r="IX63" s="43"/>
      <c r="IY63" s="43"/>
      <c r="IZ63" s="43"/>
      <c r="JA63" s="43"/>
      <c r="JB63" s="43"/>
      <c r="JC63" s="43"/>
      <c r="JD63" s="43"/>
      <c r="JE63" s="43"/>
      <c r="JF63" s="43"/>
      <c r="JG63" s="43"/>
      <c r="JH63" s="43"/>
      <c r="JI63" s="43"/>
      <c r="JJ63" s="43"/>
      <c r="JK63" s="43"/>
      <c r="JL63" s="43"/>
      <c r="JM63" s="43"/>
      <c r="JN63" s="43"/>
      <c r="JO63" s="43"/>
      <c r="JP63" s="43"/>
      <c r="JQ63" s="43"/>
      <c r="JR63" s="43"/>
      <c r="JS63" s="43"/>
      <c r="JT63" s="43"/>
      <c r="JU63" s="43"/>
      <c r="JV63" s="43"/>
      <c r="JW63" s="43"/>
      <c r="JX63" s="43"/>
      <c r="JY63" s="43"/>
      <c r="JZ63" s="43"/>
      <c r="KA63" s="43"/>
      <c r="KB63" s="43"/>
      <c r="KC63" s="43"/>
      <c r="KD63" s="43"/>
      <c r="KE63" s="43"/>
      <c r="KF63" s="43"/>
      <c r="KG63" s="43"/>
      <c r="KH63" s="43"/>
      <c r="KI63" s="43"/>
      <c r="KJ63" s="43"/>
      <c r="KK63" s="43"/>
      <c r="KL63" s="43"/>
      <c r="KM63" s="43"/>
      <c r="KN63" s="43"/>
      <c r="KO63" s="43"/>
      <c r="KP63" s="43"/>
      <c r="KQ63" s="43"/>
      <c r="KR63" s="43"/>
      <c r="KS63" s="43"/>
      <c r="KT63" s="43"/>
      <c r="KU63" s="43"/>
      <c r="KV63" s="43"/>
      <c r="KW63" s="43"/>
      <c r="KX63" s="43"/>
      <c r="KY63" s="43"/>
      <c r="KZ63" s="43"/>
      <c r="LA63" s="43"/>
      <c r="LB63" s="43"/>
      <c r="LC63" s="43"/>
      <c r="LD63" s="43"/>
      <c r="LE63" s="43"/>
      <c r="LF63" s="43"/>
      <c r="LG63" s="43"/>
      <c r="LH63" s="43"/>
      <c r="LI63" s="43"/>
      <c r="LJ63" s="43"/>
      <c r="LK63" s="43"/>
      <c r="LL63" s="43"/>
      <c r="LM63" s="43"/>
      <c r="LN63" s="43"/>
      <c r="LO63" s="43"/>
      <c r="LP63" s="43"/>
      <c r="LQ63" s="43"/>
      <c r="LR63" s="43"/>
      <c r="LS63" s="43"/>
      <c r="LT63" s="43"/>
      <c r="LU63" s="43"/>
      <c r="LV63" s="43"/>
      <c r="LW63" s="43"/>
      <c r="LX63" s="43"/>
      <c r="LY63" s="43"/>
      <c r="LZ63" s="43"/>
      <c r="MA63" s="43"/>
      <c r="MB63" s="43"/>
      <c r="MC63" s="43"/>
      <c r="MD63" s="43"/>
      <c r="ME63" s="43"/>
      <c r="MF63" s="43"/>
      <c r="MG63" s="43"/>
      <c r="MH63" s="43"/>
      <c r="MI63" s="43"/>
      <c r="MJ63" s="43"/>
      <c r="MK63" s="43"/>
      <c r="ML63" s="43"/>
      <c r="MM63" s="43"/>
      <c r="MN63" s="43"/>
      <c r="MO63" s="43"/>
      <c r="MP63" s="43"/>
      <c r="MQ63" s="43"/>
      <c r="MR63" s="43"/>
      <c r="MS63" s="43"/>
      <c r="MT63" s="43"/>
      <c r="MU63" s="43"/>
      <c r="MV63" s="43"/>
      <c r="MW63" s="43"/>
      <c r="MX63" s="43"/>
      <c r="MY63" s="43"/>
      <c r="MZ63" s="43"/>
      <c r="NA63" s="43"/>
      <c r="NB63" s="43"/>
      <c r="NC63" s="43"/>
      <c r="ND63" s="43"/>
      <c r="NE63" s="43"/>
      <c r="NF63" s="43"/>
      <c r="NG63" s="43"/>
      <c r="NH63" s="43"/>
      <c r="NI63" s="43"/>
      <c r="NJ63" s="43"/>
      <c r="NK63" s="43"/>
      <c r="NL63" s="43"/>
      <c r="NM63" s="43"/>
      <c r="NN63" s="43"/>
      <c r="NO63" s="43"/>
      <c r="NP63" s="43"/>
      <c r="NQ63" s="43"/>
      <c r="NR63" s="43"/>
      <c r="NS63" s="43"/>
      <c r="NT63" s="43"/>
      <c r="NU63" s="43"/>
      <c r="NV63" s="43"/>
      <c r="NW63" s="43"/>
      <c r="NX63" s="43"/>
      <c r="NY63" s="43"/>
      <c r="NZ63" s="43"/>
      <c r="OA63" s="43"/>
      <c r="OB63" s="43"/>
      <c r="OC63" s="43"/>
      <c r="OD63" s="43"/>
      <c r="OE63" s="43"/>
      <c r="OF63" s="43"/>
      <c r="OG63" s="43"/>
      <c r="OH63" s="43"/>
      <c r="OI63" s="43"/>
      <c r="OJ63" s="43"/>
      <c r="OK63" s="43"/>
      <c r="OL63" s="43"/>
      <c r="OM63" s="43"/>
      <c r="ON63" s="43"/>
      <c r="OO63" s="43"/>
      <c r="OP63" s="43"/>
      <c r="OQ63" s="43"/>
      <c r="OR63" s="43"/>
      <c r="OS63" s="43"/>
      <c r="OT63" s="43"/>
      <c r="OU63" s="43"/>
      <c r="OV63" s="43"/>
      <c r="OW63" s="43"/>
      <c r="OX63" s="43"/>
      <c r="OY63" s="43"/>
      <c r="OZ63" s="43"/>
      <c r="PA63" s="43"/>
      <c r="PB63" s="43"/>
      <c r="PC63" s="43"/>
      <c r="PD63" s="43"/>
      <c r="PE63" s="43"/>
      <c r="PF63" s="43"/>
      <c r="PG63" s="43"/>
      <c r="PH63" s="43"/>
      <c r="PI63" s="43"/>
      <c r="PJ63" s="43"/>
      <c r="PK63" s="43"/>
      <c r="PL63" s="43"/>
      <c r="PM63" s="43"/>
      <c r="PN63" s="43"/>
      <c r="PO63" s="43"/>
      <c r="PP63" s="43"/>
      <c r="PQ63" s="43"/>
      <c r="PR63" s="43"/>
      <c r="PS63" s="43"/>
      <c r="PT63" s="43"/>
      <c r="PU63" s="43"/>
      <c r="PV63" s="43"/>
      <c r="PW63" s="43"/>
      <c r="PX63" s="43"/>
      <c r="PY63" s="43"/>
      <c r="PZ63" s="43"/>
      <c r="QA63" s="43"/>
      <c r="QB63" s="43"/>
      <c r="QC63" s="43"/>
    </row>
    <row r="64" spans="2:445" ht="18" customHeight="1" x14ac:dyDescent="0.3"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 t="str">
        <f t="shared" si="6"/>
        <v/>
      </c>
      <c r="U64" s="45" t="str">
        <f t="shared" si="7"/>
        <v/>
      </c>
      <c r="V64" s="68" t="str">
        <f t="shared" si="8"/>
        <v/>
      </c>
      <c r="W64" s="48"/>
      <c r="X64" s="66" t="str">
        <f t="shared" si="9"/>
        <v/>
      </c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43"/>
      <c r="CY64" s="43"/>
      <c r="CZ64" s="43"/>
      <c r="DA64" s="43"/>
      <c r="DB64" s="43"/>
      <c r="DC64" s="43"/>
      <c r="DD64" s="43"/>
      <c r="DE64" s="43"/>
      <c r="DF64" s="43"/>
      <c r="DG64" s="43"/>
      <c r="DH64" s="43"/>
      <c r="DI64" s="43"/>
      <c r="DJ64" s="43"/>
      <c r="DK64" s="43"/>
      <c r="DL64" s="43"/>
      <c r="DM64" s="43"/>
      <c r="DN64" s="43"/>
      <c r="DO64" s="43"/>
      <c r="DP64" s="43"/>
      <c r="DQ64" s="43"/>
      <c r="DR64" s="43"/>
      <c r="DS64" s="43"/>
      <c r="DT64" s="43"/>
      <c r="DU64" s="43"/>
      <c r="DV64" s="43"/>
      <c r="DW64" s="43"/>
      <c r="DX64" s="43"/>
      <c r="DY64" s="43"/>
      <c r="DZ64" s="43"/>
      <c r="EA64" s="43"/>
      <c r="EB64" s="43"/>
      <c r="EC64" s="43"/>
      <c r="ED64" s="43"/>
      <c r="EE64" s="43"/>
      <c r="EF64" s="43"/>
      <c r="EG64" s="43"/>
      <c r="EH64" s="43"/>
      <c r="EI64" s="43"/>
      <c r="EJ64" s="43"/>
      <c r="EK64" s="43"/>
      <c r="EL64" s="43"/>
      <c r="EM64" s="43"/>
      <c r="EN64" s="43"/>
      <c r="EO64" s="43"/>
      <c r="EP64" s="43"/>
      <c r="EQ64" s="43"/>
      <c r="ER64" s="43"/>
      <c r="ES64" s="43"/>
      <c r="ET64" s="43"/>
      <c r="EU64" s="43"/>
      <c r="EV64" s="43"/>
      <c r="EW64" s="43"/>
      <c r="EX64" s="43"/>
      <c r="EY64" s="43"/>
      <c r="EZ64" s="43"/>
      <c r="FA64" s="43"/>
      <c r="FB64" s="43"/>
      <c r="FC64" s="43"/>
      <c r="FD64" s="43"/>
      <c r="FE64" s="43"/>
      <c r="FF64" s="43"/>
      <c r="FG64" s="43"/>
      <c r="FH64" s="43"/>
      <c r="FI64" s="43"/>
      <c r="FJ64" s="43"/>
      <c r="FK64" s="43"/>
      <c r="FL64" s="43"/>
      <c r="FM64" s="43"/>
      <c r="FN64" s="43"/>
      <c r="FO64" s="43"/>
      <c r="FP64" s="43"/>
      <c r="FQ64" s="43"/>
      <c r="FR64" s="43"/>
      <c r="FS64" s="43"/>
      <c r="FT64" s="43"/>
      <c r="FU64" s="43"/>
      <c r="FV64" s="43"/>
      <c r="FW64" s="43"/>
      <c r="FX64" s="43"/>
      <c r="FY64" s="43"/>
      <c r="FZ64" s="43"/>
      <c r="GA64" s="43"/>
      <c r="GB64" s="43"/>
      <c r="GC64" s="43"/>
      <c r="GD64" s="43"/>
      <c r="GE64" s="43"/>
      <c r="GF64" s="43"/>
      <c r="GG64" s="43"/>
      <c r="GH64" s="43"/>
      <c r="GI64" s="43"/>
      <c r="GJ64" s="43"/>
      <c r="GK64" s="43"/>
      <c r="GL64" s="43"/>
      <c r="GM64" s="43"/>
      <c r="GN64" s="43"/>
      <c r="GO64" s="43"/>
      <c r="GP64" s="43"/>
      <c r="GQ64" s="43"/>
      <c r="GR64" s="43"/>
      <c r="GS64" s="43"/>
      <c r="GT64" s="43"/>
      <c r="GU64" s="43"/>
      <c r="GV64" s="43"/>
      <c r="GW64" s="43"/>
      <c r="GX64" s="43"/>
      <c r="GY64" s="43"/>
      <c r="GZ64" s="43"/>
      <c r="HA64" s="43"/>
      <c r="HB64" s="43"/>
      <c r="HC64" s="43"/>
      <c r="HD64" s="43"/>
      <c r="HE64" s="43"/>
      <c r="HF64" s="43"/>
      <c r="HG64" s="43"/>
      <c r="HH64" s="43"/>
      <c r="HI64" s="43"/>
      <c r="HJ64" s="43"/>
      <c r="HK64" s="43"/>
      <c r="HL64" s="43"/>
      <c r="HM64" s="43"/>
      <c r="HN64" s="43"/>
      <c r="HO64" s="43"/>
      <c r="HP64" s="43"/>
      <c r="HQ64" s="43"/>
      <c r="HR64" s="43"/>
      <c r="HS64" s="43"/>
      <c r="HT64" s="43"/>
      <c r="HU64" s="43"/>
      <c r="HV64" s="43"/>
      <c r="HW64" s="43"/>
      <c r="HX64" s="43"/>
      <c r="HY64" s="43"/>
      <c r="HZ64" s="43"/>
      <c r="IA64" s="43"/>
      <c r="IB64" s="43"/>
      <c r="IC64" s="43"/>
      <c r="ID64" s="43"/>
      <c r="IE64" s="43"/>
      <c r="IF64" s="43"/>
      <c r="IG64" s="43"/>
      <c r="IH64" s="43"/>
      <c r="II64" s="43"/>
      <c r="IJ64" s="43"/>
      <c r="IK64" s="43"/>
      <c r="IL64" s="43"/>
      <c r="IM64" s="43"/>
      <c r="IN64" s="43"/>
      <c r="IO64" s="43"/>
      <c r="IP64" s="43"/>
      <c r="IQ64" s="43"/>
      <c r="IR64" s="43"/>
      <c r="IS64" s="43"/>
      <c r="IT64" s="43"/>
      <c r="IU64" s="43"/>
      <c r="IV64" s="43"/>
      <c r="IW64" s="43"/>
      <c r="IX64" s="43"/>
      <c r="IY64" s="43"/>
      <c r="IZ64" s="43"/>
      <c r="JA64" s="43"/>
      <c r="JB64" s="43"/>
      <c r="JC64" s="43"/>
      <c r="JD64" s="43"/>
      <c r="JE64" s="43"/>
      <c r="JF64" s="43"/>
      <c r="JG64" s="43"/>
      <c r="JH64" s="43"/>
      <c r="JI64" s="43"/>
      <c r="JJ64" s="43"/>
      <c r="JK64" s="43"/>
      <c r="JL64" s="43"/>
      <c r="JM64" s="43"/>
      <c r="JN64" s="43"/>
      <c r="JO64" s="43"/>
      <c r="JP64" s="43"/>
      <c r="JQ64" s="43"/>
      <c r="JR64" s="43"/>
      <c r="JS64" s="43"/>
      <c r="JT64" s="43"/>
      <c r="JU64" s="43"/>
      <c r="JV64" s="43"/>
      <c r="JW64" s="43"/>
      <c r="JX64" s="43"/>
      <c r="JY64" s="43"/>
      <c r="JZ64" s="43"/>
      <c r="KA64" s="43"/>
      <c r="KB64" s="43"/>
      <c r="KC64" s="43"/>
      <c r="KD64" s="43"/>
      <c r="KE64" s="43"/>
      <c r="KF64" s="43"/>
      <c r="KG64" s="43"/>
      <c r="KH64" s="43"/>
      <c r="KI64" s="43"/>
      <c r="KJ64" s="43"/>
      <c r="KK64" s="43"/>
      <c r="KL64" s="43"/>
      <c r="KM64" s="43"/>
      <c r="KN64" s="43"/>
      <c r="KO64" s="43"/>
      <c r="KP64" s="43"/>
      <c r="KQ64" s="43"/>
      <c r="KR64" s="43"/>
      <c r="KS64" s="43"/>
      <c r="KT64" s="43"/>
      <c r="KU64" s="43"/>
      <c r="KV64" s="43"/>
      <c r="KW64" s="43"/>
      <c r="KX64" s="43"/>
      <c r="KY64" s="43"/>
      <c r="KZ64" s="43"/>
      <c r="LA64" s="43"/>
      <c r="LB64" s="43"/>
      <c r="LC64" s="43"/>
      <c r="LD64" s="43"/>
      <c r="LE64" s="43"/>
      <c r="LF64" s="43"/>
      <c r="LG64" s="43"/>
      <c r="LH64" s="43"/>
      <c r="LI64" s="43"/>
      <c r="LJ64" s="43"/>
      <c r="LK64" s="43"/>
      <c r="LL64" s="43"/>
      <c r="LM64" s="43"/>
      <c r="LN64" s="43"/>
      <c r="LO64" s="43"/>
      <c r="LP64" s="43"/>
      <c r="LQ64" s="43"/>
      <c r="LR64" s="43"/>
      <c r="LS64" s="43"/>
      <c r="LT64" s="43"/>
      <c r="LU64" s="43"/>
      <c r="LV64" s="43"/>
      <c r="LW64" s="43"/>
      <c r="LX64" s="43"/>
      <c r="LY64" s="43"/>
      <c r="LZ64" s="43"/>
      <c r="MA64" s="43"/>
      <c r="MB64" s="43"/>
      <c r="MC64" s="43"/>
      <c r="MD64" s="43"/>
      <c r="ME64" s="43"/>
      <c r="MF64" s="43"/>
      <c r="MG64" s="43"/>
      <c r="MH64" s="43"/>
      <c r="MI64" s="43"/>
      <c r="MJ64" s="43"/>
      <c r="MK64" s="43"/>
      <c r="ML64" s="43"/>
      <c r="MM64" s="43"/>
      <c r="MN64" s="43"/>
      <c r="MO64" s="43"/>
      <c r="MP64" s="43"/>
      <c r="MQ64" s="43"/>
      <c r="MR64" s="43"/>
      <c r="MS64" s="43"/>
      <c r="MT64" s="43"/>
      <c r="MU64" s="43"/>
      <c r="MV64" s="43"/>
      <c r="MW64" s="43"/>
      <c r="MX64" s="43"/>
      <c r="MY64" s="43"/>
      <c r="MZ64" s="43"/>
      <c r="NA64" s="43"/>
      <c r="NB64" s="43"/>
      <c r="NC64" s="43"/>
      <c r="ND64" s="43"/>
      <c r="NE64" s="43"/>
      <c r="NF64" s="43"/>
      <c r="NG64" s="43"/>
      <c r="NH64" s="43"/>
      <c r="NI64" s="43"/>
      <c r="NJ64" s="43"/>
      <c r="NK64" s="43"/>
      <c r="NL64" s="43"/>
      <c r="NM64" s="43"/>
      <c r="NN64" s="43"/>
      <c r="NO64" s="43"/>
      <c r="NP64" s="43"/>
      <c r="NQ64" s="43"/>
      <c r="NR64" s="43"/>
      <c r="NS64" s="43"/>
      <c r="NT64" s="43"/>
      <c r="NU64" s="43"/>
      <c r="NV64" s="43"/>
      <c r="NW64" s="43"/>
      <c r="NX64" s="43"/>
      <c r="NY64" s="43"/>
      <c r="NZ64" s="43"/>
      <c r="OA64" s="43"/>
      <c r="OB64" s="43"/>
      <c r="OC64" s="43"/>
      <c r="OD64" s="43"/>
      <c r="OE64" s="43"/>
      <c r="OF64" s="43"/>
      <c r="OG64" s="43"/>
      <c r="OH64" s="43"/>
      <c r="OI64" s="43"/>
      <c r="OJ64" s="43"/>
      <c r="OK64" s="43"/>
      <c r="OL64" s="43"/>
      <c r="OM64" s="43"/>
      <c r="ON64" s="43"/>
      <c r="OO64" s="43"/>
      <c r="OP64" s="43"/>
      <c r="OQ64" s="43"/>
      <c r="OR64" s="43"/>
      <c r="OS64" s="43"/>
      <c r="OT64" s="43"/>
      <c r="OU64" s="43"/>
      <c r="OV64" s="43"/>
      <c r="OW64" s="43"/>
      <c r="OX64" s="43"/>
      <c r="OY64" s="43"/>
      <c r="OZ64" s="43"/>
      <c r="PA64" s="43"/>
      <c r="PB64" s="43"/>
      <c r="PC64" s="43"/>
      <c r="PD64" s="43"/>
      <c r="PE64" s="43"/>
      <c r="PF64" s="43"/>
      <c r="PG64" s="43"/>
      <c r="PH64" s="43"/>
      <c r="PI64" s="43"/>
      <c r="PJ64" s="43"/>
      <c r="PK64" s="43"/>
      <c r="PL64" s="43"/>
      <c r="PM64" s="43"/>
      <c r="PN64" s="43"/>
      <c r="PO64" s="43"/>
      <c r="PP64" s="43"/>
      <c r="PQ64" s="43"/>
      <c r="PR64" s="43"/>
      <c r="PS64" s="43"/>
      <c r="PT64" s="43"/>
      <c r="PU64" s="43"/>
      <c r="PV64" s="43"/>
      <c r="PW64" s="43"/>
      <c r="PX64" s="43"/>
      <c r="PY64" s="43"/>
      <c r="PZ64" s="43"/>
      <c r="QA64" s="43"/>
      <c r="QB64" s="43"/>
      <c r="QC64" s="43"/>
    </row>
    <row r="65" spans="1:445" x14ac:dyDescent="0.3"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 t="str">
        <f t="shared" si="6"/>
        <v/>
      </c>
      <c r="U65" s="45" t="str">
        <f t="shared" si="7"/>
        <v/>
      </c>
      <c r="V65" s="68" t="str">
        <f t="shared" si="8"/>
        <v/>
      </c>
      <c r="X65" s="66" t="str">
        <f t="shared" si="9"/>
        <v/>
      </c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43"/>
      <c r="CY65" s="43"/>
      <c r="CZ65" s="43"/>
      <c r="DA65" s="43"/>
      <c r="DB65" s="43"/>
      <c r="DC65" s="43"/>
      <c r="DD65" s="43"/>
      <c r="DE65" s="43"/>
      <c r="DF65" s="43"/>
      <c r="DG65" s="43"/>
      <c r="DH65" s="43"/>
      <c r="DI65" s="43"/>
      <c r="DJ65" s="43"/>
      <c r="DK65" s="43"/>
      <c r="DL65" s="43"/>
      <c r="DM65" s="43"/>
      <c r="DN65" s="43"/>
      <c r="DO65" s="43"/>
      <c r="DP65" s="43"/>
      <c r="DQ65" s="43"/>
      <c r="DR65" s="43"/>
      <c r="DS65" s="43"/>
      <c r="DT65" s="43"/>
      <c r="DU65" s="43"/>
      <c r="DV65" s="43"/>
      <c r="DW65" s="43"/>
      <c r="DX65" s="43"/>
      <c r="DY65" s="43"/>
      <c r="DZ65" s="43"/>
      <c r="EA65" s="43"/>
      <c r="EB65" s="43"/>
      <c r="EC65" s="43"/>
      <c r="ED65" s="43"/>
      <c r="EE65" s="43"/>
      <c r="EF65" s="43"/>
      <c r="EG65" s="43"/>
      <c r="EH65" s="43"/>
      <c r="EI65" s="43"/>
      <c r="EJ65" s="43"/>
      <c r="EK65" s="43"/>
      <c r="EL65" s="43"/>
      <c r="EM65" s="43"/>
      <c r="EN65" s="43"/>
      <c r="EO65" s="43"/>
      <c r="EP65" s="43"/>
      <c r="EQ65" s="43"/>
      <c r="ER65" s="43"/>
      <c r="ES65" s="43"/>
      <c r="ET65" s="43"/>
      <c r="EU65" s="43"/>
      <c r="EV65" s="43"/>
      <c r="EW65" s="43"/>
      <c r="EX65" s="43"/>
      <c r="EY65" s="43"/>
      <c r="EZ65" s="43"/>
      <c r="FA65" s="43"/>
      <c r="FB65" s="43"/>
      <c r="FC65" s="43"/>
      <c r="FD65" s="43"/>
      <c r="FE65" s="43"/>
      <c r="FF65" s="43"/>
      <c r="FG65" s="43"/>
      <c r="FH65" s="43"/>
      <c r="FI65" s="43"/>
      <c r="FJ65" s="43"/>
      <c r="FK65" s="43"/>
      <c r="FL65" s="43"/>
      <c r="FM65" s="43"/>
      <c r="FN65" s="43"/>
      <c r="FO65" s="43"/>
      <c r="FP65" s="43"/>
      <c r="FQ65" s="43"/>
      <c r="FR65" s="43"/>
      <c r="FS65" s="43"/>
      <c r="FT65" s="43"/>
      <c r="FU65" s="43"/>
      <c r="FV65" s="43"/>
      <c r="FW65" s="43"/>
      <c r="FX65" s="43"/>
      <c r="FY65" s="43"/>
      <c r="FZ65" s="43"/>
      <c r="GA65" s="43"/>
      <c r="GB65" s="43"/>
      <c r="GC65" s="43"/>
      <c r="GD65" s="43"/>
      <c r="GE65" s="43"/>
      <c r="GF65" s="43"/>
      <c r="GG65" s="43"/>
      <c r="GH65" s="43"/>
      <c r="GI65" s="43"/>
      <c r="GJ65" s="43"/>
      <c r="GK65" s="43"/>
      <c r="GL65" s="43"/>
      <c r="GM65" s="43"/>
      <c r="GN65" s="43"/>
      <c r="GO65" s="43"/>
      <c r="GP65" s="43"/>
      <c r="GQ65" s="43"/>
      <c r="GR65" s="43"/>
      <c r="GS65" s="43"/>
      <c r="GT65" s="43"/>
      <c r="GU65" s="43"/>
      <c r="GV65" s="43"/>
      <c r="GW65" s="43"/>
      <c r="GX65" s="43"/>
      <c r="GY65" s="43"/>
      <c r="GZ65" s="43"/>
      <c r="HA65" s="43"/>
      <c r="HB65" s="43"/>
      <c r="HC65" s="43"/>
      <c r="HD65" s="43"/>
      <c r="HE65" s="43"/>
      <c r="HF65" s="43"/>
      <c r="HG65" s="43"/>
      <c r="HH65" s="43"/>
      <c r="HI65" s="43"/>
      <c r="HJ65" s="43"/>
      <c r="HK65" s="43"/>
      <c r="HL65" s="43"/>
      <c r="HM65" s="43"/>
      <c r="HN65" s="43"/>
      <c r="HO65" s="43"/>
      <c r="HP65" s="43"/>
      <c r="HQ65" s="43"/>
      <c r="HR65" s="43"/>
      <c r="HS65" s="43"/>
      <c r="HT65" s="43"/>
      <c r="HU65" s="43"/>
      <c r="HV65" s="43"/>
      <c r="HW65" s="43"/>
      <c r="HX65" s="43"/>
      <c r="HY65" s="43"/>
      <c r="HZ65" s="43"/>
      <c r="IA65" s="43"/>
      <c r="IB65" s="43"/>
      <c r="IC65" s="43"/>
      <c r="ID65" s="43"/>
      <c r="IE65" s="43"/>
      <c r="IF65" s="43"/>
      <c r="IG65" s="43"/>
      <c r="IH65" s="43"/>
      <c r="II65" s="43"/>
      <c r="IJ65" s="43"/>
      <c r="IK65" s="43"/>
      <c r="IL65" s="43"/>
      <c r="IM65" s="43"/>
      <c r="IN65" s="43"/>
      <c r="IO65" s="43"/>
      <c r="IP65" s="43"/>
      <c r="IQ65" s="43"/>
      <c r="IR65" s="43"/>
      <c r="IS65" s="43"/>
      <c r="IT65" s="43"/>
      <c r="IU65" s="43"/>
      <c r="IV65" s="43"/>
      <c r="IW65" s="43"/>
      <c r="IX65" s="43"/>
      <c r="IY65" s="43"/>
      <c r="IZ65" s="43"/>
      <c r="JA65" s="43"/>
      <c r="JB65" s="43"/>
      <c r="JC65" s="43"/>
      <c r="JD65" s="43"/>
      <c r="JE65" s="43"/>
      <c r="JF65" s="43"/>
      <c r="JG65" s="43"/>
      <c r="JH65" s="43"/>
      <c r="JI65" s="43"/>
      <c r="JJ65" s="43"/>
      <c r="JK65" s="43"/>
      <c r="JL65" s="43"/>
      <c r="JM65" s="43"/>
      <c r="JN65" s="43"/>
      <c r="JO65" s="43"/>
      <c r="JP65" s="43"/>
      <c r="JQ65" s="43"/>
      <c r="JR65" s="43"/>
      <c r="JS65" s="43"/>
      <c r="JT65" s="43"/>
      <c r="JU65" s="43"/>
      <c r="JV65" s="43"/>
      <c r="JW65" s="43"/>
      <c r="JX65" s="43"/>
      <c r="JY65" s="43"/>
      <c r="JZ65" s="43"/>
      <c r="KA65" s="43"/>
      <c r="KB65" s="43"/>
      <c r="KC65" s="43"/>
      <c r="KD65" s="43"/>
      <c r="KE65" s="43"/>
      <c r="KF65" s="43"/>
      <c r="KG65" s="43"/>
      <c r="KH65" s="43"/>
      <c r="KI65" s="43"/>
      <c r="KJ65" s="43"/>
      <c r="KK65" s="43"/>
      <c r="KL65" s="43"/>
      <c r="KM65" s="43"/>
      <c r="KN65" s="43"/>
      <c r="KO65" s="43"/>
      <c r="KP65" s="43"/>
      <c r="KQ65" s="43"/>
      <c r="KR65" s="43"/>
      <c r="KS65" s="43"/>
      <c r="KT65" s="43"/>
      <c r="KU65" s="43"/>
      <c r="KV65" s="43"/>
      <c r="KW65" s="43"/>
      <c r="KX65" s="43"/>
      <c r="KY65" s="43"/>
      <c r="KZ65" s="43"/>
      <c r="LA65" s="43"/>
      <c r="LB65" s="43"/>
      <c r="LC65" s="43"/>
      <c r="LD65" s="43"/>
      <c r="LE65" s="43"/>
      <c r="LF65" s="43"/>
      <c r="LG65" s="43"/>
      <c r="LH65" s="43"/>
      <c r="LI65" s="43"/>
      <c r="LJ65" s="43"/>
      <c r="LK65" s="43"/>
      <c r="LL65" s="43"/>
      <c r="LM65" s="43"/>
      <c r="LN65" s="43"/>
      <c r="LO65" s="43"/>
      <c r="LP65" s="43"/>
      <c r="LQ65" s="43"/>
      <c r="LR65" s="43"/>
      <c r="LS65" s="43"/>
      <c r="LT65" s="43"/>
      <c r="LU65" s="43"/>
      <c r="LV65" s="43"/>
      <c r="LW65" s="43"/>
      <c r="LX65" s="43"/>
      <c r="LY65" s="43"/>
      <c r="LZ65" s="43"/>
      <c r="MA65" s="43"/>
      <c r="MB65" s="43"/>
      <c r="MC65" s="43"/>
      <c r="MD65" s="43"/>
      <c r="ME65" s="43"/>
      <c r="MF65" s="43"/>
      <c r="MG65" s="43"/>
      <c r="MH65" s="43"/>
      <c r="MI65" s="43"/>
      <c r="MJ65" s="43"/>
      <c r="MK65" s="43"/>
      <c r="ML65" s="43"/>
      <c r="MM65" s="43"/>
      <c r="MN65" s="43"/>
      <c r="MO65" s="43"/>
      <c r="MP65" s="43"/>
      <c r="MQ65" s="43"/>
      <c r="MR65" s="43"/>
      <c r="MS65" s="43"/>
      <c r="MT65" s="43"/>
      <c r="MU65" s="43"/>
      <c r="MV65" s="43"/>
      <c r="MW65" s="43"/>
      <c r="MX65" s="43"/>
      <c r="MY65" s="43"/>
      <c r="MZ65" s="43"/>
      <c r="NA65" s="43"/>
      <c r="NB65" s="43"/>
      <c r="NC65" s="43"/>
      <c r="ND65" s="43"/>
      <c r="NE65" s="43"/>
      <c r="NF65" s="43"/>
      <c r="NG65" s="43"/>
      <c r="NH65" s="43"/>
      <c r="NI65" s="43"/>
      <c r="NJ65" s="43"/>
      <c r="NK65" s="43"/>
      <c r="NL65" s="43"/>
      <c r="NM65" s="43"/>
      <c r="NN65" s="43"/>
      <c r="NO65" s="43"/>
      <c r="NP65" s="43"/>
      <c r="NQ65" s="43"/>
      <c r="NR65" s="43"/>
      <c r="NS65" s="43"/>
      <c r="NT65" s="43"/>
      <c r="NU65" s="43"/>
      <c r="NV65" s="43"/>
      <c r="NW65" s="43"/>
      <c r="NX65" s="43"/>
      <c r="NY65" s="43"/>
      <c r="NZ65" s="43"/>
      <c r="OA65" s="43"/>
      <c r="OB65" s="43"/>
      <c r="OC65" s="43"/>
      <c r="OD65" s="43"/>
      <c r="OE65" s="43"/>
      <c r="OF65" s="43"/>
      <c r="OG65" s="43"/>
      <c r="OH65" s="43"/>
      <c r="OI65" s="43"/>
      <c r="OJ65" s="43"/>
      <c r="OK65" s="43"/>
      <c r="OL65" s="43"/>
      <c r="OM65" s="43"/>
      <c r="ON65" s="43"/>
      <c r="OO65" s="43"/>
      <c r="OP65" s="43"/>
      <c r="OQ65" s="43"/>
      <c r="OR65" s="43"/>
      <c r="OS65" s="43"/>
      <c r="OT65" s="43"/>
      <c r="OU65" s="43"/>
      <c r="OV65" s="43"/>
      <c r="OW65" s="43"/>
      <c r="OX65" s="43"/>
      <c r="OY65" s="43"/>
      <c r="OZ65" s="43"/>
      <c r="PA65" s="43"/>
      <c r="PB65" s="43"/>
      <c r="PC65" s="43"/>
      <c r="PD65" s="43"/>
      <c r="PE65" s="43"/>
      <c r="PF65" s="43"/>
      <c r="PG65" s="43"/>
      <c r="PH65" s="43"/>
      <c r="PI65" s="43"/>
      <c r="PJ65" s="43"/>
      <c r="PK65" s="43"/>
      <c r="PL65" s="43"/>
      <c r="PM65" s="43"/>
      <c r="PN65" s="43"/>
      <c r="PO65" s="43"/>
      <c r="PP65" s="43"/>
      <c r="PQ65" s="43"/>
      <c r="PR65" s="43"/>
      <c r="PS65" s="43"/>
      <c r="PT65" s="43"/>
      <c r="PU65" s="43"/>
      <c r="PV65" s="43"/>
      <c r="PW65" s="43"/>
      <c r="PX65" s="43"/>
      <c r="PY65" s="43"/>
      <c r="PZ65" s="43"/>
      <c r="QA65" s="43"/>
      <c r="QB65" s="43"/>
      <c r="QC65" s="43"/>
    </row>
    <row r="66" spans="1:445" x14ac:dyDescent="0.3"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 t="str">
        <f t="shared" si="6"/>
        <v/>
      </c>
      <c r="U66" s="45" t="str">
        <f t="shared" si="7"/>
        <v/>
      </c>
      <c r="V66" s="68" t="str">
        <f t="shared" si="8"/>
        <v/>
      </c>
      <c r="W66" s="48"/>
      <c r="X66" s="66" t="str">
        <f t="shared" si="9"/>
        <v/>
      </c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43"/>
      <c r="CY66" s="43"/>
      <c r="CZ66" s="43"/>
      <c r="DA66" s="43"/>
      <c r="DB66" s="43"/>
      <c r="DC66" s="43"/>
      <c r="DD66" s="43"/>
      <c r="DE66" s="43"/>
      <c r="DF66" s="43"/>
      <c r="DG66" s="43"/>
      <c r="DH66" s="43"/>
      <c r="DI66" s="43"/>
      <c r="DJ66" s="43"/>
      <c r="DK66" s="43"/>
      <c r="DL66" s="43"/>
      <c r="DM66" s="43"/>
      <c r="DN66" s="43"/>
      <c r="DO66" s="43"/>
      <c r="DP66" s="43"/>
      <c r="DQ66" s="43"/>
      <c r="DR66" s="43"/>
      <c r="DS66" s="43"/>
      <c r="DT66" s="43"/>
      <c r="DU66" s="43"/>
      <c r="DV66" s="43"/>
      <c r="DW66" s="43"/>
      <c r="DX66" s="43"/>
      <c r="DY66" s="43"/>
      <c r="DZ66" s="43"/>
      <c r="EA66" s="43"/>
      <c r="EB66" s="43"/>
      <c r="EC66" s="43"/>
      <c r="ED66" s="43"/>
      <c r="EE66" s="43"/>
      <c r="EF66" s="43"/>
      <c r="EG66" s="43"/>
      <c r="EH66" s="43"/>
      <c r="EI66" s="43"/>
      <c r="EJ66" s="43"/>
      <c r="EK66" s="43"/>
      <c r="EL66" s="43"/>
      <c r="EM66" s="43"/>
      <c r="EN66" s="43"/>
      <c r="EO66" s="43"/>
      <c r="EP66" s="43"/>
      <c r="EQ66" s="43"/>
      <c r="ER66" s="43"/>
      <c r="ES66" s="43"/>
      <c r="ET66" s="43"/>
      <c r="EU66" s="43"/>
      <c r="EV66" s="43"/>
      <c r="EW66" s="43"/>
      <c r="EX66" s="43"/>
      <c r="EY66" s="43"/>
      <c r="EZ66" s="43"/>
      <c r="FA66" s="43"/>
      <c r="FB66" s="43"/>
      <c r="FC66" s="43"/>
      <c r="FD66" s="43"/>
      <c r="FE66" s="43"/>
      <c r="FF66" s="43"/>
      <c r="FG66" s="43"/>
      <c r="FH66" s="43"/>
      <c r="FI66" s="43"/>
      <c r="FJ66" s="43"/>
      <c r="FK66" s="43"/>
      <c r="FL66" s="43"/>
      <c r="FM66" s="43"/>
      <c r="FN66" s="43"/>
      <c r="FO66" s="43"/>
      <c r="FP66" s="43"/>
      <c r="FQ66" s="43"/>
      <c r="FR66" s="43"/>
      <c r="FS66" s="43"/>
      <c r="FT66" s="43"/>
      <c r="FU66" s="43"/>
      <c r="FV66" s="43"/>
      <c r="FW66" s="43"/>
      <c r="FX66" s="43"/>
      <c r="FY66" s="43"/>
      <c r="FZ66" s="43"/>
      <c r="GA66" s="43"/>
      <c r="GB66" s="43"/>
      <c r="GC66" s="43"/>
      <c r="GD66" s="43"/>
      <c r="GE66" s="43"/>
      <c r="GF66" s="43"/>
      <c r="GG66" s="43"/>
      <c r="GH66" s="43"/>
      <c r="GI66" s="43"/>
      <c r="GJ66" s="43"/>
      <c r="GK66" s="43"/>
      <c r="GL66" s="43"/>
      <c r="GM66" s="43"/>
      <c r="GN66" s="43"/>
      <c r="GO66" s="43"/>
      <c r="GP66" s="43"/>
      <c r="GQ66" s="43"/>
      <c r="GR66" s="43"/>
      <c r="GS66" s="43"/>
      <c r="GT66" s="43"/>
      <c r="GU66" s="43"/>
      <c r="GV66" s="43"/>
      <c r="GW66" s="43"/>
      <c r="GX66" s="43"/>
      <c r="GY66" s="43"/>
      <c r="GZ66" s="43"/>
      <c r="HA66" s="43"/>
      <c r="HB66" s="43"/>
      <c r="HC66" s="43"/>
      <c r="HD66" s="43"/>
      <c r="HE66" s="43"/>
      <c r="HF66" s="43"/>
      <c r="HG66" s="43"/>
      <c r="HH66" s="43"/>
      <c r="HI66" s="43"/>
      <c r="HJ66" s="43"/>
      <c r="HK66" s="43"/>
      <c r="HL66" s="43"/>
      <c r="HM66" s="43"/>
      <c r="HN66" s="43"/>
      <c r="HO66" s="43"/>
      <c r="HP66" s="43"/>
      <c r="HQ66" s="43"/>
      <c r="HR66" s="43"/>
      <c r="HS66" s="43"/>
      <c r="HT66" s="43"/>
      <c r="HU66" s="43"/>
      <c r="HV66" s="43"/>
      <c r="HW66" s="43"/>
      <c r="HX66" s="43"/>
      <c r="HY66" s="43"/>
      <c r="HZ66" s="43"/>
      <c r="IA66" s="43"/>
      <c r="IB66" s="43"/>
      <c r="IC66" s="43"/>
      <c r="ID66" s="43"/>
      <c r="IE66" s="43"/>
      <c r="IF66" s="43"/>
      <c r="IG66" s="43"/>
      <c r="IH66" s="43"/>
      <c r="II66" s="43"/>
      <c r="IJ66" s="43"/>
      <c r="IK66" s="43"/>
      <c r="IL66" s="43"/>
      <c r="IM66" s="43"/>
      <c r="IN66" s="43"/>
      <c r="IO66" s="43"/>
      <c r="IP66" s="43"/>
      <c r="IQ66" s="43"/>
      <c r="IR66" s="43"/>
      <c r="IS66" s="43"/>
      <c r="IT66" s="43"/>
      <c r="IU66" s="43"/>
      <c r="IV66" s="43"/>
      <c r="IW66" s="43"/>
      <c r="IX66" s="43"/>
      <c r="IY66" s="43"/>
      <c r="IZ66" s="43"/>
      <c r="JA66" s="43"/>
      <c r="JB66" s="43"/>
      <c r="JC66" s="43"/>
      <c r="JD66" s="43"/>
      <c r="JE66" s="43"/>
      <c r="JF66" s="43"/>
      <c r="JG66" s="43"/>
      <c r="JH66" s="43"/>
      <c r="JI66" s="43"/>
      <c r="JJ66" s="43"/>
      <c r="JK66" s="43"/>
      <c r="JL66" s="43"/>
      <c r="JM66" s="43"/>
      <c r="JN66" s="43"/>
      <c r="JO66" s="43"/>
      <c r="JP66" s="43"/>
      <c r="JQ66" s="43"/>
      <c r="JR66" s="43"/>
      <c r="JS66" s="43"/>
      <c r="JT66" s="43"/>
      <c r="JU66" s="43"/>
      <c r="JV66" s="43"/>
      <c r="JW66" s="43"/>
      <c r="JX66" s="43"/>
      <c r="JY66" s="43"/>
      <c r="JZ66" s="43"/>
      <c r="KA66" s="43"/>
      <c r="KB66" s="43"/>
      <c r="KC66" s="43"/>
      <c r="KD66" s="43"/>
      <c r="KE66" s="43"/>
      <c r="KF66" s="43"/>
      <c r="KG66" s="43"/>
      <c r="KH66" s="43"/>
      <c r="KI66" s="43"/>
      <c r="KJ66" s="43"/>
      <c r="KK66" s="43"/>
      <c r="KL66" s="43"/>
      <c r="KM66" s="43"/>
      <c r="KN66" s="43"/>
      <c r="KO66" s="43"/>
      <c r="KP66" s="43"/>
      <c r="KQ66" s="43"/>
      <c r="KR66" s="43"/>
      <c r="KS66" s="43"/>
      <c r="KT66" s="43"/>
      <c r="KU66" s="43"/>
      <c r="KV66" s="43"/>
      <c r="KW66" s="43"/>
      <c r="KX66" s="43"/>
      <c r="KY66" s="43"/>
      <c r="KZ66" s="43"/>
      <c r="LA66" s="43"/>
      <c r="LB66" s="43"/>
      <c r="LC66" s="43"/>
      <c r="LD66" s="43"/>
      <c r="LE66" s="43"/>
      <c r="LF66" s="43"/>
      <c r="LG66" s="43"/>
      <c r="LH66" s="43"/>
      <c r="LI66" s="43"/>
      <c r="LJ66" s="43"/>
      <c r="LK66" s="43"/>
      <c r="LL66" s="43"/>
      <c r="LM66" s="43"/>
      <c r="LN66" s="43"/>
      <c r="LO66" s="43"/>
      <c r="LP66" s="43"/>
      <c r="LQ66" s="43"/>
      <c r="LR66" s="43"/>
      <c r="LS66" s="43"/>
      <c r="LT66" s="43"/>
      <c r="LU66" s="43"/>
      <c r="LV66" s="43"/>
      <c r="LW66" s="43"/>
      <c r="LX66" s="43"/>
      <c r="LY66" s="43"/>
      <c r="LZ66" s="43"/>
      <c r="MA66" s="43"/>
      <c r="MB66" s="43"/>
      <c r="MC66" s="43"/>
      <c r="MD66" s="43"/>
      <c r="ME66" s="43"/>
      <c r="MF66" s="43"/>
      <c r="MG66" s="43"/>
      <c r="MH66" s="43"/>
      <c r="MI66" s="43"/>
      <c r="MJ66" s="43"/>
      <c r="MK66" s="43"/>
      <c r="ML66" s="43"/>
      <c r="MM66" s="43"/>
      <c r="MN66" s="43"/>
      <c r="MO66" s="43"/>
      <c r="MP66" s="43"/>
      <c r="MQ66" s="43"/>
      <c r="MR66" s="43"/>
      <c r="MS66" s="43"/>
      <c r="MT66" s="43"/>
      <c r="MU66" s="43"/>
      <c r="MV66" s="43"/>
      <c r="MW66" s="43"/>
      <c r="MX66" s="43"/>
      <c r="MY66" s="43"/>
      <c r="MZ66" s="43"/>
      <c r="NA66" s="43"/>
      <c r="NB66" s="43"/>
      <c r="NC66" s="43"/>
      <c r="ND66" s="43"/>
      <c r="NE66" s="43"/>
      <c r="NF66" s="43"/>
      <c r="NG66" s="43"/>
      <c r="NH66" s="43"/>
      <c r="NI66" s="43"/>
      <c r="NJ66" s="43"/>
      <c r="NK66" s="43"/>
      <c r="NL66" s="43"/>
      <c r="NM66" s="43"/>
      <c r="NN66" s="43"/>
      <c r="NO66" s="43"/>
      <c r="NP66" s="43"/>
      <c r="NQ66" s="43"/>
      <c r="NR66" s="43"/>
      <c r="NS66" s="43"/>
      <c r="NT66" s="43"/>
      <c r="NU66" s="43"/>
      <c r="NV66" s="43"/>
      <c r="NW66" s="43"/>
      <c r="NX66" s="43"/>
      <c r="NY66" s="43"/>
      <c r="NZ66" s="43"/>
      <c r="OA66" s="43"/>
      <c r="OB66" s="43"/>
      <c r="OC66" s="43"/>
      <c r="OD66" s="43"/>
      <c r="OE66" s="43"/>
      <c r="OF66" s="43"/>
      <c r="OG66" s="43"/>
      <c r="OH66" s="43"/>
      <c r="OI66" s="43"/>
      <c r="OJ66" s="43"/>
      <c r="OK66" s="43"/>
      <c r="OL66" s="43"/>
      <c r="OM66" s="43"/>
      <c r="ON66" s="43"/>
      <c r="OO66" s="43"/>
      <c r="OP66" s="43"/>
      <c r="OQ66" s="43"/>
      <c r="OR66" s="43"/>
      <c r="OS66" s="43"/>
      <c r="OT66" s="43"/>
      <c r="OU66" s="43"/>
      <c r="OV66" s="43"/>
      <c r="OW66" s="43"/>
      <c r="OX66" s="43"/>
      <c r="OY66" s="43"/>
      <c r="OZ66" s="43"/>
      <c r="PA66" s="43"/>
      <c r="PB66" s="43"/>
      <c r="PC66" s="43"/>
      <c r="PD66" s="43"/>
      <c r="PE66" s="43"/>
      <c r="PF66" s="43"/>
      <c r="PG66" s="43"/>
      <c r="PH66" s="43"/>
      <c r="PI66" s="43"/>
      <c r="PJ66" s="43"/>
      <c r="PK66" s="43"/>
      <c r="PL66" s="43"/>
      <c r="PM66" s="43"/>
      <c r="PN66" s="43"/>
      <c r="PO66" s="43"/>
      <c r="PP66" s="43"/>
      <c r="PQ66" s="43"/>
      <c r="PR66" s="43"/>
      <c r="PS66" s="43"/>
      <c r="PT66" s="43"/>
      <c r="PU66" s="43"/>
      <c r="PV66" s="43"/>
      <c r="PW66" s="43"/>
      <c r="PX66" s="43"/>
      <c r="PY66" s="43"/>
      <c r="PZ66" s="43"/>
      <c r="QA66" s="43"/>
      <c r="QB66" s="43"/>
      <c r="QC66" s="43"/>
    </row>
    <row r="67" spans="1:445" x14ac:dyDescent="0.3"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 t="str">
        <f t="shared" si="6"/>
        <v/>
      </c>
      <c r="U67" s="45" t="str">
        <f t="shared" si="7"/>
        <v/>
      </c>
      <c r="V67" s="68" t="str">
        <f t="shared" si="8"/>
        <v/>
      </c>
      <c r="W67" s="48"/>
      <c r="X67" s="66" t="str">
        <f t="shared" si="9"/>
        <v/>
      </c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43"/>
      <c r="CY67" s="43"/>
      <c r="CZ67" s="43"/>
      <c r="DA67" s="43"/>
      <c r="DB67" s="43"/>
      <c r="DC67" s="43"/>
      <c r="DD67" s="43"/>
      <c r="DE67" s="43"/>
      <c r="DF67" s="43"/>
      <c r="DG67" s="43"/>
      <c r="DH67" s="43"/>
      <c r="DI67" s="43"/>
      <c r="DJ67" s="43"/>
      <c r="DK67" s="43"/>
      <c r="DL67" s="43"/>
      <c r="DM67" s="43"/>
      <c r="DN67" s="43"/>
      <c r="DO67" s="43"/>
      <c r="DP67" s="43"/>
      <c r="DQ67" s="43"/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3"/>
      <c r="ED67" s="43"/>
      <c r="EE67" s="43"/>
      <c r="EF67" s="43"/>
      <c r="EG67" s="43"/>
      <c r="EH67" s="43"/>
      <c r="EI67" s="43"/>
      <c r="EJ67" s="43"/>
      <c r="EK67" s="43"/>
      <c r="EL67" s="43"/>
      <c r="EM67" s="43"/>
      <c r="EN67" s="43"/>
      <c r="EO67" s="43"/>
      <c r="EP67" s="43"/>
      <c r="EQ67" s="43"/>
      <c r="ER67" s="43"/>
      <c r="ES67" s="43"/>
      <c r="ET67" s="43"/>
      <c r="EU67" s="43"/>
      <c r="EV67" s="43"/>
      <c r="EW67" s="43"/>
      <c r="EX67" s="43"/>
      <c r="EY67" s="43"/>
      <c r="EZ67" s="43"/>
      <c r="FA67" s="43"/>
      <c r="FB67" s="43"/>
      <c r="FC67" s="43"/>
      <c r="FD67" s="43"/>
      <c r="FE67" s="43"/>
      <c r="FF67" s="43"/>
      <c r="FG67" s="43"/>
      <c r="FH67" s="43"/>
      <c r="FI67" s="43"/>
      <c r="FJ67" s="43"/>
      <c r="FK67" s="43"/>
      <c r="FL67" s="43"/>
      <c r="FM67" s="43"/>
      <c r="FN67" s="43"/>
      <c r="FO67" s="43"/>
      <c r="FP67" s="43"/>
      <c r="FQ67" s="43"/>
      <c r="FR67" s="43"/>
      <c r="FS67" s="43"/>
      <c r="FT67" s="43"/>
      <c r="FU67" s="43"/>
      <c r="FV67" s="43"/>
      <c r="FW67" s="43"/>
      <c r="FX67" s="43"/>
      <c r="FY67" s="43"/>
      <c r="FZ67" s="43"/>
      <c r="GA67" s="43"/>
      <c r="GB67" s="43"/>
      <c r="GC67" s="43"/>
      <c r="GD67" s="43"/>
      <c r="GE67" s="43"/>
      <c r="GF67" s="43"/>
      <c r="GG67" s="43"/>
      <c r="GH67" s="43"/>
      <c r="GI67" s="43"/>
      <c r="GJ67" s="43"/>
      <c r="GK67" s="43"/>
      <c r="GL67" s="43"/>
      <c r="GM67" s="43"/>
      <c r="GN67" s="43"/>
      <c r="GO67" s="43"/>
      <c r="GP67" s="43"/>
      <c r="GQ67" s="43"/>
      <c r="GR67" s="43"/>
      <c r="GS67" s="43"/>
      <c r="GT67" s="43"/>
      <c r="GU67" s="43"/>
      <c r="GV67" s="43"/>
      <c r="GW67" s="43"/>
      <c r="GX67" s="43"/>
      <c r="GY67" s="43"/>
      <c r="GZ67" s="43"/>
      <c r="HA67" s="43"/>
      <c r="HB67" s="43"/>
      <c r="HC67" s="43"/>
      <c r="HD67" s="43"/>
      <c r="HE67" s="43"/>
      <c r="HF67" s="43"/>
      <c r="HG67" s="43"/>
      <c r="HH67" s="43"/>
      <c r="HI67" s="43"/>
      <c r="HJ67" s="43"/>
      <c r="HK67" s="43"/>
      <c r="HL67" s="43"/>
      <c r="HM67" s="43"/>
      <c r="HN67" s="43"/>
      <c r="HO67" s="43"/>
      <c r="HP67" s="43"/>
      <c r="HQ67" s="43"/>
      <c r="HR67" s="43"/>
      <c r="HS67" s="43"/>
      <c r="HT67" s="43"/>
      <c r="HU67" s="43"/>
      <c r="HV67" s="43"/>
      <c r="HW67" s="43"/>
      <c r="HX67" s="43"/>
      <c r="HY67" s="43"/>
      <c r="HZ67" s="43"/>
      <c r="IA67" s="43"/>
      <c r="IB67" s="43"/>
      <c r="IC67" s="43"/>
      <c r="ID67" s="43"/>
      <c r="IE67" s="43"/>
      <c r="IF67" s="43"/>
      <c r="IG67" s="43"/>
      <c r="IH67" s="43"/>
      <c r="II67" s="43"/>
      <c r="IJ67" s="43"/>
      <c r="IK67" s="43"/>
      <c r="IL67" s="43"/>
      <c r="IM67" s="43"/>
      <c r="IN67" s="43"/>
      <c r="IO67" s="43"/>
      <c r="IP67" s="43"/>
      <c r="IQ67" s="43"/>
      <c r="IR67" s="43"/>
      <c r="IS67" s="43"/>
      <c r="IT67" s="43"/>
      <c r="IU67" s="43"/>
      <c r="IV67" s="43"/>
      <c r="IW67" s="43"/>
      <c r="IX67" s="43"/>
      <c r="IY67" s="43"/>
      <c r="IZ67" s="43"/>
      <c r="JA67" s="43"/>
      <c r="JB67" s="43"/>
      <c r="JC67" s="43"/>
      <c r="JD67" s="43"/>
      <c r="JE67" s="43"/>
      <c r="JF67" s="43"/>
      <c r="JG67" s="43"/>
      <c r="JH67" s="43"/>
      <c r="JI67" s="43"/>
      <c r="JJ67" s="43"/>
      <c r="JK67" s="43"/>
      <c r="JL67" s="43"/>
      <c r="JM67" s="43"/>
      <c r="JN67" s="43"/>
      <c r="JO67" s="43"/>
      <c r="JP67" s="43"/>
      <c r="JQ67" s="43"/>
      <c r="JR67" s="43"/>
      <c r="JS67" s="43"/>
      <c r="JT67" s="43"/>
      <c r="JU67" s="43"/>
      <c r="JV67" s="43"/>
      <c r="JW67" s="43"/>
      <c r="JX67" s="43"/>
      <c r="JY67" s="43"/>
      <c r="JZ67" s="43"/>
      <c r="KA67" s="43"/>
      <c r="KB67" s="43"/>
      <c r="KC67" s="43"/>
      <c r="KD67" s="43"/>
      <c r="KE67" s="43"/>
      <c r="KF67" s="43"/>
      <c r="KG67" s="43"/>
      <c r="KH67" s="43"/>
      <c r="KI67" s="43"/>
      <c r="KJ67" s="43"/>
      <c r="KK67" s="43"/>
      <c r="KL67" s="43"/>
      <c r="KM67" s="43"/>
      <c r="KN67" s="43"/>
      <c r="KO67" s="43"/>
      <c r="KP67" s="43"/>
      <c r="KQ67" s="43"/>
      <c r="KR67" s="43"/>
      <c r="KS67" s="43"/>
      <c r="KT67" s="43"/>
      <c r="KU67" s="43"/>
      <c r="KV67" s="43"/>
      <c r="KW67" s="43"/>
      <c r="KX67" s="43"/>
      <c r="KY67" s="43"/>
      <c r="KZ67" s="43"/>
      <c r="LA67" s="43"/>
      <c r="LB67" s="43"/>
      <c r="LC67" s="43"/>
      <c r="LD67" s="43"/>
      <c r="LE67" s="43"/>
      <c r="LF67" s="43"/>
      <c r="LG67" s="43"/>
      <c r="LH67" s="43"/>
      <c r="LI67" s="43"/>
      <c r="LJ67" s="43"/>
      <c r="LK67" s="43"/>
      <c r="LL67" s="43"/>
      <c r="LM67" s="43"/>
      <c r="LN67" s="43"/>
      <c r="LO67" s="43"/>
      <c r="LP67" s="43"/>
      <c r="LQ67" s="43"/>
      <c r="LR67" s="43"/>
      <c r="LS67" s="43"/>
      <c r="LT67" s="43"/>
      <c r="LU67" s="43"/>
      <c r="LV67" s="43"/>
      <c r="LW67" s="43"/>
      <c r="LX67" s="43"/>
      <c r="LY67" s="43"/>
      <c r="LZ67" s="43"/>
      <c r="MA67" s="43"/>
      <c r="MB67" s="43"/>
      <c r="MC67" s="43"/>
      <c r="MD67" s="43"/>
      <c r="ME67" s="43"/>
      <c r="MF67" s="43"/>
      <c r="MG67" s="43"/>
      <c r="MH67" s="43"/>
      <c r="MI67" s="43"/>
      <c r="MJ67" s="43"/>
      <c r="MK67" s="43"/>
      <c r="ML67" s="43"/>
      <c r="MM67" s="43"/>
      <c r="MN67" s="43"/>
      <c r="MO67" s="43"/>
      <c r="MP67" s="43"/>
      <c r="MQ67" s="43"/>
      <c r="MR67" s="43"/>
      <c r="MS67" s="43"/>
      <c r="MT67" s="43"/>
      <c r="MU67" s="43"/>
      <c r="MV67" s="43"/>
      <c r="MW67" s="43"/>
      <c r="MX67" s="43"/>
      <c r="MY67" s="43"/>
      <c r="MZ67" s="43"/>
      <c r="NA67" s="43"/>
      <c r="NB67" s="43"/>
      <c r="NC67" s="43"/>
      <c r="ND67" s="43"/>
      <c r="NE67" s="43"/>
      <c r="NF67" s="43"/>
      <c r="NG67" s="43"/>
      <c r="NH67" s="43"/>
      <c r="NI67" s="43"/>
      <c r="NJ67" s="43"/>
      <c r="NK67" s="43"/>
      <c r="NL67" s="43"/>
      <c r="NM67" s="43"/>
      <c r="NN67" s="43"/>
      <c r="NO67" s="43"/>
      <c r="NP67" s="43"/>
      <c r="NQ67" s="43"/>
      <c r="NR67" s="43"/>
      <c r="NS67" s="43"/>
      <c r="NT67" s="43"/>
      <c r="NU67" s="43"/>
      <c r="NV67" s="43"/>
      <c r="NW67" s="43"/>
      <c r="NX67" s="43"/>
      <c r="NY67" s="43"/>
      <c r="NZ67" s="43"/>
      <c r="OA67" s="43"/>
      <c r="OB67" s="43"/>
      <c r="OC67" s="43"/>
      <c r="OD67" s="43"/>
      <c r="OE67" s="43"/>
      <c r="OF67" s="43"/>
      <c r="OG67" s="43"/>
      <c r="OH67" s="43"/>
      <c r="OI67" s="43"/>
      <c r="OJ67" s="43"/>
      <c r="OK67" s="43"/>
      <c r="OL67" s="43"/>
      <c r="OM67" s="43"/>
      <c r="ON67" s="43"/>
      <c r="OO67" s="43"/>
      <c r="OP67" s="43"/>
      <c r="OQ67" s="43"/>
      <c r="OR67" s="43"/>
      <c r="OS67" s="43"/>
      <c r="OT67" s="43"/>
      <c r="OU67" s="43"/>
      <c r="OV67" s="43"/>
      <c r="OW67" s="43"/>
      <c r="OX67" s="43"/>
      <c r="OY67" s="43"/>
      <c r="OZ67" s="43"/>
      <c r="PA67" s="43"/>
      <c r="PB67" s="43"/>
      <c r="PC67" s="43"/>
      <c r="PD67" s="43"/>
      <c r="PE67" s="43"/>
      <c r="PF67" s="43"/>
      <c r="PG67" s="43"/>
      <c r="PH67" s="43"/>
      <c r="PI67" s="43"/>
      <c r="PJ67" s="43"/>
      <c r="PK67" s="43"/>
      <c r="PL67" s="43"/>
      <c r="PM67" s="43"/>
      <c r="PN67" s="43"/>
      <c r="PO67" s="43"/>
      <c r="PP67" s="43"/>
      <c r="PQ67" s="43"/>
      <c r="PR67" s="43"/>
      <c r="PS67" s="43"/>
      <c r="PT67" s="43"/>
      <c r="PU67" s="43"/>
      <c r="PV67" s="43"/>
      <c r="PW67" s="43"/>
      <c r="PX67" s="43"/>
      <c r="PY67" s="43"/>
      <c r="PZ67" s="43"/>
      <c r="QA67" s="43"/>
      <c r="QB67" s="43"/>
      <c r="QC67" s="43"/>
    </row>
    <row r="68" spans="1:445" x14ac:dyDescent="0.3"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 t="str">
        <f t="shared" si="6"/>
        <v/>
      </c>
      <c r="U68" s="45" t="str">
        <f t="shared" si="7"/>
        <v/>
      </c>
      <c r="V68" s="68" t="str">
        <f t="shared" si="8"/>
        <v/>
      </c>
      <c r="W68" s="48"/>
      <c r="X68" s="66" t="str">
        <f t="shared" ref="X68:X99" si="10">IF(W68&lt;&gt;"",F68 - (SUM(G68:S68)),"")</f>
        <v/>
      </c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43"/>
      <c r="CY68" s="43"/>
      <c r="CZ68" s="43"/>
      <c r="DA68" s="43"/>
      <c r="DB68" s="43"/>
      <c r="DC68" s="43"/>
      <c r="DD68" s="43"/>
      <c r="DE68" s="43"/>
      <c r="DF68" s="43"/>
      <c r="DG68" s="43"/>
      <c r="DH68" s="43"/>
      <c r="DI68" s="43"/>
      <c r="DJ68" s="43"/>
      <c r="DK68" s="43"/>
      <c r="DL68" s="43"/>
      <c r="DM68" s="43"/>
      <c r="DN68" s="43"/>
      <c r="DO68" s="43"/>
      <c r="DP68" s="43"/>
      <c r="DQ68" s="43"/>
      <c r="DR68" s="43"/>
      <c r="DS68" s="43"/>
      <c r="DT68" s="43"/>
      <c r="DU68" s="43"/>
      <c r="DV68" s="43"/>
      <c r="DW68" s="43"/>
      <c r="DX68" s="43"/>
      <c r="DY68" s="43"/>
      <c r="DZ68" s="43"/>
      <c r="EA68" s="43"/>
      <c r="EB68" s="43"/>
      <c r="EC68" s="43"/>
      <c r="ED68" s="43"/>
      <c r="EE68" s="43"/>
      <c r="EF68" s="43"/>
      <c r="EG68" s="43"/>
      <c r="EH68" s="43"/>
      <c r="EI68" s="43"/>
      <c r="EJ68" s="43"/>
      <c r="EK68" s="43"/>
      <c r="EL68" s="43"/>
      <c r="EM68" s="43"/>
      <c r="EN68" s="43"/>
      <c r="EO68" s="43"/>
      <c r="EP68" s="43"/>
      <c r="EQ68" s="43"/>
      <c r="ER68" s="43"/>
      <c r="ES68" s="43"/>
      <c r="ET68" s="43"/>
      <c r="EU68" s="43"/>
      <c r="EV68" s="43"/>
      <c r="EW68" s="43"/>
      <c r="EX68" s="43"/>
      <c r="EY68" s="43"/>
      <c r="EZ68" s="43"/>
      <c r="FA68" s="43"/>
      <c r="FB68" s="43"/>
      <c r="FC68" s="43"/>
      <c r="FD68" s="43"/>
      <c r="FE68" s="43"/>
      <c r="FF68" s="43"/>
      <c r="FG68" s="43"/>
      <c r="FH68" s="43"/>
      <c r="FI68" s="43"/>
      <c r="FJ68" s="43"/>
      <c r="FK68" s="43"/>
      <c r="FL68" s="43"/>
      <c r="FM68" s="43"/>
      <c r="FN68" s="43"/>
      <c r="FO68" s="43"/>
      <c r="FP68" s="43"/>
      <c r="FQ68" s="43"/>
      <c r="FR68" s="43"/>
      <c r="FS68" s="43"/>
      <c r="FT68" s="43"/>
      <c r="FU68" s="43"/>
      <c r="FV68" s="43"/>
      <c r="FW68" s="43"/>
      <c r="FX68" s="43"/>
      <c r="FY68" s="43"/>
      <c r="FZ68" s="43"/>
      <c r="GA68" s="43"/>
      <c r="GB68" s="43"/>
      <c r="GC68" s="43"/>
      <c r="GD68" s="43"/>
      <c r="GE68" s="43"/>
      <c r="GF68" s="43"/>
      <c r="GG68" s="43"/>
      <c r="GH68" s="43"/>
      <c r="GI68" s="43"/>
      <c r="GJ68" s="43"/>
      <c r="GK68" s="43"/>
      <c r="GL68" s="43"/>
      <c r="GM68" s="43"/>
      <c r="GN68" s="43"/>
      <c r="GO68" s="43"/>
      <c r="GP68" s="43"/>
      <c r="GQ68" s="43"/>
      <c r="GR68" s="43"/>
      <c r="GS68" s="43"/>
      <c r="GT68" s="43"/>
      <c r="GU68" s="43"/>
      <c r="GV68" s="43"/>
      <c r="GW68" s="43"/>
      <c r="GX68" s="43"/>
      <c r="GY68" s="43"/>
      <c r="GZ68" s="43"/>
      <c r="HA68" s="43"/>
      <c r="HB68" s="43"/>
      <c r="HC68" s="43"/>
      <c r="HD68" s="43"/>
      <c r="HE68" s="43"/>
      <c r="HF68" s="43"/>
      <c r="HG68" s="43"/>
      <c r="HH68" s="43"/>
      <c r="HI68" s="43"/>
      <c r="HJ68" s="43"/>
      <c r="HK68" s="43"/>
      <c r="HL68" s="43"/>
      <c r="HM68" s="43"/>
      <c r="HN68" s="43"/>
      <c r="HO68" s="43"/>
      <c r="HP68" s="43"/>
      <c r="HQ68" s="43"/>
      <c r="HR68" s="43"/>
      <c r="HS68" s="43"/>
      <c r="HT68" s="43"/>
      <c r="HU68" s="43"/>
      <c r="HV68" s="43"/>
      <c r="HW68" s="43"/>
      <c r="HX68" s="43"/>
      <c r="HY68" s="43"/>
      <c r="HZ68" s="43"/>
      <c r="IA68" s="43"/>
      <c r="IB68" s="43"/>
      <c r="IC68" s="43"/>
      <c r="ID68" s="43"/>
      <c r="IE68" s="43"/>
      <c r="IF68" s="43"/>
      <c r="IG68" s="43"/>
      <c r="IH68" s="43"/>
      <c r="II68" s="43"/>
      <c r="IJ68" s="43"/>
      <c r="IK68" s="43"/>
      <c r="IL68" s="43"/>
      <c r="IM68" s="43"/>
      <c r="IN68" s="43"/>
      <c r="IO68" s="43"/>
      <c r="IP68" s="43"/>
      <c r="IQ68" s="43"/>
      <c r="IR68" s="43"/>
      <c r="IS68" s="43"/>
      <c r="IT68" s="43"/>
      <c r="IU68" s="43"/>
      <c r="IV68" s="43"/>
      <c r="IW68" s="43"/>
      <c r="IX68" s="43"/>
      <c r="IY68" s="43"/>
      <c r="IZ68" s="43"/>
      <c r="JA68" s="43"/>
      <c r="JB68" s="43"/>
      <c r="JC68" s="43"/>
      <c r="JD68" s="43"/>
      <c r="JE68" s="43"/>
      <c r="JF68" s="43"/>
      <c r="JG68" s="43"/>
      <c r="JH68" s="43"/>
      <c r="JI68" s="43"/>
      <c r="JJ68" s="43"/>
      <c r="JK68" s="43"/>
      <c r="JL68" s="43"/>
      <c r="JM68" s="43"/>
      <c r="JN68" s="43"/>
      <c r="JO68" s="43"/>
      <c r="JP68" s="43"/>
      <c r="JQ68" s="43"/>
      <c r="JR68" s="43"/>
      <c r="JS68" s="43"/>
      <c r="JT68" s="43"/>
      <c r="JU68" s="43"/>
      <c r="JV68" s="43"/>
      <c r="JW68" s="43"/>
      <c r="JX68" s="43"/>
      <c r="JY68" s="43"/>
      <c r="JZ68" s="43"/>
      <c r="KA68" s="43"/>
      <c r="KB68" s="43"/>
      <c r="KC68" s="43"/>
      <c r="KD68" s="43"/>
      <c r="KE68" s="43"/>
      <c r="KF68" s="43"/>
      <c r="KG68" s="43"/>
      <c r="KH68" s="43"/>
      <c r="KI68" s="43"/>
      <c r="KJ68" s="43"/>
      <c r="KK68" s="43"/>
      <c r="KL68" s="43"/>
      <c r="KM68" s="43"/>
      <c r="KN68" s="43"/>
      <c r="KO68" s="43"/>
      <c r="KP68" s="43"/>
      <c r="KQ68" s="43"/>
      <c r="KR68" s="43"/>
      <c r="KS68" s="43"/>
      <c r="KT68" s="43"/>
      <c r="KU68" s="43"/>
      <c r="KV68" s="43"/>
      <c r="KW68" s="43"/>
      <c r="KX68" s="43"/>
      <c r="KY68" s="43"/>
      <c r="KZ68" s="43"/>
      <c r="LA68" s="43"/>
      <c r="LB68" s="43"/>
      <c r="LC68" s="43"/>
      <c r="LD68" s="43"/>
      <c r="LE68" s="43"/>
      <c r="LF68" s="43"/>
      <c r="LG68" s="43"/>
      <c r="LH68" s="43"/>
      <c r="LI68" s="43"/>
      <c r="LJ68" s="43"/>
      <c r="LK68" s="43"/>
      <c r="LL68" s="43"/>
      <c r="LM68" s="43"/>
      <c r="LN68" s="43"/>
      <c r="LO68" s="43"/>
      <c r="LP68" s="43"/>
      <c r="LQ68" s="43"/>
      <c r="LR68" s="43"/>
      <c r="LS68" s="43"/>
      <c r="LT68" s="43"/>
      <c r="LU68" s="43"/>
      <c r="LV68" s="43"/>
      <c r="LW68" s="43"/>
      <c r="LX68" s="43"/>
      <c r="LY68" s="43"/>
      <c r="LZ68" s="43"/>
      <c r="MA68" s="43"/>
      <c r="MB68" s="43"/>
      <c r="MC68" s="43"/>
      <c r="MD68" s="43"/>
      <c r="ME68" s="43"/>
      <c r="MF68" s="43"/>
      <c r="MG68" s="43"/>
      <c r="MH68" s="43"/>
      <c r="MI68" s="43"/>
      <c r="MJ68" s="43"/>
      <c r="MK68" s="43"/>
      <c r="ML68" s="43"/>
      <c r="MM68" s="43"/>
      <c r="MN68" s="43"/>
      <c r="MO68" s="43"/>
      <c r="MP68" s="43"/>
      <c r="MQ68" s="43"/>
      <c r="MR68" s="43"/>
      <c r="MS68" s="43"/>
      <c r="MT68" s="43"/>
      <c r="MU68" s="43"/>
      <c r="MV68" s="43"/>
      <c r="MW68" s="43"/>
      <c r="MX68" s="43"/>
      <c r="MY68" s="43"/>
      <c r="MZ68" s="43"/>
      <c r="NA68" s="43"/>
      <c r="NB68" s="43"/>
      <c r="NC68" s="43"/>
      <c r="ND68" s="43"/>
      <c r="NE68" s="43"/>
      <c r="NF68" s="43"/>
      <c r="NG68" s="43"/>
      <c r="NH68" s="43"/>
      <c r="NI68" s="43"/>
      <c r="NJ68" s="43"/>
      <c r="NK68" s="43"/>
      <c r="NL68" s="43"/>
      <c r="NM68" s="43"/>
      <c r="NN68" s="43"/>
      <c r="NO68" s="43"/>
      <c r="NP68" s="43"/>
      <c r="NQ68" s="43"/>
      <c r="NR68" s="43"/>
      <c r="NS68" s="43"/>
      <c r="NT68" s="43"/>
      <c r="NU68" s="43"/>
      <c r="NV68" s="43"/>
      <c r="NW68" s="43"/>
      <c r="NX68" s="43"/>
      <c r="NY68" s="43"/>
      <c r="NZ68" s="43"/>
      <c r="OA68" s="43"/>
      <c r="OB68" s="43"/>
      <c r="OC68" s="43"/>
      <c r="OD68" s="43"/>
      <c r="OE68" s="43"/>
      <c r="OF68" s="43"/>
      <c r="OG68" s="43"/>
      <c r="OH68" s="43"/>
      <c r="OI68" s="43"/>
      <c r="OJ68" s="43"/>
      <c r="OK68" s="43"/>
      <c r="OL68" s="43"/>
      <c r="OM68" s="43"/>
      <c r="ON68" s="43"/>
      <c r="OO68" s="43"/>
      <c r="OP68" s="43"/>
      <c r="OQ68" s="43"/>
      <c r="OR68" s="43"/>
      <c r="OS68" s="43"/>
      <c r="OT68" s="43"/>
      <c r="OU68" s="43"/>
      <c r="OV68" s="43"/>
      <c r="OW68" s="43"/>
      <c r="OX68" s="43"/>
      <c r="OY68" s="43"/>
      <c r="OZ68" s="43"/>
      <c r="PA68" s="43"/>
      <c r="PB68" s="43"/>
      <c r="PC68" s="43"/>
      <c r="PD68" s="43"/>
      <c r="PE68" s="43"/>
      <c r="PF68" s="43"/>
      <c r="PG68" s="43"/>
      <c r="PH68" s="43"/>
      <c r="PI68" s="43"/>
      <c r="PJ68" s="43"/>
      <c r="PK68" s="43"/>
      <c r="PL68" s="43"/>
      <c r="PM68" s="43"/>
      <c r="PN68" s="43"/>
      <c r="PO68" s="43"/>
      <c r="PP68" s="43"/>
      <c r="PQ68" s="43"/>
      <c r="PR68" s="43"/>
      <c r="PS68" s="43"/>
      <c r="PT68" s="43"/>
      <c r="PU68" s="43"/>
      <c r="PV68" s="43"/>
      <c r="PW68" s="43"/>
      <c r="PX68" s="43"/>
      <c r="PY68" s="43"/>
      <c r="PZ68" s="43"/>
      <c r="QA68" s="43"/>
      <c r="QB68" s="43"/>
      <c r="QC68" s="43"/>
    </row>
    <row r="69" spans="1:445" x14ac:dyDescent="0.3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 t="str">
        <f t="shared" si="6"/>
        <v/>
      </c>
      <c r="U69" s="45" t="str">
        <f t="shared" si="7"/>
        <v/>
      </c>
      <c r="V69" s="68" t="str">
        <f t="shared" si="8"/>
        <v/>
      </c>
      <c r="W69" s="48"/>
      <c r="X69" s="66" t="str">
        <f t="shared" si="10"/>
        <v/>
      </c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43"/>
      <c r="CY69" s="43"/>
      <c r="CZ69" s="43"/>
      <c r="DA69" s="43"/>
      <c r="DB69" s="43"/>
      <c r="DC69" s="43"/>
      <c r="DD69" s="43"/>
      <c r="DE69" s="43"/>
      <c r="DF69" s="43"/>
      <c r="DG69" s="43"/>
      <c r="DH69" s="43"/>
      <c r="DI69" s="43"/>
      <c r="DJ69" s="43"/>
      <c r="DK69" s="43"/>
      <c r="DL69" s="43"/>
      <c r="DM69" s="43"/>
      <c r="DN69" s="43"/>
      <c r="DO69" s="43"/>
      <c r="DP69" s="43"/>
      <c r="DQ69" s="43"/>
      <c r="DR69" s="43"/>
      <c r="DS69" s="43"/>
      <c r="DT69" s="43"/>
      <c r="DU69" s="43"/>
      <c r="DV69" s="43"/>
      <c r="DW69" s="43"/>
      <c r="DX69" s="43"/>
      <c r="DY69" s="43"/>
      <c r="DZ69" s="43"/>
      <c r="EA69" s="43"/>
      <c r="EB69" s="43"/>
      <c r="EC69" s="43"/>
      <c r="ED69" s="43"/>
      <c r="EE69" s="43"/>
      <c r="EF69" s="43"/>
      <c r="EG69" s="43"/>
      <c r="EH69" s="43"/>
      <c r="EI69" s="43"/>
      <c r="EJ69" s="43"/>
      <c r="EK69" s="43"/>
      <c r="EL69" s="43"/>
      <c r="EM69" s="43"/>
      <c r="EN69" s="43"/>
      <c r="EO69" s="43"/>
      <c r="EP69" s="43"/>
      <c r="EQ69" s="43"/>
      <c r="ER69" s="43"/>
      <c r="ES69" s="43"/>
      <c r="ET69" s="43"/>
      <c r="EU69" s="43"/>
      <c r="EV69" s="43"/>
      <c r="EW69" s="43"/>
      <c r="EX69" s="43"/>
      <c r="EY69" s="43"/>
      <c r="EZ69" s="43"/>
      <c r="FA69" s="43"/>
      <c r="FB69" s="43"/>
      <c r="FC69" s="43"/>
      <c r="FD69" s="43"/>
      <c r="FE69" s="43"/>
      <c r="FF69" s="43"/>
      <c r="FG69" s="43"/>
      <c r="FH69" s="43"/>
      <c r="FI69" s="43"/>
      <c r="FJ69" s="43"/>
      <c r="FK69" s="43"/>
      <c r="FL69" s="43"/>
      <c r="FM69" s="43"/>
      <c r="FN69" s="43"/>
      <c r="FO69" s="43"/>
      <c r="FP69" s="43"/>
      <c r="FQ69" s="43"/>
      <c r="FR69" s="43"/>
      <c r="FS69" s="43"/>
      <c r="FT69" s="43"/>
      <c r="FU69" s="43"/>
      <c r="FV69" s="43"/>
      <c r="FW69" s="43"/>
      <c r="FX69" s="43"/>
      <c r="FY69" s="43"/>
      <c r="FZ69" s="43"/>
      <c r="GA69" s="43"/>
      <c r="GB69" s="43"/>
      <c r="GC69" s="43"/>
      <c r="GD69" s="43"/>
      <c r="GE69" s="43"/>
      <c r="GF69" s="43"/>
      <c r="GG69" s="43"/>
      <c r="GH69" s="43"/>
      <c r="GI69" s="43"/>
      <c r="GJ69" s="43"/>
      <c r="GK69" s="43"/>
      <c r="GL69" s="43"/>
      <c r="GM69" s="43"/>
      <c r="GN69" s="43"/>
      <c r="GO69" s="43"/>
      <c r="GP69" s="43"/>
      <c r="GQ69" s="43"/>
      <c r="GR69" s="43"/>
      <c r="GS69" s="43"/>
      <c r="GT69" s="43"/>
      <c r="GU69" s="43"/>
      <c r="GV69" s="43"/>
      <c r="GW69" s="43"/>
      <c r="GX69" s="43"/>
      <c r="GY69" s="43"/>
      <c r="GZ69" s="43"/>
      <c r="HA69" s="43"/>
      <c r="HB69" s="43"/>
      <c r="HC69" s="43"/>
      <c r="HD69" s="43"/>
      <c r="HE69" s="43"/>
      <c r="HF69" s="43"/>
      <c r="HG69" s="43"/>
      <c r="HH69" s="43"/>
      <c r="HI69" s="43"/>
      <c r="HJ69" s="43"/>
      <c r="HK69" s="43"/>
      <c r="HL69" s="43"/>
      <c r="HM69" s="43"/>
      <c r="HN69" s="43"/>
      <c r="HO69" s="43"/>
      <c r="HP69" s="43"/>
      <c r="HQ69" s="43"/>
      <c r="HR69" s="43"/>
      <c r="HS69" s="43"/>
      <c r="HT69" s="43"/>
      <c r="HU69" s="43"/>
      <c r="HV69" s="43"/>
      <c r="HW69" s="43"/>
      <c r="HX69" s="43"/>
      <c r="HY69" s="43"/>
      <c r="HZ69" s="43"/>
      <c r="IA69" s="43"/>
      <c r="IB69" s="43"/>
      <c r="IC69" s="43"/>
      <c r="ID69" s="43"/>
      <c r="IE69" s="43"/>
      <c r="IF69" s="43"/>
      <c r="IG69" s="43"/>
      <c r="IH69" s="43"/>
      <c r="II69" s="43"/>
      <c r="IJ69" s="43"/>
      <c r="IK69" s="43"/>
      <c r="IL69" s="43"/>
      <c r="IM69" s="43"/>
      <c r="IN69" s="43"/>
      <c r="IO69" s="43"/>
      <c r="IP69" s="43"/>
      <c r="IQ69" s="43"/>
      <c r="IR69" s="43"/>
      <c r="IS69" s="43"/>
      <c r="IT69" s="43"/>
      <c r="IU69" s="43"/>
      <c r="IV69" s="43"/>
      <c r="IW69" s="43"/>
      <c r="IX69" s="43"/>
      <c r="IY69" s="43"/>
      <c r="IZ69" s="43"/>
      <c r="JA69" s="43"/>
      <c r="JB69" s="43"/>
      <c r="JC69" s="43"/>
      <c r="JD69" s="43"/>
      <c r="JE69" s="43"/>
      <c r="JF69" s="43"/>
      <c r="JG69" s="43"/>
      <c r="JH69" s="43"/>
      <c r="JI69" s="43"/>
      <c r="JJ69" s="43"/>
      <c r="JK69" s="43"/>
      <c r="JL69" s="43"/>
      <c r="JM69" s="43"/>
      <c r="JN69" s="43"/>
      <c r="JO69" s="43"/>
      <c r="JP69" s="43"/>
      <c r="JQ69" s="43"/>
      <c r="JR69" s="43"/>
      <c r="JS69" s="43"/>
      <c r="JT69" s="43"/>
      <c r="JU69" s="43"/>
      <c r="JV69" s="43"/>
      <c r="JW69" s="43"/>
      <c r="JX69" s="43"/>
      <c r="JY69" s="43"/>
      <c r="JZ69" s="43"/>
      <c r="KA69" s="43"/>
      <c r="KB69" s="43"/>
      <c r="KC69" s="43"/>
      <c r="KD69" s="43"/>
      <c r="KE69" s="43"/>
      <c r="KF69" s="43"/>
      <c r="KG69" s="43"/>
      <c r="KH69" s="43"/>
      <c r="KI69" s="43"/>
      <c r="KJ69" s="43"/>
      <c r="KK69" s="43"/>
      <c r="KL69" s="43"/>
      <c r="KM69" s="43"/>
      <c r="KN69" s="43"/>
      <c r="KO69" s="43"/>
      <c r="KP69" s="43"/>
      <c r="KQ69" s="43"/>
      <c r="KR69" s="43"/>
      <c r="KS69" s="43"/>
      <c r="KT69" s="43"/>
      <c r="KU69" s="43"/>
      <c r="KV69" s="43"/>
      <c r="KW69" s="43"/>
      <c r="KX69" s="43"/>
      <c r="KY69" s="43"/>
      <c r="KZ69" s="43"/>
      <c r="LA69" s="43"/>
      <c r="LB69" s="43"/>
      <c r="LC69" s="43"/>
      <c r="LD69" s="43"/>
      <c r="LE69" s="43"/>
      <c r="LF69" s="43"/>
      <c r="LG69" s="43"/>
      <c r="LH69" s="43"/>
      <c r="LI69" s="43"/>
      <c r="LJ69" s="43"/>
      <c r="LK69" s="43"/>
      <c r="LL69" s="43"/>
      <c r="LM69" s="43"/>
      <c r="LN69" s="43"/>
      <c r="LO69" s="43"/>
      <c r="LP69" s="43"/>
      <c r="LQ69" s="43"/>
      <c r="LR69" s="43"/>
      <c r="LS69" s="43"/>
      <c r="LT69" s="43"/>
      <c r="LU69" s="43"/>
      <c r="LV69" s="43"/>
      <c r="LW69" s="43"/>
      <c r="LX69" s="43"/>
      <c r="LY69" s="43"/>
      <c r="LZ69" s="43"/>
      <c r="MA69" s="43"/>
      <c r="MB69" s="43"/>
      <c r="MC69" s="43"/>
      <c r="MD69" s="43"/>
      <c r="ME69" s="43"/>
      <c r="MF69" s="43"/>
      <c r="MG69" s="43"/>
      <c r="MH69" s="43"/>
      <c r="MI69" s="43"/>
      <c r="MJ69" s="43"/>
      <c r="MK69" s="43"/>
      <c r="ML69" s="43"/>
      <c r="MM69" s="43"/>
      <c r="MN69" s="43"/>
      <c r="MO69" s="43"/>
      <c r="MP69" s="43"/>
      <c r="MQ69" s="43"/>
      <c r="MR69" s="43"/>
      <c r="MS69" s="43"/>
      <c r="MT69" s="43"/>
      <c r="MU69" s="43"/>
      <c r="MV69" s="43"/>
      <c r="MW69" s="43"/>
      <c r="MX69" s="43"/>
      <c r="MY69" s="43"/>
      <c r="MZ69" s="43"/>
      <c r="NA69" s="43"/>
      <c r="NB69" s="43"/>
      <c r="NC69" s="43"/>
      <c r="ND69" s="43"/>
      <c r="NE69" s="43"/>
      <c r="NF69" s="43"/>
      <c r="NG69" s="43"/>
      <c r="NH69" s="43"/>
      <c r="NI69" s="43"/>
      <c r="NJ69" s="43"/>
      <c r="NK69" s="43"/>
      <c r="NL69" s="43"/>
      <c r="NM69" s="43"/>
      <c r="NN69" s="43"/>
      <c r="NO69" s="43"/>
      <c r="NP69" s="43"/>
      <c r="NQ69" s="43"/>
      <c r="NR69" s="43"/>
      <c r="NS69" s="43"/>
      <c r="NT69" s="43"/>
      <c r="NU69" s="43"/>
      <c r="NV69" s="43"/>
      <c r="NW69" s="43"/>
      <c r="NX69" s="43"/>
      <c r="NY69" s="43"/>
      <c r="NZ69" s="43"/>
      <c r="OA69" s="43"/>
      <c r="OB69" s="43"/>
      <c r="OC69" s="43"/>
      <c r="OD69" s="43"/>
      <c r="OE69" s="43"/>
      <c r="OF69" s="43"/>
      <c r="OG69" s="43"/>
      <c r="OH69" s="43"/>
      <c r="OI69" s="43"/>
      <c r="OJ69" s="43"/>
      <c r="OK69" s="43"/>
      <c r="OL69" s="43"/>
      <c r="OM69" s="43"/>
      <c r="ON69" s="43"/>
      <c r="OO69" s="43"/>
      <c r="OP69" s="43"/>
      <c r="OQ69" s="43"/>
      <c r="OR69" s="43"/>
      <c r="OS69" s="43"/>
      <c r="OT69" s="43"/>
      <c r="OU69" s="43"/>
      <c r="OV69" s="43"/>
      <c r="OW69" s="43"/>
      <c r="OX69" s="43"/>
      <c r="OY69" s="43"/>
      <c r="OZ69" s="43"/>
      <c r="PA69" s="43"/>
      <c r="PB69" s="43"/>
      <c r="PC69" s="43"/>
      <c r="PD69" s="43"/>
      <c r="PE69" s="43"/>
      <c r="PF69" s="43"/>
      <c r="PG69" s="43"/>
      <c r="PH69" s="43"/>
      <c r="PI69" s="43"/>
      <c r="PJ69" s="43"/>
      <c r="PK69" s="43"/>
      <c r="PL69" s="43"/>
      <c r="PM69" s="43"/>
      <c r="PN69" s="43"/>
      <c r="PO69" s="43"/>
      <c r="PP69" s="43"/>
      <c r="PQ69" s="43"/>
      <c r="PR69" s="43"/>
      <c r="PS69" s="43"/>
      <c r="PT69" s="43"/>
      <c r="PU69" s="43"/>
      <c r="PV69" s="43"/>
      <c r="PW69" s="43"/>
      <c r="PX69" s="43"/>
      <c r="PY69" s="43"/>
      <c r="PZ69" s="43"/>
      <c r="QA69" s="43"/>
      <c r="QB69" s="43"/>
      <c r="QC69" s="43"/>
    </row>
    <row r="70" spans="1:445" x14ac:dyDescent="0.3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 t="str">
        <f t="shared" si="6"/>
        <v/>
      </c>
      <c r="U70" s="45" t="str">
        <f t="shared" si="7"/>
        <v/>
      </c>
      <c r="V70" s="68" t="str">
        <f t="shared" si="8"/>
        <v/>
      </c>
      <c r="W70" s="48"/>
      <c r="X70" s="66" t="str">
        <f t="shared" si="10"/>
        <v/>
      </c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43"/>
      <c r="CY70" s="43"/>
      <c r="CZ70" s="43"/>
      <c r="DA70" s="43"/>
      <c r="DB70" s="43"/>
      <c r="DC70" s="43"/>
      <c r="DD70" s="43"/>
      <c r="DE70" s="43"/>
      <c r="DF70" s="43"/>
      <c r="DG70" s="43"/>
      <c r="DH70" s="43"/>
      <c r="DI70" s="43"/>
      <c r="DJ70" s="43"/>
      <c r="DK70" s="43"/>
      <c r="DL70" s="43"/>
      <c r="DM70" s="43"/>
      <c r="DN70" s="43"/>
      <c r="DO70" s="43"/>
      <c r="DP70" s="43"/>
      <c r="DQ70" s="43"/>
      <c r="DR70" s="43"/>
      <c r="DS70" s="43"/>
      <c r="DT70" s="43"/>
      <c r="DU70" s="43"/>
      <c r="DV70" s="43"/>
      <c r="DW70" s="43"/>
      <c r="DX70" s="43"/>
      <c r="DY70" s="43"/>
      <c r="DZ70" s="43"/>
      <c r="EA70" s="43"/>
      <c r="EB70" s="43"/>
      <c r="EC70" s="43"/>
      <c r="ED70" s="43"/>
      <c r="EE70" s="43"/>
      <c r="EF70" s="43"/>
      <c r="EG70" s="43"/>
      <c r="EH70" s="43"/>
      <c r="EI70" s="43"/>
      <c r="EJ70" s="43"/>
      <c r="EK70" s="43"/>
      <c r="EL70" s="43"/>
      <c r="EM70" s="43"/>
      <c r="EN70" s="43"/>
      <c r="EO70" s="43"/>
      <c r="EP70" s="43"/>
      <c r="EQ70" s="43"/>
      <c r="ER70" s="43"/>
      <c r="ES70" s="43"/>
      <c r="ET70" s="43"/>
      <c r="EU70" s="43"/>
      <c r="EV70" s="43"/>
      <c r="EW70" s="43"/>
      <c r="EX70" s="43"/>
      <c r="EY70" s="43"/>
      <c r="EZ70" s="43"/>
      <c r="FA70" s="43"/>
      <c r="FB70" s="43"/>
      <c r="FC70" s="43"/>
      <c r="FD70" s="43"/>
      <c r="FE70" s="43"/>
      <c r="FF70" s="43"/>
      <c r="FG70" s="43"/>
      <c r="FH70" s="43"/>
      <c r="FI70" s="43"/>
      <c r="FJ70" s="43"/>
      <c r="FK70" s="43"/>
      <c r="FL70" s="43"/>
      <c r="FM70" s="43"/>
      <c r="FN70" s="43"/>
      <c r="FO70" s="43"/>
      <c r="FP70" s="43"/>
      <c r="FQ70" s="43"/>
      <c r="FR70" s="43"/>
      <c r="FS70" s="43"/>
      <c r="FT70" s="43"/>
      <c r="FU70" s="43"/>
      <c r="FV70" s="43"/>
      <c r="FW70" s="43"/>
      <c r="FX70" s="43"/>
      <c r="FY70" s="43"/>
      <c r="FZ70" s="43"/>
      <c r="GA70" s="43"/>
      <c r="GB70" s="43"/>
      <c r="GC70" s="43"/>
      <c r="GD70" s="43"/>
      <c r="GE70" s="43"/>
      <c r="GF70" s="43"/>
      <c r="GG70" s="43"/>
      <c r="GH70" s="43"/>
      <c r="GI70" s="43"/>
      <c r="GJ70" s="43"/>
      <c r="GK70" s="43"/>
      <c r="GL70" s="43"/>
      <c r="GM70" s="43"/>
      <c r="GN70" s="43"/>
      <c r="GO70" s="43"/>
      <c r="GP70" s="43"/>
      <c r="GQ70" s="43"/>
      <c r="GR70" s="43"/>
      <c r="GS70" s="43"/>
      <c r="GT70" s="43"/>
      <c r="GU70" s="43"/>
      <c r="GV70" s="43"/>
      <c r="GW70" s="43"/>
      <c r="GX70" s="43"/>
      <c r="GY70" s="43"/>
      <c r="GZ70" s="43"/>
      <c r="HA70" s="43"/>
      <c r="HB70" s="43"/>
      <c r="HC70" s="43"/>
      <c r="HD70" s="43"/>
      <c r="HE70" s="43"/>
      <c r="HF70" s="43"/>
      <c r="HG70" s="43"/>
      <c r="HH70" s="43"/>
      <c r="HI70" s="43"/>
      <c r="HJ70" s="43"/>
      <c r="HK70" s="43"/>
      <c r="HL70" s="43"/>
      <c r="HM70" s="43"/>
      <c r="HN70" s="43"/>
      <c r="HO70" s="43"/>
      <c r="HP70" s="43"/>
      <c r="HQ70" s="43"/>
      <c r="HR70" s="43"/>
      <c r="HS70" s="43"/>
      <c r="HT70" s="43"/>
      <c r="HU70" s="43"/>
      <c r="HV70" s="43"/>
      <c r="HW70" s="43"/>
      <c r="HX70" s="43"/>
      <c r="HY70" s="43"/>
      <c r="HZ70" s="43"/>
      <c r="IA70" s="43"/>
      <c r="IB70" s="43"/>
      <c r="IC70" s="43"/>
      <c r="ID70" s="43"/>
      <c r="IE70" s="43"/>
      <c r="IF70" s="43"/>
      <c r="IG70" s="43"/>
      <c r="IH70" s="43"/>
      <c r="II70" s="43"/>
      <c r="IJ70" s="43"/>
      <c r="IK70" s="43"/>
      <c r="IL70" s="43"/>
      <c r="IM70" s="43"/>
      <c r="IN70" s="43"/>
      <c r="IO70" s="43"/>
      <c r="IP70" s="43"/>
      <c r="IQ70" s="43"/>
      <c r="IR70" s="43"/>
      <c r="IS70" s="43"/>
      <c r="IT70" s="43"/>
      <c r="IU70" s="43"/>
      <c r="IV70" s="43"/>
      <c r="IW70" s="43"/>
      <c r="IX70" s="43"/>
      <c r="IY70" s="43"/>
      <c r="IZ70" s="43"/>
      <c r="JA70" s="43"/>
      <c r="JB70" s="43"/>
      <c r="JC70" s="43"/>
      <c r="JD70" s="43"/>
      <c r="JE70" s="43"/>
      <c r="JF70" s="43"/>
      <c r="JG70" s="43"/>
      <c r="JH70" s="43"/>
      <c r="JI70" s="43"/>
      <c r="JJ70" s="43"/>
      <c r="JK70" s="43"/>
      <c r="JL70" s="43"/>
      <c r="JM70" s="43"/>
      <c r="JN70" s="43"/>
      <c r="JO70" s="43"/>
      <c r="JP70" s="43"/>
      <c r="JQ70" s="43"/>
      <c r="JR70" s="43"/>
      <c r="JS70" s="43"/>
      <c r="JT70" s="43"/>
      <c r="JU70" s="43"/>
      <c r="JV70" s="43"/>
      <c r="JW70" s="43"/>
      <c r="JX70" s="43"/>
      <c r="JY70" s="43"/>
      <c r="JZ70" s="43"/>
      <c r="KA70" s="43"/>
      <c r="KB70" s="43"/>
      <c r="KC70" s="43"/>
      <c r="KD70" s="43"/>
      <c r="KE70" s="43"/>
      <c r="KF70" s="43"/>
      <c r="KG70" s="43"/>
      <c r="KH70" s="43"/>
      <c r="KI70" s="43"/>
      <c r="KJ70" s="43"/>
      <c r="KK70" s="43"/>
      <c r="KL70" s="43"/>
      <c r="KM70" s="43"/>
      <c r="KN70" s="43"/>
      <c r="KO70" s="43"/>
      <c r="KP70" s="43"/>
      <c r="KQ70" s="43"/>
      <c r="KR70" s="43"/>
      <c r="KS70" s="43"/>
      <c r="KT70" s="43"/>
      <c r="KU70" s="43"/>
      <c r="KV70" s="43"/>
      <c r="KW70" s="43"/>
      <c r="KX70" s="43"/>
      <c r="KY70" s="43"/>
      <c r="KZ70" s="43"/>
      <c r="LA70" s="43"/>
      <c r="LB70" s="43"/>
      <c r="LC70" s="43"/>
      <c r="LD70" s="43"/>
      <c r="LE70" s="43"/>
      <c r="LF70" s="43"/>
      <c r="LG70" s="43"/>
      <c r="LH70" s="43"/>
      <c r="LI70" s="43"/>
      <c r="LJ70" s="43"/>
      <c r="LK70" s="43"/>
      <c r="LL70" s="43"/>
      <c r="LM70" s="43"/>
      <c r="LN70" s="43"/>
      <c r="LO70" s="43"/>
      <c r="LP70" s="43"/>
      <c r="LQ70" s="43"/>
      <c r="LR70" s="43"/>
      <c r="LS70" s="43"/>
      <c r="LT70" s="43"/>
      <c r="LU70" s="43"/>
      <c r="LV70" s="43"/>
      <c r="LW70" s="43"/>
      <c r="LX70" s="43"/>
      <c r="LY70" s="43"/>
      <c r="LZ70" s="43"/>
      <c r="MA70" s="43"/>
      <c r="MB70" s="43"/>
      <c r="MC70" s="43"/>
      <c r="MD70" s="43"/>
      <c r="ME70" s="43"/>
      <c r="MF70" s="43"/>
      <c r="MG70" s="43"/>
      <c r="MH70" s="43"/>
      <c r="MI70" s="43"/>
      <c r="MJ70" s="43"/>
      <c r="MK70" s="43"/>
      <c r="ML70" s="43"/>
      <c r="MM70" s="43"/>
      <c r="MN70" s="43"/>
      <c r="MO70" s="43"/>
      <c r="MP70" s="43"/>
      <c r="MQ70" s="43"/>
      <c r="MR70" s="43"/>
      <c r="MS70" s="43"/>
      <c r="MT70" s="43"/>
      <c r="MU70" s="43"/>
      <c r="MV70" s="43"/>
      <c r="MW70" s="43"/>
      <c r="MX70" s="43"/>
      <c r="MY70" s="43"/>
      <c r="MZ70" s="43"/>
      <c r="NA70" s="43"/>
      <c r="NB70" s="43"/>
      <c r="NC70" s="43"/>
      <c r="ND70" s="43"/>
      <c r="NE70" s="43"/>
      <c r="NF70" s="43"/>
      <c r="NG70" s="43"/>
      <c r="NH70" s="43"/>
      <c r="NI70" s="43"/>
      <c r="NJ70" s="43"/>
      <c r="NK70" s="43"/>
      <c r="NL70" s="43"/>
      <c r="NM70" s="43"/>
      <c r="NN70" s="43"/>
      <c r="NO70" s="43"/>
      <c r="NP70" s="43"/>
      <c r="NQ70" s="43"/>
      <c r="NR70" s="43"/>
      <c r="NS70" s="43"/>
      <c r="NT70" s="43"/>
      <c r="NU70" s="43"/>
      <c r="NV70" s="43"/>
      <c r="NW70" s="43"/>
      <c r="NX70" s="43"/>
      <c r="NY70" s="43"/>
      <c r="NZ70" s="43"/>
      <c r="OA70" s="43"/>
      <c r="OB70" s="43"/>
      <c r="OC70" s="43"/>
      <c r="OD70" s="43"/>
      <c r="OE70" s="43"/>
      <c r="OF70" s="43"/>
      <c r="OG70" s="43"/>
      <c r="OH70" s="43"/>
      <c r="OI70" s="43"/>
      <c r="OJ70" s="43"/>
      <c r="OK70" s="43"/>
      <c r="OL70" s="43"/>
      <c r="OM70" s="43"/>
      <c r="ON70" s="43"/>
      <c r="OO70" s="43"/>
      <c r="OP70" s="43"/>
      <c r="OQ70" s="43"/>
      <c r="OR70" s="43"/>
      <c r="OS70" s="43"/>
      <c r="OT70" s="43"/>
      <c r="OU70" s="43"/>
      <c r="OV70" s="43"/>
      <c r="OW70" s="43"/>
      <c r="OX70" s="43"/>
      <c r="OY70" s="43"/>
      <c r="OZ70" s="43"/>
      <c r="PA70" s="43"/>
      <c r="PB70" s="43"/>
      <c r="PC70" s="43"/>
      <c r="PD70" s="43"/>
      <c r="PE70" s="43"/>
      <c r="PF70" s="43"/>
      <c r="PG70" s="43"/>
      <c r="PH70" s="43"/>
      <c r="PI70" s="43"/>
      <c r="PJ70" s="43"/>
      <c r="PK70" s="43"/>
      <c r="PL70" s="43"/>
      <c r="PM70" s="43"/>
      <c r="PN70" s="43"/>
      <c r="PO70" s="43"/>
      <c r="PP70" s="43"/>
      <c r="PQ70" s="43"/>
      <c r="PR70" s="43"/>
      <c r="PS70" s="43"/>
      <c r="PT70" s="43"/>
      <c r="PU70" s="43"/>
      <c r="PV70" s="43"/>
      <c r="PW70" s="43"/>
      <c r="PX70" s="43"/>
      <c r="PY70" s="43"/>
      <c r="PZ70" s="43"/>
      <c r="QA70" s="43"/>
      <c r="QB70" s="43"/>
      <c r="QC70" s="43"/>
    </row>
    <row r="71" spans="1:445" x14ac:dyDescent="0.3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 t="str">
        <f t="shared" si="6"/>
        <v/>
      </c>
      <c r="U71" s="45" t="str">
        <f t="shared" si="7"/>
        <v/>
      </c>
      <c r="V71" s="68" t="str">
        <f t="shared" si="8"/>
        <v/>
      </c>
      <c r="W71" s="48"/>
      <c r="X71" s="66" t="str">
        <f t="shared" si="10"/>
        <v/>
      </c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43"/>
      <c r="CY71" s="43"/>
      <c r="CZ71" s="43"/>
      <c r="DA71" s="43"/>
      <c r="DB71" s="43"/>
      <c r="DC71" s="43"/>
      <c r="DD71" s="43"/>
      <c r="DE71" s="43"/>
      <c r="DF71" s="43"/>
      <c r="DG71" s="43"/>
      <c r="DH71" s="43"/>
      <c r="DI71" s="43"/>
      <c r="DJ71" s="43"/>
      <c r="DK71" s="43"/>
      <c r="DL71" s="43"/>
      <c r="DM71" s="43"/>
      <c r="DN71" s="43"/>
      <c r="DO71" s="43"/>
      <c r="DP71" s="43"/>
      <c r="DQ71" s="43"/>
      <c r="DR71" s="43"/>
      <c r="DS71" s="43"/>
      <c r="DT71" s="43"/>
      <c r="DU71" s="43"/>
      <c r="DV71" s="43"/>
      <c r="DW71" s="43"/>
      <c r="DX71" s="43"/>
      <c r="DY71" s="43"/>
      <c r="DZ71" s="43"/>
      <c r="EA71" s="43"/>
      <c r="EB71" s="43"/>
      <c r="EC71" s="43"/>
      <c r="ED71" s="43"/>
      <c r="EE71" s="43"/>
      <c r="EF71" s="43"/>
      <c r="EG71" s="43"/>
      <c r="EH71" s="43"/>
      <c r="EI71" s="43"/>
      <c r="EJ71" s="43"/>
      <c r="EK71" s="43"/>
      <c r="EL71" s="43"/>
      <c r="EM71" s="43"/>
      <c r="EN71" s="43"/>
      <c r="EO71" s="43"/>
      <c r="EP71" s="43"/>
      <c r="EQ71" s="43"/>
      <c r="ER71" s="43"/>
      <c r="ES71" s="43"/>
      <c r="ET71" s="43"/>
      <c r="EU71" s="43"/>
      <c r="EV71" s="43"/>
      <c r="EW71" s="43"/>
      <c r="EX71" s="43"/>
      <c r="EY71" s="43"/>
      <c r="EZ71" s="43"/>
      <c r="FA71" s="43"/>
      <c r="FB71" s="43"/>
      <c r="FC71" s="43"/>
      <c r="FD71" s="43"/>
      <c r="FE71" s="43"/>
      <c r="FF71" s="43"/>
      <c r="FG71" s="43"/>
      <c r="FH71" s="43"/>
      <c r="FI71" s="43"/>
      <c r="FJ71" s="43"/>
      <c r="FK71" s="43"/>
      <c r="FL71" s="43"/>
      <c r="FM71" s="43"/>
      <c r="FN71" s="43"/>
      <c r="FO71" s="43"/>
      <c r="FP71" s="43"/>
      <c r="FQ71" s="43"/>
      <c r="FR71" s="43"/>
      <c r="FS71" s="43"/>
      <c r="FT71" s="43"/>
      <c r="FU71" s="43"/>
      <c r="FV71" s="43"/>
      <c r="FW71" s="43"/>
      <c r="FX71" s="43"/>
      <c r="FY71" s="43"/>
      <c r="FZ71" s="43"/>
      <c r="GA71" s="43"/>
      <c r="GB71" s="43"/>
      <c r="GC71" s="43"/>
      <c r="GD71" s="43"/>
      <c r="GE71" s="43"/>
      <c r="GF71" s="43"/>
      <c r="GG71" s="43"/>
      <c r="GH71" s="43"/>
      <c r="GI71" s="43"/>
      <c r="GJ71" s="43"/>
      <c r="GK71" s="43"/>
      <c r="GL71" s="43"/>
      <c r="GM71" s="43"/>
      <c r="GN71" s="43"/>
      <c r="GO71" s="43"/>
      <c r="GP71" s="43"/>
      <c r="GQ71" s="43"/>
      <c r="GR71" s="43"/>
      <c r="GS71" s="43"/>
      <c r="GT71" s="43"/>
      <c r="GU71" s="43"/>
      <c r="GV71" s="43"/>
      <c r="GW71" s="43"/>
      <c r="GX71" s="43"/>
      <c r="GY71" s="43"/>
      <c r="GZ71" s="43"/>
      <c r="HA71" s="43"/>
      <c r="HB71" s="43"/>
      <c r="HC71" s="43"/>
      <c r="HD71" s="43"/>
      <c r="HE71" s="43"/>
      <c r="HF71" s="43"/>
      <c r="HG71" s="43"/>
      <c r="HH71" s="43"/>
      <c r="HI71" s="43"/>
      <c r="HJ71" s="43"/>
      <c r="HK71" s="43"/>
      <c r="HL71" s="43"/>
      <c r="HM71" s="43"/>
      <c r="HN71" s="43"/>
      <c r="HO71" s="43"/>
      <c r="HP71" s="43"/>
      <c r="HQ71" s="43"/>
      <c r="HR71" s="43"/>
      <c r="HS71" s="43"/>
      <c r="HT71" s="43"/>
      <c r="HU71" s="43"/>
      <c r="HV71" s="43"/>
      <c r="HW71" s="43"/>
      <c r="HX71" s="43"/>
      <c r="HY71" s="43"/>
      <c r="HZ71" s="43"/>
      <c r="IA71" s="43"/>
      <c r="IB71" s="43"/>
      <c r="IC71" s="43"/>
      <c r="ID71" s="43"/>
      <c r="IE71" s="43"/>
      <c r="IF71" s="43"/>
      <c r="IG71" s="43"/>
      <c r="IH71" s="43"/>
      <c r="II71" s="43"/>
      <c r="IJ71" s="43"/>
      <c r="IK71" s="43"/>
      <c r="IL71" s="43"/>
      <c r="IM71" s="43"/>
      <c r="IN71" s="43"/>
      <c r="IO71" s="43"/>
      <c r="IP71" s="43"/>
      <c r="IQ71" s="43"/>
      <c r="IR71" s="43"/>
      <c r="IS71" s="43"/>
      <c r="IT71" s="43"/>
      <c r="IU71" s="43"/>
      <c r="IV71" s="43"/>
      <c r="IW71" s="43"/>
      <c r="IX71" s="43"/>
      <c r="IY71" s="43"/>
      <c r="IZ71" s="43"/>
      <c r="JA71" s="43"/>
      <c r="JB71" s="43"/>
      <c r="JC71" s="43"/>
      <c r="JD71" s="43"/>
      <c r="JE71" s="43"/>
      <c r="JF71" s="43"/>
      <c r="JG71" s="43"/>
      <c r="JH71" s="43"/>
      <c r="JI71" s="43"/>
      <c r="JJ71" s="43"/>
      <c r="JK71" s="43"/>
      <c r="JL71" s="43"/>
      <c r="JM71" s="43"/>
      <c r="JN71" s="43"/>
      <c r="JO71" s="43"/>
      <c r="JP71" s="43"/>
      <c r="JQ71" s="43"/>
      <c r="JR71" s="43"/>
      <c r="JS71" s="43"/>
      <c r="JT71" s="43"/>
      <c r="JU71" s="43"/>
      <c r="JV71" s="43"/>
      <c r="JW71" s="43"/>
      <c r="JX71" s="43"/>
      <c r="JY71" s="43"/>
      <c r="JZ71" s="43"/>
      <c r="KA71" s="43"/>
      <c r="KB71" s="43"/>
      <c r="KC71" s="43"/>
      <c r="KD71" s="43"/>
      <c r="KE71" s="43"/>
      <c r="KF71" s="43"/>
      <c r="KG71" s="43"/>
      <c r="KH71" s="43"/>
      <c r="KI71" s="43"/>
      <c r="KJ71" s="43"/>
      <c r="KK71" s="43"/>
      <c r="KL71" s="43"/>
      <c r="KM71" s="43"/>
      <c r="KN71" s="43"/>
      <c r="KO71" s="43"/>
      <c r="KP71" s="43"/>
      <c r="KQ71" s="43"/>
      <c r="KR71" s="43"/>
      <c r="KS71" s="43"/>
      <c r="KT71" s="43"/>
      <c r="KU71" s="43"/>
      <c r="KV71" s="43"/>
      <c r="KW71" s="43"/>
      <c r="KX71" s="43"/>
      <c r="KY71" s="43"/>
      <c r="KZ71" s="43"/>
      <c r="LA71" s="43"/>
      <c r="LB71" s="43"/>
      <c r="LC71" s="43"/>
      <c r="LD71" s="43"/>
      <c r="LE71" s="43"/>
      <c r="LF71" s="43"/>
      <c r="LG71" s="43"/>
      <c r="LH71" s="43"/>
      <c r="LI71" s="43"/>
      <c r="LJ71" s="43"/>
      <c r="LK71" s="43"/>
      <c r="LL71" s="43"/>
      <c r="LM71" s="43"/>
      <c r="LN71" s="43"/>
      <c r="LO71" s="43"/>
      <c r="LP71" s="43"/>
      <c r="LQ71" s="43"/>
      <c r="LR71" s="43"/>
      <c r="LS71" s="43"/>
      <c r="LT71" s="43"/>
      <c r="LU71" s="43"/>
      <c r="LV71" s="43"/>
      <c r="LW71" s="43"/>
      <c r="LX71" s="43"/>
      <c r="LY71" s="43"/>
      <c r="LZ71" s="43"/>
      <c r="MA71" s="43"/>
      <c r="MB71" s="43"/>
      <c r="MC71" s="43"/>
      <c r="MD71" s="43"/>
      <c r="ME71" s="43"/>
      <c r="MF71" s="43"/>
      <c r="MG71" s="43"/>
      <c r="MH71" s="43"/>
      <c r="MI71" s="43"/>
      <c r="MJ71" s="43"/>
      <c r="MK71" s="43"/>
      <c r="ML71" s="43"/>
      <c r="MM71" s="43"/>
      <c r="MN71" s="43"/>
      <c r="MO71" s="43"/>
      <c r="MP71" s="43"/>
      <c r="MQ71" s="43"/>
      <c r="MR71" s="43"/>
      <c r="MS71" s="43"/>
      <c r="MT71" s="43"/>
      <c r="MU71" s="43"/>
      <c r="MV71" s="43"/>
      <c r="MW71" s="43"/>
      <c r="MX71" s="43"/>
      <c r="MY71" s="43"/>
      <c r="MZ71" s="43"/>
      <c r="NA71" s="43"/>
      <c r="NB71" s="43"/>
      <c r="NC71" s="43"/>
      <c r="ND71" s="43"/>
      <c r="NE71" s="43"/>
      <c r="NF71" s="43"/>
      <c r="NG71" s="43"/>
      <c r="NH71" s="43"/>
      <c r="NI71" s="43"/>
      <c r="NJ71" s="43"/>
      <c r="NK71" s="43"/>
      <c r="NL71" s="43"/>
      <c r="NM71" s="43"/>
      <c r="NN71" s="43"/>
      <c r="NO71" s="43"/>
      <c r="NP71" s="43"/>
      <c r="NQ71" s="43"/>
      <c r="NR71" s="43"/>
      <c r="NS71" s="43"/>
      <c r="NT71" s="43"/>
      <c r="NU71" s="43"/>
      <c r="NV71" s="43"/>
      <c r="NW71" s="43"/>
      <c r="NX71" s="43"/>
      <c r="NY71" s="43"/>
      <c r="NZ71" s="43"/>
      <c r="OA71" s="43"/>
      <c r="OB71" s="43"/>
      <c r="OC71" s="43"/>
      <c r="OD71" s="43"/>
      <c r="OE71" s="43"/>
      <c r="OF71" s="43"/>
      <c r="OG71" s="43"/>
      <c r="OH71" s="43"/>
      <c r="OI71" s="43"/>
      <c r="OJ71" s="43"/>
      <c r="OK71" s="43"/>
      <c r="OL71" s="43"/>
      <c r="OM71" s="43"/>
      <c r="ON71" s="43"/>
      <c r="OO71" s="43"/>
      <c r="OP71" s="43"/>
      <c r="OQ71" s="43"/>
      <c r="OR71" s="43"/>
      <c r="OS71" s="43"/>
      <c r="OT71" s="43"/>
      <c r="OU71" s="43"/>
      <c r="OV71" s="43"/>
      <c r="OW71" s="43"/>
      <c r="OX71" s="43"/>
      <c r="OY71" s="43"/>
      <c r="OZ71" s="43"/>
      <c r="PA71" s="43"/>
      <c r="PB71" s="43"/>
      <c r="PC71" s="43"/>
      <c r="PD71" s="43"/>
      <c r="PE71" s="43"/>
      <c r="PF71" s="43"/>
      <c r="PG71" s="43"/>
      <c r="PH71" s="43"/>
      <c r="PI71" s="43"/>
      <c r="PJ71" s="43"/>
      <c r="PK71" s="43"/>
      <c r="PL71" s="43"/>
      <c r="PM71" s="43"/>
      <c r="PN71" s="43"/>
      <c r="PO71" s="43"/>
      <c r="PP71" s="43"/>
      <c r="PQ71" s="43"/>
      <c r="PR71" s="43"/>
      <c r="PS71" s="43"/>
      <c r="PT71" s="43"/>
      <c r="PU71" s="43"/>
      <c r="PV71" s="43"/>
      <c r="PW71" s="43"/>
      <c r="PX71" s="43"/>
      <c r="PY71" s="43"/>
      <c r="PZ71" s="43"/>
      <c r="QA71" s="43"/>
      <c r="QB71" s="43"/>
      <c r="QC71" s="43"/>
    </row>
    <row r="72" spans="1:445" x14ac:dyDescent="0.3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 t="str">
        <f t="shared" si="6"/>
        <v/>
      </c>
      <c r="U72" s="45" t="str">
        <f t="shared" si="7"/>
        <v/>
      </c>
      <c r="V72" s="68" t="str">
        <f t="shared" si="8"/>
        <v/>
      </c>
      <c r="W72" s="48"/>
      <c r="X72" s="66" t="str">
        <f t="shared" si="10"/>
        <v/>
      </c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43"/>
      <c r="CY72" s="43"/>
      <c r="CZ72" s="43"/>
      <c r="DA72" s="43"/>
      <c r="DB72" s="43"/>
      <c r="DC72" s="43"/>
      <c r="DD72" s="43"/>
      <c r="DE72" s="43"/>
      <c r="DF72" s="43"/>
      <c r="DG72" s="43"/>
      <c r="DH72" s="43"/>
      <c r="DI72" s="43"/>
      <c r="DJ72" s="43"/>
      <c r="DK72" s="43"/>
      <c r="DL72" s="43"/>
      <c r="DM72" s="43"/>
      <c r="DN72" s="43"/>
      <c r="DO72" s="43"/>
      <c r="DP72" s="43"/>
      <c r="DQ72" s="43"/>
      <c r="DR72" s="43"/>
      <c r="DS72" s="43"/>
      <c r="DT72" s="43"/>
      <c r="DU72" s="43"/>
      <c r="DV72" s="43"/>
      <c r="DW72" s="43"/>
      <c r="DX72" s="43"/>
      <c r="DY72" s="43"/>
      <c r="DZ72" s="43"/>
      <c r="EA72" s="43"/>
      <c r="EB72" s="43"/>
      <c r="EC72" s="43"/>
      <c r="ED72" s="43"/>
      <c r="EE72" s="43"/>
      <c r="EF72" s="43"/>
      <c r="EG72" s="43"/>
      <c r="EH72" s="43"/>
      <c r="EI72" s="43"/>
      <c r="EJ72" s="43"/>
      <c r="EK72" s="43"/>
      <c r="EL72" s="43"/>
      <c r="EM72" s="43"/>
      <c r="EN72" s="43"/>
      <c r="EO72" s="43"/>
      <c r="EP72" s="43"/>
      <c r="EQ72" s="43"/>
      <c r="ER72" s="43"/>
      <c r="ES72" s="43"/>
      <c r="ET72" s="43"/>
      <c r="EU72" s="43"/>
      <c r="EV72" s="43"/>
      <c r="EW72" s="43"/>
      <c r="EX72" s="43"/>
      <c r="EY72" s="43"/>
      <c r="EZ72" s="43"/>
      <c r="FA72" s="43"/>
      <c r="FB72" s="43"/>
      <c r="FC72" s="43"/>
      <c r="FD72" s="43"/>
      <c r="FE72" s="43"/>
      <c r="FF72" s="43"/>
      <c r="FG72" s="43"/>
      <c r="FH72" s="43"/>
      <c r="FI72" s="43"/>
      <c r="FJ72" s="43"/>
      <c r="FK72" s="43"/>
      <c r="FL72" s="43"/>
      <c r="FM72" s="43"/>
      <c r="FN72" s="43"/>
      <c r="FO72" s="43"/>
      <c r="FP72" s="43"/>
      <c r="FQ72" s="43"/>
      <c r="FR72" s="43"/>
      <c r="FS72" s="43"/>
      <c r="FT72" s="43"/>
      <c r="FU72" s="43"/>
      <c r="FV72" s="43"/>
      <c r="FW72" s="43"/>
      <c r="FX72" s="43"/>
      <c r="FY72" s="43"/>
      <c r="FZ72" s="43"/>
      <c r="GA72" s="43"/>
      <c r="GB72" s="43"/>
      <c r="GC72" s="43"/>
      <c r="GD72" s="43"/>
      <c r="GE72" s="43"/>
      <c r="GF72" s="43"/>
      <c r="GG72" s="43"/>
      <c r="GH72" s="43"/>
      <c r="GI72" s="43"/>
      <c r="GJ72" s="43"/>
      <c r="GK72" s="43"/>
      <c r="GL72" s="43"/>
      <c r="GM72" s="43"/>
      <c r="GN72" s="43"/>
      <c r="GO72" s="43"/>
      <c r="GP72" s="43"/>
      <c r="GQ72" s="43"/>
      <c r="GR72" s="43"/>
      <c r="GS72" s="43"/>
      <c r="GT72" s="43"/>
      <c r="GU72" s="43"/>
      <c r="GV72" s="43"/>
      <c r="GW72" s="43"/>
      <c r="GX72" s="43"/>
      <c r="GY72" s="43"/>
      <c r="GZ72" s="43"/>
      <c r="HA72" s="43"/>
      <c r="HB72" s="43"/>
      <c r="HC72" s="43"/>
      <c r="HD72" s="43"/>
      <c r="HE72" s="43"/>
      <c r="HF72" s="43"/>
      <c r="HG72" s="43"/>
      <c r="HH72" s="43"/>
      <c r="HI72" s="43"/>
      <c r="HJ72" s="43"/>
      <c r="HK72" s="43"/>
      <c r="HL72" s="43"/>
      <c r="HM72" s="43"/>
      <c r="HN72" s="43"/>
      <c r="HO72" s="43"/>
      <c r="HP72" s="43"/>
      <c r="HQ72" s="43"/>
      <c r="HR72" s="43"/>
      <c r="HS72" s="43"/>
      <c r="HT72" s="43"/>
      <c r="HU72" s="43"/>
      <c r="HV72" s="43"/>
      <c r="HW72" s="43"/>
      <c r="HX72" s="43"/>
      <c r="HY72" s="43"/>
      <c r="HZ72" s="43"/>
      <c r="IA72" s="43"/>
      <c r="IB72" s="43"/>
      <c r="IC72" s="43"/>
      <c r="ID72" s="43"/>
      <c r="IE72" s="43"/>
      <c r="IF72" s="43"/>
      <c r="IG72" s="43"/>
      <c r="IH72" s="43"/>
      <c r="II72" s="43"/>
      <c r="IJ72" s="43"/>
      <c r="IK72" s="43"/>
      <c r="IL72" s="43"/>
      <c r="IM72" s="43"/>
      <c r="IN72" s="43"/>
      <c r="IO72" s="43"/>
      <c r="IP72" s="43"/>
      <c r="IQ72" s="43"/>
      <c r="IR72" s="43"/>
      <c r="IS72" s="43"/>
      <c r="IT72" s="43"/>
      <c r="IU72" s="43"/>
      <c r="IV72" s="43"/>
      <c r="IW72" s="43"/>
      <c r="IX72" s="43"/>
      <c r="IY72" s="43"/>
      <c r="IZ72" s="43"/>
      <c r="JA72" s="43"/>
      <c r="JB72" s="43"/>
      <c r="JC72" s="43"/>
      <c r="JD72" s="43"/>
      <c r="JE72" s="43"/>
      <c r="JF72" s="43"/>
      <c r="JG72" s="43"/>
      <c r="JH72" s="43"/>
      <c r="JI72" s="43"/>
      <c r="JJ72" s="43"/>
      <c r="JK72" s="43"/>
      <c r="JL72" s="43"/>
      <c r="JM72" s="43"/>
      <c r="JN72" s="43"/>
      <c r="JO72" s="43"/>
      <c r="JP72" s="43"/>
      <c r="JQ72" s="43"/>
      <c r="JR72" s="43"/>
      <c r="JS72" s="43"/>
      <c r="JT72" s="43"/>
      <c r="JU72" s="43"/>
      <c r="JV72" s="43"/>
      <c r="JW72" s="43"/>
      <c r="JX72" s="43"/>
      <c r="JY72" s="43"/>
      <c r="JZ72" s="43"/>
      <c r="KA72" s="43"/>
      <c r="KB72" s="43"/>
      <c r="KC72" s="43"/>
      <c r="KD72" s="43"/>
      <c r="KE72" s="43"/>
      <c r="KF72" s="43"/>
      <c r="KG72" s="43"/>
      <c r="KH72" s="43"/>
      <c r="KI72" s="43"/>
      <c r="KJ72" s="43"/>
      <c r="KK72" s="43"/>
      <c r="KL72" s="43"/>
      <c r="KM72" s="43"/>
      <c r="KN72" s="43"/>
      <c r="KO72" s="43"/>
      <c r="KP72" s="43"/>
      <c r="KQ72" s="43"/>
      <c r="KR72" s="43"/>
      <c r="KS72" s="43"/>
      <c r="KT72" s="43"/>
      <c r="KU72" s="43"/>
      <c r="KV72" s="43"/>
      <c r="KW72" s="43"/>
      <c r="KX72" s="43"/>
      <c r="KY72" s="43"/>
      <c r="KZ72" s="43"/>
      <c r="LA72" s="43"/>
      <c r="LB72" s="43"/>
      <c r="LC72" s="43"/>
      <c r="LD72" s="43"/>
      <c r="LE72" s="43"/>
      <c r="LF72" s="43"/>
      <c r="LG72" s="43"/>
      <c r="LH72" s="43"/>
      <c r="LI72" s="43"/>
      <c r="LJ72" s="43"/>
      <c r="LK72" s="43"/>
      <c r="LL72" s="43"/>
      <c r="LM72" s="43"/>
      <c r="LN72" s="43"/>
      <c r="LO72" s="43"/>
      <c r="LP72" s="43"/>
      <c r="LQ72" s="43"/>
      <c r="LR72" s="43"/>
      <c r="LS72" s="43"/>
      <c r="LT72" s="43"/>
      <c r="LU72" s="43"/>
      <c r="LV72" s="43"/>
      <c r="LW72" s="43"/>
      <c r="LX72" s="43"/>
      <c r="LY72" s="43"/>
      <c r="LZ72" s="43"/>
      <c r="MA72" s="43"/>
      <c r="MB72" s="43"/>
      <c r="MC72" s="43"/>
      <c r="MD72" s="43"/>
      <c r="ME72" s="43"/>
      <c r="MF72" s="43"/>
      <c r="MG72" s="43"/>
      <c r="MH72" s="43"/>
      <c r="MI72" s="43"/>
      <c r="MJ72" s="43"/>
      <c r="MK72" s="43"/>
      <c r="ML72" s="43"/>
      <c r="MM72" s="43"/>
      <c r="MN72" s="43"/>
      <c r="MO72" s="43"/>
      <c r="MP72" s="43"/>
      <c r="MQ72" s="43"/>
      <c r="MR72" s="43"/>
      <c r="MS72" s="43"/>
      <c r="MT72" s="43"/>
      <c r="MU72" s="43"/>
      <c r="MV72" s="43"/>
      <c r="MW72" s="43"/>
      <c r="MX72" s="43"/>
      <c r="MY72" s="43"/>
      <c r="MZ72" s="43"/>
      <c r="NA72" s="43"/>
      <c r="NB72" s="43"/>
      <c r="NC72" s="43"/>
      <c r="ND72" s="43"/>
      <c r="NE72" s="43"/>
      <c r="NF72" s="43"/>
      <c r="NG72" s="43"/>
      <c r="NH72" s="43"/>
      <c r="NI72" s="43"/>
      <c r="NJ72" s="43"/>
      <c r="NK72" s="43"/>
      <c r="NL72" s="43"/>
      <c r="NM72" s="43"/>
      <c r="NN72" s="43"/>
      <c r="NO72" s="43"/>
      <c r="NP72" s="43"/>
      <c r="NQ72" s="43"/>
      <c r="NR72" s="43"/>
      <c r="NS72" s="43"/>
      <c r="NT72" s="43"/>
      <c r="NU72" s="43"/>
      <c r="NV72" s="43"/>
      <c r="NW72" s="43"/>
      <c r="NX72" s="43"/>
      <c r="NY72" s="43"/>
      <c r="NZ72" s="43"/>
      <c r="OA72" s="43"/>
      <c r="OB72" s="43"/>
      <c r="OC72" s="43"/>
      <c r="OD72" s="43"/>
      <c r="OE72" s="43"/>
      <c r="OF72" s="43"/>
      <c r="OG72" s="43"/>
      <c r="OH72" s="43"/>
      <c r="OI72" s="43"/>
      <c r="OJ72" s="43"/>
      <c r="OK72" s="43"/>
      <c r="OL72" s="43"/>
      <c r="OM72" s="43"/>
      <c r="ON72" s="43"/>
      <c r="OO72" s="43"/>
      <c r="OP72" s="43"/>
      <c r="OQ72" s="43"/>
      <c r="OR72" s="43"/>
      <c r="OS72" s="43"/>
      <c r="OT72" s="43"/>
      <c r="OU72" s="43"/>
      <c r="OV72" s="43"/>
      <c r="OW72" s="43"/>
      <c r="OX72" s="43"/>
      <c r="OY72" s="43"/>
      <c r="OZ72" s="43"/>
      <c r="PA72" s="43"/>
      <c r="PB72" s="43"/>
      <c r="PC72" s="43"/>
      <c r="PD72" s="43"/>
      <c r="PE72" s="43"/>
      <c r="PF72" s="43"/>
      <c r="PG72" s="43"/>
      <c r="PH72" s="43"/>
      <c r="PI72" s="43"/>
      <c r="PJ72" s="43"/>
      <c r="PK72" s="43"/>
      <c r="PL72" s="43"/>
      <c r="PM72" s="43"/>
      <c r="PN72" s="43"/>
      <c r="PO72" s="43"/>
      <c r="PP72" s="43"/>
      <c r="PQ72" s="43"/>
      <c r="PR72" s="43"/>
      <c r="PS72" s="43"/>
      <c r="PT72" s="43"/>
      <c r="PU72" s="43"/>
      <c r="PV72" s="43"/>
      <c r="PW72" s="43"/>
      <c r="PX72" s="43"/>
      <c r="PY72" s="43"/>
      <c r="PZ72" s="43"/>
      <c r="QA72" s="43"/>
      <c r="QB72" s="43"/>
      <c r="QC72" s="43"/>
    </row>
    <row r="73" spans="1:445" x14ac:dyDescent="0.3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 t="str">
        <f t="shared" si="6"/>
        <v/>
      </c>
      <c r="U73" s="45" t="str">
        <f t="shared" si="7"/>
        <v/>
      </c>
      <c r="V73" s="68" t="str">
        <f t="shared" si="8"/>
        <v/>
      </c>
      <c r="W73" s="48"/>
      <c r="X73" s="66" t="str">
        <f t="shared" si="10"/>
        <v/>
      </c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43"/>
      <c r="CY73" s="43"/>
      <c r="CZ73" s="43"/>
      <c r="DA73" s="43"/>
      <c r="DB73" s="43"/>
      <c r="DC73" s="43"/>
      <c r="DD73" s="43"/>
      <c r="DE73" s="43"/>
      <c r="DF73" s="43"/>
      <c r="DG73" s="43"/>
      <c r="DH73" s="43"/>
      <c r="DI73" s="43"/>
      <c r="DJ73" s="43"/>
      <c r="DK73" s="43"/>
      <c r="DL73" s="43"/>
      <c r="DM73" s="43"/>
      <c r="DN73" s="43"/>
      <c r="DO73" s="43"/>
      <c r="DP73" s="43"/>
      <c r="DQ73" s="43"/>
      <c r="DR73" s="43"/>
      <c r="DS73" s="43"/>
      <c r="DT73" s="43"/>
      <c r="DU73" s="43"/>
      <c r="DV73" s="43"/>
      <c r="DW73" s="43"/>
      <c r="DX73" s="43"/>
      <c r="DY73" s="43"/>
      <c r="DZ73" s="43"/>
      <c r="EA73" s="43"/>
      <c r="EB73" s="43"/>
      <c r="EC73" s="43"/>
      <c r="ED73" s="43"/>
      <c r="EE73" s="43"/>
      <c r="EF73" s="43"/>
      <c r="EG73" s="43"/>
      <c r="EH73" s="43"/>
      <c r="EI73" s="43"/>
      <c r="EJ73" s="43"/>
      <c r="EK73" s="43"/>
      <c r="EL73" s="43"/>
      <c r="EM73" s="43"/>
      <c r="EN73" s="43"/>
      <c r="EO73" s="43"/>
      <c r="EP73" s="43"/>
      <c r="EQ73" s="43"/>
      <c r="ER73" s="43"/>
      <c r="ES73" s="43"/>
      <c r="ET73" s="43"/>
      <c r="EU73" s="43"/>
      <c r="EV73" s="43"/>
      <c r="EW73" s="43"/>
      <c r="EX73" s="43"/>
      <c r="EY73" s="43"/>
      <c r="EZ73" s="43"/>
      <c r="FA73" s="43"/>
      <c r="FB73" s="43"/>
      <c r="FC73" s="43"/>
      <c r="FD73" s="43"/>
      <c r="FE73" s="43"/>
      <c r="FF73" s="43"/>
      <c r="FG73" s="43"/>
      <c r="FH73" s="43"/>
      <c r="FI73" s="43"/>
      <c r="FJ73" s="43"/>
      <c r="FK73" s="43"/>
      <c r="FL73" s="43"/>
      <c r="FM73" s="43"/>
      <c r="FN73" s="43"/>
      <c r="FO73" s="43"/>
      <c r="FP73" s="43"/>
      <c r="FQ73" s="43"/>
      <c r="FR73" s="43"/>
      <c r="FS73" s="43"/>
      <c r="FT73" s="43"/>
      <c r="FU73" s="43"/>
      <c r="FV73" s="43"/>
      <c r="FW73" s="43"/>
      <c r="FX73" s="43"/>
      <c r="FY73" s="43"/>
      <c r="FZ73" s="43"/>
      <c r="GA73" s="43"/>
      <c r="GB73" s="43"/>
      <c r="GC73" s="43"/>
      <c r="GD73" s="43"/>
      <c r="GE73" s="43"/>
      <c r="GF73" s="43"/>
      <c r="GG73" s="43"/>
      <c r="GH73" s="43"/>
      <c r="GI73" s="43"/>
      <c r="GJ73" s="43"/>
      <c r="GK73" s="43"/>
      <c r="GL73" s="43"/>
      <c r="GM73" s="43"/>
      <c r="GN73" s="43"/>
      <c r="GO73" s="43"/>
      <c r="GP73" s="43"/>
      <c r="GQ73" s="43"/>
      <c r="GR73" s="43"/>
      <c r="GS73" s="43"/>
      <c r="GT73" s="43"/>
      <c r="GU73" s="43"/>
      <c r="GV73" s="43"/>
      <c r="GW73" s="43"/>
      <c r="GX73" s="43"/>
      <c r="GY73" s="43"/>
      <c r="GZ73" s="43"/>
      <c r="HA73" s="43"/>
      <c r="HB73" s="43"/>
      <c r="HC73" s="43"/>
      <c r="HD73" s="43"/>
      <c r="HE73" s="43"/>
      <c r="HF73" s="43"/>
      <c r="HG73" s="43"/>
      <c r="HH73" s="43"/>
      <c r="HI73" s="43"/>
      <c r="HJ73" s="43"/>
      <c r="HK73" s="43"/>
      <c r="HL73" s="43"/>
      <c r="HM73" s="43"/>
      <c r="HN73" s="43"/>
      <c r="HO73" s="43"/>
      <c r="HP73" s="43"/>
      <c r="HQ73" s="43"/>
      <c r="HR73" s="43"/>
      <c r="HS73" s="43"/>
      <c r="HT73" s="43"/>
      <c r="HU73" s="43"/>
      <c r="HV73" s="43"/>
      <c r="HW73" s="43"/>
      <c r="HX73" s="43"/>
      <c r="HY73" s="43"/>
      <c r="HZ73" s="43"/>
      <c r="IA73" s="43"/>
      <c r="IB73" s="43"/>
      <c r="IC73" s="43"/>
      <c r="ID73" s="43"/>
      <c r="IE73" s="43"/>
      <c r="IF73" s="43"/>
      <c r="IG73" s="43"/>
      <c r="IH73" s="43"/>
      <c r="II73" s="43"/>
      <c r="IJ73" s="43"/>
      <c r="IK73" s="43"/>
      <c r="IL73" s="43"/>
      <c r="IM73" s="43"/>
      <c r="IN73" s="43"/>
      <c r="IO73" s="43"/>
      <c r="IP73" s="43"/>
      <c r="IQ73" s="43"/>
      <c r="IR73" s="43"/>
      <c r="IS73" s="43"/>
      <c r="IT73" s="43"/>
      <c r="IU73" s="43"/>
      <c r="IV73" s="43"/>
      <c r="IW73" s="43"/>
      <c r="IX73" s="43"/>
      <c r="IY73" s="43"/>
      <c r="IZ73" s="43"/>
      <c r="JA73" s="43"/>
      <c r="JB73" s="43"/>
      <c r="JC73" s="43"/>
      <c r="JD73" s="43"/>
      <c r="JE73" s="43"/>
      <c r="JF73" s="43"/>
      <c r="JG73" s="43"/>
      <c r="JH73" s="43"/>
      <c r="JI73" s="43"/>
      <c r="JJ73" s="43"/>
      <c r="JK73" s="43"/>
      <c r="JL73" s="43"/>
      <c r="JM73" s="43"/>
      <c r="JN73" s="43"/>
      <c r="JO73" s="43"/>
      <c r="JP73" s="43"/>
      <c r="JQ73" s="43"/>
      <c r="JR73" s="43"/>
      <c r="JS73" s="43"/>
      <c r="JT73" s="43"/>
      <c r="JU73" s="43"/>
      <c r="JV73" s="43"/>
      <c r="JW73" s="43"/>
      <c r="JX73" s="43"/>
      <c r="JY73" s="43"/>
      <c r="JZ73" s="43"/>
      <c r="KA73" s="43"/>
      <c r="KB73" s="43"/>
      <c r="KC73" s="43"/>
      <c r="KD73" s="43"/>
      <c r="KE73" s="43"/>
      <c r="KF73" s="43"/>
      <c r="KG73" s="43"/>
      <c r="KH73" s="43"/>
      <c r="KI73" s="43"/>
      <c r="KJ73" s="43"/>
      <c r="KK73" s="43"/>
      <c r="KL73" s="43"/>
      <c r="KM73" s="43"/>
      <c r="KN73" s="43"/>
      <c r="KO73" s="43"/>
      <c r="KP73" s="43"/>
      <c r="KQ73" s="43"/>
      <c r="KR73" s="43"/>
      <c r="KS73" s="43"/>
      <c r="KT73" s="43"/>
      <c r="KU73" s="43"/>
      <c r="KV73" s="43"/>
      <c r="KW73" s="43"/>
      <c r="KX73" s="43"/>
      <c r="KY73" s="43"/>
      <c r="KZ73" s="43"/>
      <c r="LA73" s="43"/>
      <c r="LB73" s="43"/>
      <c r="LC73" s="43"/>
      <c r="LD73" s="43"/>
      <c r="LE73" s="43"/>
      <c r="LF73" s="43"/>
      <c r="LG73" s="43"/>
      <c r="LH73" s="43"/>
      <c r="LI73" s="43"/>
      <c r="LJ73" s="43"/>
      <c r="LK73" s="43"/>
      <c r="LL73" s="43"/>
      <c r="LM73" s="43"/>
      <c r="LN73" s="43"/>
      <c r="LO73" s="43"/>
      <c r="LP73" s="43"/>
      <c r="LQ73" s="43"/>
      <c r="LR73" s="43"/>
      <c r="LS73" s="43"/>
      <c r="LT73" s="43"/>
      <c r="LU73" s="43"/>
      <c r="LV73" s="43"/>
      <c r="LW73" s="43"/>
      <c r="LX73" s="43"/>
      <c r="LY73" s="43"/>
      <c r="LZ73" s="43"/>
      <c r="MA73" s="43"/>
      <c r="MB73" s="43"/>
      <c r="MC73" s="43"/>
      <c r="MD73" s="43"/>
      <c r="ME73" s="43"/>
      <c r="MF73" s="43"/>
      <c r="MG73" s="43"/>
      <c r="MH73" s="43"/>
      <c r="MI73" s="43"/>
      <c r="MJ73" s="43"/>
      <c r="MK73" s="43"/>
      <c r="ML73" s="43"/>
      <c r="MM73" s="43"/>
      <c r="MN73" s="43"/>
      <c r="MO73" s="43"/>
      <c r="MP73" s="43"/>
      <c r="MQ73" s="43"/>
      <c r="MR73" s="43"/>
      <c r="MS73" s="43"/>
      <c r="MT73" s="43"/>
      <c r="MU73" s="43"/>
      <c r="MV73" s="43"/>
      <c r="MW73" s="43"/>
      <c r="MX73" s="43"/>
      <c r="MY73" s="43"/>
      <c r="MZ73" s="43"/>
      <c r="NA73" s="43"/>
      <c r="NB73" s="43"/>
      <c r="NC73" s="43"/>
      <c r="ND73" s="43"/>
      <c r="NE73" s="43"/>
      <c r="NF73" s="43"/>
      <c r="NG73" s="43"/>
      <c r="NH73" s="43"/>
      <c r="NI73" s="43"/>
      <c r="NJ73" s="43"/>
      <c r="NK73" s="43"/>
      <c r="NL73" s="43"/>
      <c r="NM73" s="43"/>
      <c r="NN73" s="43"/>
      <c r="NO73" s="43"/>
      <c r="NP73" s="43"/>
      <c r="NQ73" s="43"/>
      <c r="NR73" s="43"/>
      <c r="NS73" s="43"/>
      <c r="NT73" s="43"/>
      <c r="NU73" s="43"/>
      <c r="NV73" s="43"/>
      <c r="NW73" s="43"/>
      <c r="NX73" s="43"/>
      <c r="NY73" s="43"/>
      <c r="NZ73" s="43"/>
      <c r="OA73" s="43"/>
      <c r="OB73" s="43"/>
      <c r="OC73" s="43"/>
      <c r="OD73" s="43"/>
      <c r="OE73" s="43"/>
      <c r="OF73" s="43"/>
      <c r="OG73" s="43"/>
      <c r="OH73" s="43"/>
      <c r="OI73" s="43"/>
      <c r="OJ73" s="43"/>
      <c r="OK73" s="43"/>
      <c r="OL73" s="43"/>
      <c r="OM73" s="43"/>
      <c r="ON73" s="43"/>
      <c r="OO73" s="43"/>
      <c r="OP73" s="43"/>
      <c r="OQ73" s="43"/>
      <c r="OR73" s="43"/>
      <c r="OS73" s="43"/>
      <c r="OT73" s="43"/>
      <c r="OU73" s="43"/>
      <c r="OV73" s="43"/>
      <c r="OW73" s="43"/>
      <c r="OX73" s="43"/>
      <c r="OY73" s="43"/>
      <c r="OZ73" s="43"/>
      <c r="PA73" s="43"/>
      <c r="PB73" s="43"/>
      <c r="PC73" s="43"/>
      <c r="PD73" s="43"/>
      <c r="PE73" s="43"/>
      <c r="PF73" s="43"/>
      <c r="PG73" s="43"/>
      <c r="PH73" s="43"/>
      <c r="PI73" s="43"/>
      <c r="PJ73" s="43"/>
      <c r="PK73" s="43"/>
      <c r="PL73" s="43"/>
      <c r="PM73" s="43"/>
      <c r="PN73" s="43"/>
      <c r="PO73" s="43"/>
      <c r="PP73" s="43"/>
      <c r="PQ73" s="43"/>
      <c r="PR73" s="43"/>
      <c r="PS73" s="43"/>
      <c r="PT73" s="43"/>
      <c r="PU73" s="43"/>
      <c r="PV73" s="43"/>
      <c r="PW73" s="43"/>
      <c r="PX73" s="43"/>
      <c r="PY73" s="43"/>
      <c r="PZ73" s="43"/>
      <c r="QA73" s="43"/>
      <c r="QB73" s="43"/>
      <c r="QC73" s="43"/>
    </row>
    <row r="74" spans="1:445" x14ac:dyDescent="0.3"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 t="str">
        <f t="shared" si="6"/>
        <v/>
      </c>
      <c r="U74" s="45" t="str">
        <f t="shared" si="7"/>
        <v/>
      </c>
      <c r="V74" s="68" t="str">
        <f t="shared" si="8"/>
        <v/>
      </c>
      <c r="W74" s="48"/>
      <c r="X74" s="66" t="str">
        <f t="shared" si="10"/>
        <v/>
      </c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43"/>
      <c r="CY74" s="43"/>
      <c r="CZ74" s="43"/>
      <c r="DA74" s="43"/>
      <c r="DB74" s="43"/>
      <c r="DC74" s="43"/>
      <c r="DD74" s="43"/>
      <c r="DE74" s="43"/>
      <c r="DF74" s="43"/>
      <c r="DG74" s="43"/>
      <c r="DH74" s="43"/>
      <c r="DI74" s="43"/>
      <c r="DJ74" s="43"/>
      <c r="DK74" s="43"/>
      <c r="DL74" s="43"/>
      <c r="DM74" s="43"/>
      <c r="DN74" s="43"/>
      <c r="DO74" s="43"/>
      <c r="DP74" s="43"/>
      <c r="DQ74" s="43"/>
      <c r="DR74" s="43"/>
      <c r="DS74" s="43"/>
      <c r="DT74" s="43"/>
      <c r="DU74" s="43"/>
      <c r="DV74" s="43"/>
      <c r="DW74" s="43"/>
      <c r="DX74" s="43"/>
      <c r="DY74" s="43"/>
      <c r="DZ74" s="43"/>
      <c r="EA74" s="43"/>
      <c r="EB74" s="43"/>
      <c r="EC74" s="43"/>
      <c r="ED74" s="43"/>
      <c r="EE74" s="43"/>
      <c r="EF74" s="43"/>
      <c r="EG74" s="43"/>
      <c r="EH74" s="43"/>
      <c r="EI74" s="43"/>
      <c r="EJ74" s="43"/>
      <c r="EK74" s="43"/>
      <c r="EL74" s="43"/>
      <c r="EM74" s="43"/>
      <c r="EN74" s="43"/>
      <c r="EO74" s="43"/>
      <c r="EP74" s="43"/>
      <c r="EQ74" s="43"/>
      <c r="ER74" s="43"/>
      <c r="ES74" s="43"/>
      <c r="ET74" s="43"/>
      <c r="EU74" s="43"/>
      <c r="EV74" s="43"/>
      <c r="EW74" s="43"/>
      <c r="EX74" s="43"/>
      <c r="EY74" s="43"/>
      <c r="EZ74" s="43"/>
      <c r="FA74" s="43"/>
      <c r="FB74" s="43"/>
      <c r="FC74" s="43"/>
      <c r="FD74" s="43"/>
      <c r="FE74" s="43"/>
      <c r="FF74" s="43"/>
      <c r="FG74" s="43"/>
      <c r="FH74" s="43"/>
      <c r="FI74" s="43"/>
      <c r="FJ74" s="43"/>
      <c r="FK74" s="43"/>
      <c r="FL74" s="43"/>
      <c r="FM74" s="43"/>
      <c r="FN74" s="43"/>
      <c r="FO74" s="43"/>
      <c r="FP74" s="43"/>
      <c r="FQ74" s="43"/>
      <c r="FR74" s="43"/>
      <c r="FS74" s="43"/>
      <c r="FT74" s="43"/>
      <c r="FU74" s="43"/>
      <c r="FV74" s="43"/>
      <c r="FW74" s="43"/>
      <c r="FX74" s="43"/>
      <c r="FY74" s="43"/>
      <c r="FZ74" s="43"/>
      <c r="GA74" s="43"/>
      <c r="GB74" s="43"/>
      <c r="GC74" s="43"/>
      <c r="GD74" s="43"/>
      <c r="GE74" s="43"/>
      <c r="GF74" s="43"/>
      <c r="GG74" s="43"/>
      <c r="GH74" s="43"/>
      <c r="GI74" s="43"/>
      <c r="GJ74" s="43"/>
      <c r="GK74" s="43"/>
      <c r="GL74" s="43"/>
      <c r="GM74" s="43"/>
      <c r="GN74" s="43"/>
      <c r="GO74" s="43"/>
      <c r="GP74" s="43"/>
      <c r="GQ74" s="43"/>
      <c r="GR74" s="43"/>
      <c r="GS74" s="43"/>
      <c r="GT74" s="43"/>
      <c r="GU74" s="43"/>
      <c r="GV74" s="43"/>
      <c r="GW74" s="43"/>
      <c r="GX74" s="43"/>
      <c r="GY74" s="43"/>
      <c r="GZ74" s="43"/>
      <c r="HA74" s="43"/>
      <c r="HB74" s="43"/>
      <c r="HC74" s="43"/>
      <c r="HD74" s="43"/>
      <c r="HE74" s="43"/>
      <c r="HF74" s="43"/>
      <c r="HG74" s="43"/>
      <c r="HH74" s="43"/>
      <c r="HI74" s="43"/>
      <c r="HJ74" s="43"/>
      <c r="HK74" s="43"/>
      <c r="HL74" s="43"/>
      <c r="HM74" s="43"/>
      <c r="HN74" s="43"/>
      <c r="HO74" s="43"/>
      <c r="HP74" s="43"/>
      <c r="HQ74" s="43"/>
      <c r="HR74" s="43"/>
      <c r="HS74" s="43"/>
      <c r="HT74" s="43"/>
      <c r="HU74" s="43"/>
      <c r="HV74" s="43"/>
      <c r="HW74" s="43"/>
      <c r="HX74" s="43"/>
      <c r="HY74" s="43"/>
      <c r="HZ74" s="43"/>
      <c r="IA74" s="43"/>
      <c r="IB74" s="43"/>
      <c r="IC74" s="43"/>
      <c r="ID74" s="43"/>
      <c r="IE74" s="43"/>
      <c r="IF74" s="43"/>
      <c r="IG74" s="43"/>
      <c r="IH74" s="43"/>
      <c r="II74" s="43"/>
      <c r="IJ74" s="43"/>
      <c r="IK74" s="43"/>
      <c r="IL74" s="43"/>
      <c r="IM74" s="43"/>
      <c r="IN74" s="43"/>
      <c r="IO74" s="43"/>
      <c r="IP74" s="43"/>
      <c r="IQ74" s="43"/>
      <c r="IR74" s="43"/>
      <c r="IS74" s="43"/>
      <c r="IT74" s="43"/>
      <c r="IU74" s="43"/>
      <c r="IV74" s="43"/>
      <c r="IW74" s="43"/>
      <c r="IX74" s="43"/>
      <c r="IY74" s="43"/>
      <c r="IZ74" s="43"/>
      <c r="JA74" s="43"/>
      <c r="JB74" s="43"/>
      <c r="JC74" s="43"/>
      <c r="JD74" s="43"/>
      <c r="JE74" s="43"/>
      <c r="JF74" s="43"/>
      <c r="JG74" s="43"/>
      <c r="JH74" s="43"/>
      <c r="JI74" s="43"/>
      <c r="JJ74" s="43"/>
      <c r="JK74" s="43"/>
      <c r="JL74" s="43"/>
      <c r="JM74" s="43"/>
      <c r="JN74" s="43"/>
      <c r="JO74" s="43"/>
      <c r="JP74" s="43"/>
      <c r="JQ74" s="43"/>
      <c r="JR74" s="43"/>
      <c r="JS74" s="43"/>
      <c r="JT74" s="43"/>
      <c r="JU74" s="43"/>
      <c r="JV74" s="43"/>
      <c r="JW74" s="43"/>
      <c r="JX74" s="43"/>
      <c r="JY74" s="43"/>
      <c r="JZ74" s="43"/>
      <c r="KA74" s="43"/>
      <c r="KB74" s="43"/>
      <c r="KC74" s="43"/>
      <c r="KD74" s="43"/>
      <c r="KE74" s="43"/>
      <c r="KF74" s="43"/>
      <c r="KG74" s="43"/>
      <c r="KH74" s="43"/>
      <c r="KI74" s="43"/>
      <c r="KJ74" s="43"/>
      <c r="KK74" s="43"/>
      <c r="KL74" s="43"/>
      <c r="KM74" s="43"/>
      <c r="KN74" s="43"/>
      <c r="KO74" s="43"/>
      <c r="KP74" s="43"/>
      <c r="KQ74" s="43"/>
      <c r="KR74" s="43"/>
      <c r="KS74" s="43"/>
      <c r="KT74" s="43"/>
      <c r="KU74" s="43"/>
      <c r="KV74" s="43"/>
      <c r="KW74" s="43"/>
      <c r="KX74" s="43"/>
      <c r="KY74" s="43"/>
      <c r="KZ74" s="43"/>
      <c r="LA74" s="43"/>
      <c r="LB74" s="43"/>
      <c r="LC74" s="43"/>
      <c r="LD74" s="43"/>
      <c r="LE74" s="43"/>
      <c r="LF74" s="43"/>
      <c r="LG74" s="43"/>
      <c r="LH74" s="43"/>
      <c r="LI74" s="43"/>
      <c r="LJ74" s="43"/>
      <c r="LK74" s="43"/>
      <c r="LL74" s="43"/>
      <c r="LM74" s="43"/>
      <c r="LN74" s="43"/>
      <c r="LO74" s="43"/>
      <c r="LP74" s="43"/>
      <c r="LQ74" s="43"/>
      <c r="LR74" s="43"/>
      <c r="LS74" s="43"/>
      <c r="LT74" s="43"/>
      <c r="LU74" s="43"/>
      <c r="LV74" s="43"/>
      <c r="LW74" s="43"/>
      <c r="LX74" s="43"/>
      <c r="LY74" s="43"/>
      <c r="LZ74" s="43"/>
      <c r="MA74" s="43"/>
      <c r="MB74" s="43"/>
      <c r="MC74" s="43"/>
      <c r="MD74" s="43"/>
      <c r="ME74" s="43"/>
      <c r="MF74" s="43"/>
      <c r="MG74" s="43"/>
      <c r="MH74" s="43"/>
      <c r="MI74" s="43"/>
      <c r="MJ74" s="43"/>
      <c r="MK74" s="43"/>
      <c r="ML74" s="43"/>
      <c r="MM74" s="43"/>
      <c r="MN74" s="43"/>
      <c r="MO74" s="43"/>
      <c r="MP74" s="43"/>
      <c r="MQ74" s="43"/>
      <c r="MR74" s="43"/>
      <c r="MS74" s="43"/>
      <c r="MT74" s="43"/>
      <c r="MU74" s="43"/>
      <c r="MV74" s="43"/>
      <c r="MW74" s="43"/>
      <c r="MX74" s="43"/>
      <c r="MY74" s="43"/>
      <c r="MZ74" s="43"/>
      <c r="NA74" s="43"/>
      <c r="NB74" s="43"/>
      <c r="NC74" s="43"/>
      <c r="ND74" s="43"/>
      <c r="NE74" s="43"/>
      <c r="NF74" s="43"/>
      <c r="NG74" s="43"/>
      <c r="NH74" s="43"/>
      <c r="NI74" s="43"/>
      <c r="NJ74" s="43"/>
      <c r="NK74" s="43"/>
      <c r="NL74" s="43"/>
      <c r="NM74" s="43"/>
      <c r="NN74" s="43"/>
      <c r="NO74" s="43"/>
      <c r="NP74" s="43"/>
      <c r="NQ74" s="43"/>
      <c r="NR74" s="43"/>
      <c r="NS74" s="43"/>
      <c r="NT74" s="43"/>
      <c r="NU74" s="43"/>
      <c r="NV74" s="43"/>
      <c r="NW74" s="43"/>
      <c r="NX74" s="43"/>
      <c r="NY74" s="43"/>
      <c r="NZ74" s="43"/>
      <c r="OA74" s="43"/>
      <c r="OB74" s="43"/>
      <c r="OC74" s="43"/>
      <c r="OD74" s="43"/>
      <c r="OE74" s="43"/>
      <c r="OF74" s="43"/>
      <c r="OG74" s="43"/>
      <c r="OH74" s="43"/>
      <c r="OI74" s="43"/>
      <c r="OJ74" s="43"/>
      <c r="OK74" s="43"/>
      <c r="OL74" s="43"/>
      <c r="OM74" s="43"/>
      <c r="ON74" s="43"/>
      <c r="OO74" s="43"/>
      <c r="OP74" s="43"/>
      <c r="OQ74" s="43"/>
      <c r="OR74" s="43"/>
      <c r="OS74" s="43"/>
      <c r="OT74" s="43"/>
      <c r="OU74" s="43"/>
      <c r="OV74" s="43"/>
      <c r="OW74" s="43"/>
      <c r="OX74" s="43"/>
      <c r="OY74" s="43"/>
      <c r="OZ74" s="43"/>
      <c r="PA74" s="43"/>
      <c r="PB74" s="43"/>
      <c r="PC74" s="43"/>
      <c r="PD74" s="43"/>
      <c r="PE74" s="43"/>
      <c r="PF74" s="43"/>
      <c r="PG74" s="43"/>
      <c r="PH74" s="43"/>
      <c r="PI74" s="43"/>
      <c r="PJ74" s="43"/>
      <c r="PK74" s="43"/>
      <c r="PL74" s="43"/>
      <c r="PM74" s="43"/>
      <c r="PN74" s="43"/>
      <c r="PO74" s="43"/>
      <c r="PP74" s="43"/>
      <c r="PQ74" s="43"/>
      <c r="PR74" s="43"/>
      <c r="PS74" s="43"/>
      <c r="PT74" s="43"/>
      <c r="PU74" s="43"/>
      <c r="PV74" s="43"/>
      <c r="PW74" s="43"/>
      <c r="PX74" s="43"/>
      <c r="PY74" s="43"/>
      <c r="PZ74" s="43"/>
      <c r="QA74" s="43"/>
      <c r="QB74" s="43"/>
      <c r="QC74" s="43"/>
    </row>
    <row r="75" spans="1:445" ht="18" customHeight="1" x14ac:dyDescent="0.3"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 t="str">
        <f t="shared" si="6"/>
        <v/>
      </c>
      <c r="U75" s="45" t="str">
        <f t="shared" si="7"/>
        <v/>
      </c>
      <c r="V75" s="68" t="str">
        <f t="shared" si="8"/>
        <v/>
      </c>
      <c r="W75" s="48"/>
      <c r="X75" s="66" t="str">
        <f t="shared" si="10"/>
        <v/>
      </c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43"/>
      <c r="CY75" s="43"/>
      <c r="CZ75" s="43"/>
      <c r="DA75" s="43"/>
      <c r="DB75" s="43"/>
      <c r="DC75" s="43"/>
      <c r="DD75" s="43"/>
      <c r="DE75" s="43"/>
      <c r="DF75" s="43"/>
      <c r="DG75" s="43"/>
      <c r="DH75" s="43"/>
      <c r="DI75" s="43"/>
      <c r="DJ75" s="43"/>
      <c r="DK75" s="43"/>
      <c r="DL75" s="43"/>
      <c r="DM75" s="43"/>
      <c r="DN75" s="43"/>
      <c r="DO75" s="43"/>
      <c r="DP75" s="43"/>
      <c r="DQ75" s="43"/>
      <c r="DR75" s="43"/>
      <c r="DS75" s="43"/>
      <c r="DT75" s="43"/>
      <c r="DU75" s="43"/>
      <c r="DV75" s="43"/>
      <c r="DW75" s="43"/>
      <c r="DX75" s="43"/>
      <c r="DY75" s="43"/>
      <c r="DZ75" s="43"/>
      <c r="EA75" s="43"/>
      <c r="EB75" s="43"/>
      <c r="EC75" s="43"/>
      <c r="ED75" s="43"/>
      <c r="EE75" s="43"/>
      <c r="EF75" s="43"/>
      <c r="EG75" s="43"/>
      <c r="EH75" s="43"/>
      <c r="EI75" s="43"/>
      <c r="EJ75" s="43"/>
      <c r="EK75" s="43"/>
      <c r="EL75" s="43"/>
      <c r="EM75" s="43"/>
      <c r="EN75" s="43"/>
      <c r="EO75" s="43"/>
      <c r="EP75" s="43"/>
      <c r="EQ75" s="43"/>
      <c r="ER75" s="43"/>
      <c r="ES75" s="43"/>
      <c r="ET75" s="43"/>
      <c r="EU75" s="43"/>
      <c r="EV75" s="43"/>
      <c r="EW75" s="43"/>
      <c r="EX75" s="43"/>
      <c r="EY75" s="43"/>
      <c r="EZ75" s="43"/>
      <c r="FA75" s="43"/>
      <c r="FB75" s="43"/>
      <c r="FC75" s="43"/>
      <c r="FD75" s="43"/>
      <c r="FE75" s="43"/>
      <c r="FF75" s="43"/>
      <c r="FG75" s="43"/>
      <c r="FH75" s="43"/>
      <c r="FI75" s="43"/>
      <c r="FJ75" s="43"/>
      <c r="FK75" s="43"/>
      <c r="FL75" s="43"/>
      <c r="FM75" s="43"/>
      <c r="FN75" s="43"/>
      <c r="FO75" s="43"/>
      <c r="FP75" s="43"/>
      <c r="FQ75" s="43"/>
      <c r="FR75" s="43"/>
      <c r="FS75" s="43"/>
      <c r="FT75" s="43"/>
      <c r="FU75" s="43"/>
      <c r="FV75" s="43"/>
      <c r="FW75" s="43"/>
      <c r="FX75" s="43"/>
      <c r="FY75" s="43"/>
      <c r="FZ75" s="43"/>
      <c r="GA75" s="43"/>
      <c r="GB75" s="43"/>
      <c r="GC75" s="43"/>
      <c r="GD75" s="43"/>
      <c r="GE75" s="43"/>
      <c r="GF75" s="43"/>
      <c r="GG75" s="43"/>
      <c r="GH75" s="43"/>
      <c r="GI75" s="43"/>
      <c r="GJ75" s="43"/>
      <c r="GK75" s="43"/>
      <c r="GL75" s="43"/>
      <c r="GM75" s="43"/>
      <c r="GN75" s="43"/>
      <c r="GO75" s="43"/>
      <c r="GP75" s="43"/>
      <c r="GQ75" s="43"/>
      <c r="GR75" s="43"/>
      <c r="GS75" s="43"/>
      <c r="GT75" s="43"/>
      <c r="GU75" s="43"/>
      <c r="GV75" s="43"/>
      <c r="GW75" s="43"/>
      <c r="GX75" s="43"/>
      <c r="GY75" s="43"/>
      <c r="GZ75" s="43"/>
      <c r="HA75" s="43"/>
      <c r="HB75" s="43"/>
      <c r="HC75" s="43"/>
      <c r="HD75" s="43"/>
      <c r="HE75" s="43"/>
      <c r="HF75" s="43"/>
      <c r="HG75" s="43"/>
      <c r="HH75" s="43"/>
      <c r="HI75" s="43"/>
      <c r="HJ75" s="43"/>
      <c r="HK75" s="43"/>
      <c r="HL75" s="43"/>
      <c r="HM75" s="43"/>
      <c r="HN75" s="43"/>
      <c r="HO75" s="43"/>
      <c r="HP75" s="43"/>
      <c r="HQ75" s="43"/>
      <c r="HR75" s="43"/>
      <c r="HS75" s="43"/>
      <c r="HT75" s="43"/>
      <c r="HU75" s="43"/>
      <c r="HV75" s="43"/>
      <c r="HW75" s="43"/>
      <c r="HX75" s="43"/>
      <c r="HY75" s="43"/>
      <c r="HZ75" s="43"/>
      <c r="IA75" s="43"/>
      <c r="IB75" s="43"/>
      <c r="IC75" s="43"/>
      <c r="ID75" s="43"/>
      <c r="IE75" s="43"/>
      <c r="IF75" s="43"/>
      <c r="IG75" s="43"/>
      <c r="IH75" s="43"/>
      <c r="II75" s="43"/>
      <c r="IJ75" s="43"/>
      <c r="IK75" s="43"/>
      <c r="IL75" s="43"/>
      <c r="IM75" s="43"/>
      <c r="IN75" s="43"/>
      <c r="IO75" s="43"/>
      <c r="IP75" s="43"/>
      <c r="IQ75" s="43"/>
      <c r="IR75" s="43"/>
      <c r="IS75" s="43"/>
      <c r="IT75" s="43"/>
      <c r="IU75" s="43"/>
      <c r="IV75" s="43"/>
      <c r="IW75" s="43"/>
      <c r="IX75" s="43"/>
      <c r="IY75" s="43"/>
      <c r="IZ75" s="43"/>
      <c r="JA75" s="43"/>
      <c r="JB75" s="43"/>
      <c r="JC75" s="43"/>
      <c r="JD75" s="43"/>
      <c r="JE75" s="43"/>
      <c r="JF75" s="43"/>
      <c r="JG75" s="43"/>
      <c r="JH75" s="43"/>
      <c r="JI75" s="43"/>
      <c r="JJ75" s="43"/>
      <c r="JK75" s="43"/>
      <c r="JL75" s="43"/>
      <c r="JM75" s="43"/>
      <c r="JN75" s="43"/>
      <c r="JO75" s="43"/>
      <c r="JP75" s="43"/>
      <c r="JQ75" s="43"/>
      <c r="JR75" s="43"/>
      <c r="JS75" s="43"/>
      <c r="JT75" s="43"/>
      <c r="JU75" s="43"/>
      <c r="JV75" s="43"/>
      <c r="JW75" s="43"/>
      <c r="JX75" s="43"/>
      <c r="JY75" s="43"/>
      <c r="JZ75" s="43"/>
      <c r="KA75" s="43"/>
      <c r="KB75" s="43"/>
      <c r="KC75" s="43"/>
      <c r="KD75" s="43"/>
      <c r="KE75" s="43"/>
      <c r="KF75" s="43"/>
      <c r="KG75" s="43"/>
      <c r="KH75" s="43"/>
      <c r="KI75" s="43"/>
      <c r="KJ75" s="43"/>
      <c r="KK75" s="43"/>
      <c r="KL75" s="43"/>
      <c r="KM75" s="43"/>
      <c r="KN75" s="43"/>
      <c r="KO75" s="43"/>
      <c r="KP75" s="43"/>
      <c r="KQ75" s="43"/>
      <c r="KR75" s="43"/>
      <c r="KS75" s="43"/>
      <c r="KT75" s="43"/>
      <c r="KU75" s="43"/>
      <c r="KV75" s="43"/>
      <c r="KW75" s="43"/>
      <c r="KX75" s="43"/>
      <c r="KY75" s="43"/>
      <c r="KZ75" s="43"/>
      <c r="LA75" s="43"/>
      <c r="LB75" s="43"/>
      <c r="LC75" s="43"/>
      <c r="LD75" s="43"/>
      <c r="LE75" s="43"/>
      <c r="LF75" s="43"/>
      <c r="LG75" s="43"/>
      <c r="LH75" s="43"/>
      <c r="LI75" s="43"/>
      <c r="LJ75" s="43"/>
      <c r="LK75" s="43"/>
      <c r="LL75" s="43"/>
      <c r="LM75" s="43"/>
      <c r="LN75" s="43"/>
      <c r="LO75" s="43"/>
      <c r="LP75" s="43"/>
      <c r="LQ75" s="43"/>
      <c r="LR75" s="43"/>
      <c r="LS75" s="43"/>
      <c r="LT75" s="43"/>
      <c r="LU75" s="43"/>
      <c r="LV75" s="43"/>
      <c r="LW75" s="43"/>
      <c r="LX75" s="43"/>
      <c r="LY75" s="43"/>
      <c r="LZ75" s="43"/>
      <c r="MA75" s="43"/>
      <c r="MB75" s="43"/>
      <c r="MC75" s="43"/>
      <c r="MD75" s="43"/>
      <c r="ME75" s="43"/>
      <c r="MF75" s="43"/>
      <c r="MG75" s="43"/>
      <c r="MH75" s="43"/>
      <c r="MI75" s="43"/>
      <c r="MJ75" s="43"/>
      <c r="MK75" s="43"/>
      <c r="ML75" s="43"/>
      <c r="MM75" s="43"/>
      <c r="MN75" s="43"/>
      <c r="MO75" s="43"/>
      <c r="MP75" s="43"/>
      <c r="MQ75" s="43"/>
      <c r="MR75" s="43"/>
      <c r="MS75" s="43"/>
      <c r="MT75" s="43"/>
      <c r="MU75" s="43"/>
      <c r="MV75" s="43"/>
      <c r="MW75" s="43"/>
      <c r="MX75" s="43"/>
      <c r="MY75" s="43"/>
      <c r="MZ75" s="43"/>
      <c r="NA75" s="43"/>
      <c r="NB75" s="43"/>
      <c r="NC75" s="43"/>
      <c r="ND75" s="43"/>
      <c r="NE75" s="43"/>
      <c r="NF75" s="43"/>
      <c r="NG75" s="43"/>
      <c r="NH75" s="43"/>
      <c r="NI75" s="43"/>
      <c r="NJ75" s="43"/>
      <c r="NK75" s="43"/>
      <c r="NL75" s="43"/>
      <c r="NM75" s="43"/>
      <c r="NN75" s="43"/>
      <c r="NO75" s="43"/>
      <c r="NP75" s="43"/>
      <c r="NQ75" s="43"/>
      <c r="NR75" s="43"/>
      <c r="NS75" s="43"/>
      <c r="NT75" s="43"/>
      <c r="NU75" s="43"/>
      <c r="NV75" s="43"/>
      <c r="NW75" s="43"/>
      <c r="NX75" s="43"/>
      <c r="NY75" s="43"/>
      <c r="NZ75" s="43"/>
      <c r="OA75" s="43"/>
      <c r="OB75" s="43"/>
      <c r="OC75" s="43"/>
      <c r="OD75" s="43"/>
      <c r="OE75" s="43"/>
      <c r="OF75" s="43"/>
      <c r="OG75" s="43"/>
      <c r="OH75" s="43"/>
      <c r="OI75" s="43"/>
      <c r="OJ75" s="43"/>
      <c r="OK75" s="43"/>
      <c r="OL75" s="43"/>
      <c r="OM75" s="43"/>
      <c r="ON75" s="43"/>
      <c r="OO75" s="43"/>
      <c r="OP75" s="43"/>
      <c r="OQ75" s="43"/>
      <c r="OR75" s="43"/>
      <c r="OS75" s="43"/>
      <c r="OT75" s="43"/>
      <c r="OU75" s="43"/>
      <c r="OV75" s="43"/>
      <c r="OW75" s="43"/>
      <c r="OX75" s="43"/>
      <c r="OY75" s="43"/>
      <c r="OZ75" s="43"/>
      <c r="PA75" s="43"/>
      <c r="PB75" s="43"/>
      <c r="PC75" s="43"/>
      <c r="PD75" s="43"/>
      <c r="PE75" s="43"/>
      <c r="PF75" s="43"/>
      <c r="PG75" s="43"/>
      <c r="PH75" s="43"/>
      <c r="PI75" s="43"/>
      <c r="PJ75" s="43"/>
      <c r="PK75" s="43"/>
      <c r="PL75" s="43"/>
      <c r="PM75" s="43"/>
      <c r="PN75" s="43"/>
      <c r="PO75" s="43"/>
      <c r="PP75" s="43"/>
      <c r="PQ75" s="43"/>
      <c r="PR75" s="43"/>
      <c r="PS75" s="43"/>
      <c r="PT75" s="43"/>
      <c r="PU75" s="43"/>
      <c r="PV75" s="43"/>
      <c r="PW75" s="43"/>
      <c r="PX75" s="43"/>
      <c r="PY75" s="43"/>
      <c r="PZ75" s="43"/>
      <c r="QA75" s="43"/>
      <c r="QB75" s="43"/>
      <c r="QC75" s="43"/>
    </row>
    <row r="76" spans="1:445" x14ac:dyDescent="0.3">
      <c r="B76" s="45"/>
      <c r="C76" s="45"/>
      <c r="D76" s="45"/>
      <c r="E76" s="45"/>
      <c r="F76" s="45"/>
      <c r="G76" s="45"/>
      <c r="H76" s="45"/>
      <c r="I76" s="45"/>
      <c r="J76" s="51"/>
      <c r="K76" s="45"/>
      <c r="L76" s="45"/>
      <c r="M76" s="45"/>
      <c r="N76" s="45"/>
      <c r="O76" s="45"/>
      <c r="P76" s="45"/>
      <c r="Q76" s="45"/>
      <c r="R76" s="45"/>
      <c r="S76" s="45"/>
      <c r="T76" s="45" t="str">
        <f t="shared" si="6"/>
        <v/>
      </c>
      <c r="U76" s="45" t="str">
        <f t="shared" si="7"/>
        <v/>
      </c>
      <c r="V76" s="68" t="str">
        <f t="shared" si="8"/>
        <v/>
      </c>
      <c r="W76" s="48"/>
      <c r="X76" s="66" t="str">
        <f t="shared" si="10"/>
        <v/>
      </c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43"/>
      <c r="CY76" s="43"/>
      <c r="CZ76" s="43"/>
      <c r="DA76" s="43"/>
      <c r="DB76" s="43"/>
      <c r="DC76" s="43"/>
      <c r="DD76" s="43"/>
      <c r="DE76" s="43"/>
      <c r="DF76" s="43"/>
      <c r="DG76" s="43"/>
      <c r="DH76" s="43"/>
      <c r="DI76" s="43"/>
      <c r="DJ76" s="43"/>
      <c r="DK76" s="43"/>
      <c r="DL76" s="43"/>
      <c r="DM76" s="43"/>
      <c r="DN76" s="43"/>
      <c r="DO76" s="43"/>
      <c r="DP76" s="43"/>
      <c r="DQ76" s="43"/>
      <c r="DR76" s="43"/>
      <c r="DS76" s="43"/>
      <c r="DT76" s="43"/>
      <c r="DU76" s="43"/>
      <c r="DV76" s="43"/>
      <c r="DW76" s="43"/>
      <c r="DX76" s="43"/>
      <c r="DY76" s="43"/>
      <c r="DZ76" s="43"/>
      <c r="EA76" s="43"/>
      <c r="EB76" s="43"/>
      <c r="EC76" s="43"/>
      <c r="ED76" s="43"/>
      <c r="EE76" s="43"/>
      <c r="EF76" s="43"/>
      <c r="EG76" s="43"/>
      <c r="EH76" s="43"/>
      <c r="EI76" s="43"/>
      <c r="EJ76" s="43"/>
      <c r="EK76" s="43"/>
      <c r="EL76" s="43"/>
      <c r="EM76" s="43"/>
      <c r="EN76" s="43"/>
      <c r="EO76" s="43"/>
      <c r="EP76" s="43"/>
      <c r="EQ76" s="43"/>
      <c r="ER76" s="43"/>
      <c r="ES76" s="43"/>
      <c r="ET76" s="43"/>
      <c r="EU76" s="43"/>
      <c r="EV76" s="43"/>
      <c r="EW76" s="43"/>
      <c r="EX76" s="43"/>
      <c r="EY76" s="43"/>
      <c r="EZ76" s="43"/>
      <c r="FA76" s="43"/>
      <c r="FB76" s="43"/>
      <c r="FC76" s="43"/>
      <c r="FD76" s="43"/>
      <c r="FE76" s="43"/>
      <c r="FF76" s="43"/>
      <c r="FG76" s="43"/>
      <c r="FH76" s="43"/>
      <c r="FI76" s="43"/>
      <c r="FJ76" s="43"/>
      <c r="FK76" s="43"/>
      <c r="FL76" s="43"/>
      <c r="FM76" s="43"/>
      <c r="FN76" s="43"/>
      <c r="FO76" s="43"/>
      <c r="FP76" s="43"/>
      <c r="FQ76" s="43"/>
      <c r="FR76" s="43"/>
      <c r="FS76" s="43"/>
      <c r="FT76" s="43"/>
      <c r="FU76" s="43"/>
      <c r="FV76" s="43"/>
      <c r="FW76" s="43"/>
      <c r="FX76" s="43"/>
      <c r="FY76" s="43"/>
      <c r="FZ76" s="43"/>
      <c r="GA76" s="43"/>
      <c r="GB76" s="43"/>
      <c r="GC76" s="43"/>
      <c r="GD76" s="43"/>
      <c r="GE76" s="43"/>
      <c r="GF76" s="43"/>
      <c r="GG76" s="43"/>
      <c r="GH76" s="43"/>
      <c r="GI76" s="43"/>
      <c r="GJ76" s="43"/>
      <c r="GK76" s="43"/>
      <c r="GL76" s="43"/>
      <c r="GM76" s="43"/>
      <c r="GN76" s="43"/>
      <c r="GO76" s="43"/>
      <c r="GP76" s="43"/>
      <c r="GQ76" s="43"/>
      <c r="GR76" s="43"/>
      <c r="GS76" s="43"/>
      <c r="GT76" s="43"/>
      <c r="GU76" s="43"/>
      <c r="GV76" s="43"/>
      <c r="GW76" s="43"/>
      <c r="GX76" s="43"/>
      <c r="GY76" s="43"/>
      <c r="GZ76" s="43"/>
      <c r="HA76" s="43"/>
      <c r="HB76" s="43"/>
      <c r="HC76" s="43"/>
      <c r="HD76" s="43"/>
      <c r="HE76" s="43"/>
      <c r="HF76" s="43"/>
      <c r="HG76" s="43"/>
      <c r="HH76" s="43"/>
      <c r="HI76" s="43"/>
      <c r="HJ76" s="43"/>
      <c r="HK76" s="43"/>
      <c r="HL76" s="43"/>
      <c r="HM76" s="43"/>
      <c r="HN76" s="43"/>
      <c r="HO76" s="43"/>
      <c r="HP76" s="43"/>
      <c r="HQ76" s="43"/>
      <c r="HR76" s="43"/>
      <c r="HS76" s="43"/>
      <c r="HT76" s="43"/>
      <c r="HU76" s="43"/>
      <c r="HV76" s="43"/>
      <c r="HW76" s="43"/>
      <c r="HX76" s="43"/>
      <c r="HY76" s="43"/>
      <c r="HZ76" s="43"/>
      <c r="IA76" s="43"/>
      <c r="IB76" s="43"/>
      <c r="IC76" s="43"/>
      <c r="ID76" s="43"/>
      <c r="IE76" s="43"/>
      <c r="IF76" s="43"/>
      <c r="IG76" s="43"/>
      <c r="IH76" s="43"/>
      <c r="II76" s="43"/>
      <c r="IJ76" s="43"/>
      <c r="IK76" s="43"/>
      <c r="IL76" s="43"/>
      <c r="IM76" s="43"/>
      <c r="IN76" s="43"/>
      <c r="IO76" s="43"/>
      <c r="IP76" s="43"/>
      <c r="IQ76" s="43"/>
      <c r="IR76" s="43"/>
      <c r="IS76" s="43"/>
      <c r="IT76" s="43"/>
      <c r="IU76" s="43"/>
      <c r="IV76" s="43"/>
      <c r="IW76" s="43"/>
      <c r="IX76" s="43"/>
      <c r="IY76" s="43"/>
      <c r="IZ76" s="43"/>
      <c r="JA76" s="43"/>
      <c r="JB76" s="43"/>
      <c r="JC76" s="43"/>
      <c r="JD76" s="43"/>
      <c r="JE76" s="43"/>
      <c r="JF76" s="43"/>
      <c r="JG76" s="43"/>
      <c r="JH76" s="43"/>
      <c r="JI76" s="43"/>
      <c r="JJ76" s="43"/>
      <c r="JK76" s="43"/>
      <c r="JL76" s="43"/>
      <c r="JM76" s="43"/>
      <c r="JN76" s="43"/>
      <c r="JO76" s="43"/>
      <c r="JP76" s="43"/>
      <c r="JQ76" s="43"/>
      <c r="JR76" s="43"/>
      <c r="JS76" s="43"/>
      <c r="JT76" s="43"/>
      <c r="JU76" s="43"/>
      <c r="JV76" s="43"/>
      <c r="JW76" s="43"/>
      <c r="JX76" s="43"/>
      <c r="JY76" s="43"/>
      <c r="JZ76" s="43"/>
      <c r="KA76" s="43"/>
      <c r="KB76" s="43"/>
      <c r="KC76" s="43"/>
      <c r="KD76" s="43"/>
      <c r="KE76" s="43"/>
      <c r="KF76" s="43"/>
      <c r="KG76" s="43"/>
      <c r="KH76" s="43"/>
      <c r="KI76" s="43"/>
      <c r="KJ76" s="43"/>
      <c r="KK76" s="43"/>
      <c r="KL76" s="43"/>
      <c r="KM76" s="43"/>
      <c r="KN76" s="43"/>
      <c r="KO76" s="43"/>
      <c r="KP76" s="43"/>
      <c r="KQ76" s="43"/>
      <c r="KR76" s="43"/>
      <c r="KS76" s="43"/>
      <c r="KT76" s="43"/>
      <c r="KU76" s="43"/>
      <c r="KV76" s="43"/>
      <c r="KW76" s="43"/>
      <c r="KX76" s="43"/>
      <c r="KY76" s="43"/>
      <c r="KZ76" s="43"/>
      <c r="LA76" s="43"/>
      <c r="LB76" s="43"/>
      <c r="LC76" s="43"/>
      <c r="LD76" s="43"/>
      <c r="LE76" s="43"/>
      <c r="LF76" s="43"/>
      <c r="LG76" s="43"/>
      <c r="LH76" s="43"/>
      <c r="LI76" s="43"/>
      <c r="LJ76" s="43"/>
      <c r="LK76" s="43"/>
      <c r="LL76" s="43"/>
      <c r="LM76" s="43"/>
      <c r="LN76" s="43"/>
      <c r="LO76" s="43"/>
      <c r="LP76" s="43"/>
      <c r="LQ76" s="43"/>
      <c r="LR76" s="43"/>
      <c r="LS76" s="43"/>
      <c r="LT76" s="43"/>
      <c r="LU76" s="43"/>
      <c r="LV76" s="43"/>
      <c r="LW76" s="43"/>
      <c r="LX76" s="43"/>
      <c r="LY76" s="43"/>
      <c r="LZ76" s="43"/>
      <c r="MA76" s="43"/>
      <c r="MB76" s="43"/>
      <c r="MC76" s="43"/>
      <c r="MD76" s="43"/>
      <c r="ME76" s="43"/>
      <c r="MF76" s="43"/>
      <c r="MG76" s="43"/>
      <c r="MH76" s="43"/>
      <c r="MI76" s="43"/>
      <c r="MJ76" s="43"/>
      <c r="MK76" s="43"/>
      <c r="ML76" s="43"/>
      <c r="MM76" s="43"/>
      <c r="MN76" s="43"/>
      <c r="MO76" s="43"/>
      <c r="MP76" s="43"/>
      <c r="MQ76" s="43"/>
      <c r="MR76" s="43"/>
      <c r="MS76" s="43"/>
      <c r="MT76" s="43"/>
      <c r="MU76" s="43"/>
      <c r="MV76" s="43"/>
      <c r="MW76" s="43"/>
      <c r="MX76" s="43"/>
      <c r="MY76" s="43"/>
      <c r="MZ76" s="43"/>
      <c r="NA76" s="43"/>
      <c r="NB76" s="43"/>
      <c r="NC76" s="43"/>
      <c r="ND76" s="43"/>
      <c r="NE76" s="43"/>
      <c r="NF76" s="43"/>
      <c r="NG76" s="43"/>
      <c r="NH76" s="43"/>
      <c r="NI76" s="43"/>
      <c r="NJ76" s="43"/>
      <c r="NK76" s="43"/>
      <c r="NL76" s="43"/>
      <c r="NM76" s="43"/>
      <c r="NN76" s="43"/>
      <c r="NO76" s="43"/>
      <c r="NP76" s="43"/>
      <c r="NQ76" s="43"/>
      <c r="NR76" s="43"/>
      <c r="NS76" s="43"/>
      <c r="NT76" s="43"/>
      <c r="NU76" s="43"/>
      <c r="NV76" s="43"/>
      <c r="NW76" s="43"/>
      <c r="NX76" s="43"/>
      <c r="NY76" s="43"/>
      <c r="NZ76" s="43"/>
      <c r="OA76" s="43"/>
      <c r="OB76" s="43"/>
      <c r="OC76" s="43"/>
      <c r="OD76" s="43"/>
      <c r="OE76" s="43"/>
      <c r="OF76" s="43"/>
      <c r="OG76" s="43"/>
      <c r="OH76" s="43"/>
      <c r="OI76" s="43"/>
      <c r="OJ76" s="43"/>
      <c r="OK76" s="43"/>
      <c r="OL76" s="43"/>
      <c r="OM76" s="43"/>
      <c r="ON76" s="43"/>
      <c r="OO76" s="43"/>
      <c r="OP76" s="43"/>
      <c r="OQ76" s="43"/>
      <c r="OR76" s="43"/>
      <c r="OS76" s="43"/>
      <c r="OT76" s="43"/>
      <c r="OU76" s="43"/>
      <c r="OV76" s="43"/>
      <c r="OW76" s="43"/>
      <c r="OX76" s="43"/>
      <c r="OY76" s="43"/>
      <c r="OZ76" s="43"/>
      <c r="PA76" s="43"/>
      <c r="PB76" s="43"/>
      <c r="PC76" s="43"/>
      <c r="PD76" s="43"/>
      <c r="PE76" s="43"/>
      <c r="PF76" s="43"/>
      <c r="PG76" s="43"/>
      <c r="PH76" s="43"/>
      <c r="PI76" s="43"/>
      <c r="PJ76" s="43"/>
      <c r="PK76" s="43"/>
      <c r="PL76" s="43"/>
      <c r="PM76" s="43"/>
      <c r="PN76" s="43"/>
      <c r="PO76" s="43"/>
      <c r="PP76" s="43"/>
      <c r="PQ76" s="43"/>
      <c r="PR76" s="43"/>
      <c r="PS76" s="43"/>
      <c r="PT76" s="43"/>
      <c r="PU76" s="43"/>
      <c r="PV76" s="43"/>
      <c r="PW76" s="43"/>
      <c r="PX76" s="43"/>
      <c r="PY76" s="43"/>
      <c r="PZ76" s="43"/>
      <c r="QA76" s="43"/>
      <c r="QB76" s="43"/>
      <c r="QC76" s="43"/>
    </row>
    <row r="77" spans="1:445" x14ac:dyDescent="0.3">
      <c r="B77" s="45"/>
      <c r="C77" s="45"/>
      <c r="D77" s="45"/>
      <c r="E77" s="45"/>
      <c r="F77" s="45"/>
      <c r="G77" s="45"/>
      <c r="H77" s="45"/>
      <c r="I77" s="45"/>
      <c r="K77" s="45"/>
      <c r="L77" s="45"/>
      <c r="M77" s="45"/>
      <c r="N77" s="45"/>
      <c r="O77" s="45"/>
      <c r="P77" s="45"/>
      <c r="Q77" s="45"/>
      <c r="R77" s="45"/>
      <c r="S77" s="45"/>
      <c r="T77" s="45" t="str">
        <f t="shared" si="6"/>
        <v/>
      </c>
      <c r="U77" s="45" t="str">
        <f t="shared" si="7"/>
        <v/>
      </c>
      <c r="V77" s="68" t="str">
        <f t="shared" si="8"/>
        <v/>
      </c>
      <c r="W77" s="48"/>
      <c r="X77" s="66" t="str">
        <f t="shared" si="10"/>
        <v/>
      </c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43"/>
      <c r="CY77" s="43"/>
      <c r="CZ77" s="43"/>
      <c r="DA77" s="43"/>
      <c r="DB77" s="43"/>
      <c r="DC77" s="43"/>
      <c r="DD77" s="43"/>
      <c r="DE77" s="43"/>
      <c r="DF77" s="43"/>
      <c r="DG77" s="43"/>
      <c r="DH77" s="43"/>
      <c r="DI77" s="43"/>
      <c r="DJ77" s="43"/>
      <c r="DK77" s="43"/>
      <c r="DL77" s="43"/>
      <c r="DM77" s="43"/>
      <c r="DN77" s="43"/>
      <c r="DO77" s="43"/>
      <c r="DP77" s="43"/>
      <c r="DQ77" s="43"/>
      <c r="DR77" s="43"/>
      <c r="DS77" s="43"/>
      <c r="DT77" s="43"/>
      <c r="DU77" s="43"/>
      <c r="DV77" s="43"/>
      <c r="DW77" s="43"/>
      <c r="DX77" s="43"/>
      <c r="DY77" s="43"/>
      <c r="DZ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43"/>
      <c r="EM77" s="43"/>
      <c r="EN77" s="43"/>
      <c r="EO77" s="43"/>
      <c r="EP77" s="43"/>
      <c r="EQ77" s="43"/>
      <c r="ER77" s="43"/>
      <c r="ES77" s="43"/>
      <c r="ET77" s="43"/>
      <c r="EU77" s="43"/>
      <c r="EV77" s="43"/>
      <c r="EW77" s="43"/>
      <c r="EX77" s="43"/>
      <c r="EY77" s="43"/>
      <c r="EZ77" s="43"/>
      <c r="FA77" s="43"/>
      <c r="FB77" s="43"/>
      <c r="FC77" s="43"/>
      <c r="FD77" s="43"/>
      <c r="FE77" s="43"/>
      <c r="FF77" s="43"/>
      <c r="FG77" s="43"/>
      <c r="FH77" s="43"/>
      <c r="FI77" s="43"/>
      <c r="FJ77" s="43"/>
      <c r="FK77" s="43"/>
      <c r="FL77" s="43"/>
      <c r="FM77" s="43"/>
      <c r="FN77" s="43"/>
      <c r="FO77" s="43"/>
      <c r="FP77" s="43"/>
      <c r="FQ77" s="43"/>
      <c r="FR77" s="43"/>
      <c r="FS77" s="43"/>
      <c r="FT77" s="43"/>
      <c r="FU77" s="43"/>
      <c r="FV77" s="43"/>
      <c r="FW77" s="43"/>
      <c r="FX77" s="43"/>
      <c r="FY77" s="43"/>
      <c r="FZ77" s="43"/>
      <c r="GA77" s="43"/>
      <c r="GB77" s="43"/>
      <c r="GC77" s="43"/>
      <c r="GD77" s="43"/>
      <c r="GE77" s="43"/>
      <c r="GF77" s="43"/>
      <c r="GG77" s="43"/>
      <c r="GH77" s="43"/>
      <c r="GI77" s="43"/>
      <c r="GJ77" s="43"/>
      <c r="GK77" s="43"/>
      <c r="GL77" s="43"/>
      <c r="GM77" s="43"/>
      <c r="GN77" s="43"/>
      <c r="GO77" s="43"/>
      <c r="GP77" s="43"/>
      <c r="GQ77" s="43"/>
      <c r="GR77" s="43"/>
      <c r="GS77" s="43"/>
      <c r="GT77" s="43"/>
      <c r="GU77" s="43"/>
      <c r="GV77" s="43"/>
      <c r="GW77" s="43"/>
      <c r="GX77" s="43"/>
      <c r="GY77" s="43"/>
      <c r="GZ77" s="43"/>
      <c r="HA77" s="43"/>
      <c r="HB77" s="43"/>
      <c r="HC77" s="43"/>
      <c r="HD77" s="43"/>
      <c r="HE77" s="43"/>
      <c r="HF77" s="43"/>
      <c r="HG77" s="43"/>
      <c r="HH77" s="43"/>
      <c r="HI77" s="43"/>
      <c r="HJ77" s="43"/>
      <c r="HK77" s="43"/>
      <c r="HL77" s="43"/>
      <c r="HM77" s="43"/>
      <c r="HN77" s="43"/>
      <c r="HO77" s="43"/>
      <c r="HP77" s="43"/>
      <c r="HQ77" s="43"/>
      <c r="HR77" s="43"/>
      <c r="HS77" s="43"/>
      <c r="HT77" s="43"/>
      <c r="HU77" s="43"/>
      <c r="HV77" s="43"/>
      <c r="HW77" s="43"/>
      <c r="HX77" s="43"/>
      <c r="HY77" s="43"/>
      <c r="HZ77" s="43"/>
      <c r="IA77" s="43"/>
      <c r="IB77" s="43"/>
      <c r="IC77" s="43"/>
      <c r="ID77" s="43"/>
      <c r="IE77" s="43"/>
      <c r="IF77" s="43"/>
      <c r="IG77" s="43"/>
      <c r="IH77" s="43"/>
      <c r="II77" s="43"/>
      <c r="IJ77" s="43"/>
      <c r="IK77" s="43"/>
      <c r="IL77" s="43"/>
      <c r="IM77" s="43"/>
      <c r="IN77" s="43"/>
      <c r="IO77" s="43"/>
      <c r="IP77" s="43"/>
      <c r="IQ77" s="43"/>
      <c r="IR77" s="43"/>
      <c r="IS77" s="43"/>
      <c r="IT77" s="43"/>
      <c r="IU77" s="43"/>
      <c r="IV77" s="43"/>
      <c r="IW77" s="43"/>
      <c r="IX77" s="43"/>
      <c r="IY77" s="43"/>
      <c r="IZ77" s="43"/>
      <c r="JA77" s="43"/>
      <c r="JB77" s="43"/>
      <c r="JC77" s="43"/>
      <c r="JD77" s="43"/>
      <c r="JE77" s="43"/>
      <c r="JF77" s="43"/>
      <c r="JG77" s="43"/>
      <c r="JH77" s="43"/>
      <c r="JI77" s="43"/>
      <c r="JJ77" s="43"/>
      <c r="JK77" s="43"/>
      <c r="JL77" s="43"/>
      <c r="JM77" s="43"/>
      <c r="JN77" s="43"/>
      <c r="JO77" s="43"/>
      <c r="JP77" s="43"/>
      <c r="JQ77" s="43"/>
      <c r="JR77" s="43"/>
      <c r="JS77" s="43"/>
      <c r="JT77" s="43"/>
      <c r="JU77" s="43"/>
      <c r="JV77" s="43"/>
      <c r="JW77" s="43"/>
      <c r="JX77" s="43"/>
      <c r="JY77" s="43"/>
      <c r="JZ77" s="43"/>
      <c r="KA77" s="43"/>
      <c r="KB77" s="43"/>
      <c r="KC77" s="43"/>
      <c r="KD77" s="43"/>
      <c r="KE77" s="43"/>
      <c r="KF77" s="43"/>
      <c r="KG77" s="43"/>
      <c r="KH77" s="43"/>
      <c r="KI77" s="43"/>
      <c r="KJ77" s="43"/>
      <c r="KK77" s="43"/>
      <c r="KL77" s="43"/>
      <c r="KM77" s="43"/>
      <c r="KN77" s="43"/>
      <c r="KO77" s="43"/>
      <c r="KP77" s="43"/>
      <c r="KQ77" s="43"/>
      <c r="KR77" s="43"/>
      <c r="KS77" s="43"/>
      <c r="KT77" s="43"/>
      <c r="KU77" s="43"/>
      <c r="KV77" s="43"/>
      <c r="KW77" s="43"/>
      <c r="KX77" s="43"/>
      <c r="KY77" s="43"/>
      <c r="KZ77" s="43"/>
      <c r="LA77" s="43"/>
      <c r="LB77" s="43"/>
      <c r="LC77" s="43"/>
      <c r="LD77" s="43"/>
      <c r="LE77" s="43"/>
      <c r="LF77" s="43"/>
      <c r="LG77" s="43"/>
      <c r="LH77" s="43"/>
      <c r="LI77" s="43"/>
      <c r="LJ77" s="43"/>
      <c r="LK77" s="43"/>
      <c r="LL77" s="43"/>
      <c r="LM77" s="43"/>
      <c r="LN77" s="43"/>
      <c r="LO77" s="43"/>
      <c r="LP77" s="43"/>
      <c r="LQ77" s="43"/>
      <c r="LR77" s="43"/>
      <c r="LS77" s="43"/>
      <c r="LT77" s="43"/>
      <c r="LU77" s="43"/>
      <c r="LV77" s="43"/>
      <c r="LW77" s="43"/>
      <c r="LX77" s="43"/>
      <c r="LY77" s="43"/>
      <c r="LZ77" s="43"/>
      <c r="MA77" s="43"/>
      <c r="MB77" s="43"/>
      <c r="MC77" s="43"/>
      <c r="MD77" s="43"/>
      <c r="ME77" s="43"/>
      <c r="MF77" s="43"/>
      <c r="MG77" s="43"/>
      <c r="MH77" s="43"/>
      <c r="MI77" s="43"/>
      <c r="MJ77" s="43"/>
      <c r="MK77" s="43"/>
      <c r="ML77" s="43"/>
      <c r="MM77" s="43"/>
      <c r="MN77" s="43"/>
      <c r="MO77" s="43"/>
      <c r="MP77" s="43"/>
      <c r="MQ77" s="43"/>
      <c r="MR77" s="43"/>
      <c r="MS77" s="43"/>
      <c r="MT77" s="43"/>
      <c r="MU77" s="43"/>
      <c r="MV77" s="43"/>
      <c r="MW77" s="43"/>
      <c r="MX77" s="43"/>
      <c r="MY77" s="43"/>
      <c r="MZ77" s="43"/>
      <c r="NA77" s="43"/>
      <c r="NB77" s="43"/>
      <c r="NC77" s="43"/>
      <c r="ND77" s="43"/>
      <c r="NE77" s="43"/>
      <c r="NF77" s="43"/>
      <c r="NG77" s="43"/>
      <c r="NH77" s="43"/>
      <c r="NI77" s="43"/>
      <c r="NJ77" s="43"/>
      <c r="NK77" s="43"/>
      <c r="NL77" s="43"/>
      <c r="NM77" s="43"/>
      <c r="NN77" s="43"/>
      <c r="NO77" s="43"/>
      <c r="NP77" s="43"/>
      <c r="NQ77" s="43"/>
      <c r="NR77" s="43"/>
      <c r="NS77" s="43"/>
      <c r="NT77" s="43"/>
      <c r="NU77" s="43"/>
      <c r="NV77" s="43"/>
      <c r="NW77" s="43"/>
      <c r="NX77" s="43"/>
      <c r="NY77" s="43"/>
      <c r="NZ77" s="43"/>
      <c r="OA77" s="43"/>
      <c r="OB77" s="43"/>
      <c r="OC77" s="43"/>
      <c r="OD77" s="43"/>
      <c r="OE77" s="43"/>
      <c r="OF77" s="43"/>
      <c r="OG77" s="43"/>
      <c r="OH77" s="43"/>
      <c r="OI77" s="43"/>
      <c r="OJ77" s="43"/>
      <c r="OK77" s="43"/>
      <c r="OL77" s="43"/>
      <c r="OM77" s="43"/>
      <c r="ON77" s="43"/>
      <c r="OO77" s="43"/>
      <c r="OP77" s="43"/>
      <c r="OQ77" s="43"/>
      <c r="OR77" s="43"/>
      <c r="OS77" s="43"/>
      <c r="OT77" s="43"/>
      <c r="OU77" s="43"/>
      <c r="OV77" s="43"/>
      <c r="OW77" s="43"/>
      <c r="OX77" s="43"/>
      <c r="OY77" s="43"/>
      <c r="OZ77" s="43"/>
      <c r="PA77" s="43"/>
      <c r="PB77" s="43"/>
      <c r="PC77" s="43"/>
      <c r="PD77" s="43"/>
      <c r="PE77" s="43"/>
      <c r="PF77" s="43"/>
      <c r="PG77" s="43"/>
      <c r="PH77" s="43"/>
      <c r="PI77" s="43"/>
      <c r="PJ77" s="43"/>
      <c r="PK77" s="43"/>
      <c r="PL77" s="43"/>
      <c r="PM77" s="43"/>
      <c r="PN77" s="43"/>
      <c r="PO77" s="43"/>
      <c r="PP77" s="43"/>
      <c r="PQ77" s="43"/>
      <c r="PR77" s="43"/>
      <c r="PS77" s="43"/>
      <c r="PT77" s="43"/>
      <c r="PU77" s="43"/>
      <c r="PV77" s="43"/>
      <c r="PW77" s="43"/>
      <c r="PX77" s="43"/>
      <c r="PY77" s="43"/>
      <c r="PZ77" s="43"/>
      <c r="QA77" s="43"/>
      <c r="QB77" s="43"/>
      <c r="QC77" s="43"/>
    </row>
    <row r="78" spans="1:445" x14ac:dyDescent="0.3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 t="str">
        <f t="shared" si="6"/>
        <v/>
      </c>
      <c r="U78" s="45" t="str">
        <f t="shared" si="7"/>
        <v/>
      </c>
      <c r="V78" s="68" t="str">
        <f t="shared" si="8"/>
        <v/>
      </c>
      <c r="W78" s="48"/>
      <c r="X78" s="66" t="str">
        <f t="shared" si="10"/>
        <v/>
      </c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43"/>
      <c r="BO78" s="43"/>
      <c r="BP78" s="43"/>
      <c r="BQ78" s="43"/>
      <c r="BR78" s="43"/>
      <c r="BS78" s="43"/>
      <c r="BT78" s="43"/>
      <c r="BU78" s="43"/>
      <c r="BV78" s="43"/>
      <c r="BW78" s="43"/>
      <c r="BX78" s="43"/>
      <c r="BY78" s="43"/>
      <c r="BZ78" s="43"/>
      <c r="CA78" s="43"/>
      <c r="CB78" s="43"/>
      <c r="CC78" s="43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43"/>
      <c r="CY78" s="43"/>
      <c r="CZ78" s="43"/>
      <c r="DA78" s="43"/>
      <c r="DB78" s="43"/>
      <c r="DC78" s="43"/>
      <c r="DD78" s="43"/>
      <c r="DE78" s="43"/>
      <c r="DF78" s="43"/>
      <c r="DG78" s="43"/>
      <c r="DH78" s="43"/>
      <c r="DI78" s="43"/>
      <c r="DJ78" s="43"/>
      <c r="DK78" s="43"/>
      <c r="DL78" s="43"/>
      <c r="DM78" s="43"/>
      <c r="DN78" s="43"/>
      <c r="DO78" s="43"/>
      <c r="DP78" s="43"/>
      <c r="DQ78" s="43"/>
      <c r="DR78" s="43"/>
      <c r="DS78" s="43"/>
      <c r="DT78" s="43"/>
      <c r="DU78" s="43"/>
      <c r="DV78" s="43"/>
      <c r="DW78" s="43"/>
      <c r="DX78" s="43"/>
      <c r="DY78" s="43"/>
      <c r="DZ78" s="43"/>
      <c r="EA78" s="43"/>
      <c r="EB78" s="43"/>
      <c r="EC78" s="43"/>
      <c r="ED78" s="43"/>
      <c r="EE78" s="43"/>
      <c r="EF78" s="43"/>
      <c r="EG78" s="43"/>
      <c r="EH78" s="43"/>
      <c r="EI78" s="43"/>
      <c r="EJ78" s="43"/>
      <c r="EK78" s="43"/>
      <c r="EL78" s="43"/>
      <c r="EM78" s="43"/>
      <c r="EN78" s="43"/>
      <c r="EO78" s="43"/>
      <c r="EP78" s="43"/>
      <c r="EQ78" s="43"/>
      <c r="ER78" s="43"/>
      <c r="ES78" s="43"/>
      <c r="ET78" s="43"/>
      <c r="EU78" s="43"/>
      <c r="EV78" s="43"/>
      <c r="EW78" s="43"/>
      <c r="EX78" s="43"/>
      <c r="EY78" s="43"/>
      <c r="EZ78" s="43"/>
      <c r="FA78" s="43"/>
      <c r="FB78" s="43"/>
      <c r="FC78" s="43"/>
      <c r="FD78" s="43"/>
      <c r="FE78" s="43"/>
      <c r="FF78" s="43"/>
      <c r="FG78" s="43"/>
      <c r="FH78" s="43"/>
      <c r="FI78" s="43"/>
      <c r="FJ78" s="43"/>
      <c r="FK78" s="43"/>
      <c r="FL78" s="43"/>
      <c r="FM78" s="43"/>
      <c r="FN78" s="43"/>
      <c r="FO78" s="43"/>
      <c r="FP78" s="43"/>
      <c r="FQ78" s="43"/>
      <c r="FR78" s="43"/>
      <c r="FS78" s="43"/>
      <c r="FT78" s="43"/>
      <c r="FU78" s="43"/>
      <c r="FV78" s="43"/>
      <c r="FW78" s="43"/>
      <c r="FX78" s="43"/>
      <c r="FY78" s="43"/>
      <c r="FZ78" s="43"/>
      <c r="GA78" s="43"/>
      <c r="GB78" s="43"/>
      <c r="GC78" s="43"/>
      <c r="GD78" s="43"/>
      <c r="GE78" s="43"/>
      <c r="GF78" s="43"/>
      <c r="GG78" s="43"/>
      <c r="GH78" s="43"/>
      <c r="GI78" s="43"/>
      <c r="GJ78" s="43"/>
      <c r="GK78" s="43"/>
      <c r="GL78" s="43"/>
      <c r="GM78" s="43"/>
      <c r="GN78" s="43"/>
      <c r="GO78" s="43"/>
      <c r="GP78" s="43"/>
      <c r="GQ78" s="43"/>
      <c r="GR78" s="43"/>
      <c r="GS78" s="43"/>
      <c r="GT78" s="43"/>
      <c r="GU78" s="43"/>
      <c r="GV78" s="43"/>
      <c r="GW78" s="43"/>
      <c r="GX78" s="43"/>
      <c r="GY78" s="43"/>
      <c r="GZ78" s="43"/>
      <c r="HA78" s="43"/>
      <c r="HB78" s="43"/>
      <c r="HC78" s="43"/>
      <c r="HD78" s="43"/>
      <c r="HE78" s="43"/>
      <c r="HF78" s="43"/>
      <c r="HG78" s="43"/>
      <c r="HH78" s="43"/>
      <c r="HI78" s="43"/>
      <c r="HJ78" s="43"/>
      <c r="HK78" s="43"/>
      <c r="HL78" s="43"/>
      <c r="HM78" s="43"/>
      <c r="HN78" s="43"/>
      <c r="HO78" s="43"/>
      <c r="HP78" s="43"/>
      <c r="HQ78" s="43"/>
      <c r="HR78" s="43"/>
      <c r="HS78" s="43"/>
      <c r="HT78" s="43"/>
      <c r="HU78" s="43"/>
      <c r="HV78" s="43"/>
      <c r="HW78" s="43"/>
      <c r="HX78" s="43"/>
      <c r="HY78" s="43"/>
      <c r="HZ78" s="43"/>
      <c r="IA78" s="43"/>
      <c r="IB78" s="43"/>
      <c r="IC78" s="43"/>
      <c r="ID78" s="43"/>
      <c r="IE78" s="43"/>
      <c r="IF78" s="43"/>
      <c r="IG78" s="43"/>
      <c r="IH78" s="43"/>
      <c r="II78" s="43"/>
      <c r="IJ78" s="43"/>
      <c r="IK78" s="43"/>
      <c r="IL78" s="43"/>
      <c r="IM78" s="43"/>
      <c r="IN78" s="43"/>
      <c r="IO78" s="43"/>
      <c r="IP78" s="43"/>
      <c r="IQ78" s="43"/>
      <c r="IR78" s="43"/>
      <c r="IS78" s="43"/>
      <c r="IT78" s="43"/>
      <c r="IU78" s="43"/>
      <c r="IV78" s="43"/>
      <c r="IW78" s="43"/>
      <c r="IX78" s="43"/>
      <c r="IY78" s="43"/>
      <c r="IZ78" s="43"/>
      <c r="JA78" s="43"/>
      <c r="JB78" s="43"/>
      <c r="JC78" s="43"/>
      <c r="JD78" s="43"/>
      <c r="JE78" s="43"/>
      <c r="JF78" s="43"/>
      <c r="JG78" s="43"/>
      <c r="JH78" s="43"/>
      <c r="JI78" s="43"/>
      <c r="JJ78" s="43"/>
      <c r="JK78" s="43"/>
      <c r="JL78" s="43"/>
      <c r="JM78" s="43"/>
      <c r="JN78" s="43"/>
      <c r="JO78" s="43"/>
      <c r="JP78" s="43"/>
      <c r="JQ78" s="43"/>
      <c r="JR78" s="43"/>
      <c r="JS78" s="43"/>
      <c r="JT78" s="43"/>
      <c r="JU78" s="43"/>
      <c r="JV78" s="43"/>
      <c r="JW78" s="43"/>
      <c r="JX78" s="43"/>
      <c r="JY78" s="43"/>
      <c r="JZ78" s="43"/>
      <c r="KA78" s="43"/>
      <c r="KB78" s="43"/>
      <c r="KC78" s="43"/>
      <c r="KD78" s="43"/>
      <c r="KE78" s="43"/>
      <c r="KF78" s="43"/>
      <c r="KG78" s="43"/>
      <c r="KH78" s="43"/>
      <c r="KI78" s="43"/>
      <c r="KJ78" s="43"/>
      <c r="KK78" s="43"/>
      <c r="KL78" s="43"/>
      <c r="KM78" s="43"/>
      <c r="KN78" s="43"/>
      <c r="KO78" s="43"/>
      <c r="KP78" s="43"/>
      <c r="KQ78" s="43"/>
      <c r="KR78" s="43"/>
      <c r="KS78" s="43"/>
      <c r="KT78" s="43"/>
      <c r="KU78" s="43"/>
      <c r="KV78" s="43"/>
      <c r="KW78" s="43"/>
      <c r="KX78" s="43"/>
      <c r="KY78" s="43"/>
      <c r="KZ78" s="43"/>
      <c r="LA78" s="43"/>
      <c r="LB78" s="43"/>
      <c r="LC78" s="43"/>
      <c r="LD78" s="43"/>
      <c r="LE78" s="43"/>
      <c r="LF78" s="43"/>
      <c r="LG78" s="43"/>
      <c r="LH78" s="43"/>
      <c r="LI78" s="43"/>
      <c r="LJ78" s="43"/>
      <c r="LK78" s="43"/>
      <c r="LL78" s="43"/>
      <c r="LM78" s="43"/>
      <c r="LN78" s="43"/>
      <c r="LO78" s="43"/>
      <c r="LP78" s="43"/>
      <c r="LQ78" s="43"/>
      <c r="LR78" s="43"/>
      <c r="LS78" s="43"/>
      <c r="LT78" s="43"/>
      <c r="LU78" s="43"/>
      <c r="LV78" s="43"/>
      <c r="LW78" s="43"/>
      <c r="LX78" s="43"/>
      <c r="LY78" s="43"/>
      <c r="LZ78" s="43"/>
      <c r="MA78" s="43"/>
      <c r="MB78" s="43"/>
      <c r="MC78" s="43"/>
      <c r="MD78" s="43"/>
      <c r="ME78" s="43"/>
      <c r="MF78" s="43"/>
      <c r="MG78" s="43"/>
      <c r="MH78" s="43"/>
      <c r="MI78" s="43"/>
      <c r="MJ78" s="43"/>
      <c r="MK78" s="43"/>
      <c r="ML78" s="43"/>
      <c r="MM78" s="43"/>
      <c r="MN78" s="43"/>
      <c r="MO78" s="43"/>
      <c r="MP78" s="43"/>
      <c r="MQ78" s="43"/>
      <c r="MR78" s="43"/>
      <c r="MS78" s="43"/>
      <c r="MT78" s="43"/>
      <c r="MU78" s="43"/>
      <c r="MV78" s="43"/>
      <c r="MW78" s="43"/>
      <c r="MX78" s="43"/>
      <c r="MY78" s="43"/>
      <c r="MZ78" s="43"/>
      <c r="NA78" s="43"/>
      <c r="NB78" s="43"/>
      <c r="NC78" s="43"/>
      <c r="ND78" s="43"/>
      <c r="NE78" s="43"/>
      <c r="NF78" s="43"/>
      <c r="NG78" s="43"/>
      <c r="NH78" s="43"/>
      <c r="NI78" s="43"/>
      <c r="NJ78" s="43"/>
      <c r="NK78" s="43"/>
      <c r="NL78" s="43"/>
      <c r="NM78" s="43"/>
      <c r="NN78" s="43"/>
      <c r="NO78" s="43"/>
      <c r="NP78" s="43"/>
      <c r="NQ78" s="43"/>
      <c r="NR78" s="43"/>
      <c r="NS78" s="43"/>
      <c r="NT78" s="43"/>
      <c r="NU78" s="43"/>
      <c r="NV78" s="43"/>
      <c r="NW78" s="43"/>
      <c r="NX78" s="43"/>
      <c r="NY78" s="43"/>
      <c r="NZ78" s="43"/>
      <c r="OA78" s="43"/>
      <c r="OB78" s="43"/>
      <c r="OC78" s="43"/>
      <c r="OD78" s="43"/>
      <c r="OE78" s="43"/>
      <c r="OF78" s="43"/>
      <c r="OG78" s="43"/>
      <c r="OH78" s="43"/>
      <c r="OI78" s="43"/>
      <c r="OJ78" s="43"/>
      <c r="OK78" s="43"/>
      <c r="OL78" s="43"/>
      <c r="OM78" s="43"/>
      <c r="ON78" s="43"/>
      <c r="OO78" s="43"/>
      <c r="OP78" s="43"/>
      <c r="OQ78" s="43"/>
      <c r="OR78" s="43"/>
      <c r="OS78" s="43"/>
      <c r="OT78" s="43"/>
      <c r="OU78" s="43"/>
      <c r="OV78" s="43"/>
      <c r="OW78" s="43"/>
      <c r="OX78" s="43"/>
      <c r="OY78" s="43"/>
      <c r="OZ78" s="43"/>
      <c r="PA78" s="43"/>
      <c r="PB78" s="43"/>
      <c r="PC78" s="43"/>
      <c r="PD78" s="43"/>
      <c r="PE78" s="43"/>
      <c r="PF78" s="43"/>
      <c r="PG78" s="43"/>
      <c r="PH78" s="43"/>
      <c r="PI78" s="43"/>
      <c r="PJ78" s="43"/>
      <c r="PK78" s="43"/>
      <c r="PL78" s="43"/>
      <c r="PM78" s="43"/>
      <c r="PN78" s="43"/>
      <c r="PO78" s="43"/>
      <c r="PP78" s="43"/>
      <c r="PQ78" s="43"/>
      <c r="PR78" s="43"/>
      <c r="PS78" s="43"/>
      <c r="PT78" s="43"/>
      <c r="PU78" s="43"/>
      <c r="PV78" s="43"/>
      <c r="PW78" s="43"/>
      <c r="PX78" s="43"/>
      <c r="PY78" s="43"/>
      <c r="PZ78" s="43"/>
      <c r="QA78" s="43"/>
      <c r="QB78" s="43"/>
      <c r="QC78" s="43"/>
    </row>
    <row r="79" spans="1:445" x14ac:dyDescent="0.3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 t="str">
        <f t="shared" si="6"/>
        <v/>
      </c>
      <c r="U79" s="45" t="str">
        <f t="shared" si="7"/>
        <v/>
      </c>
      <c r="V79" s="68" t="str">
        <f t="shared" si="8"/>
        <v/>
      </c>
      <c r="W79" s="48"/>
      <c r="X79" s="66" t="str">
        <f t="shared" si="10"/>
        <v/>
      </c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  <c r="IW79" s="43"/>
      <c r="IX79" s="43"/>
      <c r="IY79" s="43"/>
      <c r="IZ79" s="43"/>
      <c r="JA79" s="43"/>
      <c r="JB79" s="43"/>
      <c r="JC79" s="43"/>
      <c r="JD79" s="43"/>
      <c r="JE79" s="43"/>
      <c r="JF79" s="43"/>
      <c r="JG79" s="43"/>
      <c r="JH79" s="43"/>
      <c r="JI79" s="43"/>
      <c r="JJ79" s="43"/>
      <c r="JK79" s="43"/>
      <c r="JL79" s="43"/>
      <c r="JM79" s="43"/>
      <c r="JN79" s="43"/>
      <c r="JO79" s="43"/>
      <c r="JP79" s="43"/>
      <c r="JQ79" s="43"/>
      <c r="JR79" s="43"/>
      <c r="JS79" s="43"/>
      <c r="JT79" s="43"/>
      <c r="JU79" s="43"/>
      <c r="JV79" s="43"/>
      <c r="JW79" s="43"/>
      <c r="JX79" s="43"/>
      <c r="JY79" s="43"/>
      <c r="JZ79" s="43"/>
      <c r="KA79" s="43"/>
      <c r="KB79" s="43"/>
      <c r="KC79" s="43"/>
      <c r="KD79" s="43"/>
      <c r="KE79" s="43"/>
      <c r="KF79" s="43"/>
      <c r="KG79" s="43"/>
      <c r="KH79" s="43"/>
      <c r="KI79" s="43"/>
      <c r="KJ79" s="43"/>
      <c r="KK79" s="43"/>
      <c r="KL79" s="43"/>
      <c r="KM79" s="43"/>
      <c r="KN79" s="43"/>
      <c r="KO79" s="43"/>
      <c r="KP79" s="43"/>
      <c r="KQ79" s="43"/>
      <c r="KR79" s="43"/>
      <c r="KS79" s="43"/>
      <c r="KT79" s="43"/>
      <c r="KU79" s="43"/>
      <c r="KV79" s="43"/>
      <c r="KW79" s="43"/>
      <c r="KX79" s="43"/>
      <c r="KY79" s="43"/>
      <c r="KZ79" s="43"/>
      <c r="LA79" s="43"/>
      <c r="LB79" s="43"/>
      <c r="LC79" s="43"/>
      <c r="LD79" s="43"/>
      <c r="LE79" s="43"/>
      <c r="LF79" s="43"/>
      <c r="LG79" s="43"/>
      <c r="LH79" s="43"/>
      <c r="LI79" s="43"/>
      <c r="LJ79" s="43"/>
      <c r="LK79" s="43"/>
      <c r="LL79" s="43"/>
      <c r="LM79" s="43"/>
      <c r="LN79" s="43"/>
      <c r="LO79" s="43"/>
      <c r="LP79" s="43"/>
      <c r="LQ79" s="43"/>
      <c r="LR79" s="43"/>
      <c r="LS79" s="43"/>
      <c r="LT79" s="43"/>
      <c r="LU79" s="43"/>
      <c r="LV79" s="43"/>
      <c r="LW79" s="43"/>
      <c r="LX79" s="43"/>
      <c r="LY79" s="43"/>
      <c r="LZ79" s="43"/>
      <c r="MA79" s="43"/>
      <c r="MB79" s="43"/>
      <c r="MC79" s="43"/>
      <c r="MD79" s="43"/>
      <c r="ME79" s="43"/>
      <c r="MF79" s="43"/>
      <c r="MG79" s="43"/>
      <c r="MH79" s="43"/>
      <c r="MI79" s="43"/>
      <c r="MJ79" s="43"/>
      <c r="MK79" s="43"/>
      <c r="ML79" s="43"/>
      <c r="MM79" s="43"/>
      <c r="MN79" s="43"/>
      <c r="MO79" s="43"/>
      <c r="MP79" s="43"/>
      <c r="MQ79" s="43"/>
      <c r="MR79" s="43"/>
      <c r="MS79" s="43"/>
      <c r="MT79" s="43"/>
      <c r="MU79" s="43"/>
      <c r="MV79" s="43"/>
      <c r="MW79" s="43"/>
      <c r="MX79" s="43"/>
      <c r="MY79" s="43"/>
      <c r="MZ79" s="43"/>
      <c r="NA79" s="43"/>
      <c r="NB79" s="43"/>
      <c r="NC79" s="43"/>
      <c r="ND79" s="43"/>
      <c r="NE79" s="43"/>
      <c r="NF79" s="43"/>
      <c r="NG79" s="43"/>
      <c r="NH79" s="43"/>
      <c r="NI79" s="43"/>
      <c r="NJ79" s="43"/>
      <c r="NK79" s="43"/>
      <c r="NL79" s="43"/>
      <c r="NM79" s="43"/>
      <c r="NN79" s="43"/>
      <c r="NO79" s="43"/>
      <c r="NP79" s="43"/>
      <c r="NQ79" s="43"/>
      <c r="NR79" s="43"/>
      <c r="NS79" s="43"/>
      <c r="NT79" s="43"/>
      <c r="NU79" s="43"/>
      <c r="NV79" s="43"/>
      <c r="NW79" s="43"/>
      <c r="NX79" s="43"/>
      <c r="NY79" s="43"/>
      <c r="NZ79" s="43"/>
      <c r="OA79" s="43"/>
      <c r="OB79" s="43"/>
      <c r="OC79" s="43"/>
      <c r="OD79" s="43"/>
      <c r="OE79" s="43"/>
      <c r="OF79" s="43"/>
      <c r="OG79" s="43"/>
      <c r="OH79" s="43"/>
      <c r="OI79" s="43"/>
      <c r="OJ79" s="43"/>
      <c r="OK79" s="43"/>
      <c r="OL79" s="43"/>
      <c r="OM79" s="43"/>
      <c r="ON79" s="43"/>
      <c r="OO79" s="43"/>
      <c r="OP79" s="43"/>
      <c r="OQ79" s="43"/>
      <c r="OR79" s="43"/>
      <c r="OS79" s="43"/>
      <c r="OT79" s="43"/>
      <c r="OU79" s="43"/>
      <c r="OV79" s="43"/>
      <c r="OW79" s="43"/>
      <c r="OX79" s="43"/>
      <c r="OY79" s="43"/>
      <c r="OZ79" s="43"/>
      <c r="PA79" s="43"/>
      <c r="PB79" s="43"/>
      <c r="PC79" s="43"/>
      <c r="PD79" s="43"/>
      <c r="PE79" s="43"/>
      <c r="PF79" s="43"/>
      <c r="PG79" s="43"/>
      <c r="PH79" s="43"/>
      <c r="PI79" s="43"/>
      <c r="PJ79" s="43"/>
      <c r="PK79" s="43"/>
      <c r="PL79" s="43"/>
      <c r="PM79" s="43"/>
      <c r="PN79" s="43"/>
      <c r="PO79" s="43"/>
      <c r="PP79" s="43"/>
      <c r="PQ79" s="43"/>
      <c r="PR79" s="43"/>
      <c r="PS79" s="43"/>
      <c r="PT79" s="43"/>
      <c r="PU79" s="43"/>
      <c r="PV79" s="43"/>
      <c r="PW79" s="43"/>
      <c r="PX79" s="43"/>
      <c r="PY79" s="43"/>
      <c r="PZ79" s="43"/>
      <c r="QA79" s="43"/>
      <c r="QB79" s="43"/>
      <c r="QC79" s="43"/>
    </row>
    <row r="80" spans="1:445" s="54" customFormat="1" x14ac:dyDescent="0.3">
      <c r="A80" s="47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 t="str">
        <f t="shared" si="6"/>
        <v/>
      </c>
      <c r="U80" s="45" t="str">
        <f t="shared" si="7"/>
        <v/>
      </c>
      <c r="V80" s="68" t="str">
        <f t="shared" si="8"/>
        <v/>
      </c>
      <c r="W80" s="48"/>
      <c r="X80" s="66" t="str">
        <f t="shared" si="10"/>
        <v/>
      </c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43"/>
      <c r="BO80" s="43"/>
      <c r="BP80" s="43"/>
      <c r="BQ80" s="43"/>
      <c r="BR80" s="43"/>
      <c r="BS80" s="43"/>
      <c r="BT80" s="43"/>
      <c r="BU80" s="43"/>
      <c r="BV80" s="43"/>
      <c r="BW80" s="43"/>
      <c r="BX80" s="43"/>
      <c r="BY80" s="43"/>
      <c r="BZ80" s="43"/>
      <c r="CA80" s="43"/>
      <c r="CB80" s="43"/>
      <c r="CC80" s="43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43"/>
      <c r="CY80" s="43"/>
      <c r="CZ80" s="43"/>
      <c r="DA80" s="43"/>
      <c r="DB80" s="43"/>
      <c r="DC80" s="43"/>
      <c r="DD80" s="43"/>
      <c r="DE80" s="43"/>
      <c r="DF80" s="43"/>
      <c r="DG80" s="43"/>
      <c r="DH80" s="43"/>
      <c r="DI80" s="43"/>
      <c r="DJ80" s="43"/>
      <c r="DK80" s="43"/>
      <c r="DL80" s="43"/>
      <c r="DM80" s="43"/>
      <c r="DN80" s="43"/>
      <c r="DO80" s="43"/>
      <c r="DP80" s="43"/>
      <c r="DQ80" s="43"/>
      <c r="DR80" s="43"/>
      <c r="DS80" s="43"/>
      <c r="DT80" s="43"/>
      <c r="DU80" s="43"/>
      <c r="DV80" s="43"/>
      <c r="DW80" s="43"/>
      <c r="DX80" s="43"/>
      <c r="DY80" s="43"/>
      <c r="DZ80" s="43"/>
      <c r="EA80" s="43"/>
      <c r="EB80" s="43"/>
      <c r="EC80" s="43"/>
      <c r="ED80" s="43"/>
      <c r="EE80" s="43"/>
      <c r="EF80" s="43"/>
      <c r="EG80" s="43"/>
      <c r="EH80" s="43"/>
      <c r="EI80" s="43"/>
      <c r="EJ80" s="43"/>
      <c r="EK80" s="43"/>
      <c r="EL80" s="43"/>
      <c r="EM80" s="43"/>
      <c r="EN80" s="43"/>
      <c r="EO80" s="43"/>
      <c r="EP80" s="43"/>
      <c r="EQ80" s="43"/>
      <c r="ER80" s="43"/>
      <c r="ES80" s="43"/>
      <c r="ET80" s="43"/>
      <c r="EU80" s="43"/>
      <c r="EV80" s="43"/>
      <c r="EW80" s="43"/>
      <c r="EX80" s="43"/>
      <c r="EY80" s="43"/>
      <c r="EZ80" s="43"/>
      <c r="FA80" s="43"/>
      <c r="FB80" s="43"/>
      <c r="FC80" s="43"/>
      <c r="FD80" s="43"/>
      <c r="FE80" s="43"/>
      <c r="FF80" s="43"/>
      <c r="FG80" s="43"/>
      <c r="FH80" s="43"/>
      <c r="FI80" s="43"/>
      <c r="FJ80" s="43"/>
      <c r="FK80" s="43"/>
      <c r="FL80" s="43"/>
      <c r="FM80" s="43"/>
      <c r="FN80" s="43"/>
      <c r="FO80" s="43"/>
      <c r="FP80" s="43"/>
      <c r="FQ80" s="43"/>
      <c r="FR80" s="43"/>
      <c r="FS80" s="43"/>
      <c r="FT80" s="43"/>
      <c r="FU80" s="43"/>
      <c r="FV80" s="43"/>
      <c r="FW80" s="43"/>
      <c r="FX80" s="43"/>
      <c r="FY80" s="43"/>
      <c r="FZ80" s="43"/>
      <c r="GA80" s="43"/>
      <c r="GB80" s="43"/>
      <c r="GC80" s="43"/>
      <c r="GD80" s="43"/>
      <c r="GE80" s="43"/>
      <c r="GF80" s="43"/>
      <c r="GG80" s="43"/>
      <c r="GH80" s="43"/>
      <c r="GI80" s="43"/>
      <c r="GJ80" s="43"/>
      <c r="GK80" s="43"/>
      <c r="GL80" s="43"/>
      <c r="GM80" s="43"/>
      <c r="GN80" s="43"/>
      <c r="GO80" s="43"/>
      <c r="GP80" s="43"/>
      <c r="GQ80" s="43"/>
      <c r="GR80" s="43"/>
      <c r="GS80" s="43"/>
      <c r="GT80" s="43"/>
      <c r="GU80" s="43"/>
      <c r="GV80" s="43"/>
      <c r="GW80" s="43"/>
      <c r="GX80" s="43"/>
      <c r="GY80" s="43"/>
      <c r="GZ80" s="43"/>
      <c r="HA80" s="43"/>
      <c r="HB80" s="43"/>
      <c r="HC80" s="43"/>
      <c r="HD80" s="43"/>
      <c r="HE80" s="43"/>
      <c r="HF80" s="43"/>
      <c r="HG80" s="43"/>
      <c r="HH80" s="43"/>
      <c r="HI80" s="43"/>
      <c r="HJ80" s="43"/>
      <c r="HK80" s="43"/>
      <c r="HL80" s="43"/>
      <c r="HM80" s="43"/>
      <c r="HN80" s="43"/>
      <c r="HO80" s="43"/>
      <c r="HP80" s="43"/>
      <c r="HQ80" s="43"/>
      <c r="HR80" s="43"/>
      <c r="HS80" s="43"/>
      <c r="HT80" s="43"/>
      <c r="HU80" s="43"/>
      <c r="HV80" s="43"/>
      <c r="HW80" s="43"/>
      <c r="HX80" s="43"/>
      <c r="HY80" s="43"/>
      <c r="HZ80" s="43"/>
      <c r="IA80" s="43"/>
      <c r="IB80" s="43"/>
      <c r="IC80" s="43"/>
      <c r="ID80" s="43"/>
      <c r="IE80" s="43"/>
      <c r="IF80" s="43"/>
      <c r="IG80" s="43"/>
      <c r="IH80" s="43"/>
      <c r="II80" s="43"/>
      <c r="IJ80" s="43"/>
      <c r="IK80" s="43"/>
      <c r="IL80" s="43"/>
      <c r="IM80" s="43"/>
      <c r="IN80" s="43"/>
      <c r="IO80" s="43"/>
      <c r="IP80" s="43"/>
      <c r="IQ80" s="43"/>
      <c r="IR80" s="43"/>
      <c r="IS80" s="43"/>
      <c r="IT80" s="43"/>
      <c r="IU80" s="43"/>
      <c r="IV80" s="43"/>
      <c r="IW80" s="43"/>
      <c r="IX80" s="43"/>
      <c r="IY80" s="43"/>
      <c r="IZ80" s="43"/>
      <c r="JA80" s="43"/>
      <c r="JB80" s="43"/>
      <c r="JC80" s="43"/>
      <c r="JD80" s="43"/>
      <c r="JE80" s="43"/>
      <c r="JF80" s="43"/>
      <c r="JG80" s="43"/>
      <c r="JH80" s="43"/>
      <c r="JI80" s="43"/>
      <c r="JJ80" s="43"/>
      <c r="JK80" s="43"/>
      <c r="JL80" s="43"/>
      <c r="JM80" s="43"/>
      <c r="JN80" s="43"/>
      <c r="JO80" s="43"/>
      <c r="JP80" s="43"/>
      <c r="JQ80" s="43"/>
      <c r="JR80" s="43"/>
      <c r="JS80" s="43"/>
      <c r="JT80" s="43"/>
      <c r="JU80" s="43"/>
      <c r="JV80" s="43"/>
      <c r="JW80" s="43"/>
      <c r="JX80" s="43"/>
      <c r="JY80" s="43"/>
      <c r="JZ80" s="43"/>
      <c r="KA80" s="43"/>
      <c r="KB80" s="43"/>
      <c r="KC80" s="43"/>
      <c r="KD80" s="43"/>
      <c r="KE80" s="43"/>
      <c r="KF80" s="43"/>
      <c r="KG80" s="43"/>
      <c r="KH80" s="43"/>
      <c r="KI80" s="43"/>
      <c r="KJ80" s="43"/>
      <c r="KK80" s="43"/>
      <c r="KL80" s="43"/>
      <c r="KM80" s="43"/>
      <c r="KN80" s="43"/>
      <c r="KO80" s="43"/>
      <c r="KP80" s="43"/>
      <c r="KQ80" s="43"/>
      <c r="KR80" s="43"/>
      <c r="KS80" s="43"/>
      <c r="KT80" s="43"/>
      <c r="KU80" s="43"/>
      <c r="KV80" s="43"/>
      <c r="KW80" s="43"/>
      <c r="KX80" s="43"/>
      <c r="KY80" s="43"/>
      <c r="KZ80" s="43"/>
      <c r="LA80" s="43"/>
      <c r="LB80" s="43"/>
      <c r="LC80" s="43"/>
      <c r="LD80" s="43"/>
      <c r="LE80" s="43"/>
      <c r="LF80" s="43"/>
      <c r="LG80" s="43"/>
      <c r="LH80" s="43"/>
      <c r="LI80" s="43"/>
      <c r="LJ80" s="43"/>
      <c r="LK80" s="43"/>
      <c r="LL80" s="43"/>
      <c r="LM80" s="43"/>
      <c r="LN80" s="43"/>
      <c r="LO80" s="43"/>
      <c r="LP80" s="43"/>
      <c r="LQ80" s="43"/>
      <c r="LR80" s="43"/>
      <c r="LS80" s="43"/>
      <c r="LT80" s="43"/>
      <c r="LU80" s="43"/>
      <c r="LV80" s="43"/>
      <c r="LW80" s="43"/>
      <c r="LX80" s="43"/>
      <c r="LY80" s="43"/>
      <c r="LZ80" s="43"/>
      <c r="MA80" s="43"/>
      <c r="MB80" s="43"/>
      <c r="MC80" s="43"/>
      <c r="MD80" s="43"/>
      <c r="ME80" s="43"/>
      <c r="MF80" s="43"/>
      <c r="MG80" s="43"/>
      <c r="MH80" s="43"/>
      <c r="MI80" s="43"/>
      <c r="MJ80" s="43"/>
      <c r="MK80" s="43"/>
      <c r="ML80" s="43"/>
      <c r="MM80" s="43"/>
      <c r="MN80" s="43"/>
      <c r="MO80" s="43"/>
      <c r="MP80" s="43"/>
      <c r="MQ80" s="43"/>
      <c r="MR80" s="43"/>
      <c r="MS80" s="43"/>
      <c r="MT80" s="43"/>
      <c r="MU80" s="43"/>
      <c r="MV80" s="43"/>
      <c r="MW80" s="43"/>
      <c r="MX80" s="43"/>
      <c r="MY80" s="43"/>
      <c r="MZ80" s="43"/>
      <c r="NA80" s="43"/>
      <c r="NB80" s="43"/>
      <c r="NC80" s="43"/>
      <c r="ND80" s="43"/>
      <c r="NE80" s="43"/>
      <c r="NF80" s="43"/>
      <c r="NG80" s="43"/>
      <c r="NH80" s="43"/>
      <c r="NI80" s="43"/>
      <c r="NJ80" s="43"/>
      <c r="NK80" s="43"/>
      <c r="NL80" s="43"/>
      <c r="NM80" s="43"/>
      <c r="NN80" s="43"/>
      <c r="NO80" s="43"/>
      <c r="NP80" s="43"/>
      <c r="NQ80" s="43"/>
      <c r="NR80" s="43"/>
      <c r="NS80" s="43"/>
      <c r="NT80" s="43"/>
      <c r="NU80" s="43"/>
      <c r="NV80" s="43"/>
      <c r="NW80" s="43"/>
      <c r="NX80" s="43"/>
      <c r="NY80" s="43"/>
      <c r="NZ80" s="43"/>
      <c r="OA80" s="43"/>
      <c r="OB80" s="43"/>
      <c r="OC80" s="43"/>
      <c r="OD80" s="43"/>
      <c r="OE80" s="43"/>
      <c r="OF80" s="43"/>
      <c r="OG80" s="43"/>
      <c r="OH80" s="43"/>
      <c r="OI80" s="43"/>
      <c r="OJ80" s="43"/>
      <c r="OK80" s="43"/>
      <c r="OL80" s="43"/>
      <c r="OM80" s="43"/>
      <c r="ON80" s="43"/>
      <c r="OO80" s="43"/>
      <c r="OP80" s="43"/>
      <c r="OQ80" s="43"/>
      <c r="OR80" s="43"/>
      <c r="OS80" s="43"/>
      <c r="OT80" s="43"/>
      <c r="OU80" s="43"/>
      <c r="OV80" s="43"/>
      <c r="OW80" s="43"/>
      <c r="OX80" s="43"/>
      <c r="OY80" s="43"/>
      <c r="OZ80" s="43"/>
      <c r="PA80" s="43"/>
      <c r="PB80" s="43"/>
      <c r="PC80" s="43"/>
      <c r="PD80" s="43"/>
      <c r="PE80" s="43"/>
      <c r="PF80" s="43"/>
      <c r="PG80" s="43"/>
      <c r="PH80" s="43"/>
      <c r="PI80" s="43"/>
      <c r="PJ80" s="43"/>
      <c r="PK80" s="43"/>
      <c r="PL80" s="43"/>
      <c r="PM80" s="43"/>
      <c r="PN80" s="43"/>
      <c r="PO80" s="43"/>
      <c r="PP80" s="43"/>
      <c r="PQ80" s="43"/>
      <c r="PR80" s="43"/>
      <c r="PS80" s="43"/>
      <c r="PT80" s="43"/>
      <c r="PU80" s="43"/>
      <c r="PV80" s="43"/>
      <c r="PW80" s="43"/>
      <c r="PX80" s="43"/>
      <c r="PY80" s="43"/>
      <c r="PZ80" s="43"/>
      <c r="QA80" s="43"/>
      <c r="QB80" s="43"/>
      <c r="QC80" s="43"/>
    </row>
    <row r="81" spans="1:445" x14ac:dyDescent="0.3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 t="str">
        <f t="shared" si="6"/>
        <v/>
      </c>
      <c r="U81" s="45" t="str">
        <f t="shared" si="7"/>
        <v/>
      </c>
      <c r="V81" s="68" t="str">
        <f t="shared" si="8"/>
        <v/>
      </c>
      <c r="W81" s="48"/>
      <c r="X81" s="66" t="str">
        <f t="shared" si="10"/>
        <v/>
      </c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43"/>
      <c r="BO81" s="43"/>
      <c r="BP81" s="43"/>
      <c r="BQ81" s="43"/>
      <c r="BR81" s="43"/>
      <c r="BS81" s="43"/>
      <c r="BT81" s="43"/>
      <c r="BU81" s="43"/>
      <c r="BV81" s="43"/>
      <c r="BW81" s="43"/>
      <c r="BX81" s="43"/>
      <c r="BY81" s="43"/>
      <c r="BZ81" s="43"/>
      <c r="CA81" s="43"/>
      <c r="CB81" s="43"/>
      <c r="CC81" s="43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43"/>
      <c r="CY81" s="43"/>
      <c r="CZ81" s="43"/>
      <c r="DA81" s="43"/>
      <c r="DB81" s="43"/>
      <c r="DC81" s="43"/>
      <c r="DD81" s="43"/>
      <c r="DE81" s="43"/>
      <c r="DF81" s="43"/>
      <c r="DG81" s="43"/>
      <c r="DH81" s="43"/>
      <c r="DI81" s="43"/>
      <c r="DJ81" s="43"/>
      <c r="DK81" s="43"/>
      <c r="DL81" s="43"/>
      <c r="DM81" s="43"/>
      <c r="DN81" s="43"/>
      <c r="DO81" s="43"/>
      <c r="DP81" s="43"/>
      <c r="DQ81" s="43"/>
      <c r="DR81" s="43"/>
      <c r="DS81" s="43"/>
      <c r="DT81" s="43"/>
      <c r="DU81" s="43"/>
      <c r="DV81" s="43"/>
      <c r="DW81" s="43"/>
      <c r="DX81" s="43"/>
      <c r="DY81" s="43"/>
      <c r="DZ81" s="43"/>
      <c r="EA81" s="43"/>
      <c r="EB81" s="43"/>
      <c r="EC81" s="43"/>
      <c r="ED81" s="43"/>
      <c r="EE81" s="43"/>
      <c r="EF81" s="43"/>
      <c r="EG81" s="43"/>
      <c r="EH81" s="43"/>
      <c r="EI81" s="43"/>
      <c r="EJ81" s="43"/>
      <c r="EK81" s="43"/>
      <c r="EL81" s="43"/>
      <c r="EM81" s="43"/>
      <c r="EN81" s="43"/>
      <c r="EO81" s="43"/>
      <c r="EP81" s="43"/>
      <c r="EQ81" s="43"/>
      <c r="ER81" s="43"/>
      <c r="ES81" s="43"/>
      <c r="ET81" s="43"/>
      <c r="EU81" s="43"/>
      <c r="EV81" s="43"/>
      <c r="EW81" s="43"/>
      <c r="EX81" s="43"/>
      <c r="EY81" s="43"/>
      <c r="EZ81" s="43"/>
      <c r="FA81" s="43"/>
      <c r="FB81" s="43"/>
      <c r="FC81" s="43"/>
      <c r="FD81" s="43"/>
      <c r="FE81" s="43"/>
      <c r="FF81" s="43"/>
      <c r="FG81" s="43"/>
      <c r="FH81" s="43"/>
      <c r="FI81" s="43"/>
      <c r="FJ81" s="43"/>
      <c r="FK81" s="43"/>
      <c r="FL81" s="43"/>
      <c r="FM81" s="43"/>
      <c r="FN81" s="43"/>
      <c r="FO81" s="43"/>
      <c r="FP81" s="43"/>
      <c r="FQ81" s="43"/>
      <c r="FR81" s="43"/>
      <c r="FS81" s="43"/>
      <c r="FT81" s="43"/>
      <c r="FU81" s="43"/>
      <c r="FV81" s="43"/>
      <c r="FW81" s="43"/>
      <c r="FX81" s="43"/>
      <c r="FY81" s="43"/>
      <c r="FZ81" s="43"/>
      <c r="GA81" s="43"/>
      <c r="GB81" s="43"/>
      <c r="GC81" s="43"/>
      <c r="GD81" s="43"/>
      <c r="GE81" s="43"/>
      <c r="GF81" s="43"/>
      <c r="GG81" s="43"/>
      <c r="GH81" s="43"/>
      <c r="GI81" s="43"/>
      <c r="GJ81" s="43"/>
      <c r="GK81" s="43"/>
      <c r="GL81" s="43"/>
      <c r="GM81" s="43"/>
      <c r="GN81" s="43"/>
      <c r="GO81" s="43"/>
      <c r="GP81" s="43"/>
      <c r="GQ81" s="43"/>
      <c r="GR81" s="43"/>
      <c r="GS81" s="43"/>
      <c r="GT81" s="43"/>
      <c r="GU81" s="43"/>
      <c r="GV81" s="43"/>
      <c r="GW81" s="43"/>
      <c r="GX81" s="43"/>
      <c r="GY81" s="43"/>
      <c r="GZ81" s="43"/>
      <c r="HA81" s="43"/>
      <c r="HB81" s="43"/>
      <c r="HC81" s="43"/>
      <c r="HD81" s="43"/>
      <c r="HE81" s="43"/>
      <c r="HF81" s="43"/>
      <c r="HG81" s="43"/>
      <c r="HH81" s="43"/>
      <c r="HI81" s="43"/>
      <c r="HJ81" s="43"/>
      <c r="HK81" s="43"/>
      <c r="HL81" s="43"/>
      <c r="HM81" s="43"/>
      <c r="HN81" s="43"/>
      <c r="HO81" s="43"/>
      <c r="HP81" s="43"/>
      <c r="HQ81" s="43"/>
      <c r="HR81" s="43"/>
      <c r="HS81" s="43"/>
      <c r="HT81" s="43"/>
      <c r="HU81" s="43"/>
      <c r="HV81" s="43"/>
      <c r="HW81" s="43"/>
      <c r="HX81" s="43"/>
      <c r="HY81" s="43"/>
      <c r="HZ81" s="43"/>
      <c r="IA81" s="43"/>
      <c r="IB81" s="43"/>
      <c r="IC81" s="43"/>
      <c r="ID81" s="43"/>
      <c r="IE81" s="43"/>
      <c r="IF81" s="43"/>
      <c r="IG81" s="43"/>
      <c r="IH81" s="43"/>
      <c r="II81" s="43"/>
      <c r="IJ81" s="43"/>
      <c r="IK81" s="43"/>
      <c r="IL81" s="43"/>
      <c r="IM81" s="43"/>
      <c r="IN81" s="43"/>
      <c r="IO81" s="43"/>
      <c r="IP81" s="43"/>
      <c r="IQ81" s="43"/>
      <c r="IR81" s="43"/>
      <c r="IS81" s="43"/>
      <c r="IT81" s="43"/>
      <c r="IU81" s="43"/>
      <c r="IV81" s="43"/>
      <c r="IW81" s="43"/>
      <c r="IX81" s="43"/>
      <c r="IY81" s="43"/>
      <c r="IZ81" s="43"/>
      <c r="JA81" s="43"/>
      <c r="JB81" s="43"/>
      <c r="JC81" s="43"/>
      <c r="JD81" s="43"/>
      <c r="JE81" s="43"/>
      <c r="JF81" s="43"/>
      <c r="JG81" s="43"/>
      <c r="JH81" s="43"/>
      <c r="JI81" s="43"/>
      <c r="JJ81" s="43"/>
      <c r="JK81" s="43"/>
      <c r="JL81" s="43"/>
      <c r="JM81" s="43"/>
      <c r="JN81" s="43"/>
      <c r="JO81" s="43"/>
      <c r="JP81" s="43"/>
      <c r="JQ81" s="43"/>
      <c r="JR81" s="43"/>
      <c r="JS81" s="43"/>
      <c r="JT81" s="43"/>
      <c r="JU81" s="43"/>
      <c r="JV81" s="43"/>
      <c r="JW81" s="43"/>
      <c r="JX81" s="43"/>
      <c r="JY81" s="43"/>
      <c r="JZ81" s="43"/>
      <c r="KA81" s="43"/>
      <c r="KB81" s="43"/>
      <c r="KC81" s="43"/>
      <c r="KD81" s="43"/>
      <c r="KE81" s="43"/>
      <c r="KF81" s="43"/>
      <c r="KG81" s="43"/>
      <c r="KH81" s="43"/>
      <c r="KI81" s="43"/>
      <c r="KJ81" s="43"/>
      <c r="KK81" s="43"/>
      <c r="KL81" s="43"/>
      <c r="KM81" s="43"/>
      <c r="KN81" s="43"/>
      <c r="KO81" s="43"/>
      <c r="KP81" s="43"/>
      <c r="KQ81" s="43"/>
      <c r="KR81" s="43"/>
      <c r="KS81" s="43"/>
      <c r="KT81" s="43"/>
      <c r="KU81" s="43"/>
      <c r="KV81" s="43"/>
      <c r="KW81" s="43"/>
      <c r="KX81" s="43"/>
      <c r="KY81" s="43"/>
      <c r="KZ81" s="43"/>
      <c r="LA81" s="43"/>
      <c r="LB81" s="43"/>
      <c r="LC81" s="43"/>
      <c r="LD81" s="43"/>
      <c r="LE81" s="43"/>
      <c r="LF81" s="43"/>
      <c r="LG81" s="43"/>
      <c r="LH81" s="43"/>
      <c r="LI81" s="43"/>
      <c r="LJ81" s="43"/>
      <c r="LK81" s="43"/>
      <c r="LL81" s="43"/>
      <c r="LM81" s="43"/>
      <c r="LN81" s="43"/>
      <c r="LO81" s="43"/>
      <c r="LP81" s="43"/>
      <c r="LQ81" s="43"/>
      <c r="LR81" s="43"/>
      <c r="LS81" s="43"/>
      <c r="LT81" s="43"/>
      <c r="LU81" s="43"/>
      <c r="LV81" s="43"/>
      <c r="LW81" s="43"/>
      <c r="LX81" s="43"/>
      <c r="LY81" s="43"/>
      <c r="LZ81" s="43"/>
      <c r="MA81" s="43"/>
      <c r="MB81" s="43"/>
      <c r="MC81" s="43"/>
      <c r="MD81" s="43"/>
      <c r="ME81" s="43"/>
      <c r="MF81" s="43"/>
      <c r="MG81" s="43"/>
      <c r="MH81" s="43"/>
      <c r="MI81" s="43"/>
      <c r="MJ81" s="43"/>
      <c r="MK81" s="43"/>
      <c r="ML81" s="43"/>
      <c r="MM81" s="43"/>
      <c r="MN81" s="43"/>
      <c r="MO81" s="43"/>
      <c r="MP81" s="43"/>
      <c r="MQ81" s="43"/>
      <c r="MR81" s="43"/>
      <c r="MS81" s="43"/>
      <c r="MT81" s="43"/>
      <c r="MU81" s="43"/>
      <c r="MV81" s="43"/>
      <c r="MW81" s="43"/>
      <c r="MX81" s="43"/>
      <c r="MY81" s="43"/>
      <c r="MZ81" s="43"/>
      <c r="NA81" s="43"/>
      <c r="NB81" s="43"/>
      <c r="NC81" s="43"/>
      <c r="ND81" s="43"/>
      <c r="NE81" s="43"/>
      <c r="NF81" s="43"/>
      <c r="NG81" s="43"/>
      <c r="NH81" s="43"/>
      <c r="NI81" s="43"/>
      <c r="NJ81" s="43"/>
      <c r="NK81" s="43"/>
      <c r="NL81" s="43"/>
      <c r="NM81" s="43"/>
      <c r="NN81" s="43"/>
      <c r="NO81" s="43"/>
      <c r="NP81" s="43"/>
      <c r="NQ81" s="43"/>
      <c r="NR81" s="43"/>
      <c r="NS81" s="43"/>
      <c r="NT81" s="43"/>
      <c r="NU81" s="43"/>
      <c r="NV81" s="43"/>
      <c r="NW81" s="43"/>
      <c r="NX81" s="43"/>
      <c r="NY81" s="43"/>
      <c r="NZ81" s="43"/>
      <c r="OA81" s="43"/>
      <c r="OB81" s="43"/>
      <c r="OC81" s="43"/>
      <c r="OD81" s="43"/>
      <c r="OE81" s="43"/>
      <c r="OF81" s="43"/>
      <c r="OG81" s="43"/>
      <c r="OH81" s="43"/>
      <c r="OI81" s="43"/>
      <c r="OJ81" s="43"/>
      <c r="OK81" s="43"/>
      <c r="OL81" s="43"/>
      <c r="OM81" s="43"/>
      <c r="ON81" s="43"/>
      <c r="OO81" s="43"/>
      <c r="OP81" s="43"/>
      <c r="OQ81" s="43"/>
      <c r="OR81" s="43"/>
      <c r="OS81" s="43"/>
      <c r="OT81" s="43"/>
      <c r="OU81" s="43"/>
      <c r="OV81" s="43"/>
      <c r="OW81" s="43"/>
      <c r="OX81" s="43"/>
      <c r="OY81" s="43"/>
      <c r="OZ81" s="43"/>
      <c r="PA81" s="43"/>
      <c r="PB81" s="43"/>
      <c r="PC81" s="43"/>
      <c r="PD81" s="43"/>
      <c r="PE81" s="43"/>
      <c r="PF81" s="43"/>
      <c r="PG81" s="43"/>
      <c r="PH81" s="43"/>
      <c r="PI81" s="43"/>
      <c r="PJ81" s="43"/>
      <c r="PK81" s="43"/>
      <c r="PL81" s="43"/>
      <c r="PM81" s="43"/>
      <c r="PN81" s="43"/>
      <c r="PO81" s="43"/>
      <c r="PP81" s="43"/>
      <c r="PQ81" s="43"/>
      <c r="PR81" s="43"/>
      <c r="PS81" s="43"/>
      <c r="PT81" s="43"/>
      <c r="PU81" s="43"/>
      <c r="PV81" s="43"/>
      <c r="PW81" s="43"/>
      <c r="PX81" s="43"/>
      <c r="PY81" s="43"/>
      <c r="PZ81" s="43"/>
      <c r="QA81" s="43"/>
      <c r="QB81" s="43"/>
      <c r="QC81" s="43"/>
    </row>
    <row r="82" spans="1:445" x14ac:dyDescent="0.3"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 t="str">
        <f t="shared" si="6"/>
        <v/>
      </c>
      <c r="U82" s="45" t="str">
        <f t="shared" si="7"/>
        <v/>
      </c>
      <c r="V82" s="68" t="str">
        <f t="shared" si="8"/>
        <v/>
      </c>
      <c r="X82" s="66" t="str">
        <f t="shared" si="10"/>
        <v/>
      </c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43"/>
      <c r="BO82" s="43"/>
      <c r="BP82" s="43"/>
      <c r="BQ82" s="43"/>
      <c r="BR82" s="43"/>
      <c r="BS82" s="43"/>
      <c r="BT82" s="43"/>
      <c r="BU82" s="43"/>
      <c r="BV82" s="43"/>
      <c r="BW82" s="43"/>
      <c r="BX82" s="43"/>
      <c r="BY82" s="43"/>
      <c r="BZ82" s="43"/>
      <c r="CA82" s="43"/>
      <c r="CB82" s="43"/>
      <c r="CC82" s="4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43"/>
      <c r="CY82" s="43"/>
      <c r="CZ82" s="43"/>
      <c r="DA82" s="43"/>
      <c r="DB82" s="43"/>
      <c r="DC82" s="43"/>
      <c r="DD82" s="43"/>
      <c r="DE82" s="43"/>
      <c r="DF82" s="43"/>
      <c r="DG82" s="43"/>
      <c r="DH82" s="43"/>
      <c r="DI82" s="43"/>
      <c r="DJ82" s="43"/>
      <c r="DK82" s="43"/>
      <c r="DL82" s="43"/>
      <c r="DM82" s="43"/>
      <c r="DN82" s="43"/>
      <c r="DO82" s="43"/>
      <c r="DP82" s="43"/>
      <c r="DQ82" s="43"/>
      <c r="DR82" s="43"/>
      <c r="DS82" s="43"/>
      <c r="DT82" s="43"/>
      <c r="DU82" s="43"/>
      <c r="DV82" s="43"/>
      <c r="DW82" s="43"/>
      <c r="DX82" s="43"/>
      <c r="DY82" s="43"/>
      <c r="DZ82" s="43"/>
      <c r="EA82" s="43"/>
      <c r="EB82" s="43"/>
      <c r="EC82" s="43"/>
      <c r="ED82" s="43"/>
      <c r="EE82" s="43"/>
      <c r="EF82" s="43"/>
      <c r="EG82" s="43"/>
      <c r="EH82" s="43"/>
      <c r="EI82" s="43"/>
      <c r="EJ82" s="43"/>
      <c r="EK82" s="43"/>
      <c r="EL82" s="43"/>
      <c r="EM82" s="43"/>
      <c r="EN82" s="43"/>
      <c r="EO82" s="43"/>
      <c r="EP82" s="43"/>
      <c r="EQ82" s="43"/>
      <c r="ER82" s="43"/>
      <c r="ES82" s="43"/>
      <c r="ET82" s="43"/>
      <c r="EU82" s="43"/>
      <c r="EV82" s="43"/>
      <c r="EW82" s="43"/>
      <c r="EX82" s="43"/>
      <c r="EY82" s="43"/>
      <c r="EZ82" s="43"/>
      <c r="FA82" s="43"/>
      <c r="FB82" s="43"/>
      <c r="FC82" s="43"/>
      <c r="FD82" s="43"/>
      <c r="FE82" s="43"/>
      <c r="FF82" s="43"/>
      <c r="FG82" s="43"/>
      <c r="FH82" s="43"/>
      <c r="FI82" s="43"/>
      <c r="FJ82" s="43"/>
      <c r="FK82" s="43"/>
      <c r="FL82" s="43"/>
      <c r="FM82" s="43"/>
      <c r="FN82" s="43"/>
      <c r="FO82" s="43"/>
      <c r="FP82" s="43"/>
      <c r="FQ82" s="43"/>
      <c r="FR82" s="43"/>
      <c r="FS82" s="43"/>
      <c r="FT82" s="43"/>
      <c r="FU82" s="43"/>
      <c r="FV82" s="43"/>
      <c r="FW82" s="43"/>
      <c r="FX82" s="43"/>
      <c r="FY82" s="43"/>
      <c r="FZ82" s="43"/>
      <c r="GA82" s="43"/>
      <c r="GB82" s="43"/>
      <c r="GC82" s="43"/>
      <c r="GD82" s="43"/>
      <c r="GE82" s="43"/>
      <c r="GF82" s="43"/>
      <c r="GG82" s="43"/>
      <c r="GH82" s="43"/>
      <c r="GI82" s="43"/>
      <c r="GJ82" s="43"/>
      <c r="GK82" s="43"/>
      <c r="GL82" s="43"/>
      <c r="GM82" s="43"/>
      <c r="GN82" s="43"/>
      <c r="GO82" s="43"/>
      <c r="GP82" s="43"/>
      <c r="GQ82" s="43"/>
      <c r="GR82" s="43"/>
      <c r="GS82" s="43"/>
      <c r="GT82" s="43"/>
      <c r="GU82" s="43"/>
      <c r="GV82" s="43"/>
      <c r="GW82" s="43"/>
      <c r="GX82" s="43"/>
      <c r="GY82" s="43"/>
      <c r="GZ82" s="43"/>
      <c r="HA82" s="43"/>
      <c r="HB82" s="43"/>
      <c r="HC82" s="43"/>
      <c r="HD82" s="43"/>
      <c r="HE82" s="43"/>
      <c r="HF82" s="43"/>
      <c r="HG82" s="43"/>
      <c r="HH82" s="43"/>
      <c r="HI82" s="43"/>
      <c r="HJ82" s="43"/>
      <c r="HK82" s="43"/>
      <c r="HL82" s="43"/>
      <c r="HM82" s="43"/>
      <c r="HN82" s="43"/>
      <c r="HO82" s="43"/>
      <c r="HP82" s="43"/>
      <c r="HQ82" s="43"/>
      <c r="HR82" s="43"/>
      <c r="HS82" s="43"/>
      <c r="HT82" s="43"/>
      <c r="HU82" s="43"/>
      <c r="HV82" s="43"/>
      <c r="HW82" s="43"/>
      <c r="HX82" s="43"/>
      <c r="HY82" s="43"/>
      <c r="HZ82" s="43"/>
      <c r="IA82" s="43"/>
      <c r="IB82" s="43"/>
      <c r="IC82" s="43"/>
      <c r="ID82" s="43"/>
      <c r="IE82" s="43"/>
      <c r="IF82" s="43"/>
      <c r="IG82" s="43"/>
      <c r="IH82" s="43"/>
      <c r="II82" s="43"/>
      <c r="IJ82" s="43"/>
      <c r="IK82" s="43"/>
      <c r="IL82" s="43"/>
      <c r="IM82" s="43"/>
      <c r="IN82" s="43"/>
      <c r="IO82" s="43"/>
      <c r="IP82" s="43"/>
      <c r="IQ82" s="43"/>
      <c r="IR82" s="43"/>
      <c r="IS82" s="43"/>
      <c r="IT82" s="43"/>
      <c r="IU82" s="43"/>
      <c r="IV82" s="43"/>
      <c r="IW82" s="43"/>
      <c r="IX82" s="43"/>
      <c r="IY82" s="43"/>
      <c r="IZ82" s="43"/>
      <c r="JA82" s="43"/>
      <c r="JB82" s="43"/>
      <c r="JC82" s="43"/>
      <c r="JD82" s="43"/>
      <c r="JE82" s="43"/>
      <c r="JF82" s="43"/>
      <c r="JG82" s="43"/>
      <c r="JH82" s="43"/>
      <c r="JI82" s="43"/>
      <c r="JJ82" s="43"/>
      <c r="JK82" s="43"/>
      <c r="JL82" s="43"/>
      <c r="JM82" s="43"/>
      <c r="JN82" s="43"/>
      <c r="JO82" s="43"/>
      <c r="JP82" s="43"/>
      <c r="JQ82" s="43"/>
      <c r="JR82" s="43"/>
      <c r="JS82" s="43"/>
      <c r="JT82" s="43"/>
      <c r="JU82" s="43"/>
      <c r="JV82" s="43"/>
      <c r="JW82" s="43"/>
      <c r="JX82" s="43"/>
      <c r="JY82" s="43"/>
      <c r="JZ82" s="43"/>
      <c r="KA82" s="43"/>
      <c r="KB82" s="43"/>
      <c r="KC82" s="43"/>
      <c r="KD82" s="43"/>
      <c r="KE82" s="43"/>
      <c r="KF82" s="43"/>
      <c r="KG82" s="43"/>
      <c r="KH82" s="43"/>
      <c r="KI82" s="43"/>
      <c r="KJ82" s="43"/>
      <c r="KK82" s="43"/>
      <c r="KL82" s="43"/>
      <c r="KM82" s="43"/>
      <c r="KN82" s="43"/>
      <c r="KO82" s="43"/>
      <c r="KP82" s="43"/>
      <c r="KQ82" s="43"/>
      <c r="KR82" s="43"/>
      <c r="KS82" s="43"/>
      <c r="KT82" s="43"/>
      <c r="KU82" s="43"/>
      <c r="KV82" s="43"/>
      <c r="KW82" s="43"/>
      <c r="KX82" s="43"/>
      <c r="KY82" s="43"/>
      <c r="KZ82" s="43"/>
      <c r="LA82" s="43"/>
      <c r="LB82" s="43"/>
      <c r="LC82" s="43"/>
      <c r="LD82" s="43"/>
      <c r="LE82" s="43"/>
      <c r="LF82" s="43"/>
      <c r="LG82" s="43"/>
      <c r="LH82" s="43"/>
      <c r="LI82" s="43"/>
      <c r="LJ82" s="43"/>
      <c r="LK82" s="43"/>
      <c r="LL82" s="43"/>
      <c r="LM82" s="43"/>
      <c r="LN82" s="43"/>
      <c r="LO82" s="43"/>
      <c r="LP82" s="43"/>
      <c r="LQ82" s="43"/>
      <c r="LR82" s="43"/>
      <c r="LS82" s="43"/>
      <c r="LT82" s="43"/>
      <c r="LU82" s="43"/>
      <c r="LV82" s="43"/>
      <c r="LW82" s="43"/>
      <c r="LX82" s="43"/>
      <c r="LY82" s="43"/>
      <c r="LZ82" s="43"/>
      <c r="MA82" s="43"/>
      <c r="MB82" s="43"/>
      <c r="MC82" s="43"/>
      <c r="MD82" s="43"/>
      <c r="ME82" s="43"/>
      <c r="MF82" s="43"/>
      <c r="MG82" s="43"/>
      <c r="MH82" s="43"/>
      <c r="MI82" s="43"/>
      <c r="MJ82" s="43"/>
      <c r="MK82" s="43"/>
      <c r="ML82" s="43"/>
      <c r="MM82" s="43"/>
      <c r="MN82" s="43"/>
      <c r="MO82" s="43"/>
      <c r="MP82" s="43"/>
      <c r="MQ82" s="43"/>
      <c r="MR82" s="43"/>
      <c r="MS82" s="43"/>
      <c r="MT82" s="43"/>
      <c r="MU82" s="43"/>
      <c r="MV82" s="43"/>
      <c r="MW82" s="43"/>
      <c r="MX82" s="43"/>
      <c r="MY82" s="43"/>
      <c r="MZ82" s="43"/>
      <c r="NA82" s="43"/>
      <c r="NB82" s="43"/>
      <c r="NC82" s="43"/>
      <c r="ND82" s="43"/>
      <c r="NE82" s="43"/>
      <c r="NF82" s="43"/>
      <c r="NG82" s="43"/>
      <c r="NH82" s="43"/>
      <c r="NI82" s="43"/>
      <c r="NJ82" s="43"/>
      <c r="NK82" s="43"/>
      <c r="NL82" s="43"/>
      <c r="NM82" s="43"/>
      <c r="NN82" s="43"/>
      <c r="NO82" s="43"/>
      <c r="NP82" s="43"/>
      <c r="NQ82" s="43"/>
      <c r="NR82" s="43"/>
      <c r="NS82" s="43"/>
      <c r="NT82" s="43"/>
      <c r="NU82" s="43"/>
      <c r="NV82" s="43"/>
      <c r="NW82" s="43"/>
      <c r="NX82" s="43"/>
      <c r="NY82" s="43"/>
      <c r="NZ82" s="43"/>
      <c r="OA82" s="43"/>
      <c r="OB82" s="43"/>
      <c r="OC82" s="43"/>
      <c r="OD82" s="43"/>
      <c r="OE82" s="43"/>
      <c r="OF82" s="43"/>
      <c r="OG82" s="43"/>
      <c r="OH82" s="43"/>
      <c r="OI82" s="43"/>
      <c r="OJ82" s="43"/>
      <c r="OK82" s="43"/>
      <c r="OL82" s="43"/>
      <c r="OM82" s="43"/>
      <c r="ON82" s="43"/>
      <c r="OO82" s="43"/>
      <c r="OP82" s="43"/>
      <c r="OQ82" s="43"/>
      <c r="OR82" s="43"/>
      <c r="OS82" s="43"/>
      <c r="OT82" s="43"/>
      <c r="OU82" s="43"/>
      <c r="OV82" s="43"/>
      <c r="OW82" s="43"/>
      <c r="OX82" s="43"/>
      <c r="OY82" s="43"/>
      <c r="OZ82" s="43"/>
      <c r="PA82" s="43"/>
      <c r="PB82" s="43"/>
      <c r="PC82" s="43"/>
      <c r="PD82" s="43"/>
      <c r="PE82" s="43"/>
      <c r="PF82" s="43"/>
      <c r="PG82" s="43"/>
      <c r="PH82" s="43"/>
      <c r="PI82" s="43"/>
      <c r="PJ82" s="43"/>
      <c r="PK82" s="43"/>
      <c r="PL82" s="43"/>
      <c r="PM82" s="43"/>
      <c r="PN82" s="43"/>
      <c r="PO82" s="43"/>
      <c r="PP82" s="43"/>
      <c r="PQ82" s="43"/>
      <c r="PR82" s="43"/>
      <c r="PS82" s="43"/>
      <c r="PT82" s="43"/>
      <c r="PU82" s="43"/>
      <c r="PV82" s="43"/>
      <c r="PW82" s="43"/>
      <c r="PX82" s="43"/>
      <c r="PY82" s="43"/>
      <c r="PZ82" s="43"/>
      <c r="QA82" s="43"/>
      <c r="QB82" s="43"/>
      <c r="QC82" s="43"/>
    </row>
    <row r="83" spans="1:445" x14ac:dyDescent="0.3"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 t="str">
        <f t="shared" si="6"/>
        <v/>
      </c>
      <c r="U83" s="45" t="str">
        <f t="shared" si="7"/>
        <v/>
      </c>
      <c r="V83" s="68" t="str">
        <f t="shared" si="8"/>
        <v/>
      </c>
      <c r="W83" s="48"/>
      <c r="X83" s="66" t="str">
        <f t="shared" si="10"/>
        <v/>
      </c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43"/>
      <c r="BO83" s="43"/>
      <c r="BP83" s="43"/>
      <c r="BQ83" s="43"/>
      <c r="BR83" s="43"/>
      <c r="BS83" s="43"/>
      <c r="BT83" s="43"/>
      <c r="BU83" s="43"/>
      <c r="BV83" s="43"/>
      <c r="BW83" s="43"/>
      <c r="BX83" s="43"/>
      <c r="BY83" s="43"/>
      <c r="BZ83" s="43"/>
      <c r="CA83" s="43"/>
      <c r="CB83" s="43"/>
      <c r="CC83" s="4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43"/>
      <c r="CY83" s="43"/>
      <c r="CZ83" s="43"/>
      <c r="DA83" s="43"/>
      <c r="DB83" s="43"/>
      <c r="DC83" s="43"/>
      <c r="DD83" s="43"/>
      <c r="DE83" s="43"/>
      <c r="DF83" s="43"/>
      <c r="DG83" s="43"/>
      <c r="DH83" s="43"/>
      <c r="DI83" s="43"/>
      <c r="DJ83" s="43"/>
      <c r="DK83" s="43"/>
      <c r="DL83" s="43"/>
      <c r="DM83" s="43"/>
      <c r="DN83" s="43"/>
      <c r="DO83" s="43"/>
      <c r="DP83" s="43"/>
      <c r="DQ83" s="43"/>
      <c r="DR83" s="43"/>
      <c r="DS83" s="43"/>
      <c r="DT83" s="43"/>
      <c r="DU83" s="43"/>
      <c r="DV83" s="43"/>
      <c r="DW83" s="43"/>
      <c r="DX83" s="43"/>
      <c r="DY83" s="43"/>
      <c r="DZ83" s="43"/>
      <c r="EA83" s="43"/>
      <c r="EB83" s="43"/>
      <c r="EC83" s="43"/>
      <c r="ED83" s="43"/>
      <c r="EE83" s="43"/>
      <c r="EF83" s="43"/>
      <c r="EG83" s="43"/>
      <c r="EH83" s="43"/>
      <c r="EI83" s="43"/>
      <c r="EJ83" s="43"/>
      <c r="EK83" s="43"/>
      <c r="EL83" s="43"/>
      <c r="EM83" s="43"/>
      <c r="EN83" s="43"/>
      <c r="EO83" s="43"/>
      <c r="EP83" s="43"/>
      <c r="EQ83" s="43"/>
      <c r="ER83" s="43"/>
      <c r="ES83" s="43"/>
      <c r="ET83" s="43"/>
      <c r="EU83" s="43"/>
      <c r="EV83" s="43"/>
      <c r="EW83" s="43"/>
      <c r="EX83" s="43"/>
      <c r="EY83" s="43"/>
      <c r="EZ83" s="43"/>
      <c r="FA83" s="43"/>
      <c r="FB83" s="43"/>
      <c r="FC83" s="43"/>
      <c r="FD83" s="43"/>
      <c r="FE83" s="43"/>
      <c r="FF83" s="43"/>
      <c r="FG83" s="43"/>
      <c r="FH83" s="43"/>
      <c r="FI83" s="43"/>
      <c r="FJ83" s="43"/>
      <c r="FK83" s="43"/>
      <c r="FL83" s="43"/>
      <c r="FM83" s="43"/>
      <c r="FN83" s="43"/>
      <c r="FO83" s="43"/>
      <c r="FP83" s="43"/>
      <c r="FQ83" s="43"/>
      <c r="FR83" s="43"/>
      <c r="FS83" s="43"/>
      <c r="FT83" s="43"/>
      <c r="FU83" s="43"/>
      <c r="FV83" s="43"/>
      <c r="FW83" s="43"/>
      <c r="FX83" s="43"/>
      <c r="FY83" s="43"/>
      <c r="FZ83" s="43"/>
      <c r="GA83" s="43"/>
      <c r="GB83" s="43"/>
      <c r="GC83" s="43"/>
      <c r="GD83" s="43"/>
      <c r="GE83" s="43"/>
      <c r="GF83" s="43"/>
      <c r="GG83" s="43"/>
      <c r="GH83" s="43"/>
      <c r="GI83" s="43"/>
      <c r="GJ83" s="43"/>
      <c r="GK83" s="43"/>
      <c r="GL83" s="43"/>
      <c r="GM83" s="43"/>
      <c r="GN83" s="43"/>
      <c r="GO83" s="43"/>
      <c r="GP83" s="43"/>
      <c r="GQ83" s="43"/>
      <c r="GR83" s="43"/>
      <c r="GS83" s="43"/>
      <c r="GT83" s="43"/>
      <c r="GU83" s="43"/>
      <c r="GV83" s="43"/>
      <c r="GW83" s="43"/>
      <c r="GX83" s="43"/>
      <c r="GY83" s="43"/>
      <c r="GZ83" s="43"/>
      <c r="HA83" s="43"/>
      <c r="HB83" s="43"/>
      <c r="HC83" s="43"/>
      <c r="HD83" s="43"/>
      <c r="HE83" s="43"/>
      <c r="HF83" s="43"/>
      <c r="HG83" s="43"/>
      <c r="HH83" s="43"/>
      <c r="HI83" s="43"/>
      <c r="HJ83" s="43"/>
      <c r="HK83" s="43"/>
      <c r="HL83" s="43"/>
      <c r="HM83" s="43"/>
      <c r="HN83" s="43"/>
      <c r="HO83" s="43"/>
      <c r="HP83" s="43"/>
      <c r="HQ83" s="43"/>
      <c r="HR83" s="43"/>
      <c r="HS83" s="43"/>
      <c r="HT83" s="43"/>
      <c r="HU83" s="43"/>
      <c r="HV83" s="43"/>
      <c r="HW83" s="43"/>
      <c r="HX83" s="43"/>
      <c r="HY83" s="43"/>
      <c r="HZ83" s="43"/>
      <c r="IA83" s="43"/>
      <c r="IB83" s="43"/>
      <c r="IC83" s="43"/>
      <c r="ID83" s="43"/>
      <c r="IE83" s="43"/>
      <c r="IF83" s="43"/>
      <c r="IG83" s="43"/>
      <c r="IH83" s="43"/>
      <c r="II83" s="43"/>
      <c r="IJ83" s="43"/>
      <c r="IK83" s="43"/>
      <c r="IL83" s="43"/>
      <c r="IM83" s="43"/>
      <c r="IN83" s="43"/>
      <c r="IO83" s="43"/>
      <c r="IP83" s="43"/>
      <c r="IQ83" s="43"/>
      <c r="IR83" s="43"/>
      <c r="IS83" s="43"/>
      <c r="IT83" s="43"/>
      <c r="IU83" s="43"/>
      <c r="IV83" s="43"/>
      <c r="IW83" s="43"/>
      <c r="IX83" s="43"/>
      <c r="IY83" s="43"/>
      <c r="IZ83" s="43"/>
      <c r="JA83" s="43"/>
      <c r="JB83" s="43"/>
      <c r="JC83" s="43"/>
      <c r="JD83" s="43"/>
      <c r="JE83" s="43"/>
      <c r="JF83" s="43"/>
      <c r="JG83" s="43"/>
      <c r="JH83" s="43"/>
      <c r="JI83" s="43"/>
      <c r="JJ83" s="43"/>
      <c r="JK83" s="43"/>
      <c r="JL83" s="43"/>
      <c r="JM83" s="43"/>
      <c r="JN83" s="43"/>
      <c r="JO83" s="43"/>
      <c r="JP83" s="43"/>
      <c r="JQ83" s="43"/>
      <c r="JR83" s="43"/>
      <c r="JS83" s="43"/>
      <c r="JT83" s="43"/>
      <c r="JU83" s="43"/>
      <c r="JV83" s="43"/>
      <c r="JW83" s="43"/>
      <c r="JX83" s="43"/>
      <c r="JY83" s="43"/>
      <c r="JZ83" s="43"/>
      <c r="KA83" s="43"/>
      <c r="KB83" s="43"/>
      <c r="KC83" s="43"/>
      <c r="KD83" s="43"/>
      <c r="KE83" s="43"/>
      <c r="KF83" s="43"/>
      <c r="KG83" s="43"/>
      <c r="KH83" s="43"/>
      <c r="KI83" s="43"/>
      <c r="KJ83" s="43"/>
      <c r="KK83" s="43"/>
      <c r="KL83" s="43"/>
      <c r="KM83" s="43"/>
      <c r="KN83" s="43"/>
      <c r="KO83" s="43"/>
      <c r="KP83" s="43"/>
      <c r="KQ83" s="43"/>
      <c r="KR83" s="43"/>
      <c r="KS83" s="43"/>
      <c r="KT83" s="43"/>
      <c r="KU83" s="43"/>
      <c r="KV83" s="43"/>
      <c r="KW83" s="43"/>
      <c r="KX83" s="43"/>
      <c r="KY83" s="43"/>
      <c r="KZ83" s="43"/>
      <c r="LA83" s="43"/>
      <c r="LB83" s="43"/>
      <c r="LC83" s="43"/>
      <c r="LD83" s="43"/>
      <c r="LE83" s="43"/>
      <c r="LF83" s="43"/>
      <c r="LG83" s="43"/>
      <c r="LH83" s="43"/>
      <c r="LI83" s="43"/>
      <c r="LJ83" s="43"/>
      <c r="LK83" s="43"/>
      <c r="LL83" s="43"/>
      <c r="LM83" s="43"/>
      <c r="LN83" s="43"/>
      <c r="LO83" s="43"/>
      <c r="LP83" s="43"/>
      <c r="LQ83" s="43"/>
      <c r="LR83" s="43"/>
      <c r="LS83" s="43"/>
      <c r="LT83" s="43"/>
      <c r="LU83" s="43"/>
      <c r="LV83" s="43"/>
      <c r="LW83" s="43"/>
      <c r="LX83" s="43"/>
      <c r="LY83" s="43"/>
      <c r="LZ83" s="43"/>
      <c r="MA83" s="43"/>
      <c r="MB83" s="43"/>
      <c r="MC83" s="43"/>
      <c r="MD83" s="43"/>
      <c r="ME83" s="43"/>
      <c r="MF83" s="43"/>
      <c r="MG83" s="43"/>
      <c r="MH83" s="43"/>
      <c r="MI83" s="43"/>
      <c r="MJ83" s="43"/>
      <c r="MK83" s="43"/>
      <c r="ML83" s="43"/>
      <c r="MM83" s="43"/>
      <c r="MN83" s="43"/>
      <c r="MO83" s="43"/>
      <c r="MP83" s="43"/>
      <c r="MQ83" s="43"/>
      <c r="MR83" s="43"/>
      <c r="MS83" s="43"/>
      <c r="MT83" s="43"/>
      <c r="MU83" s="43"/>
      <c r="MV83" s="43"/>
      <c r="MW83" s="43"/>
      <c r="MX83" s="43"/>
      <c r="MY83" s="43"/>
      <c r="MZ83" s="43"/>
      <c r="NA83" s="43"/>
      <c r="NB83" s="43"/>
      <c r="NC83" s="43"/>
      <c r="ND83" s="43"/>
      <c r="NE83" s="43"/>
      <c r="NF83" s="43"/>
      <c r="NG83" s="43"/>
      <c r="NH83" s="43"/>
      <c r="NI83" s="43"/>
      <c r="NJ83" s="43"/>
      <c r="NK83" s="43"/>
      <c r="NL83" s="43"/>
      <c r="NM83" s="43"/>
      <c r="NN83" s="43"/>
      <c r="NO83" s="43"/>
      <c r="NP83" s="43"/>
      <c r="NQ83" s="43"/>
      <c r="NR83" s="43"/>
      <c r="NS83" s="43"/>
      <c r="NT83" s="43"/>
      <c r="NU83" s="43"/>
      <c r="NV83" s="43"/>
      <c r="NW83" s="43"/>
      <c r="NX83" s="43"/>
      <c r="NY83" s="43"/>
      <c r="NZ83" s="43"/>
      <c r="OA83" s="43"/>
      <c r="OB83" s="43"/>
      <c r="OC83" s="43"/>
      <c r="OD83" s="43"/>
      <c r="OE83" s="43"/>
      <c r="OF83" s="43"/>
      <c r="OG83" s="43"/>
      <c r="OH83" s="43"/>
      <c r="OI83" s="43"/>
      <c r="OJ83" s="43"/>
      <c r="OK83" s="43"/>
      <c r="OL83" s="43"/>
      <c r="OM83" s="43"/>
      <c r="ON83" s="43"/>
      <c r="OO83" s="43"/>
      <c r="OP83" s="43"/>
      <c r="OQ83" s="43"/>
      <c r="OR83" s="43"/>
      <c r="OS83" s="43"/>
      <c r="OT83" s="43"/>
      <c r="OU83" s="43"/>
      <c r="OV83" s="43"/>
      <c r="OW83" s="43"/>
      <c r="OX83" s="43"/>
      <c r="OY83" s="43"/>
      <c r="OZ83" s="43"/>
      <c r="PA83" s="43"/>
      <c r="PB83" s="43"/>
      <c r="PC83" s="43"/>
      <c r="PD83" s="43"/>
      <c r="PE83" s="43"/>
      <c r="PF83" s="43"/>
      <c r="PG83" s="43"/>
      <c r="PH83" s="43"/>
      <c r="PI83" s="43"/>
      <c r="PJ83" s="43"/>
      <c r="PK83" s="43"/>
      <c r="PL83" s="43"/>
      <c r="PM83" s="43"/>
      <c r="PN83" s="43"/>
      <c r="PO83" s="43"/>
      <c r="PP83" s="43"/>
      <c r="PQ83" s="43"/>
      <c r="PR83" s="43"/>
      <c r="PS83" s="43"/>
      <c r="PT83" s="43"/>
      <c r="PU83" s="43"/>
      <c r="PV83" s="43"/>
      <c r="PW83" s="43"/>
      <c r="PX83" s="43"/>
      <c r="PY83" s="43"/>
      <c r="PZ83" s="43"/>
      <c r="QA83" s="43"/>
      <c r="QB83" s="43"/>
      <c r="QC83" s="43"/>
    </row>
    <row r="84" spans="1:445" x14ac:dyDescent="0.3"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 t="str">
        <f t="shared" si="6"/>
        <v/>
      </c>
      <c r="U84" s="45" t="str">
        <f t="shared" si="7"/>
        <v/>
      </c>
      <c r="V84" s="68" t="str">
        <f t="shared" si="8"/>
        <v/>
      </c>
      <c r="W84" s="48"/>
      <c r="X84" s="66" t="str">
        <f t="shared" si="10"/>
        <v/>
      </c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43"/>
      <c r="BO84" s="43"/>
      <c r="BP84" s="43"/>
      <c r="BQ84" s="43"/>
      <c r="BR84" s="43"/>
      <c r="BS84" s="43"/>
      <c r="BT84" s="43"/>
      <c r="BU84" s="43"/>
      <c r="BV84" s="43"/>
      <c r="BW84" s="43"/>
      <c r="BX84" s="43"/>
      <c r="BY84" s="43"/>
      <c r="BZ84" s="43"/>
      <c r="CA84" s="43"/>
      <c r="CB84" s="43"/>
      <c r="CC84" s="43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43"/>
      <c r="CY84" s="43"/>
      <c r="CZ84" s="43"/>
      <c r="DA84" s="43"/>
      <c r="DB84" s="43"/>
      <c r="DC84" s="43"/>
      <c r="DD84" s="43"/>
      <c r="DE84" s="43"/>
      <c r="DF84" s="43"/>
      <c r="DG84" s="43"/>
      <c r="DH84" s="43"/>
      <c r="DI84" s="43"/>
      <c r="DJ84" s="43"/>
      <c r="DK84" s="43"/>
      <c r="DL84" s="43"/>
      <c r="DM84" s="43"/>
      <c r="DN84" s="43"/>
      <c r="DO84" s="43"/>
      <c r="DP84" s="43"/>
      <c r="DQ84" s="43"/>
      <c r="DR84" s="43"/>
      <c r="DS84" s="43"/>
      <c r="DT84" s="43"/>
      <c r="DU84" s="43"/>
      <c r="DV84" s="43"/>
      <c r="DW84" s="43"/>
      <c r="DX84" s="43"/>
      <c r="DY84" s="43"/>
      <c r="DZ84" s="43"/>
      <c r="EA84" s="43"/>
      <c r="EB84" s="43"/>
      <c r="EC84" s="43"/>
      <c r="ED84" s="43"/>
      <c r="EE84" s="43"/>
      <c r="EF84" s="43"/>
      <c r="EG84" s="43"/>
      <c r="EH84" s="43"/>
      <c r="EI84" s="43"/>
      <c r="EJ84" s="43"/>
      <c r="EK84" s="43"/>
      <c r="EL84" s="43"/>
      <c r="EM84" s="43"/>
      <c r="EN84" s="43"/>
      <c r="EO84" s="43"/>
      <c r="EP84" s="43"/>
      <c r="EQ84" s="43"/>
      <c r="ER84" s="43"/>
      <c r="ES84" s="43"/>
      <c r="ET84" s="43"/>
      <c r="EU84" s="43"/>
      <c r="EV84" s="43"/>
      <c r="EW84" s="43"/>
      <c r="EX84" s="43"/>
      <c r="EY84" s="43"/>
      <c r="EZ84" s="43"/>
      <c r="FA84" s="43"/>
      <c r="FB84" s="43"/>
      <c r="FC84" s="43"/>
      <c r="FD84" s="43"/>
      <c r="FE84" s="43"/>
      <c r="FF84" s="43"/>
      <c r="FG84" s="43"/>
      <c r="FH84" s="43"/>
      <c r="FI84" s="43"/>
      <c r="FJ84" s="43"/>
      <c r="FK84" s="43"/>
      <c r="FL84" s="43"/>
      <c r="FM84" s="43"/>
      <c r="FN84" s="43"/>
      <c r="FO84" s="43"/>
      <c r="FP84" s="43"/>
      <c r="FQ84" s="43"/>
      <c r="FR84" s="43"/>
      <c r="FS84" s="43"/>
      <c r="FT84" s="43"/>
      <c r="FU84" s="43"/>
      <c r="FV84" s="43"/>
      <c r="FW84" s="43"/>
      <c r="FX84" s="43"/>
      <c r="FY84" s="43"/>
      <c r="FZ84" s="43"/>
      <c r="GA84" s="43"/>
      <c r="GB84" s="43"/>
      <c r="GC84" s="43"/>
      <c r="GD84" s="43"/>
      <c r="GE84" s="43"/>
      <c r="GF84" s="43"/>
      <c r="GG84" s="43"/>
      <c r="GH84" s="43"/>
      <c r="GI84" s="43"/>
      <c r="GJ84" s="43"/>
      <c r="GK84" s="43"/>
      <c r="GL84" s="43"/>
      <c r="GM84" s="43"/>
      <c r="GN84" s="43"/>
      <c r="GO84" s="43"/>
      <c r="GP84" s="43"/>
      <c r="GQ84" s="43"/>
      <c r="GR84" s="43"/>
      <c r="GS84" s="43"/>
      <c r="GT84" s="43"/>
      <c r="GU84" s="43"/>
      <c r="GV84" s="43"/>
      <c r="GW84" s="43"/>
      <c r="GX84" s="43"/>
      <c r="GY84" s="43"/>
      <c r="GZ84" s="43"/>
      <c r="HA84" s="43"/>
      <c r="HB84" s="43"/>
      <c r="HC84" s="43"/>
      <c r="HD84" s="43"/>
      <c r="HE84" s="43"/>
      <c r="HF84" s="43"/>
      <c r="HG84" s="43"/>
      <c r="HH84" s="43"/>
      <c r="HI84" s="43"/>
      <c r="HJ84" s="43"/>
      <c r="HK84" s="43"/>
      <c r="HL84" s="43"/>
      <c r="HM84" s="43"/>
      <c r="HN84" s="43"/>
      <c r="HO84" s="43"/>
      <c r="HP84" s="43"/>
      <c r="HQ84" s="43"/>
      <c r="HR84" s="43"/>
      <c r="HS84" s="43"/>
      <c r="HT84" s="43"/>
      <c r="HU84" s="43"/>
      <c r="HV84" s="43"/>
      <c r="HW84" s="43"/>
      <c r="HX84" s="43"/>
      <c r="HY84" s="43"/>
      <c r="HZ84" s="43"/>
      <c r="IA84" s="43"/>
      <c r="IB84" s="43"/>
      <c r="IC84" s="43"/>
      <c r="ID84" s="43"/>
      <c r="IE84" s="43"/>
      <c r="IF84" s="43"/>
      <c r="IG84" s="43"/>
      <c r="IH84" s="43"/>
      <c r="II84" s="43"/>
      <c r="IJ84" s="43"/>
      <c r="IK84" s="43"/>
      <c r="IL84" s="43"/>
      <c r="IM84" s="43"/>
      <c r="IN84" s="43"/>
      <c r="IO84" s="43"/>
      <c r="IP84" s="43"/>
      <c r="IQ84" s="43"/>
      <c r="IR84" s="43"/>
      <c r="IS84" s="43"/>
      <c r="IT84" s="43"/>
      <c r="IU84" s="43"/>
      <c r="IV84" s="43"/>
      <c r="IW84" s="43"/>
      <c r="IX84" s="43"/>
      <c r="IY84" s="43"/>
      <c r="IZ84" s="43"/>
      <c r="JA84" s="43"/>
      <c r="JB84" s="43"/>
      <c r="JC84" s="43"/>
      <c r="JD84" s="43"/>
      <c r="JE84" s="43"/>
      <c r="JF84" s="43"/>
      <c r="JG84" s="43"/>
      <c r="JH84" s="43"/>
      <c r="JI84" s="43"/>
      <c r="JJ84" s="43"/>
      <c r="JK84" s="43"/>
      <c r="JL84" s="43"/>
      <c r="JM84" s="43"/>
      <c r="JN84" s="43"/>
      <c r="JO84" s="43"/>
      <c r="JP84" s="43"/>
      <c r="JQ84" s="43"/>
      <c r="JR84" s="43"/>
      <c r="JS84" s="43"/>
      <c r="JT84" s="43"/>
      <c r="JU84" s="43"/>
      <c r="JV84" s="43"/>
      <c r="JW84" s="43"/>
      <c r="JX84" s="43"/>
      <c r="JY84" s="43"/>
      <c r="JZ84" s="43"/>
      <c r="KA84" s="43"/>
      <c r="KB84" s="43"/>
      <c r="KC84" s="43"/>
      <c r="KD84" s="43"/>
      <c r="KE84" s="43"/>
      <c r="KF84" s="43"/>
      <c r="KG84" s="43"/>
      <c r="KH84" s="43"/>
      <c r="KI84" s="43"/>
      <c r="KJ84" s="43"/>
      <c r="KK84" s="43"/>
      <c r="KL84" s="43"/>
      <c r="KM84" s="43"/>
      <c r="KN84" s="43"/>
      <c r="KO84" s="43"/>
      <c r="KP84" s="43"/>
      <c r="KQ84" s="43"/>
      <c r="KR84" s="43"/>
      <c r="KS84" s="43"/>
      <c r="KT84" s="43"/>
      <c r="KU84" s="43"/>
      <c r="KV84" s="43"/>
      <c r="KW84" s="43"/>
      <c r="KX84" s="43"/>
      <c r="KY84" s="43"/>
      <c r="KZ84" s="43"/>
      <c r="LA84" s="43"/>
      <c r="LB84" s="43"/>
      <c r="LC84" s="43"/>
      <c r="LD84" s="43"/>
      <c r="LE84" s="43"/>
      <c r="LF84" s="43"/>
      <c r="LG84" s="43"/>
      <c r="LH84" s="43"/>
      <c r="LI84" s="43"/>
      <c r="LJ84" s="43"/>
      <c r="LK84" s="43"/>
      <c r="LL84" s="43"/>
      <c r="LM84" s="43"/>
      <c r="LN84" s="43"/>
      <c r="LO84" s="43"/>
      <c r="LP84" s="43"/>
      <c r="LQ84" s="43"/>
      <c r="LR84" s="43"/>
      <c r="LS84" s="43"/>
      <c r="LT84" s="43"/>
      <c r="LU84" s="43"/>
      <c r="LV84" s="43"/>
      <c r="LW84" s="43"/>
      <c r="LX84" s="43"/>
      <c r="LY84" s="43"/>
      <c r="LZ84" s="43"/>
      <c r="MA84" s="43"/>
      <c r="MB84" s="43"/>
      <c r="MC84" s="43"/>
      <c r="MD84" s="43"/>
      <c r="ME84" s="43"/>
      <c r="MF84" s="43"/>
      <c r="MG84" s="43"/>
      <c r="MH84" s="43"/>
      <c r="MI84" s="43"/>
      <c r="MJ84" s="43"/>
      <c r="MK84" s="43"/>
      <c r="ML84" s="43"/>
      <c r="MM84" s="43"/>
      <c r="MN84" s="43"/>
      <c r="MO84" s="43"/>
      <c r="MP84" s="43"/>
      <c r="MQ84" s="43"/>
      <c r="MR84" s="43"/>
      <c r="MS84" s="43"/>
      <c r="MT84" s="43"/>
      <c r="MU84" s="43"/>
      <c r="MV84" s="43"/>
      <c r="MW84" s="43"/>
      <c r="MX84" s="43"/>
      <c r="MY84" s="43"/>
      <c r="MZ84" s="43"/>
      <c r="NA84" s="43"/>
      <c r="NB84" s="43"/>
      <c r="NC84" s="43"/>
      <c r="ND84" s="43"/>
      <c r="NE84" s="43"/>
      <c r="NF84" s="43"/>
      <c r="NG84" s="43"/>
      <c r="NH84" s="43"/>
      <c r="NI84" s="43"/>
      <c r="NJ84" s="43"/>
      <c r="NK84" s="43"/>
      <c r="NL84" s="43"/>
      <c r="NM84" s="43"/>
      <c r="NN84" s="43"/>
      <c r="NO84" s="43"/>
      <c r="NP84" s="43"/>
      <c r="NQ84" s="43"/>
      <c r="NR84" s="43"/>
      <c r="NS84" s="43"/>
      <c r="NT84" s="43"/>
      <c r="NU84" s="43"/>
      <c r="NV84" s="43"/>
      <c r="NW84" s="43"/>
      <c r="NX84" s="43"/>
      <c r="NY84" s="43"/>
      <c r="NZ84" s="43"/>
      <c r="OA84" s="43"/>
      <c r="OB84" s="43"/>
      <c r="OC84" s="43"/>
      <c r="OD84" s="43"/>
      <c r="OE84" s="43"/>
      <c r="OF84" s="43"/>
      <c r="OG84" s="43"/>
      <c r="OH84" s="43"/>
      <c r="OI84" s="43"/>
      <c r="OJ84" s="43"/>
      <c r="OK84" s="43"/>
      <c r="OL84" s="43"/>
      <c r="OM84" s="43"/>
      <c r="ON84" s="43"/>
      <c r="OO84" s="43"/>
      <c r="OP84" s="43"/>
      <c r="OQ84" s="43"/>
      <c r="OR84" s="43"/>
      <c r="OS84" s="43"/>
      <c r="OT84" s="43"/>
      <c r="OU84" s="43"/>
      <c r="OV84" s="43"/>
      <c r="OW84" s="43"/>
      <c r="OX84" s="43"/>
      <c r="OY84" s="43"/>
      <c r="OZ84" s="43"/>
      <c r="PA84" s="43"/>
      <c r="PB84" s="43"/>
      <c r="PC84" s="43"/>
      <c r="PD84" s="43"/>
      <c r="PE84" s="43"/>
      <c r="PF84" s="43"/>
      <c r="PG84" s="43"/>
      <c r="PH84" s="43"/>
      <c r="PI84" s="43"/>
      <c r="PJ84" s="43"/>
      <c r="PK84" s="43"/>
      <c r="PL84" s="43"/>
      <c r="PM84" s="43"/>
      <c r="PN84" s="43"/>
      <c r="PO84" s="43"/>
      <c r="PP84" s="43"/>
      <c r="PQ84" s="43"/>
      <c r="PR84" s="43"/>
      <c r="PS84" s="43"/>
      <c r="PT84" s="43"/>
      <c r="PU84" s="43"/>
      <c r="PV84" s="43"/>
      <c r="PW84" s="43"/>
      <c r="PX84" s="43"/>
      <c r="PY84" s="43"/>
      <c r="PZ84" s="43"/>
      <c r="QA84" s="43"/>
      <c r="QB84" s="43"/>
      <c r="QC84" s="43"/>
    </row>
    <row r="85" spans="1:445" x14ac:dyDescent="0.3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 t="str">
        <f t="shared" si="6"/>
        <v/>
      </c>
      <c r="U85" s="45" t="str">
        <f t="shared" si="7"/>
        <v/>
      </c>
      <c r="V85" s="68" t="str">
        <f t="shared" si="8"/>
        <v/>
      </c>
      <c r="W85" s="48"/>
      <c r="X85" s="66" t="str">
        <f t="shared" si="10"/>
        <v/>
      </c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3"/>
      <c r="BT85" s="43"/>
      <c r="BU85" s="43"/>
      <c r="BV85" s="43"/>
      <c r="BW85" s="43"/>
      <c r="BX85" s="43"/>
      <c r="BY85" s="43"/>
      <c r="BZ85" s="43"/>
      <c r="CA85" s="43"/>
      <c r="CB85" s="43"/>
      <c r="CC85" s="4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43"/>
      <c r="CY85" s="43"/>
      <c r="CZ85" s="43"/>
      <c r="DA85" s="43"/>
      <c r="DB85" s="43"/>
      <c r="DC85" s="43"/>
      <c r="DD85" s="43"/>
      <c r="DE85" s="43"/>
      <c r="DF85" s="43"/>
      <c r="DG85" s="43"/>
      <c r="DH85" s="43"/>
      <c r="DI85" s="43"/>
      <c r="DJ85" s="43"/>
      <c r="DK85" s="43"/>
      <c r="DL85" s="43"/>
      <c r="DM85" s="43"/>
      <c r="DN85" s="43"/>
      <c r="DO85" s="43"/>
      <c r="DP85" s="43"/>
      <c r="DQ85" s="43"/>
      <c r="DR85" s="43"/>
      <c r="DS85" s="43"/>
      <c r="DT85" s="43"/>
      <c r="DU85" s="43"/>
      <c r="DV85" s="43"/>
      <c r="DW85" s="43"/>
      <c r="DX85" s="43"/>
      <c r="DY85" s="43"/>
      <c r="DZ85" s="43"/>
      <c r="EA85" s="43"/>
      <c r="EB85" s="43"/>
      <c r="EC85" s="43"/>
      <c r="ED85" s="43"/>
      <c r="EE85" s="43"/>
      <c r="EF85" s="43"/>
      <c r="EG85" s="43"/>
      <c r="EH85" s="43"/>
      <c r="EI85" s="43"/>
      <c r="EJ85" s="43"/>
      <c r="EK85" s="43"/>
      <c r="EL85" s="43"/>
      <c r="EM85" s="43"/>
      <c r="EN85" s="43"/>
      <c r="EO85" s="43"/>
      <c r="EP85" s="43"/>
      <c r="EQ85" s="43"/>
      <c r="ER85" s="43"/>
      <c r="ES85" s="43"/>
      <c r="ET85" s="43"/>
      <c r="EU85" s="43"/>
      <c r="EV85" s="43"/>
      <c r="EW85" s="43"/>
      <c r="EX85" s="43"/>
      <c r="EY85" s="43"/>
      <c r="EZ85" s="43"/>
      <c r="FA85" s="43"/>
      <c r="FB85" s="43"/>
      <c r="FC85" s="43"/>
      <c r="FD85" s="43"/>
      <c r="FE85" s="43"/>
      <c r="FF85" s="43"/>
      <c r="FG85" s="43"/>
      <c r="FH85" s="43"/>
      <c r="FI85" s="43"/>
      <c r="FJ85" s="43"/>
      <c r="FK85" s="43"/>
      <c r="FL85" s="43"/>
      <c r="FM85" s="43"/>
      <c r="FN85" s="43"/>
      <c r="FO85" s="43"/>
      <c r="FP85" s="43"/>
      <c r="FQ85" s="43"/>
      <c r="FR85" s="43"/>
      <c r="FS85" s="43"/>
      <c r="FT85" s="43"/>
      <c r="FU85" s="43"/>
      <c r="FV85" s="43"/>
      <c r="FW85" s="43"/>
      <c r="FX85" s="43"/>
      <c r="FY85" s="43"/>
      <c r="FZ85" s="43"/>
      <c r="GA85" s="43"/>
      <c r="GB85" s="43"/>
      <c r="GC85" s="43"/>
      <c r="GD85" s="43"/>
      <c r="GE85" s="43"/>
      <c r="GF85" s="43"/>
      <c r="GG85" s="43"/>
      <c r="GH85" s="43"/>
      <c r="GI85" s="43"/>
      <c r="GJ85" s="43"/>
      <c r="GK85" s="43"/>
      <c r="GL85" s="43"/>
      <c r="GM85" s="43"/>
      <c r="GN85" s="43"/>
      <c r="GO85" s="43"/>
      <c r="GP85" s="43"/>
      <c r="GQ85" s="43"/>
      <c r="GR85" s="43"/>
      <c r="GS85" s="43"/>
      <c r="GT85" s="43"/>
      <c r="GU85" s="43"/>
      <c r="GV85" s="43"/>
      <c r="GW85" s="43"/>
      <c r="GX85" s="43"/>
      <c r="GY85" s="43"/>
      <c r="GZ85" s="43"/>
      <c r="HA85" s="43"/>
      <c r="HB85" s="43"/>
      <c r="HC85" s="43"/>
      <c r="HD85" s="43"/>
      <c r="HE85" s="43"/>
      <c r="HF85" s="43"/>
      <c r="HG85" s="43"/>
      <c r="HH85" s="43"/>
      <c r="HI85" s="43"/>
      <c r="HJ85" s="43"/>
      <c r="HK85" s="43"/>
      <c r="HL85" s="43"/>
      <c r="HM85" s="43"/>
      <c r="HN85" s="43"/>
      <c r="HO85" s="43"/>
      <c r="HP85" s="43"/>
      <c r="HQ85" s="43"/>
      <c r="HR85" s="43"/>
      <c r="HS85" s="43"/>
      <c r="HT85" s="43"/>
      <c r="HU85" s="43"/>
      <c r="HV85" s="43"/>
      <c r="HW85" s="43"/>
      <c r="HX85" s="43"/>
      <c r="HY85" s="43"/>
      <c r="HZ85" s="43"/>
      <c r="IA85" s="43"/>
      <c r="IB85" s="43"/>
      <c r="IC85" s="43"/>
      <c r="ID85" s="43"/>
      <c r="IE85" s="43"/>
      <c r="IF85" s="43"/>
      <c r="IG85" s="43"/>
      <c r="IH85" s="43"/>
      <c r="II85" s="43"/>
      <c r="IJ85" s="43"/>
      <c r="IK85" s="43"/>
      <c r="IL85" s="43"/>
      <c r="IM85" s="43"/>
      <c r="IN85" s="43"/>
      <c r="IO85" s="43"/>
      <c r="IP85" s="43"/>
      <c r="IQ85" s="43"/>
      <c r="IR85" s="43"/>
      <c r="IS85" s="43"/>
      <c r="IT85" s="43"/>
      <c r="IU85" s="43"/>
      <c r="IV85" s="43"/>
      <c r="IW85" s="43"/>
      <c r="IX85" s="43"/>
      <c r="IY85" s="43"/>
      <c r="IZ85" s="43"/>
      <c r="JA85" s="43"/>
      <c r="JB85" s="43"/>
      <c r="JC85" s="43"/>
      <c r="JD85" s="43"/>
      <c r="JE85" s="43"/>
      <c r="JF85" s="43"/>
      <c r="JG85" s="43"/>
      <c r="JH85" s="43"/>
      <c r="JI85" s="43"/>
      <c r="JJ85" s="43"/>
      <c r="JK85" s="43"/>
      <c r="JL85" s="43"/>
      <c r="JM85" s="43"/>
      <c r="JN85" s="43"/>
      <c r="JO85" s="43"/>
      <c r="JP85" s="43"/>
      <c r="JQ85" s="43"/>
      <c r="JR85" s="43"/>
      <c r="JS85" s="43"/>
      <c r="JT85" s="43"/>
      <c r="JU85" s="43"/>
      <c r="JV85" s="43"/>
      <c r="JW85" s="43"/>
      <c r="JX85" s="43"/>
      <c r="JY85" s="43"/>
      <c r="JZ85" s="43"/>
      <c r="KA85" s="43"/>
      <c r="KB85" s="43"/>
      <c r="KC85" s="43"/>
      <c r="KD85" s="43"/>
      <c r="KE85" s="43"/>
      <c r="KF85" s="43"/>
      <c r="KG85" s="43"/>
      <c r="KH85" s="43"/>
      <c r="KI85" s="43"/>
      <c r="KJ85" s="43"/>
      <c r="KK85" s="43"/>
      <c r="KL85" s="43"/>
      <c r="KM85" s="43"/>
      <c r="KN85" s="43"/>
      <c r="KO85" s="43"/>
      <c r="KP85" s="43"/>
      <c r="KQ85" s="43"/>
      <c r="KR85" s="43"/>
      <c r="KS85" s="43"/>
      <c r="KT85" s="43"/>
      <c r="KU85" s="43"/>
      <c r="KV85" s="43"/>
      <c r="KW85" s="43"/>
      <c r="KX85" s="43"/>
      <c r="KY85" s="43"/>
      <c r="KZ85" s="43"/>
      <c r="LA85" s="43"/>
      <c r="LB85" s="43"/>
      <c r="LC85" s="43"/>
      <c r="LD85" s="43"/>
      <c r="LE85" s="43"/>
      <c r="LF85" s="43"/>
      <c r="LG85" s="43"/>
      <c r="LH85" s="43"/>
      <c r="LI85" s="43"/>
      <c r="LJ85" s="43"/>
      <c r="LK85" s="43"/>
      <c r="LL85" s="43"/>
      <c r="LM85" s="43"/>
      <c r="LN85" s="43"/>
      <c r="LO85" s="43"/>
      <c r="LP85" s="43"/>
      <c r="LQ85" s="43"/>
      <c r="LR85" s="43"/>
      <c r="LS85" s="43"/>
      <c r="LT85" s="43"/>
      <c r="LU85" s="43"/>
      <c r="LV85" s="43"/>
      <c r="LW85" s="43"/>
      <c r="LX85" s="43"/>
      <c r="LY85" s="43"/>
      <c r="LZ85" s="43"/>
      <c r="MA85" s="43"/>
      <c r="MB85" s="43"/>
      <c r="MC85" s="43"/>
      <c r="MD85" s="43"/>
      <c r="ME85" s="43"/>
      <c r="MF85" s="43"/>
      <c r="MG85" s="43"/>
      <c r="MH85" s="43"/>
      <c r="MI85" s="43"/>
      <c r="MJ85" s="43"/>
      <c r="MK85" s="43"/>
      <c r="ML85" s="43"/>
      <c r="MM85" s="43"/>
      <c r="MN85" s="43"/>
      <c r="MO85" s="43"/>
      <c r="MP85" s="43"/>
      <c r="MQ85" s="43"/>
      <c r="MR85" s="43"/>
      <c r="MS85" s="43"/>
      <c r="MT85" s="43"/>
      <c r="MU85" s="43"/>
      <c r="MV85" s="43"/>
      <c r="MW85" s="43"/>
      <c r="MX85" s="43"/>
      <c r="MY85" s="43"/>
      <c r="MZ85" s="43"/>
      <c r="NA85" s="43"/>
      <c r="NB85" s="43"/>
      <c r="NC85" s="43"/>
      <c r="ND85" s="43"/>
      <c r="NE85" s="43"/>
      <c r="NF85" s="43"/>
      <c r="NG85" s="43"/>
      <c r="NH85" s="43"/>
      <c r="NI85" s="43"/>
      <c r="NJ85" s="43"/>
      <c r="NK85" s="43"/>
      <c r="NL85" s="43"/>
      <c r="NM85" s="43"/>
      <c r="NN85" s="43"/>
      <c r="NO85" s="43"/>
      <c r="NP85" s="43"/>
      <c r="NQ85" s="43"/>
      <c r="NR85" s="43"/>
      <c r="NS85" s="43"/>
      <c r="NT85" s="43"/>
      <c r="NU85" s="43"/>
      <c r="NV85" s="43"/>
      <c r="NW85" s="43"/>
      <c r="NX85" s="43"/>
      <c r="NY85" s="43"/>
      <c r="NZ85" s="43"/>
      <c r="OA85" s="43"/>
      <c r="OB85" s="43"/>
      <c r="OC85" s="43"/>
      <c r="OD85" s="43"/>
      <c r="OE85" s="43"/>
      <c r="OF85" s="43"/>
      <c r="OG85" s="43"/>
      <c r="OH85" s="43"/>
      <c r="OI85" s="43"/>
      <c r="OJ85" s="43"/>
      <c r="OK85" s="43"/>
      <c r="OL85" s="43"/>
      <c r="OM85" s="43"/>
      <c r="ON85" s="43"/>
      <c r="OO85" s="43"/>
      <c r="OP85" s="43"/>
      <c r="OQ85" s="43"/>
      <c r="OR85" s="43"/>
      <c r="OS85" s="43"/>
      <c r="OT85" s="43"/>
      <c r="OU85" s="43"/>
      <c r="OV85" s="43"/>
      <c r="OW85" s="43"/>
      <c r="OX85" s="43"/>
      <c r="OY85" s="43"/>
      <c r="OZ85" s="43"/>
      <c r="PA85" s="43"/>
      <c r="PB85" s="43"/>
      <c r="PC85" s="43"/>
      <c r="PD85" s="43"/>
      <c r="PE85" s="43"/>
      <c r="PF85" s="43"/>
      <c r="PG85" s="43"/>
      <c r="PH85" s="43"/>
      <c r="PI85" s="43"/>
      <c r="PJ85" s="43"/>
      <c r="PK85" s="43"/>
      <c r="PL85" s="43"/>
      <c r="PM85" s="43"/>
      <c r="PN85" s="43"/>
      <c r="PO85" s="43"/>
      <c r="PP85" s="43"/>
      <c r="PQ85" s="43"/>
      <c r="PR85" s="43"/>
      <c r="PS85" s="43"/>
      <c r="PT85" s="43"/>
      <c r="PU85" s="43"/>
      <c r="PV85" s="43"/>
      <c r="PW85" s="43"/>
      <c r="PX85" s="43"/>
      <c r="PY85" s="43"/>
      <c r="PZ85" s="43"/>
      <c r="QA85" s="43"/>
      <c r="QB85" s="43"/>
      <c r="QC85" s="43"/>
    </row>
    <row r="86" spans="1:445" x14ac:dyDescent="0.3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 t="str">
        <f t="shared" si="6"/>
        <v/>
      </c>
      <c r="U86" s="45" t="str">
        <f t="shared" si="7"/>
        <v/>
      </c>
      <c r="V86" s="68" t="str">
        <f t="shared" si="8"/>
        <v/>
      </c>
      <c r="W86" s="48"/>
      <c r="X86" s="66" t="str">
        <f t="shared" si="10"/>
        <v/>
      </c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43"/>
      <c r="BO86" s="43"/>
      <c r="BP86" s="43"/>
      <c r="BQ86" s="43"/>
      <c r="BR86" s="43"/>
      <c r="BS86" s="43"/>
      <c r="BT86" s="43"/>
      <c r="BU86" s="43"/>
      <c r="BV86" s="43"/>
      <c r="BW86" s="43"/>
      <c r="BX86" s="43"/>
      <c r="BY86" s="43"/>
      <c r="BZ86" s="43"/>
      <c r="CA86" s="43"/>
      <c r="CB86" s="43"/>
      <c r="CC86" s="43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43"/>
      <c r="CY86" s="43"/>
      <c r="CZ86" s="43"/>
      <c r="DA86" s="43"/>
      <c r="DB86" s="43"/>
      <c r="DC86" s="43"/>
      <c r="DD86" s="43"/>
      <c r="DE86" s="43"/>
      <c r="DF86" s="43"/>
      <c r="DG86" s="43"/>
      <c r="DH86" s="43"/>
      <c r="DI86" s="43"/>
      <c r="DJ86" s="43"/>
      <c r="DK86" s="43"/>
      <c r="DL86" s="43"/>
      <c r="DM86" s="43"/>
      <c r="DN86" s="43"/>
      <c r="DO86" s="43"/>
      <c r="DP86" s="43"/>
      <c r="DQ86" s="43"/>
      <c r="DR86" s="43"/>
      <c r="DS86" s="43"/>
      <c r="DT86" s="43"/>
      <c r="DU86" s="43"/>
      <c r="DV86" s="43"/>
      <c r="DW86" s="43"/>
      <c r="DX86" s="43"/>
      <c r="DY86" s="43"/>
      <c r="DZ86" s="43"/>
      <c r="EA86" s="43"/>
      <c r="EB86" s="43"/>
      <c r="EC86" s="43"/>
      <c r="ED86" s="43"/>
      <c r="EE86" s="43"/>
      <c r="EF86" s="43"/>
      <c r="EG86" s="43"/>
      <c r="EH86" s="43"/>
      <c r="EI86" s="43"/>
      <c r="EJ86" s="43"/>
      <c r="EK86" s="43"/>
      <c r="EL86" s="43"/>
      <c r="EM86" s="43"/>
      <c r="EN86" s="43"/>
      <c r="EO86" s="43"/>
      <c r="EP86" s="43"/>
      <c r="EQ86" s="43"/>
      <c r="ER86" s="43"/>
      <c r="ES86" s="43"/>
      <c r="ET86" s="43"/>
      <c r="EU86" s="43"/>
      <c r="EV86" s="43"/>
      <c r="EW86" s="43"/>
      <c r="EX86" s="43"/>
      <c r="EY86" s="43"/>
      <c r="EZ86" s="43"/>
      <c r="FA86" s="43"/>
      <c r="FB86" s="43"/>
      <c r="FC86" s="43"/>
      <c r="FD86" s="43"/>
      <c r="FE86" s="43"/>
      <c r="FF86" s="43"/>
      <c r="FG86" s="43"/>
      <c r="FH86" s="43"/>
      <c r="FI86" s="43"/>
      <c r="FJ86" s="43"/>
      <c r="FK86" s="43"/>
      <c r="FL86" s="43"/>
      <c r="FM86" s="43"/>
      <c r="FN86" s="43"/>
      <c r="FO86" s="43"/>
      <c r="FP86" s="43"/>
      <c r="FQ86" s="43"/>
      <c r="FR86" s="43"/>
      <c r="FS86" s="43"/>
      <c r="FT86" s="43"/>
      <c r="FU86" s="43"/>
      <c r="FV86" s="43"/>
      <c r="FW86" s="43"/>
      <c r="FX86" s="43"/>
      <c r="FY86" s="43"/>
      <c r="FZ86" s="43"/>
      <c r="GA86" s="43"/>
      <c r="GB86" s="43"/>
      <c r="GC86" s="43"/>
      <c r="GD86" s="43"/>
      <c r="GE86" s="43"/>
      <c r="GF86" s="43"/>
      <c r="GG86" s="43"/>
      <c r="GH86" s="43"/>
      <c r="GI86" s="43"/>
      <c r="GJ86" s="43"/>
      <c r="GK86" s="43"/>
      <c r="GL86" s="43"/>
      <c r="GM86" s="43"/>
      <c r="GN86" s="43"/>
      <c r="GO86" s="43"/>
      <c r="GP86" s="43"/>
      <c r="GQ86" s="43"/>
      <c r="GR86" s="43"/>
      <c r="GS86" s="43"/>
      <c r="GT86" s="43"/>
      <c r="GU86" s="43"/>
      <c r="GV86" s="43"/>
      <c r="GW86" s="43"/>
      <c r="GX86" s="43"/>
      <c r="GY86" s="43"/>
      <c r="GZ86" s="43"/>
      <c r="HA86" s="43"/>
      <c r="HB86" s="43"/>
      <c r="HC86" s="43"/>
      <c r="HD86" s="43"/>
      <c r="HE86" s="43"/>
      <c r="HF86" s="43"/>
      <c r="HG86" s="43"/>
      <c r="HH86" s="43"/>
      <c r="HI86" s="43"/>
      <c r="HJ86" s="43"/>
      <c r="HK86" s="43"/>
      <c r="HL86" s="43"/>
      <c r="HM86" s="43"/>
      <c r="HN86" s="43"/>
      <c r="HO86" s="43"/>
      <c r="HP86" s="43"/>
      <c r="HQ86" s="43"/>
      <c r="HR86" s="43"/>
      <c r="HS86" s="43"/>
      <c r="HT86" s="43"/>
      <c r="HU86" s="43"/>
      <c r="HV86" s="43"/>
      <c r="HW86" s="43"/>
      <c r="HX86" s="43"/>
      <c r="HY86" s="43"/>
      <c r="HZ86" s="43"/>
      <c r="IA86" s="43"/>
      <c r="IB86" s="43"/>
      <c r="IC86" s="43"/>
      <c r="ID86" s="43"/>
      <c r="IE86" s="43"/>
      <c r="IF86" s="43"/>
      <c r="IG86" s="43"/>
      <c r="IH86" s="43"/>
      <c r="II86" s="43"/>
      <c r="IJ86" s="43"/>
      <c r="IK86" s="43"/>
      <c r="IL86" s="43"/>
      <c r="IM86" s="43"/>
      <c r="IN86" s="43"/>
      <c r="IO86" s="43"/>
      <c r="IP86" s="43"/>
      <c r="IQ86" s="43"/>
      <c r="IR86" s="43"/>
      <c r="IS86" s="43"/>
      <c r="IT86" s="43"/>
      <c r="IU86" s="43"/>
      <c r="IV86" s="43"/>
      <c r="IW86" s="43"/>
      <c r="IX86" s="43"/>
      <c r="IY86" s="43"/>
      <c r="IZ86" s="43"/>
      <c r="JA86" s="43"/>
      <c r="JB86" s="43"/>
      <c r="JC86" s="43"/>
      <c r="JD86" s="43"/>
      <c r="JE86" s="43"/>
      <c r="JF86" s="43"/>
      <c r="JG86" s="43"/>
      <c r="JH86" s="43"/>
      <c r="JI86" s="43"/>
      <c r="JJ86" s="43"/>
      <c r="JK86" s="43"/>
      <c r="JL86" s="43"/>
      <c r="JM86" s="43"/>
      <c r="JN86" s="43"/>
      <c r="JO86" s="43"/>
      <c r="JP86" s="43"/>
      <c r="JQ86" s="43"/>
      <c r="JR86" s="43"/>
      <c r="JS86" s="43"/>
      <c r="JT86" s="43"/>
      <c r="JU86" s="43"/>
      <c r="JV86" s="43"/>
      <c r="JW86" s="43"/>
      <c r="JX86" s="43"/>
      <c r="JY86" s="43"/>
      <c r="JZ86" s="43"/>
      <c r="KA86" s="43"/>
      <c r="KB86" s="43"/>
      <c r="KC86" s="43"/>
      <c r="KD86" s="43"/>
      <c r="KE86" s="43"/>
      <c r="KF86" s="43"/>
      <c r="KG86" s="43"/>
      <c r="KH86" s="43"/>
      <c r="KI86" s="43"/>
      <c r="KJ86" s="43"/>
      <c r="KK86" s="43"/>
      <c r="KL86" s="43"/>
      <c r="KM86" s="43"/>
      <c r="KN86" s="43"/>
      <c r="KO86" s="43"/>
      <c r="KP86" s="43"/>
      <c r="KQ86" s="43"/>
      <c r="KR86" s="43"/>
      <c r="KS86" s="43"/>
      <c r="KT86" s="43"/>
      <c r="KU86" s="43"/>
      <c r="KV86" s="43"/>
      <c r="KW86" s="43"/>
      <c r="KX86" s="43"/>
      <c r="KY86" s="43"/>
      <c r="KZ86" s="43"/>
      <c r="LA86" s="43"/>
      <c r="LB86" s="43"/>
      <c r="LC86" s="43"/>
      <c r="LD86" s="43"/>
      <c r="LE86" s="43"/>
      <c r="LF86" s="43"/>
      <c r="LG86" s="43"/>
      <c r="LH86" s="43"/>
      <c r="LI86" s="43"/>
      <c r="LJ86" s="43"/>
      <c r="LK86" s="43"/>
      <c r="LL86" s="43"/>
      <c r="LM86" s="43"/>
      <c r="LN86" s="43"/>
      <c r="LO86" s="43"/>
      <c r="LP86" s="43"/>
      <c r="LQ86" s="43"/>
      <c r="LR86" s="43"/>
      <c r="LS86" s="43"/>
      <c r="LT86" s="43"/>
      <c r="LU86" s="43"/>
      <c r="LV86" s="43"/>
      <c r="LW86" s="43"/>
      <c r="LX86" s="43"/>
      <c r="LY86" s="43"/>
      <c r="LZ86" s="43"/>
      <c r="MA86" s="43"/>
      <c r="MB86" s="43"/>
      <c r="MC86" s="43"/>
      <c r="MD86" s="43"/>
      <c r="ME86" s="43"/>
      <c r="MF86" s="43"/>
      <c r="MG86" s="43"/>
      <c r="MH86" s="43"/>
      <c r="MI86" s="43"/>
      <c r="MJ86" s="43"/>
      <c r="MK86" s="43"/>
      <c r="ML86" s="43"/>
      <c r="MM86" s="43"/>
      <c r="MN86" s="43"/>
      <c r="MO86" s="43"/>
      <c r="MP86" s="43"/>
      <c r="MQ86" s="43"/>
      <c r="MR86" s="43"/>
      <c r="MS86" s="43"/>
      <c r="MT86" s="43"/>
      <c r="MU86" s="43"/>
      <c r="MV86" s="43"/>
      <c r="MW86" s="43"/>
      <c r="MX86" s="43"/>
      <c r="MY86" s="43"/>
      <c r="MZ86" s="43"/>
      <c r="NA86" s="43"/>
      <c r="NB86" s="43"/>
      <c r="NC86" s="43"/>
      <c r="ND86" s="43"/>
      <c r="NE86" s="43"/>
      <c r="NF86" s="43"/>
      <c r="NG86" s="43"/>
      <c r="NH86" s="43"/>
      <c r="NI86" s="43"/>
      <c r="NJ86" s="43"/>
      <c r="NK86" s="43"/>
      <c r="NL86" s="43"/>
      <c r="NM86" s="43"/>
      <c r="NN86" s="43"/>
      <c r="NO86" s="43"/>
      <c r="NP86" s="43"/>
      <c r="NQ86" s="43"/>
      <c r="NR86" s="43"/>
      <c r="NS86" s="43"/>
      <c r="NT86" s="43"/>
      <c r="NU86" s="43"/>
      <c r="NV86" s="43"/>
      <c r="NW86" s="43"/>
      <c r="NX86" s="43"/>
      <c r="NY86" s="43"/>
      <c r="NZ86" s="43"/>
      <c r="OA86" s="43"/>
      <c r="OB86" s="43"/>
      <c r="OC86" s="43"/>
      <c r="OD86" s="43"/>
      <c r="OE86" s="43"/>
      <c r="OF86" s="43"/>
      <c r="OG86" s="43"/>
      <c r="OH86" s="43"/>
      <c r="OI86" s="43"/>
      <c r="OJ86" s="43"/>
      <c r="OK86" s="43"/>
      <c r="OL86" s="43"/>
      <c r="OM86" s="43"/>
      <c r="ON86" s="43"/>
      <c r="OO86" s="43"/>
      <c r="OP86" s="43"/>
      <c r="OQ86" s="43"/>
      <c r="OR86" s="43"/>
      <c r="OS86" s="43"/>
      <c r="OT86" s="43"/>
      <c r="OU86" s="43"/>
      <c r="OV86" s="43"/>
      <c r="OW86" s="43"/>
      <c r="OX86" s="43"/>
      <c r="OY86" s="43"/>
      <c r="OZ86" s="43"/>
      <c r="PA86" s="43"/>
      <c r="PB86" s="43"/>
      <c r="PC86" s="43"/>
      <c r="PD86" s="43"/>
      <c r="PE86" s="43"/>
      <c r="PF86" s="43"/>
      <c r="PG86" s="43"/>
      <c r="PH86" s="43"/>
      <c r="PI86" s="43"/>
      <c r="PJ86" s="43"/>
      <c r="PK86" s="43"/>
      <c r="PL86" s="43"/>
      <c r="PM86" s="43"/>
      <c r="PN86" s="43"/>
      <c r="PO86" s="43"/>
      <c r="PP86" s="43"/>
      <c r="PQ86" s="43"/>
      <c r="PR86" s="43"/>
      <c r="PS86" s="43"/>
      <c r="PT86" s="43"/>
      <c r="PU86" s="43"/>
      <c r="PV86" s="43"/>
      <c r="PW86" s="43"/>
      <c r="PX86" s="43"/>
      <c r="PY86" s="43"/>
      <c r="PZ86" s="43"/>
      <c r="QA86" s="43"/>
      <c r="QB86" s="43"/>
      <c r="QC86" s="43"/>
    </row>
    <row r="87" spans="1:445" x14ac:dyDescent="0.3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 t="str">
        <f t="shared" si="6"/>
        <v/>
      </c>
      <c r="U87" s="45" t="str">
        <f t="shared" si="7"/>
        <v/>
      </c>
      <c r="V87" s="68" t="str">
        <f t="shared" si="8"/>
        <v/>
      </c>
      <c r="W87" s="48"/>
      <c r="X87" s="66" t="str">
        <f t="shared" si="10"/>
        <v/>
      </c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43"/>
      <c r="BN87" s="43"/>
      <c r="BO87" s="43"/>
      <c r="BP87" s="43"/>
      <c r="BQ87" s="43"/>
      <c r="BR87" s="43"/>
      <c r="BS87" s="43"/>
      <c r="BT87" s="43"/>
      <c r="BU87" s="43"/>
      <c r="BV87" s="43"/>
      <c r="BW87" s="43"/>
      <c r="BX87" s="43"/>
      <c r="BY87" s="43"/>
      <c r="BZ87" s="43"/>
      <c r="CA87" s="43"/>
      <c r="CB87" s="43"/>
      <c r="CC87" s="4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43"/>
      <c r="CY87" s="43"/>
      <c r="CZ87" s="43"/>
      <c r="DA87" s="43"/>
      <c r="DB87" s="43"/>
      <c r="DC87" s="43"/>
      <c r="DD87" s="43"/>
      <c r="DE87" s="43"/>
      <c r="DF87" s="43"/>
      <c r="DG87" s="43"/>
      <c r="DH87" s="43"/>
      <c r="DI87" s="43"/>
      <c r="DJ87" s="43"/>
      <c r="DK87" s="43"/>
      <c r="DL87" s="43"/>
      <c r="DM87" s="43"/>
      <c r="DN87" s="43"/>
      <c r="DO87" s="43"/>
      <c r="DP87" s="43"/>
      <c r="DQ87" s="43"/>
      <c r="DR87" s="43"/>
      <c r="DS87" s="43"/>
      <c r="DT87" s="43"/>
      <c r="DU87" s="43"/>
      <c r="DV87" s="43"/>
      <c r="DW87" s="43"/>
      <c r="DX87" s="43"/>
      <c r="DY87" s="43"/>
      <c r="DZ87" s="43"/>
      <c r="EA87" s="43"/>
      <c r="EB87" s="43"/>
      <c r="EC87" s="43"/>
      <c r="ED87" s="43"/>
      <c r="EE87" s="43"/>
      <c r="EF87" s="43"/>
      <c r="EG87" s="43"/>
      <c r="EH87" s="43"/>
      <c r="EI87" s="43"/>
      <c r="EJ87" s="43"/>
      <c r="EK87" s="43"/>
      <c r="EL87" s="43"/>
      <c r="EM87" s="43"/>
      <c r="EN87" s="43"/>
      <c r="EO87" s="43"/>
      <c r="EP87" s="43"/>
      <c r="EQ87" s="43"/>
      <c r="ER87" s="43"/>
      <c r="ES87" s="43"/>
      <c r="ET87" s="43"/>
      <c r="EU87" s="43"/>
      <c r="EV87" s="43"/>
      <c r="EW87" s="43"/>
      <c r="EX87" s="43"/>
      <c r="EY87" s="43"/>
      <c r="EZ87" s="43"/>
      <c r="FA87" s="43"/>
      <c r="FB87" s="43"/>
      <c r="FC87" s="43"/>
      <c r="FD87" s="43"/>
      <c r="FE87" s="43"/>
      <c r="FF87" s="43"/>
      <c r="FG87" s="43"/>
      <c r="FH87" s="43"/>
      <c r="FI87" s="43"/>
      <c r="FJ87" s="43"/>
      <c r="FK87" s="43"/>
      <c r="FL87" s="43"/>
      <c r="FM87" s="43"/>
      <c r="FN87" s="43"/>
      <c r="FO87" s="43"/>
      <c r="FP87" s="43"/>
      <c r="FQ87" s="43"/>
      <c r="FR87" s="43"/>
      <c r="FS87" s="43"/>
      <c r="FT87" s="43"/>
      <c r="FU87" s="43"/>
      <c r="FV87" s="43"/>
      <c r="FW87" s="43"/>
      <c r="FX87" s="43"/>
      <c r="FY87" s="43"/>
      <c r="FZ87" s="43"/>
      <c r="GA87" s="43"/>
      <c r="GB87" s="43"/>
      <c r="GC87" s="43"/>
      <c r="GD87" s="43"/>
      <c r="GE87" s="43"/>
      <c r="GF87" s="43"/>
      <c r="GG87" s="43"/>
      <c r="GH87" s="43"/>
      <c r="GI87" s="43"/>
      <c r="GJ87" s="43"/>
      <c r="GK87" s="43"/>
      <c r="GL87" s="43"/>
      <c r="GM87" s="43"/>
      <c r="GN87" s="43"/>
      <c r="GO87" s="43"/>
      <c r="GP87" s="43"/>
      <c r="GQ87" s="43"/>
      <c r="GR87" s="43"/>
      <c r="GS87" s="43"/>
      <c r="GT87" s="43"/>
      <c r="GU87" s="43"/>
      <c r="GV87" s="43"/>
      <c r="GW87" s="43"/>
      <c r="GX87" s="43"/>
      <c r="GY87" s="43"/>
      <c r="GZ87" s="43"/>
      <c r="HA87" s="43"/>
      <c r="HB87" s="43"/>
      <c r="HC87" s="43"/>
      <c r="HD87" s="43"/>
      <c r="HE87" s="43"/>
      <c r="HF87" s="43"/>
      <c r="HG87" s="43"/>
      <c r="HH87" s="43"/>
      <c r="HI87" s="43"/>
      <c r="HJ87" s="43"/>
      <c r="HK87" s="43"/>
      <c r="HL87" s="43"/>
      <c r="HM87" s="43"/>
      <c r="HN87" s="43"/>
      <c r="HO87" s="43"/>
      <c r="HP87" s="43"/>
      <c r="HQ87" s="43"/>
      <c r="HR87" s="43"/>
      <c r="HS87" s="43"/>
      <c r="HT87" s="43"/>
      <c r="HU87" s="43"/>
      <c r="HV87" s="43"/>
      <c r="HW87" s="43"/>
      <c r="HX87" s="43"/>
      <c r="HY87" s="43"/>
      <c r="HZ87" s="43"/>
      <c r="IA87" s="43"/>
      <c r="IB87" s="43"/>
      <c r="IC87" s="43"/>
      <c r="ID87" s="43"/>
      <c r="IE87" s="43"/>
      <c r="IF87" s="43"/>
      <c r="IG87" s="43"/>
      <c r="IH87" s="43"/>
      <c r="II87" s="43"/>
      <c r="IJ87" s="43"/>
      <c r="IK87" s="43"/>
      <c r="IL87" s="43"/>
      <c r="IM87" s="43"/>
      <c r="IN87" s="43"/>
      <c r="IO87" s="43"/>
      <c r="IP87" s="43"/>
      <c r="IQ87" s="43"/>
      <c r="IR87" s="43"/>
      <c r="IS87" s="43"/>
      <c r="IT87" s="43"/>
      <c r="IU87" s="43"/>
      <c r="IV87" s="43"/>
      <c r="IW87" s="43"/>
      <c r="IX87" s="43"/>
      <c r="IY87" s="43"/>
      <c r="IZ87" s="43"/>
      <c r="JA87" s="43"/>
      <c r="JB87" s="43"/>
      <c r="JC87" s="43"/>
      <c r="JD87" s="43"/>
      <c r="JE87" s="43"/>
      <c r="JF87" s="43"/>
      <c r="JG87" s="43"/>
      <c r="JH87" s="43"/>
      <c r="JI87" s="43"/>
      <c r="JJ87" s="43"/>
      <c r="JK87" s="43"/>
      <c r="JL87" s="43"/>
      <c r="JM87" s="43"/>
      <c r="JN87" s="43"/>
      <c r="JO87" s="43"/>
      <c r="JP87" s="43"/>
      <c r="JQ87" s="43"/>
      <c r="JR87" s="43"/>
      <c r="JS87" s="43"/>
      <c r="JT87" s="43"/>
      <c r="JU87" s="43"/>
      <c r="JV87" s="43"/>
      <c r="JW87" s="43"/>
      <c r="JX87" s="43"/>
      <c r="JY87" s="43"/>
      <c r="JZ87" s="43"/>
      <c r="KA87" s="43"/>
      <c r="KB87" s="43"/>
      <c r="KC87" s="43"/>
      <c r="KD87" s="43"/>
      <c r="KE87" s="43"/>
      <c r="KF87" s="43"/>
      <c r="KG87" s="43"/>
      <c r="KH87" s="43"/>
      <c r="KI87" s="43"/>
      <c r="KJ87" s="43"/>
      <c r="KK87" s="43"/>
      <c r="KL87" s="43"/>
      <c r="KM87" s="43"/>
      <c r="KN87" s="43"/>
      <c r="KO87" s="43"/>
      <c r="KP87" s="43"/>
      <c r="KQ87" s="43"/>
      <c r="KR87" s="43"/>
      <c r="KS87" s="43"/>
      <c r="KT87" s="43"/>
      <c r="KU87" s="43"/>
      <c r="KV87" s="43"/>
      <c r="KW87" s="43"/>
      <c r="KX87" s="43"/>
      <c r="KY87" s="43"/>
      <c r="KZ87" s="43"/>
      <c r="LA87" s="43"/>
      <c r="LB87" s="43"/>
      <c r="LC87" s="43"/>
      <c r="LD87" s="43"/>
      <c r="LE87" s="43"/>
      <c r="LF87" s="43"/>
      <c r="LG87" s="43"/>
      <c r="LH87" s="43"/>
      <c r="LI87" s="43"/>
      <c r="LJ87" s="43"/>
      <c r="LK87" s="43"/>
      <c r="LL87" s="43"/>
      <c r="LM87" s="43"/>
      <c r="LN87" s="43"/>
      <c r="LO87" s="43"/>
      <c r="LP87" s="43"/>
      <c r="LQ87" s="43"/>
      <c r="LR87" s="43"/>
      <c r="LS87" s="43"/>
      <c r="LT87" s="43"/>
      <c r="LU87" s="43"/>
      <c r="LV87" s="43"/>
      <c r="LW87" s="43"/>
      <c r="LX87" s="43"/>
      <c r="LY87" s="43"/>
      <c r="LZ87" s="43"/>
      <c r="MA87" s="43"/>
      <c r="MB87" s="43"/>
      <c r="MC87" s="43"/>
      <c r="MD87" s="43"/>
      <c r="ME87" s="43"/>
      <c r="MF87" s="43"/>
      <c r="MG87" s="43"/>
      <c r="MH87" s="43"/>
      <c r="MI87" s="43"/>
      <c r="MJ87" s="43"/>
      <c r="MK87" s="43"/>
      <c r="ML87" s="43"/>
      <c r="MM87" s="43"/>
      <c r="MN87" s="43"/>
      <c r="MO87" s="43"/>
      <c r="MP87" s="43"/>
      <c r="MQ87" s="43"/>
      <c r="MR87" s="43"/>
      <c r="MS87" s="43"/>
      <c r="MT87" s="43"/>
      <c r="MU87" s="43"/>
      <c r="MV87" s="43"/>
      <c r="MW87" s="43"/>
      <c r="MX87" s="43"/>
      <c r="MY87" s="43"/>
      <c r="MZ87" s="43"/>
      <c r="NA87" s="43"/>
      <c r="NB87" s="43"/>
      <c r="NC87" s="43"/>
      <c r="ND87" s="43"/>
      <c r="NE87" s="43"/>
      <c r="NF87" s="43"/>
      <c r="NG87" s="43"/>
      <c r="NH87" s="43"/>
      <c r="NI87" s="43"/>
      <c r="NJ87" s="43"/>
      <c r="NK87" s="43"/>
      <c r="NL87" s="43"/>
      <c r="NM87" s="43"/>
      <c r="NN87" s="43"/>
      <c r="NO87" s="43"/>
      <c r="NP87" s="43"/>
      <c r="NQ87" s="43"/>
      <c r="NR87" s="43"/>
      <c r="NS87" s="43"/>
      <c r="NT87" s="43"/>
      <c r="NU87" s="43"/>
      <c r="NV87" s="43"/>
      <c r="NW87" s="43"/>
      <c r="NX87" s="43"/>
      <c r="NY87" s="43"/>
      <c r="NZ87" s="43"/>
      <c r="OA87" s="43"/>
      <c r="OB87" s="43"/>
      <c r="OC87" s="43"/>
      <c r="OD87" s="43"/>
      <c r="OE87" s="43"/>
      <c r="OF87" s="43"/>
      <c r="OG87" s="43"/>
      <c r="OH87" s="43"/>
      <c r="OI87" s="43"/>
      <c r="OJ87" s="43"/>
      <c r="OK87" s="43"/>
      <c r="OL87" s="43"/>
      <c r="OM87" s="43"/>
      <c r="ON87" s="43"/>
      <c r="OO87" s="43"/>
      <c r="OP87" s="43"/>
      <c r="OQ87" s="43"/>
      <c r="OR87" s="43"/>
      <c r="OS87" s="43"/>
      <c r="OT87" s="43"/>
      <c r="OU87" s="43"/>
      <c r="OV87" s="43"/>
      <c r="OW87" s="43"/>
      <c r="OX87" s="43"/>
      <c r="OY87" s="43"/>
      <c r="OZ87" s="43"/>
      <c r="PA87" s="43"/>
      <c r="PB87" s="43"/>
      <c r="PC87" s="43"/>
      <c r="PD87" s="43"/>
      <c r="PE87" s="43"/>
      <c r="PF87" s="43"/>
      <c r="PG87" s="43"/>
      <c r="PH87" s="43"/>
      <c r="PI87" s="43"/>
      <c r="PJ87" s="43"/>
      <c r="PK87" s="43"/>
      <c r="PL87" s="43"/>
      <c r="PM87" s="43"/>
      <c r="PN87" s="43"/>
      <c r="PO87" s="43"/>
      <c r="PP87" s="43"/>
      <c r="PQ87" s="43"/>
      <c r="PR87" s="43"/>
      <c r="PS87" s="43"/>
      <c r="PT87" s="43"/>
      <c r="PU87" s="43"/>
      <c r="PV87" s="43"/>
      <c r="PW87" s="43"/>
      <c r="PX87" s="43"/>
      <c r="PY87" s="43"/>
      <c r="PZ87" s="43"/>
      <c r="QA87" s="43"/>
      <c r="QB87" s="43"/>
      <c r="QC87" s="43"/>
    </row>
    <row r="88" spans="1:445" x14ac:dyDescent="0.3">
      <c r="B88" s="45"/>
      <c r="C88" s="45"/>
      <c r="D88" s="45"/>
      <c r="E88" s="45"/>
      <c r="F88" s="45"/>
      <c r="G88" s="45"/>
      <c r="H88" s="55"/>
      <c r="I88" s="45"/>
      <c r="J88" s="48"/>
      <c r="K88" s="45"/>
      <c r="L88" s="45"/>
      <c r="M88" s="45"/>
      <c r="N88" s="45"/>
      <c r="O88" s="45"/>
      <c r="P88" s="45"/>
      <c r="Q88" s="45"/>
      <c r="R88" s="45"/>
      <c r="S88" s="45"/>
      <c r="T88" s="45" t="str">
        <f t="shared" si="6"/>
        <v/>
      </c>
      <c r="U88" s="45" t="str">
        <f t="shared" si="7"/>
        <v/>
      </c>
      <c r="V88" s="68" t="str">
        <f t="shared" si="8"/>
        <v/>
      </c>
      <c r="W88" s="48"/>
      <c r="X88" s="66" t="str">
        <f t="shared" si="10"/>
        <v/>
      </c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43"/>
      <c r="BN88" s="43"/>
      <c r="BO88" s="43"/>
      <c r="BP88" s="43"/>
      <c r="BQ88" s="43"/>
      <c r="BR88" s="43"/>
      <c r="BS88" s="43"/>
      <c r="BT88" s="43"/>
      <c r="BU88" s="43"/>
      <c r="BV88" s="43"/>
      <c r="BW88" s="43"/>
      <c r="BX88" s="43"/>
      <c r="BY88" s="43"/>
      <c r="BZ88" s="43"/>
      <c r="CA88" s="43"/>
      <c r="CB88" s="43"/>
      <c r="CC88" s="43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43"/>
      <c r="CY88" s="43"/>
      <c r="CZ88" s="43"/>
      <c r="DA88" s="43"/>
      <c r="DB88" s="43"/>
      <c r="DC88" s="43"/>
      <c r="DD88" s="43"/>
      <c r="DE88" s="43"/>
      <c r="DF88" s="43"/>
      <c r="DG88" s="43"/>
      <c r="DH88" s="43"/>
      <c r="DI88" s="43"/>
      <c r="DJ88" s="43"/>
      <c r="DK88" s="43"/>
      <c r="DL88" s="43"/>
      <c r="DM88" s="43"/>
      <c r="DN88" s="43"/>
      <c r="DO88" s="43"/>
      <c r="DP88" s="43"/>
      <c r="DQ88" s="43"/>
      <c r="DR88" s="43"/>
      <c r="DS88" s="43"/>
      <c r="DT88" s="43"/>
      <c r="DU88" s="43"/>
      <c r="DV88" s="43"/>
      <c r="DW88" s="43"/>
      <c r="DX88" s="43"/>
      <c r="DY88" s="43"/>
      <c r="DZ88" s="43"/>
      <c r="EA88" s="43"/>
      <c r="EB88" s="43"/>
      <c r="EC88" s="43"/>
      <c r="ED88" s="43"/>
      <c r="EE88" s="43"/>
      <c r="EF88" s="43"/>
      <c r="EG88" s="43"/>
      <c r="EH88" s="43"/>
      <c r="EI88" s="43"/>
      <c r="EJ88" s="43"/>
      <c r="EK88" s="43"/>
      <c r="EL88" s="43"/>
      <c r="EM88" s="43"/>
      <c r="EN88" s="43"/>
      <c r="EO88" s="43"/>
      <c r="EP88" s="43"/>
      <c r="EQ88" s="43"/>
      <c r="ER88" s="43"/>
      <c r="ES88" s="43"/>
      <c r="ET88" s="43"/>
      <c r="EU88" s="43"/>
      <c r="EV88" s="43"/>
      <c r="EW88" s="43"/>
      <c r="EX88" s="43"/>
      <c r="EY88" s="43"/>
      <c r="EZ88" s="43"/>
      <c r="FA88" s="43"/>
      <c r="FB88" s="43"/>
      <c r="FC88" s="43"/>
      <c r="FD88" s="43"/>
      <c r="FE88" s="43"/>
      <c r="FF88" s="43"/>
      <c r="FG88" s="43"/>
      <c r="FH88" s="43"/>
      <c r="FI88" s="43"/>
      <c r="FJ88" s="43"/>
      <c r="FK88" s="43"/>
      <c r="FL88" s="43"/>
      <c r="FM88" s="43"/>
      <c r="FN88" s="43"/>
      <c r="FO88" s="43"/>
      <c r="FP88" s="43"/>
      <c r="FQ88" s="43"/>
      <c r="FR88" s="43"/>
      <c r="FS88" s="43"/>
      <c r="FT88" s="43"/>
      <c r="FU88" s="43"/>
      <c r="FV88" s="43"/>
      <c r="FW88" s="43"/>
      <c r="FX88" s="43"/>
      <c r="FY88" s="43"/>
      <c r="FZ88" s="43"/>
      <c r="GA88" s="43"/>
      <c r="GB88" s="43"/>
      <c r="GC88" s="43"/>
      <c r="GD88" s="43"/>
      <c r="GE88" s="43"/>
      <c r="GF88" s="43"/>
      <c r="GG88" s="43"/>
      <c r="GH88" s="43"/>
      <c r="GI88" s="43"/>
      <c r="GJ88" s="43"/>
      <c r="GK88" s="43"/>
      <c r="GL88" s="43"/>
      <c r="GM88" s="43"/>
      <c r="GN88" s="43"/>
      <c r="GO88" s="43"/>
      <c r="GP88" s="43"/>
      <c r="GQ88" s="43"/>
      <c r="GR88" s="43"/>
      <c r="GS88" s="43"/>
      <c r="GT88" s="43"/>
      <c r="GU88" s="43"/>
      <c r="GV88" s="43"/>
      <c r="GW88" s="43"/>
      <c r="GX88" s="43"/>
      <c r="GY88" s="43"/>
      <c r="GZ88" s="43"/>
      <c r="HA88" s="43"/>
      <c r="HB88" s="43"/>
      <c r="HC88" s="43"/>
      <c r="HD88" s="43"/>
      <c r="HE88" s="43"/>
      <c r="HF88" s="43"/>
      <c r="HG88" s="43"/>
      <c r="HH88" s="43"/>
      <c r="HI88" s="43"/>
      <c r="HJ88" s="43"/>
      <c r="HK88" s="43"/>
      <c r="HL88" s="43"/>
      <c r="HM88" s="43"/>
      <c r="HN88" s="43"/>
      <c r="HO88" s="43"/>
      <c r="HP88" s="43"/>
      <c r="HQ88" s="43"/>
      <c r="HR88" s="43"/>
      <c r="HS88" s="43"/>
      <c r="HT88" s="43"/>
      <c r="HU88" s="43"/>
      <c r="HV88" s="43"/>
      <c r="HW88" s="43"/>
      <c r="HX88" s="43"/>
      <c r="HY88" s="43"/>
      <c r="HZ88" s="43"/>
      <c r="IA88" s="43"/>
      <c r="IB88" s="43"/>
      <c r="IC88" s="43"/>
      <c r="ID88" s="43"/>
      <c r="IE88" s="43"/>
      <c r="IF88" s="43"/>
      <c r="IG88" s="43"/>
      <c r="IH88" s="43"/>
      <c r="II88" s="43"/>
      <c r="IJ88" s="43"/>
      <c r="IK88" s="43"/>
      <c r="IL88" s="43"/>
      <c r="IM88" s="43"/>
      <c r="IN88" s="43"/>
      <c r="IO88" s="43"/>
      <c r="IP88" s="43"/>
      <c r="IQ88" s="43"/>
      <c r="IR88" s="43"/>
      <c r="IS88" s="43"/>
      <c r="IT88" s="43"/>
      <c r="IU88" s="43"/>
      <c r="IV88" s="43"/>
      <c r="IW88" s="43"/>
      <c r="IX88" s="43"/>
      <c r="IY88" s="43"/>
      <c r="IZ88" s="43"/>
      <c r="JA88" s="43"/>
      <c r="JB88" s="43"/>
      <c r="JC88" s="43"/>
      <c r="JD88" s="43"/>
      <c r="JE88" s="43"/>
      <c r="JF88" s="43"/>
      <c r="JG88" s="43"/>
      <c r="JH88" s="43"/>
      <c r="JI88" s="43"/>
      <c r="JJ88" s="43"/>
      <c r="JK88" s="43"/>
      <c r="JL88" s="43"/>
      <c r="JM88" s="43"/>
      <c r="JN88" s="43"/>
      <c r="JO88" s="43"/>
      <c r="JP88" s="43"/>
      <c r="JQ88" s="43"/>
      <c r="JR88" s="43"/>
      <c r="JS88" s="43"/>
      <c r="JT88" s="43"/>
      <c r="JU88" s="43"/>
      <c r="JV88" s="43"/>
      <c r="JW88" s="43"/>
      <c r="JX88" s="43"/>
      <c r="JY88" s="43"/>
      <c r="JZ88" s="43"/>
      <c r="KA88" s="43"/>
      <c r="KB88" s="43"/>
      <c r="KC88" s="43"/>
      <c r="KD88" s="43"/>
      <c r="KE88" s="43"/>
      <c r="KF88" s="43"/>
      <c r="KG88" s="43"/>
      <c r="KH88" s="43"/>
      <c r="KI88" s="43"/>
      <c r="KJ88" s="43"/>
      <c r="KK88" s="43"/>
      <c r="KL88" s="43"/>
      <c r="KM88" s="43"/>
      <c r="KN88" s="43"/>
      <c r="KO88" s="43"/>
      <c r="KP88" s="43"/>
      <c r="KQ88" s="43"/>
      <c r="KR88" s="43"/>
      <c r="KS88" s="43"/>
      <c r="KT88" s="43"/>
      <c r="KU88" s="43"/>
      <c r="KV88" s="43"/>
      <c r="KW88" s="43"/>
      <c r="KX88" s="43"/>
      <c r="KY88" s="43"/>
      <c r="KZ88" s="43"/>
      <c r="LA88" s="43"/>
      <c r="LB88" s="43"/>
      <c r="LC88" s="43"/>
      <c r="LD88" s="43"/>
      <c r="LE88" s="43"/>
      <c r="LF88" s="43"/>
      <c r="LG88" s="43"/>
      <c r="LH88" s="43"/>
      <c r="LI88" s="43"/>
      <c r="LJ88" s="43"/>
      <c r="LK88" s="43"/>
      <c r="LL88" s="43"/>
      <c r="LM88" s="43"/>
      <c r="LN88" s="43"/>
      <c r="LO88" s="43"/>
      <c r="LP88" s="43"/>
      <c r="LQ88" s="43"/>
      <c r="LR88" s="43"/>
      <c r="LS88" s="43"/>
      <c r="LT88" s="43"/>
      <c r="LU88" s="43"/>
      <c r="LV88" s="43"/>
      <c r="LW88" s="43"/>
      <c r="LX88" s="43"/>
      <c r="LY88" s="43"/>
      <c r="LZ88" s="43"/>
      <c r="MA88" s="43"/>
      <c r="MB88" s="43"/>
      <c r="MC88" s="43"/>
      <c r="MD88" s="43"/>
      <c r="ME88" s="43"/>
      <c r="MF88" s="43"/>
      <c r="MG88" s="43"/>
      <c r="MH88" s="43"/>
      <c r="MI88" s="43"/>
      <c r="MJ88" s="43"/>
      <c r="MK88" s="43"/>
      <c r="ML88" s="43"/>
      <c r="MM88" s="43"/>
      <c r="MN88" s="43"/>
      <c r="MO88" s="43"/>
      <c r="MP88" s="43"/>
      <c r="MQ88" s="43"/>
      <c r="MR88" s="43"/>
      <c r="MS88" s="43"/>
      <c r="MT88" s="43"/>
      <c r="MU88" s="43"/>
      <c r="MV88" s="43"/>
      <c r="MW88" s="43"/>
      <c r="MX88" s="43"/>
      <c r="MY88" s="43"/>
      <c r="MZ88" s="43"/>
      <c r="NA88" s="43"/>
      <c r="NB88" s="43"/>
      <c r="NC88" s="43"/>
      <c r="ND88" s="43"/>
      <c r="NE88" s="43"/>
      <c r="NF88" s="43"/>
      <c r="NG88" s="43"/>
      <c r="NH88" s="43"/>
      <c r="NI88" s="43"/>
      <c r="NJ88" s="43"/>
      <c r="NK88" s="43"/>
      <c r="NL88" s="43"/>
      <c r="NM88" s="43"/>
      <c r="NN88" s="43"/>
      <c r="NO88" s="43"/>
      <c r="NP88" s="43"/>
      <c r="NQ88" s="43"/>
      <c r="NR88" s="43"/>
      <c r="NS88" s="43"/>
      <c r="NT88" s="43"/>
      <c r="NU88" s="43"/>
      <c r="NV88" s="43"/>
      <c r="NW88" s="43"/>
      <c r="NX88" s="43"/>
      <c r="NY88" s="43"/>
      <c r="NZ88" s="43"/>
      <c r="OA88" s="43"/>
      <c r="OB88" s="43"/>
      <c r="OC88" s="43"/>
      <c r="OD88" s="43"/>
      <c r="OE88" s="43"/>
      <c r="OF88" s="43"/>
      <c r="OG88" s="43"/>
      <c r="OH88" s="43"/>
      <c r="OI88" s="43"/>
      <c r="OJ88" s="43"/>
      <c r="OK88" s="43"/>
      <c r="OL88" s="43"/>
      <c r="OM88" s="43"/>
      <c r="ON88" s="43"/>
      <c r="OO88" s="43"/>
      <c r="OP88" s="43"/>
      <c r="OQ88" s="43"/>
      <c r="OR88" s="43"/>
      <c r="OS88" s="43"/>
      <c r="OT88" s="43"/>
      <c r="OU88" s="43"/>
      <c r="OV88" s="43"/>
      <c r="OW88" s="43"/>
      <c r="OX88" s="43"/>
      <c r="OY88" s="43"/>
      <c r="OZ88" s="43"/>
      <c r="PA88" s="43"/>
      <c r="PB88" s="43"/>
      <c r="PC88" s="43"/>
      <c r="PD88" s="43"/>
      <c r="PE88" s="43"/>
      <c r="PF88" s="43"/>
      <c r="PG88" s="43"/>
      <c r="PH88" s="43"/>
      <c r="PI88" s="43"/>
      <c r="PJ88" s="43"/>
      <c r="PK88" s="43"/>
      <c r="PL88" s="43"/>
      <c r="PM88" s="43"/>
      <c r="PN88" s="43"/>
      <c r="PO88" s="43"/>
      <c r="PP88" s="43"/>
      <c r="PQ88" s="43"/>
      <c r="PR88" s="43"/>
      <c r="PS88" s="43"/>
      <c r="PT88" s="43"/>
      <c r="PU88" s="43"/>
      <c r="PV88" s="43"/>
      <c r="PW88" s="43"/>
      <c r="PX88" s="43"/>
      <c r="PY88" s="43"/>
      <c r="PZ88" s="43"/>
      <c r="QA88" s="43"/>
      <c r="QB88" s="43"/>
      <c r="QC88" s="43"/>
    </row>
    <row r="89" spans="1:445" x14ac:dyDescent="0.3">
      <c r="B89" s="45"/>
      <c r="C89" s="45"/>
      <c r="D89" s="45"/>
      <c r="E89" s="45"/>
      <c r="F89" s="45"/>
      <c r="G89" s="45"/>
      <c r="H89" s="45"/>
      <c r="I89" s="45"/>
      <c r="J89" s="51"/>
      <c r="K89" s="45"/>
      <c r="L89" s="45"/>
      <c r="M89" s="45"/>
      <c r="N89" s="45"/>
      <c r="O89" s="45"/>
      <c r="P89" s="45"/>
      <c r="Q89" s="45"/>
      <c r="R89" s="45"/>
      <c r="S89" s="45"/>
      <c r="T89" s="45" t="str">
        <f t="shared" si="6"/>
        <v/>
      </c>
      <c r="U89" s="45" t="str">
        <f t="shared" si="7"/>
        <v/>
      </c>
      <c r="V89" s="68" t="str">
        <f t="shared" si="8"/>
        <v/>
      </c>
      <c r="W89" s="48"/>
      <c r="X89" s="66" t="str">
        <f t="shared" si="10"/>
        <v/>
      </c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43"/>
      <c r="BN89" s="43"/>
      <c r="BO89" s="43"/>
      <c r="BP89" s="43"/>
      <c r="BQ89" s="43"/>
      <c r="BR89" s="43"/>
      <c r="BS89" s="43"/>
      <c r="BT89" s="43"/>
      <c r="BU89" s="43"/>
      <c r="BV89" s="43"/>
      <c r="BW89" s="43"/>
      <c r="BX89" s="43"/>
      <c r="BY89" s="43"/>
      <c r="BZ89" s="43"/>
      <c r="CA89" s="43"/>
      <c r="CB89" s="43"/>
      <c r="CC89" s="43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43"/>
      <c r="CY89" s="43"/>
      <c r="CZ89" s="43"/>
      <c r="DA89" s="43"/>
      <c r="DB89" s="43"/>
      <c r="DC89" s="43"/>
      <c r="DD89" s="43"/>
      <c r="DE89" s="43"/>
      <c r="DF89" s="43"/>
      <c r="DG89" s="43"/>
      <c r="DH89" s="43"/>
      <c r="DI89" s="43"/>
      <c r="DJ89" s="43"/>
      <c r="DK89" s="43"/>
      <c r="DL89" s="43"/>
      <c r="DM89" s="43"/>
      <c r="DN89" s="43"/>
      <c r="DO89" s="43"/>
      <c r="DP89" s="43"/>
      <c r="DQ89" s="43"/>
      <c r="DR89" s="43"/>
      <c r="DS89" s="43"/>
      <c r="DT89" s="43"/>
      <c r="DU89" s="43"/>
      <c r="DV89" s="43"/>
      <c r="DW89" s="43"/>
      <c r="DX89" s="43"/>
      <c r="DY89" s="43"/>
      <c r="DZ89" s="43"/>
      <c r="EA89" s="43"/>
      <c r="EB89" s="43"/>
      <c r="EC89" s="43"/>
      <c r="ED89" s="43"/>
      <c r="EE89" s="43"/>
      <c r="EF89" s="43"/>
      <c r="EG89" s="43"/>
      <c r="EH89" s="43"/>
      <c r="EI89" s="43"/>
      <c r="EJ89" s="43"/>
      <c r="EK89" s="43"/>
      <c r="EL89" s="43"/>
      <c r="EM89" s="43"/>
      <c r="EN89" s="43"/>
      <c r="EO89" s="43"/>
      <c r="EP89" s="43"/>
      <c r="EQ89" s="43"/>
      <c r="ER89" s="43"/>
      <c r="ES89" s="43"/>
      <c r="ET89" s="43"/>
      <c r="EU89" s="43"/>
      <c r="EV89" s="43"/>
      <c r="EW89" s="43"/>
      <c r="EX89" s="43"/>
      <c r="EY89" s="43"/>
      <c r="EZ89" s="43"/>
      <c r="FA89" s="43"/>
      <c r="FB89" s="43"/>
      <c r="FC89" s="43"/>
      <c r="FD89" s="43"/>
      <c r="FE89" s="43"/>
      <c r="FF89" s="43"/>
      <c r="FG89" s="43"/>
      <c r="FH89" s="43"/>
      <c r="FI89" s="43"/>
      <c r="FJ89" s="43"/>
      <c r="FK89" s="43"/>
      <c r="FL89" s="43"/>
      <c r="FM89" s="43"/>
      <c r="FN89" s="43"/>
      <c r="FO89" s="43"/>
      <c r="FP89" s="43"/>
      <c r="FQ89" s="43"/>
      <c r="FR89" s="43"/>
      <c r="FS89" s="43"/>
      <c r="FT89" s="43"/>
      <c r="FU89" s="43"/>
      <c r="FV89" s="43"/>
      <c r="FW89" s="43"/>
      <c r="FX89" s="43"/>
      <c r="FY89" s="43"/>
      <c r="FZ89" s="43"/>
      <c r="GA89" s="43"/>
      <c r="GB89" s="43"/>
      <c r="GC89" s="43"/>
      <c r="GD89" s="43"/>
      <c r="GE89" s="43"/>
      <c r="GF89" s="43"/>
      <c r="GG89" s="43"/>
      <c r="GH89" s="43"/>
      <c r="GI89" s="43"/>
      <c r="GJ89" s="43"/>
      <c r="GK89" s="43"/>
      <c r="GL89" s="43"/>
      <c r="GM89" s="43"/>
      <c r="GN89" s="43"/>
      <c r="GO89" s="43"/>
      <c r="GP89" s="43"/>
      <c r="GQ89" s="43"/>
      <c r="GR89" s="43"/>
      <c r="GS89" s="43"/>
      <c r="GT89" s="43"/>
      <c r="GU89" s="43"/>
      <c r="GV89" s="43"/>
      <c r="GW89" s="43"/>
      <c r="GX89" s="43"/>
      <c r="GY89" s="43"/>
      <c r="GZ89" s="43"/>
      <c r="HA89" s="43"/>
      <c r="HB89" s="43"/>
      <c r="HC89" s="43"/>
      <c r="HD89" s="43"/>
      <c r="HE89" s="43"/>
      <c r="HF89" s="43"/>
      <c r="HG89" s="43"/>
      <c r="HH89" s="43"/>
      <c r="HI89" s="43"/>
      <c r="HJ89" s="43"/>
      <c r="HK89" s="43"/>
      <c r="HL89" s="43"/>
      <c r="HM89" s="43"/>
      <c r="HN89" s="43"/>
      <c r="HO89" s="43"/>
      <c r="HP89" s="43"/>
      <c r="HQ89" s="43"/>
      <c r="HR89" s="43"/>
      <c r="HS89" s="43"/>
      <c r="HT89" s="43"/>
      <c r="HU89" s="43"/>
      <c r="HV89" s="43"/>
      <c r="HW89" s="43"/>
      <c r="HX89" s="43"/>
      <c r="HY89" s="43"/>
      <c r="HZ89" s="43"/>
      <c r="IA89" s="43"/>
      <c r="IB89" s="43"/>
      <c r="IC89" s="43"/>
      <c r="ID89" s="43"/>
      <c r="IE89" s="43"/>
      <c r="IF89" s="43"/>
      <c r="IG89" s="43"/>
      <c r="IH89" s="43"/>
      <c r="II89" s="43"/>
      <c r="IJ89" s="43"/>
      <c r="IK89" s="43"/>
      <c r="IL89" s="43"/>
      <c r="IM89" s="43"/>
      <c r="IN89" s="43"/>
      <c r="IO89" s="43"/>
      <c r="IP89" s="43"/>
      <c r="IQ89" s="43"/>
      <c r="IR89" s="43"/>
      <c r="IS89" s="43"/>
      <c r="IT89" s="43"/>
      <c r="IU89" s="43"/>
      <c r="IV89" s="43"/>
      <c r="IW89" s="43"/>
      <c r="IX89" s="43"/>
      <c r="IY89" s="43"/>
      <c r="IZ89" s="43"/>
      <c r="JA89" s="43"/>
      <c r="JB89" s="43"/>
      <c r="JC89" s="43"/>
      <c r="JD89" s="43"/>
      <c r="JE89" s="43"/>
      <c r="JF89" s="43"/>
      <c r="JG89" s="43"/>
      <c r="JH89" s="43"/>
      <c r="JI89" s="43"/>
      <c r="JJ89" s="43"/>
      <c r="JK89" s="43"/>
      <c r="JL89" s="43"/>
      <c r="JM89" s="43"/>
      <c r="JN89" s="43"/>
      <c r="JO89" s="43"/>
      <c r="JP89" s="43"/>
      <c r="JQ89" s="43"/>
      <c r="JR89" s="43"/>
      <c r="JS89" s="43"/>
      <c r="JT89" s="43"/>
      <c r="JU89" s="43"/>
      <c r="JV89" s="43"/>
      <c r="JW89" s="43"/>
      <c r="JX89" s="43"/>
      <c r="JY89" s="43"/>
      <c r="JZ89" s="43"/>
      <c r="KA89" s="43"/>
      <c r="KB89" s="43"/>
      <c r="KC89" s="43"/>
      <c r="KD89" s="43"/>
      <c r="KE89" s="43"/>
      <c r="KF89" s="43"/>
      <c r="KG89" s="43"/>
      <c r="KH89" s="43"/>
      <c r="KI89" s="43"/>
      <c r="KJ89" s="43"/>
      <c r="KK89" s="43"/>
      <c r="KL89" s="43"/>
      <c r="KM89" s="43"/>
      <c r="KN89" s="43"/>
      <c r="KO89" s="43"/>
      <c r="KP89" s="43"/>
      <c r="KQ89" s="43"/>
      <c r="KR89" s="43"/>
      <c r="KS89" s="43"/>
      <c r="KT89" s="43"/>
      <c r="KU89" s="43"/>
      <c r="KV89" s="43"/>
      <c r="KW89" s="43"/>
      <c r="KX89" s="43"/>
      <c r="KY89" s="43"/>
      <c r="KZ89" s="43"/>
      <c r="LA89" s="43"/>
      <c r="LB89" s="43"/>
      <c r="LC89" s="43"/>
      <c r="LD89" s="43"/>
      <c r="LE89" s="43"/>
      <c r="LF89" s="43"/>
      <c r="LG89" s="43"/>
      <c r="LH89" s="43"/>
      <c r="LI89" s="43"/>
      <c r="LJ89" s="43"/>
      <c r="LK89" s="43"/>
      <c r="LL89" s="43"/>
      <c r="LM89" s="43"/>
      <c r="LN89" s="43"/>
      <c r="LO89" s="43"/>
      <c r="LP89" s="43"/>
      <c r="LQ89" s="43"/>
      <c r="LR89" s="43"/>
      <c r="LS89" s="43"/>
      <c r="LT89" s="43"/>
      <c r="LU89" s="43"/>
      <c r="LV89" s="43"/>
      <c r="LW89" s="43"/>
      <c r="LX89" s="43"/>
      <c r="LY89" s="43"/>
      <c r="LZ89" s="43"/>
      <c r="MA89" s="43"/>
      <c r="MB89" s="43"/>
      <c r="MC89" s="43"/>
      <c r="MD89" s="43"/>
      <c r="ME89" s="43"/>
      <c r="MF89" s="43"/>
      <c r="MG89" s="43"/>
      <c r="MH89" s="43"/>
      <c r="MI89" s="43"/>
      <c r="MJ89" s="43"/>
      <c r="MK89" s="43"/>
      <c r="ML89" s="43"/>
      <c r="MM89" s="43"/>
      <c r="MN89" s="43"/>
      <c r="MO89" s="43"/>
      <c r="MP89" s="43"/>
      <c r="MQ89" s="43"/>
      <c r="MR89" s="43"/>
      <c r="MS89" s="43"/>
      <c r="MT89" s="43"/>
      <c r="MU89" s="43"/>
      <c r="MV89" s="43"/>
      <c r="MW89" s="43"/>
      <c r="MX89" s="43"/>
      <c r="MY89" s="43"/>
      <c r="MZ89" s="43"/>
      <c r="NA89" s="43"/>
      <c r="NB89" s="43"/>
      <c r="NC89" s="43"/>
      <c r="ND89" s="43"/>
      <c r="NE89" s="43"/>
      <c r="NF89" s="43"/>
      <c r="NG89" s="43"/>
      <c r="NH89" s="43"/>
      <c r="NI89" s="43"/>
      <c r="NJ89" s="43"/>
      <c r="NK89" s="43"/>
      <c r="NL89" s="43"/>
      <c r="NM89" s="43"/>
      <c r="NN89" s="43"/>
      <c r="NO89" s="43"/>
      <c r="NP89" s="43"/>
      <c r="NQ89" s="43"/>
      <c r="NR89" s="43"/>
      <c r="NS89" s="43"/>
      <c r="NT89" s="43"/>
      <c r="NU89" s="43"/>
      <c r="NV89" s="43"/>
      <c r="NW89" s="43"/>
      <c r="NX89" s="43"/>
      <c r="NY89" s="43"/>
      <c r="NZ89" s="43"/>
      <c r="OA89" s="43"/>
      <c r="OB89" s="43"/>
      <c r="OC89" s="43"/>
      <c r="OD89" s="43"/>
      <c r="OE89" s="43"/>
      <c r="OF89" s="43"/>
      <c r="OG89" s="43"/>
      <c r="OH89" s="43"/>
      <c r="OI89" s="43"/>
      <c r="OJ89" s="43"/>
      <c r="OK89" s="43"/>
      <c r="OL89" s="43"/>
      <c r="OM89" s="43"/>
      <c r="ON89" s="43"/>
      <c r="OO89" s="43"/>
      <c r="OP89" s="43"/>
      <c r="OQ89" s="43"/>
      <c r="OR89" s="43"/>
      <c r="OS89" s="43"/>
      <c r="OT89" s="43"/>
      <c r="OU89" s="43"/>
      <c r="OV89" s="43"/>
      <c r="OW89" s="43"/>
      <c r="OX89" s="43"/>
      <c r="OY89" s="43"/>
      <c r="OZ89" s="43"/>
      <c r="PA89" s="43"/>
      <c r="PB89" s="43"/>
      <c r="PC89" s="43"/>
      <c r="PD89" s="43"/>
      <c r="PE89" s="43"/>
      <c r="PF89" s="43"/>
      <c r="PG89" s="43"/>
      <c r="PH89" s="43"/>
      <c r="PI89" s="43"/>
      <c r="PJ89" s="43"/>
      <c r="PK89" s="43"/>
      <c r="PL89" s="43"/>
      <c r="PM89" s="43"/>
      <c r="PN89" s="43"/>
      <c r="PO89" s="43"/>
      <c r="PP89" s="43"/>
      <c r="PQ89" s="43"/>
      <c r="PR89" s="43"/>
      <c r="PS89" s="43"/>
      <c r="PT89" s="43"/>
      <c r="PU89" s="43"/>
      <c r="PV89" s="43"/>
      <c r="PW89" s="43"/>
      <c r="PX89" s="43"/>
      <c r="PY89" s="43"/>
      <c r="PZ89" s="43"/>
      <c r="QA89" s="43"/>
      <c r="QB89" s="43"/>
      <c r="QC89" s="43"/>
    </row>
    <row r="90" spans="1:445" x14ac:dyDescent="0.3">
      <c r="B90" s="45"/>
      <c r="C90" s="45"/>
      <c r="D90" s="45"/>
      <c r="E90" s="45"/>
      <c r="F90" s="45"/>
      <c r="G90" s="45"/>
      <c r="H90" s="45"/>
      <c r="I90" s="45"/>
      <c r="K90" s="45"/>
      <c r="L90" s="45"/>
      <c r="M90" s="45"/>
      <c r="N90" s="45"/>
      <c r="O90" s="45"/>
      <c r="P90" s="45"/>
      <c r="Q90" s="45"/>
      <c r="R90" s="45"/>
      <c r="S90" s="45"/>
      <c r="T90" s="45" t="str">
        <f t="shared" si="6"/>
        <v/>
      </c>
      <c r="U90" s="45" t="str">
        <f t="shared" si="7"/>
        <v/>
      </c>
      <c r="V90" s="68" t="str">
        <f t="shared" si="8"/>
        <v/>
      </c>
      <c r="W90" s="48"/>
      <c r="X90" s="66" t="str">
        <f t="shared" si="10"/>
        <v/>
      </c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43"/>
      <c r="BN90" s="43"/>
      <c r="BO90" s="43"/>
      <c r="BP90" s="43"/>
      <c r="BQ90" s="43"/>
      <c r="BR90" s="43"/>
      <c r="BS90" s="43"/>
      <c r="BT90" s="43"/>
      <c r="BU90" s="43"/>
      <c r="BV90" s="43"/>
      <c r="BW90" s="43"/>
      <c r="BX90" s="43"/>
      <c r="BY90" s="43"/>
      <c r="BZ90" s="43"/>
      <c r="CA90" s="43"/>
      <c r="CB90" s="43"/>
      <c r="CC90" s="43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43"/>
      <c r="CY90" s="43"/>
      <c r="CZ90" s="43"/>
      <c r="DA90" s="43"/>
      <c r="DB90" s="43"/>
      <c r="DC90" s="43"/>
      <c r="DD90" s="43"/>
      <c r="DE90" s="43"/>
      <c r="DF90" s="43"/>
      <c r="DG90" s="43"/>
      <c r="DH90" s="43"/>
      <c r="DI90" s="43"/>
      <c r="DJ90" s="43"/>
      <c r="DK90" s="43"/>
      <c r="DL90" s="43"/>
      <c r="DM90" s="43"/>
      <c r="DN90" s="43"/>
      <c r="DO90" s="43"/>
      <c r="DP90" s="43"/>
      <c r="DQ90" s="43"/>
      <c r="DR90" s="43"/>
      <c r="DS90" s="43"/>
      <c r="DT90" s="43"/>
      <c r="DU90" s="43"/>
      <c r="DV90" s="43"/>
      <c r="DW90" s="43"/>
      <c r="DX90" s="43"/>
      <c r="DY90" s="43"/>
      <c r="DZ90" s="43"/>
      <c r="EA90" s="43"/>
      <c r="EB90" s="43"/>
      <c r="EC90" s="43"/>
      <c r="ED90" s="43"/>
      <c r="EE90" s="43"/>
      <c r="EF90" s="43"/>
      <c r="EG90" s="43"/>
      <c r="EH90" s="43"/>
      <c r="EI90" s="43"/>
      <c r="EJ90" s="43"/>
      <c r="EK90" s="43"/>
      <c r="EL90" s="43"/>
      <c r="EM90" s="43"/>
      <c r="EN90" s="43"/>
      <c r="EO90" s="43"/>
      <c r="EP90" s="43"/>
      <c r="EQ90" s="43"/>
      <c r="ER90" s="43"/>
      <c r="ES90" s="43"/>
      <c r="ET90" s="43"/>
      <c r="EU90" s="43"/>
      <c r="EV90" s="43"/>
      <c r="EW90" s="43"/>
      <c r="EX90" s="43"/>
      <c r="EY90" s="43"/>
      <c r="EZ90" s="43"/>
      <c r="FA90" s="43"/>
      <c r="FB90" s="43"/>
      <c r="FC90" s="43"/>
      <c r="FD90" s="43"/>
      <c r="FE90" s="43"/>
      <c r="FF90" s="43"/>
      <c r="FG90" s="43"/>
      <c r="FH90" s="43"/>
      <c r="FI90" s="43"/>
      <c r="FJ90" s="43"/>
      <c r="FK90" s="43"/>
      <c r="FL90" s="43"/>
      <c r="FM90" s="43"/>
      <c r="FN90" s="43"/>
      <c r="FO90" s="43"/>
      <c r="FP90" s="43"/>
      <c r="FQ90" s="43"/>
      <c r="FR90" s="43"/>
      <c r="FS90" s="43"/>
      <c r="FT90" s="43"/>
      <c r="FU90" s="43"/>
      <c r="FV90" s="43"/>
      <c r="FW90" s="43"/>
      <c r="FX90" s="43"/>
      <c r="FY90" s="43"/>
      <c r="FZ90" s="43"/>
      <c r="GA90" s="43"/>
      <c r="GB90" s="43"/>
      <c r="GC90" s="43"/>
      <c r="GD90" s="43"/>
      <c r="GE90" s="43"/>
      <c r="GF90" s="43"/>
      <c r="GG90" s="43"/>
      <c r="GH90" s="43"/>
      <c r="GI90" s="43"/>
      <c r="GJ90" s="43"/>
      <c r="GK90" s="43"/>
      <c r="GL90" s="43"/>
      <c r="GM90" s="43"/>
      <c r="GN90" s="43"/>
      <c r="GO90" s="43"/>
      <c r="GP90" s="43"/>
      <c r="GQ90" s="43"/>
      <c r="GR90" s="43"/>
      <c r="GS90" s="43"/>
      <c r="GT90" s="43"/>
      <c r="GU90" s="43"/>
      <c r="GV90" s="43"/>
      <c r="GW90" s="43"/>
      <c r="GX90" s="43"/>
      <c r="GY90" s="43"/>
      <c r="GZ90" s="43"/>
      <c r="HA90" s="43"/>
      <c r="HB90" s="43"/>
      <c r="HC90" s="43"/>
      <c r="HD90" s="43"/>
      <c r="HE90" s="43"/>
      <c r="HF90" s="43"/>
      <c r="HG90" s="43"/>
      <c r="HH90" s="43"/>
      <c r="HI90" s="43"/>
      <c r="HJ90" s="43"/>
      <c r="HK90" s="43"/>
      <c r="HL90" s="43"/>
      <c r="HM90" s="43"/>
      <c r="HN90" s="43"/>
      <c r="HO90" s="43"/>
      <c r="HP90" s="43"/>
      <c r="HQ90" s="43"/>
      <c r="HR90" s="43"/>
      <c r="HS90" s="43"/>
      <c r="HT90" s="43"/>
      <c r="HU90" s="43"/>
      <c r="HV90" s="43"/>
      <c r="HW90" s="43"/>
      <c r="HX90" s="43"/>
      <c r="HY90" s="43"/>
      <c r="HZ90" s="43"/>
      <c r="IA90" s="43"/>
      <c r="IB90" s="43"/>
      <c r="IC90" s="43"/>
      <c r="ID90" s="43"/>
      <c r="IE90" s="43"/>
      <c r="IF90" s="43"/>
      <c r="IG90" s="43"/>
      <c r="IH90" s="43"/>
      <c r="II90" s="43"/>
      <c r="IJ90" s="43"/>
      <c r="IK90" s="43"/>
      <c r="IL90" s="43"/>
      <c r="IM90" s="43"/>
      <c r="IN90" s="43"/>
      <c r="IO90" s="43"/>
      <c r="IP90" s="43"/>
      <c r="IQ90" s="43"/>
      <c r="IR90" s="43"/>
      <c r="IS90" s="43"/>
      <c r="IT90" s="43"/>
      <c r="IU90" s="43"/>
      <c r="IV90" s="43"/>
      <c r="IW90" s="43"/>
      <c r="IX90" s="43"/>
      <c r="IY90" s="43"/>
      <c r="IZ90" s="43"/>
      <c r="JA90" s="43"/>
      <c r="JB90" s="43"/>
      <c r="JC90" s="43"/>
      <c r="JD90" s="43"/>
      <c r="JE90" s="43"/>
      <c r="JF90" s="43"/>
      <c r="JG90" s="43"/>
      <c r="JH90" s="43"/>
      <c r="JI90" s="43"/>
      <c r="JJ90" s="43"/>
      <c r="JK90" s="43"/>
      <c r="JL90" s="43"/>
      <c r="JM90" s="43"/>
      <c r="JN90" s="43"/>
      <c r="JO90" s="43"/>
      <c r="JP90" s="43"/>
      <c r="JQ90" s="43"/>
      <c r="JR90" s="43"/>
      <c r="JS90" s="43"/>
      <c r="JT90" s="43"/>
      <c r="JU90" s="43"/>
      <c r="JV90" s="43"/>
      <c r="JW90" s="43"/>
      <c r="JX90" s="43"/>
      <c r="JY90" s="43"/>
      <c r="JZ90" s="43"/>
      <c r="KA90" s="43"/>
      <c r="KB90" s="43"/>
      <c r="KC90" s="43"/>
      <c r="KD90" s="43"/>
      <c r="KE90" s="43"/>
      <c r="KF90" s="43"/>
      <c r="KG90" s="43"/>
      <c r="KH90" s="43"/>
      <c r="KI90" s="43"/>
      <c r="KJ90" s="43"/>
      <c r="KK90" s="43"/>
      <c r="KL90" s="43"/>
      <c r="KM90" s="43"/>
      <c r="KN90" s="43"/>
      <c r="KO90" s="43"/>
      <c r="KP90" s="43"/>
      <c r="KQ90" s="43"/>
      <c r="KR90" s="43"/>
      <c r="KS90" s="43"/>
      <c r="KT90" s="43"/>
      <c r="KU90" s="43"/>
      <c r="KV90" s="43"/>
      <c r="KW90" s="43"/>
      <c r="KX90" s="43"/>
      <c r="KY90" s="43"/>
      <c r="KZ90" s="43"/>
      <c r="LA90" s="43"/>
      <c r="LB90" s="43"/>
      <c r="LC90" s="43"/>
      <c r="LD90" s="43"/>
      <c r="LE90" s="43"/>
      <c r="LF90" s="43"/>
      <c r="LG90" s="43"/>
      <c r="LH90" s="43"/>
      <c r="LI90" s="43"/>
      <c r="LJ90" s="43"/>
      <c r="LK90" s="43"/>
      <c r="LL90" s="43"/>
      <c r="LM90" s="43"/>
      <c r="LN90" s="43"/>
      <c r="LO90" s="43"/>
      <c r="LP90" s="43"/>
      <c r="LQ90" s="43"/>
      <c r="LR90" s="43"/>
      <c r="LS90" s="43"/>
      <c r="LT90" s="43"/>
      <c r="LU90" s="43"/>
      <c r="LV90" s="43"/>
      <c r="LW90" s="43"/>
      <c r="LX90" s="43"/>
      <c r="LY90" s="43"/>
      <c r="LZ90" s="43"/>
      <c r="MA90" s="43"/>
      <c r="MB90" s="43"/>
      <c r="MC90" s="43"/>
      <c r="MD90" s="43"/>
      <c r="ME90" s="43"/>
      <c r="MF90" s="43"/>
      <c r="MG90" s="43"/>
      <c r="MH90" s="43"/>
      <c r="MI90" s="43"/>
      <c r="MJ90" s="43"/>
      <c r="MK90" s="43"/>
      <c r="ML90" s="43"/>
      <c r="MM90" s="43"/>
      <c r="MN90" s="43"/>
      <c r="MO90" s="43"/>
      <c r="MP90" s="43"/>
      <c r="MQ90" s="43"/>
      <c r="MR90" s="43"/>
      <c r="MS90" s="43"/>
      <c r="MT90" s="43"/>
      <c r="MU90" s="43"/>
      <c r="MV90" s="43"/>
      <c r="MW90" s="43"/>
      <c r="MX90" s="43"/>
      <c r="MY90" s="43"/>
      <c r="MZ90" s="43"/>
      <c r="NA90" s="43"/>
      <c r="NB90" s="43"/>
      <c r="NC90" s="43"/>
      <c r="ND90" s="43"/>
      <c r="NE90" s="43"/>
      <c r="NF90" s="43"/>
      <c r="NG90" s="43"/>
      <c r="NH90" s="43"/>
      <c r="NI90" s="43"/>
      <c r="NJ90" s="43"/>
      <c r="NK90" s="43"/>
      <c r="NL90" s="43"/>
      <c r="NM90" s="43"/>
      <c r="NN90" s="43"/>
      <c r="NO90" s="43"/>
      <c r="NP90" s="43"/>
      <c r="NQ90" s="43"/>
      <c r="NR90" s="43"/>
      <c r="NS90" s="43"/>
      <c r="NT90" s="43"/>
      <c r="NU90" s="43"/>
      <c r="NV90" s="43"/>
      <c r="NW90" s="43"/>
      <c r="NX90" s="43"/>
      <c r="NY90" s="43"/>
      <c r="NZ90" s="43"/>
      <c r="OA90" s="43"/>
      <c r="OB90" s="43"/>
      <c r="OC90" s="43"/>
      <c r="OD90" s="43"/>
      <c r="OE90" s="43"/>
      <c r="OF90" s="43"/>
      <c r="OG90" s="43"/>
      <c r="OH90" s="43"/>
      <c r="OI90" s="43"/>
      <c r="OJ90" s="43"/>
      <c r="OK90" s="43"/>
      <c r="OL90" s="43"/>
      <c r="OM90" s="43"/>
      <c r="ON90" s="43"/>
      <c r="OO90" s="43"/>
      <c r="OP90" s="43"/>
      <c r="OQ90" s="43"/>
      <c r="OR90" s="43"/>
      <c r="OS90" s="43"/>
      <c r="OT90" s="43"/>
      <c r="OU90" s="43"/>
      <c r="OV90" s="43"/>
      <c r="OW90" s="43"/>
      <c r="OX90" s="43"/>
      <c r="OY90" s="43"/>
      <c r="OZ90" s="43"/>
      <c r="PA90" s="43"/>
      <c r="PB90" s="43"/>
      <c r="PC90" s="43"/>
      <c r="PD90" s="43"/>
      <c r="PE90" s="43"/>
      <c r="PF90" s="43"/>
      <c r="PG90" s="43"/>
      <c r="PH90" s="43"/>
      <c r="PI90" s="43"/>
      <c r="PJ90" s="43"/>
      <c r="PK90" s="43"/>
      <c r="PL90" s="43"/>
      <c r="PM90" s="43"/>
      <c r="PN90" s="43"/>
      <c r="PO90" s="43"/>
      <c r="PP90" s="43"/>
      <c r="PQ90" s="43"/>
      <c r="PR90" s="43"/>
      <c r="PS90" s="43"/>
      <c r="PT90" s="43"/>
      <c r="PU90" s="43"/>
      <c r="PV90" s="43"/>
      <c r="PW90" s="43"/>
      <c r="PX90" s="43"/>
      <c r="PY90" s="43"/>
      <c r="PZ90" s="43"/>
      <c r="QA90" s="43"/>
      <c r="QB90" s="43"/>
      <c r="QC90" s="43"/>
    </row>
    <row r="91" spans="1:445" s="56" customFormat="1" x14ac:dyDescent="0.3">
      <c r="A91" s="47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 t="str">
        <f t="shared" si="6"/>
        <v/>
      </c>
      <c r="U91" s="45" t="str">
        <f t="shared" si="7"/>
        <v/>
      </c>
      <c r="V91" s="68" t="str">
        <f t="shared" si="8"/>
        <v/>
      </c>
      <c r="W91" s="48"/>
      <c r="X91" s="66" t="str">
        <f t="shared" si="10"/>
        <v/>
      </c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43"/>
      <c r="BN91" s="43"/>
      <c r="BO91" s="43"/>
      <c r="BP91" s="43"/>
      <c r="BQ91" s="43"/>
      <c r="BR91" s="43"/>
      <c r="BS91" s="43"/>
      <c r="BT91" s="43"/>
      <c r="BU91" s="43"/>
      <c r="BV91" s="43"/>
      <c r="BW91" s="43"/>
      <c r="BX91" s="43"/>
      <c r="BY91" s="43"/>
      <c r="BZ91" s="43"/>
      <c r="CA91" s="43"/>
      <c r="CB91" s="43"/>
      <c r="CC91" s="43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43"/>
      <c r="CY91" s="43"/>
      <c r="CZ91" s="43"/>
      <c r="DA91" s="43"/>
      <c r="DB91" s="43"/>
      <c r="DC91" s="43"/>
      <c r="DD91" s="43"/>
      <c r="DE91" s="43"/>
      <c r="DF91" s="43"/>
      <c r="DG91" s="43"/>
      <c r="DH91" s="43"/>
      <c r="DI91" s="43"/>
      <c r="DJ91" s="43"/>
      <c r="DK91" s="43"/>
      <c r="DL91" s="43"/>
      <c r="DM91" s="43"/>
      <c r="DN91" s="43"/>
      <c r="DO91" s="43"/>
      <c r="DP91" s="43"/>
      <c r="DQ91" s="43"/>
      <c r="DR91" s="43"/>
      <c r="DS91" s="43"/>
      <c r="DT91" s="43"/>
      <c r="DU91" s="43"/>
      <c r="DV91" s="43"/>
      <c r="DW91" s="43"/>
      <c r="DX91" s="43"/>
      <c r="DY91" s="43"/>
      <c r="DZ91" s="43"/>
      <c r="EA91" s="43"/>
      <c r="EB91" s="43"/>
      <c r="EC91" s="43"/>
      <c r="ED91" s="43"/>
      <c r="EE91" s="43"/>
      <c r="EF91" s="43"/>
      <c r="EG91" s="43"/>
      <c r="EH91" s="43"/>
      <c r="EI91" s="43"/>
      <c r="EJ91" s="43"/>
      <c r="EK91" s="43"/>
      <c r="EL91" s="43"/>
      <c r="EM91" s="43"/>
      <c r="EN91" s="43"/>
      <c r="EO91" s="43"/>
      <c r="EP91" s="43"/>
      <c r="EQ91" s="43"/>
      <c r="ER91" s="43"/>
      <c r="ES91" s="43"/>
      <c r="ET91" s="43"/>
      <c r="EU91" s="43"/>
      <c r="EV91" s="43"/>
      <c r="EW91" s="43"/>
      <c r="EX91" s="43"/>
      <c r="EY91" s="43"/>
      <c r="EZ91" s="43"/>
      <c r="FA91" s="43"/>
      <c r="FB91" s="43"/>
      <c r="FC91" s="43"/>
      <c r="FD91" s="43"/>
      <c r="FE91" s="43"/>
      <c r="FF91" s="43"/>
      <c r="FG91" s="43"/>
      <c r="FH91" s="43"/>
      <c r="FI91" s="43"/>
      <c r="FJ91" s="43"/>
      <c r="FK91" s="43"/>
      <c r="FL91" s="43"/>
      <c r="FM91" s="43"/>
      <c r="FN91" s="43"/>
      <c r="FO91" s="43"/>
      <c r="FP91" s="43"/>
      <c r="FQ91" s="43"/>
      <c r="FR91" s="43"/>
      <c r="FS91" s="43"/>
      <c r="FT91" s="43"/>
      <c r="FU91" s="43"/>
      <c r="FV91" s="43"/>
      <c r="FW91" s="43"/>
      <c r="FX91" s="43"/>
      <c r="FY91" s="43"/>
      <c r="FZ91" s="43"/>
      <c r="GA91" s="43"/>
      <c r="GB91" s="43"/>
      <c r="GC91" s="43"/>
      <c r="GD91" s="43"/>
      <c r="GE91" s="43"/>
      <c r="GF91" s="43"/>
      <c r="GG91" s="43"/>
      <c r="GH91" s="43"/>
      <c r="GI91" s="43"/>
      <c r="GJ91" s="43"/>
      <c r="GK91" s="43"/>
      <c r="GL91" s="43"/>
      <c r="GM91" s="43"/>
      <c r="GN91" s="43"/>
      <c r="GO91" s="43"/>
      <c r="GP91" s="43"/>
      <c r="GQ91" s="43"/>
      <c r="GR91" s="43"/>
      <c r="GS91" s="43"/>
      <c r="GT91" s="43"/>
      <c r="GU91" s="43"/>
      <c r="GV91" s="43"/>
      <c r="GW91" s="43"/>
      <c r="GX91" s="43"/>
      <c r="GY91" s="43"/>
      <c r="GZ91" s="43"/>
      <c r="HA91" s="43"/>
      <c r="HB91" s="43"/>
      <c r="HC91" s="43"/>
      <c r="HD91" s="43"/>
      <c r="HE91" s="43"/>
      <c r="HF91" s="43"/>
      <c r="HG91" s="43"/>
      <c r="HH91" s="43"/>
      <c r="HI91" s="43"/>
      <c r="HJ91" s="43"/>
      <c r="HK91" s="43"/>
      <c r="HL91" s="43"/>
      <c r="HM91" s="43"/>
      <c r="HN91" s="43"/>
      <c r="HO91" s="43"/>
      <c r="HP91" s="43"/>
      <c r="HQ91" s="43"/>
      <c r="HR91" s="43"/>
      <c r="HS91" s="43"/>
      <c r="HT91" s="43"/>
      <c r="HU91" s="43"/>
      <c r="HV91" s="43"/>
      <c r="HW91" s="43"/>
      <c r="HX91" s="43"/>
      <c r="HY91" s="43"/>
      <c r="HZ91" s="43"/>
      <c r="IA91" s="43"/>
      <c r="IB91" s="43"/>
      <c r="IC91" s="43"/>
      <c r="ID91" s="43"/>
      <c r="IE91" s="43"/>
      <c r="IF91" s="43"/>
      <c r="IG91" s="43"/>
      <c r="IH91" s="43"/>
      <c r="II91" s="43"/>
      <c r="IJ91" s="43"/>
      <c r="IK91" s="43"/>
      <c r="IL91" s="43"/>
      <c r="IM91" s="43"/>
      <c r="IN91" s="43"/>
      <c r="IO91" s="43"/>
      <c r="IP91" s="43"/>
      <c r="IQ91" s="43"/>
      <c r="IR91" s="43"/>
      <c r="IS91" s="43"/>
      <c r="IT91" s="43"/>
      <c r="IU91" s="43"/>
      <c r="IV91" s="43"/>
      <c r="IW91" s="43"/>
      <c r="IX91" s="43"/>
      <c r="IY91" s="43"/>
      <c r="IZ91" s="43"/>
      <c r="JA91" s="43"/>
      <c r="JB91" s="43"/>
      <c r="JC91" s="43"/>
      <c r="JD91" s="43"/>
      <c r="JE91" s="43"/>
      <c r="JF91" s="43"/>
      <c r="JG91" s="43"/>
      <c r="JH91" s="43"/>
      <c r="JI91" s="43"/>
      <c r="JJ91" s="43"/>
      <c r="JK91" s="43"/>
      <c r="JL91" s="43"/>
      <c r="JM91" s="43"/>
      <c r="JN91" s="43"/>
      <c r="JO91" s="43"/>
      <c r="JP91" s="43"/>
      <c r="JQ91" s="43"/>
      <c r="JR91" s="43"/>
      <c r="JS91" s="43"/>
      <c r="JT91" s="43"/>
      <c r="JU91" s="43"/>
      <c r="JV91" s="43"/>
      <c r="JW91" s="43"/>
      <c r="JX91" s="43"/>
      <c r="JY91" s="43"/>
      <c r="JZ91" s="43"/>
      <c r="KA91" s="43"/>
      <c r="KB91" s="43"/>
      <c r="KC91" s="43"/>
      <c r="KD91" s="43"/>
      <c r="KE91" s="43"/>
      <c r="KF91" s="43"/>
      <c r="KG91" s="43"/>
      <c r="KH91" s="43"/>
      <c r="KI91" s="43"/>
      <c r="KJ91" s="43"/>
      <c r="KK91" s="43"/>
      <c r="KL91" s="43"/>
      <c r="KM91" s="43"/>
      <c r="KN91" s="43"/>
      <c r="KO91" s="43"/>
      <c r="KP91" s="43"/>
      <c r="KQ91" s="43"/>
      <c r="KR91" s="43"/>
      <c r="KS91" s="43"/>
      <c r="KT91" s="43"/>
      <c r="KU91" s="43"/>
      <c r="KV91" s="43"/>
      <c r="KW91" s="43"/>
      <c r="KX91" s="43"/>
      <c r="KY91" s="43"/>
      <c r="KZ91" s="43"/>
      <c r="LA91" s="43"/>
      <c r="LB91" s="43"/>
      <c r="LC91" s="43"/>
      <c r="LD91" s="43"/>
      <c r="LE91" s="43"/>
      <c r="LF91" s="43"/>
      <c r="LG91" s="43"/>
      <c r="LH91" s="43"/>
      <c r="LI91" s="43"/>
      <c r="LJ91" s="43"/>
      <c r="LK91" s="43"/>
      <c r="LL91" s="43"/>
      <c r="LM91" s="43"/>
      <c r="LN91" s="43"/>
      <c r="LO91" s="43"/>
      <c r="LP91" s="43"/>
      <c r="LQ91" s="43"/>
      <c r="LR91" s="43"/>
      <c r="LS91" s="43"/>
      <c r="LT91" s="43"/>
      <c r="LU91" s="43"/>
      <c r="LV91" s="43"/>
      <c r="LW91" s="43"/>
      <c r="LX91" s="43"/>
      <c r="LY91" s="43"/>
      <c r="LZ91" s="43"/>
      <c r="MA91" s="43"/>
      <c r="MB91" s="43"/>
      <c r="MC91" s="43"/>
      <c r="MD91" s="43"/>
      <c r="ME91" s="43"/>
      <c r="MF91" s="43"/>
      <c r="MG91" s="43"/>
      <c r="MH91" s="43"/>
      <c r="MI91" s="43"/>
      <c r="MJ91" s="43"/>
      <c r="MK91" s="43"/>
      <c r="ML91" s="43"/>
      <c r="MM91" s="43"/>
      <c r="MN91" s="43"/>
      <c r="MO91" s="43"/>
      <c r="MP91" s="43"/>
      <c r="MQ91" s="43"/>
      <c r="MR91" s="43"/>
      <c r="MS91" s="43"/>
      <c r="MT91" s="43"/>
      <c r="MU91" s="43"/>
      <c r="MV91" s="43"/>
      <c r="MW91" s="43"/>
      <c r="MX91" s="43"/>
      <c r="MY91" s="43"/>
      <c r="MZ91" s="43"/>
      <c r="NA91" s="43"/>
      <c r="NB91" s="43"/>
      <c r="NC91" s="43"/>
      <c r="ND91" s="43"/>
      <c r="NE91" s="43"/>
      <c r="NF91" s="43"/>
      <c r="NG91" s="43"/>
      <c r="NH91" s="43"/>
      <c r="NI91" s="43"/>
      <c r="NJ91" s="43"/>
      <c r="NK91" s="43"/>
      <c r="NL91" s="43"/>
      <c r="NM91" s="43"/>
      <c r="NN91" s="43"/>
      <c r="NO91" s="43"/>
      <c r="NP91" s="43"/>
      <c r="NQ91" s="43"/>
      <c r="NR91" s="43"/>
      <c r="NS91" s="43"/>
      <c r="NT91" s="43"/>
      <c r="NU91" s="43"/>
      <c r="NV91" s="43"/>
      <c r="NW91" s="43"/>
      <c r="NX91" s="43"/>
      <c r="NY91" s="43"/>
      <c r="NZ91" s="43"/>
      <c r="OA91" s="43"/>
      <c r="OB91" s="43"/>
      <c r="OC91" s="43"/>
      <c r="OD91" s="43"/>
      <c r="OE91" s="43"/>
      <c r="OF91" s="43"/>
      <c r="OG91" s="43"/>
      <c r="OH91" s="43"/>
      <c r="OI91" s="43"/>
      <c r="OJ91" s="43"/>
      <c r="OK91" s="43"/>
      <c r="OL91" s="43"/>
      <c r="OM91" s="43"/>
      <c r="ON91" s="43"/>
      <c r="OO91" s="43"/>
      <c r="OP91" s="43"/>
      <c r="OQ91" s="43"/>
      <c r="OR91" s="43"/>
      <c r="OS91" s="43"/>
      <c r="OT91" s="43"/>
      <c r="OU91" s="43"/>
      <c r="OV91" s="43"/>
      <c r="OW91" s="43"/>
      <c r="OX91" s="43"/>
      <c r="OY91" s="43"/>
      <c r="OZ91" s="43"/>
      <c r="PA91" s="43"/>
      <c r="PB91" s="43"/>
      <c r="PC91" s="43"/>
      <c r="PD91" s="43"/>
      <c r="PE91" s="43"/>
      <c r="PF91" s="43"/>
      <c r="PG91" s="43"/>
      <c r="PH91" s="43"/>
      <c r="PI91" s="43"/>
      <c r="PJ91" s="43"/>
      <c r="PK91" s="43"/>
      <c r="PL91" s="43"/>
      <c r="PM91" s="43"/>
      <c r="PN91" s="43"/>
      <c r="PO91" s="43"/>
      <c r="PP91" s="43"/>
      <c r="PQ91" s="43"/>
      <c r="PR91" s="43"/>
      <c r="PS91" s="43"/>
      <c r="PT91" s="43"/>
      <c r="PU91" s="43"/>
      <c r="PV91" s="43"/>
      <c r="PW91" s="43"/>
      <c r="PX91" s="43"/>
      <c r="PY91" s="43"/>
      <c r="PZ91" s="43"/>
      <c r="QA91" s="43"/>
      <c r="QB91" s="43"/>
      <c r="QC91" s="43"/>
    </row>
    <row r="92" spans="1:445" x14ac:dyDescent="0.3"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 t="str">
        <f t="shared" si="6"/>
        <v/>
      </c>
      <c r="U92" s="45" t="str">
        <f t="shared" si="7"/>
        <v/>
      </c>
      <c r="V92" s="68" t="str">
        <f t="shared" si="8"/>
        <v/>
      </c>
      <c r="X92" s="66" t="str">
        <f t="shared" si="10"/>
        <v/>
      </c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43"/>
      <c r="BN92" s="43"/>
      <c r="BO92" s="43"/>
      <c r="BP92" s="43"/>
      <c r="BQ92" s="43"/>
      <c r="BR92" s="43"/>
      <c r="BS92" s="43"/>
      <c r="BT92" s="43"/>
      <c r="BU92" s="43"/>
      <c r="BV92" s="43"/>
      <c r="BW92" s="43"/>
      <c r="BX92" s="43"/>
      <c r="BY92" s="43"/>
      <c r="BZ92" s="43"/>
      <c r="CA92" s="43"/>
      <c r="CB92" s="43"/>
      <c r="CC92" s="4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43"/>
      <c r="CY92" s="43"/>
      <c r="CZ92" s="43"/>
      <c r="DA92" s="43"/>
      <c r="DB92" s="43"/>
      <c r="DC92" s="43"/>
      <c r="DD92" s="43"/>
      <c r="DE92" s="43"/>
      <c r="DF92" s="43"/>
      <c r="DG92" s="43"/>
      <c r="DH92" s="43"/>
      <c r="DI92" s="43"/>
      <c r="DJ92" s="43"/>
      <c r="DK92" s="43"/>
      <c r="DL92" s="43"/>
      <c r="DM92" s="43"/>
      <c r="DN92" s="43"/>
      <c r="DO92" s="43"/>
      <c r="DP92" s="43"/>
      <c r="DQ92" s="43"/>
      <c r="DR92" s="43"/>
      <c r="DS92" s="43"/>
      <c r="DT92" s="43"/>
      <c r="DU92" s="43"/>
      <c r="DV92" s="43"/>
      <c r="DW92" s="43"/>
      <c r="DX92" s="43"/>
      <c r="DY92" s="43"/>
      <c r="DZ92" s="43"/>
      <c r="EA92" s="43"/>
      <c r="EB92" s="43"/>
      <c r="EC92" s="43"/>
      <c r="ED92" s="43"/>
      <c r="EE92" s="43"/>
      <c r="EF92" s="43"/>
      <c r="EG92" s="43"/>
      <c r="EH92" s="43"/>
      <c r="EI92" s="43"/>
      <c r="EJ92" s="43"/>
      <c r="EK92" s="43"/>
      <c r="EL92" s="43"/>
      <c r="EM92" s="43"/>
      <c r="EN92" s="43"/>
      <c r="EO92" s="43"/>
      <c r="EP92" s="43"/>
      <c r="EQ92" s="43"/>
      <c r="ER92" s="43"/>
      <c r="ES92" s="43"/>
      <c r="ET92" s="43"/>
      <c r="EU92" s="43"/>
      <c r="EV92" s="43"/>
      <c r="EW92" s="43"/>
      <c r="EX92" s="43"/>
      <c r="EY92" s="43"/>
      <c r="EZ92" s="43"/>
      <c r="FA92" s="43"/>
      <c r="FB92" s="43"/>
      <c r="FC92" s="43"/>
      <c r="FD92" s="43"/>
      <c r="FE92" s="43"/>
      <c r="FF92" s="43"/>
      <c r="FG92" s="43"/>
      <c r="FH92" s="43"/>
      <c r="FI92" s="43"/>
      <c r="FJ92" s="43"/>
      <c r="FK92" s="43"/>
      <c r="FL92" s="43"/>
      <c r="FM92" s="43"/>
      <c r="FN92" s="43"/>
      <c r="FO92" s="43"/>
      <c r="FP92" s="43"/>
      <c r="FQ92" s="43"/>
      <c r="FR92" s="43"/>
      <c r="FS92" s="43"/>
      <c r="FT92" s="43"/>
      <c r="FU92" s="43"/>
      <c r="FV92" s="43"/>
      <c r="FW92" s="43"/>
      <c r="FX92" s="43"/>
      <c r="FY92" s="43"/>
      <c r="FZ92" s="43"/>
      <c r="GA92" s="43"/>
      <c r="GB92" s="43"/>
      <c r="GC92" s="43"/>
      <c r="GD92" s="43"/>
      <c r="GE92" s="43"/>
      <c r="GF92" s="43"/>
      <c r="GG92" s="43"/>
      <c r="GH92" s="43"/>
      <c r="GI92" s="43"/>
      <c r="GJ92" s="43"/>
      <c r="GK92" s="43"/>
      <c r="GL92" s="43"/>
      <c r="GM92" s="43"/>
      <c r="GN92" s="43"/>
      <c r="GO92" s="43"/>
      <c r="GP92" s="43"/>
      <c r="GQ92" s="43"/>
      <c r="GR92" s="43"/>
      <c r="GS92" s="43"/>
      <c r="GT92" s="43"/>
      <c r="GU92" s="43"/>
      <c r="GV92" s="43"/>
      <c r="GW92" s="43"/>
      <c r="GX92" s="43"/>
      <c r="GY92" s="43"/>
      <c r="GZ92" s="43"/>
      <c r="HA92" s="43"/>
      <c r="HB92" s="43"/>
      <c r="HC92" s="43"/>
      <c r="HD92" s="43"/>
      <c r="HE92" s="43"/>
      <c r="HF92" s="43"/>
      <c r="HG92" s="43"/>
      <c r="HH92" s="43"/>
      <c r="HI92" s="43"/>
      <c r="HJ92" s="43"/>
      <c r="HK92" s="43"/>
      <c r="HL92" s="43"/>
      <c r="HM92" s="43"/>
      <c r="HN92" s="43"/>
      <c r="HO92" s="43"/>
      <c r="HP92" s="43"/>
      <c r="HQ92" s="43"/>
      <c r="HR92" s="43"/>
      <c r="HS92" s="43"/>
      <c r="HT92" s="43"/>
      <c r="HU92" s="43"/>
      <c r="HV92" s="43"/>
      <c r="HW92" s="43"/>
      <c r="HX92" s="43"/>
      <c r="HY92" s="43"/>
      <c r="HZ92" s="43"/>
      <c r="IA92" s="43"/>
      <c r="IB92" s="43"/>
      <c r="IC92" s="43"/>
      <c r="ID92" s="43"/>
      <c r="IE92" s="43"/>
      <c r="IF92" s="43"/>
      <c r="IG92" s="43"/>
      <c r="IH92" s="43"/>
      <c r="II92" s="43"/>
      <c r="IJ92" s="43"/>
      <c r="IK92" s="43"/>
      <c r="IL92" s="43"/>
      <c r="IM92" s="43"/>
      <c r="IN92" s="43"/>
      <c r="IO92" s="43"/>
      <c r="IP92" s="43"/>
      <c r="IQ92" s="43"/>
      <c r="IR92" s="43"/>
      <c r="IS92" s="43"/>
      <c r="IT92" s="43"/>
      <c r="IU92" s="43"/>
      <c r="IV92" s="43"/>
      <c r="IW92" s="43"/>
      <c r="IX92" s="43"/>
      <c r="IY92" s="43"/>
      <c r="IZ92" s="43"/>
      <c r="JA92" s="43"/>
      <c r="JB92" s="43"/>
      <c r="JC92" s="43"/>
      <c r="JD92" s="43"/>
      <c r="JE92" s="43"/>
      <c r="JF92" s="43"/>
      <c r="JG92" s="43"/>
      <c r="JH92" s="43"/>
      <c r="JI92" s="43"/>
      <c r="JJ92" s="43"/>
      <c r="JK92" s="43"/>
      <c r="JL92" s="43"/>
      <c r="JM92" s="43"/>
      <c r="JN92" s="43"/>
      <c r="JO92" s="43"/>
      <c r="JP92" s="43"/>
      <c r="JQ92" s="43"/>
      <c r="JR92" s="43"/>
      <c r="JS92" s="43"/>
      <c r="JT92" s="43"/>
      <c r="JU92" s="43"/>
      <c r="JV92" s="43"/>
      <c r="JW92" s="43"/>
      <c r="JX92" s="43"/>
      <c r="JY92" s="43"/>
      <c r="JZ92" s="43"/>
      <c r="KA92" s="43"/>
      <c r="KB92" s="43"/>
      <c r="KC92" s="43"/>
      <c r="KD92" s="43"/>
      <c r="KE92" s="43"/>
      <c r="KF92" s="43"/>
      <c r="KG92" s="43"/>
      <c r="KH92" s="43"/>
      <c r="KI92" s="43"/>
      <c r="KJ92" s="43"/>
      <c r="KK92" s="43"/>
      <c r="KL92" s="43"/>
      <c r="KM92" s="43"/>
      <c r="KN92" s="43"/>
      <c r="KO92" s="43"/>
      <c r="KP92" s="43"/>
      <c r="KQ92" s="43"/>
      <c r="KR92" s="43"/>
      <c r="KS92" s="43"/>
      <c r="KT92" s="43"/>
      <c r="KU92" s="43"/>
      <c r="KV92" s="43"/>
      <c r="KW92" s="43"/>
      <c r="KX92" s="43"/>
      <c r="KY92" s="43"/>
      <c r="KZ92" s="43"/>
      <c r="LA92" s="43"/>
      <c r="LB92" s="43"/>
      <c r="LC92" s="43"/>
      <c r="LD92" s="43"/>
      <c r="LE92" s="43"/>
      <c r="LF92" s="43"/>
      <c r="LG92" s="43"/>
      <c r="LH92" s="43"/>
      <c r="LI92" s="43"/>
      <c r="LJ92" s="43"/>
      <c r="LK92" s="43"/>
      <c r="LL92" s="43"/>
      <c r="LM92" s="43"/>
      <c r="LN92" s="43"/>
      <c r="LO92" s="43"/>
      <c r="LP92" s="43"/>
      <c r="LQ92" s="43"/>
      <c r="LR92" s="43"/>
      <c r="LS92" s="43"/>
      <c r="LT92" s="43"/>
      <c r="LU92" s="43"/>
      <c r="LV92" s="43"/>
      <c r="LW92" s="43"/>
      <c r="LX92" s="43"/>
      <c r="LY92" s="43"/>
      <c r="LZ92" s="43"/>
      <c r="MA92" s="43"/>
      <c r="MB92" s="43"/>
      <c r="MC92" s="43"/>
      <c r="MD92" s="43"/>
      <c r="ME92" s="43"/>
      <c r="MF92" s="43"/>
      <c r="MG92" s="43"/>
      <c r="MH92" s="43"/>
      <c r="MI92" s="43"/>
      <c r="MJ92" s="43"/>
      <c r="MK92" s="43"/>
      <c r="ML92" s="43"/>
      <c r="MM92" s="43"/>
      <c r="MN92" s="43"/>
      <c r="MO92" s="43"/>
      <c r="MP92" s="43"/>
      <c r="MQ92" s="43"/>
      <c r="MR92" s="43"/>
      <c r="MS92" s="43"/>
      <c r="MT92" s="43"/>
      <c r="MU92" s="43"/>
      <c r="MV92" s="43"/>
      <c r="MW92" s="43"/>
      <c r="MX92" s="43"/>
      <c r="MY92" s="43"/>
      <c r="MZ92" s="43"/>
      <c r="NA92" s="43"/>
      <c r="NB92" s="43"/>
      <c r="NC92" s="43"/>
      <c r="ND92" s="43"/>
      <c r="NE92" s="43"/>
      <c r="NF92" s="43"/>
      <c r="NG92" s="43"/>
      <c r="NH92" s="43"/>
      <c r="NI92" s="43"/>
      <c r="NJ92" s="43"/>
      <c r="NK92" s="43"/>
      <c r="NL92" s="43"/>
      <c r="NM92" s="43"/>
      <c r="NN92" s="43"/>
      <c r="NO92" s="43"/>
      <c r="NP92" s="43"/>
      <c r="NQ92" s="43"/>
      <c r="NR92" s="43"/>
      <c r="NS92" s="43"/>
      <c r="NT92" s="43"/>
      <c r="NU92" s="43"/>
      <c r="NV92" s="43"/>
      <c r="NW92" s="43"/>
      <c r="NX92" s="43"/>
      <c r="NY92" s="43"/>
      <c r="NZ92" s="43"/>
      <c r="OA92" s="43"/>
      <c r="OB92" s="43"/>
      <c r="OC92" s="43"/>
      <c r="OD92" s="43"/>
      <c r="OE92" s="43"/>
      <c r="OF92" s="43"/>
      <c r="OG92" s="43"/>
      <c r="OH92" s="43"/>
      <c r="OI92" s="43"/>
      <c r="OJ92" s="43"/>
      <c r="OK92" s="43"/>
      <c r="OL92" s="43"/>
      <c r="OM92" s="43"/>
      <c r="ON92" s="43"/>
      <c r="OO92" s="43"/>
      <c r="OP92" s="43"/>
      <c r="OQ92" s="43"/>
      <c r="OR92" s="43"/>
      <c r="OS92" s="43"/>
      <c r="OT92" s="43"/>
      <c r="OU92" s="43"/>
      <c r="OV92" s="43"/>
      <c r="OW92" s="43"/>
      <c r="OX92" s="43"/>
      <c r="OY92" s="43"/>
      <c r="OZ92" s="43"/>
      <c r="PA92" s="43"/>
      <c r="PB92" s="43"/>
      <c r="PC92" s="43"/>
      <c r="PD92" s="43"/>
      <c r="PE92" s="43"/>
      <c r="PF92" s="43"/>
      <c r="PG92" s="43"/>
      <c r="PH92" s="43"/>
      <c r="PI92" s="43"/>
      <c r="PJ92" s="43"/>
      <c r="PK92" s="43"/>
      <c r="PL92" s="43"/>
      <c r="PM92" s="43"/>
      <c r="PN92" s="43"/>
      <c r="PO92" s="43"/>
      <c r="PP92" s="43"/>
      <c r="PQ92" s="43"/>
      <c r="PR92" s="43"/>
      <c r="PS92" s="43"/>
      <c r="PT92" s="43"/>
      <c r="PU92" s="43"/>
      <c r="PV92" s="43"/>
      <c r="PW92" s="43"/>
      <c r="PX92" s="43"/>
      <c r="PY92" s="43"/>
      <c r="PZ92" s="43"/>
      <c r="QA92" s="43"/>
      <c r="QB92" s="43"/>
      <c r="QC92" s="43"/>
    </row>
    <row r="93" spans="1:445" x14ac:dyDescent="0.3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 t="str">
        <f t="shared" si="6"/>
        <v/>
      </c>
      <c r="U93" s="45" t="str">
        <f t="shared" si="7"/>
        <v/>
      </c>
      <c r="V93" s="68" t="str">
        <f t="shared" si="8"/>
        <v/>
      </c>
      <c r="X93" s="66" t="str">
        <f t="shared" si="10"/>
        <v/>
      </c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43"/>
      <c r="BN93" s="43"/>
      <c r="BO93" s="43"/>
      <c r="BP93" s="43"/>
      <c r="BQ93" s="43"/>
      <c r="BR93" s="43"/>
      <c r="BS93" s="43"/>
      <c r="BT93" s="43"/>
      <c r="BU93" s="43"/>
      <c r="BV93" s="43"/>
      <c r="BW93" s="43"/>
      <c r="BX93" s="43"/>
      <c r="BY93" s="43"/>
      <c r="BZ93" s="43"/>
      <c r="CA93" s="43"/>
      <c r="CB93" s="43"/>
      <c r="CC93" s="43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43"/>
      <c r="CY93" s="43"/>
      <c r="CZ93" s="43"/>
      <c r="DA93" s="43"/>
      <c r="DB93" s="43"/>
      <c r="DC93" s="43"/>
      <c r="DD93" s="43"/>
      <c r="DE93" s="43"/>
      <c r="DF93" s="43"/>
      <c r="DG93" s="43"/>
      <c r="DH93" s="43"/>
      <c r="DI93" s="43"/>
      <c r="DJ93" s="43"/>
      <c r="DK93" s="43"/>
      <c r="DL93" s="43"/>
      <c r="DM93" s="43"/>
      <c r="DN93" s="43"/>
      <c r="DO93" s="43"/>
      <c r="DP93" s="43"/>
      <c r="DQ93" s="43"/>
      <c r="DR93" s="43"/>
      <c r="DS93" s="43"/>
      <c r="DT93" s="43"/>
      <c r="DU93" s="43"/>
      <c r="DV93" s="43"/>
      <c r="DW93" s="43"/>
      <c r="DX93" s="43"/>
      <c r="DY93" s="43"/>
      <c r="DZ93" s="43"/>
      <c r="EA93" s="43"/>
      <c r="EB93" s="43"/>
      <c r="EC93" s="43"/>
      <c r="ED93" s="43"/>
      <c r="EE93" s="43"/>
      <c r="EF93" s="43"/>
      <c r="EG93" s="43"/>
      <c r="EH93" s="43"/>
      <c r="EI93" s="43"/>
      <c r="EJ93" s="43"/>
      <c r="EK93" s="43"/>
      <c r="EL93" s="43"/>
      <c r="EM93" s="43"/>
      <c r="EN93" s="43"/>
      <c r="EO93" s="43"/>
      <c r="EP93" s="43"/>
      <c r="EQ93" s="43"/>
      <c r="ER93" s="43"/>
      <c r="ES93" s="43"/>
      <c r="ET93" s="43"/>
      <c r="EU93" s="43"/>
      <c r="EV93" s="43"/>
      <c r="EW93" s="43"/>
      <c r="EX93" s="43"/>
      <c r="EY93" s="43"/>
      <c r="EZ93" s="43"/>
      <c r="FA93" s="43"/>
      <c r="FB93" s="43"/>
      <c r="FC93" s="43"/>
      <c r="FD93" s="43"/>
      <c r="FE93" s="43"/>
      <c r="FF93" s="43"/>
      <c r="FG93" s="43"/>
      <c r="FH93" s="43"/>
      <c r="FI93" s="43"/>
      <c r="FJ93" s="43"/>
      <c r="FK93" s="43"/>
      <c r="FL93" s="43"/>
      <c r="FM93" s="43"/>
      <c r="FN93" s="43"/>
      <c r="FO93" s="43"/>
      <c r="FP93" s="43"/>
      <c r="FQ93" s="43"/>
      <c r="FR93" s="43"/>
      <c r="FS93" s="43"/>
      <c r="FT93" s="43"/>
      <c r="FU93" s="43"/>
      <c r="FV93" s="43"/>
      <c r="FW93" s="43"/>
      <c r="FX93" s="43"/>
      <c r="FY93" s="43"/>
      <c r="FZ93" s="43"/>
      <c r="GA93" s="43"/>
      <c r="GB93" s="43"/>
      <c r="GC93" s="43"/>
      <c r="GD93" s="43"/>
      <c r="GE93" s="43"/>
      <c r="GF93" s="43"/>
      <c r="GG93" s="43"/>
      <c r="GH93" s="43"/>
      <c r="GI93" s="43"/>
      <c r="GJ93" s="43"/>
      <c r="GK93" s="43"/>
      <c r="GL93" s="43"/>
      <c r="GM93" s="43"/>
      <c r="GN93" s="43"/>
      <c r="GO93" s="43"/>
      <c r="GP93" s="43"/>
      <c r="GQ93" s="43"/>
      <c r="GR93" s="43"/>
      <c r="GS93" s="43"/>
      <c r="GT93" s="43"/>
      <c r="GU93" s="43"/>
      <c r="GV93" s="43"/>
      <c r="GW93" s="43"/>
      <c r="GX93" s="43"/>
      <c r="GY93" s="43"/>
      <c r="GZ93" s="43"/>
      <c r="HA93" s="43"/>
      <c r="HB93" s="43"/>
      <c r="HC93" s="43"/>
      <c r="HD93" s="43"/>
      <c r="HE93" s="43"/>
      <c r="HF93" s="43"/>
      <c r="HG93" s="43"/>
      <c r="HH93" s="43"/>
      <c r="HI93" s="43"/>
      <c r="HJ93" s="43"/>
      <c r="HK93" s="43"/>
      <c r="HL93" s="43"/>
      <c r="HM93" s="43"/>
      <c r="HN93" s="43"/>
      <c r="HO93" s="43"/>
      <c r="HP93" s="43"/>
      <c r="HQ93" s="43"/>
      <c r="HR93" s="43"/>
      <c r="HS93" s="43"/>
      <c r="HT93" s="43"/>
      <c r="HU93" s="43"/>
      <c r="HV93" s="43"/>
      <c r="HW93" s="43"/>
      <c r="HX93" s="43"/>
      <c r="HY93" s="43"/>
      <c r="HZ93" s="43"/>
      <c r="IA93" s="43"/>
      <c r="IB93" s="43"/>
      <c r="IC93" s="43"/>
      <c r="ID93" s="43"/>
      <c r="IE93" s="43"/>
      <c r="IF93" s="43"/>
      <c r="IG93" s="43"/>
      <c r="IH93" s="43"/>
      <c r="II93" s="43"/>
      <c r="IJ93" s="43"/>
      <c r="IK93" s="43"/>
      <c r="IL93" s="43"/>
      <c r="IM93" s="43"/>
      <c r="IN93" s="43"/>
      <c r="IO93" s="43"/>
      <c r="IP93" s="43"/>
      <c r="IQ93" s="43"/>
      <c r="IR93" s="43"/>
      <c r="IS93" s="43"/>
      <c r="IT93" s="43"/>
      <c r="IU93" s="43"/>
      <c r="IV93" s="43"/>
      <c r="IW93" s="43"/>
      <c r="IX93" s="43"/>
      <c r="IY93" s="43"/>
      <c r="IZ93" s="43"/>
      <c r="JA93" s="43"/>
      <c r="JB93" s="43"/>
      <c r="JC93" s="43"/>
      <c r="JD93" s="43"/>
      <c r="JE93" s="43"/>
      <c r="JF93" s="43"/>
      <c r="JG93" s="43"/>
      <c r="JH93" s="43"/>
      <c r="JI93" s="43"/>
      <c r="JJ93" s="43"/>
      <c r="JK93" s="43"/>
      <c r="JL93" s="43"/>
      <c r="JM93" s="43"/>
      <c r="JN93" s="43"/>
      <c r="JO93" s="43"/>
      <c r="JP93" s="43"/>
      <c r="JQ93" s="43"/>
      <c r="JR93" s="43"/>
      <c r="JS93" s="43"/>
      <c r="JT93" s="43"/>
      <c r="JU93" s="43"/>
      <c r="JV93" s="43"/>
      <c r="JW93" s="43"/>
      <c r="JX93" s="43"/>
      <c r="JY93" s="43"/>
      <c r="JZ93" s="43"/>
      <c r="KA93" s="43"/>
      <c r="KB93" s="43"/>
      <c r="KC93" s="43"/>
      <c r="KD93" s="43"/>
      <c r="KE93" s="43"/>
      <c r="KF93" s="43"/>
      <c r="KG93" s="43"/>
      <c r="KH93" s="43"/>
      <c r="KI93" s="43"/>
      <c r="KJ93" s="43"/>
      <c r="KK93" s="43"/>
      <c r="KL93" s="43"/>
      <c r="KM93" s="43"/>
      <c r="KN93" s="43"/>
      <c r="KO93" s="43"/>
      <c r="KP93" s="43"/>
      <c r="KQ93" s="43"/>
      <c r="KR93" s="43"/>
      <c r="KS93" s="43"/>
      <c r="KT93" s="43"/>
      <c r="KU93" s="43"/>
      <c r="KV93" s="43"/>
      <c r="KW93" s="43"/>
      <c r="KX93" s="43"/>
      <c r="KY93" s="43"/>
      <c r="KZ93" s="43"/>
      <c r="LA93" s="43"/>
      <c r="LB93" s="43"/>
      <c r="LC93" s="43"/>
      <c r="LD93" s="43"/>
      <c r="LE93" s="43"/>
      <c r="LF93" s="43"/>
      <c r="LG93" s="43"/>
      <c r="LH93" s="43"/>
      <c r="LI93" s="43"/>
      <c r="LJ93" s="43"/>
      <c r="LK93" s="43"/>
      <c r="LL93" s="43"/>
      <c r="LM93" s="43"/>
      <c r="LN93" s="43"/>
      <c r="LO93" s="43"/>
      <c r="LP93" s="43"/>
      <c r="LQ93" s="43"/>
      <c r="LR93" s="43"/>
      <c r="LS93" s="43"/>
      <c r="LT93" s="43"/>
      <c r="LU93" s="43"/>
      <c r="LV93" s="43"/>
      <c r="LW93" s="43"/>
      <c r="LX93" s="43"/>
      <c r="LY93" s="43"/>
      <c r="LZ93" s="43"/>
      <c r="MA93" s="43"/>
      <c r="MB93" s="43"/>
      <c r="MC93" s="43"/>
      <c r="MD93" s="43"/>
      <c r="ME93" s="43"/>
      <c r="MF93" s="43"/>
      <c r="MG93" s="43"/>
      <c r="MH93" s="43"/>
      <c r="MI93" s="43"/>
      <c r="MJ93" s="43"/>
      <c r="MK93" s="43"/>
      <c r="ML93" s="43"/>
      <c r="MM93" s="43"/>
      <c r="MN93" s="43"/>
      <c r="MO93" s="43"/>
      <c r="MP93" s="43"/>
      <c r="MQ93" s="43"/>
      <c r="MR93" s="43"/>
      <c r="MS93" s="43"/>
      <c r="MT93" s="43"/>
      <c r="MU93" s="43"/>
      <c r="MV93" s="43"/>
      <c r="MW93" s="43"/>
      <c r="MX93" s="43"/>
      <c r="MY93" s="43"/>
      <c r="MZ93" s="43"/>
      <c r="NA93" s="43"/>
      <c r="NB93" s="43"/>
      <c r="NC93" s="43"/>
      <c r="ND93" s="43"/>
      <c r="NE93" s="43"/>
      <c r="NF93" s="43"/>
      <c r="NG93" s="43"/>
      <c r="NH93" s="43"/>
      <c r="NI93" s="43"/>
      <c r="NJ93" s="43"/>
      <c r="NK93" s="43"/>
      <c r="NL93" s="43"/>
      <c r="NM93" s="43"/>
      <c r="NN93" s="43"/>
      <c r="NO93" s="43"/>
      <c r="NP93" s="43"/>
      <c r="NQ93" s="43"/>
      <c r="NR93" s="43"/>
      <c r="NS93" s="43"/>
      <c r="NT93" s="43"/>
      <c r="NU93" s="43"/>
      <c r="NV93" s="43"/>
      <c r="NW93" s="43"/>
      <c r="NX93" s="43"/>
      <c r="NY93" s="43"/>
      <c r="NZ93" s="43"/>
      <c r="OA93" s="43"/>
      <c r="OB93" s="43"/>
      <c r="OC93" s="43"/>
      <c r="OD93" s="43"/>
      <c r="OE93" s="43"/>
      <c r="OF93" s="43"/>
      <c r="OG93" s="43"/>
      <c r="OH93" s="43"/>
      <c r="OI93" s="43"/>
      <c r="OJ93" s="43"/>
      <c r="OK93" s="43"/>
      <c r="OL93" s="43"/>
      <c r="OM93" s="43"/>
      <c r="ON93" s="43"/>
      <c r="OO93" s="43"/>
      <c r="OP93" s="43"/>
      <c r="OQ93" s="43"/>
      <c r="OR93" s="43"/>
      <c r="OS93" s="43"/>
      <c r="OT93" s="43"/>
      <c r="OU93" s="43"/>
      <c r="OV93" s="43"/>
      <c r="OW93" s="43"/>
      <c r="OX93" s="43"/>
      <c r="OY93" s="43"/>
      <c r="OZ93" s="43"/>
      <c r="PA93" s="43"/>
      <c r="PB93" s="43"/>
      <c r="PC93" s="43"/>
      <c r="PD93" s="43"/>
      <c r="PE93" s="43"/>
      <c r="PF93" s="43"/>
      <c r="PG93" s="43"/>
      <c r="PH93" s="43"/>
      <c r="PI93" s="43"/>
      <c r="PJ93" s="43"/>
      <c r="PK93" s="43"/>
      <c r="PL93" s="43"/>
      <c r="PM93" s="43"/>
      <c r="PN93" s="43"/>
      <c r="PO93" s="43"/>
      <c r="PP93" s="43"/>
      <c r="PQ93" s="43"/>
      <c r="PR93" s="43"/>
      <c r="PS93" s="43"/>
      <c r="PT93" s="43"/>
      <c r="PU93" s="43"/>
      <c r="PV93" s="43"/>
      <c r="PW93" s="43"/>
      <c r="PX93" s="43"/>
      <c r="PY93" s="43"/>
      <c r="PZ93" s="43"/>
      <c r="QA93" s="43"/>
      <c r="QB93" s="43"/>
      <c r="QC93" s="43"/>
    </row>
    <row r="94" spans="1:445" x14ac:dyDescent="0.3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 t="str">
        <f t="shared" si="6"/>
        <v/>
      </c>
      <c r="U94" s="45" t="str">
        <f t="shared" si="7"/>
        <v/>
      </c>
      <c r="V94" s="68" t="str">
        <f t="shared" si="8"/>
        <v/>
      </c>
      <c r="X94" s="66" t="str">
        <f t="shared" si="10"/>
        <v/>
      </c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43"/>
      <c r="BN94" s="43"/>
      <c r="BO94" s="43"/>
      <c r="BP94" s="43"/>
      <c r="BQ94" s="43"/>
      <c r="BR94" s="43"/>
      <c r="BS94" s="43"/>
      <c r="BT94" s="43"/>
      <c r="BU94" s="43"/>
      <c r="BV94" s="43"/>
      <c r="BW94" s="43"/>
      <c r="BX94" s="43"/>
      <c r="BY94" s="43"/>
      <c r="BZ94" s="43"/>
      <c r="CA94" s="43"/>
      <c r="CB94" s="43"/>
      <c r="CC94" s="43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43"/>
      <c r="CY94" s="43"/>
      <c r="CZ94" s="43"/>
      <c r="DA94" s="43"/>
      <c r="DB94" s="43"/>
      <c r="DC94" s="43"/>
      <c r="DD94" s="43"/>
      <c r="DE94" s="43"/>
      <c r="DF94" s="43"/>
      <c r="DG94" s="43"/>
      <c r="DH94" s="43"/>
      <c r="DI94" s="43"/>
      <c r="DJ94" s="43"/>
      <c r="DK94" s="43"/>
      <c r="DL94" s="43"/>
      <c r="DM94" s="43"/>
      <c r="DN94" s="43"/>
      <c r="DO94" s="43"/>
      <c r="DP94" s="43"/>
      <c r="DQ94" s="43"/>
      <c r="DR94" s="43"/>
      <c r="DS94" s="43"/>
      <c r="DT94" s="43"/>
      <c r="DU94" s="43"/>
      <c r="DV94" s="43"/>
      <c r="DW94" s="43"/>
      <c r="DX94" s="43"/>
      <c r="DY94" s="43"/>
      <c r="DZ94" s="43"/>
      <c r="EA94" s="43"/>
      <c r="EB94" s="43"/>
      <c r="EC94" s="43"/>
      <c r="ED94" s="43"/>
      <c r="EE94" s="43"/>
      <c r="EF94" s="43"/>
      <c r="EG94" s="43"/>
      <c r="EH94" s="43"/>
      <c r="EI94" s="43"/>
      <c r="EJ94" s="43"/>
      <c r="EK94" s="43"/>
      <c r="EL94" s="43"/>
      <c r="EM94" s="43"/>
      <c r="EN94" s="43"/>
      <c r="EO94" s="43"/>
      <c r="EP94" s="43"/>
      <c r="EQ94" s="43"/>
      <c r="ER94" s="43"/>
      <c r="ES94" s="43"/>
      <c r="ET94" s="43"/>
      <c r="EU94" s="43"/>
      <c r="EV94" s="43"/>
      <c r="EW94" s="43"/>
      <c r="EX94" s="43"/>
      <c r="EY94" s="43"/>
      <c r="EZ94" s="43"/>
      <c r="FA94" s="43"/>
      <c r="FB94" s="43"/>
      <c r="FC94" s="43"/>
      <c r="FD94" s="43"/>
      <c r="FE94" s="43"/>
      <c r="FF94" s="43"/>
      <c r="FG94" s="43"/>
      <c r="FH94" s="43"/>
      <c r="FI94" s="43"/>
      <c r="FJ94" s="43"/>
      <c r="FK94" s="43"/>
      <c r="FL94" s="43"/>
      <c r="FM94" s="43"/>
      <c r="FN94" s="43"/>
      <c r="FO94" s="43"/>
      <c r="FP94" s="43"/>
      <c r="FQ94" s="43"/>
      <c r="FR94" s="43"/>
      <c r="FS94" s="43"/>
      <c r="FT94" s="43"/>
      <c r="FU94" s="43"/>
      <c r="FV94" s="43"/>
      <c r="FW94" s="43"/>
      <c r="FX94" s="43"/>
      <c r="FY94" s="43"/>
      <c r="FZ94" s="43"/>
      <c r="GA94" s="43"/>
      <c r="GB94" s="43"/>
      <c r="GC94" s="43"/>
      <c r="GD94" s="43"/>
      <c r="GE94" s="43"/>
      <c r="GF94" s="43"/>
      <c r="GG94" s="43"/>
      <c r="GH94" s="43"/>
      <c r="GI94" s="43"/>
      <c r="GJ94" s="43"/>
      <c r="GK94" s="43"/>
      <c r="GL94" s="43"/>
      <c r="GM94" s="43"/>
      <c r="GN94" s="43"/>
      <c r="GO94" s="43"/>
      <c r="GP94" s="43"/>
      <c r="GQ94" s="43"/>
      <c r="GR94" s="43"/>
      <c r="GS94" s="43"/>
      <c r="GT94" s="43"/>
      <c r="GU94" s="43"/>
      <c r="GV94" s="43"/>
      <c r="GW94" s="43"/>
      <c r="GX94" s="43"/>
      <c r="GY94" s="43"/>
      <c r="GZ94" s="43"/>
      <c r="HA94" s="43"/>
      <c r="HB94" s="43"/>
      <c r="HC94" s="43"/>
      <c r="HD94" s="43"/>
      <c r="HE94" s="43"/>
      <c r="HF94" s="43"/>
      <c r="HG94" s="43"/>
      <c r="HH94" s="43"/>
      <c r="HI94" s="43"/>
      <c r="HJ94" s="43"/>
      <c r="HK94" s="43"/>
      <c r="HL94" s="43"/>
      <c r="HM94" s="43"/>
      <c r="HN94" s="43"/>
      <c r="HO94" s="43"/>
      <c r="HP94" s="43"/>
      <c r="HQ94" s="43"/>
      <c r="HR94" s="43"/>
      <c r="HS94" s="43"/>
      <c r="HT94" s="43"/>
      <c r="HU94" s="43"/>
      <c r="HV94" s="43"/>
      <c r="HW94" s="43"/>
      <c r="HX94" s="43"/>
      <c r="HY94" s="43"/>
      <c r="HZ94" s="43"/>
      <c r="IA94" s="43"/>
      <c r="IB94" s="43"/>
      <c r="IC94" s="43"/>
      <c r="ID94" s="43"/>
      <c r="IE94" s="43"/>
      <c r="IF94" s="43"/>
      <c r="IG94" s="43"/>
      <c r="IH94" s="43"/>
      <c r="II94" s="43"/>
      <c r="IJ94" s="43"/>
      <c r="IK94" s="43"/>
      <c r="IL94" s="43"/>
      <c r="IM94" s="43"/>
      <c r="IN94" s="43"/>
      <c r="IO94" s="43"/>
      <c r="IP94" s="43"/>
      <c r="IQ94" s="43"/>
      <c r="IR94" s="43"/>
      <c r="IS94" s="43"/>
      <c r="IT94" s="43"/>
      <c r="IU94" s="43"/>
      <c r="IV94" s="43"/>
      <c r="IW94" s="43"/>
      <c r="IX94" s="43"/>
      <c r="IY94" s="43"/>
      <c r="IZ94" s="43"/>
      <c r="JA94" s="43"/>
      <c r="JB94" s="43"/>
      <c r="JC94" s="43"/>
      <c r="JD94" s="43"/>
      <c r="JE94" s="43"/>
      <c r="JF94" s="43"/>
      <c r="JG94" s="43"/>
      <c r="JH94" s="43"/>
      <c r="JI94" s="43"/>
      <c r="JJ94" s="43"/>
      <c r="JK94" s="43"/>
      <c r="JL94" s="43"/>
      <c r="JM94" s="43"/>
      <c r="JN94" s="43"/>
      <c r="JO94" s="43"/>
      <c r="JP94" s="43"/>
      <c r="JQ94" s="43"/>
      <c r="JR94" s="43"/>
      <c r="JS94" s="43"/>
      <c r="JT94" s="43"/>
      <c r="JU94" s="43"/>
      <c r="JV94" s="43"/>
      <c r="JW94" s="43"/>
      <c r="JX94" s="43"/>
      <c r="JY94" s="43"/>
      <c r="JZ94" s="43"/>
      <c r="KA94" s="43"/>
      <c r="KB94" s="43"/>
      <c r="KC94" s="43"/>
      <c r="KD94" s="43"/>
      <c r="KE94" s="43"/>
      <c r="KF94" s="43"/>
      <c r="KG94" s="43"/>
      <c r="KH94" s="43"/>
      <c r="KI94" s="43"/>
      <c r="KJ94" s="43"/>
      <c r="KK94" s="43"/>
      <c r="KL94" s="43"/>
      <c r="KM94" s="43"/>
      <c r="KN94" s="43"/>
      <c r="KO94" s="43"/>
      <c r="KP94" s="43"/>
      <c r="KQ94" s="43"/>
      <c r="KR94" s="43"/>
      <c r="KS94" s="43"/>
      <c r="KT94" s="43"/>
      <c r="KU94" s="43"/>
      <c r="KV94" s="43"/>
      <c r="KW94" s="43"/>
      <c r="KX94" s="43"/>
      <c r="KY94" s="43"/>
      <c r="KZ94" s="43"/>
      <c r="LA94" s="43"/>
      <c r="LB94" s="43"/>
      <c r="LC94" s="43"/>
      <c r="LD94" s="43"/>
      <c r="LE94" s="43"/>
      <c r="LF94" s="43"/>
      <c r="LG94" s="43"/>
      <c r="LH94" s="43"/>
      <c r="LI94" s="43"/>
      <c r="LJ94" s="43"/>
      <c r="LK94" s="43"/>
      <c r="LL94" s="43"/>
      <c r="LM94" s="43"/>
      <c r="LN94" s="43"/>
      <c r="LO94" s="43"/>
      <c r="LP94" s="43"/>
      <c r="LQ94" s="43"/>
      <c r="LR94" s="43"/>
      <c r="LS94" s="43"/>
      <c r="LT94" s="43"/>
      <c r="LU94" s="43"/>
      <c r="LV94" s="43"/>
      <c r="LW94" s="43"/>
      <c r="LX94" s="43"/>
      <c r="LY94" s="43"/>
      <c r="LZ94" s="43"/>
      <c r="MA94" s="43"/>
      <c r="MB94" s="43"/>
      <c r="MC94" s="43"/>
      <c r="MD94" s="43"/>
      <c r="ME94" s="43"/>
      <c r="MF94" s="43"/>
      <c r="MG94" s="43"/>
      <c r="MH94" s="43"/>
      <c r="MI94" s="43"/>
      <c r="MJ94" s="43"/>
      <c r="MK94" s="43"/>
      <c r="ML94" s="43"/>
      <c r="MM94" s="43"/>
      <c r="MN94" s="43"/>
      <c r="MO94" s="43"/>
      <c r="MP94" s="43"/>
      <c r="MQ94" s="43"/>
      <c r="MR94" s="43"/>
      <c r="MS94" s="43"/>
      <c r="MT94" s="43"/>
      <c r="MU94" s="43"/>
      <c r="MV94" s="43"/>
      <c r="MW94" s="43"/>
      <c r="MX94" s="43"/>
      <c r="MY94" s="43"/>
      <c r="MZ94" s="43"/>
      <c r="NA94" s="43"/>
      <c r="NB94" s="43"/>
      <c r="NC94" s="43"/>
      <c r="ND94" s="43"/>
      <c r="NE94" s="43"/>
      <c r="NF94" s="43"/>
      <c r="NG94" s="43"/>
      <c r="NH94" s="43"/>
      <c r="NI94" s="43"/>
      <c r="NJ94" s="43"/>
      <c r="NK94" s="43"/>
      <c r="NL94" s="43"/>
      <c r="NM94" s="43"/>
      <c r="NN94" s="43"/>
      <c r="NO94" s="43"/>
      <c r="NP94" s="43"/>
      <c r="NQ94" s="43"/>
      <c r="NR94" s="43"/>
      <c r="NS94" s="43"/>
      <c r="NT94" s="43"/>
      <c r="NU94" s="43"/>
      <c r="NV94" s="43"/>
      <c r="NW94" s="43"/>
      <c r="NX94" s="43"/>
      <c r="NY94" s="43"/>
      <c r="NZ94" s="43"/>
      <c r="OA94" s="43"/>
      <c r="OB94" s="43"/>
      <c r="OC94" s="43"/>
      <c r="OD94" s="43"/>
      <c r="OE94" s="43"/>
      <c r="OF94" s="43"/>
      <c r="OG94" s="43"/>
      <c r="OH94" s="43"/>
      <c r="OI94" s="43"/>
      <c r="OJ94" s="43"/>
      <c r="OK94" s="43"/>
      <c r="OL94" s="43"/>
      <c r="OM94" s="43"/>
      <c r="ON94" s="43"/>
      <c r="OO94" s="43"/>
      <c r="OP94" s="43"/>
      <c r="OQ94" s="43"/>
      <c r="OR94" s="43"/>
      <c r="OS94" s="43"/>
      <c r="OT94" s="43"/>
      <c r="OU94" s="43"/>
      <c r="OV94" s="43"/>
      <c r="OW94" s="43"/>
      <c r="OX94" s="43"/>
      <c r="OY94" s="43"/>
      <c r="OZ94" s="43"/>
      <c r="PA94" s="43"/>
      <c r="PB94" s="43"/>
      <c r="PC94" s="43"/>
      <c r="PD94" s="43"/>
      <c r="PE94" s="43"/>
      <c r="PF94" s="43"/>
      <c r="PG94" s="43"/>
      <c r="PH94" s="43"/>
      <c r="PI94" s="43"/>
      <c r="PJ94" s="43"/>
      <c r="PK94" s="43"/>
      <c r="PL94" s="43"/>
      <c r="PM94" s="43"/>
      <c r="PN94" s="43"/>
      <c r="PO94" s="43"/>
      <c r="PP94" s="43"/>
      <c r="PQ94" s="43"/>
      <c r="PR94" s="43"/>
      <c r="PS94" s="43"/>
      <c r="PT94" s="43"/>
      <c r="PU94" s="43"/>
      <c r="PV94" s="43"/>
      <c r="PW94" s="43"/>
      <c r="PX94" s="43"/>
      <c r="PY94" s="43"/>
      <c r="PZ94" s="43"/>
      <c r="QA94" s="43"/>
      <c r="QB94" s="43"/>
      <c r="QC94" s="43"/>
    </row>
    <row r="95" spans="1:445" x14ac:dyDescent="0.3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 t="str">
        <f t="shared" si="6"/>
        <v/>
      </c>
      <c r="U95" s="45" t="str">
        <f t="shared" si="7"/>
        <v/>
      </c>
      <c r="V95" s="68" t="str">
        <f t="shared" si="8"/>
        <v/>
      </c>
      <c r="W95" s="48"/>
      <c r="X95" s="66" t="str">
        <f t="shared" si="10"/>
        <v/>
      </c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43"/>
      <c r="BN95" s="43"/>
      <c r="BO95" s="43"/>
      <c r="BP95" s="43"/>
      <c r="BQ95" s="43"/>
      <c r="BR95" s="43"/>
      <c r="BS95" s="43"/>
      <c r="BT95" s="43"/>
      <c r="BU95" s="43"/>
      <c r="BV95" s="43"/>
      <c r="BW95" s="43"/>
      <c r="BX95" s="43"/>
      <c r="BY95" s="43"/>
      <c r="BZ95" s="43"/>
      <c r="CA95" s="43"/>
      <c r="CB95" s="43"/>
      <c r="CC95" s="43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43"/>
      <c r="CY95" s="43"/>
      <c r="CZ95" s="43"/>
      <c r="DA95" s="43"/>
      <c r="DB95" s="43"/>
      <c r="DC95" s="43"/>
      <c r="DD95" s="43"/>
      <c r="DE95" s="43"/>
      <c r="DF95" s="43"/>
      <c r="DG95" s="43"/>
      <c r="DH95" s="43"/>
      <c r="DI95" s="43"/>
      <c r="DJ95" s="43"/>
      <c r="DK95" s="43"/>
      <c r="DL95" s="43"/>
      <c r="DM95" s="43"/>
      <c r="DN95" s="43"/>
      <c r="DO95" s="43"/>
      <c r="DP95" s="43"/>
      <c r="DQ95" s="43"/>
      <c r="DR95" s="43"/>
      <c r="DS95" s="43"/>
      <c r="DT95" s="43"/>
      <c r="DU95" s="43"/>
      <c r="DV95" s="43"/>
      <c r="DW95" s="43"/>
      <c r="DX95" s="43"/>
      <c r="DY95" s="43"/>
      <c r="DZ95" s="43"/>
      <c r="EA95" s="43"/>
      <c r="EB95" s="43"/>
      <c r="EC95" s="43"/>
      <c r="ED95" s="43"/>
      <c r="EE95" s="43"/>
      <c r="EF95" s="43"/>
      <c r="EG95" s="43"/>
      <c r="EH95" s="43"/>
      <c r="EI95" s="43"/>
      <c r="EJ95" s="43"/>
      <c r="EK95" s="43"/>
      <c r="EL95" s="43"/>
      <c r="EM95" s="43"/>
      <c r="EN95" s="43"/>
      <c r="EO95" s="43"/>
      <c r="EP95" s="43"/>
      <c r="EQ95" s="43"/>
      <c r="ER95" s="43"/>
      <c r="ES95" s="43"/>
      <c r="ET95" s="43"/>
      <c r="EU95" s="43"/>
      <c r="EV95" s="43"/>
      <c r="EW95" s="43"/>
      <c r="EX95" s="43"/>
      <c r="EY95" s="43"/>
      <c r="EZ95" s="43"/>
      <c r="FA95" s="43"/>
      <c r="FB95" s="43"/>
      <c r="FC95" s="43"/>
      <c r="FD95" s="43"/>
      <c r="FE95" s="43"/>
      <c r="FF95" s="43"/>
      <c r="FG95" s="43"/>
      <c r="FH95" s="43"/>
      <c r="FI95" s="43"/>
      <c r="FJ95" s="43"/>
      <c r="FK95" s="43"/>
      <c r="FL95" s="43"/>
      <c r="FM95" s="43"/>
      <c r="FN95" s="43"/>
      <c r="FO95" s="43"/>
      <c r="FP95" s="43"/>
      <c r="FQ95" s="43"/>
      <c r="FR95" s="43"/>
      <c r="FS95" s="43"/>
      <c r="FT95" s="43"/>
      <c r="FU95" s="43"/>
      <c r="FV95" s="43"/>
      <c r="FW95" s="43"/>
      <c r="FX95" s="43"/>
      <c r="FY95" s="43"/>
      <c r="FZ95" s="43"/>
      <c r="GA95" s="43"/>
      <c r="GB95" s="43"/>
      <c r="GC95" s="43"/>
      <c r="GD95" s="43"/>
      <c r="GE95" s="43"/>
      <c r="GF95" s="43"/>
      <c r="GG95" s="43"/>
      <c r="GH95" s="43"/>
      <c r="GI95" s="43"/>
      <c r="GJ95" s="43"/>
      <c r="GK95" s="43"/>
      <c r="GL95" s="43"/>
      <c r="GM95" s="43"/>
      <c r="GN95" s="43"/>
      <c r="GO95" s="43"/>
      <c r="GP95" s="43"/>
      <c r="GQ95" s="43"/>
      <c r="GR95" s="43"/>
      <c r="GS95" s="43"/>
      <c r="GT95" s="43"/>
      <c r="GU95" s="43"/>
      <c r="GV95" s="43"/>
      <c r="GW95" s="43"/>
      <c r="GX95" s="43"/>
      <c r="GY95" s="43"/>
      <c r="GZ95" s="43"/>
      <c r="HA95" s="43"/>
      <c r="HB95" s="43"/>
      <c r="HC95" s="43"/>
      <c r="HD95" s="43"/>
      <c r="HE95" s="43"/>
      <c r="HF95" s="43"/>
      <c r="HG95" s="43"/>
      <c r="HH95" s="43"/>
      <c r="HI95" s="43"/>
      <c r="HJ95" s="43"/>
      <c r="HK95" s="43"/>
      <c r="HL95" s="43"/>
      <c r="HM95" s="43"/>
      <c r="HN95" s="43"/>
      <c r="HO95" s="43"/>
      <c r="HP95" s="43"/>
      <c r="HQ95" s="43"/>
      <c r="HR95" s="43"/>
      <c r="HS95" s="43"/>
      <c r="HT95" s="43"/>
      <c r="HU95" s="43"/>
      <c r="HV95" s="43"/>
      <c r="HW95" s="43"/>
      <c r="HX95" s="43"/>
      <c r="HY95" s="43"/>
      <c r="HZ95" s="43"/>
      <c r="IA95" s="43"/>
      <c r="IB95" s="43"/>
      <c r="IC95" s="43"/>
      <c r="ID95" s="43"/>
      <c r="IE95" s="43"/>
      <c r="IF95" s="43"/>
      <c r="IG95" s="43"/>
      <c r="IH95" s="43"/>
      <c r="II95" s="43"/>
      <c r="IJ95" s="43"/>
      <c r="IK95" s="43"/>
      <c r="IL95" s="43"/>
      <c r="IM95" s="43"/>
      <c r="IN95" s="43"/>
      <c r="IO95" s="43"/>
      <c r="IP95" s="43"/>
      <c r="IQ95" s="43"/>
      <c r="IR95" s="43"/>
      <c r="IS95" s="43"/>
      <c r="IT95" s="43"/>
      <c r="IU95" s="43"/>
      <c r="IV95" s="43"/>
      <c r="IW95" s="43"/>
      <c r="IX95" s="43"/>
      <c r="IY95" s="43"/>
      <c r="IZ95" s="43"/>
      <c r="JA95" s="43"/>
      <c r="JB95" s="43"/>
      <c r="JC95" s="43"/>
      <c r="JD95" s="43"/>
      <c r="JE95" s="43"/>
      <c r="JF95" s="43"/>
      <c r="JG95" s="43"/>
      <c r="JH95" s="43"/>
      <c r="JI95" s="43"/>
      <c r="JJ95" s="43"/>
      <c r="JK95" s="43"/>
      <c r="JL95" s="43"/>
      <c r="JM95" s="43"/>
      <c r="JN95" s="43"/>
      <c r="JO95" s="43"/>
      <c r="JP95" s="43"/>
      <c r="JQ95" s="43"/>
      <c r="JR95" s="43"/>
      <c r="JS95" s="43"/>
      <c r="JT95" s="43"/>
      <c r="JU95" s="43"/>
      <c r="JV95" s="43"/>
      <c r="JW95" s="43"/>
      <c r="JX95" s="43"/>
      <c r="JY95" s="43"/>
      <c r="JZ95" s="43"/>
      <c r="KA95" s="43"/>
      <c r="KB95" s="43"/>
      <c r="KC95" s="43"/>
      <c r="KD95" s="43"/>
      <c r="KE95" s="43"/>
      <c r="KF95" s="43"/>
      <c r="KG95" s="43"/>
      <c r="KH95" s="43"/>
      <c r="KI95" s="43"/>
      <c r="KJ95" s="43"/>
      <c r="KK95" s="43"/>
      <c r="KL95" s="43"/>
      <c r="KM95" s="43"/>
      <c r="KN95" s="43"/>
      <c r="KO95" s="43"/>
      <c r="KP95" s="43"/>
      <c r="KQ95" s="43"/>
      <c r="KR95" s="43"/>
      <c r="KS95" s="43"/>
      <c r="KT95" s="43"/>
      <c r="KU95" s="43"/>
      <c r="KV95" s="43"/>
      <c r="KW95" s="43"/>
      <c r="KX95" s="43"/>
      <c r="KY95" s="43"/>
      <c r="KZ95" s="43"/>
      <c r="LA95" s="43"/>
      <c r="LB95" s="43"/>
      <c r="LC95" s="43"/>
      <c r="LD95" s="43"/>
      <c r="LE95" s="43"/>
      <c r="LF95" s="43"/>
      <c r="LG95" s="43"/>
      <c r="LH95" s="43"/>
      <c r="LI95" s="43"/>
      <c r="LJ95" s="43"/>
      <c r="LK95" s="43"/>
      <c r="LL95" s="43"/>
      <c r="LM95" s="43"/>
      <c r="LN95" s="43"/>
      <c r="LO95" s="43"/>
      <c r="LP95" s="43"/>
      <c r="LQ95" s="43"/>
      <c r="LR95" s="43"/>
      <c r="LS95" s="43"/>
      <c r="LT95" s="43"/>
      <c r="LU95" s="43"/>
      <c r="LV95" s="43"/>
      <c r="LW95" s="43"/>
      <c r="LX95" s="43"/>
      <c r="LY95" s="43"/>
      <c r="LZ95" s="43"/>
      <c r="MA95" s="43"/>
      <c r="MB95" s="43"/>
      <c r="MC95" s="43"/>
      <c r="MD95" s="43"/>
      <c r="ME95" s="43"/>
      <c r="MF95" s="43"/>
      <c r="MG95" s="43"/>
      <c r="MH95" s="43"/>
      <c r="MI95" s="43"/>
      <c r="MJ95" s="43"/>
      <c r="MK95" s="43"/>
      <c r="ML95" s="43"/>
      <c r="MM95" s="43"/>
      <c r="MN95" s="43"/>
      <c r="MO95" s="43"/>
      <c r="MP95" s="43"/>
      <c r="MQ95" s="43"/>
      <c r="MR95" s="43"/>
      <c r="MS95" s="43"/>
      <c r="MT95" s="43"/>
      <c r="MU95" s="43"/>
      <c r="MV95" s="43"/>
      <c r="MW95" s="43"/>
      <c r="MX95" s="43"/>
      <c r="MY95" s="43"/>
      <c r="MZ95" s="43"/>
      <c r="NA95" s="43"/>
      <c r="NB95" s="43"/>
      <c r="NC95" s="43"/>
      <c r="ND95" s="43"/>
      <c r="NE95" s="43"/>
      <c r="NF95" s="43"/>
      <c r="NG95" s="43"/>
      <c r="NH95" s="43"/>
      <c r="NI95" s="43"/>
      <c r="NJ95" s="43"/>
      <c r="NK95" s="43"/>
      <c r="NL95" s="43"/>
      <c r="NM95" s="43"/>
      <c r="NN95" s="43"/>
      <c r="NO95" s="43"/>
      <c r="NP95" s="43"/>
      <c r="NQ95" s="43"/>
      <c r="NR95" s="43"/>
      <c r="NS95" s="43"/>
      <c r="NT95" s="43"/>
      <c r="NU95" s="43"/>
      <c r="NV95" s="43"/>
      <c r="NW95" s="43"/>
      <c r="NX95" s="43"/>
      <c r="NY95" s="43"/>
      <c r="NZ95" s="43"/>
      <c r="OA95" s="43"/>
      <c r="OB95" s="43"/>
      <c r="OC95" s="43"/>
      <c r="OD95" s="43"/>
      <c r="OE95" s="43"/>
      <c r="OF95" s="43"/>
      <c r="OG95" s="43"/>
      <c r="OH95" s="43"/>
      <c r="OI95" s="43"/>
      <c r="OJ95" s="43"/>
      <c r="OK95" s="43"/>
      <c r="OL95" s="43"/>
      <c r="OM95" s="43"/>
      <c r="ON95" s="43"/>
      <c r="OO95" s="43"/>
      <c r="OP95" s="43"/>
      <c r="OQ95" s="43"/>
      <c r="OR95" s="43"/>
      <c r="OS95" s="43"/>
      <c r="OT95" s="43"/>
      <c r="OU95" s="43"/>
      <c r="OV95" s="43"/>
      <c r="OW95" s="43"/>
      <c r="OX95" s="43"/>
      <c r="OY95" s="43"/>
      <c r="OZ95" s="43"/>
      <c r="PA95" s="43"/>
      <c r="PB95" s="43"/>
      <c r="PC95" s="43"/>
      <c r="PD95" s="43"/>
      <c r="PE95" s="43"/>
      <c r="PF95" s="43"/>
      <c r="PG95" s="43"/>
      <c r="PH95" s="43"/>
      <c r="PI95" s="43"/>
      <c r="PJ95" s="43"/>
      <c r="PK95" s="43"/>
      <c r="PL95" s="43"/>
      <c r="PM95" s="43"/>
      <c r="PN95" s="43"/>
      <c r="PO95" s="43"/>
      <c r="PP95" s="43"/>
      <c r="PQ95" s="43"/>
      <c r="PR95" s="43"/>
      <c r="PS95" s="43"/>
      <c r="PT95" s="43"/>
      <c r="PU95" s="43"/>
      <c r="PV95" s="43"/>
      <c r="PW95" s="43"/>
      <c r="PX95" s="43"/>
      <c r="PY95" s="43"/>
      <c r="PZ95" s="43"/>
      <c r="QA95" s="43"/>
      <c r="QB95" s="43"/>
      <c r="QC95" s="43"/>
    </row>
    <row r="96" spans="1:445" x14ac:dyDescent="0.3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 t="str">
        <f t="shared" si="6"/>
        <v/>
      </c>
      <c r="U96" s="45" t="str">
        <f t="shared" si="7"/>
        <v/>
      </c>
      <c r="V96" s="68" t="str">
        <f t="shared" si="8"/>
        <v/>
      </c>
      <c r="W96" s="48"/>
      <c r="X96" s="66" t="str">
        <f t="shared" si="10"/>
        <v/>
      </c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43"/>
      <c r="BN96" s="43"/>
      <c r="BO96" s="43"/>
      <c r="BP96" s="43"/>
      <c r="BQ96" s="43"/>
      <c r="BR96" s="43"/>
      <c r="BS96" s="43"/>
      <c r="BT96" s="43"/>
      <c r="BU96" s="43"/>
      <c r="BV96" s="43"/>
      <c r="BW96" s="43"/>
      <c r="BX96" s="43"/>
      <c r="BY96" s="43"/>
      <c r="BZ96" s="43"/>
      <c r="CA96" s="43"/>
      <c r="CB96" s="43"/>
      <c r="CC96" s="4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43"/>
      <c r="CY96" s="43"/>
      <c r="CZ96" s="43"/>
      <c r="DA96" s="43"/>
      <c r="DB96" s="43"/>
      <c r="DC96" s="43"/>
      <c r="DD96" s="43"/>
      <c r="DE96" s="43"/>
      <c r="DF96" s="43"/>
      <c r="DG96" s="43"/>
      <c r="DH96" s="43"/>
      <c r="DI96" s="43"/>
      <c r="DJ96" s="43"/>
      <c r="DK96" s="43"/>
      <c r="DL96" s="43"/>
      <c r="DM96" s="43"/>
      <c r="DN96" s="43"/>
      <c r="DO96" s="43"/>
      <c r="DP96" s="43"/>
      <c r="DQ96" s="43"/>
      <c r="DR96" s="43"/>
      <c r="DS96" s="43"/>
      <c r="DT96" s="43"/>
      <c r="DU96" s="43"/>
      <c r="DV96" s="43"/>
      <c r="DW96" s="43"/>
      <c r="DX96" s="43"/>
      <c r="DY96" s="43"/>
      <c r="DZ96" s="43"/>
      <c r="EA96" s="43"/>
      <c r="EB96" s="43"/>
      <c r="EC96" s="43"/>
      <c r="ED96" s="43"/>
      <c r="EE96" s="43"/>
      <c r="EF96" s="43"/>
      <c r="EG96" s="43"/>
      <c r="EH96" s="43"/>
      <c r="EI96" s="43"/>
      <c r="EJ96" s="43"/>
      <c r="EK96" s="43"/>
      <c r="EL96" s="43"/>
      <c r="EM96" s="43"/>
      <c r="EN96" s="43"/>
      <c r="EO96" s="43"/>
      <c r="EP96" s="43"/>
      <c r="EQ96" s="43"/>
      <c r="ER96" s="43"/>
      <c r="ES96" s="43"/>
      <c r="ET96" s="43"/>
      <c r="EU96" s="43"/>
      <c r="EV96" s="43"/>
      <c r="EW96" s="43"/>
      <c r="EX96" s="43"/>
      <c r="EY96" s="43"/>
      <c r="EZ96" s="43"/>
      <c r="FA96" s="43"/>
      <c r="FB96" s="43"/>
      <c r="FC96" s="43"/>
      <c r="FD96" s="43"/>
      <c r="FE96" s="43"/>
      <c r="FF96" s="43"/>
      <c r="FG96" s="43"/>
      <c r="FH96" s="43"/>
      <c r="FI96" s="43"/>
      <c r="FJ96" s="43"/>
      <c r="FK96" s="43"/>
      <c r="FL96" s="43"/>
      <c r="FM96" s="43"/>
      <c r="FN96" s="43"/>
      <c r="FO96" s="43"/>
      <c r="FP96" s="43"/>
      <c r="FQ96" s="43"/>
      <c r="FR96" s="43"/>
      <c r="FS96" s="43"/>
      <c r="FT96" s="43"/>
      <c r="FU96" s="43"/>
      <c r="FV96" s="43"/>
      <c r="FW96" s="43"/>
      <c r="FX96" s="43"/>
      <c r="FY96" s="43"/>
      <c r="FZ96" s="43"/>
      <c r="GA96" s="43"/>
      <c r="GB96" s="43"/>
      <c r="GC96" s="43"/>
      <c r="GD96" s="43"/>
      <c r="GE96" s="43"/>
      <c r="GF96" s="43"/>
      <c r="GG96" s="43"/>
      <c r="GH96" s="43"/>
      <c r="GI96" s="43"/>
      <c r="GJ96" s="43"/>
      <c r="GK96" s="43"/>
      <c r="GL96" s="43"/>
      <c r="GM96" s="43"/>
      <c r="GN96" s="43"/>
      <c r="GO96" s="43"/>
      <c r="GP96" s="43"/>
      <c r="GQ96" s="43"/>
      <c r="GR96" s="43"/>
      <c r="GS96" s="43"/>
      <c r="GT96" s="43"/>
      <c r="GU96" s="43"/>
      <c r="GV96" s="43"/>
      <c r="GW96" s="43"/>
      <c r="GX96" s="43"/>
      <c r="GY96" s="43"/>
      <c r="GZ96" s="43"/>
      <c r="HA96" s="43"/>
      <c r="HB96" s="43"/>
      <c r="HC96" s="43"/>
      <c r="HD96" s="43"/>
      <c r="HE96" s="43"/>
      <c r="HF96" s="43"/>
      <c r="HG96" s="43"/>
      <c r="HH96" s="43"/>
      <c r="HI96" s="43"/>
      <c r="HJ96" s="43"/>
      <c r="HK96" s="43"/>
      <c r="HL96" s="43"/>
      <c r="HM96" s="43"/>
      <c r="HN96" s="43"/>
      <c r="HO96" s="43"/>
      <c r="HP96" s="43"/>
      <c r="HQ96" s="43"/>
      <c r="HR96" s="43"/>
      <c r="HS96" s="43"/>
      <c r="HT96" s="43"/>
      <c r="HU96" s="43"/>
      <c r="HV96" s="43"/>
      <c r="HW96" s="43"/>
      <c r="HX96" s="43"/>
      <c r="HY96" s="43"/>
      <c r="HZ96" s="43"/>
      <c r="IA96" s="43"/>
      <c r="IB96" s="43"/>
      <c r="IC96" s="43"/>
      <c r="ID96" s="43"/>
      <c r="IE96" s="43"/>
      <c r="IF96" s="43"/>
      <c r="IG96" s="43"/>
      <c r="IH96" s="43"/>
      <c r="II96" s="43"/>
      <c r="IJ96" s="43"/>
      <c r="IK96" s="43"/>
      <c r="IL96" s="43"/>
      <c r="IM96" s="43"/>
      <c r="IN96" s="43"/>
      <c r="IO96" s="43"/>
      <c r="IP96" s="43"/>
      <c r="IQ96" s="43"/>
      <c r="IR96" s="43"/>
      <c r="IS96" s="43"/>
      <c r="IT96" s="43"/>
      <c r="IU96" s="43"/>
      <c r="IV96" s="43"/>
      <c r="IW96" s="43"/>
      <c r="IX96" s="43"/>
      <c r="IY96" s="43"/>
      <c r="IZ96" s="43"/>
      <c r="JA96" s="43"/>
      <c r="JB96" s="43"/>
      <c r="JC96" s="43"/>
      <c r="JD96" s="43"/>
      <c r="JE96" s="43"/>
      <c r="JF96" s="43"/>
      <c r="JG96" s="43"/>
      <c r="JH96" s="43"/>
      <c r="JI96" s="43"/>
      <c r="JJ96" s="43"/>
      <c r="JK96" s="43"/>
      <c r="JL96" s="43"/>
      <c r="JM96" s="43"/>
      <c r="JN96" s="43"/>
      <c r="JO96" s="43"/>
      <c r="JP96" s="43"/>
      <c r="JQ96" s="43"/>
      <c r="JR96" s="43"/>
      <c r="JS96" s="43"/>
      <c r="JT96" s="43"/>
      <c r="JU96" s="43"/>
      <c r="JV96" s="43"/>
      <c r="JW96" s="43"/>
      <c r="JX96" s="43"/>
      <c r="JY96" s="43"/>
      <c r="JZ96" s="43"/>
      <c r="KA96" s="43"/>
      <c r="KB96" s="43"/>
      <c r="KC96" s="43"/>
      <c r="KD96" s="43"/>
      <c r="KE96" s="43"/>
      <c r="KF96" s="43"/>
      <c r="KG96" s="43"/>
      <c r="KH96" s="43"/>
      <c r="KI96" s="43"/>
      <c r="KJ96" s="43"/>
      <c r="KK96" s="43"/>
      <c r="KL96" s="43"/>
      <c r="KM96" s="43"/>
      <c r="KN96" s="43"/>
      <c r="KO96" s="43"/>
      <c r="KP96" s="43"/>
      <c r="KQ96" s="43"/>
      <c r="KR96" s="43"/>
      <c r="KS96" s="43"/>
      <c r="KT96" s="43"/>
      <c r="KU96" s="43"/>
      <c r="KV96" s="43"/>
      <c r="KW96" s="43"/>
      <c r="KX96" s="43"/>
      <c r="KY96" s="43"/>
      <c r="KZ96" s="43"/>
      <c r="LA96" s="43"/>
      <c r="LB96" s="43"/>
      <c r="LC96" s="43"/>
      <c r="LD96" s="43"/>
      <c r="LE96" s="43"/>
      <c r="LF96" s="43"/>
      <c r="LG96" s="43"/>
      <c r="LH96" s="43"/>
      <c r="LI96" s="43"/>
      <c r="LJ96" s="43"/>
      <c r="LK96" s="43"/>
      <c r="LL96" s="43"/>
      <c r="LM96" s="43"/>
      <c r="LN96" s="43"/>
      <c r="LO96" s="43"/>
      <c r="LP96" s="43"/>
      <c r="LQ96" s="43"/>
      <c r="LR96" s="43"/>
      <c r="LS96" s="43"/>
      <c r="LT96" s="43"/>
      <c r="LU96" s="43"/>
      <c r="LV96" s="43"/>
      <c r="LW96" s="43"/>
      <c r="LX96" s="43"/>
      <c r="LY96" s="43"/>
      <c r="LZ96" s="43"/>
      <c r="MA96" s="43"/>
      <c r="MB96" s="43"/>
      <c r="MC96" s="43"/>
      <c r="MD96" s="43"/>
      <c r="ME96" s="43"/>
      <c r="MF96" s="43"/>
      <c r="MG96" s="43"/>
      <c r="MH96" s="43"/>
      <c r="MI96" s="43"/>
      <c r="MJ96" s="43"/>
      <c r="MK96" s="43"/>
      <c r="ML96" s="43"/>
      <c r="MM96" s="43"/>
      <c r="MN96" s="43"/>
      <c r="MO96" s="43"/>
      <c r="MP96" s="43"/>
      <c r="MQ96" s="43"/>
      <c r="MR96" s="43"/>
      <c r="MS96" s="43"/>
      <c r="MT96" s="43"/>
      <c r="MU96" s="43"/>
      <c r="MV96" s="43"/>
      <c r="MW96" s="43"/>
      <c r="MX96" s="43"/>
      <c r="MY96" s="43"/>
      <c r="MZ96" s="43"/>
      <c r="NA96" s="43"/>
      <c r="NB96" s="43"/>
      <c r="NC96" s="43"/>
      <c r="ND96" s="43"/>
      <c r="NE96" s="43"/>
      <c r="NF96" s="43"/>
      <c r="NG96" s="43"/>
      <c r="NH96" s="43"/>
      <c r="NI96" s="43"/>
      <c r="NJ96" s="43"/>
      <c r="NK96" s="43"/>
      <c r="NL96" s="43"/>
      <c r="NM96" s="43"/>
      <c r="NN96" s="43"/>
      <c r="NO96" s="43"/>
      <c r="NP96" s="43"/>
      <c r="NQ96" s="43"/>
      <c r="NR96" s="43"/>
      <c r="NS96" s="43"/>
      <c r="NT96" s="43"/>
      <c r="NU96" s="43"/>
      <c r="NV96" s="43"/>
      <c r="NW96" s="43"/>
      <c r="NX96" s="43"/>
      <c r="NY96" s="43"/>
      <c r="NZ96" s="43"/>
      <c r="OA96" s="43"/>
      <c r="OB96" s="43"/>
      <c r="OC96" s="43"/>
      <c r="OD96" s="43"/>
      <c r="OE96" s="43"/>
      <c r="OF96" s="43"/>
      <c r="OG96" s="43"/>
      <c r="OH96" s="43"/>
      <c r="OI96" s="43"/>
      <c r="OJ96" s="43"/>
      <c r="OK96" s="43"/>
      <c r="OL96" s="43"/>
      <c r="OM96" s="43"/>
      <c r="ON96" s="43"/>
      <c r="OO96" s="43"/>
      <c r="OP96" s="43"/>
      <c r="OQ96" s="43"/>
      <c r="OR96" s="43"/>
      <c r="OS96" s="43"/>
      <c r="OT96" s="43"/>
      <c r="OU96" s="43"/>
      <c r="OV96" s="43"/>
      <c r="OW96" s="43"/>
      <c r="OX96" s="43"/>
      <c r="OY96" s="43"/>
      <c r="OZ96" s="43"/>
      <c r="PA96" s="43"/>
      <c r="PB96" s="43"/>
      <c r="PC96" s="43"/>
      <c r="PD96" s="43"/>
      <c r="PE96" s="43"/>
      <c r="PF96" s="43"/>
      <c r="PG96" s="43"/>
      <c r="PH96" s="43"/>
      <c r="PI96" s="43"/>
      <c r="PJ96" s="43"/>
      <c r="PK96" s="43"/>
      <c r="PL96" s="43"/>
      <c r="PM96" s="43"/>
      <c r="PN96" s="43"/>
      <c r="PO96" s="43"/>
      <c r="PP96" s="43"/>
      <c r="PQ96" s="43"/>
      <c r="PR96" s="43"/>
      <c r="PS96" s="43"/>
      <c r="PT96" s="43"/>
      <c r="PU96" s="43"/>
      <c r="PV96" s="43"/>
      <c r="PW96" s="43"/>
      <c r="PX96" s="43"/>
      <c r="PY96" s="43"/>
      <c r="PZ96" s="43"/>
      <c r="QA96" s="43"/>
      <c r="QB96" s="43"/>
      <c r="QC96" s="43"/>
    </row>
    <row r="97" spans="2:445" x14ac:dyDescent="0.3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 t="str">
        <f t="shared" si="6"/>
        <v/>
      </c>
      <c r="U97" s="45" t="str">
        <f t="shared" si="7"/>
        <v/>
      </c>
      <c r="V97" s="68" t="str">
        <f t="shared" si="8"/>
        <v/>
      </c>
      <c r="W97" s="48"/>
      <c r="X97" s="66" t="str">
        <f t="shared" si="10"/>
        <v/>
      </c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43"/>
      <c r="BN97" s="43"/>
      <c r="BO97" s="43"/>
      <c r="BP97" s="43"/>
      <c r="BQ97" s="43"/>
      <c r="BR97" s="43"/>
      <c r="BS97" s="43"/>
      <c r="BT97" s="43"/>
      <c r="BU97" s="43"/>
      <c r="BV97" s="43"/>
      <c r="BW97" s="43"/>
      <c r="BX97" s="43"/>
      <c r="BY97" s="43"/>
      <c r="BZ97" s="43"/>
      <c r="CA97" s="43"/>
      <c r="CB97" s="43"/>
      <c r="CC97" s="43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43"/>
      <c r="CY97" s="43"/>
      <c r="CZ97" s="43"/>
      <c r="DA97" s="43"/>
      <c r="DB97" s="43"/>
      <c r="DC97" s="43"/>
      <c r="DD97" s="43"/>
      <c r="DE97" s="43"/>
      <c r="DF97" s="43"/>
      <c r="DG97" s="43"/>
      <c r="DH97" s="43"/>
      <c r="DI97" s="43"/>
      <c r="DJ97" s="43"/>
      <c r="DK97" s="43"/>
      <c r="DL97" s="43"/>
      <c r="DM97" s="43"/>
      <c r="DN97" s="43"/>
      <c r="DO97" s="43"/>
      <c r="DP97" s="43"/>
      <c r="DQ97" s="43"/>
      <c r="DR97" s="43"/>
      <c r="DS97" s="43"/>
      <c r="DT97" s="43"/>
      <c r="DU97" s="43"/>
      <c r="DV97" s="43"/>
      <c r="DW97" s="43"/>
      <c r="DX97" s="43"/>
      <c r="DY97" s="43"/>
      <c r="DZ97" s="43"/>
      <c r="EA97" s="43"/>
      <c r="EB97" s="43"/>
      <c r="EC97" s="43"/>
      <c r="ED97" s="43"/>
      <c r="EE97" s="43"/>
      <c r="EF97" s="43"/>
      <c r="EG97" s="43"/>
      <c r="EH97" s="43"/>
      <c r="EI97" s="43"/>
      <c r="EJ97" s="43"/>
      <c r="EK97" s="43"/>
      <c r="EL97" s="43"/>
      <c r="EM97" s="43"/>
      <c r="EN97" s="43"/>
      <c r="EO97" s="43"/>
      <c r="EP97" s="43"/>
      <c r="EQ97" s="43"/>
      <c r="ER97" s="43"/>
      <c r="ES97" s="43"/>
      <c r="ET97" s="43"/>
      <c r="EU97" s="43"/>
      <c r="EV97" s="43"/>
      <c r="EW97" s="43"/>
      <c r="EX97" s="43"/>
      <c r="EY97" s="43"/>
      <c r="EZ97" s="43"/>
      <c r="FA97" s="43"/>
      <c r="FB97" s="43"/>
      <c r="FC97" s="43"/>
      <c r="FD97" s="43"/>
      <c r="FE97" s="43"/>
      <c r="FF97" s="43"/>
      <c r="FG97" s="43"/>
      <c r="FH97" s="43"/>
      <c r="FI97" s="43"/>
      <c r="FJ97" s="43"/>
      <c r="FK97" s="43"/>
      <c r="FL97" s="43"/>
      <c r="FM97" s="43"/>
      <c r="FN97" s="43"/>
      <c r="FO97" s="43"/>
      <c r="FP97" s="43"/>
      <c r="FQ97" s="43"/>
      <c r="FR97" s="43"/>
      <c r="FS97" s="43"/>
      <c r="FT97" s="43"/>
      <c r="FU97" s="43"/>
      <c r="FV97" s="43"/>
      <c r="FW97" s="43"/>
      <c r="FX97" s="43"/>
      <c r="FY97" s="43"/>
      <c r="FZ97" s="43"/>
      <c r="GA97" s="43"/>
      <c r="GB97" s="43"/>
      <c r="GC97" s="43"/>
      <c r="GD97" s="43"/>
      <c r="GE97" s="43"/>
      <c r="GF97" s="43"/>
      <c r="GG97" s="43"/>
      <c r="GH97" s="43"/>
      <c r="GI97" s="43"/>
      <c r="GJ97" s="43"/>
      <c r="GK97" s="43"/>
      <c r="GL97" s="43"/>
      <c r="GM97" s="43"/>
      <c r="GN97" s="43"/>
      <c r="GO97" s="43"/>
      <c r="GP97" s="43"/>
      <c r="GQ97" s="43"/>
      <c r="GR97" s="43"/>
      <c r="GS97" s="43"/>
      <c r="GT97" s="43"/>
      <c r="GU97" s="43"/>
      <c r="GV97" s="43"/>
      <c r="GW97" s="43"/>
      <c r="GX97" s="43"/>
      <c r="GY97" s="43"/>
      <c r="GZ97" s="43"/>
      <c r="HA97" s="43"/>
      <c r="HB97" s="43"/>
      <c r="HC97" s="43"/>
      <c r="HD97" s="43"/>
      <c r="HE97" s="43"/>
      <c r="HF97" s="43"/>
      <c r="HG97" s="43"/>
      <c r="HH97" s="43"/>
      <c r="HI97" s="43"/>
      <c r="HJ97" s="43"/>
      <c r="HK97" s="43"/>
      <c r="HL97" s="43"/>
      <c r="HM97" s="43"/>
      <c r="HN97" s="43"/>
      <c r="HO97" s="43"/>
      <c r="HP97" s="43"/>
      <c r="HQ97" s="43"/>
      <c r="HR97" s="43"/>
      <c r="HS97" s="43"/>
      <c r="HT97" s="43"/>
      <c r="HU97" s="43"/>
      <c r="HV97" s="43"/>
      <c r="HW97" s="43"/>
      <c r="HX97" s="43"/>
      <c r="HY97" s="43"/>
      <c r="HZ97" s="43"/>
      <c r="IA97" s="43"/>
      <c r="IB97" s="43"/>
      <c r="IC97" s="43"/>
      <c r="ID97" s="43"/>
      <c r="IE97" s="43"/>
      <c r="IF97" s="43"/>
      <c r="IG97" s="43"/>
      <c r="IH97" s="43"/>
      <c r="II97" s="43"/>
      <c r="IJ97" s="43"/>
      <c r="IK97" s="43"/>
      <c r="IL97" s="43"/>
      <c r="IM97" s="43"/>
      <c r="IN97" s="43"/>
      <c r="IO97" s="43"/>
      <c r="IP97" s="43"/>
      <c r="IQ97" s="43"/>
      <c r="IR97" s="43"/>
      <c r="IS97" s="43"/>
      <c r="IT97" s="43"/>
      <c r="IU97" s="43"/>
      <c r="IV97" s="43"/>
      <c r="IW97" s="43"/>
      <c r="IX97" s="43"/>
      <c r="IY97" s="43"/>
      <c r="IZ97" s="43"/>
      <c r="JA97" s="43"/>
      <c r="JB97" s="43"/>
      <c r="JC97" s="43"/>
      <c r="JD97" s="43"/>
      <c r="JE97" s="43"/>
      <c r="JF97" s="43"/>
      <c r="JG97" s="43"/>
      <c r="JH97" s="43"/>
      <c r="JI97" s="43"/>
      <c r="JJ97" s="43"/>
      <c r="JK97" s="43"/>
      <c r="JL97" s="43"/>
      <c r="JM97" s="43"/>
      <c r="JN97" s="43"/>
      <c r="JO97" s="43"/>
      <c r="JP97" s="43"/>
      <c r="JQ97" s="43"/>
      <c r="JR97" s="43"/>
      <c r="JS97" s="43"/>
      <c r="JT97" s="43"/>
      <c r="JU97" s="43"/>
      <c r="JV97" s="43"/>
      <c r="JW97" s="43"/>
      <c r="JX97" s="43"/>
      <c r="JY97" s="43"/>
      <c r="JZ97" s="43"/>
      <c r="KA97" s="43"/>
      <c r="KB97" s="43"/>
      <c r="KC97" s="43"/>
      <c r="KD97" s="43"/>
      <c r="KE97" s="43"/>
      <c r="KF97" s="43"/>
      <c r="KG97" s="43"/>
      <c r="KH97" s="43"/>
      <c r="KI97" s="43"/>
      <c r="KJ97" s="43"/>
      <c r="KK97" s="43"/>
      <c r="KL97" s="43"/>
      <c r="KM97" s="43"/>
      <c r="KN97" s="43"/>
      <c r="KO97" s="43"/>
      <c r="KP97" s="43"/>
      <c r="KQ97" s="43"/>
      <c r="KR97" s="43"/>
      <c r="KS97" s="43"/>
      <c r="KT97" s="43"/>
      <c r="KU97" s="43"/>
      <c r="KV97" s="43"/>
      <c r="KW97" s="43"/>
      <c r="KX97" s="43"/>
      <c r="KY97" s="43"/>
      <c r="KZ97" s="43"/>
      <c r="LA97" s="43"/>
      <c r="LB97" s="43"/>
      <c r="LC97" s="43"/>
      <c r="LD97" s="43"/>
      <c r="LE97" s="43"/>
      <c r="LF97" s="43"/>
      <c r="LG97" s="43"/>
      <c r="LH97" s="43"/>
      <c r="LI97" s="43"/>
      <c r="LJ97" s="43"/>
      <c r="LK97" s="43"/>
      <c r="LL97" s="43"/>
      <c r="LM97" s="43"/>
      <c r="LN97" s="43"/>
      <c r="LO97" s="43"/>
      <c r="LP97" s="43"/>
      <c r="LQ97" s="43"/>
      <c r="LR97" s="43"/>
      <c r="LS97" s="43"/>
      <c r="LT97" s="43"/>
      <c r="LU97" s="43"/>
      <c r="LV97" s="43"/>
      <c r="LW97" s="43"/>
      <c r="LX97" s="43"/>
      <c r="LY97" s="43"/>
      <c r="LZ97" s="43"/>
      <c r="MA97" s="43"/>
      <c r="MB97" s="43"/>
      <c r="MC97" s="43"/>
      <c r="MD97" s="43"/>
      <c r="ME97" s="43"/>
      <c r="MF97" s="43"/>
      <c r="MG97" s="43"/>
      <c r="MH97" s="43"/>
      <c r="MI97" s="43"/>
      <c r="MJ97" s="43"/>
      <c r="MK97" s="43"/>
      <c r="ML97" s="43"/>
      <c r="MM97" s="43"/>
      <c r="MN97" s="43"/>
      <c r="MO97" s="43"/>
      <c r="MP97" s="43"/>
      <c r="MQ97" s="43"/>
      <c r="MR97" s="43"/>
      <c r="MS97" s="43"/>
      <c r="MT97" s="43"/>
      <c r="MU97" s="43"/>
      <c r="MV97" s="43"/>
      <c r="MW97" s="43"/>
      <c r="MX97" s="43"/>
      <c r="MY97" s="43"/>
      <c r="MZ97" s="43"/>
      <c r="NA97" s="43"/>
      <c r="NB97" s="43"/>
      <c r="NC97" s="43"/>
      <c r="ND97" s="43"/>
      <c r="NE97" s="43"/>
      <c r="NF97" s="43"/>
      <c r="NG97" s="43"/>
      <c r="NH97" s="43"/>
      <c r="NI97" s="43"/>
      <c r="NJ97" s="43"/>
      <c r="NK97" s="43"/>
      <c r="NL97" s="43"/>
      <c r="NM97" s="43"/>
      <c r="NN97" s="43"/>
      <c r="NO97" s="43"/>
      <c r="NP97" s="43"/>
      <c r="NQ97" s="43"/>
      <c r="NR97" s="43"/>
      <c r="NS97" s="43"/>
      <c r="NT97" s="43"/>
      <c r="NU97" s="43"/>
      <c r="NV97" s="43"/>
      <c r="NW97" s="43"/>
      <c r="NX97" s="43"/>
      <c r="NY97" s="43"/>
      <c r="NZ97" s="43"/>
      <c r="OA97" s="43"/>
      <c r="OB97" s="43"/>
      <c r="OC97" s="43"/>
      <c r="OD97" s="43"/>
      <c r="OE97" s="43"/>
      <c r="OF97" s="43"/>
      <c r="OG97" s="43"/>
      <c r="OH97" s="43"/>
      <c r="OI97" s="43"/>
      <c r="OJ97" s="43"/>
      <c r="OK97" s="43"/>
      <c r="OL97" s="43"/>
      <c r="OM97" s="43"/>
      <c r="ON97" s="43"/>
      <c r="OO97" s="43"/>
      <c r="OP97" s="43"/>
      <c r="OQ97" s="43"/>
      <c r="OR97" s="43"/>
      <c r="OS97" s="43"/>
      <c r="OT97" s="43"/>
      <c r="OU97" s="43"/>
      <c r="OV97" s="43"/>
      <c r="OW97" s="43"/>
      <c r="OX97" s="43"/>
      <c r="OY97" s="43"/>
      <c r="OZ97" s="43"/>
      <c r="PA97" s="43"/>
      <c r="PB97" s="43"/>
      <c r="PC97" s="43"/>
      <c r="PD97" s="43"/>
      <c r="PE97" s="43"/>
      <c r="PF97" s="43"/>
      <c r="PG97" s="43"/>
      <c r="PH97" s="43"/>
      <c r="PI97" s="43"/>
      <c r="PJ97" s="43"/>
      <c r="PK97" s="43"/>
      <c r="PL97" s="43"/>
      <c r="PM97" s="43"/>
      <c r="PN97" s="43"/>
      <c r="PO97" s="43"/>
      <c r="PP97" s="43"/>
      <c r="PQ97" s="43"/>
      <c r="PR97" s="43"/>
      <c r="PS97" s="43"/>
      <c r="PT97" s="43"/>
      <c r="PU97" s="43"/>
      <c r="PV97" s="43"/>
      <c r="PW97" s="43"/>
      <c r="PX97" s="43"/>
      <c r="PY97" s="43"/>
      <c r="PZ97" s="43"/>
      <c r="QA97" s="43"/>
      <c r="QB97" s="43"/>
      <c r="QC97" s="43"/>
    </row>
    <row r="98" spans="2:445" x14ac:dyDescent="0.3"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51"/>
      <c r="O98" s="45"/>
      <c r="P98" s="45"/>
      <c r="Q98" s="45"/>
      <c r="R98" s="45"/>
      <c r="S98" s="45"/>
      <c r="T98" s="45" t="str">
        <f t="shared" si="6"/>
        <v/>
      </c>
      <c r="U98" s="45" t="str">
        <f t="shared" si="7"/>
        <v/>
      </c>
      <c r="V98" s="68" t="str">
        <f t="shared" si="8"/>
        <v/>
      </c>
      <c r="W98" s="48"/>
      <c r="X98" s="66" t="str">
        <f t="shared" si="10"/>
        <v/>
      </c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43"/>
      <c r="BN98" s="43"/>
      <c r="BO98" s="43"/>
      <c r="BP98" s="43"/>
      <c r="BQ98" s="43"/>
      <c r="BR98" s="43"/>
      <c r="BS98" s="43"/>
      <c r="BT98" s="43"/>
      <c r="BU98" s="43"/>
      <c r="BV98" s="43"/>
      <c r="BW98" s="43"/>
      <c r="BX98" s="43"/>
      <c r="BY98" s="43"/>
      <c r="BZ98" s="43"/>
      <c r="CA98" s="43"/>
      <c r="CB98" s="43"/>
      <c r="CC98" s="4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43"/>
      <c r="CY98" s="43"/>
      <c r="CZ98" s="43"/>
      <c r="DA98" s="43"/>
      <c r="DB98" s="43"/>
      <c r="DC98" s="43"/>
      <c r="DD98" s="43"/>
      <c r="DE98" s="43"/>
      <c r="DF98" s="43"/>
      <c r="DG98" s="43"/>
      <c r="DH98" s="43"/>
      <c r="DI98" s="43"/>
      <c r="DJ98" s="43"/>
      <c r="DK98" s="43"/>
      <c r="DL98" s="43"/>
      <c r="DM98" s="43"/>
      <c r="DN98" s="43"/>
      <c r="DO98" s="43"/>
      <c r="DP98" s="43"/>
      <c r="DQ98" s="43"/>
      <c r="DR98" s="43"/>
      <c r="DS98" s="43"/>
      <c r="DT98" s="43"/>
      <c r="DU98" s="43"/>
      <c r="DV98" s="43"/>
      <c r="DW98" s="43"/>
      <c r="DX98" s="43"/>
      <c r="DY98" s="43"/>
      <c r="DZ98" s="43"/>
      <c r="EA98" s="43"/>
      <c r="EB98" s="43"/>
      <c r="EC98" s="43"/>
      <c r="ED98" s="43"/>
      <c r="EE98" s="43"/>
      <c r="EF98" s="43"/>
      <c r="EG98" s="43"/>
      <c r="EH98" s="43"/>
      <c r="EI98" s="43"/>
      <c r="EJ98" s="43"/>
      <c r="EK98" s="43"/>
      <c r="EL98" s="43"/>
      <c r="EM98" s="43"/>
      <c r="EN98" s="43"/>
      <c r="EO98" s="43"/>
      <c r="EP98" s="43"/>
      <c r="EQ98" s="43"/>
      <c r="ER98" s="43"/>
      <c r="ES98" s="43"/>
      <c r="ET98" s="43"/>
      <c r="EU98" s="43"/>
      <c r="EV98" s="43"/>
      <c r="EW98" s="43"/>
      <c r="EX98" s="43"/>
      <c r="EY98" s="43"/>
      <c r="EZ98" s="43"/>
      <c r="FA98" s="43"/>
      <c r="FB98" s="43"/>
      <c r="FC98" s="43"/>
      <c r="FD98" s="43"/>
      <c r="FE98" s="43"/>
      <c r="FF98" s="43"/>
      <c r="FG98" s="43"/>
      <c r="FH98" s="43"/>
      <c r="FI98" s="43"/>
      <c r="FJ98" s="43"/>
      <c r="FK98" s="43"/>
      <c r="FL98" s="43"/>
      <c r="FM98" s="43"/>
      <c r="FN98" s="43"/>
      <c r="FO98" s="43"/>
      <c r="FP98" s="43"/>
      <c r="FQ98" s="43"/>
      <c r="FR98" s="43"/>
      <c r="FS98" s="43"/>
      <c r="FT98" s="43"/>
      <c r="FU98" s="43"/>
      <c r="FV98" s="43"/>
      <c r="FW98" s="43"/>
      <c r="FX98" s="43"/>
      <c r="FY98" s="43"/>
      <c r="FZ98" s="43"/>
      <c r="GA98" s="43"/>
      <c r="GB98" s="43"/>
      <c r="GC98" s="43"/>
      <c r="GD98" s="43"/>
      <c r="GE98" s="43"/>
      <c r="GF98" s="43"/>
      <c r="GG98" s="43"/>
      <c r="GH98" s="43"/>
      <c r="GI98" s="43"/>
      <c r="GJ98" s="43"/>
      <c r="GK98" s="43"/>
      <c r="GL98" s="43"/>
      <c r="GM98" s="43"/>
      <c r="GN98" s="43"/>
      <c r="GO98" s="43"/>
      <c r="GP98" s="43"/>
      <c r="GQ98" s="43"/>
      <c r="GR98" s="43"/>
      <c r="GS98" s="43"/>
      <c r="GT98" s="43"/>
      <c r="GU98" s="43"/>
      <c r="GV98" s="43"/>
      <c r="GW98" s="43"/>
      <c r="GX98" s="43"/>
      <c r="GY98" s="43"/>
      <c r="GZ98" s="43"/>
      <c r="HA98" s="43"/>
      <c r="HB98" s="43"/>
      <c r="HC98" s="43"/>
      <c r="HD98" s="43"/>
      <c r="HE98" s="43"/>
      <c r="HF98" s="43"/>
      <c r="HG98" s="43"/>
      <c r="HH98" s="43"/>
      <c r="HI98" s="43"/>
      <c r="HJ98" s="43"/>
      <c r="HK98" s="43"/>
      <c r="HL98" s="43"/>
      <c r="HM98" s="43"/>
      <c r="HN98" s="43"/>
      <c r="HO98" s="43"/>
      <c r="HP98" s="43"/>
      <c r="HQ98" s="43"/>
      <c r="HR98" s="43"/>
      <c r="HS98" s="43"/>
      <c r="HT98" s="43"/>
      <c r="HU98" s="43"/>
      <c r="HV98" s="43"/>
      <c r="HW98" s="43"/>
      <c r="HX98" s="43"/>
      <c r="HY98" s="43"/>
      <c r="HZ98" s="43"/>
      <c r="IA98" s="43"/>
      <c r="IB98" s="43"/>
      <c r="IC98" s="43"/>
      <c r="ID98" s="43"/>
      <c r="IE98" s="43"/>
      <c r="IF98" s="43"/>
      <c r="IG98" s="43"/>
      <c r="IH98" s="43"/>
      <c r="II98" s="43"/>
      <c r="IJ98" s="43"/>
      <c r="IK98" s="43"/>
      <c r="IL98" s="43"/>
      <c r="IM98" s="43"/>
      <c r="IN98" s="43"/>
      <c r="IO98" s="43"/>
      <c r="IP98" s="43"/>
      <c r="IQ98" s="43"/>
      <c r="IR98" s="43"/>
      <c r="IS98" s="43"/>
      <c r="IT98" s="43"/>
      <c r="IU98" s="43"/>
      <c r="IV98" s="43"/>
      <c r="IW98" s="43"/>
      <c r="IX98" s="43"/>
      <c r="IY98" s="43"/>
      <c r="IZ98" s="43"/>
      <c r="JA98" s="43"/>
      <c r="JB98" s="43"/>
      <c r="JC98" s="43"/>
      <c r="JD98" s="43"/>
      <c r="JE98" s="43"/>
      <c r="JF98" s="43"/>
      <c r="JG98" s="43"/>
      <c r="JH98" s="43"/>
      <c r="JI98" s="43"/>
      <c r="JJ98" s="43"/>
      <c r="JK98" s="43"/>
      <c r="JL98" s="43"/>
      <c r="JM98" s="43"/>
      <c r="JN98" s="43"/>
      <c r="JO98" s="43"/>
      <c r="JP98" s="43"/>
      <c r="JQ98" s="43"/>
      <c r="JR98" s="43"/>
      <c r="JS98" s="43"/>
      <c r="JT98" s="43"/>
      <c r="JU98" s="43"/>
      <c r="JV98" s="43"/>
      <c r="JW98" s="43"/>
      <c r="JX98" s="43"/>
      <c r="JY98" s="43"/>
      <c r="JZ98" s="43"/>
      <c r="KA98" s="43"/>
      <c r="KB98" s="43"/>
      <c r="KC98" s="43"/>
      <c r="KD98" s="43"/>
      <c r="KE98" s="43"/>
      <c r="KF98" s="43"/>
      <c r="KG98" s="43"/>
      <c r="KH98" s="43"/>
      <c r="KI98" s="43"/>
      <c r="KJ98" s="43"/>
      <c r="KK98" s="43"/>
      <c r="KL98" s="43"/>
      <c r="KM98" s="43"/>
      <c r="KN98" s="43"/>
      <c r="KO98" s="43"/>
      <c r="KP98" s="43"/>
      <c r="KQ98" s="43"/>
      <c r="KR98" s="43"/>
      <c r="KS98" s="43"/>
      <c r="KT98" s="43"/>
      <c r="KU98" s="43"/>
      <c r="KV98" s="43"/>
      <c r="KW98" s="43"/>
      <c r="KX98" s="43"/>
      <c r="KY98" s="43"/>
      <c r="KZ98" s="43"/>
      <c r="LA98" s="43"/>
      <c r="LB98" s="43"/>
      <c r="LC98" s="43"/>
      <c r="LD98" s="43"/>
      <c r="LE98" s="43"/>
      <c r="LF98" s="43"/>
      <c r="LG98" s="43"/>
      <c r="LH98" s="43"/>
      <c r="LI98" s="43"/>
      <c r="LJ98" s="43"/>
      <c r="LK98" s="43"/>
      <c r="LL98" s="43"/>
      <c r="LM98" s="43"/>
      <c r="LN98" s="43"/>
      <c r="LO98" s="43"/>
      <c r="LP98" s="43"/>
      <c r="LQ98" s="43"/>
      <c r="LR98" s="43"/>
      <c r="LS98" s="43"/>
      <c r="LT98" s="43"/>
      <c r="LU98" s="43"/>
      <c r="LV98" s="43"/>
      <c r="LW98" s="43"/>
      <c r="LX98" s="43"/>
      <c r="LY98" s="43"/>
      <c r="LZ98" s="43"/>
      <c r="MA98" s="43"/>
      <c r="MB98" s="43"/>
      <c r="MC98" s="43"/>
      <c r="MD98" s="43"/>
      <c r="ME98" s="43"/>
      <c r="MF98" s="43"/>
      <c r="MG98" s="43"/>
      <c r="MH98" s="43"/>
      <c r="MI98" s="43"/>
      <c r="MJ98" s="43"/>
      <c r="MK98" s="43"/>
      <c r="ML98" s="43"/>
      <c r="MM98" s="43"/>
      <c r="MN98" s="43"/>
      <c r="MO98" s="43"/>
      <c r="MP98" s="43"/>
      <c r="MQ98" s="43"/>
      <c r="MR98" s="43"/>
      <c r="MS98" s="43"/>
      <c r="MT98" s="43"/>
      <c r="MU98" s="43"/>
      <c r="MV98" s="43"/>
      <c r="MW98" s="43"/>
      <c r="MX98" s="43"/>
      <c r="MY98" s="43"/>
      <c r="MZ98" s="43"/>
      <c r="NA98" s="43"/>
      <c r="NB98" s="43"/>
      <c r="NC98" s="43"/>
      <c r="ND98" s="43"/>
      <c r="NE98" s="43"/>
      <c r="NF98" s="43"/>
      <c r="NG98" s="43"/>
      <c r="NH98" s="43"/>
      <c r="NI98" s="43"/>
      <c r="NJ98" s="43"/>
      <c r="NK98" s="43"/>
      <c r="NL98" s="43"/>
      <c r="NM98" s="43"/>
      <c r="NN98" s="43"/>
      <c r="NO98" s="43"/>
      <c r="NP98" s="43"/>
      <c r="NQ98" s="43"/>
      <c r="NR98" s="43"/>
      <c r="NS98" s="43"/>
      <c r="NT98" s="43"/>
      <c r="NU98" s="43"/>
      <c r="NV98" s="43"/>
      <c r="NW98" s="43"/>
      <c r="NX98" s="43"/>
      <c r="NY98" s="43"/>
      <c r="NZ98" s="43"/>
      <c r="OA98" s="43"/>
      <c r="OB98" s="43"/>
      <c r="OC98" s="43"/>
      <c r="OD98" s="43"/>
      <c r="OE98" s="43"/>
      <c r="OF98" s="43"/>
      <c r="OG98" s="43"/>
      <c r="OH98" s="43"/>
      <c r="OI98" s="43"/>
      <c r="OJ98" s="43"/>
      <c r="OK98" s="43"/>
      <c r="OL98" s="43"/>
      <c r="OM98" s="43"/>
      <c r="ON98" s="43"/>
      <c r="OO98" s="43"/>
      <c r="OP98" s="43"/>
      <c r="OQ98" s="43"/>
      <c r="OR98" s="43"/>
      <c r="OS98" s="43"/>
      <c r="OT98" s="43"/>
      <c r="OU98" s="43"/>
      <c r="OV98" s="43"/>
      <c r="OW98" s="43"/>
      <c r="OX98" s="43"/>
      <c r="OY98" s="43"/>
      <c r="OZ98" s="43"/>
      <c r="PA98" s="43"/>
      <c r="PB98" s="43"/>
      <c r="PC98" s="43"/>
      <c r="PD98" s="43"/>
      <c r="PE98" s="43"/>
      <c r="PF98" s="43"/>
      <c r="PG98" s="43"/>
      <c r="PH98" s="43"/>
      <c r="PI98" s="43"/>
      <c r="PJ98" s="43"/>
      <c r="PK98" s="43"/>
      <c r="PL98" s="43"/>
      <c r="PM98" s="43"/>
      <c r="PN98" s="43"/>
      <c r="PO98" s="43"/>
      <c r="PP98" s="43"/>
      <c r="PQ98" s="43"/>
      <c r="PR98" s="43"/>
      <c r="PS98" s="43"/>
      <c r="PT98" s="43"/>
      <c r="PU98" s="43"/>
      <c r="PV98" s="43"/>
      <c r="PW98" s="43"/>
      <c r="PX98" s="43"/>
      <c r="PY98" s="43"/>
      <c r="PZ98" s="43"/>
      <c r="QA98" s="43"/>
      <c r="QB98" s="43"/>
      <c r="QC98" s="43"/>
    </row>
    <row r="99" spans="2:445" x14ac:dyDescent="0.3"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8"/>
      <c r="O99" s="45"/>
      <c r="P99" s="45"/>
      <c r="Q99" s="45"/>
      <c r="R99" s="45"/>
      <c r="S99" s="45"/>
      <c r="T99" s="45" t="str">
        <f t="shared" ref="T99:T162" si="11">IF(AND(ISBLANK(E99),ISBLANK(F99),ISBLANK(G99),ISBLANK(H99),ISBLANK(I99),ISBLANK(J99),ISBLANK(K99), ISBLANK(L99), ISBLANK(M99), ISBLANK(N99), ISBLANK(O99), ISBLANK(P99), ISBLANK(Q99), ISBLANK(R99), ISBLANK(S99)),"",SUM(G99:S99))</f>
        <v/>
      </c>
      <c r="U99" s="45" t="str">
        <f t="shared" ref="U99:U162" si="12">IF(W99&lt;&gt;0,0,IF(AND(ISBLANK(F99),ISBLANK(G99),ISBLANK(H99),ISBLANK(I99),ISBLANK(J99),ISBLANK(K99), ISBLANK(L99), ISBLANK(M99), ISBLANK(N99), ISBLANK(O99), ISBLANK(P99), ISBLANK(Q99), ISBLANK(R99), ISBLANK(S99)),"", F99-T99))</f>
        <v/>
      </c>
      <c r="V99" s="68" t="str">
        <f t="shared" ref="V99:V162" si="13">IF(AND(ISBLANK(E99),ISBLANK(F99), ISBLANK(G99), ISBLANK(H99), ISBLANK(I99), ISBLANK(J99), ISBLANK(K99), ISBLANK(L99), ISBLANK(M99),ISBLANK(N99), ISBLANK(O99), ISBLANK(P99), ISBLANK(Q99), ISBLANK(R99), ISBLANK(S99)), "",IFERROR(((F99+E99)-U99)/F99,""))</f>
        <v/>
      </c>
      <c r="W99" s="48"/>
      <c r="X99" s="66" t="str">
        <f t="shared" si="10"/>
        <v/>
      </c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43"/>
      <c r="BN99" s="43"/>
      <c r="BO99" s="43"/>
      <c r="BP99" s="43"/>
      <c r="BQ99" s="43"/>
      <c r="BR99" s="43"/>
      <c r="BS99" s="43"/>
      <c r="BT99" s="43"/>
      <c r="BU99" s="43"/>
      <c r="BV99" s="43"/>
      <c r="BW99" s="43"/>
      <c r="BX99" s="43"/>
      <c r="BY99" s="43"/>
      <c r="BZ99" s="43"/>
      <c r="CA99" s="43"/>
      <c r="CB99" s="43"/>
      <c r="CC99" s="4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43"/>
      <c r="CY99" s="43"/>
      <c r="CZ99" s="43"/>
      <c r="DA99" s="43"/>
      <c r="DB99" s="43"/>
      <c r="DC99" s="43"/>
      <c r="DD99" s="43"/>
      <c r="DE99" s="43"/>
      <c r="DF99" s="43"/>
      <c r="DG99" s="43"/>
      <c r="DH99" s="43"/>
      <c r="DI99" s="43"/>
      <c r="DJ99" s="43"/>
      <c r="DK99" s="43"/>
      <c r="DL99" s="43"/>
      <c r="DM99" s="43"/>
      <c r="DN99" s="43"/>
      <c r="DO99" s="43"/>
      <c r="DP99" s="43"/>
      <c r="DQ99" s="43"/>
      <c r="DR99" s="43"/>
      <c r="DS99" s="43"/>
      <c r="DT99" s="43"/>
      <c r="DU99" s="43"/>
      <c r="DV99" s="43"/>
      <c r="DW99" s="43"/>
      <c r="DX99" s="43"/>
      <c r="DY99" s="43"/>
      <c r="DZ99" s="43"/>
      <c r="EA99" s="43"/>
      <c r="EB99" s="43"/>
      <c r="EC99" s="43"/>
      <c r="ED99" s="43"/>
      <c r="EE99" s="43"/>
      <c r="EF99" s="43"/>
      <c r="EG99" s="43"/>
      <c r="EH99" s="43"/>
      <c r="EI99" s="43"/>
      <c r="EJ99" s="43"/>
      <c r="EK99" s="43"/>
      <c r="EL99" s="43"/>
      <c r="EM99" s="43"/>
      <c r="EN99" s="43"/>
      <c r="EO99" s="43"/>
      <c r="EP99" s="43"/>
      <c r="EQ99" s="43"/>
      <c r="ER99" s="43"/>
      <c r="ES99" s="43"/>
      <c r="ET99" s="43"/>
      <c r="EU99" s="43"/>
      <c r="EV99" s="43"/>
      <c r="EW99" s="43"/>
      <c r="EX99" s="43"/>
      <c r="EY99" s="43"/>
      <c r="EZ99" s="43"/>
      <c r="FA99" s="43"/>
      <c r="FB99" s="43"/>
      <c r="FC99" s="43"/>
      <c r="FD99" s="43"/>
      <c r="FE99" s="43"/>
      <c r="FF99" s="43"/>
      <c r="FG99" s="43"/>
      <c r="FH99" s="43"/>
      <c r="FI99" s="43"/>
      <c r="FJ99" s="43"/>
      <c r="FK99" s="43"/>
      <c r="FL99" s="43"/>
      <c r="FM99" s="43"/>
      <c r="FN99" s="43"/>
      <c r="FO99" s="43"/>
      <c r="FP99" s="43"/>
      <c r="FQ99" s="43"/>
      <c r="FR99" s="43"/>
      <c r="FS99" s="43"/>
      <c r="FT99" s="43"/>
      <c r="FU99" s="43"/>
      <c r="FV99" s="43"/>
      <c r="FW99" s="43"/>
      <c r="FX99" s="43"/>
      <c r="FY99" s="43"/>
      <c r="FZ99" s="43"/>
      <c r="GA99" s="43"/>
      <c r="GB99" s="43"/>
      <c r="GC99" s="43"/>
      <c r="GD99" s="43"/>
      <c r="GE99" s="43"/>
      <c r="GF99" s="43"/>
      <c r="GG99" s="43"/>
      <c r="GH99" s="43"/>
      <c r="GI99" s="43"/>
      <c r="GJ99" s="43"/>
      <c r="GK99" s="43"/>
      <c r="GL99" s="43"/>
      <c r="GM99" s="43"/>
      <c r="GN99" s="43"/>
      <c r="GO99" s="43"/>
      <c r="GP99" s="43"/>
      <c r="GQ99" s="43"/>
      <c r="GR99" s="43"/>
      <c r="GS99" s="43"/>
      <c r="GT99" s="43"/>
      <c r="GU99" s="43"/>
      <c r="GV99" s="43"/>
      <c r="GW99" s="43"/>
      <c r="GX99" s="43"/>
      <c r="GY99" s="43"/>
      <c r="GZ99" s="43"/>
      <c r="HA99" s="43"/>
      <c r="HB99" s="43"/>
      <c r="HC99" s="43"/>
      <c r="HD99" s="43"/>
      <c r="HE99" s="43"/>
      <c r="HF99" s="43"/>
      <c r="HG99" s="43"/>
      <c r="HH99" s="43"/>
      <c r="HI99" s="43"/>
      <c r="HJ99" s="43"/>
      <c r="HK99" s="43"/>
      <c r="HL99" s="43"/>
      <c r="HM99" s="43"/>
      <c r="HN99" s="43"/>
      <c r="HO99" s="43"/>
      <c r="HP99" s="43"/>
      <c r="HQ99" s="43"/>
      <c r="HR99" s="43"/>
      <c r="HS99" s="43"/>
      <c r="HT99" s="43"/>
      <c r="HU99" s="43"/>
      <c r="HV99" s="43"/>
      <c r="HW99" s="43"/>
      <c r="HX99" s="43"/>
      <c r="HY99" s="43"/>
      <c r="HZ99" s="43"/>
      <c r="IA99" s="43"/>
      <c r="IB99" s="43"/>
      <c r="IC99" s="43"/>
      <c r="ID99" s="43"/>
      <c r="IE99" s="43"/>
      <c r="IF99" s="43"/>
      <c r="IG99" s="43"/>
      <c r="IH99" s="43"/>
      <c r="II99" s="43"/>
      <c r="IJ99" s="43"/>
      <c r="IK99" s="43"/>
      <c r="IL99" s="43"/>
      <c r="IM99" s="43"/>
      <c r="IN99" s="43"/>
      <c r="IO99" s="43"/>
      <c r="IP99" s="43"/>
      <c r="IQ99" s="43"/>
      <c r="IR99" s="43"/>
      <c r="IS99" s="43"/>
      <c r="IT99" s="43"/>
      <c r="IU99" s="43"/>
      <c r="IV99" s="43"/>
      <c r="IW99" s="43"/>
      <c r="IX99" s="43"/>
      <c r="IY99" s="43"/>
      <c r="IZ99" s="43"/>
      <c r="JA99" s="43"/>
      <c r="JB99" s="43"/>
      <c r="JC99" s="43"/>
      <c r="JD99" s="43"/>
      <c r="JE99" s="43"/>
      <c r="JF99" s="43"/>
      <c r="JG99" s="43"/>
      <c r="JH99" s="43"/>
      <c r="JI99" s="43"/>
      <c r="JJ99" s="43"/>
      <c r="JK99" s="43"/>
      <c r="JL99" s="43"/>
      <c r="JM99" s="43"/>
      <c r="JN99" s="43"/>
      <c r="JO99" s="43"/>
      <c r="JP99" s="43"/>
      <c r="JQ99" s="43"/>
      <c r="JR99" s="43"/>
      <c r="JS99" s="43"/>
      <c r="JT99" s="43"/>
      <c r="JU99" s="43"/>
      <c r="JV99" s="43"/>
      <c r="JW99" s="43"/>
      <c r="JX99" s="43"/>
      <c r="JY99" s="43"/>
      <c r="JZ99" s="43"/>
      <c r="KA99" s="43"/>
      <c r="KB99" s="43"/>
      <c r="KC99" s="43"/>
      <c r="KD99" s="43"/>
      <c r="KE99" s="43"/>
      <c r="KF99" s="43"/>
      <c r="KG99" s="43"/>
      <c r="KH99" s="43"/>
      <c r="KI99" s="43"/>
      <c r="KJ99" s="43"/>
      <c r="KK99" s="43"/>
      <c r="KL99" s="43"/>
      <c r="KM99" s="43"/>
      <c r="KN99" s="43"/>
      <c r="KO99" s="43"/>
      <c r="KP99" s="43"/>
      <c r="KQ99" s="43"/>
      <c r="KR99" s="43"/>
      <c r="KS99" s="43"/>
      <c r="KT99" s="43"/>
      <c r="KU99" s="43"/>
      <c r="KV99" s="43"/>
      <c r="KW99" s="43"/>
      <c r="KX99" s="43"/>
      <c r="KY99" s="43"/>
      <c r="KZ99" s="43"/>
      <c r="LA99" s="43"/>
      <c r="LB99" s="43"/>
      <c r="LC99" s="43"/>
      <c r="LD99" s="43"/>
      <c r="LE99" s="43"/>
      <c r="LF99" s="43"/>
      <c r="LG99" s="43"/>
      <c r="LH99" s="43"/>
      <c r="LI99" s="43"/>
      <c r="LJ99" s="43"/>
      <c r="LK99" s="43"/>
      <c r="LL99" s="43"/>
      <c r="LM99" s="43"/>
      <c r="LN99" s="43"/>
      <c r="LO99" s="43"/>
      <c r="LP99" s="43"/>
      <c r="LQ99" s="43"/>
      <c r="LR99" s="43"/>
      <c r="LS99" s="43"/>
      <c r="LT99" s="43"/>
      <c r="LU99" s="43"/>
      <c r="LV99" s="43"/>
      <c r="LW99" s="43"/>
      <c r="LX99" s="43"/>
      <c r="LY99" s="43"/>
      <c r="LZ99" s="43"/>
      <c r="MA99" s="43"/>
      <c r="MB99" s="43"/>
      <c r="MC99" s="43"/>
      <c r="MD99" s="43"/>
      <c r="ME99" s="43"/>
      <c r="MF99" s="43"/>
      <c r="MG99" s="43"/>
      <c r="MH99" s="43"/>
      <c r="MI99" s="43"/>
      <c r="MJ99" s="43"/>
      <c r="MK99" s="43"/>
      <c r="ML99" s="43"/>
      <c r="MM99" s="43"/>
      <c r="MN99" s="43"/>
      <c r="MO99" s="43"/>
      <c r="MP99" s="43"/>
      <c r="MQ99" s="43"/>
      <c r="MR99" s="43"/>
      <c r="MS99" s="43"/>
      <c r="MT99" s="43"/>
      <c r="MU99" s="43"/>
      <c r="MV99" s="43"/>
      <c r="MW99" s="43"/>
      <c r="MX99" s="43"/>
      <c r="MY99" s="43"/>
      <c r="MZ99" s="43"/>
      <c r="NA99" s="43"/>
      <c r="NB99" s="43"/>
      <c r="NC99" s="43"/>
      <c r="ND99" s="43"/>
      <c r="NE99" s="43"/>
      <c r="NF99" s="43"/>
      <c r="NG99" s="43"/>
      <c r="NH99" s="43"/>
      <c r="NI99" s="43"/>
      <c r="NJ99" s="43"/>
      <c r="NK99" s="43"/>
      <c r="NL99" s="43"/>
      <c r="NM99" s="43"/>
      <c r="NN99" s="43"/>
      <c r="NO99" s="43"/>
      <c r="NP99" s="43"/>
      <c r="NQ99" s="43"/>
      <c r="NR99" s="43"/>
      <c r="NS99" s="43"/>
      <c r="NT99" s="43"/>
      <c r="NU99" s="43"/>
      <c r="NV99" s="43"/>
      <c r="NW99" s="43"/>
      <c r="NX99" s="43"/>
      <c r="NY99" s="43"/>
      <c r="NZ99" s="43"/>
      <c r="OA99" s="43"/>
      <c r="OB99" s="43"/>
      <c r="OC99" s="43"/>
      <c r="OD99" s="43"/>
      <c r="OE99" s="43"/>
      <c r="OF99" s="43"/>
      <c r="OG99" s="43"/>
      <c r="OH99" s="43"/>
      <c r="OI99" s="43"/>
      <c r="OJ99" s="43"/>
      <c r="OK99" s="43"/>
      <c r="OL99" s="43"/>
      <c r="OM99" s="43"/>
      <c r="ON99" s="43"/>
      <c r="OO99" s="43"/>
      <c r="OP99" s="43"/>
      <c r="OQ99" s="43"/>
      <c r="OR99" s="43"/>
      <c r="OS99" s="43"/>
      <c r="OT99" s="43"/>
      <c r="OU99" s="43"/>
      <c r="OV99" s="43"/>
      <c r="OW99" s="43"/>
      <c r="OX99" s="43"/>
      <c r="OY99" s="43"/>
      <c r="OZ99" s="43"/>
      <c r="PA99" s="43"/>
      <c r="PB99" s="43"/>
      <c r="PC99" s="43"/>
      <c r="PD99" s="43"/>
      <c r="PE99" s="43"/>
      <c r="PF99" s="43"/>
      <c r="PG99" s="43"/>
      <c r="PH99" s="43"/>
      <c r="PI99" s="43"/>
      <c r="PJ99" s="43"/>
      <c r="PK99" s="43"/>
      <c r="PL99" s="43"/>
      <c r="PM99" s="43"/>
      <c r="PN99" s="43"/>
      <c r="PO99" s="43"/>
      <c r="PP99" s="43"/>
      <c r="PQ99" s="43"/>
      <c r="PR99" s="43"/>
      <c r="PS99" s="43"/>
      <c r="PT99" s="43"/>
      <c r="PU99" s="43"/>
      <c r="PV99" s="43"/>
      <c r="PW99" s="43"/>
      <c r="PX99" s="43"/>
      <c r="PY99" s="43"/>
      <c r="PZ99" s="43"/>
      <c r="QA99" s="43"/>
      <c r="QB99" s="43"/>
      <c r="QC99" s="43"/>
    </row>
    <row r="100" spans="2:445" x14ac:dyDescent="0.3"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 t="str">
        <f t="shared" si="11"/>
        <v/>
      </c>
      <c r="U100" s="45" t="str">
        <f t="shared" si="12"/>
        <v/>
      </c>
      <c r="V100" s="68" t="str">
        <f t="shared" si="13"/>
        <v/>
      </c>
      <c r="W100" s="48"/>
      <c r="X100" s="66" t="str">
        <f t="shared" ref="X100:X131" si="14">IF(W100&lt;&gt;"",F100 - (SUM(G100:S100)),"")</f>
        <v/>
      </c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43"/>
      <c r="BN100" s="43"/>
      <c r="BO100" s="43"/>
      <c r="BP100" s="43"/>
      <c r="BQ100" s="43"/>
      <c r="BR100" s="43"/>
      <c r="BS100" s="43"/>
      <c r="BT100" s="43"/>
      <c r="BU100" s="43"/>
      <c r="BV100" s="43"/>
      <c r="BW100" s="43"/>
      <c r="BX100" s="43"/>
      <c r="BY100" s="43"/>
      <c r="BZ100" s="43"/>
      <c r="CA100" s="43"/>
      <c r="CB100" s="43"/>
      <c r="CC100" s="43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43"/>
      <c r="CY100" s="43"/>
      <c r="CZ100" s="43"/>
      <c r="DA100" s="43"/>
      <c r="DB100" s="43"/>
      <c r="DC100" s="43"/>
      <c r="DD100" s="43"/>
      <c r="DE100" s="43"/>
      <c r="DF100" s="43"/>
      <c r="DG100" s="43"/>
      <c r="DH100" s="43"/>
      <c r="DI100" s="43"/>
      <c r="DJ100" s="43"/>
      <c r="DK100" s="43"/>
      <c r="DL100" s="43"/>
      <c r="DM100" s="43"/>
      <c r="DN100" s="43"/>
      <c r="DO100" s="43"/>
      <c r="DP100" s="43"/>
      <c r="DQ100" s="43"/>
      <c r="DR100" s="43"/>
      <c r="DS100" s="43"/>
      <c r="DT100" s="43"/>
      <c r="DU100" s="43"/>
      <c r="DV100" s="43"/>
      <c r="DW100" s="43"/>
      <c r="DX100" s="43"/>
      <c r="DY100" s="43"/>
      <c r="DZ100" s="43"/>
      <c r="EA100" s="43"/>
      <c r="EB100" s="43"/>
      <c r="EC100" s="43"/>
      <c r="ED100" s="43"/>
      <c r="EE100" s="43"/>
      <c r="EF100" s="43"/>
      <c r="EG100" s="43"/>
      <c r="EH100" s="43"/>
      <c r="EI100" s="43"/>
      <c r="EJ100" s="43"/>
      <c r="EK100" s="43"/>
      <c r="EL100" s="43"/>
      <c r="EM100" s="43"/>
      <c r="EN100" s="43"/>
      <c r="EO100" s="43"/>
      <c r="EP100" s="43"/>
      <c r="EQ100" s="43"/>
      <c r="ER100" s="43"/>
      <c r="ES100" s="43"/>
      <c r="ET100" s="43"/>
      <c r="EU100" s="43"/>
      <c r="EV100" s="43"/>
      <c r="EW100" s="43"/>
      <c r="EX100" s="43"/>
      <c r="EY100" s="43"/>
      <c r="EZ100" s="43"/>
      <c r="FA100" s="43"/>
      <c r="FB100" s="43"/>
      <c r="FC100" s="43"/>
      <c r="FD100" s="43"/>
      <c r="FE100" s="43"/>
      <c r="FF100" s="43"/>
      <c r="FG100" s="43"/>
      <c r="FH100" s="43"/>
      <c r="FI100" s="43"/>
      <c r="FJ100" s="43"/>
      <c r="FK100" s="43"/>
      <c r="FL100" s="43"/>
      <c r="FM100" s="43"/>
      <c r="FN100" s="43"/>
      <c r="FO100" s="43"/>
      <c r="FP100" s="43"/>
      <c r="FQ100" s="43"/>
      <c r="FR100" s="43"/>
      <c r="FS100" s="43"/>
      <c r="FT100" s="43"/>
      <c r="FU100" s="43"/>
      <c r="FV100" s="43"/>
      <c r="FW100" s="43"/>
      <c r="FX100" s="43"/>
      <c r="FY100" s="43"/>
      <c r="FZ100" s="43"/>
      <c r="GA100" s="43"/>
      <c r="GB100" s="43"/>
      <c r="GC100" s="43"/>
      <c r="GD100" s="43"/>
      <c r="GE100" s="43"/>
      <c r="GF100" s="43"/>
      <c r="GG100" s="43"/>
      <c r="GH100" s="43"/>
      <c r="GI100" s="43"/>
      <c r="GJ100" s="43"/>
      <c r="GK100" s="43"/>
      <c r="GL100" s="43"/>
      <c r="GM100" s="43"/>
      <c r="GN100" s="43"/>
      <c r="GO100" s="43"/>
      <c r="GP100" s="43"/>
      <c r="GQ100" s="43"/>
      <c r="GR100" s="43"/>
      <c r="GS100" s="43"/>
      <c r="GT100" s="43"/>
      <c r="GU100" s="43"/>
      <c r="GV100" s="43"/>
      <c r="GW100" s="43"/>
      <c r="GX100" s="43"/>
      <c r="GY100" s="43"/>
      <c r="GZ100" s="43"/>
      <c r="HA100" s="43"/>
      <c r="HB100" s="43"/>
      <c r="HC100" s="43"/>
      <c r="HD100" s="43"/>
      <c r="HE100" s="43"/>
      <c r="HF100" s="43"/>
      <c r="HG100" s="43"/>
      <c r="HH100" s="43"/>
      <c r="HI100" s="43"/>
      <c r="HJ100" s="43"/>
      <c r="HK100" s="43"/>
      <c r="HL100" s="43"/>
      <c r="HM100" s="43"/>
      <c r="HN100" s="43"/>
      <c r="HO100" s="43"/>
      <c r="HP100" s="43"/>
      <c r="HQ100" s="43"/>
      <c r="HR100" s="43"/>
      <c r="HS100" s="43"/>
      <c r="HT100" s="43"/>
      <c r="HU100" s="43"/>
      <c r="HV100" s="43"/>
      <c r="HW100" s="43"/>
      <c r="HX100" s="43"/>
      <c r="HY100" s="43"/>
      <c r="HZ100" s="43"/>
      <c r="IA100" s="43"/>
      <c r="IB100" s="43"/>
      <c r="IC100" s="43"/>
      <c r="ID100" s="43"/>
      <c r="IE100" s="43"/>
      <c r="IF100" s="43"/>
      <c r="IG100" s="43"/>
      <c r="IH100" s="43"/>
      <c r="II100" s="43"/>
      <c r="IJ100" s="43"/>
      <c r="IK100" s="43"/>
      <c r="IL100" s="43"/>
      <c r="IM100" s="43"/>
      <c r="IN100" s="43"/>
      <c r="IO100" s="43"/>
      <c r="IP100" s="43"/>
      <c r="IQ100" s="43"/>
      <c r="IR100" s="43"/>
      <c r="IS100" s="43"/>
      <c r="IT100" s="43"/>
      <c r="IU100" s="43"/>
      <c r="IV100" s="43"/>
      <c r="IW100" s="43"/>
      <c r="IX100" s="43"/>
      <c r="IY100" s="43"/>
      <c r="IZ100" s="43"/>
      <c r="JA100" s="43"/>
      <c r="JB100" s="43"/>
      <c r="JC100" s="43"/>
      <c r="JD100" s="43"/>
      <c r="JE100" s="43"/>
      <c r="JF100" s="43"/>
      <c r="JG100" s="43"/>
      <c r="JH100" s="43"/>
      <c r="JI100" s="43"/>
      <c r="JJ100" s="43"/>
      <c r="JK100" s="43"/>
      <c r="JL100" s="43"/>
      <c r="JM100" s="43"/>
      <c r="JN100" s="43"/>
      <c r="JO100" s="43"/>
      <c r="JP100" s="43"/>
      <c r="JQ100" s="43"/>
      <c r="JR100" s="43"/>
      <c r="JS100" s="43"/>
      <c r="JT100" s="43"/>
      <c r="JU100" s="43"/>
      <c r="JV100" s="43"/>
      <c r="JW100" s="43"/>
      <c r="JX100" s="43"/>
      <c r="JY100" s="43"/>
      <c r="JZ100" s="43"/>
      <c r="KA100" s="43"/>
      <c r="KB100" s="43"/>
      <c r="KC100" s="43"/>
      <c r="KD100" s="43"/>
      <c r="KE100" s="43"/>
      <c r="KF100" s="43"/>
      <c r="KG100" s="43"/>
      <c r="KH100" s="43"/>
      <c r="KI100" s="43"/>
      <c r="KJ100" s="43"/>
      <c r="KK100" s="43"/>
      <c r="KL100" s="43"/>
      <c r="KM100" s="43"/>
      <c r="KN100" s="43"/>
      <c r="KO100" s="43"/>
      <c r="KP100" s="43"/>
      <c r="KQ100" s="43"/>
      <c r="KR100" s="43"/>
      <c r="KS100" s="43"/>
      <c r="KT100" s="43"/>
      <c r="KU100" s="43"/>
      <c r="KV100" s="43"/>
      <c r="KW100" s="43"/>
      <c r="KX100" s="43"/>
      <c r="KY100" s="43"/>
      <c r="KZ100" s="43"/>
      <c r="LA100" s="43"/>
      <c r="LB100" s="43"/>
      <c r="LC100" s="43"/>
      <c r="LD100" s="43"/>
      <c r="LE100" s="43"/>
      <c r="LF100" s="43"/>
      <c r="LG100" s="43"/>
      <c r="LH100" s="43"/>
      <c r="LI100" s="43"/>
      <c r="LJ100" s="43"/>
      <c r="LK100" s="43"/>
      <c r="LL100" s="43"/>
      <c r="LM100" s="43"/>
      <c r="LN100" s="43"/>
      <c r="LO100" s="43"/>
      <c r="LP100" s="43"/>
      <c r="LQ100" s="43"/>
      <c r="LR100" s="43"/>
      <c r="LS100" s="43"/>
      <c r="LT100" s="43"/>
      <c r="LU100" s="43"/>
      <c r="LV100" s="43"/>
      <c r="LW100" s="43"/>
      <c r="LX100" s="43"/>
      <c r="LY100" s="43"/>
      <c r="LZ100" s="43"/>
      <c r="MA100" s="43"/>
      <c r="MB100" s="43"/>
      <c r="MC100" s="43"/>
      <c r="MD100" s="43"/>
      <c r="ME100" s="43"/>
      <c r="MF100" s="43"/>
      <c r="MG100" s="43"/>
      <c r="MH100" s="43"/>
      <c r="MI100" s="43"/>
      <c r="MJ100" s="43"/>
      <c r="MK100" s="43"/>
      <c r="ML100" s="43"/>
      <c r="MM100" s="43"/>
      <c r="MN100" s="43"/>
      <c r="MO100" s="43"/>
      <c r="MP100" s="43"/>
      <c r="MQ100" s="43"/>
      <c r="MR100" s="43"/>
      <c r="MS100" s="43"/>
      <c r="MT100" s="43"/>
      <c r="MU100" s="43"/>
      <c r="MV100" s="43"/>
      <c r="MW100" s="43"/>
      <c r="MX100" s="43"/>
      <c r="MY100" s="43"/>
      <c r="MZ100" s="43"/>
      <c r="NA100" s="43"/>
      <c r="NB100" s="43"/>
      <c r="NC100" s="43"/>
      <c r="ND100" s="43"/>
      <c r="NE100" s="43"/>
      <c r="NF100" s="43"/>
      <c r="NG100" s="43"/>
      <c r="NH100" s="43"/>
      <c r="NI100" s="43"/>
      <c r="NJ100" s="43"/>
      <c r="NK100" s="43"/>
      <c r="NL100" s="43"/>
      <c r="NM100" s="43"/>
      <c r="NN100" s="43"/>
      <c r="NO100" s="43"/>
      <c r="NP100" s="43"/>
      <c r="NQ100" s="43"/>
      <c r="NR100" s="43"/>
      <c r="NS100" s="43"/>
      <c r="NT100" s="43"/>
      <c r="NU100" s="43"/>
      <c r="NV100" s="43"/>
      <c r="NW100" s="43"/>
      <c r="NX100" s="43"/>
      <c r="NY100" s="43"/>
      <c r="NZ100" s="43"/>
      <c r="OA100" s="43"/>
      <c r="OB100" s="43"/>
      <c r="OC100" s="43"/>
      <c r="OD100" s="43"/>
      <c r="OE100" s="43"/>
      <c r="OF100" s="43"/>
      <c r="OG100" s="43"/>
      <c r="OH100" s="43"/>
      <c r="OI100" s="43"/>
      <c r="OJ100" s="43"/>
      <c r="OK100" s="43"/>
      <c r="OL100" s="43"/>
      <c r="OM100" s="43"/>
      <c r="ON100" s="43"/>
      <c r="OO100" s="43"/>
      <c r="OP100" s="43"/>
      <c r="OQ100" s="43"/>
      <c r="OR100" s="43"/>
      <c r="OS100" s="43"/>
      <c r="OT100" s="43"/>
      <c r="OU100" s="43"/>
      <c r="OV100" s="43"/>
      <c r="OW100" s="43"/>
      <c r="OX100" s="43"/>
      <c r="OY100" s="43"/>
      <c r="OZ100" s="43"/>
      <c r="PA100" s="43"/>
      <c r="PB100" s="43"/>
      <c r="PC100" s="43"/>
      <c r="PD100" s="43"/>
      <c r="PE100" s="43"/>
      <c r="PF100" s="43"/>
      <c r="PG100" s="43"/>
      <c r="PH100" s="43"/>
      <c r="PI100" s="43"/>
      <c r="PJ100" s="43"/>
      <c r="PK100" s="43"/>
      <c r="PL100" s="43"/>
      <c r="PM100" s="43"/>
      <c r="PN100" s="43"/>
      <c r="PO100" s="43"/>
      <c r="PP100" s="43"/>
      <c r="PQ100" s="43"/>
      <c r="PR100" s="43"/>
      <c r="PS100" s="43"/>
      <c r="PT100" s="43"/>
      <c r="PU100" s="43"/>
      <c r="PV100" s="43"/>
      <c r="PW100" s="43"/>
      <c r="PX100" s="43"/>
      <c r="PY100" s="43"/>
      <c r="PZ100" s="43"/>
      <c r="QA100" s="43"/>
      <c r="QB100" s="43"/>
      <c r="QC100" s="43"/>
    </row>
    <row r="101" spans="2:445" x14ac:dyDescent="0.3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 t="str">
        <f t="shared" si="11"/>
        <v/>
      </c>
      <c r="U101" s="45" t="str">
        <f t="shared" si="12"/>
        <v/>
      </c>
      <c r="V101" s="68" t="str">
        <f t="shared" si="13"/>
        <v/>
      </c>
      <c r="W101" s="48"/>
      <c r="X101" s="66" t="str">
        <f t="shared" si="14"/>
        <v/>
      </c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43"/>
      <c r="BN101" s="43"/>
      <c r="BO101" s="43"/>
      <c r="BP101" s="43"/>
      <c r="BQ101" s="43"/>
      <c r="BR101" s="43"/>
      <c r="BS101" s="43"/>
      <c r="BT101" s="43"/>
      <c r="BU101" s="43"/>
      <c r="BV101" s="43"/>
      <c r="BW101" s="43"/>
      <c r="BX101" s="43"/>
      <c r="BY101" s="43"/>
      <c r="BZ101" s="43"/>
      <c r="CA101" s="43"/>
      <c r="CB101" s="43"/>
      <c r="CC101" s="4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43"/>
      <c r="CY101" s="43"/>
      <c r="CZ101" s="43"/>
      <c r="DA101" s="43"/>
      <c r="DB101" s="43"/>
      <c r="DC101" s="43"/>
      <c r="DD101" s="43"/>
      <c r="DE101" s="43"/>
      <c r="DF101" s="43"/>
      <c r="DG101" s="43"/>
      <c r="DH101" s="43"/>
      <c r="DI101" s="43"/>
      <c r="DJ101" s="43"/>
      <c r="DK101" s="43"/>
      <c r="DL101" s="43"/>
      <c r="DM101" s="43"/>
      <c r="DN101" s="43"/>
      <c r="DO101" s="43"/>
      <c r="DP101" s="43"/>
      <c r="DQ101" s="43"/>
      <c r="DR101" s="43"/>
      <c r="DS101" s="43"/>
      <c r="DT101" s="43"/>
      <c r="DU101" s="43"/>
      <c r="DV101" s="43"/>
      <c r="DW101" s="43"/>
      <c r="DX101" s="43"/>
      <c r="DY101" s="43"/>
      <c r="DZ101" s="43"/>
      <c r="EA101" s="43"/>
      <c r="EB101" s="43"/>
      <c r="EC101" s="43"/>
      <c r="ED101" s="43"/>
      <c r="EE101" s="43"/>
      <c r="EF101" s="43"/>
      <c r="EG101" s="43"/>
      <c r="EH101" s="43"/>
      <c r="EI101" s="43"/>
      <c r="EJ101" s="43"/>
      <c r="EK101" s="43"/>
      <c r="EL101" s="43"/>
      <c r="EM101" s="43"/>
      <c r="EN101" s="43"/>
      <c r="EO101" s="43"/>
      <c r="EP101" s="43"/>
      <c r="EQ101" s="43"/>
      <c r="ER101" s="43"/>
      <c r="ES101" s="43"/>
      <c r="ET101" s="43"/>
      <c r="EU101" s="43"/>
      <c r="EV101" s="43"/>
      <c r="EW101" s="43"/>
      <c r="EX101" s="43"/>
      <c r="EY101" s="43"/>
      <c r="EZ101" s="43"/>
      <c r="FA101" s="43"/>
      <c r="FB101" s="43"/>
      <c r="FC101" s="43"/>
      <c r="FD101" s="43"/>
      <c r="FE101" s="43"/>
      <c r="FF101" s="43"/>
      <c r="FG101" s="43"/>
      <c r="FH101" s="43"/>
      <c r="FI101" s="43"/>
      <c r="FJ101" s="43"/>
      <c r="FK101" s="43"/>
      <c r="FL101" s="43"/>
      <c r="FM101" s="43"/>
      <c r="FN101" s="43"/>
      <c r="FO101" s="43"/>
      <c r="FP101" s="43"/>
      <c r="FQ101" s="43"/>
      <c r="FR101" s="43"/>
      <c r="FS101" s="43"/>
      <c r="FT101" s="43"/>
      <c r="FU101" s="43"/>
      <c r="FV101" s="43"/>
      <c r="FW101" s="43"/>
      <c r="FX101" s="43"/>
      <c r="FY101" s="43"/>
      <c r="FZ101" s="43"/>
      <c r="GA101" s="43"/>
      <c r="GB101" s="43"/>
      <c r="GC101" s="43"/>
      <c r="GD101" s="43"/>
      <c r="GE101" s="43"/>
      <c r="GF101" s="43"/>
      <c r="GG101" s="43"/>
      <c r="GH101" s="43"/>
      <c r="GI101" s="43"/>
      <c r="GJ101" s="43"/>
      <c r="GK101" s="43"/>
      <c r="GL101" s="43"/>
      <c r="GM101" s="43"/>
      <c r="GN101" s="43"/>
      <c r="GO101" s="43"/>
      <c r="GP101" s="43"/>
      <c r="GQ101" s="43"/>
      <c r="GR101" s="43"/>
      <c r="GS101" s="43"/>
      <c r="GT101" s="43"/>
      <c r="GU101" s="43"/>
      <c r="GV101" s="43"/>
      <c r="GW101" s="43"/>
      <c r="GX101" s="43"/>
      <c r="GY101" s="43"/>
      <c r="GZ101" s="43"/>
      <c r="HA101" s="43"/>
      <c r="HB101" s="43"/>
      <c r="HC101" s="43"/>
      <c r="HD101" s="43"/>
      <c r="HE101" s="43"/>
      <c r="HF101" s="43"/>
      <c r="HG101" s="43"/>
      <c r="HH101" s="43"/>
      <c r="HI101" s="43"/>
      <c r="HJ101" s="43"/>
      <c r="HK101" s="43"/>
      <c r="HL101" s="43"/>
      <c r="HM101" s="43"/>
      <c r="HN101" s="43"/>
      <c r="HO101" s="43"/>
      <c r="HP101" s="43"/>
      <c r="HQ101" s="43"/>
      <c r="HR101" s="43"/>
      <c r="HS101" s="43"/>
      <c r="HT101" s="43"/>
      <c r="HU101" s="43"/>
      <c r="HV101" s="43"/>
      <c r="HW101" s="43"/>
      <c r="HX101" s="43"/>
      <c r="HY101" s="43"/>
      <c r="HZ101" s="43"/>
      <c r="IA101" s="43"/>
      <c r="IB101" s="43"/>
      <c r="IC101" s="43"/>
      <c r="ID101" s="43"/>
      <c r="IE101" s="43"/>
      <c r="IF101" s="43"/>
      <c r="IG101" s="43"/>
      <c r="IH101" s="43"/>
      <c r="II101" s="43"/>
      <c r="IJ101" s="43"/>
      <c r="IK101" s="43"/>
      <c r="IL101" s="43"/>
      <c r="IM101" s="43"/>
      <c r="IN101" s="43"/>
      <c r="IO101" s="43"/>
      <c r="IP101" s="43"/>
      <c r="IQ101" s="43"/>
      <c r="IR101" s="43"/>
      <c r="IS101" s="43"/>
      <c r="IT101" s="43"/>
      <c r="IU101" s="43"/>
      <c r="IV101" s="43"/>
      <c r="IW101" s="43"/>
      <c r="IX101" s="43"/>
      <c r="IY101" s="43"/>
      <c r="IZ101" s="43"/>
      <c r="JA101" s="43"/>
      <c r="JB101" s="43"/>
      <c r="JC101" s="43"/>
      <c r="JD101" s="43"/>
      <c r="JE101" s="43"/>
      <c r="JF101" s="43"/>
      <c r="JG101" s="43"/>
      <c r="JH101" s="43"/>
      <c r="JI101" s="43"/>
      <c r="JJ101" s="43"/>
      <c r="JK101" s="43"/>
      <c r="JL101" s="43"/>
      <c r="JM101" s="43"/>
      <c r="JN101" s="43"/>
      <c r="JO101" s="43"/>
      <c r="JP101" s="43"/>
      <c r="JQ101" s="43"/>
      <c r="JR101" s="43"/>
      <c r="JS101" s="43"/>
      <c r="JT101" s="43"/>
      <c r="JU101" s="43"/>
      <c r="JV101" s="43"/>
      <c r="JW101" s="43"/>
      <c r="JX101" s="43"/>
      <c r="JY101" s="43"/>
      <c r="JZ101" s="43"/>
      <c r="KA101" s="43"/>
      <c r="KB101" s="43"/>
      <c r="KC101" s="43"/>
      <c r="KD101" s="43"/>
      <c r="KE101" s="43"/>
      <c r="KF101" s="43"/>
      <c r="KG101" s="43"/>
      <c r="KH101" s="43"/>
      <c r="KI101" s="43"/>
      <c r="KJ101" s="43"/>
      <c r="KK101" s="43"/>
      <c r="KL101" s="43"/>
      <c r="KM101" s="43"/>
      <c r="KN101" s="43"/>
      <c r="KO101" s="43"/>
      <c r="KP101" s="43"/>
      <c r="KQ101" s="43"/>
      <c r="KR101" s="43"/>
      <c r="KS101" s="43"/>
      <c r="KT101" s="43"/>
      <c r="KU101" s="43"/>
      <c r="KV101" s="43"/>
      <c r="KW101" s="43"/>
      <c r="KX101" s="43"/>
      <c r="KY101" s="43"/>
      <c r="KZ101" s="43"/>
      <c r="LA101" s="43"/>
      <c r="LB101" s="43"/>
      <c r="LC101" s="43"/>
      <c r="LD101" s="43"/>
      <c r="LE101" s="43"/>
      <c r="LF101" s="43"/>
      <c r="LG101" s="43"/>
      <c r="LH101" s="43"/>
      <c r="LI101" s="43"/>
      <c r="LJ101" s="43"/>
      <c r="LK101" s="43"/>
      <c r="LL101" s="43"/>
      <c r="LM101" s="43"/>
      <c r="LN101" s="43"/>
      <c r="LO101" s="43"/>
      <c r="LP101" s="43"/>
      <c r="LQ101" s="43"/>
      <c r="LR101" s="43"/>
      <c r="LS101" s="43"/>
      <c r="LT101" s="43"/>
      <c r="LU101" s="43"/>
      <c r="LV101" s="43"/>
      <c r="LW101" s="43"/>
      <c r="LX101" s="43"/>
      <c r="LY101" s="43"/>
      <c r="LZ101" s="43"/>
      <c r="MA101" s="43"/>
      <c r="MB101" s="43"/>
      <c r="MC101" s="43"/>
      <c r="MD101" s="43"/>
      <c r="ME101" s="43"/>
      <c r="MF101" s="43"/>
      <c r="MG101" s="43"/>
      <c r="MH101" s="43"/>
      <c r="MI101" s="43"/>
      <c r="MJ101" s="43"/>
      <c r="MK101" s="43"/>
      <c r="ML101" s="43"/>
      <c r="MM101" s="43"/>
      <c r="MN101" s="43"/>
      <c r="MO101" s="43"/>
      <c r="MP101" s="43"/>
      <c r="MQ101" s="43"/>
      <c r="MR101" s="43"/>
      <c r="MS101" s="43"/>
      <c r="MT101" s="43"/>
      <c r="MU101" s="43"/>
      <c r="MV101" s="43"/>
      <c r="MW101" s="43"/>
      <c r="MX101" s="43"/>
      <c r="MY101" s="43"/>
      <c r="MZ101" s="43"/>
      <c r="NA101" s="43"/>
      <c r="NB101" s="43"/>
      <c r="NC101" s="43"/>
      <c r="ND101" s="43"/>
      <c r="NE101" s="43"/>
      <c r="NF101" s="43"/>
      <c r="NG101" s="43"/>
      <c r="NH101" s="43"/>
      <c r="NI101" s="43"/>
      <c r="NJ101" s="43"/>
      <c r="NK101" s="43"/>
      <c r="NL101" s="43"/>
      <c r="NM101" s="43"/>
      <c r="NN101" s="43"/>
      <c r="NO101" s="43"/>
      <c r="NP101" s="43"/>
      <c r="NQ101" s="43"/>
      <c r="NR101" s="43"/>
      <c r="NS101" s="43"/>
      <c r="NT101" s="43"/>
      <c r="NU101" s="43"/>
      <c r="NV101" s="43"/>
      <c r="NW101" s="43"/>
      <c r="NX101" s="43"/>
      <c r="NY101" s="43"/>
      <c r="NZ101" s="43"/>
      <c r="OA101" s="43"/>
      <c r="OB101" s="43"/>
      <c r="OC101" s="43"/>
      <c r="OD101" s="43"/>
      <c r="OE101" s="43"/>
      <c r="OF101" s="43"/>
      <c r="OG101" s="43"/>
      <c r="OH101" s="43"/>
      <c r="OI101" s="43"/>
      <c r="OJ101" s="43"/>
      <c r="OK101" s="43"/>
      <c r="OL101" s="43"/>
      <c r="OM101" s="43"/>
      <c r="ON101" s="43"/>
      <c r="OO101" s="43"/>
      <c r="OP101" s="43"/>
      <c r="OQ101" s="43"/>
      <c r="OR101" s="43"/>
      <c r="OS101" s="43"/>
      <c r="OT101" s="43"/>
      <c r="OU101" s="43"/>
      <c r="OV101" s="43"/>
      <c r="OW101" s="43"/>
      <c r="OX101" s="43"/>
      <c r="OY101" s="43"/>
      <c r="OZ101" s="43"/>
      <c r="PA101" s="43"/>
      <c r="PB101" s="43"/>
      <c r="PC101" s="43"/>
      <c r="PD101" s="43"/>
      <c r="PE101" s="43"/>
      <c r="PF101" s="43"/>
      <c r="PG101" s="43"/>
      <c r="PH101" s="43"/>
      <c r="PI101" s="43"/>
      <c r="PJ101" s="43"/>
      <c r="PK101" s="43"/>
      <c r="PL101" s="43"/>
      <c r="PM101" s="43"/>
      <c r="PN101" s="43"/>
      <c r="PO101" s="43"/>
      <c r="PP101" s="43"/>
      <c r="PQ101" s="43"/>
      <c r="PR101" s="43"/>
      <c r="PS101" s="43"/>
      <c r="PT101" s="43"/>
      <c r="PU101" s="43"/>
      <c r="PV101" s="43"/>
      <c r="PW101" s="43"/>
      <c r="PX101" s="43"/>
      <c r="PY101" s="43"/>
      <c r="PZ101" s="43"/>
      <c r="QA101" s="43"/>
      <c r="QB101" s="43"/>
      <c r="QC101" s="43"/>
    </row>
    <row r="102" spans="2:445" x14ac:dyDescent="0.3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 t="str">
        <f t="shared" si="11"/>
        <v/>
      </c>
      <c r="U102" s="45" t="str">
        <f t="shared" si="12"/>
        <v/>
      </c>
      <c r="V102" s="68" t="str">
        <f t="shared" si="13"/>
        <v/>
      </c>
      <c r="W102" s="48"/>
      <c r="X102" s="66" t="str">
        <f t="shared" si="14"/>
        <v/>
      </c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43"/>
      <c r="CY102" s="43"/>
      <c r="CZ102" s="43"/>
      <c r="DA102" s="43"/>
      <c r="DB102" s="43"/>
      <c r="DC102" s="43"/>
      <c r="DD102" s="43"/>
      <c r="DE102" s="43"/>
      <c r="DF102" s="43"/>
      <c r="DG102" s="43"/>
      <c r="DH102" s="43"/>
      <c r="DI102" s="43"/>
      <c r="DJ102" s="43"/>
      <c r="DK102" s="43"/>
      <c r="DL102" s="43"/>
      <c r="DM102" s="43"/>
      <c r="DN102" s="43"/>
      <c r="DO102" s="43"/>
      <c r="DP102" s="43"/>
      <c r="DQ102" s="43"/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43"/>
      <c r="EM102" s="43"/>
      <c r="EN102" s="43"/>
      <c r="EO102" s="43"/>
      <c r="EP102" s="43"/>
      <c r="EQ102" s="43"/>
      <c r="ER102" s="43"/>
      <c r="ES102" s="43"/>
      <c r="ET102" s="43"/>
      <c r="EU102" s="43"/>
      <c r="EV102" s="43"/>
      <c r="EW102" s="43"/>
      <c r="EX102" s="43"/>
      <c r="EY102" s="43"/>
      <c r="EZ102" s="43"/>
      <c r="FA102" s="43"/>
      <c r="FB102" s="43"/>
      <c r="FC102" s="43"/>
      <c r="FD102" s="43"/>
      <c r="FE102" s="43"/>
      <c r="FF102" s="43"/>
      <c r="FG102" s="43"/>
      <c r="FH102" s="43"/>
      <c r="FI102" s="43"/>
      <c r="FJ102" s="43"/>
      <c r="FK102" s="43"/>
      <c r="FL102" s="43"/>
      <c r="FM102" s="43"/>
      <c r="FN102" s="43"/>
      <c r="FO102" s="43"/>
      <c r="FP102" s="43"/>
      <c r="FQ102" s="43"/>
      <c r="FR102" s="43"/>
      <c r="FS102" s="43"/>
      <c r="FT102" s="43"/>
      <c r="FU102" s="43"/>
      <c r="FV102" s="43"/>
      <c r="FW102" s="43"/>
      <c r="FX102" s="43"/>
      <c r="FY102" s="43"/>
      <c r="FZ102" s="43"/>
      <c r="GA102" s="43"/>
      <c r="GB102" s="43"/>
      <c r="GC102" s="43"/>
      <c r="GD102" s="43"/>
      <c r="GE102" s="43"/>
      <c r="GF102" s="43"/>
      <c r="GG102" s="43"/>
      <c r="GH102" s="43"/>
      <c r="GI102" s="43"/>
      <c r="GJ102" s="43"/>
      <c r="GK102" s="43"/>
      <c r="GL102" s="43"/>
      <c r="GM102" s="43"/>
      <c r="GN102" s="43"/>
      <c r="GO102" s="43"/>
      <c r="GP102" s="43"/>
      <c r="GQ102" s="43"/>
      <c r="GR102" s="43"/>
      <c r="GS102" s="43"/>
      <c r="GT102" s="43"/>
      <c r="GU102" s="43"/>
      <c r="GV102" s="43"/>
      <c r="GW102" s="43"/>
      <c r="GX102" s="43"/>
      <c r="GY102" s="43"/>
      <c r="GZ102" s="43"/>
      <c r="HA102" s="43"/>
      <c r="HB102" s="43"/>
      <c r="HC102" s="43"/>
      <c r="HD102" s="43"/>
      <c r="HE102" s="43"/>
      <c r="HF102" s="43"/>
      <c r="HG102" s="43"/>
      <c r="HH102" s="43"/>
      <c r="HI102" s="43"/>
      <c r="HJ102" s="43"/>
      <c r="HK102" s="43"/>
      <c r="HL102" s="43"/>
      <c r="HM102" s="43"/>
      <c r="HN102" s="43"/>
      <c r="HO102" s="43"/>
      <c r="HP102" s="43"/>
      <c r="HQ102" s="43"/>
      <c r="HR102" s="43"/>
      <c r="HS102" s="43"/>
      <c r="HT102" s="43"/>
      <c r="HU102" s="43"/>
      <c r="HV102" s="43"/>
      <c r="HW102" s="43"/>
      <c r="HX102" s="43"/>
      <c r="HY102" s="43"/>
      <c r="HZ102" s="43"/>
      <c r="IA102" s="43"/>
      <c r="IB102" s="43"/>
      <c r="IC102" s="43"/>
      <c r="ID102" s="43"/>
      <c r="IE102" s="43"/>
      <c r="IF102" s="43"/>
      <c r="IG102" s="43"/>
      <c r="IH102" s="43"/>
      <c r="II102" s="43"/>
      <c r="IJ102" s="43"/>
      <c r="IK102" s="43"/>
      <c r="IL102" s="43"/>
      <c r="IM102" s="43"/>
      <c r="IN102" s="43"/>
      <c r="IO102" s="43"/>
      <c r="IP102" s="43"/>
      <c r="IQ102" s="43"/>
      <c r="IR102" s="43"/>
      <c r="IS102" s="43"/>
      <c r="IT102" s="43"/>
      <c r="IU102" s="43"/>
      <c r="IV102" s="43"/>
      <c r="IW102" s="43"/>
      <c r="IX102" s="43"/>
      <c r="IY102" s="43"/>
      <c r="IZ102" s="43"/>
      <c r="JA102" s="43"/>
      <c r="JB102" s="43"/>
      <c r="JC102" s="43"/>
      <c r="JD102" s="43"/>
      <c r="JE102" s="43"/>
      <c r="JF102" s="43"/>
      <c r="JG102" s="43"/>
      <c r="JH102" s="43"/>
      <c r="JI102" s="43"/>
      <c r="JJ102" s="43"/>
      <c r="JK102" s="43"/>
      <c r="JL102" s="43"/>
      <c r="JM102" s="43"/>
      <c r="JN102" s="43"/>
      <c r="JO102" s="43"/>
      <c r="JP102" s="43"/>
      <c r="JQ102" s="43"/>
      <c r="JR102" s="43"/>
      <c r="JS102" s="43"/>
      <c r="JT102" s="43"/>
      <c r="JU102" s="43"/>
      <c r="JV102" s="43"/>
      <c r="JW102" s="43"/>
      <c r="JX102" s="43"/>
      <c r="JY102" s="43"/>
      <c r="JZ102" s="43"/>
      <c r="KA102" s="43"/>
      <c r="KB102" s="43"/>
      <c r="KC102" s="43"/>
      <c r="KD102" s="43"/>
      <c r="KE102" s="43"/>
      <c r="KF102" s="43"/>
      <c r="KG102" s="43"/>
      <c r="KH102" s="43"/>
      <c r="KI102" s="43"/>
      <c r="KJ102" s="43"/>
      <c r="KK102" s="43"/>
      <c r="KL102" s="43"/>
      <c r="KM102" s="43"/>
      <c r="KN102" s="43"/>
      <c r="KO102" s="43"/>
      <c r="KP102" s="43"/>
      <c r="KQ102" s="43"/>
      <c r="KR102" s="43"/>
      <c r="KS102" s="43"/>
      <c r="KT102" s="43"/>
      <c r="KU102" s="43"/>
      <c r="KV102" s="43"/>
      <c r="KW102" s="43"/>
      <c r="KX102" s="43"/>
      <c r="KY102" s="43"/>
      <c r="KZ102" s="43"/>
      <c r="LA102" s="43"/>
      <c r="LB102" s="43"/>
      <c r="LC102" s="43"/>
      <c r="LD102" s="43"/>
      <c r="LE102" s="43"/>
      <c r="LF102" s="43"/>
      <c r="LG102" s="43"/>
      <c r="LH102" s="43"/>
      <c r="LI102" s="43"/>
      <c r="LJ102" s="43"/>
      <c r="LK102" s="43"/>
      <c r="LL102" s="43"/>
      <c r="LM102" s="43"/>
      <c r="LN102" s="43"/>
      <c r="LO102" s="43"/>
      <c r="LP102" s="43"/>
      <c r="LQ102" s="43"/>
      <c r="LR102" s="43"/>
      <c r="LS102" s="43"/>
      <c r="LT102" s="43"/>
      <c r="LU102" s="43"/>
      <c r="LV102" s="43"/>
      <c r="LW102" s="43"/>
      <c r="LX102" s="43"/>
      <c r="LY102" s="43"/>
      <c r="LZ102" s="43"/>
      <c r="MA102" s="43"/>
      <c r="MB102" s="43"/>
      <c r="MC102" s="43"/>
      <c r="MD102" s="43"/>
      <c r="ME102" s="43"/>
      <c r="MF102" s="43"/>
      <c r="MG102" s="43"/>
      <c r="MH102" s="43"/>
      <c r="MI102" s="43"/>
      <c r="MJ102" s="43"/>
      <c r="MK102" s="43"/>
      <c r="ML102" s="43"/>
      <c r="MM102" s="43"/>
      <c r="MN102" s="43"/>
      <c r="MO102" s="43"/>
      <c r="MP102" s="43"/>
      <c r="MQ102" s="43"/>
      <c r="MR102" s="43"/>
      <c r="MS102" s="43"/>
      <c r="MT102" s="43"/>
      <c r="MU102" s="43"/>
      <c r="MV102" s="43"/>
      <c r="MW102" s="43"/>
      <c r="MX102" s="43"/>
      <c r="MY102" s="43"/>
      <c r="MZ102" s="43"/>
      <c r="NA102" s="43"/>
      <c r="NB102" s="43"/>
      <c r="NC102" s="43"/>
      <c r="ND102" s="43"/>
      <c r="NE102" s="43"/>
      <c r="NF102" s="43"/>
      <c r="NG102" s="43"/>
      <c r="NH102" s="43"/>
      <c r="NI102" s="43"/>
      <c r="NJ102" s="43"/>
      <c r="NK102" s="43"/>
      <c r="NL102" s="43"/>
      <c r="NM102" s="43"/>
      <c r="NN102" s="43"/>
      <c r="NO102" s="43"/>
      <c r="NP102" s="43"/>
      <c r="NQ102" s="43"/>
      <c r="NR102" s="43"/>
      <c r="NS102" s="43"/>
      <c r="NT102" s="43"/>
      <c r="NU102" s="43"/>
      <c r="NV102" s="43"/>
      <c r="NW102" s="43"/>
      <c r="NX102" s="43"/>
      <c r="NY102" s="43"/>
      <c r="NZ102" s="43"/>
      <c r="OA102" s="43"/>
      <c r="OB102" s="43"/>
      <c r="OC102" s="43"/>
      <c r="OD102" s="43"/>
      <c r="OE102" s="43"/>
      <c r="OF102" s="43"/>
      <c r="OG102" s="43"/>
      <c r="OH102" s="43"/>
      <c r="OI102" s="43"/>
      <c r="OJ102" s="43"/>
      <c r="OK102" s="43"/>
      <c r="OL102" s="43"/>
      <c r="OM102" s="43"/>
      <c r="ON102" s="43"/>
      <c r="OO102" s="43"/>
      <c r="OP102" s="43"/>
      <c r="OQ102" s="43"/>
      <c r="OR102" s="43"/>
      <c r="OS102" s="43"/>
      <c r="OT102" s="43"/>
      <c r="OU102" s="43"/>
      <c r="OV102" s="43"/>
      <c r="OW102" s="43"/>
      <c r="OX102" s="43"/>
      <c r="OY102" s="43"/>
      <c r="OZ102" s="43"/>
      <c r="PA102" s="43"/>
      <c r="PB102" s="43"/>
      <c r="PC102" s="43"/>
      <c r="PD102" s="43"/>
      <c r="PE102" s="43"/>
      <c r="PF102" s="43"/>
      <c r="PG102" s="43"/>
      <c r="PH102" s="43"/>
      <c r="PI102" s="43"/>
      <c r="PJ102" s="43"/>
      <c r="PK102" s="43"/>
      <c r="PL102" s="43"/>
      <c r="PM102" s="43"/>
      <c r="PN102" s="43"/>
      <c r="PO102" s="43"/>
      <c r="PP102" s="43"/>
      <c r="PQ102" s="43"/>
      <c r="PR102" s="43"/>
      <c r="PS102" s="43"/>
      <c r="PT102" s="43"/>
      <c r="PU102" s="43"/>
      <c r="PV102" s="43"/>
      <c r="PW102" s="43"/>
      <c r="PX102" s="43"/>
      <c r="PY102" s="43"/>
      <c r="PZ102" s="43"/>
      <c r="QA102" s="43"/>
      <c r="QB102" s="43"/>
      <c r="QC102" s="43"/>
    </row>
    <row r="103" spans="2:445" x14ac:dyDescent="0.3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 t="str">
        <f t="shared" si="11"/>
        <v/>
      </c>
      <c r="U103" s="45" t="str">
        <f t="shared" si="12"/>
        <v/>
      </c>
      <c r="V103" s="68" t="str">
        <f t="shared" si="13"/>
        <v/>
      </c>
      <c r="W103" s="48"/>
      <c r="X103" s="66" t="str">
        <f t="shared" si="14"/>
        <v/>
      </c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43"/>
      <c r="BO103" s="43"/>
      <c r="BP103" s="43"/>
      <c r="BQ103" s="43"/>
      <c r="BR103" s="43"/>
      <c r="BS103" s="43"/>
      <c r="BT103" s="43"/>
      <c r="BU103" s="43"/>
      <c r="BV103" s="43"/>
      <c r="BW103" s="43"/>
      <c r="BX103" s="43"/>
      <c r="BY103" s="43"/>
      <c r="BZ103" s="43"/>
      <c r="CA103" s="43"/>
      <c r="CB103" s="43"/>
      <c r="CC103" s="4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43"/>
      <c r="CY103" s="43"/>
      <c r="CZ103" s="43"/>
      <c r="DA103" s="43"/>
      <c r="DB103" s="43"/>
      <c r="DC103" s="43"/>
      <c r="DD103" s="43"/>
      <c r="DE103" s="43"/>
      <c r="DF103" s="43"/>
      <c r="DG103" s="43"/>
      <c r="DH103" s="43"/>
      <c r="DI103" s="43"/>
      <c r="DJ103" s="43"/>
      <c r="DK103" s="43"/>
      <c r="DL103" s="43"/>
      <c r="DM103" s="43"/>
      <c r="DN103" s="43"/>
      <c r="DO103" s="43"/>
      <c r="DP103" s="43"/>
      <c r="DQ103" s="43"/>
      <c r="DR103" s="43"/>
      <c r="DS103" s="43"/>
      <c r="DT103" s="43"/>
      <c r="DU103" s="43"/>
      <c r="DV103" s="43"/>
      <c r="DW103" s="43"/>
      <c r="DX103" s="43"/>
      <c r="DY103" s="43"/>
      <c r="DZ103" s="43"/>
      <c r="EA103" s="43"/>
      <c r="EB103" s="43"/>
      <c r="EC103" s="43"/>
      <c r="ED103" s="43"/>
      <c r="EE103" s="43"/>
      <c r="EF103" s="43"/>
      <c r="EG103" s="43"/>
      <c r="EH103" s="43"/>
      <c r="EI103" s="43"/>
      <c r="EJ103" s="43"/>
      <c r="EK103" s="43"/>
      <c r="EL103" s="43"/>
      <c r="EM103" s="43"/>
      <c r="EN103" s="43"/>
      <c r="EO103" s="43"/>
      <c r="EP103" s="43"/>
      <c r="EQ103" s="43"/>
      <c r="ER103" s="43"/>
      <c r="ES103" s="43"/>
      <c r="ET103" s="43"/>
      <c r="EU103" s="43"/>
      <c r="EV103" s="43"/>
      <c r="EW103" s="43"/>
      <c r="EX103" s="43"/>
      <c r="EY103" s="43"/>
      <c r="EZ103" s="43"/>
      <c r="FA103" s="43"/>
      <c r="FB103" s="43"/>
      <c r="FC103" s="43"/>
      <c r="FD103" s="43"/>
      <c r="FE103" s="43"/>
      <c r="FF103" s="43"/>
      <c r="FG103" s="43"/>
      <c r="FH103" s="43"/>
      <c r="FI103" s="43"/>
      <c r="FJ103" s="43"/>
      <c r="FK103" s="43"/>
      <c r="FL103" s="43"/>
      <c r="FM103" s="43"/>
      <c r="FN103" s="43"/>
      <c r="FO103" s="43"/>
      <c r="FP103" s="43"/>
      <c r="FQ103" s="43"/>
      <c r="FR103" s="43"/>
      <c r="FS103" s="43"/>
      <c r="FT103" s="43"/>
      <c r="FU103" s="43"/>
      <c r="FV103" s="43"/>
      <c r="FW103" s="43"/>
      <c r="FX103" s="43"/>
      <c r="FY103" s="43"/>
      <c r="FZ103" s="43"/>
      <c r="GA103" s="43"/>
      <c r="GB103" s="43"/>
      <c r="GC103" s="43"/>
      <c r="GD103" s="43"/>
      <c r="GE103" s="43"/>
      <c r="GF103" s="43"/>
      <c r="GG103" s="43"/>
      <c r="GH103" s="43"/>
      <c r="GI103" s="43"/>
      <c r="GJ103" s="43"/>
      <c r="GK103" s="43"/>
      <c r="GL103" s="43"/>
      <c r="GM103" s="43"/>
      <c r="GN103" s="43"/>
      <c r="GO103" s="43"/>
      <c r="GP103" s="43"/>
      <c r="GQ103" s="43"/>
      <c r="GR103" s="43"/>
      <c r="GS103" s="43"/>
      <c r="GT103" s="43"/>
      <c r="GU103" s="43"/>
      <c r="GV103" s="43"/>
      <c r="GW103" s="43"/>
      <c r="GX103" s="43"/>
      <c r="GY103" s="43"/>
      <c r="GZ103" s="43"/>
      <c r="HA103" s="43"/>
      <c r="HB103" s="43"/>
      <c r="HC103" s="43"/>
      <c r="HD103" s="43"/>
      <c r="HE103" s="43"/>
      <c r="HF103" s="43"/>
      <c r="HG103" s="43"/>
      <c r="HH103" s="43"/>
      <c r="HI103" s="43"/>
      <c r="HJ103" s="43"/>
      <c r="HK103" s="43"/>
      <c r="HL103" s="43"/>
      <c r="HM103" s="43"/>
      <c r="HN103" s="43"/>
      <c r="HO103" s="43"/>
      <c r="HP103" s="43"/>
      <c r="HQ103" s="43"/>
      <c r="HR103" s="43"/>
      <c r="HS103" s="43"/>
      <c r="HT103" s="43"/>
      <c r="HU103" s="43"/>
      <c r="HV103" s="43"/>
      <c r="HW103" s="43"/>
      <c r="HX103" s="43"/>
      <c r="HY103" s="43"/>
      <c r="HZ103" s="43"/>
      <c r="IA103" s="43"/>
      <c r="IB103" s="43"/>
      <c r="IC103" s="43"/>
      <c r="ID103" s="43"/>
      <c r="IE103" s="43"/>
      <c r="IF103" s="43"/>
      <c r="IG103" s="43"/>
      <c r="IH103" s="43"/>
      <c r="II103" s="43"/>
      <c r="IJ103" s="43"/>
      <c r="IK103" s="43"/>
      <c r="IL103" s="43"/>
      <c r="IM103" s="43"/>
      <c r="IN103" s="43"/>
      <c r="IO103" s="43"/>
      <c r="IP103" s="43"/>
      <c r="IQ103" s="43"/>
      <c r="IR103" s="43"/>
      <c r="IS103" s="43"/>
      <c r="IT103" s="43"/>
      <c r="IU103" s="43"/>
      <c r="IV103" s="43"/>
      <c r="IW103" s="43"/>
      <c r="IX103" s="43"/>
      <c r="IY103" s="43"/>
      <c r="IZ103" s="43"/>
      <c r="JA103" s="43"/>
      <c r="JB103" s="43"/>
      <c r="JC103" s="43"/>
      <c r="JD103" s="43"/>
      <c r="JE103" s="43"/>
      <c r="JF103" s="43"/>
      <c r="JG103" s="43"/>
      <c r="JH103" s="43"/>
      <c r="JI103" s="43"/>
      <c r="JJ103" s="43"/>
      <c r="JK103" s="43"/>
      <c r="JL103" s="43"/>
      <c r="JM103" s="43"/>
      <c r="JN103" s="43"/>
      <c r="JO103" s="43"/>
      <c r="JP103" s="43"/>
      <c r="JQ103" s="43"/>
      <c r="JR103" s="43"/>
      <c r="JS103" s="43"/>
      <c r="JT103" s="43"/>
      <c r="JU103" s="43"/>
      <c r="JV103" s="43"/>
      <c r="JW103" s="43"/>
      <c r="JX103" s="43"/>
      <c r="JY103" s="43"/>
      <c r="JZ103" s="43"/>
      <c r="KA103" s="43"/>
      <c r="KB103" s="43"/>
      <c r="KC103" s="43"/>
      <c r="KD103" s="43"/>
      <c r="KE103" s="43"/>
      <c r="KF103" s="43"/>
      <c r="KG103" s="43"/>
      <c r="KH103" s="43"/>
      <c r="KI103" s="43"/>
      <c r="KJ103" s="43"/>
      <c r="KK103" s="43"/>
      <c r="KL103" s="43"/>
      <c r="KM103" s="43"/>
      <c r="KN103" s="43"/>
      <c r="KO103" s="43"/>
      <c r="KP103" s="43"/>
      <c r="KQ103" s="43"/>
      <c r="KR103" s="43"/>
      <c r="KS103" s="43"/>
      <c r="KT103" s="43"/>
      <c r="KU103" s="43"/>
      <c r="KV103" s="43"/>
      <c r="KW103" s="43"/>
      <c r="KX103" s="43"/>
      <c r="KY103" s="43"/>
      <c r="KZ103" s="43"/>
      <c r="LA103" s="43"/>
      <c r="LB103" s="43"/>
      <c r="LC103" s="43"/>
      <c r="LD103" s="43"/>
      <c r="LE103" s="43"/>
      <c r="LF103" s="43"/>
      <c r="LG103" s="43"/>
      <c r="LH103" s="43"/>
      <c r="LI103" s="43"/>
      <c r="LJ103" s="43"/>
      <c r="LK103" s="43"/>
      <c r="LL103" s="43"/>
      <c r="LM103" s="43"/>
      <c r="LN103" s="43"/>
      <c r="LO103" s="43"/>
      <c r="LP103" s="43"/>
      <c r="LQ103" s="43"/>
      <c r="LR103" s="43"/>
      <c r="LS103" s="43"/>
      <c r="LT103" s="43"/>
      <c r="LU103" s="43"/>
      <c r="LV103" s="43"/>
      <c r="LW103" s="43"/>
      <c r="LX103" s="43"/>
      <c r="LY103" s="43"/>
      <c r="LZ103" s="43"/>
      <c r="MA103" s="43"/>
      <c r="MB103" s="43"/>
      <c r="MC103" s="43"/>
      <c r="MD103" s="43"/>
      <c r="ME103" s="43"/>
      <c r="MF103" s="43"/>
      <c r="MG103" s="43"/>
      <c r="MH103" s="43"/>
      <c r="MI103" s="43"/>
      <c r="MJ103" s="43"/>
      <c r="MK103" s="43"/>
      <c r="ML103" s="43"/>
      <c r="MM103" s="43"/>
      <c r="MN103" s="43"/>
      <c r="MO103" s="43"/>
      <c r="MP103" s="43"/>
      <c r="MQ103" s="43"/>
      <c r="MR103" s="43"/>
      <c r="MS103" s="43"/>
      <c r="MT103" s="43"/>
      <c r="MU103" s="43"/>
      <c r="MV103" s="43"/>
      <c r="MW103" s="43"/>
      <c r="MX103" s="43"/>
      <c r="MY103" s="43"/>
      <c r="MZ103" s="43"/>
      <c r="NA103" s="43"/>
      <c r="NB103" s="43"/>
      <c r="NC103" s="43"/>
      <c r="ND103" s="43"/>
      <c r="NE103" s="43"/>
      <c r="NF103" s="43"/>
      <c r="NG103" s="43"/>
      <c r="NH103" s="43"/>
      <c r="NI103" s="43"/>
      <c r="NJ103" s="43"/>
      <c r="NK103" s="43"/>
      <c r="NL103" s="43"/>
      <c r="NM103" s="43"/>
      <c r="NN103" s="43"/>
      <c r="NO103" s="43"/>
      <c r="NP103" s="43"/>
      <c r="NQ103" s="43"/>
      <c r="NR103" s="43"/>
      <c r="NS103" s="43"/>
      <c r="NT103" s="43"/>
      <c r="NU103" s="43"/>
      <c r="NV103" s="43"/>
      <c r="NW103" s="43"/>
      <c r="NX103" s="43"/>
      <c r="NY103" s="43"/>
      <c r="NZ103" s="43"/>
      <c r="OA103" s="43"/>
      <c r="OB103" s="43"/>
      <c r="OC103" s="43"/>
      <c r="OD103" s="43"/>
      <c r="OE103" s="43"/>
      <c r="OF103" s="43"/>
      <c r="OG103" s="43"/>
      <c r="OH103" s="43"/>
      <c r="OI103" s="43"/>
      <c r="OJ103" s="43"/>
      <c r="OK103" s="43"/>
      <c r="OL103" s="43"/>
      <c r="OM103" s="43"/>
      <c r="ON103" s="43"/>
      <c r="OO103" s="43"/>
      <c r="OP103" s="43"/>
      <c r="OQ103" s="43"/>
      <c r="OR103" s="43"/>
      <c r="OS103" s="43"/>
      <c r="OT103" s="43"/>
      <c r="OU103" s="43"/>
      <c r="OV103" s="43"/>
      <c r="OW103" s="43"/>
      <c r="OX103" s="43"/>
      <c r="OY103" s="43"/>
      <c r="OZ103" s="43"/>
      <c r="PA103" s="43"/>
      <c r="PB103" s="43"/>
      <c r="PC103" s="43"/>
      <c r="PD103" s="43"/>
      <c r="PE103" s="43"/>
      <c r="PF103" s="43"/>
      <c r="PG103" s="43"/>
      <c r="PH103" s="43"/>
      <c r="PI103" s="43"/>
      <c r="PJ103" s="43"/>
      <c r="PK103" s="43"/>
      <c r="PL103" s="43"/>
      <c r="PM103" s="43"/>
      <c r="PN103" s="43"/>
      <c r="PO103" s="43"/>
      <c r="PP103" s="43"/>
      <c r="PQ103" s="43"/>
      <c r="PR103" s="43"/>
      <c r="PS103" s="43"/>
      <c r="PT103" s="43"/>
      <c r="PU103" s="43"/>
      <c r="PV103" s="43"/>
      <c r="PW103" s="43"/>
      <c r="PX103" s="43"/>
      <c r="PY103" s="43"/>
      <c r="PZ103" s="43"/>
      <c r="QA103" s="43"/>
      <c r="QB103" s="43"/>
      <c r="QC103" s="43"/>
    </row>
    <row r="104" spans="2:445" x14ac:dyDescent="0.3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 t="str">
        <f t="shared" si="11"/>
        <v/>
      </c>
      <c r="U104" s="45" t="str">
        <f t="shared" si="12"/>
        <v/>
      </c>
      <c r="V104" s="68" t="str">
        <f t="shared" si="13"/>
        <v/>
      </c>
      <c r="W104" s="48"/>
      <c r="X104" s="66" t="str">
        <f t="shared" si="14"/>
        <v/>
      </c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43"/>
      <c r="BN104" s="43"/>
      <c r="BO104" s="43"/>
      <c r="BP104" s="43"/>
      <c r="BQ104" s="43"/>
      <c r="BR104" s="43"/>
      <c r="BS104" s="43"/>
      <c r="BT104" s="43"/>
      <c r="BU104" s="43"/>
      <c r="BV104" s="43"/>
      <c r="BW104" s="43"/>
      <c r="BX104" s="43"/>
      <c r="BY104" s="43"/>
      <c r="BZ104" s="43"/>
      <c r="CA104" s="43"/>
      <c r="CB104" s="43"/>
      <c r="CC104" s="43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43"/>
      <c r="CY104" s="43"/>
      <c r="CZ104" s="43"/>
      <c r="DA104" s="43"/>
      <c r="DB104" s="43"/>
      <c r="DC104" s="43"/>
      <c r="DD104" s="43"/>
      <c r="DE104" s="43"/>
      <c r="DF104" s="43"/>
      <c r="DG104" s="43"/>
      <c r="DH104" s="43"/>
      <c r="DI104" s="43"/>
      <c r="DJ104" s="43"/>
      <c r="DK104" s="43"/>
      <c r="DL104" s="43"/>
      <c r="DM104" s="43"/>
      <c r="DN104" s="43"/>
      <c r="DO104" s="43"/>
      <c r="DP104" s="43"/>
      <c r="DQ104" s="43"/>
      <c r="DR104" s="43"/>
      <c r="DS104" s="43"/>
      <c r="DT104" s="43"/>
      <c r="DU104" s="43"/>
      <c r="DV104" s="43"/>
      <c r="DW104" s="43"/>
      <c r="DX104" s="43"/>
      <c r="DY104" s="43"/>
      <c r="DZ104" s="43"/>
      <c r="EA104" s="43"/>
      <c r="EB104" s="43"/>
      <c r="EC104" s="43"/>
      <c r="ED104" s="43"/>
      <c r="EE104" s="43"/>
      <c r="EF104" s="43"/>
      <c r="EG104" s="43"/>
      <c r="EH104" s="43"/>
      <c r="EI104" s="43"/>
      <c r="EJ104" s="43"/>
      <c r="EK104" s="43"/>
      <c r="EL104" s="43"/>
      <c r="EM104" s="43"/>
      <c r="EN104" s="43"/>
      <c r="EO104" s="43"/>
      <c r="EP104" s="43"/>
      <c r="EQ104" s="43"/>
      <c r="ER104" s="43"/>
      <c r="ES104" s="43"/>
      <c r="ET104" s="43"/>
      <c r="EU104" s="43"/>
      <c r="EV104" s="43"/>
      <c r="EW104" s="43"/>
      <c r="EX104" s="43"/>
      <c r="EY104" s="43"/>
      <c r="EZ104" s="43"/>
      <c r="FA104" s="43"/>
      <c r="FB104" s="43"/>
      <c r="FC104" s="43"/>
      <c r="FD104" s="43"/>
      <c r="FE104" s="43"/>
      <c r="FF104" s="43"/>
      <c r="FG104" s="43"/>
      <c r="FH104" s="43"/>
      <c r="FI104" s="43"/>
      <c r="FJ104" s="43"/>
      <c r="FK104" s="43"/>
      <c r="FL104" s="43"/>
      <c r="FM104" s="43"/>
      <c r="FN104" s="43"/>
      <c r="FO104" s="43"/>
      <c r="FP104" s="43"/>
      <c r="FQ104" s="43"/>
      <c r="FR104" s="43"/>
      <c r="FS104" s="43"/>
      <c r="FT104" s="43"/>
      <c r="FU104" s="43"/>
      <c r="FV104" s="43"/>
      <c r="FW104" s="43"/>
      <c r="FX104" s="43"/>
      <c r="FY104" s="43"/>
      <c r="FZ104" s="43"/>
      <c r="GA104" s="43"/>
      <c r="GB104" s="43"/>
      <c r="GC104" s="43"/>
      <c r="GD104" s="43"/>
      <c r="GE104" s="43"/>
      <c r="GF104" s="43"/>
      <c r="GG104" s="43"/>
      <c r="GH104" s="43"/>
      <c r="GI104" s="43"/>
      <c r="GJ104" s="43"/>
      <c r="GK104" s="43"/>
      <c r="GL104" s="43"/>
      <c r="GM104" s="43"/>
      <c r="GN104" s="43"/>
      <c r="GO104" s="43"/>
      <c r="GP104" s="43"/>
      <c r="GQ104" s="43"/>
      <c r="GR104" s="43"/>
      <c r="GS104" s="43"/>
      <c r="GT104" s="43"/>
      <c r="GU104" s="43"/>
      <c r="GV104" s="43"/>
      <c r="GW104" s="43"/>
      <c r="GX104" s="43"/>
      <c r="GY104" s="43"/>
      <c r="GZ104" s="43"/>
      <c r="HA104" s="43"/>
      <c r="HB104" s="43"/>
      <c r="HC104" s="43"/>
      <c r="HD104" s="43"/>
      <c r="HE104" s="43"/>
      <c r="HF104" s="43"/>
      <c r="HG104" s="43"/>
      <c r="HH104" s="43"/>
      <c r="HI104" s="43"/>
      <c r="HJ104" s="43"/>
      <c r="HK104" s="43"/>
      <c r="HL104" s="43"/>
      <c r="HM104" s="43"/>
      <c r="HN104" s="43"/>
      <c r="HO104" s="43"/>
      <c r="HP104" s="43"/>
      <c r="HQ104" s="43"/>
      <c r="HR104" s="43"/>
      <c r="HS104" s="43"/>
      <c r="HT104" s="43"/>
      <c r="HU104" s="43"/>
      <c r="HV104" s="43"/>
      <c r="HW104" s="43"/>
      <c r="HX104" s="43"/>
      <c r="HY104" s="43"/>
      <c r="HZ104" s="43"/>
      <c r="IA104" s="43"/>
      <c r="IB104" s="43"/>
      <c r="IC104" s="43"/>
      <c r="ID104" s="43"/>
      <c r="IE104" s="43"/>
      <c r="IF104" s="43"/>
      <c r="IG104" s="43"/>
      <c r="IH104" s="43"/>
      <c r="II104" s="43"/>
      <c r="IJ104" s="43"/>
      <c r="IK104" s="43"/>
      <c r="IL104" s="43"/>
      <c r="IM104" s="43"/>
      <c r="IN104" s="43"/>
      <c r="IO104" s="43"/>
      <c r="IP104" s="43"/>
      <c r="IQ104" s="43"/>
      <c r="IR104" s="43"/>
      <c r="IS104" s="43"/>
      <c r="IT104" s="43"/>
      <c r="IU104" s="43"/>
      <c r="IV104" s="43"/>
      <c r="IW104" s="43"/>
      <c r="IX104" s="43"/>
      <c r="IY104" s="43"/>
      <c r="IZ104" s="43"/>
      <c r="JA104" s="43"/>
      <c r="JB104" s="43"/>
      <c r="JC104" s="43"/>
      <c r="JD104" s="43"/>
      <c r="JE104" s="43"/>
      <c r="JF104" s="43"/>
      <c r="JG104" s="43"/>
      <c r="JH104" s="43"/>
      <c r="JI104" s="43"/>
      <c r="JJ104" s="43"/>
      <c r="JK104" s="43"/>
      <c r="JL104" s="43"/>
      <c r="JM104" s="43"/>
      <c r="JN104" s="43"/>
      <c r="JO104" s="43"/>
      <c r="JP104" s="43"/>
      <c r="JQ104" s="43"/>
      <c r="JR104" s="43"/>
      <c r="JS104" s="43"/>
      <c r="JT104" s="43"/>
      <c r="JU104" s="43"/>
      <c r="JV104" s="43"/>
      <c r="JW104" s="43"/>
      <c r="JX104" s="43"/>
      <c r="JY104" s="43"/>
      <c r="JZ104" s="43"/>
      <c r="KA104" s="43"/>
      <c r="KB104" s="43"/>
      <c r="KC104" s="43"/>
      <c r="KD104" s="43"/>
      <c r="KE104" s="43"/>
      <c r="KF104" s="43"/>
      <c r="KG104" s="43"/>
      <c r="KH104" s="43"/>
      <c r="KI104" s="43"/>
      <c r="KJ104" s="43"/>
      <c r="KK104" s="43"/>
      <c r="KL104" s="43"/>
      <c r="KM104" s="43"/>
      <c r="KN104" s="43"/>
      <c r="KO104" s="43"/>
      <c r="KP104" s="43"/>
      <c r="KQ104" s="43"/>
      <c r="KR104" s="43"/>
      <c r="KS104" s="43"/>
      <c r="KT104" s="43"/>
      <c r="KU104" s="43"/>
      <c r="KV104" s="43"/>
      <c r="KW104" s="43"/>
      <c r="KX104" s="43"/>
      <c r="KY104" s="43"/>
      <c r="KZ104" s="43"/>
      <c r="LA104" s="43"/>
      <c r="LB104" s="43"/>
      <c r="LC104" s="43"/>
      <c r="LD104" s="43"/>
      <c r="LE104" s="43"/>
      <c r="LF104" s="43"/>
      <c r="LG104" s="43"/>
      <c r="LH104" s="43"/>
      <c r="LI104" s="43"/>
      <c r="LJ104" s="43"/>
      <c r="LK104" s="43"/>
      <c r="LL104" s="43"/>
      <c r="LM104" s="43"/>
      <c r="LN104" s="43"/>
      <c r="LO104" s="43"/>
      <c r="LP104" s="43"/>
      <c r="LQ104" s="43"/>
      <c r="LR104" s="43"/>
      <c r="LS104" s="43"/>
      <c r="LT104" s="43"/>
      <c r="LU104" s="43"/>
      <c r="LV104" s="43"/>
      <c r="LW104" s="43"/>
      <c r="LX104" s="43"/>
      <c r="LY104" s="43"/>
      <c r="LZ104" s="43"/>
      <c r="MA104" s="43"/>
      <c r="MB104" s="43"/>
      <c r="MC104" s="43"/>
      <c r="MD104" s="43"/>
      <c r="ME104" s="43"/>
      <c r="MF104" s="43"/>
      <c r="MG104" s="43"/>
      <c r="MH104" s="43"/>
      <c r="MI104" s="43"/>
      <c r="MJ104" s="43"/>
      <c r="MK104" s="43"/>
      <c r="ML104" s="43"/>
      <c r="MM104" s="43"/>
      <c r="MN104" s="43"/>
      <c r="MO104" s="43"/>
      <c r="MP104" s="43"/>
      <c r="MQ104" s="43"/>
      <c r="MR104" s="43"/>
      <c r="MS104" s="43"/>
      <c r="MT104" s="43"/>
      <c r="MU104" s="43"/>
      <c r="MV104" s="43"/>
      <c r="MW104" s="43"/>
      <c r="MX104" s="43"/>
      <c r="MY104" s="43"/>
      <c r="MZ104" s="43"/>
      <c r="NA104" s="43"/>
      <c r="NB104" s="43"/>
      <c r="NC104" s="43"/>
      <c r="ND104" s="43"/>
      <c r="NE104" s="43"/>
      <c r="NF104" s="43"/>
      <c r="NG104" s="43"/>
      <c r="NH104" s="43"/>
      <c r="NI104" s="43"/>
      <c r="NJ104" s="43"/>
      <c r="NK104" s="43"/>
      <c r="NL104" s="43"/>
      <c r="NM104" s="43"/>
      <c r="NN104" s="43"/>
      <c r="NO104" s="43"/>
      <c r="NP104" s="43"/>
      <c r="NQ104" s="43"/>
      <c r="NR104" s="43"/>
      <c r="NS104" s="43"/>
      <c r="NT104" s="43"/>
      <c r="NU104" s="43"/>
      <c r="NV104" s="43"/>
      <c r="NW104" s="43"/>
      <c r="NX104" s="43"/>
      <c r="NY104" s="43"/>
      <c r="NZ104" s="43"/>
      <c r="OA104" s="43"/>
      <c r="OB104" s="43"/>
      <c r="OC104" s="43"/>
      <c r="OD104" s="43"/>
      <c r="OE104" s="43"/>
      <c r="OF104" s="43"/>
      <c r="OG104" s="43"/>
      <c r="OH104" s="43"/>
      <c r="OI104" s="43"/>
      <c r="OJ104" s="43"/>
      <c r="OK104" s="43"/>
      <c r="OL104" s="43"/>
      <c r="OM104" s="43"/>
      <c r="ON104" s="43"/>
      <c r="OO104" s="43"/>
      <c r="OP104" s="43"/>
      <c r="OQ104" s="43"/>
      <c r="OR104" s="43"/>
      <c r="OS104" s="43"/>
      <c r="OT104" s="43"/>
      <c r="OU104" s="43"/>
      <c r="OV104" s="43"/>
      <c r="OW104" s="43"/>
      <c r="OX104" s="43"/>
      <c r="OY104" s="43"/>
      <c r="OZ104" s="43"/>
      <c r="PA104" s="43"/>
      <c r="PB104" s="43"/>
      <c r="PC104" s="43"/>
      <c r="PD104" s="43"/>
      <c r="PE104" s="43"/>
      <c r="PF104" s="43"/>
      <c r="PG104" s="43"/>
      <c r="PH104" s="43"/>
      <c r="PI104" s="43"/>
      <c r="PJ104" s="43"/>
      <c r="PK104" s="43"/>
      <c r="PL104" s="43"/>
      <c r="PM104" s="43"/>
      <c r="PN104" s="43"/>
      <c r="PO104" s="43"/>
      <c r="PP104" s="43"/>
      <c r="PQ104" s="43"/>
      <c r="PR104" s="43"/>
      <c r="PS104" s="43"/>
      <c r="PT104" s="43"/>
      <c r="PU104" s="43"/>
      <c r="PV104" s="43"/>
      <c r="PW104" s="43"/>
      <c r="PX104" s="43"/>
      <c r="PY104" s="43"/>
      <c r="PZ104" s="43"/>
      <c r="QA104" s="43"/>
      <c r="QB104" s="43"/>
      <c r="QC104" s="43"/>
    </row>
    <row r="105" spans="2:445" x14ac:dyDescent="0.3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 t="str">
        <f t="shared" si="11"/>
        <v/>
      </c>
      <c r="U105" s="45" t="str">
        <f t="shared" si="12"/>
        <v/>
      </c>
      <c r="V105" s="68" t="str">
        <f t="shared" si="13"/>
        <v/>
      </c>
      <c r="W105" s="48"/>
      <c r="X105" s="66" t="str">
        <f t="shared" si="14"/>
        <v/>
      </c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43"/>
      <c r="BO105" s="43"/>
      <c r="BP105" s="43"/>
      <c r="BQ105" s="43"/>
      <c r="BR105" s="43"/>
      <c r="BS105" s="43"/>
      <c r="BT105" s="43"/>
      <c r="BU105" s="43"/>
      <c r="BV105" s="43"/>
      <c r="BW105" s="43"/>
      <c r="BX105" s="43"/>
      <c r="BY105" s="43"/>
      <c r="BZ105" s="43"/>
      <c r="CA105" s="43"/>
      <c r="CB105" s="43"/>
      <c r="CC105" s="4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43"/>
      <c r="CY105" s="43"/>
      <c r="CZ105" s="43"/>
      <c r="DA105" s="43"/>
      <c r="DB105" s="43"/>
      <c r="DC105" s="43"/>
      <c r="DD105" s="43"/>
      <c r="DE105" s="43"/>
      <c r="DF105" s="43"/>
      <c r="DG105" s="43"/>
      <c r="DH105" s="43"/>
      <c r="DI105" s="43"/>
      <c r="DJ105" s="43"/>
      <c r="DK105" s="43"/>
      <c r="DL105" s="43"/>
      <c r="DM105" s="43"/>
      <c r="DN105" s="43"/>
      <c r="DO105" s="43"/>
      <c r="DP105" s="43"/>
      <c r="DQ105" s="43"/>
      <c r="DR105" s="43"/>
      <c r="DS105" s="43"/>
      <c r="DT105" s="43"/>
      <c r="DU105" s="43"/>
      <c r="DV105" s="43"/>
      <c r="DW105" s="43"/>
      <c r="DX105" s="43"/>
      <c r="DY105" s="43"/>
      <c r="DZ105" s="43"/>
      <c r="EA105" s="43"/>
      <c r="EB105" s="43"/>
      <c r="EC105" s="43"/>
      <c r="ED105" s="43"/>
      <c r="EE105" s="43"/>
      <c r="EF105" s="43"/>
      <c r="EG105" s="43"/>
      <c r="EH105" s="43"/>
      <c r="EI105" s="43"/>
      <c r="EJ105" s="43"/>
      <c r="EK105" s="43"/>
      <c r="EL105" s="43"/>
      <c r="EM105" s="43"/>
      <c r="EN105" s="43"/>
      <c r="EO105" s="43"/>
      <c r="EP105" s="43"/>
      <c r="EQ105" s="43"/>
      <c r="ER105" s="43"/>
      <c r="ES105" s="43"/>
      <c r="ET105" s="43"/>
      <c r="EU105" s="43"/>
      <c r="EV105" s="43"/>
      <c r="EW105" s="43"/>
      <c r="EX105" s="43"/>
      <c r="EY105" s="43"/>
      <c r="EZ105" s="43"/>
      <c r="FA105" s="43"/>
      <c r="FB105" s="43"/>
      <c r="FC105" s="43"/>
      <c r="FD105" s="43"/>
      <c r="FE105" s="43"/>
      <c r="FF105" s="43"/>
      <c r="FG105" s="43"/>
      <c r="FH105" s="43"/>
      <c r="FI105" s="43"/>
      <c r="FJ105" s="43"/>
      <c r="FK105" s="43"/>
      <c r="FL105" s="43"/>
      <c r="FM105" s="43"/>
      <c r="FN105" s="43"/>
      <c r="FO105" s="43"/>
      <c r="FP105" s="43"/>
      <c r="FQ105" s="43"/>
      <c r="FR105" s="43"/>
      <c r="FS105" s="43"/>
      <c r="FT105" s="43"/>
      <c r="FU105" s="43"/>
      <c r="FV105" s="43"/>
      <c r="FW105" s="43"/>
      <c r="FX105" s="43"/>
      <c r="FY105" s="43"/>
      <c r="FZ105" s="43"/>
      <c r="GA105" s="43"/>
      <c r="GB105" s="43"/>
      <c r="GC105" s="43"/>
      <c r="GD105" s="43"/>
      <c r="GE105" s="43"/>
      <c r="GF105" s="43"/>
      <c r="GG105" s="43"/>
      <c r="GH105" s="43"/>
      <c r="GI105" s="43"/>
      <c r="GJ105" s="43"/>
      <c r="GK105" s="43"/>
      <c r="GL105" s="43"/>
      <c r="GM105" s="43"/>
      <c r="GN105" s="43"/>
      <c r="GO105" s="43"/>
      <c r="GP105" s="43"/>
      <c r="GQ105" s="43"/>
      <c r="GR105" s="43"/>
      <c r="GS105" s="43"/>
      <c r="GT105" s="43"/>
      <c r="GU105" s="43"/>
      <c r="GV105" s="43"/>
      <c r="GW105" s="43"/>
      <c r="GX105" s="43"/>
      <c r="GY105" s="43"/>
      <c r="GZ105" s="43"/>
      <c r="HA105" s="43"/>
      <c r="HB105" s="43"/>
      <c r="HC105" s="43"/>
      <c r="HD105" s="43"/>
      <c r="HE105" s="43"/>
      <c r="HF105" s="43"/>
      <c r="HG105" s="43"/>
      <c r="HH105" s="43"/>
      <c r="HI105" s="43"/>
      <c r="HJ105" s="43"/>
      <c r="HK105" s="43"/>
      <c r="HL105" s="43"/>
      <c r="HM105" s="43"/>
      <c r="HN105" s="43"/>
      <c r="HO105" s="43"/>
      <c r="HP105" s="43"/>
      <c r="HQ105" s="43"/>
      <c r="HR105" s="43"/>
      <c r="HS105" s="43"/>
      <c r="HT105" s="43"/>
      <c r="HU105" s="43"/>
      <c r="HV105" s="43"/>
      <c r="HW105" s="43"/>
      <c r="HX105" s="43"/>
      <c r="HY105" s="43"/>
      <c r="HZ105" s="43"/>
      <c r="IA105" s="43"/>
      <c r="IB105" s="43"/>
      <c r="IC105" s="43"/>
      <c r="ID105" s="43"/>
      <c r="IE105" s="43"/>
      <c r="IF105" s="43"/>
      <c r="IG105" s="43"/>
      <c r="IH105" s="43"/>
      <c r="II105" s="43"/>
      <c r="IJ105" s="43"/>
      <c r="IK105" s="43"/>
      <c r="IL105" s="43"/>
      <c r="IM105" s="43"/>
      <c r="IN105" s="43"/>
      <c r="IO105" s="43"/>
      <c r="IP105" s="43"/>
      <c r="IQ105" s="43"/>
      <c r="IR105" s="43"/>
      <c r="IS105" s="43"/>
      <c r="IT105" s="43"/>
      <c r="IU105" s="43"/>
      <c r="IV105" s="43"/>
      <c r="IW105" s="43"/>
      <c r="IX105" s="43"/>
      <c r="IY105" s="43"/>
      <c r="IZ105" s="43"/>
      <c r="JA105" s="43"/>
      <c r="JB105" s="43"/>
      <c r="JC105" s="43"/>
      <c r="JD105" s="43"/>
      <c r="JE105" s="43"/>
      <c r="JF105" s="43"/>
      <c r="JG105" s="43"/>
      <c r="JH105" s="43"/>
      <c r="JI105" s="43"/>
      <c r="JJ105" s="43"/>
      <c r="JK105" s="43"/>
      <c r="JL105" s="43"/>
      <c r="JM105" s="43"/>
      <c r="JN105" s="43"/>
      <c r="JO105" s="43"/>
      <c r="JP105" s="43"/>
      <c r="JQ105" s="43"/>
      <c r="JR105" s="43"/>
      <c r="JS105" s="43"/>
      <c r="JT105" s="43"/>
      <c r="JU105" s="43"/>
      <c r="JV105" s="43"/>
      <c r="JW105" s="43"/>
      <c r="JX105" s="43"/>
      <c r="JY105" s="43"/>
      <c r="JZ105" s="43"/>
      <c r="KA105" s="43"/>
      <c r="KB105" s="43"/>
      <c r="KC105" s="43"/>
      <c r="KD105" s="43"/>
      <c r="KE105" s="43"/>
      <c r="KF105" s="43"/>
      <c r="KG105" s="43"/>
      <c r="KH105" s="43"/>
      <c r="KI105" s="43"/>
      <c r="KJ105" s="43"/>
      <c r="KK105" s="43"/>
      <c r="KL105" s="43"/>
      <c r="KM105" s="43"/>
      <c r="KN105" s="43"/>
      <c r="KO105" s="43"/>
      <c r="KP105" s="43"/>
      <c r="KQ105" s="43"/>
      <c r="KR105" s="43"/>
      <c r="KS105" s="43"/>
      <c r="KT105" s="43"/>
      <c r="KU105" s="43"/>
      <c r="KV105" s="43"/>
      <c r="KW105" s="43"/>
      <c r="KX105" s="43"/>
      <c r="KY105" s="43"/>
      <c r="KZ105" s="43"/>
      <c r="LA105" s="43"/>
      <c r="LB105" s="43"/>
      <c r="LC105" s="43"/>
      <c r="LD105" s="43"/>
      <c r="LE105" s="43"/>
      <c r="LF105" s="43"/>
      <c r="LG105" s="43"/>
      <c r="LH105" s="43"/>
      <c r="LI105" s="43"/>
      <c r="LJ105" s="43"/>
      <c r="LK105" s="43"/>
      <c r="LL105" s="43"/>
      <c r="LM105" s="43"/>
      <c r="LN105" s="43"/>
      <c r="LO105" s="43"/>
      <c r="LP105" s="43"/>
      <c r="LQ105" s="43"/>
      <c r="LR105" s="43"/>
      <c r="LS105" s="43"/>
      <c r="LT105" s="43"/>
      <c r="LU105" s="43"/>
      <c r="LV105" s="43"/>
      <c r="LW105" s="43"/>
      <c r="LX105" s="43"/>
      <c r="LY105" s="43"/>
      <c r="LZ105" s="43"/>
      <c r="MA105" s="43"/>
      <c r="MB105" s="43"/>
      <c r="MC105" s="43"/>
      <c r="MD105" s="43"/>
      <c r="ME105" s="43"/>
      <c r="MF105" s="43"/>
      <c r="MG105" s="43"/>
      <c r="MH105" s="43"/>
      <c r="MI105" s="43"/>
      <c r="MJ105" s="43"/>
      <c r="MK105" s="43"/>
      <c r="ML105" s="43"/>
      <c r="MM105" s="43"/>
      <c r="MN105" s="43"/>
      <c r="MO105" s="43"/>
      <c r="MP105" s="43"/>
      <c r="MQ105" s="43"/>
      <c r="MR105" s="43"/>
      <c r="MS105" s="43"/>
      <c r="MT105" s="43"/>
      <c r="MU105" s="43"/>
      <c r="MV105" s="43"/>
      <c r="MW105" s="43"/>
      <c r="MX105" s="43"/>
      <c r="MY105" s="43"/>
      <c r="MZ105" s="43"/>
      <c r="NA105" s="43"/>
      <c r="NB105" s="43"/>
      <c r="NC105" s="43"/>
      <c r="ND105" s="43"/>
      <c r="NE105" s="43"/>
      <c r="NF105" s="43"/>
      <c r="NG105" s="43"/>
      <c r="NH105" s="43"/>
      <c r="NI105" s="43"/>
      <c r="NJ105" s="43"/>
      <c r="NK105" s="43"/>
      <c r="NL105" s="43"/>
      <c r="NM105" s="43"/>
      <c r="NN105" s="43"/>
      <c r="NO105" s="43"/>
      <c r="NP105" s="43"/>
      <c r="NQ105" s="43"/>
      <c r="NR105" s="43"/>
      <c r="NS105" s="43"/>
      <c r="NT105" s="43"/>
      <c r="NU105" s="43"/>
      <c r="NV105" s="43"/>
      <c r="NW105" s="43"/>
      <c r="NX105" s="43"/>
      <c r="NY105" s="43"/>
      <c r="NZ105" s="43"/>
      <c r="OA105" s="43"/>
      <c r="OB105" s="43"/>
      <c r="OC105" s="43"/>
      <c r="OD105" s="43"/>
      <c r="OE105" s="43"/>
      <c r="OF105" s="43"/>
      <c r="OG105" s="43"/>
      <c r="OH105" s="43"/>
      <c r="OI105" s="43"/>
      <c r="OJ105" s="43"/>
      <c r="OK105" s="43"/>
      <c r="OL105" s="43"/>
      <c r="OM105" s="43"/>
      <c r="ON105" s="43"/>
      <c r="OO105" s="43"/>
      <c r="OP105" s="43"/>
      <c r="OQ105" s="43"/>
      <c r="OR105" s="43"/>
      <c r="OS105" s="43"/>
      <c r="OT105" s="43"/>
      <c r="OU105" s="43"/>
      <c r="OV105" s="43"/>
      <c r="OW105" s="43"/>
      <c r="OX105" s="43"/>
      <c r="OY105" s="43"/>
      <c r="OZ105" s="43"/>
      <c r="PA105" s="43"/>
      <c r="PB105" s="43"/>
      <c r="PC105" s="43"/>
      <c r="PD105" s="43"/>
      <c r="PE105" s="43"/>
      <c r="PF105" s="43"/>
      <c r="PG105" s="43"/>
      <c r="PH105" s="43"/>
      <c r="PI105" s="43"/>
      <c r="PJ105" s="43"/>
      <c r="PK105" s="43"/>
      <c r="PL105" s="43"/>
      <c r="PM105" s="43"/>
      <c r="PN105" s="43"/>
      <c r="PO105" s="43"/>
      <c r="PP105" s="43"/>
      <c r="PQ105" s="43"/>
      <c r="PR105" s="43"/>
      <c r="PS105" s="43"/>
      <c r="PT105" s="43"/>
      <c r="PU105" s="43"/>
      <c r="PV105" s="43"/>
      <c r="PW105" s="43"/>
      <c r="PX105" s="43"/>
      <c r="PY105" s="43"/>
      <c r="PZ105" s="43"/>
      <c r="QA105" s="43"/>
      <c r="QB105" s="43"/>
      <c r="QC105" s="43"/>
    </row>
    <row r="106" spans="2:445" x14ac:dyDescent="0.3"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 t="str">
        <f t="shared" si="11"/>
        <v/>
      </c>
      <c r="U106" s="45" t="str">
        <f t="shared" si="12"/>
        <v/>
      </c>
      <c r="V106" s="68" t="str">
        <f t="shared" si="13"/>
        <v/>
      </c>
      <c r="W106" s="48"/>
      <c r="X106" s="66" t="str">
        <f t="shared" si="14"/>
        <v/>
      </c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43"/>
      <c r="BN106" s="43"/>
      <c r="BO106" s="43"/>
      <c r="BP106" s="43"/>
      <c r="BQ106" s="43"/>
      <c r="BR106" s="43"/>
      <c r="BS106" s="43"/>
      <c r="BT106" s="43"/>
      <c r="BU106" s="43"/>
      <c r="BV106" s="43"/>
      <c r="BW106" s="43"/>
      <c r="BX106" s="43"/>
      <c r="BY106" s="43"/>
      <c r="BZ106" s="43"/>
      <c r="CA106" s="43"/>
      <c r="CB106" s="43"/>
      <c r="CC106" s="43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43"/>
      <c r="CY106" s="43"/>
      <c r="CZ106" s="43"/>
      <c r="DA106" s="43"/>
      <c r="DB106" s="43"/>
      <c r="DC106" s="43"/>
      <c r="DD106" s="43"/>
      <c r="DE106" s="43"/>
      <c r="DF106" s="43"/>
      <c r="DG106" s="43"/>
      <c r="DH106" s="43"/>
      <c r="DI106" s="43"/>
      <c r="DJ106" s="43"/>
      <c r="DK106" s="43"/>
      <c r="DL106" s="43"/>
      <c r="DM106" s="43"/>
      <c r="DN106" s="43"/>
      <c r="DO106" s="43"/>
      <c r="DP106" s="43"/>
      <c r="DQ106" s="43"/>
      <c r="DR106" s="43"/>
      <c r="DS106" s="43"/>
      <c r="DT106" s="43"/>
      <c r="DU106" s="43"/>
      <c r="DV106" s="43"/>
      <c r="DW106" s="43"/>
      <c r="DX106" s="43"/>
      <c r="DY106" s="43"/>
      <c r="DZ106" s="43"/>
      <c r="EA106" s="43"/>
      <c r="EB106" s="43"/>
      <c r="EC106" s="43"/>
      <c r="ED106" s="43"/>
      <c r="EE106" s="43"/>
      <c r="EF106" s="43"/>
      <c r="EG106" s="43"/>
      <c r="EH106" s="43"/>
      <c r="EI106" s="43"/>
      <c r="EJ106" s="43"/>
      <c r="EK106" s="43"/>
      <c r="EL106" s="43"/>
      <c r="EM106" s="43"/>
      <c r="EN106" s="43"/>
      <c r="EO106" s="43"/>
      <c r="EP106" s="43"/>
      <c r="EQ106" s="43"/>
      <c r="ER106" s="43"/>
      <c r="ES106" s="43"/>
      <c r="ET106" s="43"/>
      <c r="EU106" s="43"/>
      <c r="EV106" s="43"/>
      <c r="EW106" s="43"/>
      <c r="EX106" s="43"/>
      <c r="EY106" s="43"/>
      <c r="EZ106" s="43"/>
      <c r="FA106" s="43"/>
      <c r="FB106" s="43"/>
      <c r="FC106" s="43"/>
      <c r="FD106" s="43"/>
      <c r="FE106" s="43"/>
      <c r="FF106" s="43"/>
      <c r="FG106" s="43"/>
      <c r="FH106" s="43"/>
      <c r="FI106" s="43"/>
      <c r="FJ106" s="43"/>
      <c r="FK106" s="43"/>
      <c r="FL106" s="43"/>
      <c r="FM106" s="43"/>
      <c r="FN106" s="43"/>
      <c r="FO106" s="43"/>
      <c r="FP106" s="43"/>
      <c r="FQ106" s="43"/>
      <c r="FR106" s="43"/>
      <c r="FS106" s="43"/>
      <c r="FT106" s="43"/>
      <c r="FU106" s="43"/>
      <c r="FV106" s="43"/>
      <c r="FW106" s="43"/>
      <c r="FX106" s="43"/>
      <c r="FY106" s="43"/>
      <c r="FZ106" s="43"/>
      <c r="GA106" s="43"/>
      <c r="GB106" s="43"/>
      <c r="GC106" s="43"/>
      <c r="GD106" s="43"/>
      <c r="GE106" s="43"/>
      <c r="GF106" s="43"/>
      <c r="GG106" s="43"/>
      <c r="GH106" s="43"/>
      <c r="GI106" s="43"/>
      <c r="GJ106" s="43"/>
      <c r="GK106" s="43"/>
      <c r="GL106" s="43"/>
      <c r="GM106" s="43"/>
      <c r="GN106" s="43"/>
      <c r="GO106" s="43"/>
      <c r="GP106" s="43"/>
      <c r="GQ106" s="43"/>
      <c r="GR106" s="43"/>
      <c r="GS106" s="43"/>
      <c r="GT106" s="43"/>
      <c r="GU106" s="43"/>
      <c r="GV106" s="43"/>
      <c r="GW106" s="43"/>
      <c r="GX106" s="43"/>
      <c r="GY106" s="43"/>
      <c r="GZ106" s="43"/>
      <c r="HA106" s="43"/>
      <c r="HB106" s="43"/>
      <c r="HC106" s="43"/>
      <c r="HD106" s="43"/>
      <c r="HE106" s="43"/>
      <c r="HF106" s="43"/>
      <c r="HG106" s="43"/>
      <c r="HH106" s="43"/>
      <c r="HI106" s="43"/>
      <c r="HJ106" s="43"/>
      <c r="HK106" s="43"/>
      <c r="HL106" s="43"/>
      <c r="HM106" s="43"/>
      <c r="HN106" s="43"/>
      <c r="HO106" s="43"/>
      <c r="HP106" s="43"/>
      <c r="HQ106" s="43"/>
      <c r="HR106" s="43"/>
      <c r="HS106" s="43"/>
      <c r="HT106" s="43"/>
      <c r="HU106" s="43"/>
      <c r="HV106" s="43"/>
      <c r="HW106" s="43"/>
      <c r="HX106" s="43"/>
      <c r="HY106" s="43"/>
      <c r="HZ106" s="43"/>
      <c r="IA106" s="43"/>
      <c r="IB106" s="43"/>
      <c r="IC106" s="43"/>
      <c r="ID106" s="43"/>
      <c r="IE106" s="43"/>
      <c r="IF106" s="43"/>
      <c r="IG106" s="43"/>
      <c r="IH106" s="43"/>
      <c r="II106" s="43"/>
      <c r="IJ106" s="43"/>
      <c r="IK106" s="43"/>
      <c r="IL106" s="43"/>
      <c r="IM106" s="43"/>
      <c r="IN106" s="43"/>
      <c r="IO106" s="43"/>
      <c r="IP106" s="43"/>
      <c r="IQ106" s="43"/>
      <c r="IR106" s="43"/>
      <c r="IS106" s="43"/>
      <c r="IT106" s="43"/>
      <c r="IU106" s="43"/>
      <c r="IV106" s="43"/>
      <c r="IW106" s="43"/>
      <c r="IX106" s="43"/>
      <c r="IY106" s="43"/>
      <c r="IZ106" s="43"/>
      <c r="JA106" s="43"/>
      <c r="JB106" s="43"/>
      <c r="JC106" s="43"/>
      <c r="JD106" s="43"/>
      <c r="JE106" s="43"/>
      <c r="JF106" s="43"/>
      <c r="JG106" s="43"/>
      <c r="JH106" s="43"/>
      <c r="JI106" s="43"/>
      <c r="JJ106" s="43"/>
      <c r="JK106" s="43"/>
      <c r="JL106" s="43"/>
      <c r="JM106" s="43"/>
      <c r="JN106" s="43"/>
      <c r="JO106" s="43"/>
      <c r="JP106" s="43"/>
      <c r="JQ106" s="43"/>
      <c r="JR106" s="43"/>
      <c r="JS106" s="43"/>
      <c r="JT106" s="43"/>
      <c r="JU106" s="43"/>
      <c r="JV106" s="43"/>
      <c r="JW106" s="43"/>
      <c r="JX106" s="43"/>
      <c r="JY106" s="43"/>
      <c r="JZ106" s="43"/>
      <c r="KA106" s="43"/>
      <c r="KB106" s="43"/>
      <c r="KC106" s="43"/>
      <c r="KD106" s="43"/>
      <c r="KE106" s="43"/>
      <c r="KF106" s="43"/>
      <c r="KG106" s="43"/>
      <c r="KH106" s="43"/>
      <c r="KI106" s="43"/>
      <c r="KJ106" s="43"/>
      <c r="KK106" s="43"/>
      <c r="KL106" s="43"/>
      <c r="KM106" s="43"/>
      <c r="KN106" s="43"/>
      <c r="KO106" s="43"/>
      <c r="KP106" s="43"/>
      <c r="KQ106" s="43"/>
      <c r="KR106" s="43"/>
      <c r="KS106" s="43"/>
      <c r="KT106" s="43"/>
      <c r="KU106" s="43"/>
      <c r="KV106" s="43"/>
      <c r="KW106" s="43"/>
      <c r="KX106" s="43"/>
      <c r="KY106" s="43"/>
      <c r="KZ106" s="43"/>
      <c r="LA106" s="43"/>
      <c r="LB106" s="43"/>
      <c r="LC106" s="43"/>
      <c r="LD106" s="43"/>
      <c r="LE106" s="43"/>
      <c r="LF106" s="43"/>
      <c r="LG106" s="43"/>
      <c r="LH106" s="43"/>
      <c r="LI106" s="43"/>
      <c r="LJ106" s="43"/>
      <c r="LK106" s="43"/>
      <c r="LL106" s="43"/>
      <c r="LM106" s="43"/>
      <c r="LN106" s="43"/>
      <c r="LO106" s="43"/>
      <c r="LP106" s="43"/>
      <c r="LQ106" s="43"/>
      <c r="LR106" s="43"/>
      <c r="LS106" s="43"/>
      <c r="LT106" s="43"/>
      <c r="LU106" s="43"/>
      <c r="LV106" s="43"/>
      <c r="LW106" s="43"/>
      <c r="LX106" s="43"/>
      <c r="LY106" s="43"/>
      <c r="LZ106" s="43"/>
      <c r="MA106" s="43"/>
      <c r="MB106" s="43"/>
      <c r="MC106" s="43"/>
      <c r="MD106" s="43"/>
      <c r="ME106" s="43"/>
      <c r="MF106" s="43"/>
      <c r="MG106" s="43"/>
      <c r="MH106" s="43"/>
      <c r="MI106" s="43"/>
      <c r="MJ106" s="43"/>
      <c r="MK106" s="43"/>
      <c r="ML106" s="43"/>
      <c r="MM106" s="43"/>
      <c r="MN106" s="43"/>
      <c r="MO106" s="43"/>
      <c r="MP106" s="43"/>
      <c r="MQ106" s="43"/>
      <c r="MR106" s="43"/>
      <c r="MS106" s="43"/>
      <c r="MT106" s="43"/>
      <c r="MU106" s="43"/>
      <c r="MV106" s="43"/>
      <c r="MW106" s="43"/>
      <c r="MX106" s="43"/>
      <c r="MY106" s="43"/>
      <c r="MZ106" s="43"/>
      <c r="NA106" s="43"/>
      <c r="NB106" s="43"/>
      <c r="NC106" s="43"/>
      <c r="ND106" s="43"/>
      <c r="NE106" s="43"/>
      <c r="NF106" s="43"/>
      <c r="NG106" s="43"/>
      <c r="NH106" s="43"/>
      <c r="NI106" s="43"/>
      <c r="NJ106" s="43"/>
      <c r="NK106" s="43"/>
      <c r="NL106" s="43"/>
      <c r="NM106" s="43"/>
      <c r="NN106" s="43"/>
      <c r="NO106" s="43"/>
      <c r="NP106" s="43"/>
      <c r="NQ106" s="43"/>
      <c r="NR106" s="43"/>
      <c r="NS106" s="43"/>
      <c r="NT106" s="43"/>
      <c r="NU106" s="43"/>
      <c r="NV106" s="43"/>
      <c r="NW106" s="43"/>
      <c r="NX106" s="43"/>
      <c r="NY106" s="43"/>
      <c r="NZ106" s="43"/>
      <c r="OA106" s="43"/>
      <c r="OB106" s="43"/>
      <c r="OC106" s="43"/>
      <c r="OD106" s="43"/>
      <c r="OE106" s="43"/>
      <c r="OF106" s="43"/>
      <c r="OG106" s="43"/>
      <c r="OH106" s="43"/>
      <c r="OI106" s="43"/>
      <c r="OJ106" s="43"/>
      <c r="OK106" s="43"/>
      <c r="OL106" s="43"/>
      <c r="OM106" s="43"/>
      <c r="ON106" s="43"/>
      <c r="OO106" s="43"/>
      <c r="OP106" s="43"/>
      <c r="OQ106" s="43"/>
      <c r="OR106" s="43"/>
      <c r="OS106" s="43"/>
      <c r="OT106" s="43"/>
      <c r="OU106" s="43"/>
      <c r="OV106" s="43"/>
      <c r="OW106" s="43"/>
      <c r="OX106" s="43"/>
      <c r="OY106" s="43"/>
      <c r="OZ106" s="43"/>
      <c r="PA106" s="43"/>
      <c r="PB106" s="43"/>
      <c r="PC106" s="43"/>
      <c r="PD106" s="43"/>
      <c r="PE106" s="43"/>
      <c r="PF106" s="43"/>
      <c r="PG106" s="43"/>
      <c r="PH106" s="43"/>
      <c r="PI106" s="43"/>
      <c r="PJ106" s="43"/>
      <c r="PK106" s="43"/>
      <c r="PL106" s="43"/>
      <c r="PM106" s="43"/>
      <c r="PN106" s="43"/>
      <c r="PO106" s="43"/>
      <c r="PP106" s="43"/>
      <c r="PQ106" s="43"/>
      <c r="PR106" s="43"/>
      <c r="PS106" s="43"/>
      <c r="PT106" s="43"/>
      <c r="PU106" s="43"/>
      <c r="PV106" s="43"/>
      <c r="PW106" s="43"/>
      <c r="PX106" s="43"/>
      <c r="PY106" s="43"/>
      <c r="PZ106" s="43"/>
      <c r="QA106" s="43"/>
      <c r="QB106" s="43"/>
      <c r="QC106" s="43"/>
    </row>
    <row r="107" spans="2:445" x14ac:dyDescent="0.3"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 t="str">
        <f t="shared" si="11"/>
        <v/>
      </c>
      <c r="U107" s="45" t="str">
        <f t="shared" si="12"/>
        <v/>
      </c>
      <c r="V107" s="68" t="str">
        <f t="shared" si="13"/>
        <v/>
      </c>
      <c r="W107" s="48"/>
      <c r="X107" s="66" t="str">
        <f t="shared" si="14"/>
        <v/>
      </c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43"/>
      <c r="BN107" s="43"/>
      <c r="BO107" s="43"/>
      <c r="BP107" s="43"/>
      <c r="BQ107" s="43"/>
      <c r="BR107" s="43"/>
      <c r="BS107" s="43"/>
      <c r="BT107" s="43"/>
      <c r="BU107" s="43"/>
      <c r="BV107" s="43"/>
      <c r="BW107" s="43"/>
      <c r="BX107" s="43"/>
      <c r="BY107" s="43"/>
      <c r="BZ107" s="43"/>
      <c r="CA107" s="43"/>
      <c r="CB107" s="43"/>
      <c r="CC107" s="43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43"/>
      <c r="CY107" s="43"/>
      <c r="CZ107" s="43"/>
      <c r="DA107" s="43"/>
      <c r="DB107" s="43"/>
      <c r="DC107" s="43"/>
      <c r="DD107" s="43"/>
      <c r="DE107" s="43"/>
      <c r="DF107" s="43"/>
      <c r="DG107" s="43"/>
      <c r="DH107" s="43"/>
      <c r="DI107" s="43"/>
      <c r="DJ107" s="43"/>
      <c r="DK107" s="43"/>
      <c r="DL107" s="43"/>
      <c r="DM107" s="43"/>
      <c r="DN107" s="43"/>
      <c r="DO107" s="43"/>
      <c r="DP107" s="43"/>
      <c r="DQ107" s="43"/>
      <c r="DR107" s="43"/>
      <c r="DS107" s="43"/>
      <c r="DT107" s="43"/>
      <c r="DU107" s="43"/>
      <c r="DV107" s="43"/>
      <c r="DW107" s="43"/>
      <c r="DX107" s="43"/>
      <c r="DY107" s="43"/>
      <c r="DZ107" s="43"/>
      <c r="EA107" s="43"/>
      <c r="EB107" s="43"/>
      <c r="EC107" s="43"/>
      <c r="ED107" s="43"/>
      <c r="EE107" s="43"/>
      <c r="EF107" s="43"/>
      <c r="EG107" s="43"/>
      <c r="EH107" s="43"/>
      <c r="EI107" s="43"/>
      <c r="EJ107" s="43"/>
      <c r="EK107" s="43"/>
      <c r="EL107" s="43"/>
      <c r="EM107" s="43"/>
      <c r="EN107" s="43"/>
      <c r="EO107" s="43"/>
      <c r="EP107" s="43"/>
      <c r="EQ107" s="43"/>
      <c r="ER107" s="43"/>
      <c r="ES107" s="43"/>
      <c r="ET107" s="43"/>
      <c r="EU107" s="43"/>
      <c r="EV107" s="43"/>
      <c r="EW107" s="43"/>
      <c r="EX107" s="43"/>
      <c r="EY107" s="43"/>
      <c r="EZ107" s="43"/>
      <c r="FA107" s="43"/>
      <c r="FB107" s="43"/>
      <c r="FC107" s="43"/>
      <c r="FD107" s="43"/>
      <c r="FE107" s="43"/>
      <c r="FF107" s="43"/>
      <c r="FG107" s="43"/>
      <c r="FH107" s="43"/>
      <c r="FI107" s="43"/>
      <c r="FJ107" s="43"/>
      <c r="FK107" s="43"/>
      <c r="FL107" s="43"/>
      <c r="FM107" s="43"/>
      <c r="FN107" s="43"/>
      <c r="FO107" s="43"/>
      <c r="FP107" s="43"/>
      <c r="FQ107" s="43"/>
      <c r="FR107" s="43"/>
      <c r="FS107" s="43"/>
      <c r="FT107" s="43"/>
      <c r="FU107" s="43"/>
      <c r="FV107" s="43"/>
      <c r="FW107" s="43"/>
      <c r="FX107" s="43"/>
      <c r="FY107" s="43"/>
      <c r="FZ107" s="43"/>
      <c r="GA107" s="43"/>
      <c r="GB107" s="43"/>
      <c r="GC107" s="43"/>
      <c r="GD107" s="43"/>
      <c r="GE107" s="43"/>
      <c r="GF107" s="43"/>
      <c r="GG107" s="43"/>
      <c r="GH107" s="43"/>
      <c r="GI107" s="43"/>
      <c r="GJ107" s="43"/>
      <c r="GK107" s="43"/>
      <c r="GL107" s="43"/>
      <c r="GM107" s="43"/>
      <c r="GN107" s="43"/>
      <c r="GO107" s="43"/>
      <c r="GP107" s="43"/>
      <c r="GQ107" s="43"/>
      <c r="GR107" s="43"/>
      <c r="GS107" s="43"/>
      <c r="GT107" s="43"/>
      <c r="GU107" s="43"/>
      <c r="GV107" s="43"/>
      <c r="GW107" s="43"/>
      <c r="GX107" s="43"/>
      <c r="GY107" s="43"/>
      <c r="GZ107" s="43"/>
      <c r="HA107" s="43"/>
      <c r="HB107" s="43"/>
      <c r="HC107" s="43"/>
      <c r="HD107" s="43"/>
      <c r="HE107" s="43"/>
      <c r="HF107" s="43"/>
      <c r="HG107" s="43"/>
      <c r="HH107" s="43"/>
      <c r="HI107" s="43"/>
      <c r="HJ107" s="43"/>
      <c r="HK107" s="43"/>
      <c r="HL107" s="43"/>
      <c r="HM107" s="43"/>
      <c r="HN107" s="43"/>
      <c r="HO107" s="43"/>
      <c r="HP107" s="43"/>
      <c r="HQ107" s="43"/>
      <c r="HR107" s="43"/>
      <c r="HS107" s="43"/>
      <c r="HT107" s="43"/>
      <c r="HU107" s="43"/>
      <c r="HV107" s="43"/>
      <c r="HW107" s="43"/>
      <c r="HX107" s="43"/>
      <c r="HY107" s="43"/>
      <c r="HZ107" s="43"/>
      <c r="IA107" s="43"/>
      <c r="IB107" s="43"/>
      <c r="IC107" s="43"/>
      <c r="ID107" s="43"/>
      <c r="IE107" s="43"/>
      <c r="IF107" s="43"/>
      <c r="IG107" s="43"/>
      <c r="IH107" s="43"/>
      <c r="II107" s="43"/>
      <c r="IJ107" s="43"/>
      <c r="IK107" s="43"/>
      <c r="IL107" s="43"/>
      <c r="IM107" s="43"/>
      <c r="IN107" s="43"/>
      <c r="IO107" s="43"/>
      <c r="IP107" s="43"/>
      <c r="IQ107" s="43"/>
      <c r="IR107" s="43"/>
      <c r="IS107" s="43"/>
      <c r="IT107" s="43"/>
      <c r="IU107" s="43"/>
      <c r="IV107" s="43"/>
      <c r="IW107" s="43"/>
      <c r="IX107" s="43"/>
      <c r="IY107" s="43"/>
      <c r="IZ107" s="43"/>
      <c r="JA107" s="43"/>
      <c r="JB107" s="43"/>
      <c r="JC107" s="43"/>
      <c r="JD107" s="43"/>
      <c r="JE107" s="43"/>
      <c r="JF107" s="43"/>
      <c r="JG107" s="43"/>
      <c r="JH107" s="43"/>
      <c r="JI107" s="43"/>
      <c r="JJ107" s="43"/>
      <c r="JK107" s="43"/>
      <c r="JL107" s="43"/>
      <c r="JM107" s="43"/>
      <c r="JN107" s="43"/>
      <c r="JO107" s="43"/>
      <c r="JP107" s="43"/>
      <c r="JQ107" s="43"/>
      <c r="JR107" s="43"/>
      <c r="JS107" s="43"/>
      <c r="JT107" s="43"/>
      <c r="JU107" s="43"/>
      <c r="JV107" s="43"/>
      <c r="JW107" s="43"/>
      <c r="JX107" s="43"/>
      <c r="JY107" s="43"/>
      <c r="JZ107" s="43"/>
      <c r="KA107" s="43"/>
      <c r="KB107" s="43"/>
      <c r="KC107" s="43"/>
      <c r="KD107" s="43"/>
      <c r="KE107" s="43"/>
      <c r="KF107" s="43"/>
      <c r="KG107" s="43"/>
      <c r="KH107" s="43"/>
      <c r="KI107" s="43"/>
      <c r="KJ107" s="43"/>
      <c r="KK107" s="43"/>
      <c r="KL107" s="43"/>
      <c r="KM107" s="43"/>
      <c r="KN107" s="43"/>
      <c r="KO107" s="43"/>
      <c r="KP107" s="43"/>
      <c r="KQ107" s="43"/>
      <c r="KR107" s="43"/>
      <c r="KS107" s="43"/>
      <c r="KT107" s="43"/>
      <c r="KU107" s="43"/>
      <c r="KV107" s="43"/>
      <c r="KW107" s="43"/>
      <c r="KX107" s="43"/>
      <c r="KY107" s="43"/>
      <c r="KZ107" s="43"/>
      <c r="LA107" s="43"/>
      <c r="LB107" s="43"/>
      <c r="LC107" s="43"/>
      <c r="LD107" s="43"/>
      <c r="LE107" s="43"/>
      <c r="LF107" s="43"/>
      <c r="LG107" s="43"/>
      <c r="LH107" s="43"/>
      <c r="LI107" s="43"/>
      <c r="LJ107" s="43"/>
      <c r="LK107" s="43"/>
      <c r="LL107" s="43"/>
      <c r="LM107" s="43"/>
      <c r="LN107" s="43"/>
      <c r="LO107" s="43"/>
      <c r="LP107" s="43"/>
      <c r="LQ107" s="43"/>
      <c r="LR107" s="43"/>
      <c r="LS107" s="43"/>
      <c r="LT107" s="43"/>
      <c r="LU107" s="43"/>
      <c r="LV107" s="43"/>
      <c r="LW107" s="43"/>
      <c r="LX107" s="43"/>
      <c r="LY107" s="43"/>
      <c r="LZ107" s="43"/>
      <c r="MA107" s="43"/>
      <c r="MB107" s="43"/>
      <c r="MC107" s="43"/>
      <c r="MD107" s="43"/>
      <c r="ME107" s="43"/>
      <c r="MF107" s="43"/>
      <c r="MG107" s="43"/>
      <c r="MH107" s="43"/>
      <c r="MI107" s="43"/>
      <c r="MJ107" s="43"/>
      <c r="MK107" s="43"/>
      <c r="ML107" s="43"/>
      <c r="MM107" s="43"/>
      <c r="MN107" s="43"/>
      <c r="MO107" s="43"/>
      <c r="MP107" s="43"/>
      <c r="MQ107" s="43"/>
      <c r="MR107" s="43"/>
      <c r="MS107" s="43"/>
      <c r="MT107" s="43"/>
      <c r="MU107" s="43"/>
      <c r="MV107" s="43"/>
      <c r="MW107" s="43"/>
      <c r="MX107" s="43"/>
      <c r="MY107" s="43"/>
      <c r="MZ107" s="43"/>
      <c r="NA107" s="43"/>
      <c r="NB107" s="43"/>
      <c r="NC107" s="43"/>
      <c r="ND107" s="43"/>
      <c r="NE107" s="43"/>
      <c r="NF107" s="43"/>
      <c r="NG107" s="43"/>
      <c r="NH107" s="43"/>
      <c r="NI107" s="43"/>
      <c r="NJ107" s="43"/>
      <c r="NK107" s="43"/>
      <c r="NL107" s="43"/>
      <c r="NM107" s="43"/>
      <c r="NN107" s="43"/>
      <c r="NO107" s="43"/>
      <c r="NP107" s="43"/>
      <c r="NQ107" s="43"/>
      <c r="NR107" s="43"/>
      <c r="NS107" s="43"/>
      <c r="NT107" s="43"/>
      <c r="NU107" s="43"/>
      <c r="NV107" s="43"/>
      <c r="NW107" s="43"/>
      <c r="NX107" s="43"/>
      <c r="NY107" s="43"/>
      <c r="NZ107" s="43"/>
      <c r="OA107" s="43"/>
      <c r="OB107" s="43"/>
      <c r="OC107" s="43"/>
      <c r="OD107" s="43"/>
      <c r="OE107" s="43"/>
      <c r="OF107" s="43"/>
      <c r="OG107" s="43"/>
      <c r="OH107" s="43"/>
      <c r="OI107" s="43"/>
      <c r="OJ107" s="43"/>
      <c r="OK107" s="43"/>
      <c r="OL107" s="43"/>
      <c r="OM107" s="43"/>
      <c r="ON107" s="43"/>
      <c r="OO107" s="43"/>
      <c r="OP107" s="43"/>
      <c r="OQ107" s="43"/>
      <c r="OR107" s="43"/>
      <c r="OS107" s="43"/>
      <c r="OT107" s="43"/>
      <c r="OU107" s="43"/>
      <c r="OV107" s="43"/>
      <c r="OW107" s="43"/>
      <c r="OX107" s="43"/>
      <c r="OY107" s="43"/>
      <c r="OZ107" s="43"/>
      <c r="PA107" s="43"/>
      <c r="PB107" s="43"/>
      <c r="PC107" s="43"/>
      <c r="PD107" s="43"/>
      <c r="PE107" s="43"/>
      <c r="PF107" s="43"/>
      <c r="PG107" s="43"/>
      <c r="PH107" s="43"/>
      <c r="PI107" s="43"/>
      <c r="PJ107" s="43"/>
      <c r="PK107" s="43"/>
      <c r="PL107" s="43"/>
      <c r="PM107" s="43"/>
      <c r="PN107" s="43"/>
      <c r="PO107" s="43"/>
      <c r="PP107" s="43"/>
      <c r="PQ107" s="43"/>
      <c r="PR107" s="43"/>
      <c r="PS107" s="43"/>
      <c r="PT107" s="43"/>
      <c r="PU107" s="43"/>
      <c r="PV107" s="43"/>
      <c r="PW107" s="43"/>
      <c r="PX107" s="43"/>
      <c r="PY107" s="43"/>
      <c r="PZ107" s="43"/>
      <c r="QA107" s="43"/>
      <c r="QB107" s="43"/>
      <c r="QC107" s="43"/>
    </row>
    <row r="108" spans="2:445" x14ac:dyDescent="0.3"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 t="str">
        <f t="shared" si="11"/>
        <v/>
      </c>
      <c r="U108" s="45" t="str">
        <f t="shared" si="12"/>
        <v/>
      </c>
      <c r="V108" s="68" t="str">
        <f t="shared" si="13"/>
        <v/>
      </c>
      <c r="W108" s="48"/>
      <c r="X108" s="66" t="str">
        <f t="shared" si="14"/>
        <v/>
      </c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43"/>
      <c r="BN108" s="43"/>
      <c r="BO108" s="43"/>
      <c r="BP108" s="43"/>
      <c r="BQ108" s="43"/>
      <c r="BR108" s="43"/>
      <c r="BS108" s="43"/>
      <c r="BT108" s="43"/>
      <c r="BU108" s="43"/>
      <c r="BV108" s="43"/>
      <c r="BW108" s="43"/>
      <c r="BX108" s="43"/>
      <c r="BY108" s="43"/>
      <c r="BZ108" s="43"/>
      <c r="CA108" s="43"/>
      <c r="CB108" s="43"/>
      <c r="CC108" s="4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43"/>
      <c r="CY108" s="43"/>
      <c r="CZ108" s="43"/>
      <c r="DA108" s="43"/>
      <c r="DB108" s="43"/>
      <c r="DC108" s="43"/>
      <c r="DD108" s="43"/>
      <c r="DE108" s="43"/>
      <c r="DF108" s="43"/>
      <c r="DG108" s="43"/>
      <c r="DH108" s="43"/>
      <c r="DI108" s="43"/>
      <c r="DJ108" s="43"/>
      <c r="DK108" s="43"/>
      <c r="DL108" s="43"/>
      <c r="DM108" s="43"/>
      <c r="DN108" s="43"/>
      <c r="DO108" s="43"/>
      <c r="DP108" s="43"/>
      <c r="DQ108" s="43"/>
      <c r="DR108" s="43"/>
      <c r="DS108" s="43"/>
      <c r="DT108" s="43"/>
      <c r="DU108" s="43"/>
      <c r="DV108" s="43"/>
      <c r="DW108" s="43"/>
      <c r="DX108" s="43"/>
      <c r="DY108" s="43"/>
      <c r="DZ108" s="43"/>
      <c r="EA108" s="43"/>
      <c r="EB108" s="43"/>
      <c r="EC108" s="43"/>
      <c r="ED108" s="43"/>
      <c r="EE108" s="43"/>
      <c r="EF108" s="43"/>
      <c r="EG108" s="43"/>
      <c r="EH108" s="43"/>
      <c r="EI108" s="43"/>
      <c r="EJ108" s="43"/>
      <c r="EK108" s="43"/>
      <c r="EL108" s="43"/>
      <c r="EM108" s="43"/>
      <c r="EN108" s="43"/>
      <c r="EO108" s="43"/>
      <c r="EP108" s="43"/>
      <c r="EQ108" s="43"/>
      <c r="ER108" s="43"/>
      <c r="ES108" s="43"/>
      <c r="ET108" s="43"/>
      <c r="EU108" s="43"/>
      <c r="EV108" s="43"/>
      <c r="EW108" s="43"/>
      <c r="EX108" s="43"/>
      <c r="EY108" s="43"/>
      <c r="EZ108" s="43"/>
      <c r="FA108" s="43"/>
      <c r="FB108" s="43"/>
      <c r="FC108" s="43"/>
      <c r="FD108" s="43"/>
      <c r="FE108" s="43"/>
      <c r="FF108" s="43"/>
      <c r="FG108" s="43"/>
      <c r="FH108" s="43"/>
      <c r="FI108" s="43"/>
      <c r="FJ108" s="43"/>
      <c r="FK108" s="43"/>
      <c r="FL108" s="43"/>
      <c r="FM108" s="43"/>
      <c r="FN108" s="43"/>
      <c r="FO108" s="43"/>
      <c r="FP108" s="43"/>
      <c r="FQ108" s="43"/>
      <c r="FR108" s="43"/>
      <c r="FS108" s="43"/>
      <c r="FT108" s="43"/>
      <c r="FU108" s="43"/>
      <c r="FV108" s="43"/>
      <c r="FW108" s="43"/>
      <c r="FX108" s="43"/>
      <c r="FY108" s="43"/>
      <c r="FZ108" s="43"/>
      <c r="GA108" s="43"/>
      <c r="GB108" s="43"/>
      <c r="GC108" s="43"/>
      <c r="GD108" s="43"/>
      <c r="GE108" s="43"/>
      <c r="GF108" s="43"/>
      <c r="GG108" s="43"/>
      <c r="GH108" s="43"/>
      <c r="GI108" s="43"/>
      <c r="GJ108" s="43"/>
      <c r="GK108" s="43"/>
      <c r="GL108" s="43"/>
      <c r="GM108" s="43"/>
      <c r="GN108" s="43"/>
      <c r="GO108" s="43"/>
      <c r="GP108" s="43"/>
      <c r="GQ108" s="43"/>
      <c r="GR108" s="43"/>
      <c r="GS108" s="43"/>
      <c r="GT108" s="43"/>
      <c r="GU108" s="43"/>
      <c r="GV108" s="43"/>
      <c r="GW108" s="43"/>
      <c r="GX108" s="43"/>
      <c r="GY108" s="43"/>
      <c r="GZ108" s="43"/>
      <c r="HA108" s="43"/>
      <c r="HB108" s="43"/>
      <c r="HC108" s="43"/>
      <c r="HD108" s="43"/>
      <c r="HE108" s="43"/>
      <c r="HF108" s="43"/>
      <c r="HG108" s="43"/>
      <c r="HH108" s="43"/>
      <c r="HI108" s="43"/>
      <c r="HJ108" s="43"/>
      <c r="HK108" s="43"/>
      <c r="HL108" s="43"/>
      <c r="HM108" s="43"/>
      <c r="HN108" s="43"/>
      <c r="HO108" s="43"/>
      <c r="HP108" s="43"/>
      <c r="HQ108" s="43"/>
      <c r="HR108" s="43"/>
      <c r="HS108" s="43"/>
      <c r="HT108" s="43"/>
      <c r="HU108" s="43"/>
      <c r="HV108" s="43"/>
      <c r="HW108" s="43"/>
      <c r="HX108" s="43"/>
      <c r="HY108" s="43"/>
      <c r="HZ108" s="43"/>
      <c r="IA108" s="43"/>
      <c r="IB108" s="43"/>
      <c r="IC108" s="43"/>
      <c r="ID108" s="43"/>
      <c r="IE108" s="43"/>
      <c r="IF108" s="43"/>
      <c r="IG108" s="43"/>
      <c r="IH108" s="43"/>
      <c r="II108" s="43"/>
      <c r="IJ108" s="43"/>
      <c r="IK108" s="43"/>
      <c r="IL108" s="43"/>
      <c r="IM108" s="43"/>
      <c r="IN108" s="43"/>
      <c r="IO108" s="43"/>
      <c r="IP108" s="43"/>
      <c r="IQ108" s="43"/>
      <c r="IR108" s="43"/>
      <c r="IS108" s="43"/>
      <c r="IT108" s="43"/>
      <c r="IU108" s="43"/>
      <c r="IV108" s="43"/>
      <c r="IW108" s="43"/>
      <c r="IX108" s="43"/>
      <c r="IY108" s="43"/>
      <c r="IZ108" s="43"/>
      <c r="JA108" s="43"/>
      <c r="JB108" s="43"/>
      <c r="JC108" s="43"/>
      <c r="JD108" s="43"/>
      <c r="JE108" s="43"/>
      <c r="JF108" s="43"/>
      <c r="JG108" s="43"/>
      <c r="JH108" s="43"/>
      <c r="JI108" s="43"/>
      <c r="JJ108" s="43"/>
      <c r="JK108" s="43"/>
      <c r="JL108" s="43"/>
      <c r="JM108" s="43"/>
      <c r="JN108" s="43"/>
      <c r="JO108" s="43"/>
      <c r="JP108" s="43"/>
      <c r="JQ108" s="43"/>
      <c r="JR108" s="43"/>
      <c r="JS108" s="43"/>
      <c r="JT108" s="43"/>
      <c r="JU108" s="43"/>
      <c r="JV108" s="43"/>
      <c r="JW108" s="43"/>
      <c r="JX108" s="43"/>
      <c r="JY108" s="43"/>
      <c r="JZ108" s="43"/>
      <c r="KA108" s="43"/>
      <c r="KB108" s="43"/>
      <c r="KC108" s="43"/>
      <c r="KD108" s="43"/>
      <c r="KE108" s="43"/>
      <c r="KF108" s="43"/>
      <c r="KG108" s="43"/>
      <c r="KH108" s="43"/>
      <c r="KI108" s="43"/>
      <c r="KJ108" s="43"/>
      <c r="KK108" s="43"/>
      <c r="KL108" s="43"/>
      <c r="KM108" s="43"/>
      <c r="KN108" s="43"/>
      <c r="KO108" s="43"/>
      <c r="KP108" s="43"/>
      <c r="KQ108" s="43"/>
      <c r="KR108" s="43"/>
      <c r="KS108" s="43"/>
      <c r="KT108" s="43"/>
      <c r="KU108" s="43"/>
      <c r="KV108" s="43"/>
      <c r="KW108" s="43"/>
      <c r="KX108" s="43"/>
      <c r="KY108" s="43"/>
      <c r="KZ108" s="43"/>
      <c r="LA108" s="43"/>
      <c r="LB108" s="43"/>
      <c r="LC108" s="43"/>
      <c r="LD108" s="43"/>
      <c r="LE108" s="43"/>
      <c r="LF108" s="43"/>
      <c r="LG108" s="43"/>
      <c r="LH108" s="43"/>
      <c r="LI108" s="43"/>
      <c r="LJ108" s="43"/>
      <c r="LK108" s="43"/>
      <c r="LL108" s="43"/>
      <c r="LM108" s="43"/>
      <c r="LN108" s="43"/>
      <c r="LO108" s="43"/>
      <c r="LP108" s="43"/>
      <c r="LQ108" s="43"/>
      <c r="LR108" s="43"/>
      <c r="LS108" s="43"/>
      <c r="LT108" s="43"/>
      <c r="LU108" s="43"/>
      <c r="LV108" s="43"/>
      <c r="LW108" s="43"/>
      <c r="LX108" s="43"/>
      <c r="LY108" s="43"/>
      <c r="LZ108" s="43"/>
      <c r="MA108" s="43"/>
      <c r="MB108" s="43"/>
      <c r="MC108" s="43"/>
      <c r="MD108" s="43"/>
      <c r="ME108" s="43"/>
      <c r="MF108" s="43"/>
      <c r="MG108" s="43"/>
      <c r="MH108" s="43"/>
      <c r="MI108" s="43"/>
      <c r="MJ108" s="43"/>
      <c r="MK108" s="43"/>
      <c r="ML108" s="43"/>
      <c r="MM108" s="43"/>
      <c r="MN108" s="43"/>
      <c r="MO108" s="43"/>
      <c r="MP108" s="43"/>
      <c r="MQ108" s="43"/>
      <c r="MR108" s="43"/>
      <c r="MS108" s="43"/>
      <c r="MT108" s="43"/>
      <c r="MU108" s="43"/>
      <c r="MV108" s="43"/>
      <c r="MW108" s="43"/>
      <c r="MX108" s="43"/>
      <c r="MY108" s="43"/>
      <c r="MZ108" s="43"/>
      <c r="NA108" s="43"/>
      <c r="NB108" s="43"/>
      <c r="NC108" s="43"/>
      <c r="ND108" s="43"/>
      <c r="NE108" s="43"/>
      <c r="NF108" s="43"/>
      <c r="NG108" s="43"/>
      <c r="NH108" s="43"/>
      <c r="NI108" s="43"/>
      <c r="NJ108" s="43"/>
      <c r="NK108" s="43"/>
      <c r="NL108" s="43"/>
      <c r="NM108" s="43"/>
      <c r="NN108" s="43"/>
      <c r="NO108" s="43"/>
      <c r="NP108" s="43"/>
      <c r="NQ108" s="43"/>
      <c r="NR108" s="43"/>
      <c r="NS108" s="43"/>
      <c r="NT108" s="43"/>
      <c r="NU108" s="43"/>
      <c r="NV108" s="43"/>
      <c r="NW108" s="43"/>
      <c r="NX108" s="43"/>
      <c r="NY108" s="43"/>
      <c r="NZ108" s="43"/>
      <c r="OA108" s="43"/>
      <c r="OB108" s="43"/>
      <c r="OC108" s="43"/>
      <c r="OD108" s="43"/>
      <c r="OE108" s="43"/>
      <c r="OF108" s="43"/>
      <c r="OG108" s="43"/>
      <c r="OH108" s="43"/>
      <c r="OI108" s="43"/>
      <c r="OJ108" s="43"/>
      <c r="OK108" s="43"/>
      <c r="OL108" s="43"/>
      <c r="OM108" s="43"/>
      <c r="ON108" s="43"/>
      <c r="OO108" s="43"/>
      <c r="OP108" s="43"/>
      <c r="OQ108" s="43"/>
      <c r="OR108" s="43"/>
      <c r="OS108" s="43"/>
      <c r="OT108" s="43"/>
      <c r="OU108" s="43"/>
      <c r="OV108" s="43"/>
      <c r="OW108" s="43"/>
      <c r="OX108" s="43"/>
      <c r="OY108" s="43"/>
      <c r="OZ108" s="43"/>
      <c r="PA108" s="43"/>
      <c r="PB108" s="43"/>
      <c r="PC108" s="43"/>
      <c r="PD108" s="43"/>
      <c r="PE108" s="43"/>
      <c r="PF108" s="43"/>
      <c r="PG108" s="43"/>
      <c r="PH108" s="43"/>
      <c r="PI108" s="43"/>
      <c r="PJ108" s="43"/>
      <c r="PK108" s="43"/>
      <c r="PL108" s="43"/>
      <c r="PM108" s="43"/>
      <c r="PN108" s="43"/>
      <c r="PO108" s="43"/>
      <c r="PP108" s="43"/>
      <c r="PQ108" s="43"/>
      <c r="PR108" s="43"/>
      <c r="PS108" s="43"/>
      <c r="PT108" s="43"/>
      <c r="PU108" s="43"/>
      <c r="PV108" s="43"/>
      <c r="PW108" s="43"/>
      <c r="PX108" s="43"/>
      <c r="PY108" s="43"/>
      <c r="PZ108" s="43"/>
      <c r="QA108" s="43"/>
      <c r="QB108" s="43"/>
      <c r="QC108" s="43"/>
    </row>
    <row r="109" spans="2:445" x14ac:dyDescent="0.3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8"/>
      <c r="P109" s="45"/>
      <c r="Q109" s="45"/>
      <c r="R109" s="45"/>
      <c r="S109" s="45"/>
      <c r="T109" s="45" t="str">
        <f t="shared" si="11"/>
        <v/>
      </c>
      <c r="U109" s="45" t="str">
        <f t="shared" si="12"/>
        <v/>
      </c>
      <c r="V109" s="68" t="str">
        <f t="shared" si="13"/>
        <v/>
      </c>
      <c r="W109" s="48"/>
      <c r="X109" s="66" t="str">
        <f t="shared" si="14"/>
        <v/>
      </c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43"/>
      <c r="BN109" s="43"/>
      <c r="BO109" s="43"/>
      <c r="BP109" s="43"/>
      <c r="BQ109" s="43"/>
      <c r="BR109" s="43"/>
      <c r="BS109" s="43"/>
      <c r="BT109" s="43"/>
      <c r="BU109" s="43"/>
      <c r="BV109" s="43"/>
      <c r="BW109" s="43"/>
      <c r="BX109" s="43"/>
      <c r="BY109" s="43"/>
      <c r="BZ109" s="43"/>
      <c r="CA109" s="43"/>
      <c r="CB109" s="43"/>
      <c r="CC109" s="4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43"/>
      <c r="CY109" s="43"/>
      <c r="CZ109" s="43"/>
      <c r="DA109" s="43"/>
      <c r="DB109" s="43"/>
      <c r="DC109" s="43"/>
      <c r="DD109" s="43"/>
      <c r="DE109" s="43"/>
      <c r="DF109" s="43"/>
      <c r="DG109" s="43"/>
      <c r="DH109" s="43"/>
      <c r="DI109" s="43"/>
      <c r="DJ109" s="43"/>
      <c r="DK109" s="43"/>
      <c r="DL109" s="43"/>
      <c r="DM109" s="43"/>
      <c r="DN109" s="43"/>
      <c r="DO109" s="43"/>
      <c r="DP109" s="43"/>
      <c r="DQ109" s="43"/>
      <c r="DR109" s="43"/>
      <c r="DS109" s="43"/>
      <c r="DT109" s="43"/>
      <c r="DU109" s="43"/>
      <c r="DV109" s="43"/>
      <c r="DW109" s="43"/>
      <c r="DX109" s="43"/>
      <c r="DY109" s="43"/>
      <c r="DZ109" s="43"/>
      <c r="EA109" s="43"/>
      <c r="EB109" s="43"/>
      <c r="EC109" s="43"/>
      <c r="ED109" s="43"/>
      <c r="EE109" s="43"/>
      <c r="EF109" s="43"/>
      <c r="EG109" s="43"/>
      <c r="EH109" s="43"/>
      <c r="EI109" s="43"/>
      <c r="EJ109" s="43"/>
      <c r="EK109" s="43"/>
      <c r="EL109" s="43"/>
      <c r="EM109" s="43"/>
      <c r="EN109" s="43"/>
      <c r="EO109" s="43"/>
      <c r="EP109" s="43"/>
      <c r="EQ109" s="43"/>
      <c r="ER109" s="43"/>
      <c r="ES109" s="43"/>
      <c r="ET109" s="43"/>
      <c r="EU109" s="43"/>
      <c r="EV109" s="43"/>
      <c r="EW109" s="43"/>
      <c r="EX109" s="43"/>
      <c r="EY109" s="43"/>
      <c r="EZ109" s="43"/>
      <c r="FA109" s="43"/>
      <c r="FB109" s="43"/>
      <c r="FC109" s="43"/>
      <c r="FD109" s="43"/>
      <c r="FE109" s="43"/>
      <c r="FF109" s="43"/>
      <c r="FG109" s="43"/>
      <c r="FH109" s="43"/>
      <c r="FI109" s="43"/>
      <c r="FJ109" s="43"/>
      <c r="FK109" s="43"/>
      <c r="FL109" s="43"/>
      <c r="FM109" s="43"/>
      <c r="FN109" s="43"/>
      <c r="FO109" s="43"/>
      <c r="FP109" s="43"/>
      <c r="FQ109" s="43"/>
      <c r="FR109" s="43"/>
      <c r="FS109" s="43"/>
      <c r="FT109" s="43"/>
      <c r="FU109" s="43"/>
      <c r="FV109" s="43"/>
      <c r="FW109" s="43"/>
      <c r="FX109" s="43"/>
      <c r="FY109" s="43"/>
      <c r="FZ109" s="43"/>
      <c r="GA109" s="43"/>
      <c r="GB109" s="43"/>
      <c r="GC109" s="43"/>
      <c r="GD109" s="43"/>
      <c r="GE109" s="43"/>
      <c r="GF109" s="43"/>
      <c r="GG109" s="43"/>
      <c r="GH109" s="43"/>
      <c r="GI109" s="43"/>
      <c r="GJ109" s="43"/>
      <c r="GK109" s="43"/>
      <c r="GL109" s="43"/>
      <c r="GM109" s="43"/>
      <c r="GN109" s="43"/>
      <c r="GO109" s="43"/>
      <c r="GP109" s="43"/>
      <c r="GQ109" s="43"/>
      <c r="GR109" s="43"/>
      <c r="GS109" s="43"/>
      <c r="GT109" s="43"/>
      <c r="GU109" s="43"/>
      <c r="GV109" s="43"/>
      <c r="GW109" s="43"/>
      <c r="GX109" s="43"/>
      <c r="GY109" s="43"/>
      <c r="GZ109" s="43"/>
      <c r="HA109" s="43"/>
      <c r="HB109" s="43"/>
      <c r="HC109" s="43"/>
      <c r="HD109" s="43"/>
      <c r="HE109" s="43"/>
      <c r="HF109" s="43"/>
      <c r="HG109" s="43"/>
      <c r="HH109" s="43"/>
      <c r="HI109" s="43"/>
      <c r="HJ109" s="43"/>
      <c r="HK109" s="43"/>
      <c r="HL109" s="43"/>
      <c r="HM109" s="43"/>
      <c r="HN109" s="43"/>
      <c r="HO109" s="43"/>
      <c r="HP109" s="43"/>
      <c r="HQ109" s="43"/>
      <c r="HR109" s="43"/>
      <c r="HS109" s="43"/>
      <c r="HT109" s="43"/>
      <c r="HU109" s="43"/>
      <c r="HV109" s="43"/>
      <c r="HW109" s="43"/>
      <c r="HX109" s="43"/>
      <c r="HY109" s="43"/>
      <c r="HZ109" s="43"/>
      <c r="IA109" s="43"/>
      <c r="IB109" s="43"/>
      <c r="IC109" s="43"/>
      <c r="ID109" s="43"/>
      <c r="IE109" s="43"/>
      <c r="IF109" s="43"/>
      <c r="IG109" s="43"/>
      <c r="IH109" s="43"/>
      <c r="II109" s="43"/>
      <c r="IJ109" s="43"/>
      <c r="IK109" s="43"/>
      <c r="IL109" s="43"/>
      <c r="IM109" s="43"/>
      <c r="IN109" s="43"/>
      <c r="IO109" s="43"/>
      <c r="IP109" s="43"/>
      <c r="IQ109" s="43"/>
      <c r="IR109" s="43"/>
      <c r="IS109" s="43"/>
      <c r="IT109" s="43"/>
      <c r="IU109" s="43"/>
      <c r="IV109" s="43"/>
      <c r="IW109" s="43"/>
      <c r="IX109" s="43"/>
      <c r="IY109" s="43"/>
      <c r="IZ109" s="43"/>
      <c r="JA109" s="43"/>
      <c r="JB109" s="43"/>
      <c r="JC109" s="43"/>
      <c r="JD109" s="43"/>
      <c r="JE109" s="43"/>
      <c r="JF109" s="43"/>
      <c r="JG109" s="43"/>
      <c r="JH109" s="43"/>
      <c r="JI109" s="43"/>
      <c r="JJ109" s="43"/>
      <c r="JK109" s="43"/>
      <c r="JL109" s="43"/>
      <c r="JM109" s="43"/>
      <c r="JN109" s="43"/>
      <c r="JO109" s="43"/>
      <c r="JP109" s="43"/>
      <c r="JQ109" s="43"/>
      <c r="JR109" s="43"/>
      <c r="JS109" s="43"/>
      <c r="JT109" s="43"/>
      <c r="JU109" s="43"/>
      <c r="JV109" s="43"/>
      <c r="JW109" s="43"/>
      <c r="JX109" s="43"/>
      <c r="JY109" s="43"/>
      <c r="JZ109" s="43"/>
      <c r="KA109" s="43"/>
      <c r="KB109" s="43"/>
      <c r="KC109" s="43"/>
      <c r="KD109" s="43"/>
      <c r="KE109" s="43"/>
      <c r="KF109" s="43"/>
      <c r="KG109" s="43"/>
      <c r="KH109" s="43"/>
      <c r="KI109" s="43"/>
      <c r="KJ109" s="43"/>
      <c r="KK109" s="43"/>
      <c r="KL109" s="43"/>
      <c r="KM109" s="43"/>
      <c r="KN109" s="43"/>
      <c r="KO109" s="43"/>
      <c r="KP109" s="43"/>
      <c r="KQ109" s="43"/>
      <c r="KR109" s="43"/>
      <c r="KS109" s="43"/>
      <c r="KT109" s="43"/>
      <c r="KU109" s="43"/>
      <c r="KV109" s="43"/>
      <c r="KW109" s="43"/>
      <c r="KX109" s="43"/>
      <c r="KY109" s="43"/>
      <c r="KZ109" s="43"/>
      <c r="LA109" s="43"/>
      <c r="LB109" s="43"/>
      <c r="LC109" s="43"/>
      <c r="LD109" s="43"/>
      <c r="LE109" s="43"/>
      <c r="LF109" s="43"/>
      <c r="LG109" s="43"/>
      <c r="LH109" s="43"/>
      <c r="LI109" s="43"/>
      <c r="LJ109" s="43"/>
      <c r="LK109" s="43"/>
      <c r="LL109" s="43"/>
      <c r="LM109" s="43"/>
      <c r="LN109" s="43"/>
      <c r="LO109" s="43"/>
      <c r="LP109" s="43"/>
      <c r="LQ109" s="43"/>
      <c r="LR109" s="43"/>
      <c r="LS109" s="43"/>
      <c r="LT109" s="43"/>
      <c r="LU109" s="43"/>
      <c r="LV109" s="43"/>
      <c r="LW109" s="43"/>
      <c r="LX109" s="43"/>
      <c r="LY109" s="43"/>
      <c r="LZ109" s="43"/>
      <c r="MA109" s="43"/>
      <c r="MB109" s="43"/>
      <c r="MC109" s="43"/>
      <c r="MD109" s="43"/>
      <c r="ME109" s="43"/>
      <c r="MF109" s="43"/>
      <c r="MG109" s="43"/>
      <c r="MH109" s="43"/>
      <c r="MI109" s="43"/>
      <c r="MJ109" s="43"/>
      <c r="MK109" s="43"/>
      <c r="ML109" s="43"/>
      <c r="MM109" s="43"/>
      <c r="MN109" s="43"/>
      <c r="MO109" s="43"/>
      <c r="MP109" s="43"/>
      <c r="MQ109" s="43"/>
      <c r="MR109" s="43"/>
      <c r="MS109" s="43"/>
      <c r="MT109" s="43"/>
      <c r="MU109" s="43"/>
      <c r="MV109" s="43"/>
      <c r="MW109" s="43"/>
      <c r="MX109" s="43"/>
      <c r="MY109" s="43"/>
      <c r="MZ109" s="43"/>
      <c r="NA109" s="43"/>
      <c r="NB109" s="43"/>
      <c r="NC109" s="43"/>
      <c r="ND109" s="43"/>
      <c r="NE109" s="43"/>
      <c r="NF109" s="43"/>
      <c r="NG109" s="43"/>
      <c r="NH109" s="43"/>
      <c r="NI109" s="43"/>
      <c r="NJ109" s="43"/>
      <c r="NK109" s="43"/>
      <c r="NL109" s="43"/>
      <c r="NM109" s="43"/>
      <c r="NN109" s="43"/>
      <c r="NO109" s="43"/>
      <c r="NP109" s="43"/>
      <c r="NQ109" s="43"/>
      <c r="NR109" s="43"/>
      <c r="NS109" s="43"/>
      <c r="NT109" s="43"/>
      <c r="NU109" s="43"/>
      <c r="NV109" s="43"/>
      <c r="NW109" s="43"/>
      <c r="NX109" s="43"/>
      <c r="NY109" s="43"/>
      <c r="NZ109" s="43"/>
      <c r="OA109" s="43"/>
      <c r="OB109" s="43"/>
      <c r="OC109" s="43"/>
      <c r="OD109" s="43"/>
      <c r="OE109" s="43"/>
      <c r="OF109" s="43"/>
      <c r="OG109" s="43"/>
      <c r="OH109" s="43"/>
      <c r="OI109" s="43"/>
      <c r="OJ109" s="43"/>
      <c r="OK109" s="43"/>
      <c r="OL109" s="43"/>
      <c r="OM109" s="43"/>
      <c r="ON109" s="43"/>
      <c r="OO109" s="43"/>
      <c r="OP109" s="43"/>
      <c r="OQ109" s="43"/>
      <c r="OR109" s="43"/>
      <c r="OS109" s="43"/>
      <c r="OT109" s="43"/>
      <c r="OU109" s="43"/>
      <c r="OV109" s="43"/>
      <c r="OW109" s="43"/>
      <c r="OX109" s="43"/>
      <c r="OY109" s="43"/>
      <c r="OZ109" s="43"/>
      <c r="PA109" s="43"/>
      <c r="PB109" s="43"/>
      <c r="PC109" s="43"/>
      <c r="PD109" s="43"/>
      <c r="PE109" s="43"/>
      <c r="PF109" s="43"/>
      <c r="PG109" s="43"/>
      <c r="PH109" s="43"/>
      <c r="PI109" s="43"/>
      <c r="PJ109" s="43"/>
      <c r="PK109" s="43"/>
      <c r="PL109" s="43"/>
      <c r="PM109" s="43"/>
      <c r="PN109" s="43"/>
      <c r="PO109" s="43"/>
      <c r="PP109" s="43"/>
      <c r="PQ109" s="43"/>
      <c r="PR109" s="43"/>
      <c r="PS109" s="43"/>
      <c r="PT109" s="43"/>
      <c r="PU109" s="43"/>
      <c r="PV109" s="43"/>
      <c r="PW109" s="43"/>
      <c r="PX109" s="43"/>
      <c r="PY109" s="43"/>
      <c r="PZ109" s="43"/>
      <c r="QA109" s="43"/>
      <c r="QB109" s="43"/>
      <c r="QC109" s="43"/>
    </row>
    <row r="110" spans="2:445" x14ac:dyDescent="0.3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 t="str">
        <f t="shared" si="11"/>
        <v/>
      </c>
      <c r="U110" s="45" t="str">
        <f t="shared" si="12"/>
        <v/>
      </c>
      <c r="V110" s="68" t="str">
        <f t="shared" si="13"/>
        <v/>
      </c>
      <c r="X110" s="66" t="str">
        <f t="shared" si="14"/>
        <v/>
      </c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43"/>
      <c r="BN110" s="43"/>
      <c r="BO110" s="43"/>
      <c r="BP110" s="43"/>
      <c r="BQ110" s="43"/>
      <c r="BR110" s="43"/>
      <c r="BS110" s="43"/>
      <c r="BT110" s="43"/>
      <c r="BU110" s="43"/>
      <c r="BV110" s="43"/>
      <c r="BW110" s="43"/>
      <c r="BX110" s="43"/>
      <c r="BY110" s="43"/>
      <c r="BZ110" s="43"/>
      <c r="CA110" s="43"/>
      <c r="CB110" s="43"/>
      <c r="CC110" s="4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43"/>
      <c r="CY110" s="43"/>
      <c r="CZ110" s="43"/>
      <c r="DA110" s="43"/>
      <c r="DB110" s="43"/>
      <c r="DC110" s="43"/>
      <c r="DD110" s="43"/>
      <c r="DE110" s="43"/>
      <c r="DF110" s="43"/>
      <c r="DG110" s="43"/>
      <c r="DH110" s="43"/>
      <c r="DI110" s="43"/>
      <c r="DJ110" s="43"/>
      <c r="DK110" s="43"/>
      <c r="DL110" s="43"/>
      <c r="DM110" s="43"/>
      <c r="DN110" s="43"/>
      <c r="DO110" s="43"/>
      <c r="DP110" s="43"/>
      <c r="DQ110" s="43"/>
      <c r="DR110" s="43"/>
      <c r="DS110" s="43"/>
      <c r="DT110" s="43"/>
      <c r="DU110" s="43"/>
      <c r="DV110" s="43"/>
      <c r="DW110" s="43"/>
      <c r="DX110" s="43"/>
      <c r="DY110" s="43"/>
      <c r="DZ110" s="43"/>
      <c r="EA110" s="43"/>
      <c r="EB110" s="43"/>
      <c r="EC110" s="43"/>
      <c r="ED110" s="43"/>
      <c r="EE110" s="43"/>
      <c r="EF110" s="43"/>
      <c r="EG110" s="43"/>
      <c r="EH110" s="43"/>
      <c r="EI110" s="43"/>
      <c r="EJ110" s="43"/>
      <c r="EK110" s="43"/>
      <c r="EL110" s="43"/>
      <c r="EM110" s="43"/>
      <c r="EN110" s="43"/>
      <c r="EO110" s="43"/>
      <c r="EP110" s="43"/>
      <c r="EQ110" s="43"/>
      <c r="ER110" s="43"/>
      <c r="ES110" s="43"/>
      <c r="ET110" s="43"/>
      <c r="EU110" s="43"/>
      <c r="EV110" s="43"/>
      <c r="EW110" s="43"/>
      <c r="EX110" s="43"/>
      <c r="EY110" s="43"/>
      <c r="EZ110" s="43"/>
      <c r="FA110" s="43"/>
      <c r="FB110" s="43"/>
      <c r="FC110" s="43"/>
      <c r="FD110" s="43"/>
      <c r="FE110" s="43"/>
      <c r="FF110" s="43"/>
      <c r="FG110" s="43"/>
      <c r="FH110" s="43"/>
      <c r="FI110" s="43"/>
      <c r="FJ110" s="43"/>
      <c r="FK110" s="43"/>
      <c r="FL110" s="43"/>
      <c r="FM110" s="43"/>
      <c r="FN110" s="43"/>
      <c r="FO110" s="43"/>
      <c r="FP110" s="43"/>
      <c r="FQ110" s="43"/>
      <c r="FR110" s="43"/>
      <c r="FS110" s="43"/>
      <c r="FT110" s="43"/>
      <c r="FU110" s="43"/>
      <c r="FV110" s="43"/>
      <c r="FW110" s="43"/>
      <c r="FX110" s="43"/>
      <c r="FY110" s="43"/>
      <c r="FZ110" s="43"/>
      <c r="GA110" s="43"/>
      <c r="GB110" s="43"/>
      <c r="GC110" s="43"/>
      <c r="GD110" s="43"/>
      <c r="GE110" s="43"/>
      <c r="GF110" s="43"/>
      <c r="GG110" s="43"/>
      <c r="GH110" s="43"/>
      <c r="GI110" s="43"/>
      <c r="GJ110" s="43"/>
      <c r="GK110" s="43"/>
      <c r="GL110" s="43"/>
      <c r="GM110" s="43"/>
      <c r="GN110" s="43"/>
      <c r="GO110" s="43"/>
      <c r="GP110" s="43"/>
      <c r="GQ110" s="43"/>
      <c r="GR110" s="43"/>
      <c r="GS110" s="43"/>
      <c r="GT110" s="43"/>
      <c r="GU110" s="43"/>
      <c r="GV110" s="43"/>
      <c r="GW110" s="43"/>
      <c r="GX110" s="43"/>
      <c r="GY110" s="43"/>
      <c r="GZ110" s="43"/>
      <c r="HA110" s="43"/>
      <c r="HB110" s="43"/>
      <c r="HC110" s="43"/>
      <c r="HD110" s="43"/>
      <c r="HE110" s="43"/>
      <c r="HF110" s="43"/>
      <c r="HG110" s="43"/>
      <c r="HH110" s="43"/>
      <c r="HI110" s="43"/>
      <c r="HJ110" s="43"/>
      <c r="HK110" s="43"/>
      <c r="HL110" s="43"/>
      <c r="HM110" s="43"/>
      <c r="HN110" s="43"/>
      <c r="HO110" s="43"/>
      <c r="HP110" s="43"/>
      <c r="HQ110" s="43"/>
      <c r="HR110" s="43"/>
      <c r="HS110" s="43"/>
      <c r="HT110" s="43"/>
      <c r="HU110" s="43"/>
      <c r="HV110" s="43"/>
      <c r="HW110" s="43"/>
      <c r="HX110" s="43"/>
      <c r="HY110" s="43"/>
      <c r="HZ110" s="43"/>
      <c r="IA110" s="43"/>
      <c r="IB110" s="43"/>
      <c r="IC110" s="43"/>
      <c r="ID110" s="43"/>
      <c r="IE110" s="43"/>
      <c r="IF110" s="43"/>
      <c r="IG110" s="43"/>
      <c r="IH110" s="43"/>
      <c r="II110" s="43"/>
      <c r="IJ110" s="43"/>
      <c r="IK110" s="43"/>
      <c r="IL110" s="43"/>
      <c r="IM110" s="43"/>
      <c r="IN110" s="43"/>
      <c r="IO110" s="43"/>
      <c r="IP110" s="43"/>
      <c r="IQ110" s="43"/>
      <c r="IR110" s="43"/>
      <c r="IS110" s="43"/>
      <c r="IT110" s="43"/>
      <c r="IU110" s="43"/>
      <c r="IV110" s="43"/>
      <c r="IW110" s="43"/>
      <c r="IX110" s="43"/>
      <c r="IY110" s="43"/>
      <c r="IZ110" s="43"/>
      <c r="JA110" s="43"/>
      <c r="JB110" s="43"/>
      <c r="JC110" s="43"/>
      <c r="JD110" s="43"/>
      <c r="JE110" s="43"/>
      <c r="JF110" s="43"/>
      <c r="JG110" s="43"/>
      <c r="JH110" s="43"/>
      <c r="JI110" s="43"/>
      <c r="JJ110" s="43"/>
      <c r="JK110" s="43"/>
      <c r="JL110" s="43"/>
      <c r="JM110" s="43"/>
      <c r="JN110" s="43"/>
      <c r="JO110" s="43"/>
      <c r="JP110" s="43"/>
      <c r="JQ110" s="43"/>
      <c r="JR110" s="43"/>
      <c r="JS110" s="43"/>
      <c r="JT110" s="43"/>
      <c r="JU110" s="43"/>
      <c r="JV110" s="43"/>
      <c r="JW110" s="43"/>
      <c r="JX110" s="43"/>
      <c r="JY110" s="43"/>
      <c r="JZ110" s="43"/>
      <c r="KA110" s="43"/>
      <c r="KB110" s="43"/>
      <c r="KC110" s="43"/>
      <c r="KD110" s="43"/>
      <c r="KE110" s="43"/>
      <c r="KF110" s="43"/>
      <c r="KG110" s="43"/>
      <c r="KH110" s="43"/>
      <c r="KI110" s="43"/>
      <c r="KJ110" s="43"/>
      <c r="KK110" s="43"/>
      <c r="KL110" s="43"/>
      <c r="KM110" s="43"/>
      <c r="KN110" s="43"/>
      <c r="KO110" s="43"/>
      <c r="KP110" s="43"/>
      <c r="KQ110" s="43"/>
      <c r="KR110" s="43"/>
      <c r="KS110" s="43"/>
      <c r="KT110" s="43"/>
      <c r="KU110" s="43"/>
      <c r="KV110" s="43"/>
      <c r="KW110" s="43"/>
      <c r="KX110" s="43"/>
      <c r="KY110" s="43"/>
      <c r="KZ110" s="43"/>
      <c r="LA110" s="43"/>
      <c r="LB110" s="43"/>
      <c r="LC110" s="43"/>
      <c r="LD110" s="43"/>
      <c r="LE110" s="43"/>
      <c r="LF110" s="43"/>
      <c r="LG110" s="43"/>
      <c r="LH110" s="43"/>
      <c r="LI110" s="43"/>
      <c r="LJ110" s="43"/>
      <c r="LK110" s="43"/>
      <c r="LL110" s="43"/>
      <c r="LM110" s="43"/>
      <c r="LN110" s="43"/>
      <c r="LO110" s="43"/>
      <c r="LP110" s="43"/>
      <c r="LQ110" s="43"/>
      <c r="LR110" s="43"/>
      <c r="LS110" s="43"/>
      <c r="LT110" s="43"/>
      <c r="LU110" s="43"/>
      <c r="LV110" s="43"/>
      <c r="LW110" s="43"/>
      <c r="LX110" s="43"/>
      <c r="LY110" s="43"/>
      <c r="LZ110" s="43"/>
      <c r="MA110" s="43"/>
      <c r="MB110" s="43"/>
      <c r="MC110" s="43"/>
      <c r="MD110" s="43"/>
      <c r="ME110" s="43"/>
      <c r="MF110" s="43"/>
      <c r="MG110" s="43"/>
      <c r="MH110" s="43"/>
      <c r="MI110" s="43"/>
      <c r="MJ110" s="43"/>
      <c r="MK110" s="43"/>
      <c r="ML110" s="43"/>
      <c r="MM110" s="43"/>
      <c r="MN110" s="43"/>
      <c r="MO110" s="43"/>
      <c r="MP110" s="43"/>
      <c r="MQ110" s="43"/>
      <c r="MR110" s="43"/>
      <c r="MS110" s="43"/>
      <c r="MT110" s="43"/>
      <c r="MU110" s="43"/>
      <c r="MV110" s="43"/>
      <c r="MW110" s="43"/>
      <c r="MX110" s="43"/>
      <c r="MY110" s="43"/>
      <c r="MZ110" s="43"/>
      <c r="NA110" s="43"/>
      <c r="NB110" s="43"/>
      <c r="NC110" s="43"/>
      <c r="ND110" s="43"/>
      <c r="NE110" s="43"/>
      <c r="NF110" s="43"/>
      <c r="NG110" s="43"/>
      <c r="NH110" s="43"/>
      <c r="NI110" s="43"/>
      <c r="NJ110" s="43"/>
      <c r="NK110" s="43"/>
      <c r="NL110" s="43"/>
      <c r="NM110" s="43"/>
      <c r="NN110" s="43"/>
      <c r="NO110" s="43"/>
      <c r="NP110" s="43"/>
      <c r="NQ110" s="43"/>
      <c r="NR110" s="43"/>
      <c r="NS110" s="43"/>
      <c r="NT110" s="43"/>
      <c r="NU110" s="43"/>
      <c r="NV110" s="43"/>
      <c r="NW110" s="43"/>
      <c r="NX110" s="43"/>
      <c r="NY110" s="43"/>
      <c r="NZ110" s="43"/>
      <c r="OA110" s="43"/>
      <c r="OB110" s="43"/>
      <c r="OC110" s="43"/>
      <c r="OD110" s="43"/>
      <c r="OE110" s="43"/>
      <c r="OF110" s="43"/>
      <c r="OG110" s="43"/>
      <c r="OH110" s="43"/>
      <c r="OI110" s="43"/>
      <c r="OJ110" s="43"/>
      <c r="OK110" s="43"/>
      <c r="OL110" s="43"/>
      <c r="OM110" s="43"/>
      <c r="ON110" s="43"/>
      <c r="OO110" s="43"/>
      <c r="OP110" s="43"/>
      <c r="OQ110" s="43"/>
      <c r="OR110" s="43"/>
      <c r="OS110" s="43"/>
      <c r="OT110" s="43"/>
      <c r="OU110" s="43"/>
      <c r="OV110" s="43"/>
      <c r="OW110" s="43"/>
      <c r="OX110" s="43"/>
      <c r="OY110" s="43"/>
      <c r="OZ110" s="43"/>
      <c r="PA110" s="43"/>
      <c r="PB110" s="43"/>
      <c r="PC110" s="43"/>
      <c r="PD110" s="43"/>
      <c r="PE110" s="43"/>
      <c r="PF110" s="43"/>
      <c r="PG110" s="43"/>
      <c r="PH110" s="43"/>
      <c r="PI110" s="43"/>
      <c r="PJ110" s="43"/>
      <c r="PK110" s="43"/>
      <c r="PL110" s="43"/>
      <c r="PM110" s="43"/>
      <c r="PN110" s="43"/>
      <c r="PO110" s="43"/>
      <c r="PP110" s="43"/>
      <c r="PQ110" s="43"/>
      <c r="PR110" s="43"/>
      <c r="PS110" s="43"/>
      <c r="PT110" s="43"/>
      <c r="PU110" s="43"/>
      <c r="PV110" s="43"/>
      <c r="PW110" s="43"/>
      <c r="PX110" s="43"/>
      <c r="PY110" s="43"/>
      <c r="PZ110" s="43"/>
      <c r="QA110" s="43"/>
      <c r="QB110" s="43"/>
      <c r="QC110" s="43"/>
    </row>
    <row r="111" spans="2:445" x14ac:dyDescent="0.3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 t="str">
        <f t="shared" si="11"/>
        <v/>
      </c>
      <c r="U111" s="45" t="str">
        <f t="shared" si="12"/>
        <v/>
      </c>
      <c r="V111" s="68" t="str">
        <f t="shared" si="13"/>
        <v/>
      </c>
      <c r="W111" s="48"/>
      <c r="X111" s="66" t="str">
        <f t="shared" si="14"/>
        <v/>
      </c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43"/>
      <c r="BN111" s="43"/>
      <c r="BO111" s="43"/>
      <c r="BP111" s="43"/>
      <c r="BQ111" s="43"/>
      <c r="BR111" s="43"/>
      <c r="BS111" s="43"/>
      <c r="BT111" s="43"/>
      <c r="BU111" s="43"/>
      <c r="BV111" s="43"/>
      <c r="BW111" s="43"/>
      <c r="BX111" s="43"/>
      <c r="BY111" s="43"/>
      <c r="BZ111" s="43"/>
      <c r="CA111" s="43"/>
      <c r="CB111" s="43"/>
      <c r="CC111" s="43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43"/>
      <c r="CY111" s="43"/>
      <c r="CZ111" s="43"/>
      <c r="DA111" s="43"/>
      <c r="DB111" s="43"/>
      <c r="DC111" s="43"/>
      <c r="DD111" s="43"/>
      <c r="DE111" s="43"/>
      <c r="DF111" s="43"/>
      <c r="DG111" s="43"/>
      <c r="DH111" s="43"/>
      <c r="DI111" s="43"/>
      <c r="DJ111" s="43"/>
      <c r="DK111" s="43"/>
      <c r="DL111" s="43"/>
      <c r="DM111" s="43"/>
      <c r="DN111" s="43"/>
      <c r="DO111" s="43"/>
      <c r="DP111" s="43"/>
      <c r="DQ111" s="43"/>
      <c r="DR111" s="43"/>
      <c r="DS111" s="43"/>
      <c r="DT111" s="43"/>
      <c r="DU111" s="43"/>
      <c r="DV111" s="43"/>
      <c r="DW111" s="43"/>
      <c r="DX111" s="43"/>
      <c r="DY111" s="43"/>
      <c r="DZ111" s="43"/>
      <c r="EA111" s="43"/>
      <c r="EB111" s="43"/>
      <c r="EC111" s="43"/>
      <c r="ED111" s="43"/>
      <c r="EE111" s="43"/>
      <c r="EF111" s="43"/>
      <c r="EG111" s="43"/>
      <c r="EH111" s="43"/>
      <c r="EI111" s="43"/>
      <c r="EJ111" s="43"/>
      <c r="EK111" s="43"/>
      <c r="EL111" s="43"/>
      <c r="EM111" s="43"/>
      <c r="EN111" s="43"/>
      <c r="EO111" s="43"/>
      <c r="EP111" s="43"/>
      <c r="EQ111" s="43"/>
      <c r="ER111" s="43"/>
      <c r="ES111" s="43"/>
      <c r="ET111" s="43"/>
      <c r="EU111" s="43"/>
      <c r="EV111" s="43"/>
      <c r="EW111" s="43"/>
      <c r="EX111" s="43"/>
      <c r="EY111" s="43"/>
      <c r="EZ111" s="43"/>
      <c r="FA111" s="43"/>
      <c r="FB111" s="43"/>
      <c r="FC111" s="43"/>
      <c r="FD111" s="43"/>
      <c r="FE111" s="43"/>
      <c r="FF111" s="43"/>
      <c r="FG111" s="43"/>
      <c r="FH111" s="43"/>
      <c r="FI111" s="43"/>
      <c r="FJ111" s="43"/>
      <c r="FK111" s="43"/>
      <c r="FL111" s="43"/>
      <c r="FM111" s="43"/>
      <c r="FN111" s="43"/>
      <c r="FO111" s="43"/>
      <c r="FP111" s="43"/>
      <c r="FQ111" s="43"/>
      <c r="FR111" s="43"/>
      <c r="FS111" s="43"/>
      <c r="FT111" s="43"/>
      <c r="FU111" s="43"/>
      <c r="FV111" s="43"/>
      <c r="FW111" s="43"/>
      <c r="FX111" s="43"/>
      <c r="FY111" s="43"/>
      <c r="FZ111" s="43"/>
      <c r="GA111" s="43"/>
      <c r="GB111" s="43"/>
      <c r="GC111" s="43"/>
      <c r="GD111" s="43"/>
      <c r="GE111" s="43"/>
      <c r="GF111" s="43"/>
      <c r="GG111" s="43"/>
      <c r="GH111" s="43"/>
      <c r="GI111" s="43"/>
      <c r="GJ111" s="43"/>
      <c r="GK111" s="43"/>
      <c r="GL111" s="43"/>
      <c r="GM111" s="43"/>
      <c r="GN111" s="43"/>
      <c r="GO111" s="43"/>
      <c r="GP111" s="43"/>
      <c r="GQ111" s="43"/>
      <c r="GR111" s="43"/>
      <c r="GS111" s="43"/>
      <c r="GT111" s="43"/>
      <c r="GU111" s="43"/>
      <c r="GV111" s="43"/>
      <c r="GW111" s="43"/>
      <c r="GX111" s="43"/>
      <c r="GY111" s="43"/>
      <c r="GZ111" s="43"/>
      <c r="HA111" s="43"/>
      <c r="HB111" s="43"/>
      <c r="HC111" s="43"/>
      <c r="HD111" s="43"/>
      <c r="HE111" s="43"/>
      <c r="HF111" s="43"/>
      <c r="HG111" s="43"/>
      <c r="HH111" s="43"/>
      <c r="HI111" s="43"/>
      <c r="HJ111" s="43"/>
      <c r="HK111" s="43"/>
      <c r="HL111" s="43"/>
      <c r="HM111" s="43"/>
      <c r="HN111" s="43"/>
      <c r="HO111" s="43"/>
      <c r="HP111" s="43"/>
      <c r="HQ111" s="43"/>
      <c r="HR111" s="43"/>
      <c r="HS111" s="43"/>
      <c r="HT111" s="43"/>
      <c r="HU111" s="43"/>
      <c r="HV111" s="43"/>
      <c r="HW111" s="43"/>
      <c r="HX111" s="43"/>
      <c r="HY111" s="43"/>
      <c r="HZ111" s="43"/>
      <c r="IA111" s="43"/>
      <c r="IB111" s="43"/>
      <c r="IC111" s="43"/>
      <c r="ID111" s="43"/>
      <c r="IE111" s="43"/>
      <c r="IF111" s="43"/>
      <c r="IG111" s="43"/>
      <c r="IH111" s="43"/>
      <c r="II111" s="43"/>
      <c r="IJ111" s="43"/>
      <c r="IK111" s="43"/>
      <c r="IL111" s="43"/>
      <c r="IM111" s="43"/>
      <c r="IN111" s="43"/>
      <c r="IO111" s="43"/>
      <c r="IP111" s="43"/>
      <c r="IQ111" s="43"/>
      <c r="IR111" s="43"/>
      <c r="IS111" s="43"/>
      <c r="IT111" s="43"/>
      <c r="IU111" s="43"/>
      <c r="IV111" s="43"/>
      <c r="IW111" s="43"/>
      <c r="IX111" s="43"/>
      <c r="IY111" s="43"/>
      <c r="IZ111" s="43"/>
      <c r="JA111" s="43"/>
      <c r="JB111" s="43"/>
      <c r="JC111" s="43"/>
      <c r="JD111" s="43"/>
      <c r="JE111" s="43"/>
      <c r="JF111" s="43"/>
      <c r="JG111" s="43"/>
      <c r="JH111" s="43"/>
      <c r="JI111" s="43"/>
      <c r="JJ111" s="43"/>
      <c r="JK111" s="43"/>
      <c r="JL111" s="43"/>
      <c r="JM111" s="43"/>
      <c r="JN111" s="43"/>
      <c r="JO111" s="43"/>
      <c r="JP111" s="43"/>
      <c r="JQ111" s="43"/>
      <c r="JR111" s="43"/>
      <c r="JS111" s="43"/>
      <c r="JT111" s="43"/>
      <c r="JU111" s="43"/>
      <c r="JV111" s="43"/>
      <c r="JW111" s="43"/>
      <c r="JX111" s="43"/>
      <c r="JY111" s="43"/>
      <c r="JZ111" s="43"/>
      <c r="KA111" s="43"/>
      <c r="KB111" s="43"/>
      <c r="KC111" s="43"/>
      <c r="KD111" s="43"/>
      <c r="KE111" s="43"/>
      <c r="KF111" s="43"/>
      <c r="KG111" s="43"/>
      <c r="KH111" s="43"/>
      <c r="KI111" s="43"/>
      <c r="KJ111" s="43"/>
      <c r="KK111" s="43"/>
      <c r="KL111" s="43"/>
      <c r="KM111" s="43"/>
      <c r="KN111" s="43"/>
      <c r="KO111" s="43"/>
      <c r="KP111" s="43"/>
      <c r="KQ111" s="43"/>
      <c r="KR111" s="43"/>
      <c r="KS111" s="43"/>
      <c r="KT111" s="43"/>
      <c r="KU111" s="43"/>
      <c r="KV111" s="43"/>
      <c r="KW111" s="43"/>
      <c r="KX111" s="43"/>
      <c r="KY111" s="43"/>
      <c r="KZ111" s="43"/>
      <c r="LA111" s="43"/>
      <c r="LB111" s="43"/>
      <c r="LC111" s="43"/>
      <c r="LD111" s="43"/>
      <c r="LE111" s="43"/>
      <c r="LF111" s="43"/>
      <c r="LG111" s="43"/>
      <c r="LH111" s="43"/>
      <c r="LI111" s="43"/>
      <c r="LJ111" s="43"/>
      <c r="LK111" s="43"/>
      <c r="LL111" s="43"/>
      <c r="LM111" s="43"/>
      <c r="LN111" s="43"/>
      <c r="LO111" s="43"/>
      <c r="LP111" s="43"/>
      <c r="LQ111" s="43"/>
      <c r="LR111" s="43"/>
      <c r="LS111" s="43"/>
      <c r="LT111" s="43"/>
      <c r="LU111" s="43"/>
      <c r="LV111" s="43"/>
      <c r="LW111" s="43"/>
      <c r="LX111" s="43"/>
      <c r="LY111" s="43"/>
      <c r="LZ111" s="43"/>
      <c r="MA111" s="43"/>
      <c r="MB111" s="43"/>
      <c r="MC111" s="43"/>
      <c r="MD111" s="43"/>
      <c r="ME111" s="43"/>
      <c r="MF111" s="43"/>
      <c r="MG111" s="43"/>
      <c r="MH111" s="43"/>
      <c r="MI111" s="43"/>
      <c r="MJ111" s="43"/>
      <c r="MK111" s="43"/>
      <c r="ML111" s="43"/>
      <c r="MM111" s="43"/>
      <c r="MN111" s="43"/>
      <c r="MO111" s="43"/>
      <c r="MP111" s="43"/>
      <c r="MQ111" s="43"/>
      <c r="MR111" s="43"/>
      <c r="MS111" s="43"/>
      <c r="MT111" s="43"/>
      <c r="MU111" s="43"/>
      <c r="MV111" s="43"/>
      <c r="MW111" s="43"/>
      <c r="MX111" s="43"/>
      <c r="MY111" s="43"/>
      <c r="MZ111" s="43"/>
      <c r="NA111" s="43"/>
      <c r="NB111" s="43"/>
      <c r="NC111" s="43"/>
      <c r="ND111" s="43"/>
      <c r="NE111" s="43"/>
      <c r="NF111" s="43"/>
      <c r="NG111" s="43"/>
      <c r="NH111" s="43"/>
      <c r="NI111" s="43"/>
      <c r="NJ111" s="43"/>
      <c r="NK111" s="43"/>
      <c r="NL111" s="43"/>
      <c r="NM111" s="43"/>
      <c r="NN111" s="43"/>
      <c r="NO111" s="43"/>
      <c r="NP111" s="43"/>
      <c r="NQ111" s="43"/>
      <c r="NR111" s="43"/>
      <c r="NS111" s="43"/>
      <c r="NT111" s="43"/>
      <c r="NU111" s="43"/>
      <c r="NV111" s="43"/>
      <c r="NW111" s="43"/>
      <c r="NX111" s="43"/>
      <c r="NY111" s="43"/>
      <c r="NZ111" s="43"/>
      <c r="OA111" s="43"/>
      <c r="OB111" s="43"/>
      <c r="OC111" s="43"/>
      <c r="OD111" s="43"/>
      <c r="OE111" s="43"/>
      <c r="OF111" s="43"/>
      <c r="OG111" s="43"/>
      <c r="OH111" s="43"/>
      <c r="OI111" s="43"/>
      <c r="OJ111" s="43"/>
      <c r="OK111" s="43"/>
      <c r="OL111" s="43"/>
      <c r="OM111" s="43"/>
      <c r="ON111" s="43"/>
      <c r="OO111" s="43"/>
      <c r="OP111" s="43"/>
      <c r="OQ111" s="43"/>
      <c r="OR111" s="43"/>
      <c r="OS111" s="43"/>
      <c r="OT111" s="43"/>
      <c r="OU111" s="43"/>
      <c r="OV111" s="43"/>
      <c r="OW111" s="43"/>
      <c r="OX111" s="43"/>
      <c r="OY111" s="43"/>
      <c r="OZ111" s="43"/>
      <c r="PA111" s="43"/>
      <c r="PB111" s="43"/>
      <c r="PC111" s="43"/>
      <c r="PD111" s="43"/>
      <c r="PE111" s="43"/>
      <c r="PF111" s="43"/>
      <c r="PG111" s="43"/>
      <c r="PH111" s="43"/>
      <c r="PI111" s="43"/>
      <c r="PJ111" s="43"/>
      <c r="PK111" s="43"/>
      <c r="PL111" s="43"/>
      <c r="PM111" s="43"/>
      <c r="PN111" s="43"/>
      <c r="PO111" s="43"/>
      <c r="PP111" s="43"/>
      <c r="PQ111" s="43"/>
      <c r="PR111" s="43"/>
      <c r="PS111" s="43"/>
      <c r="PT111" s="43"/>
      <c r="PU111" s="43"/>
      <c r="PV111" s="43"/>
      <c r="PW111" s="43"/>
      <c r="PX111" s="43"/>
      <c r="PY111" s="43"/>
      <c r="PZ111" s="43"/>
      <c r="QA111" s="43"/>
      <c r="QB111" s="43"/>
      <c r="QC111" s="43"/>
    </row>
    <row r="112" spans="2:445" x14ac:dyDescent="0.3">
      <c r="B112" s="45"/>
      <c r="C112" s="45"/>
      <c r="D112" s="45"/>
      <c r="E112" s="45"/>
      <c r="F112" s="45"/>
      <c r="G112" s="45"/>
      <c r="H112" s="45"/>
      <c r="I112" s="45"/>
      <c r="J112" s="45"/>
      <c r="K112" s="51"/>
      <c r="L112" s="45"/>
      <c r="M112" s="45"/>
      <c r="N112" s="45"/>
      <c r="O112" s="45"/>
      <c r="P112" s="45"/>
      <c r="Q112" s="45"/>
      <c r="R112" s="45"/>
      <c r="S112" s="45"/>
      <c r="T112" s="45" t="str">
        <f t="shared" si="11"/>
        <v/>
      </c>
      <c r="U112" s="45" t="str">
        <f t="shared" si="12"/>
        <v/>
      </c>
      <c r="V112" s="68" t="str">
        <f t="shared" si="13"/>
        <v/>
      </c>
      <c r="W112" s="48"/>
      <c r="X112" s="66" t="str">
        <f t="shared" si="14"/>
        <v/>
      </c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43"/>
      <c r="BN112" s="43"/>
      <c r="BO112" s="43"/>
      <c r="BP112" s="43"/>
      <c r="BQ112" s="43"/>
      <c r="BR112" s="43"/>
      <c r="BS112" s="43"/>
      <c r="BT112" s="43"/>
      <c r="BU112" s="43"/>
      <c r="BV112" s="43"/>
      <c r="BW112" s="43"/>
      <c r="BX112" s="43"/>
      <c r="BY112" s="43"/>
      <c r="BZ112" s="43"/>
      <c r="CA112" s="43"/>
      <c r="CB112" s="43"/>
      <c r="CC112" s="43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43"/>
      <c r="CY112" s="43"/>
      <c r="CZ112" s="43"/>
      <c r="DA112" s="43"/>
      <c r="DB112" s="43"/>
      <c r="DC112" s="43"/>
      <c r="DD112" s="43"/>
      <c r="DE112" s="43"/>
      <c r="DF112" s="43"/>
      <c r="DG112" s="43"/>
      <c r="DH112" s="43"/>
      <c r="DI112" s="43"/>
      <c r="DJ112" s="43"/>
      <c r="DK112" s="43"/>
      <c r="DL112" s="43"/>
      <c r="DM112" s="43"/>
      <c r="DN112" s="43"/>
      <c r="DO112" s="43"/>
      <c r="DP112" s="43"/>
      <c r="DQ112" s="43"/>
      <c r="DR112" s="43"/>
      <c r="DS112" s="43"/>
      <c r="DT112" s="43"/>
      <c r="DU112" s="43"/>
      <c r="DV112" s="43"/>
      <c r="DW112" s="43"/>
      <c r="DX112" s="43"/>
      <c r="DY112" s="43"/>
      <c r="DZ112" s="43"/>
      <c r="EA112" s="43"/>
      <c r="EB112" s="43"/>
      <c r="EC112" s="43"/>
      <c r="ED112" s="43"/>
      <c r="EE112" s="43"/>
      <c r="EF112" s="43"/>
      <c r="EG112" s="43"/>
      <c r="EH112" s="43"/>
      <c r="EI112" s="43"/>
      <c r="EJ112" s="43"/>
      <c r="EK112" s="43"/>
      <c r="EL112" s="43"/>
      <c r="EM112" s="43"/>
      <c r="EN112" s="43"/>
      <c r="EO112" s="43"/>
      <c r="EP112" s="43"/>
      <c r="EQ112" s="43"/>
      <c r="ER112" s="43"/>
      <c r="ES112" s="43"/>
      <c r="ET112" s="43"/>
      <c r="EU112" s="43"/>
      <c r="EV112" s="43"/>
      <c r="EW112" s="43"/>
      <c r="EX112" s="43"/>
      <c r="EY112" s="43"/>
      <c r="EZ112" s="43"/>
      <c r="FA112" s="43"/>
      <c r="FB112" s="43"/>
      <c r="FC112" s="43"/>
      <c r="FD112" s="43"/>
      <c r="FE112" s="43"/>
      <c r="FF112" s="43"/>
      <c r="FG112" s="43"/>
      <c r="FH112" s="43"/>
      <c r="FI112" s="43"/>
      <c r="FJ112" s="43"/>
      <c r="FK112" s="43"/>
      <c r="FL112" s="43"/>
      <c r="FM112" s="43"/>
      <c r="FN112" s="43"/>
      <c r="FO112" s="43"/>
      <c r="FP112" s="43"/>
      <c r="FQ112" s="43"/>
      <c r="FR112" s="43"/>
      <c r="FS112" s="43"/>
      <c r="FT112" s="43"/>
      <c r="FU112" s="43"/>
      <c r="FV112" s="43"/>
      <c r="FW112" s="43"/>
      <c r="FX112" s="43"/>
      <c r="FY112" s="43"/>
      <c r="FZ112" s="43"/>
      <c r="GA112" s="43"/>
      <c r="GB112" s="43"/>
      <c r="GC112" s="43"/>
      <c r="GD112" s="43"/>
      <c r="GE112" s="43"/>
      <c r="GF112" s="43"/>
      <c r="GG112" s="43"/>
      <c r="GH112" s="43"/>
      <c r="GI112" s="43"/>
      <c r="GJ112" s="43"/>
      <c r="GK112" s="43"/>
      <c r="GL112" s="43"/>
      <c r="GM112" s="43"/>
      <c r="GN112" s="43"/>
      <c r="GO112" s="43"/>
      <c r="GP112" s="43"/>
      <c r="GQ112" s="43"/>
      <c r="GR112" s="43"/>
      <c r="GS112" s="43"/>
      <c r="GT112" s="43"/>
      <c r="GU112" s="43"/>
      <c r="GV112" s="43"/>
      <c r="GW112" s="43"/>
      <c r="GX112" s="43"/>
      <c r="GY112" s="43"/>
      <c r="GZ112" s="43"/>
      <c r="HA112" s="43"/>
      <c r="HB112" s="43"/>
      <c r="HC112" s="43"/>
      <c r="HD112" s="43"/>
      <c r="HE112" s="43"/>
      <c r="HF112" s="43"/>
      <c r="HG112" s="43"/>
      <c r="HH112" s="43"/>
      <c r="HI112" s="43"/>
      <c r="HJ112" s="43"/>
      <c r="HK112" s="43"/>
      <c r="HL112" s="43"/>
      <c r="HM112" s="43"/>
      <c r="HN112" s="43"/>
      <c r="HO112" s="43"/>
      <c r="HP112" s="43"/>
      <c r="HQ112" s="43"/>
      <c r="HR112" s="43"/>
      <c r="HS112" s="43"/>
      <c r="HT112" s="43"/>
      <c r="HU112" s="43"/>
      <c r="HV112" s="43"/>
      <c r="HW112" s="43"/>
      <c r="HX112" s="43"/>
      <c r="HY112" s="43"/>
      <c r="HZ112" s="43"/>
      <c r="IA112" s="43"/>
      <c r="IB112" s="43"/>
      <c r="IC112" s="43"/>
      <c r="ID112" s="43"/>
      <c r="IE112" s="43"/>
      <c r="IF112" s="43"/>
      <c r="IG112" s="43"/>
      <c r="IH112" s="43"/>
      <c r="II112" s="43"/>
      <c r="IJ112" s="43"/>
      <c r="IK112" s="43"/>
      <c r="IL112" s="43"/>
      <c r="IM112" s="43"/>
      <c r="IN112" s="43"/>
      <c r="IO112" s="43"/>
      <c r="IP112" s="43"/>
      <c r="IQ112" s="43"/>
      <c r="IR112" s="43"/>
      <c r="IS112" s="43"/>
      <c r="IT112" s="43"/>
      <c r="IU112" s="43"/>
      <c r="IV112" s="43"/>
      <c r="IW112" s="43"/>
      <c r="IX112" s="43"/>
      <c r="IY112" s="43"/>
      <c r="IZ112" s="43"/>
      <c r="JA112" s="43"/>
      <c r="JB112" s="43"/>
      <c r="JC112" s="43"/>
      <c r="JD112" s="43"/>
      <c r="JE112" s="43"/>
      <c r="JF112" s="43"/>
      <c r="JG112" s="43"/>
      <c r="JH112" s="43"/>
      <c r="JI112" s="43"/>
      <c r="JJ112" s="43"/>
      <c r="JK112" s="43"/>
      <c r="JL112" s="43"/>
      <c r="JM112" s="43"/>
      <c r="JN112" s="43"/>
      <c r="JO112" s="43"/>
      <c r="JP112" s="43"/>
      <c r="JQ112" s="43"/>
      <c r="JR112" s="43"/>
      <c r="JS112" s="43"/>
      <c r="JT112" s="43"/>
      <c r="JU112" s="43"/>
      <c r="JV112" s="43"/>
      <c r="JW112" s="43"/>
      <c r="JX112" s="43"/>
      <c r="JY112" s="43"/>
      <c r="JZ112" s="43"/>
      <c r="KA112" s="43"/>
      <c r="KB112" s="43"/>
      <c r="KC112" s="43"/>
      <c r="KD112" s="43"/>
      <c r="KE112" s="43"/>
      <c r="KF112" s="43"/>
      <c r="KG112" s="43"/>
      <c r="KH112" s="43"/>
      <c r="KI112" s="43"/>
      <c r="KJ112" s="43"/>
      <c r="KK112" s="43"/>
      <c r="KL112" s="43"/>
      <c r="KM112" s="43"/>
      <c r="KN112" s="43"/>
      <c r="KO112" s="43"/>
      <c r="KP112" s="43"/>
      <c r="KQ112" s="43"/>
      <c r="KR112" s="43"/>
      <c r="KS112" s="43"/>
      <c r="KT112" s="43"/>
      <c r="KU112" s="43"/>
      <c r="KV112" s="43"/>
      <c r="KW112" s="43"/>
      <c r="KX112" s="43"/>
      <c r="KY112" s="43"/>
      <c r="KZ112" s="43"/>
      <c r="LA112" s="43"/>
      <c r="LB112" s="43"/>
      <c r="LC112" s="43"/>
      <c r="LD112" s="43"/>
      <c r="LE112" s="43"/>
      <c r="LF112" s="43"/>
      <c r="LG112" s="43"/>
      <c r="LH112" s="43"/>
      <c r="LI112" s="43"/>
      <c r="LJ112" s="43"/>
      <c r="LK112" s="43"/>
      <c r="LL112" s="43"/>
      <c r="LM112" s="43"/>
      <c r="LN112" s="43"/>
      <c r="LO112" s="43"/>
      <c r="LP112" s="43"/>
      <c r="LQ112" s="43"/>
      <c r="LR112" s="43"/>
      <c r="LS112" s="43"/>
      <c r="LT112" s="43"/>
      <c r="LU112" s="43"/>
      <c r="LV112" s="43"/>
      <c r="LW112" s="43"/>
      <c r="LX112" s="43"/>
      <c r="LY112" s="43"/>
      <c r="LZ112" s="43"/>
      <c r="MA112" s="43"/>
      <c r="MB112" s="43"/>
      <c r="MC112" s="43"/>
      <c r="MD112" s="43"/>
      <c r="ME112" s="43"/>
      <c r="MF112" s="43"/>
      <c r="MG112" s="43"/>
      <c r="MH112" s="43"/>
      <c r="MI112" s="43"/>
      <c r="MJ112" s="43"/>
      <c r="MK112" s="43"/>
      <c r="ML112" s="43"/>
      <c r="MM112" s="43"/>
      <c r="MN112" s="43"/>
      <c r="MO112" s="43"/>
      <c r="MP112" s="43"/>
      <c r="MQ112" s="43"/>
      <c r="MR112" s="43"/>
      <c r="MS112" s="43"/>
      <c r="MT112" s="43"/>
      <c r="MU112" s="43"/>
      <c r="MV112" s="43"/>
      <c r="MW112" s="43"/>
      <c r="MX112" s="43"/>
      <c r="MY112" s="43"/>
      <c r="MZ112" s="43"/>
      <c r="NA112" s="43"/>
      <c r="NB112" s="43"/>
      <c r="NC112" s="43"/>
      <c r="ND112" s="43"/>
      <c r="NE112" s="43"/>
      <c r="NF112" s="43"/>
      <c r="NG112" s="43"/>
      <c r="NH112" s="43"/>
      <c r="NI112" s="43"/>
      <c r="NJ112" s="43"/>
      <c r="NK112" s="43"/>
      <c r="NL112" s="43"/>
      <c r="NM112" s="43"/>
      <c r="NN112" s="43"/>
      <c r="NO112" s="43"/>
      <c r="NP112" s="43"/>
      <c r="NQ112" s="43"/>
      <c r="NR112" s="43"/>
      <c r="NS112" s="43"/>
      <c r="NT112" s="43"/>
      <c r="NU112" s="43"/>
      <c r="NV112" s="43"/>
      <c r="NW112" s="43"/>
      <c r="NX112" s="43"/>
      <c r="NY112" s="43"/>
      <c r="NZ112" s="43"/>
      <c r="OA112" s="43"/>
      <c r="OB112" s="43"/>
      <c r="OC112" s="43"/>
      <c r="OD112" s="43"/>
      <c r="OE112" s="43"/>
      <c r="OF112" s="43"/>
      <c r="OG112" s="43"/>
      <c r="OH112" s="43"/>
      <c r="OI112" s="43"/>
      <c r="OJ112" s="43"/>
      <c r="OK112" s="43"/>
      <c r="OL112" s="43"/>
      <c r="OM112" s="43"/>
      <c r="ON112" s="43"/>
      <c r="OO112" s="43"/>
      <c r="OP112" s="43"/>
      <c r="OQ112" s="43"/>
      <c r="OR112" s="43"/>
      <c r="OS112" s="43"/>
      <c r="OT112" s="43"/>
      <c r="OU112" s="43"/>
      <c r="OV112" s="43"/>
      <c r="OW112" s="43"/>
      <c r="OX112" s="43"/>
      <c r="OY112" s="43"/>
      <c r="OZ112" s="43"/>
      <c r="PA112" s="43"/>
      <c r="PB112" s="43"/>
      <c r="PC112" s="43"/>
      <c r="PD112" s="43"/>
      <c r="PE112" s="43"/>
      <c r="PF112" s="43"/>
      <c r="PG112" s="43"/>
      <c r="PH112" s="43"/>
      <c r="PI112" s="43"/>
      <c r="PJ112" s="43"/>
      <c r="PK112" s="43"/>
      <c r="PL112" s="43"/>
      <c r="PM112" s="43"/>
      <c r="PN112" s="43"/>
      <c r="PO112" s="43"/>
      <c r="PP112" s="43"/>
      <c r="PQ112" s="43"/>
      <c r="PR112" s="43"/>
      <c r="PS112" s="43"/>
      <c r="PT112" s="43"/>
      <c r="PU112" s="43"/>
      <c r="PV112" s="43"/>
      <c r="PW112" s="43"/>
      <c r="PX112" s="43"/>
      <c r="PY112" s="43"/>
      <c r="PZ112" s="43"/>
      <c r="QA112" s="43"/>
      <c r="QB112" s="43"/>
      <c r="QC112" s="43"/>
    </row>
    <row r="113" spans="1:445" x14ac:dyDescent="0.3">
      <c r="B113" s="45"/>
      <c r="C113" s="45"/>
      <c r="D113" s="45"/>
      <c r="E113" s="45"/>
      <c r="F113" s="45"/>
      <c r="G113" s="45"/>
      <c r="H113" s="45"/>
      <c r="I113" s="45"/>
      <c r="J113" s="45"/>
      <c r="K113" s="51"/>
      <c r="L113" s="45"/>
      <c r="M113" s="45"/>
      <c r="N113" s="45"/>
      <c r="O113" s="45"/>
      <c r="P113" s="45"/>
      <c r="Q113" s="45"/>
      <c r="R113" s="45"/>
      <c r="S113" s="45"/>
      <c r="T113" s="45" t="str">
        <f t="shared" si="11"/>
        <v/>
      </c>
      <c r="U113" s="45" t="str">
        <f t="shared" si="12"/>
        <v/>
      </c>
      <c r="V113" s="68" t="str">
        <f t="shared" si="13"/>
        <v/>
      </c>
      <c r="W113" s="48"/>
      <c r="X113" s="66" t="str">
        <f t="shared" si="14"/>
        <v/>
      </c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43"/>
      <c r="BN113" s="43"/>
      <c r="BO113" s="43"/>
      <c r="BP113" s="43"/>
      <c r="BQ113" s="43"/>
      <c r="BR113" s="43"/>
      <c r="BS113" s="43"/>
      <c r="BT113" s="43"/>
      <c r="BU113" s="43"/>
      <c r="BV113" s="43"/>
      <c r="BW113" s="43"/>
      <c r="BX113" s="43"/>
      <c r="BY113" s="43"/>
      <c r="BZ113" s="43"/>
      <c r="CA113" s="43"/>
      <c r="CB113" s="43"/>
      <c r="CC113" s="4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43"/>
      <c r="CY113" s="43"/>
      <c r="CZ113" s="43"/>
      <c r="DA113" s="43"/>
      <c r="DB113" s="43"/>
      <c r="DC113" s="43"/>
      <c r="DD113" s="43"/>
      <c r="DE113" s="43"/>
      <c r="DF113" s="43"/>
      <c r="DG113" s="43"/>
      <c r="DH113" s="43"/>
      <c r="DI113" s="43"/>
      <c r="DJ113" s="43"/>
      <c r="DK113" s="43"/>
      <c r="DL113" s="43"/>
      <c r="DM113" s="43"/>
      <c r="DN113" s="43"/>
      <c r="DO113" s="43"/>
      <c r="DP113" s="43"/>
      <c r="DQ113" s="43"/>
      <c r="DR113" s="43"/>
      <c r="DS113" s="43"/>
      <c r="DT113" s="43"/>
      <c r="DU113" s="43"/>
      <c r="DV113" s="43"/>
      <c r="DW113" s="43"/>
      <c r="DX113" s="43"/>
      <c r="DY113" s="43"/>
      <c r="DZ113" s="43"/>
      <c r="EA113" s="43"/>
      <c r="EB113" s="43"/>
      <c r="EC113" s="43"/>
      <c r="ED113" s="43"/>
      <c r="EE113" s="43"/>
      <c r="EF113" s="43"/>
      <c r="EG113" s="43"/>
      <c r="EH113" s="43"/>
      <c r="EI113" s="43"/>
      <c r="EJ113" s="43"/>
      <c r="EK113" s="43"/>
      <c r="EL113" s="43"/>
      <c r="EM113" s="43"/>
      <c r="EN113" s="43"/>
      <c r="EO113" s="43"/>
      <c r="EP113" s="43"/>
      <c r="EQ113" s="43"/>
      <c r="ER113" s="43"/>
      <c r="ES113" s="43"/>
      <c r="ET113" s="43"/>
      <c r="EU113" s="43"/>
      <c r="EV113" s="43"/>
      <c r="EW113" s="43"/>
      <c r="EX113" s="43"/>
      <c r="EY113" s="43"/>
      <c r="EZ113" s="43"/>
      <c r="FA113" s="43"/>
      <c r="FB113" s="43"/>
      <c r="FC113" s="43"/>
      <c r="FD113" s="43"/>
      <c r="FE113" s="43"/>
      <c r="FF113" s="43"/>
      <c r="FG113" s="43"/>
      <c r="FH113" s="43"/>
      <c r="FI113" s="43"/>
      <c r="FJ113" s="43"/>
      <c r="FK113" s="43"/>
      <c r="FL113" s="43"/>
      <c r="FM113" s="43"/>
      <c r="FN113" s="43"/>
      <c r="FO113" s="43"/>
      <c r="FP113" s="43"/>
      <c r="FQ113" s="43"/>
      <c r="FR113" s="43"/>
      <c r="FS113" s="43"/>
      <c r="FT113" s="43"/>
      <c r="FU113" s="43"/>
      <c r="FV113" s="43"/>
      <c r="FW113" s="43"/>
      <c r="FX113" s="43"/>
      <c r="FY113" s="43"/>
      <c r="FZ113" s="43"/>
      <c r="GA113" s="43"/>
      <c r="GB113" s="43"/>
      <c r="GC113" s="43"/>
      <c r="GD113" s="43"/>
      <c r="GE113" s="43"/>
      <c r="GF113" s="43"/>
      <c r="GG113" s="43"/>
      <c r="GH113" s="43"/>
      <c r="GI113" s="43"/>
      <c r="GJ113" s="43"/>
      <c r="GK113" s="43"/>
      <c r="GL113" s="43"/>
      <c r="GM113" s="43"/>
      <c r="GN113" s="43"/>
      <c r="GO113" s="43"/>
      <c r="GP113" s="43"/>
      <c r="GQ113" s="43"/>
      <c r="GR113" s="43"/>
      <c r="GS113" s="43"/>
      <c r="GT113" s="43"/>
      <c r="GU113" s="43"/>
      <c r="GV113" s="43"/>
      <c r="GW113" s="43"/>
      <c r="GX113" s="43"/>
      <c r="GY113" s="43"/>
      <c r="GZ113" s="43"/>
      <c r="HA113" s="43"/>
      <c r="HB113" s="43"/>
      <c r="HC113" s="43"/>
      <c r="HD113" s="43"/>
      <c r="HE113" s="43"/>
      <c r="HF113" s="43"/>
      <c r="HG113" s="43"/>
      <c r="HH113" s="43"/>
      <c r="HI113" s="43"/>
      <c r="HJ113" s="43"/>
      <c r="HK113" s="43"/>
      <c r="HL113" s="43"/>
      <c r="HM113" s="43"/>
      <c r="HN113" s="43"/>
      <c r="HO113" s="43"/>
      <c r="HP113" s="43"/>
      <c r="HQ113" s="43"/>
      <c r="HR113" s="43"/>
      <c r="HS113" s="43"/>
      <c r="HT113" s="43"/>
      <c r="HU113" s="43"/>
      <c r="HV113" s="43"/>
      <c r="HW113" s="43"/>
      <c r="HX113" s="43"/>
      <c r="HY113" s="43"/>
      <c r="HZ113" s="43"/>
      <c r="IA113" s="43"/>
      <c r="IB113" s="43"/>
      <c r="IC113" s="43"/>
      <c r="ID113" s="43"/>
      <c r="IE113" s="43"/>
      <c r="IF113" s="43"/>
      <c r="IG113" s="43"/>
      <c r="IH113" s="43"/>
      <c r="II113" s="43"/>
      <c r="IJ113" s="43"/>
      <c r="IK113" s="43"/>
      <c r="IL113" s="43"/>
      <c r="IM113" s="43"/>
      <c r="IN113" s="43"/>
      <c r="IO113" s="43"/>
      <c r="IP113" s="43"/>
      <c r="IQ113" s="43"/>
      <c r="IR113" s="43"/>
      <c r="IS113" s="43"/>
      <c r="IT113" s="43"/>
      <c r="IU113" s="43"/>
      <c r="IV113" s="43"/>
      <c r="IW113" s="43"/>
      <c r="IX113" s="43"/>
      <c r="IY113" s="43"/>
      <c r="IZ113" s="43"/>
      <c r="JA113" s="43"/>
      <c r="JB113" s="43"/>
      <c r="JC113" s="43"/>
      <c r="JD113" s="43"/>
      <c r="JE113" s="43"/>
      <c r="JF113" s="43"/>
      <c r="JG113" s="43"/>
      <c r="JH113" s="43"/>
      <c r="JI113" s="43"/>
      <c r="JJ113" s="43"/>
      <c r="JK113" s="43"/>
      <c r="JL113" s="43"/>
      <c r="JM113" s="43"/>
      <c r="JN113" s="43"/>
      <c r="JO113" s="43"/>
      <c r="JP113" s="43"/>
      <c r="JQ113" s="43"/>
      <c r="JR113" s="43"/>
      <c r="JS113" s="43"/>
      <c r="JT113" s="43"/>
      <c r="JU113" s="43"/>
      <c r="JV113" s="43"/>
      <c r="JW113" s="43"/>
      <c r="JX113" s="43"/>
      <c r="JY113" s="43"/>
      <c r="JZ113" s="43"/>
      <c r="KA113" s="43"/>
      <c r="KB113" s="43"/>
      <c r="KC113" s="43"/>
      <c r="KD113" s="43"/>
      <c r="KE113" s="43"/>
      <c r="KF113" s="43"/>
      <c r="KG113" s="43"/>
      <c r="KH113" s="43"/>
      <c r="KI113" s="43"/>
      <c r="KJ113" s="43"/>
      <c r="KK113" s="43"/>
      <c r="KL113" s="43"/>
      <c r="KM113" s="43"/>
      <c r="KN113" s="43"/>
      <c r="KO113" s="43"/>
      <c r="KP113" s="43"/>
      <c r="KQ113" s="43"/>
      <c r="KR113" s="43"/>
      <c r="KS113" s="43"/>
      <c r="KT113" s="43"/>
      <c r="KU113" s="43"/>
      <c r="KV113" s="43"/>
      <c r="KW113" s="43"/>
      <c r="KX113" s="43"/>
      <c r="KY113" s="43"/>
      <c r="KZ113" s="43"/>
      <c r="LA113" s="43"/>
      <c r="LB113" s="43"/>
      <c r="LC113" s="43"/>
      <c r="LD113" s="43"/>
      <c r="LE113" s="43"/>
      <c r="LF113" s="43"/>
      <c r="LG113" s="43"/>
      <c r="LH113" s="43"/>
      <c r="LI113" s="43"/>
      <c r="LJ113" s="43"/>
      <c r="LK113" s="43"/>
      <c r="LL113" s="43"/>
      <c r="LM113" s="43"/>
      <c r="LN113" s="43"/>
      <c r="LO113" s="43"/>
      <c r="LP113" s="43"/>
      <c r="LQ113" s="43"/>
      <c r="LR113" s="43"/>
      <c r="LS113" s="43"/>
      <c r="LT113" s="43"/>
      <c r="LU113" s="43"/>
      <c r="LV113" s="43"/>
      <c r="LW113" s="43"/>
      <c r="LX113" s="43"/>
      <c r="LY113" s="43"/>
      <c r="LZ113" s="43"/>
      <c r="MA113" s="43"/>
      <c r="MB113" s="43"/>
      <c r="MC113" s="43"/>
      <c r="MD113" s="43"/>
      <c r="ME113" s="43"/>
      <c r="MF113" s="43"/>
      <c r="MG113" s="43"/>
      <c r="MH113" s="43"/>
      <c r="MI113" s="43"/>
      <c r="MJ113" s="43"/>
      <c r="MK113" s="43"/>
      <c r="ML113" s="43"/>
      <c r="MM113" s="43"/>
      <c r="MN113" s="43"/>
      <c r="MO113" s="43"/>
      <c r="MP113" s="43"/>
      <c r="MQ113" s="43"/>
      <c r="MR113" s="43"/>
      <c r="MS113" s="43"/>
      <c r="MT113" s="43"/>
      <c r="MU113" s="43"/>
      <c r="MV113" s="43"/>
      <c r="MW113" s="43"/>
      <c r="MX113" s="43"/>
      <c r="MY113" s="43"/>
      <c r="MZ113" s="43"/>
      <c r="NA113" s="43"/>
      <c r="NB113" s="43"/>
      <c r="NC113" s="43"/>
      <c r="ND113" s="43"/>
      <c r="NE113" s="43"/>
      <c r="NF113" s="43"/>
      <c r="NG113" s="43"/>
      <c r="NH113" s="43"/>
      <c r="NI113" s="43"/>
      <c r="NJ113" s="43"/>
      <c r="NK113" s="43"/>
      <c r="NL113" s="43"/>
      <c r="NM113" s="43"/>
      <c r="NN113" s="43"/>
      <c r="NO113" s="43"/>
      <c r="NP113" s="43"/>
      <c r="NQ113" s="43"/>
      <c r="NR113" s="43"/>
      <c r="NS113" s="43"/>
      <c r="NT113" s="43"/>
      <c r="NU113" s="43"/>
      <c r="NV113" s="43"/>
      <c r="NW113" s="43"/>
      <c r="NX113" s="43"/>
      <c r="NY113" s="43"/>
      <c r="NZ113" s="43"/>
      <c r="OA113" s="43"/>
      <c r="OB113" s="43"/>
      <c r="OC113" s="43"/>
      <c r="OD113" s="43"/>
      <c r="OE113" s="43"/>
      <c r="OF113" s="43"/>
      <c r="OG113" s="43"/>
      <c r="OH113" s="43"/>
      <c r="OI113" s="43"/>
      <c r="OJ113" s="43"/>
      <c r="OK113" s="43"/>
      <c r="OL113" s="43"/>
      <c r="OM113" s="43"/>
      <c r="ON113" s="43"/>
      <c r="OO113" s="43"/>
      <c r="OP113" s="43"/>
      <c r="OQ113" s="43"/>
      <c r="OR113" s="43"/>
      <c r="OS113" s="43"/>
      <c r="OT113" s="43"/>
      <c r="OU113" s="43"/>
      <c r="OV113" s="43"/>
      <c r="OW113" s="43"/>
      <c r="OX113" s="43"/>
      <c r="OY113" s="43"/>
      <c r="OZ113" s="43"/>
      <c r="PA113" s="43"/>
      <c r="PB113" s="43"/>
      <c r="PC113" s="43"/>
      <c r="PD113" s="43"/>
      <c r="PE113" s="43"/>
      <c r="PF113" s="43"/>
      <c r="PG113" s="43"/>
      <c r="PH113" s="43"/>
      <c r="PI113" s="43"/>
      <c r="PJ113" s="43"/>
      <c r="PK113" s="43"/>
      <c r="PL113" s="43"/>
      <c r="PM113" s="43"/>
      <c r="PN113" s="43"/>
      <c r="PO113" s="43"/>
      <c r="PP113" s="43"/>
      <c r="PQ113" s="43"/>
      <c r="PR113" s="43"/>
      <c r="PS113" s="43"/>
      <c r="PT113" s="43"/>
      <c r="PU113" s="43"/>
      <c r="PV113" s="43"/>
      <c r="PW113" s="43"/>
      <c r="PX113" s="43"/>
      <c r="PY113" s="43"/>
      <c r="PZ113" s="43"/>
      <c r="QA113" s="43"/>
      <c r="QB113" s="43"/>
      <c r="QC113" s="43"/>
    </row>
    <row r="114" spans="1:445" x14ac:dyDescent="0.3">
      <c r="B114" s="45"/>
      <c r="C114" s="45"/>
      <c r="D114" s="45"/>
      <c r="E114" s="45"/>
      <c r="F114" s="45"/>
      <c r="G114" s="45"/>
      <c r="H114" s="45"/>
      <c r="I114" s="45"/>
      <c r="J114" s="45"/>
      <c r="K114" s="48"/>
      <c r="L114" s="45"/>
      <c r="M114" s="45"/>
      <c r="N114" s="45"/>
      <c r="O114" s="51"/>
      <c r="P114" s="45"/>
      <c r="Q114" s="45"/>
      <c r="R114" s="45"/>
      <c r="S114" s="45"/>
      <c r="T114" s="45" t="str">
        <f t="shared" si="11"/>
        <v/>
      </c>
      <c r="U114" s="45" t="str">
        <f t="shared" si="12"/>
        <v/>
      </c>
      <c r="V114" s="68" t="str">
        <f t="shared" si="13"/>
        <v/>
      </c>
      <c r="W114" s="48"/>
      <c r="X114" s="66" t="str">
        <f t="shared" si="14"/>
        <v/>
      </c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43"/>
      <c r="BO114" s="43"/>
      <c r="BP114" s="43"/>
      <c r="BQ114" s="43"/>
      <c r="BR114" s="43"/>
      <c r="BS114" s="43"/>
      <c r="BT114" s="43"/>
      <c r="BU114" s="43"/>
      <c r="BV114" s="43"/>
      <c r="BW114" s="43"/>
      <c r="BX114" s="43"/>
      <c r="BY114" s="43"/>
      <c r="BZ114" s="43"/>
      <c r="CA114" s="43"/>
      <c r="CB114" s="43"/>
      <c r="CC114" s="4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43"/>
      <c r="CY114" s="43"/>
      <c r="CZ114" s="43"/>
      <c r="DA114" s="43"/>
      <c r="DB114" s="43"/>
      <c r="DC114" s="43"/>
      <c r="DD114" s="43"/>
      <c r="DE114" s="43"/>
      <c r="DF114" s="43"/>
      <c r="DG114" s="43"/>
      <c r="DH114" s="43"/>
      <c r="DI114" s="43"/>
      <c r="DJ114" s="43"/>
      <c r="DK114" s="43"/>
      <c r="DL114" s="43"/>
      <c r="DM114" s="43"/>
      <c r="DN114" s="43"/>
      <c r="DO114" s="43"/>
      <c r="DP114" s="43"/>
      <c r="DQ114" s="43"/>
      <c r="DR114" s="43"/>
      <c r="DS114" s="43"/>
      <c r="DT114" s="43"/>
      <c r="DU114" s="43"/>
      <c r="DV114" s="43"/>
      <c r="DW114" s="43"/>
      <c r="DX114" s="43"/>
      <c r="DY114" s="43"/>
      <c r="DZ114" s="43"/>
      <c r="EA114" s="43"/>
      <c r="EB114" s="43"/>
      <c r="EC114" s="43"/>
      <c r="ED114" s="43"/>
      <c r="EE114" s="43"/>
      <c r="EF114" s="43"/>
      <c r="EG114" s="43"/>
      <c r="EH114" s="43"/>
      <c r="EI114" s="43"/>
      <c r="EJ114" s="43"/>
      <c r="EK114" s="43"/>
      <c r="EL114" s="43"/>
      <c r="EM114" s="43"/>
      <c r="EN114" s="43"/>
      <c r="EO114" s="43"/>
      <c r="EP114" s="43"/>
      <c r="EQ114" s="43"/>
      <c r="ER114" s="43"/>
      <c r="ES114" s="43"/>
      <c r="ET114" s="43"/>
      <c r="EU114" s="43"/>
      <c r="EV114" s="43"/>
      <c r="EW114" s="43"/>
      <c r="EX114" s="43"/>
      <c r="EY114" s="43"/>
      <c r="EZ114" s="43"/>
      <c r="FA114" s="43"/>
      <c r="FB114" s="43"/>
      <c r="FC114" s="43"/>
      <c r="FD114" s="43"/>
      <c r="FE114" s="43"/>
      <c r="FF114" s="43"/>
      <c r="FG114" s="43"/>
      <c r="FH114" s="43"/>
      <c r="FI114" s="43"/>
      <c r="FJ114" s="43"/>
      <c r="FK114" s="43"/>
      <c r="FL114" s="43"/>
      <c r="FM114" s="43"/>
      <c r="FN114" s="43"/>
      <c r="FO114" s="43"/>
      <c r="FP114" s="43"/>
      <c r="FQ114" s="43"/>
      <c r="FR114" s="43"/>
      <c r="FS114" s="43"/>
      <c r="FT114" s="43"/>
      <c r="FU114" s="43"/>
      <c r="FV114" s="43"/>
      <c r="FW114" s="43"/>
      <c r="FX114" s="43"/>
      <c r="FY114" s="43"/>
      <c r="FZ114" s="43"/>
      <c r="GA114" s="43"/>
      <c r="GB114" s="43"/>
      <c r="GC114" s="43"/>
      <c r="GD114" s="43"/>
      <c r="GE114" s="43"/>
      <c r="GF114" s="43"/>
      <c r="GG114" s="43"/>
      <c r="GH114" s="43"/>
      <c r="GI114" s="43"/>
      <c r="GJ114" s="43"/>
      <c r="GK114" s="43"/>
      <c r="GL114" s="43"/>
      <c r="GM114" s="43"/>
      <c r="GN114" s="43"/>
      <c r="GO114" s="43"/>
      <c r="GP114" s="43"/>
      <c r="GQ114" s="43"/>
      <c r="GR114" s="43"/>
      <c r="GS114" s="43"/>
      <c r="GT114" s="43"/>
      <c r="GU114" s="43"/>
      <c r="GV114" s="43"/>
      <c r="GW114" s="43"/>
      <c r="GX114" s="43"/>
      <c r="GY114" s="43"/>
      <c r="GZ114" s="43"/>
      <c r="HA114" s="43"/>
      <c r="HB114" s="43"/>
      <c r="HC114" s="43"/>
      <c r="HD114" s="43"/>
      <c r="HE114" s="43"/>
      <c r="HF114" s="43"/>
      <c r="HG114" s="43"/>
      <c r="HH114" s="43"/>
      <c r="HI114" s="43"/>
      <c r="HJ114" s="43"/>
      <c r="HK114" s="43"/>
      <c r="HL114" s="43"/>
      <c r="HM114" s="43"/>
      <c r="HN114" s="43"/>
      <c r="HO114" s="43"/>
      <c r="HP114" s="43"/>
      <c r="HQ114" s="43"/>
      <c r="HR114" s="43"/>
      <c r="HS114" s="43"/>
      <c r="HT114" s="43"/>
      <c r="HU114" s="43"/>
      <c r="HV114" s="43"/>
      <c r="HW114" s="43"/>
      <c r="HX114" s="43"/>
      <c r="HY114" s="43"/>
      <c r="HZ114" s="43"/>
      <c r="IA114" s="43"/>
      <c r="IB114" s="43"/>
      <c r="IC114" s="43"/>
      <c r="ID114" s="43"/>
      <c r="IE114" s="43"/>
      <c r="IF114" s="43"/>
      <c r="IG114" s="43"/>
      <c r="IH114" s="43"/>
      <c r="II114" s="43"/>
      <c r="IJ114" s="43"/>
      <c r="IK114" s="43"/>
      <c r="IL114" s="43"/>
      <c r="IM114" s="43"/>
      <c r="IN114" s="43"/>
      <c r="IO114" s="43"/>
      <c r="IP114" s="43"/>
      <c r="IQ114" s="43"/>
      <c r="IR114" s="43"/>
      <c r="IS114" s="43"/>
      <c r="IT114" s="43"/>
      <c r="IU114" s="43"/>
      <c r="IV114" s="43"/>
      <c r="IW114" s="43"/>
      <c r="IX114" s="43"/>
      <c r="IY114" s="43"/>
      <c r="IZ114" s="43"/>
      <c r="JA114" s="43"/>
      <c r="JB114" s="43"/>
      <c r="JC114" s="43"/>
      <c r="JD114" s="43"/>
      <c r="JE114" s="43"/>
      <c r="JF114" s="43"/>
      <c r="JG114" s="43"/>
      <c r="JH114" s="43"/>
      <c r="JI114" s="43"/>
      <c r="JJ114" s="43"/>
      <c r="JK114" s="43"/>
      <c r="JL114" s="43"/>
      <c r="JM114" s="43"/>
      <c r="JN114" s="43"/>
      <c r="JO114" s="43"/>
      <c r="JP114" s="43"/>
      <c r="JQ114" s="43"/>
      <c r="JR114" s="43"/>
      <c r="JS114" s="43"/>
      <c r="JT114" s="43"/>
      <c r="JU114" s="43"/>
      <c r="JV114" s="43"/>
      <c r="JW114" s="43"/>
      <c r="JX114" s="43"/>
      <c r="JY114" s="43"/>
      <c r="JZ114" s="43"/>
      <c r="KA114" s="43"/>
      <c r="KB114" s="43"/>
      <c r="KC114" s="43"/>
      <c r="KD114" s="43"/>
      <c r="KE114" s="43"/>
      <c r="KF114" s="43"/>
      <c r="KG114" s="43"/>
      <c r="KH114" s="43"/>
      <c r="KI114" s="43"/>
      <c r="KJ114" s="43"/>
      <c r="KK114" s="43"/>
      <c r="KL114" s="43"/>
      <c r="KM114" s="43"/>
      <c r="KN114" s="43"/>
      <c r="KO114" s="43"/>
      <c r="KP114" s="43"/>
      <c r="KQ114" s="43"/>
      <c r="KR114" s="43"/>
      <c r="KS114" s="43"/>
      <c r="KT114" s="43"/>
      <c r="KU114" s="43"/>
      <c r="KV114" s="43"/>
      <c r="KW114" s="43"/>
      <c r="KX114" s="43"/>
      <c r="KY114" s="43"/>
      <c r="KZ114" s="43"/>
      <c r="LA114" s="43"/>
      <c r="LB114" s="43"/>
      <c r="LC114" s="43"/>
      <c r="LD114" s="43"/>
      <c r="LE114" s="43"/>
      <c r="LF114" s="43"/>
      <c r="LG114" s="43"/>
      <c r="LH114" s="43"/>
      <c r="LI114" s="43"/>
      <c r="LJ114" s="43"/>
      <c r="LK114" s="43"/>
      <c r="LL114" s="43"/>
      <c r="LM114" s="43"/>
      <c r="LN114" s="43"/>
      <c r="LO114" s="43"/>
      <c r="LP114" s="43"/>
      <c r="LQ114" s="43"/>
      <c r="LR114" s="43"/>
      <c r="LS114" s="43"/>
      <c r="LT114" s="43"/>
      <c r="LU114" s="43"/>
      <c r="LV114" s="43"/>
      <c r="LW114" s="43"/>
      <c r="LX114" s="43"/>
      <c r="LY114" s="43"/>
      <c r="LZ114" s="43"/>
      <c r="MA114" s="43"/>
      <c r="MB114" s="43"/>
      <c r="MC114" s="43"/>
      <c r="MD114" s="43"/>
      <c r="ME114" s="43"/>
      <c r="MF114" s="43"/>
      <c r="MG114" s="43"/>
      <c r="MH114" s="43"/>
      <c r="MI114" s="43"/>
      <c r="MJ114" s="43"/>
      <c r="MK114" s="43"/>
      <c r="ML114" s="43"/>
      <c r="MM114" s="43"/>
      <c r="MN114" s="43"/>
      <c r="MO114" s="43"/>
      <c r="MP114" s="43"/>
      <c r="MQ114" s="43"/>
      <c r="MR114" s="43"/>
      <c r="MS114" s="43"/>
      <c r="MT114" s="43"/>
      <c r="MU114" s="43"/>
      <c r="MV114" s="43"/>
      <c r="MW114" s="43"/>
      <c r="MX114" s="43"/>
      <c r="MY114" s="43"/>
      <c r="MZ114" s="43"/>
      <c r="NA114" s="43"/>
      <c r="NB114" s="43"/>
      <c r="NC114" s="43"/>
      <c r="ND114" s="43"/>
      <c r="NE114" s="43"/>
      <c r="NF114" s="43"/>
      <c r="NG114" s="43"/>
      <c r="NH114" s="43"/>
      <c r="NI114" s="43"/>
      <c r="NJ114" s="43"/>
      <c r="NK114" s="43"/>
      <c r="NL114" s="43"/>
      <c r="NM114" s="43"/>
      <c r="NN114" s="43"/>
      <c r="NO114" s="43"/>
      <c r="NP114" s="43"/>
      <c r="NQ114" s="43"/>
      <c r="NR114" s="43"/>
      <c r="NS114" s="43"/>
      <c r="NT114" s="43"/>
      <c r="NU114" s="43"/>
      <c r="NV114" s="43"/>
      <c r="NW114" s="43"/>
      <c r="NX114" s="43"/>
      <c r="NY114" s="43"/>
      <c r="NZ114" s="43"/>
      <c r="OA114" s="43"/>
      <c r="OB114" s="43"/>
      <c r="OC114" s="43"/>
      <c r="OD114" s="43"/>
      <c r="OE114" s="43"/>
      <c r="OF114" s="43"/>
      <c r="OG114" s="43"/>
      <c r="OH114" s="43"/>
      <c r="OI114" s="43"/>
      <c r="OJ114" s="43"/>
      <c r="OK114" s="43"/>
      <c r="OL114" s="43"/>
      <c r="OM114" s="43"/>
      <c r="ON114" s="43"/>
      <c r="OO114" s="43"/>
      <c r="OP114" s="43"/>
      <c r="OQ114" s="43"/>
      <c r="OR114" s="43"/>
      <c r="OS114" s="43"/>
      <c r="OT114" s="43"/>
      <c r="OU114" s="43"/>
      <c r="OV114" s="43"/>
      <c r="OW114" s="43"/>
      <c r="OX114" s="43"/>
      <c r="OY114" s="43"/>
      <c r="OZ114" s="43"/>
      <c r="PA114" s="43"/>
      <c r="PB114" s="43"/>
      <c r="PC114" s="43"/>
      <c r="PD114" s="43"/>
      <c r="PE114" s="43"/>
      <c r="PF114" s="43"/>
      <c r="PG114" s="43"/>
      <c r="PH114" s="43"/>
      <c r="PI114" s="43"/>
      <c r="PJ114" s="43"/>
      <c r="PK114" s="43"/>
      <c r="PL114" s="43"/>
      <c r="PM114" s="43"/>
      <c r="PN114" s="43"/>
      <c r="PO114" s="43"/>
      <c r="PP114" s="43"/>
      <c r="PQ114" s="43"/>
      <c r="PR114" s="43"/>
      <c r="PS114" s="43"/>
      <c r="PT114" s="43"/>
      <c r="PU114" s="43"/>
      <c r="PV114" s="43"/>
      <c r="PW114" s="43"/>
      <c r="PX114" s="43"/>
      <c r="PY114" s="43"/>
      <c r="PZ114" s="43"/>
      <c r="QA114" s="43"/>
      <c r="QB114" s="43"/>
      <c r="QC114" s="43"/>
    </row>
    <row r="115" spans="1:445" x14ac:dyDescent="0.3">
      <c r="B115" s="45"/>
      <c r="C115" s="45"/>
      <c r="D115" s="45"/>
      <c r="E115" s="45"/>
      <c r="F115" s="45"/>
      <c r="G115" s="45"/>
      <c r="H115" s="45"/>
      <c r="I115" s="45"/>
      <c r="J115" s="45"/>
      <c r="K115" s="48"/>
      <c r="L115" s="45"/>
      <c r="M115" s="45"/>
      <c r="N115" s="45"/>
      <c r="O115" s="45"/>
      <c r="P115" s="45"/>
      <c r="Q115" s="45"/>
      <c r="R115" s="45"/>
      <c r="S115" s="45"/>
      <c r="T115" s="45" t="str">
        <f t="shared" si="11"/>
        <v/>
      </c>
      <c r="U115" s="45" t="str">
        <f t="shared" si="12"/>
        <v/>
      </c>
      <c r="V115" s="68" t="str">
        <f t="shared" si="13"/>
        <v/>
      </c>
      <c r="X115" s="66" t="str">
        <f t="shared" si="14"/>
        <v/>
      </c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43"/>
      <c r="BN115" s="43"/>
      <c r="BO115" s="43"/>
      <c r="BP115" s="43"/>
      <c r="BQ115" s="43"/>
      <c r="BR115" s="43"/>
      <c r="BS115" s="43"/>
      <c r="BT115" s="43"/>
      <c r="BU115" s="43"/>
      <c r="BV115" s="43"/>
      <c r="BW115" s="43"/>
      <c r="BX115" s="43"/>
      <c r="BY115" s="43"/>
      <c r="BZ115" s="43"/>
      <c r="CA115" s="43"/>
      <c r="CB115" s="43"/>
      <c r="CC115" s="43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43"/>
      <c r="CY115" s="43"/>
      <c r="CZ115" s="43"/>
      <c r="DA115" s="43"/>
      <c r="DB115" s="43"/>
      <c r="DC115" s="43"/>
      <c r="DD115" s="43"/>
      <c r="DE115" s="43"/>
      <c r="DF115" s="43"/>
      <c r="DG115" s="43"/>
      <c r="DH115" s="43"/>
      <c r="DI115" s="43"/>
      <c r="DJ115" s="43"/>
      <c r="DK115" s="43"/>
      <c r="DL115" s="43"/>
      <c r="DM115" s="43"/>
      <c r="DN115" s="43"/>
      <c r="DO115" s="43"/>
      <c r="DP115" s="43"/>
      <c r="DQ115" s="43"/>
      <c r="DR115" s="43"/>
      <c r="DS115" s="43"/>
      <c r="DT115" s="43"/>
      <c r="DU115" s="43"/>
      <c r="DV115" s="43"/>
      <c r="DW115" s="43"/>
      <c r="DX115" s="43"/>
      <c r="DY115" s="43"/>
      <c r="DZ115" s="43"/>
      <c r="EA115" s="43"/>
      <c r="EB115" s="43"/>
      <c r="EC115" s="43"/>
      <c r="ED115" s="43"/>
      <c r="EE115" s="43"/>
      <c r="EF115" s="43"/>
      <c r="EG115" s="43"/>
      <c r="EH115" s="43"/>
      <c r="EI115" s="43"/>
      <c r="EJ115" s="43"/>
      <c r="EK115" s="43"/>
      <c r="EL115" s="43"/>
      <c r="EM115" s="43"/>
      <c r="EN115" s="43"/>
      <c r="EO115" s="43"/>
      <c r="EP115" s="43"/>
      <c r="EQ115" s="43"/>
      <c r="ER115" s="43"/>
      <c r="ES115" s="43"/>
      <c r="ET115" s="43"/>
      <c r="EU115" s="43"/>
      <c r="EV115" s="43"/>
      <c r="EW115" s="43"/>
      <c r="EX115" s="43"/>
      <c r="EY115" s="43"/>
      <c r="EZ115" s="43"/>
      <c r="FA115" s="43"/>
      <c r="FB115" s="43"/>
      <c r="FC115" s="43"/>
      <c r="FD115" s="43"/>
      <c r="FE115" s="43"/>
      <c r="FF115" s="43"/>
      <c r="FG115" s="43"/>
      <c r="FH115" s="43"/>
      <c r="FI115" s="43"/>
      <c r="FJ115" s="43"/>
      <c r="FK115" s="43"/>
      <c r="FL115" s="43"/>
      <c r="FM115" s="43"/>
      <c r="FN115" s="43"/>
      <c r="FO115" s="43"/>
      <c r="FP115" s="43"/>
      <c r="FQ115" s="43"/>
      <c r="FR115" s="43"/>
      <c r="FS115" s="43"/>
      <c r="FT115" s="43"/>
      <c r="FU115" s="43"/>
      <c r="FV115" s="43"/>
      <c r="FW115" s="43"/>
      <c r="FX115" s="43"/>
      <c r="FY115" s="43"/>
      <c r="FZ115" s="43"/>
      <c r="GA115" s="43"/>
      <c r="GB115" s="43"/>
      <c r="GC115" s="43"/>
      <c r="GD115" s="43"/>
      <c r="GE115" s="43"/>
      <c r="GF115" s="43"/>
      <c r="GG115" s="43"/>
      <c r="GH115" s="43"/>
      <c r="GI115" s="43"/>
      <c r="GJ115" s="43"/>
      <c r="GK115" s="43"/>
      <c r="GL115" s="43"/>
      <c r="GM115" s="43"/>
      <c r="GN115" s="43"/>
      <c r="GO115" s="43"/>
      <c r="GP115" s="43"/>
      <c r="GQ115" s="43"/>
      <c r="GR115" s="43"/>
      <c r="GS115" s="43"/>
      <c r="GT115" s="43"/>
      <c r="GU115" s="43"/>
      <c r="GV115" s="43"/>
      <c r="GW115" s="43"/>
      <c r="GX115" s="43"/>
      <c r="GY115" s="43"/>
      <c r="GZ115" s="43"/>
      <c r="HA115" s="43"/>
      <c r="HB115" s="43"/>
      <c r="HC115" s="43"/>
      <c r="HD115" s="43"/>
      <c r="HE115" s="43"/>
      <c r="HF115" s="43"/>
      <c r="HG115" s="43"/>
      <c r="HH115" s="43"/>
      <c r="HI115" s="43"/>
      <c r="HJ115" s="43"/>
      <c r="HK115" s="43"/>
      <c r="HL115" s="43"/>
      <c r="HM115" s="43"/>
      <c r="HN115" s="43"/>
      <c r="HO115" s="43"/>
      <c r="HP115" s="43"/>
      <c r="HQ115" s="43"/>
      <c r="HR115" s="43"/>
      <c r="HS115" s="43"/>
      <c r="HT115" s="43"/>
      <c r="HU115" s="43"/>
      <c r="HV115" s="43"/>
      <c r="HW115" s="43"/>
      <c r="HX115" s="43"/>
      <c r="HY115" s="43"/>
      <c r="HZ115" s="43"/>
      <c r="IA115" s="43"/>
      <c r="IB115" s="43"/>
      <c r="IC115" s="43"/>
      <c r="ID115" s="43"/>
      <c r="IE115" s="43"/>
      <c r="IF115" s="43"/>
      <c r="IG115" s="43"/>
      <c r="IH115" s="43"/>
      <c r="II115" s="43"/>
      <c r="IJ115" s="43"/>
      <c r="IK115" s="43"/>
      <c r="IL115" s="43"/>
      <c r="IM115" s="43"/>
      <c r="IN115" s="43"/>
      <c r="IO115" s="43"/>
      <c r="IP115" s="43"/>
      <c r="IQ115" s="43"/>
      <c r="IR115" s="43"/>
      <c r="IS115" s="43"/>
      <c r="IT115" s="43"/>
      <c r="IU115" s="43"/>
      <c r="IV115" s="43"/>
      <c r="IW115" s="43"/>
      <c r="IX115" s="43"/>
      <c r="IY115" s="43"/>
      <c r="IZ115" s="43"/>
      <c r="JA115" s="43"/>
      <c r="JB115" s="43"/>
      <c r="JC115" s="43"/>
      <c r="JD115" s="43"/>
      <c r="JE115" s="43"/>
      <c r="JF115" s="43"/>
      <c r="JG115" s="43"/>
      <c r="JH115" s="43"/>
      <c r="JI115" s="43"/>
      <c r="JJ115" s="43"/>
      <c r="JK115" s="43"/>
      <c r="JL115" s="43"/>
      <c r="JM115" s="43"/>
      <c r="JN115" s="43"/>
      <c r="JO115" s="43"/>
      <c r="JP115" s="43"/>
      <c r="JQ115" s="43"/>
      <c r="JR115" s="43"/>
      <c r="JS115" s="43"/>
      <c r="JT115" s="43"/>
      <c r="JU115" s="43"/>
      <c r="JV115" s="43"/>
      <c r="JW115" s="43"/>
      <c r="JX115" s="43"/>
      <c r="JY115" s="43"/>
      <c r="JZ115" s="43"/>
      <c r="KA115" s="43"/>
      <c r="KB115" s="43"/>
      <c r="KC115" s="43"/>
      <c r="KD115" s="43"/>
      <c r="KE115" s="43"/>
      <c r="KF115" s="43"/>
      <c r="KG115" s="43"/>
      <c r="KH115" s="43"/>
      <c r="KI115" s="43"/>
      <c r="KJ115" s="43"/>
      <c r="KK115" s="43"/>
      <c r="KL115" s="43"/>
      <c r="KM115" s="43"/>
      <c r="KN115" s="43"/>
      <c r="KO115" s="43"/>
      <c r="KP115" s="43"/>
      <c r="KQ115" s="43"/>
      <c r="KR115" s="43"/>
      <c r="KS115" s="43"/>
      <c r="KT115" s="43"/>
      <c r="KU115" s="43"/>
      <c r="KV115" s="43"/>
      <c r="KW115" s="43"/>
      <c r="KX115" s="43"/>
      <c r="KY115" s="43"/>
      <c r="KZ115" s="43"/>
      <c r="LA115" s="43"/>
      <c r="LB115" s="43"/>
      <c r="LC115" s="43"/>
      <c r="LD115" s="43"/>
      <c r="LE115" s="43"/>
      <c r="LF115" s="43"/>
      <c r="LG115" s="43"/>
      <c r="LH115" s="43"/>
      <c r="LI115" s="43"/>
      <c r="LJ115" s="43"/>
      <c r="LK115" s="43"/>
      <c r="LL115" s="43"/>
      <c r="LM115" s="43"/>
      <c r="LN115" s="43"/>
      <c r="LO115" s="43"/>
      <c r="LP115" s="43"/>
      <c r="LQ115" s="43"/>
      <c r="LR115" s="43"/>
      <c r="LS115" s="43"/>
      <c r="LT115" s="43"/>
      <c r="LU115" s="43"/>
      <c r="LV115" s="43"/>
      <c r="LW115" s="43"/>
      <c r="LX115" s="43"/>
      <c r="LY115" s="43"/>
      <c r="LZ115" s="43"/>
      <c r="MA115" s="43"/>
      <c r="MB115" s="43"/>
      <c r="MC115" s="43"/>
      <c r="MD115" s="43"/>
      <c r="ME115" s="43"/>
      <c r="MF115" s="43"/>
      <c r="MG115" s="43"/>
      <c r="MH115" s="43"/>
      <c r="MI115" s="43"/>
      <c r="MJ115" s="43"/>
      <c r="MK115" s="43"/>
      <c r="ML115" s="43"/>
      <c r="MM115" s="43"/>
      <c r="MN115" s="43"/>
      <c r="MO115" s="43"/>
      <c r="MP115" s="43"/>
      <c r="MQ115" s="43"/>
      <c r="MR115" s="43"/>
      <c r="MS115" s="43"/>
      <c r="MT115" s="43"/>
      <c r="MU115" s="43"/>
      <c r="MV115" s="43"/>
      <c r="MW115" s="43"/>
      <c r="MX115" s="43"/>
      <c r="MY115" s="43"/>
      <c r="MZ115" s="43"/>
      <c r="NA115" s="43"/>
      <c r="NB115" s="43"/>
      <c r="NC115" s="43"/>
      <c r="ND115" s="43"/>
      <c r="NE115" s="43"/>
      <c r="NF115" s="43"/>
      <c r="NG115" s="43"/>
      <c r="NH115" s="43"/>
      <c r="NI115" s="43"/>
      <c r="NJ115" s="43"/>
      <c r="NK115" s="43"/>
      <c r="NL115" s="43"/>
      <c r="NM115" s="43"/>
      <c r="NN115" s="43"/>
      <c r="NO115" s="43"/>
      <c r="NP115" s="43"/>
      <c r="NQ115" s="43"/>
      <c r="NR115" s="43"/>
      <c r="NS115" s="43"/>
      <c r="NT115" s="43"/>
      <c r="NU115" s="43"/>
      <c r="NV115" s="43"/>
      <c r="NW115" s="43"/>
      <c r="NX115" s="43"/>
      <c r="NY115" s="43"/>
      <c r="NZ115" s="43"/>
      <c r="OA115" s="43"/>
      <c r="OB115" s="43"/>
      <c r="OC115" s="43"/>
      <c r="OD115" s="43"/>
      <c r="OE115" s="43"/>
      <c r="OF115" s="43"/>
      <c r="OG115" s="43"/>
      <c r="OH115" s="43"/>
      <c r="OI115" s="43"/>
      <c r="OJ115" s="43"/>
      <c r="OK115" s="43"/>
      <c r="OL115" s="43"/>
      <c r="OM115" s="43"/>
      <c r="ON115" s="43"/>
      <c r="OO115" s="43"/>
      <c r="OP115" s="43"/>
      <c r="OQ115" s="43"/>
      <c r="OR115" s="43"/>
      <c r="OS115" s="43"/>
      <c r="OT115" s="43"/>
      <c r="OU115" s="43"/>
      <c r="OV115" s="43"/>
      <c r="OW115" s="43"/>
      <c r="OX115" s="43"/>
      <c r="OY115" s="43"/>
      <c r="OZ115" s="43"/>
      <c r="PA115" s="43"/>
      <c r="PB115" s="43"/>
      <c r="PC115" s="43"/>
      <c r="PD115" s="43"/>
      <c r="PE115" s="43"/>
      <c r="PF115" s="43"/>
      <c r="PG115" s="43"/>
      <c r="PH115" s="43"/>
      <c r="PI115" s="43"/>
      <c r="PJ115" s="43"/>
      <c r="PK115" s="43"/>
      <c r="PL115" s="43"/>
      <c r="PM115" s="43"/>
      <c r="PN115" s="43"/>
      <c r="PO115" s="43"/>
      <c r="PP115" s="43"/>
      <c r="PQ115" s="43"/>
      <c r="PR115" s="43"/>
      <c r="PS115" s="43"/>
      <c r="PT115" s="43"/>
      <c r="PU115" s="43"/>
      <c r="PV115" s="43"/>
      <c r="PW115" s="43"/>
      <c r="PX115" s="43"/>
      <c r="PY115" s="43"/>
      <c r="PZ115" s="43"/>
      <c r="QA115" s="43"/>
      <c r="QB115" s="43"/>
      <c r="QC115" s="43"/>
    </row>
    <row r="116" spans="1:445" x14ac:dyDescent="0.3"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 t="str">
        <f t="shared" si="11"/>
        <v/>
      </c>
      <c r="U116" s="45" t="str">
        <f t="shared" si="12"/>
        <v/>
      </c>
      <c r="V116" s="68" t="str">
        <f t="shared" si="13"/>
        <v/>
      </c>
      <c r="W116" s="48"/>
      <c r="X116" s="66" t="str">
        <f t="shared" si="14"/>
        <v/>
      </c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43"/>
      <c r="CY116" s="43"/>
      <c r="CZ116" s="43"/>
      <c r="DA116" s="43"/>
      <c r="DB116" s="43"/>
      <c r="DC116" s="43"/>
      <c r="DD116" s="43"/>
      <c r="DE116" s="43"/>
      <c r="DF116" s="43"/>
      <c r="DG116" s="43"/>
      <c r="DH116" s="43"/>
      <c r="DI116" s="43"/>
      <c r="DJ116" s="43"/>
      <c r="DK116" s="43"/>
      <c r="DL116" s="43"/>
      <c r="DM116" s="43"/>
      <c r="DN116" s="43"/>
      <c r="DO116" s="43"/>
      <c r="DP116" s="43"/>
      <c r="DQ116" s="43"/>
      <c r="DR116" s="43"/>
      <c r="DS116" s="43"/>
      <c r="DT116" s="43"/>
      <c r="DU116" s="43"/>
      <c r="DV116" s="43"/>
      <c r="DW116" s="43"/>
      <c r="DX116" s="43"/>
      <c r="DY116" s="43"/>
      <c r="DZ116" s="43"/>
      <c r="EA116" s="43"/>
      <c r="EB116" s="43"/>
      <c r="EC116" s="43"/>
      <c r="ED116" s="43"/>
      <c r="EE116" s="43"/>
      <c r="EF116" s="43"/>
      <c r="EG116" s="43"/>
      <c r="EH116" s="43"/>
      <c r="EI116" s="43"/>
      <c r="EJ116" s="43"/>
      <c r="EK116" s="43"/>
      <c r="EL116" s="43"/>
      <c r="EM116" s="43"/>
      <c r="EN116" s="43"/>
      <c r="EO116" s="43"/>
      <c r="EP116" s="43"/>
      <c r="EQ116" s="43"/>
      <c r="ER116" s="43"/>
      <c r="ES116" s="43"/>
      <c r="ET116" s="43"/>
      <c r="EU116" s="43"/>
      <c r="EV116" s="43"/>
      <c r="EW116" s="43"/>
      <c r="EX116" s="43"/>
      <c r="EY116" s="43"/>
      <c r="EZ116" s="43"/>
      <c r="FA116" s="43"/>
      <c r="FB116" s="43"/>
      <c r="FC116" s="43"/>
      <c r="FD116" s="43"/>
      <c r="FE116" s="43"/>
      <c r="FF116" s="43"/>
      <c r="FG116" s="43"/>
      <c r="FH116" s="43"/>
      <c r="FI116" s="43"/>
      <c r="FJ116" s="43"/>
      <c r="FK116" s="43"/>
      <c r="FL116" s="43"/>
      <c r="FM116" s="43"/>
      <c r="FN116" s="43"/>
      <c r="FO116" s="43"/>
      <c r="FP116" s="43"/>
      <c r="FQ116" s="43"/>
      <c r="FR116" s="43"/>
      <c r="FS116" s="43"/>
      <c r="FT116" s="43"/>
      <c r="FU116" s="43"/>
      <c r="FV116" s="43"/>
      <c r="FW116" s="43"/>
      <c r="FX116" s="43"/>
      <c r="FY116" s="43"/>
      <c r="FZ116" s="43"/>
      <c r="GA116" s="43"/>
      <c r="GB116" s="43"/>
      <c r="GC116" s="43"/>
      <c r="GD116" s="43"/>
      <c r="GE116" s="43"/>
      <c r="GF116" s="43"/>
      <c r="GG116" s="43"/>
      <c r="GH116" s="43"/>
      <c r="GI116" s="43"/>
      <c r="GJ116" s="43"/>
      <c r="GK116" s="43"/>
      <c r="GL116" s="43"/>
      <c r="GM116" s="43"/>
      <c r="GN116" s="43"/>
      <c r="GO116" s="43"/>
      <c r="GP116" s="43"/>
      <c r="GQ116" s="43"/>
      <c r="GR116" s="43"/>
      <c r="GS116" s="43"/>
      <c r="GT116" s="43"/>
      <c r="GU116" s="43"/>
      <c r="GV116" s="43"/>
      <c r="GW116" s="43"/>
      <c r="GX116" s="43"/>
      <c r="GY116" s="43"/>
      <c r="GZ116" s="43"/>
      <c r="HA116" s="43"/>
      <c r="HB116" s="43"/>
      <c r="HC116" s="43"/>
      <c r="HD116" s="43"/>
      <c r="HE116" s="43"/>
      <c r="HF116" s="43"/>
      <c r="HG116" s="43"/>
      <c r="HH116" s="43"/>
      <c r="HI116" s="43"/>
      <c r="HJ116" s="43"/>
      <c r="HK116" s="43"/>
      <c r="HL116" s="43"/>
      <c r="HM116" s="43"/>
      <c r="HN116" s="43"/>
      <c r="HO116" s="43"/>
      <c r="HP116" s="43"/>
      <c r="HQ116" s="43"/>
      <c r="HR116" s="43"/>
      <c r="HS116" s="43"/>
      <c r="HT116" s="43"/>
      <c r="HU116" s="43"/>
      <c r="HV116" s="43"/>
      <c r="HW116" s="43"/>
      <c r="HX116" s="43"/>
      <c r="HY116" s="43"/>
      <c r="HZ116" s="43"/>
      <c r="IA116" s="43"/>
      <c r="IB116" s="43"/>
      <c r="IC116" s="43"/>
      <c r="ID116" s="43"/>
      <c r="IE116" s="43"/>
      <c r="IF116" s="43"/>
      <c r="IG116" s="43"/>
      <c r="IH116" s="43"/>
      <c r="II116" s="43"/>
      <c r="IJ116" s="43"/>
      <c r="IK116" s="43"/>
      <c r="IL116" s="43"/>
      <c r="IM116" s="43"/>
      <c r="IN116" s="43"/>
      <c r="IO116" s="43"/>
      <c r="IP116" s="43"/>
      <c r="IQ116" s="43"/>
      <c r="IR116" s="43"/>
      <c r="IS116" s="43"/>
      <c r="IT116" s="43"/>
      <c r="IU116" s="43"/>
      <c r="IV116" s="43"/>
      <c r="IW116" s="43"/>
      <c r="IX116" s="43"/>
      <c r="IY116" s="43"/>
      <c r="IZ116" s="43"/>
      <c r="JA116" s="43"/>
      <c r="JB116" s="43"/>
      <c r="JC116" s="43"/>
      <c r="JD116" s="43"/>
      <c r="JE116" s="43"/>
      <c r="JF116" s="43"/>
      <c r="JG116" s="43"/>
      <c r="JH116" s="43"/>
      <c r="JI116" s="43"/>
      <c r="JJ116" s="43"/>
      <c r="JK116" s="43"/>
      <c r="JL116" s="43"/>
      <c r="JM116" s="43"/>
      <c r="JN116" s="43"/>
      <c r="JO116" s="43"/>
      <c r="JP116" s="43"/>
      <c r="JQ116" s="43"/>
      <c r="JR116" s="43"/>
      <c r="JS116" s="43"/>
      <c r="JT116" s="43"/>
      <c r="JU116" s="43"/>
      <c r="JV116" s="43"/>
      <c r="JW116" s="43"/>
      <c r="JX116" s="43"/>
      <c r="JY116" s="43"/>
      <c r="JZ116" s="43"/>
      <c r="KA116" s="43"/>
      <c r="KB116" s="43"/>
      <c r="KC116" s="43"/>
      <c r="KD116" s="43"/>
      <c r="KE116" s="43"/>
      <c r="KF116" s="43"/>
      <c r="KG116" s="43"/>
      <c r="KH116" s="43"/>
      <c r="KI116" s="43"/>
      <c r="KJ116" s="43"/>
      <c r="KK116" s="43"/>
      <c r="KL116" s="43"/>
      <c r="KM116" s="43"/>
      <c r="KN116" s="43"/>
      <c r="KO116" s="43"/>
      <c r="KP116" s="43"/>
      <c r="KQ116" s="43"/>
      <c r="KR116" s="43"/>
      <c r="KS116" s="43"/>
      <c r="KT116" s="43"/>
      <c r="KU116" s="43"/>
      <c r="KV116" s="43"/>
      <c r="KW116" s="43"/>
      <c r="KX116" s="43"/>
      <c r="KY116" s="43"/>
      <c r="KZ116" s="43"/>
      <c r="LA116" s="43"/>
      <c r="LB116" s="43"/>
      <c r="LC116" s="43"/>
      <c r="LD116" s="43"/>
      <c r="LE116" s="43"/>
      <c r="LF116" s="43"/>
      <c r="LG116" s="43"/>
      <c r="LH116" s="43"/>
      <c r="LI116" s="43"/>
      <c r="LJ116" s="43"/>
      <c r="LK116" s="43"/>
      <c r="LL116" s="43"/>
      <c r="LM116" s="43"/>
      <c r="LN116" s="43"/>
      <c r="LO116" s="43"/>
      <c r="LP116" s="43"/>
      <c r="LQ116" s="43"/>
      <c r="LR116" s="43"/>
      <c r="LS116" s="43"/>
      <c r="LT116" s="43"/>
      <c r="LU116" s="43"/>
      <c r="LV116" s="43"/>
      <c r="LW116" s="43"/>
      <c r="LX116" s="43"/>
      <c r="LY116" s="43"/>
      <c r="LZ116" s="43"/>
      <c r="MA116" s="43"/>
      <c r="MB116" s="43"/>
      <c r="MC116" s="43"/>
      <c r="MD116" s="43"/>
      <c r="ME116" s="43"/>
      <c r="MF116" s="43"/>
      <c r="MG116" s="43"/>
      <c r="MH116" s="43"/>
      <c r="MI116" s="43"/>
      <c r="MJ116" s="43"/>
      <c r="MK116" s="43"/>
      <c r="ML116" s="43"/>
      <c r="MM116" s="43"/>
      <c r="MN116" s="43"/>
      <c r="MO116" s="43"/>
      <c r="MP116" s="43"/>
      <c r="MQ116" s="43"/>
      <c r="MR116" s="43"/>
      <c r="MS116" s="43"/>
      <c r="MT116" s="43"/>
      <c r="MU116" s="43"/>
      <c r="MV116" s="43"/>
      <c r="MW116" s="43"/>
      <c r="MX116" s="43"/>
      <c r="MY116" s="43"/>
      <c r="MZ116" s="43"/>
      <c r="NA116" s="43"/>
      <c r="NB116" s="43"/>
      <c r="NC116" s="43"/>
      <c r="ND116" s="43"/>
      <c r="NE116" s="43"/>
      <c r="NF116" s="43"/>
      <c r="NG116" s="43"/>
      <c r="NH116" s="43"/>
      <c r="NI116" s="43"/>
      <c r="NJ116" s="43"/>
      <c r="NK116" s="43"/>
      <c r="NL116" s="43"/>
      <c r="NM116" s="43"/>
      <c r="NN116" s="43"/>
      <c r="NO116" s="43"/>
      <c r="NP116" s="43"/>
      <c r="NQ116" s="43"/>
      <c r="NR116" s="43"/>
      <c r="NS116" s="43"/>
      <c r="NT116" s="43"/>
      <c r="NU116" s="43"/>
      <c r="NV116" s="43"/>
      <c r="NW116" s="43"/>
      <c r="NX116" s="43"/>
      <c r="NY116" s="43"/>
      <c r="NZ116" s="43"/>
      <c r="OA116" s="43"/>
      <c r="OB116" s="43"/>
      <c r="OC116" s="43"/>
      <c r="OD116" s="43"/>
      <c r="OE116" s="43"/>
      <c r="OF116" s="43"/>
      <c r="OG116" s="43"/>
      <c r="OH116" s="43"/>
      <c r="OI116" s="43"/>
      <c r="OJ116" s="43"/>
      <c r="OK116" s="43"/>
      <c r="OL116" s="43"/>
      <c r="OM116" s="43"/>
      <c r="ON116" s="43"/>
      <c r="OO116" s="43"/>
      <c r="OP116" s="43"/>
      <c r="OQ116" s="43"/>
      <c r="OR116" s="43"/>
      <c r="OS116" s="43"/>
      <c r="OT116" s="43"/>
      <c r="OU116" s="43"/>
      <c r="OV116" s="43"/>
      <c r="OW116" s="43"/>
      <c r="OX116" s="43"/>
      <c r="OY116" s="43"/>
      <c r="OZ116" s="43"/>
      <c r="PA116" s="43"/>
      <c r="PB116" s="43"/>
      <c r="PC116" s="43"/>
      <c r="PD116" s="43"/>
      <c r="PE116" s="43"/>
      <c r="PF116" s="43"/>
      <c r="PG116" s="43"/>
      <c r="PH116" s="43"/>
      <c r="PI116" s="43"/>
      <c r="PJ116" s="43"/>
      <c r="PK116" s="43"/>
      <c r="PL116" s="43"/>
      <c r="PM116" s="43"/>
      <c r="PN116" s="43"/>
      <c r="PO116" s="43"/>
      <c r="PP116" s="43"/>
      <c r="PQ116" s="43"/>
      <c r="PR116" s="43"/>
      <c r="PS116" s="43"/>
      <c r="PT116" s="43"/>
      <c r="PU116" s="43"/>
      <c r="PV116" s="43"/>
      <c r="PW116" s="43"/>
      <c r="PX116" s="43"/>
      <c r="PY116" s="43"/>
      <c r="PZ116" s="43"/>
      <c r="QA116" s="43"/>
      <c r="QB116" s="43"/>
      <c r="QC116" s="43"/>
    </row>
    <row r="117" spans="1:445" x14ac:dyDescent="0.3">
      <c r="A117" s="57"/>
      <c r="B117" s="45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45" t="str">
        <f t="shared" si="11"/>
        <v/>
      </c>
      <c r="U117" s="45" t="str">
        <f t="shared" si="12"/>
        <v/>
      </c>
      <c r="V117" s="68" t="str">
        <f t="shared" si="13"/>
        <v/>
      </c>
      <c r="W117" s="59"/>
      <c r="X117" s="67" t="str">
        <f t="shared" si="14"/>
        <v/>
      </c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43"/>
      <c r="BN117" s="43"/>
      <c r="BO117" s="43"/>
      <c r="BP117" s="43"/>
      <c r="BQ117" s="43"/>
      <c r="BR117" s="43"/>
      <c r="BS117" s="43"/>
      <c r="BT117" s="43"/>
      <c r="BU117" s="43"/>
      <c r="BV117" s="43"/>
      <c r="BW117" s="43"/>
      <c r="BX117" s="43"/>
      <c r="BY117" s="43"/>
      <c r="BZ117" s="43"/>
      <c r="CA117" s="43"/>
      <c r="CB117" s="43"/>
      <c r="CC117" s="4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43"/>
      <c r="CY117" s="43"/>
      <c r="CZ117" s="43"/>
      <c r="DA117" s="43"/>
      <c r="DB117" s="43"/>
      <c r="DC117" s="43"/>
      <c r="DD117" s="43"/>
      <c r="DE117" s="43"/>
      <c r="DF117" s="43"/>
      <c r="DG117" s="43"/>
      <c r="DH117" s="43"/>
      <c r="DI117" s="43"/>
      <c r="DJ117" s="43"/>
      <c r="DK117" s="43"/>
      <c r="DL117" s="43"/>
      <c r="DM117" s="43"/>
      <c r="DN117" s="43"/>
      <c r="DO117" s="43"/>
      <c r="DP117" s="43"/>
      <c r="DQ117" s="43"/>
      <c r="DR117" s="43"/>
      <c r="DS117" s="43"/>
      <c r="DT117" s="43"/>
      <c r="DU117" s="43"/>
      <c r="DV117" s="43"/>
      <c r="DW117" s="43"/>
      <c r="DX117" s="43"/>
      <c r="DY117" s="43"/>
      <c r="DZ117" s="43"/>
      <c r="EA117" s="43"/>
      <c r="EB117" s="43"/>
      <c r="EC117" s="43"/>
      <c r="ED117" s="43"/>
      <c r="EE117" s="43"/>
      <c r="EF117" s="43"/>
      <c r="EG117" s="43"/>
      <c r="EH117" s="43"/>
      <c r="EI117" s="43"/>
      <c r="EJ117" s="43"/>
      <c r="EK117" s="43"/>
      <c r="EL117" s="43"/>
      <c r="EM117" s="43"/>
      <c r="EN117" s="43"/>
      <c r="EO117" s="43"/>
      <c r="EP117" s="43"/>
      <c r="EQ117" s="43"/>
      <c r="ER117" s="43"/>
      <c r="ES117" s="43"/>
      <c r="ET117" s="43"/>
      <c r="EU117" s="43"/>
      <c r="EV117" s="43"/>
      <c r="EW117" s="43"/>
      <c r="EX117" s="43"/>
      <c r="EY117" s="43"/>
      <c r="EZ117" s="43"/>
      <c r="FA117" s="43"/>
      <c r="FB117" s="43"/>
      <c r="FC117" s="43"/>
      <c r="FD117" s="43"/>
      <c r="FE117" s="43"/>
      <c r="FF117" s="43"/>
      <c r="FG117" s="43"/>
      <c r="FH117" s="43"/>
      <c r="FI117" s="43"/>
      <c r="FJ117" s="43"/>
      <c r="FK117" s="43"/>
      <c r="FL117" s="43"/>
      <c r="FM117" s="43"/>
      <c r="FN117" s="43"/>
      <c r="FO117" s="43"/>
      <c r="FP117" s="43"/>
      <c r="FQ117" s="43"/>
      <c r="FR117" s="43"/>
      <c r="FS117" s="43"/>
      <c r="FT117" s="43"/>
      <c r="FU117" s="43"/>
      <c r="FV117" s="43"/>
      <c r="FW117" s="43"/>
      <c r="FX117" s="43"/>
      <c r="FY117" s="43"/>
      <c r="FZ117" s="43"/>
      <c r="GA117" s="43"/>
      <c r="GB117" s="43"/>
      <c r="GC117" s="43"/>
      <c r="GD117" s="43"/>
      <c r="GE117" s="43"/>
      <c r="GF117" s="43"/>
      <c r="GG117" s="43"/>
      <c r="GH117" s="43"/>
      <c r="GI117" s="43"/>
      <c r="GJ117" s="43"/>
      <c r="GK117" s="43"/>
      <c r="GL117" s="43"/>
      <c r="GM117" s="43"/>
      <c r="GN117" s="43"/>
      <c r="GO117" s="43"/>
      <c r="GP117" s="43"/>
      <c r="GQ117" s="43"/>
      <c r="GR117" s="43"/>
      <c r="GS117" s="43"/>
      <c r="GT117" s="43"/>
      <c r="GU117" s="43"/>
      <c r="GV117" s="43"/>
      <c r="GW117" s="43"/>
      <c r="GX117" s="43"/>
      <c r="GY117" s="43"/>
      <c r="GZ117" s="43"/>
      <c r="HA117" s="43"/>
      <c r="HB117" s="43"/>
      <c r="HC117" s="43"/>
      <c r="HD117" s="43"/>
      <c r="HE117" s="43"/>
      <c r="HF117" s="43"/>
      <c r="HG117" s="43"/>
      <c r="HH117" s="43"/>
      <c r="HI117" s="43"/>
      <c r="HJ117" s="43"/>
      <c r="HK117" s="43"/>
      <c r="HL117" s="43"/>
      <c r="HM117" s="43"/>
      <c r="HN117" s="43"/>
      <c r="HO117" s="43"/>
      <c r="HP117" s="43"/>
      <c r="HQ117" s="43"/>
      <c r="HR117" s="43"/>
      <c r="HS117" s="43"/>
      <c r="HT117" s="43"/>
      <c r="HU117" s="43"/>
      <c r="HV117" s="43"/>
      <c r="HW117" s="43"/>
      <c r="HX117" s="43"/>
      <c r="HY117" s="43"/>
      <c r="HZ117" s="43"/>
      <c r="IA117" s="43"/>
      <c r="IB117" s="43"/>
      <c r="IC117" s="43"/>
      <c r="ID117" s="43"/>
      <c r="IE117" s="43"/>
      <c r="IF117" s="43"/>
      <c r="IG117" s="43"/>
      <c r="IH117" s="43"/>
      <c r="II117" s="43"/>
      <c r="IJ117" s="43"/>
      <c r="IK117" s="43"/>
      <c r="IL117" s="43"/>
      <c r="IM117" s="43"/>
      <c r="IN117" s="43"/>
      <c r="IO117" s="43"/>
      <c r="IP117" s="43"/>
      <c r="IQ117" s="43"/>
      <c r="IR117" s="43"/>
      <c r="IS117" s="43"/>
      <c r="IT117" s="43"/>
      <c r="IU117" s="43"/>
      <c r="IV117" s="43"/>
      <c r="IW117" s="43"/>
      <c r="IX117" s="43"/>
      <c r="IY117" s="43"/>
      <c r="IZ117" s="43"/>
      <c r="JA117" s="43"/>
      <c r="JB117" s="43"/>
      <c r="JC117" s="43"/>
      <c r="JD117" s="43"/>
      <c r="JE117" s="43"/>
      <c r="JF117" s="43"/>
      <c r="JG117" s="43"/>
      <c r="JH117" s="43"/>
      <c r="JI117" s="43"/>
      <c r="JJ117" s="43"/>
      <c r="JK117" s="43"/>
      <c r="JL117" s="43"/>
      <c r="JM117" s="43"/>
      <c r="JN117" s="43"/>
      <c r="JO117" s="43"/>
      <c r="JP117" s="43"/>
      <c r="JQ117" s="43"/>
      <c r="JR117" s="43"/>
      <c r="JS117" s="43"/>
      <c r="JT117" s="43"/>
      <c r="JU117" s="43"/>
      <c r="JV117" s="43"/>
      <c r="JW117" s="43"/>
      <c r="JX117" s="43"/>
      <c r="JY117" s="43"/>
      <c r="JZ117" s="43"/>
      <c r="KA117" s="43"/>
      <c r="KB117" s="43"/>
      <c r="KC117" s="43"/>
      <c r="KD117" s="43"/>
      <c r="KE117" s="43"/>
      <c r="KF117" s="43"/>
      <c r="KG117" s="43"/>
      <c r="KH117" s="43"/>
      <c r="KI117" s="43"/>
      <c r="KJ117" s="43"/>
      <c r="KK117" s="43"/>
      <c r="KL117" s="43"/>
      <c r="KM117" s="43"/>
      <c r="KN117" s="43"/>
      <c r="KO117" s="43"/>
      <c r="KP117" s="43"/>
      <c r="KQ117" s="43"/>
      <c r="KR117" s="43"/>
      <c r="KS117" s="43"/>
      <c r="KT117" s="43"/>
      <c r="KU117" s="43"/>
      <c r="KV117" s="43"/>
      <c r="KW117" s="43"/>
      <c r="KX117" s="43"/>
      <c r="KY117" s="43"/>
      <c r="KZ117" s="43"/>
      <c r="LA117" s="43"/>
      <c r="LB117" s="43"/>
      <c r="LC117" s="43"/>
      <c r="LD117" s="43"/>
      <c r="LE117" s="43"/>
      <c r="LF117" s="43"/>
      <c r="LG117" s="43"/>
      <c r="LH117" s="43"/>
      <c r="LI117" s="43"/>
      <c r="LJ117" s="43"/>
      <c r="LK117" s="43"/>
      <c r="LL117" s="43"/>
      <c r="LM117" s="43"/>
      <c r="LN117" s="43"/>
      <c r="LO117" s="43"/>
      <c r="LP117" s="43"/>
      <c r="LQ117" s="43"/>
      <c r="LR117" s="43"/>
      <c r="LS117" s="43"/>
      <c r="LT117" s="43"/>
      <c r="LU117" s="43"/>
      <c r="LV117" s="43"/>
      <c r="LW117" s="43"/>
      <c r="LX117" s="43"/>
      <c r="LY117" s="43"/>
      <c r="LZ117" s="43"/>
      <c r="MA117" s="43"/>
      <c r="MB117" s="43"/>
      <c r="MC117" s="43"/>
      <c r="MD117" s="43"/>
      <c r="ME117" s="43"/>
      <c r="MF117" s="43"/>
      <c r="MG117" s="43"/>
      <c r="MH117" s="43"/>
      <c r="MI117" s="43"/>
      <c r="MJ117" s="43"/>
      <c r="MK117" s="43"/>
      <c r="ML117" s="43"/>
      <c r="MM117" s="43"/>
      <c r="MN117" s="43"/>
      <c r="MO117" s="43"/>
      <c r="MP117" s="43"/>
      <c r="MQ117" s="43"/>
      <c r="MR117" s="43"/>
      <c r="MS117" s="43"/>
      <c r="MT117" s="43"/>
      <c r="MU117" s="43"/>
      <c r="MV117" s="43"/>
      <c r="MW117" s="43"/>
      <c r="MX117" s="43"/>
      <c r="MY117" s="43"/>
      <c r="MZ117" s="43"/>
      <c r="NA117" s="43"/>
      <c r="NB117" s="43"/>
      <c r="NC117" s="43"/>
      <c r="ND117" s="43"/>
      <c r="NE117" s="43"/>
      <c r="NF117" s="43"/>
      <c r="NG117" s="43"/>
      <c r="NH117" s="43"/>
      <c r="NI117" s="43"/>
      <c r="NJ117" s="43"/>
      <c r="NK117" s="43"/>
      <c r="NL117" s="43"/>
      <c r="NM117" s="43"/>
      <c r="NN117" s="43"/>
      <c r="NO117" s="43"/>
      <c r="NP117" s="43"/>
      <c r="NQ117" s="43"/>
      <c r="NR117" s="43"/>
      <c r="NS117" s="43"/>
      <c r="NT117" s="43"/>
      <c r="NU117" s="43"/>
      <c r="NV117" s="43"/>
      <c r="NW117" s="43"/>
      <c r="NX117" s="43"/>
      <c r="NY117" s="43"/>
      <c r="NZ117" s="43"/>
      <c r="OA117" s="43"/>
      <c r="OB117" s="43"/>
      <c r="OC117" s="43"/>
      <c r="OD117" s="43"/>
      <c r="OE117" s="43"/>
      <c r="OF117" s="43"/>
      <c r="OG117" s="43"/>
      <c r="OH117" s="43"/>
      <c r="OI117" s="43"/>
      <c r="OJ117" s="43"/>
      <c r="OK117" s="43"/>
      <c r="OL117" s="43"/>
      <c r="OM117" s="43"/>
      <c r="ON117" s="43"/>
      <c r="OO117" s="43"/>
      <c r="OP117" s="43"/>
      <c r="OQ117" s="43"/>
      <c r="OR117" s="43"/>
      <c r="OS117" s="43"/>
      <c r="OT117" s="43"/>
      <c r="OU117" s="43"/>
      <c r="OV117" s="43"/>
      <c r="OW117" s="43"/>
      <c r="OX117" s="43"/>
      <c r="OY117" s="43"/>
      <c r="OZ117" s="43"/>
      <c r="PA117" s="43"/>
      <c r="PB117" s="43"/>
      <c r="PC117" s="43"/>
      <c r="PD117" s="43"/>
      <c r="PE117" s="43"/>
      <c r="PF117" s="43"/>
      <c r="PG117" s="43"/>
      <c r="PH117" s="43"/>
      <c r="PI117" s="43"/>
      <c r="PJ117" s="43"/>
      <c r="PK117" s="43"/>
      <c r="PL117" s="43"/>
      <c r="PM117" s="43"/>
      <c r="PN117" s="43"/>
      <c r="PO117" s="43"/>
      <c r="PP117" s="43"/>
      <c r="PQ117" s="43"/>
      <c r="PR117" s="43"/>
      <c r="PS117" s="43"/>
      <c r="PT117" s="43"/>
      <c r="PU117" s="43"/>
      <c r="PV117" s="43"/>
      <c r="PW117" s="43"/>
      <c r="PX117" s="43"/>
      <c r="PY117" s="43"/>
      <c r="PZ117" s="43"/>
      <c r="QA117" s="43"/>
      <c r="QB117" s="43"/>
      <c r="QC117" s="43"/>
    </row>
    <row r="118" spans="1:445" x14ac:dyDescent="0.3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 t="str">
        <f t="shared" si="11"/>
        <v/>
      </c>
      <c r="U118" s="45" t="str">
        <f t="shared" si="12"/>
        <v/>
      </c>
      <c r="V118" s="68" t="str">
        <f t="shared" si="13"/>
        <v/>
      </c>
      <c r="W118" s="48"/>
      <c r="X118" s="66" t="str">
        <f t="shared" si="14"/>
        <v/>
      </c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43"/>
      <c r="BN118" s="43"/>
      <c r="BO118" s="43"/>
      <c r="BP118" s="43"/>
      <c r="BQ118" s="43"/>
      <c r="BR118" s="43"/>
      <c r="BS118" s="43"/>
      <c r="BT118" s="43"/>
      <c r="BU118" s="43"/>
      <c r="BV118" s="43"/>
      <c r="BW118" s="43"/>
      <c r="BX118" s="43"/>
      <c r="BY118" s="43"/>
      <c r="BZ118" s="43"/>
      <c r="CA118" s="43"/>
      <c r="CB118" s="43"/>
      <c r="CC118" s="4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43"/>
      <c r="CY118" s="43"/>
      <c r="CZ118" s="43"/>
      <c r="DA118" s="43"/>
      <c r="DB118" s="43"/>
      <c r="DC118" s="43"/>
      <c r="DD118" s="43"/>
      <c r="DE118" s="43"/>
      <c r="DF118" s="43"/>
      <c r="DG118" s="43"/>
      <c r="DH118" s="43"/>
      <c r="DI118" s="43"/>
      <c r="DJ118" s="43"/>
      <c r="DK118" s="43"/>
      <c r="DL118" s="43"/>
      <c r="DM118" s="43"/>
      <c r="DN118" s="43"/>
      <c r="DO118" s="43"/>
      <c r="DP118" s="43"/>
      <c r="DQ118" s="43"/>
      <c r="DR118" s="43"/>
      <c r="DS118" s="43"/>
      <c r="DT118" s="43"/>
      <c r="DU118" s="43"/>
      <c r="DV118" s="43"/>
      <c r="DW118" s="43"/>
      <c r="DX118" s="43"/>
      <c r="DY118" s="43"/>
      <c r="DZ118" s="43"/>
      <c r="EA118" s="43"/>
      <c r="EB118" s="43"/>
      <c r="EC118" s="43"/>
      <c r="ED118" s="43"/>
      <c r="EE118" s="43"/>
      <c r="EF118" s="43"/>
      <c r="EG118" s="43"/>
      <c r="EH118" s="43"/>
      <c r="EI118" s="43"/>
      <c r="EJ118" s="43"/>
      <c r="EK118" s="43"/>
      <c r="EL118" s="43"/>
      <c r="EM118" s="43"/>
      <c r="EN118" s="43"/>
      <c r="EO118" s="43"/>
      <c r="EP118" s="43"/>
      <c r="EQ118" s="43"/>
      <c r="ER118" s="43"/>
      <c r="ES118" s="43"/>
      <c r="ET118" s="43"/>
      <c r="EU118" s="43"/>
      <c r="EV118" s="43"/>
      <c r="EW118" s="43"/>
      <c r="EX118" s="43"/>
      <c r="EY118" s="43"/>
      <c r="EZ118" s="43"/>
      <c r="FA118" s="43"/>
      <c r="FB118" s="43"/>
      <c r="FC118" s="43"/>
      <c r="FD118" s="43"/>
      <c r="FE118" s="43"/>
      <c r="FF118" s="43"/>
      <c r="FG118" s="43"/>
      <c r="FH118" s="43"/>
      <c r="FI118" s="43"/>
      <c r="FJ118" s="43"/>
      <c r="FK118" s="43"/>
      <c r="FL118" s="43"/>
      <c r="FM118" s="43"/>
      <c r="FN118" s="43"/>
      <c r="FO118" s="43"/>
      <c r="FP118" s="43"/>
      <c r="FQ118" s="43"/>
      <c r="FR118" s="43"/>
      <c r="FS118" s="43"/>
      <c r="FT118" s="43"/>
      <c r="FU118" s="43"/>
      <c r="FV118" s="43"/>
      <c r="FW118" s="43"/>
      <c r="FX118" s="43"/>
      <c r="FY118" s="43"/>
      <c r="FZ118" s="43"/>
      <c r="GA118" s="43"/>
      <c r="GB118" s="43"/>
      <c r="GC118" s="43"/>
      <c r="GD118" s="43"/>
      <c r="GE118" s="43"/>
      <c r="GF118" s="43"/>
      <c r="GG118" s="43"/>
      <c r="GH118" s="43"/>
      <c r="GI118" s="43"/>
      <c r="GJ118" s="43"/>
      <c r="GK118" s="43"/>
      <c r="GL118" s="43"/>
      <c r="GM118" s="43"/>
      <c r="GN118" s="43"/>
      <c r="GO118" s="43"/>
      <c r="GP118" s="43"/>
      <c r="GQ118" s="43"/>
      <c r="GR118" s="43"/>
      <c r="GS118" s="43"/>
      <c r="GT118" s="43"/>
      <c r="GU118" s="43"/>
      <c r="GV118" s="43"/>
      <c r="GW118" s="43"/>
      <c r="GX118" s="43"/>
      <c r="GY118" s="43"/>
      <c r="GZ118" s="43"/>
      <c r="HA118" s="43"/>
      <c r="HB118" s="43"/>
      <c r="HC118" s="43"/>
      <c r="HD118" s="43"/>
      <c r="HE118" s="43"/>
      <c r="HF118" s="43"/>
      <c r="HG118" s="43"/>
      <c r="HH118" s="43"/>
      <c r="HI118" s="43"/>
      <c r="HJ118" s="43"/>
      <c r="HK118" s="43"/>
      <c r="HL118" s="43"/>
      <c r="HM118" s="43"/>
      <c r="HN118" s="43"/>
      <c r="HO118" s="43"/>
      <c r="HP118" s="43"/>
      <c r="HQ118" s="43"/>
      <c r="HR118" s="43"/>
      <c r="HS118" s="43"/>
      <c r="HT118" s="43"/>
      <c r="HU118" s="43"/>
      <c r="HV118" s="43"/>
      <c r="HW118" s="43"/>
      <c r="HX118" s="43"/>
      <c r="HY118" s="43"/>
      <c r="HZ118" s="43"/>
      <c r="IA118" s="43"/>
      <c r="IB118" s="43"/>
      <c r="IC118" s="43"/>
      <c r="ID118" s="43"/>
      <c r="IE118" s="43"/>
      <c r="IF118" s="43"/>
      <c r="IG118" s="43"/>
      <c r="IH118" s="43"/>
      <c r="II118" s="43"/>
      <c r="IJ118" s="43"/>
      <c r="IK118" s="43"/>
      <c r="IL118" s="43"/>
      <c r="IM118" s="43"/>
      <c r="IN118" s="43"/>
      <c r="IO118" s="43"/>
      <c r="IP118" s="43"/>
      <c r="IQ118" s="43"/>
      <c r="IR118" s="43"/>
      <c r="IS118" s="43"/>
      <c r="IT118" s="43"/>
      <c r="IU118" s="43"/>
      <c r="IV118" s="43"/>
      <c r="IW118" s="43"/>
      <c r="IX118" s="43"/>
      <c r="IY118" s="43"/>
      <c r="IZ118" s="43"/>
      <c r="JA118" s="43"/>
      <c r="JB118" s="43"/>
      <c r="JC118" s="43"/>
      <c r="JD118" s="43"/>
      <c r="JE118" s="43"/>
      <c r="JF118" s="43"/>
      <c r="JG118" s="43"/>
      <c r="JH118" s="43"/>
      <c r="JI118" s="43"/>
      <c r="JJ118" s="43"/>
      <c r="JK118" s="43"/>
      <c r="JL118" s="43"/>
      <c r="JM118" s="43"/>
      <c r="JN118" s="43"/>
      <c r="JO118" s="43"/>
      <c r="JP118" s="43"/>
      <c r="JQ118" s="43"/>
      <c r="JR118" s="43"/>
      <c r="JS118" s="43"/>
      <c r="JT118" s="43"/>
      <c r="JU118" s="43"/>
      <c r="JV118" s="43"/>
      <c r="JW118" s="43"/>
      <c r="JX118" s="43"/>
      <c r="JY118" s="43"/>
      <c r="JZ118" s="43"/>
      <c r="KA118" s="43"/>
      <c r="KB118" s="43"/>
      <c r="KC118" s="43"/>
      <c r="KD118" s="43"/>
      <c r="KE118" s="43"/>
      <c r="KF118" s="43"/>
      <c r="KG118" s="43"/>
      <c r="KH118" s="43"/>
      <c r="KI118" s="43"/>
      <c r="KJ118" s="43"/>
      <c r="KK118" s="43"/>
      <c r="KL118" s="43"/>
      <c r="KM118" s="43"/>
      <c r="KN118" s="43"/>
      <c r="KO118" s="43"/>
      <c r="KP118" s="43"/>
      <c r="KQ118" s="43"/>
      <c r="KR118" s="43"/>
      <c r="KS118" s="43"/>
      <c r="KT118" s="43"/>
      <c r="KU118" s="43"/>
      <c r="KV118" s="43"/>
      <c r="KW118" s="43"/>
      <c r="KX118" s="43"/>
      <c r="KY118" s="43"/>
      <c r="KZ118" s="43"/>
      <c r="LA118" s="43"/>
      <c r="LB118" s="43"/>
      <c r="LC118" s="43"/>
      <c r="LD118" s="43"/>
      <c r="LE118" s="43"/>
      <c r="LF118" s="43"/>
      <c r="LG118" s="43"/>
      <c r="LH118" s="43"/>
      <c r="LI118" s="43"/>
      <c r="LJ118" s="43"/>
      <c r="LK118" s="43"/>
      <c r="LL118" s="43"/>
      <c r="LM118" s="43"/>
      <c r="LN118" s="43"/>
      <c r="LO118" s="43"/>
      <c r="LP118" s="43"/>
      <c r="LQ118" s="43"/>
      <c r="LR118" s="43"/>
      <c r="LS118" s="43"/>
      <c r="LT118" s="43"/>
      <c r="LU118" s="43"/>
      <c r="LV118" s="43"/>
      <c r="LW118" s="43"/>
      <c r="LX118" s="43"/>
      <c r="LY118" s="43"/>
      <c r="LZ118" s="43"/>
      <c r="MA118" s="43"/>
      <c r="MB118" s="43"/>
      <c r="MC118" s="43"/>
      <c r="MD118" s="43"/>
      <c r="ME118" s="43"/>
      <c r="MF118" s="43"/>
      <c r="MG118" s="43"/>
      <c r="MH118" s="43"/>
      <c r="MI118" s="43"/>
      <c r="MJ118" s="43"/>
      <c r="MK118" s="43"/>
      <c r="ML118" s="43"/>
      <c r="MM118" s="43"/>
      <c r="MN118" s="43"/>
      <c r="MO118" s="43"/>
      <c r="MP118" s="43"/>
      <c r="MQ118" s="43"/>
      <c r="MR118" s="43"/>
      <c r="MS118" s="43"/>
      <c r="MT118" s="43"/>
      <c r="MU118" s="43"/>
      <c r="MV118" s="43"/>
      <c r="MW118" s="43"/>
      <c r="MX118" s="43"/>
      <c r="MY118" s="43"/>
      <c r="MZ118" s="43"/>
      <c r="NA118" s="43"/>
      <c r="NB118" s="43"/>
      <c r="NC118" s="43"/>
      <c r="ND118" s="43"/>
      <c r="NE118" s="43"/>
      <c r="NF118" s="43"/>
      <c r="NG118" s="43"/>
      <c r="NH118" s="43"/>
      <c r="NI118" s="43"/>
      <c r="NJ118" s="43"/>
      <c r="NK118" s="43"/>
      <c r="NL118" s="43"/>
      <c r="NM118" s="43"/>
      <c r="NN118" s="43"/>
      <c r="NO118" s="43"/>
      <c r="NP118" s="43"/>
      <c r="NQ118" s="43"/>
      <c r="NR118" s="43"/>
      <c r="NS118" s="43"/>
      <c r="NT118" s="43"/>
      <c r="NU118" s="43"/>
      <c r="NV118" s="43"/>
      <c r="NW118" s="43"/>
      <c r="NX118" s="43"/>
      <c r="NY118" s="43"/>
      <c r="NZ118" s="43"/>
      <c r="OA118" s="43"/>
      <c r="OB118" s="43"/>
      <c r="OC118" s="43"/>
      <c r="OD118" s="43"/>
      <c r="OE118" s="43"/>
      <c r="OF118" s="43"/>
      <c r="OG118" s="43"/>
      <c r="OH118" s="43"/>
      <c r="OI118" s="43"/>
      <c r="OJ118" s="43"/>
      <c r="OK118" s="43"/>
      <c r="OL118" s="43"/>
      <c r="OM118" s="43"/>
      <c r="ON118" s="43"/>
      <c r="OO118" s="43"/>
      <c r="OP118" s="43"/>
      <c r="OQ118" s="43"/>
      <c r="OR118" s="43"/>
      <c r="OS118" s="43"/>
      <c r="OT118" s="43"/>
      <c r="OU118" s="43"/>
      <c r="OV118" s="43"/>
      <c r="OW118" s="43"/>
      <c r="OX118" s="43"/>
      <c r="OY118" s="43"/>
      <c r="OZ118" s="43"/>
      <c r="PA118" s="43"/>
      <c r="PB118" s="43"/>
      <c r="PC118" s="43"/>
      <c r="PD118" s="43"/>
      <c r="PE118" s="43"/>
      <c r="PF118" s="43"/>
      <c r="PG118" s="43"/>
      <c r="PH118" s="43"/>
      <c r="PI118" s="43"/>
      <c r="PJ118" s="43"/>
      <c r="PK118" s="43"/>
      <c r="PL118" s="43"/>
      <c r="PM118" s="43"/>
      <c r="PN118" s="43"/>
      <c r="PO118" s="43"/>
      <c r="PP118" s="43"/>
      <c r="PQ118" s="43"/>
      <c r="PR118" s="43"/>
      <c r="PS118" s="43"/>
      <c r="PT118" s="43"/>
      <c r="PU118" s="43"/>
      <c r="PV118" s="43"/>
      <c r="PW118" s="43"/>
      <c r="PX118" s="43"/>
      <c r="PY118" s="43"/>
      <c r="PZ118" s="43"/>
      <c r="QA118" s="43"/>
      <c r="QB118" s="43"/>
      <c r="QC118" s="43"/>
    </row>
    <row r="119" spans="1:445" s="54" customFormat="1" x14ac:dyDescent="0.3">
      <c r="A119" s="47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 t="str">
        <f t="shared" si="11"/>
        <v/>
      </c>
      <c r="U119" s="45" t="str">
        <f t="shared" si="12"/>
        <v/>
      </c>
      <c r="V119" s="68" t="str">
        <f t="shared" si="13"/>
        <v/>
      </c>
      <c r="W119" s="48"/>
      <c r="X119" s="66" t="str">
        <f t="shared" si="14"/>
        <v/>
      </c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  <c r="AK119" s="60"/>
      <c r="AL119" s="60"/>
      <c r="AM119" s="60"/>
      <c r="AN119" s="60"/>
      <c r="AO119" s="60"/>
      <c r="AP119" s="60"/>
      <c r="AQ119" s="60"/>
      <c r="AR119" s="60"/>
      <c r="AS119" s="60"/>
      <c r="AT119" s="60"/>
      <c r="AU119" s="60"/>
      <c r="AV119" s="60"/>
      <c r="AW119" s="60"/>
      <c r="AX119" s="60"/>
      <c r="AY119" s="60"/>
      <c r="AZ119" s="60"/>
      <c r="BA119" s="60"/>
      <c r="BB119" s="60"/>
      <c r="BC119" s="60"/>
      <c r="BD119" s="60"/>
      <c r="BE119" s="60"/>
      <c r="BF119" s="60"/>
      <c r="BG119" s="60"/>
      <c r="BH119" s="60"/>
      <c r="BI119" s="60"/>
      <c r="BJ119" s="60"/>
      <c r="BK119" s="60"/>
      <c r="BL119" s="60"/>
      <c r="BM119" s="60"/>
      <c r="BN119" s="60"/>
      <c r="BO119" s="60"/>
      <c r="BP119" s="60"/>
      <c r="BQ119" s="60"/>
      <c r="BR119" s="60"/>
      <c r="BS119" s="60"/>
      <c r="BT119" s="60"/>
      <c r="BU119" s="60"/>
      <c r="BV119" s="60"/>
      <c r="BW119" s="60"/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60"/>
      <c r="CU119" s="60"/>
      <c r="CV119" s="60"/>
      <c r="CW119" s="60"/>
      <c r="CX119" s="60"/>
      <c r="CY119" s="60"/>
      <c r="CZ119" s="60"/>
      <c r="DA119" s="60"/>
      <c r="DB119" s="60"/>
      <c r="DC119" s="60"/>
      <c r="DD119" s="60"/>
      <c r="DE119" s="60"/>
      <c r="DF119" s="60"/>
      <c r="DG119" s="60"/>
      <c r="DH119" s="60"/>
      <c r="DI119" s="60"/>
      <c r="DJ119" s="60"/>
      <c r="DK119" s="60"/>
      <c r="DL119" s="60"/>
      <c r="DM119" s="60"/>
      <c r="DN119" s="60"/>
      <c r="DO119" s="60"/>
      <c r="DP119" s="60"/>
      <c r="DQ119" s="60"/>
      <c r="DR119" s="60"/>
      <c r="DS119" s="60"/>
      <c r="DT119" s="60"/>
      <c r="DU119" s="60"/>
      <c r="DV119" s="60"/>
      <c r="DW119" s="60"/>
      <c r="DX119" s="60"/>
      <c r="DY119" s="60"/>
      <c r="DZ119" s="60"/>
      <c r="EA119" s="60"/>
      <c r="EB119" s="60"/>
      <c r="EC119" s="60"/>
      <c r="ED119" s="60"/>
      <c r="EE119" s="60"/>
      <c r="EF119" s="60"/>
      <c r="EG119" s="60"/>
      <c r="EH119" s="60"/>
      <c r="EI119" s="60"/>
      <c r="EJ119" s="60"/>
      <c r="EK119" s="60"/>
      <c r="EL119" s="60"/>
      <c r="EM119" s="60"/>
      <c r="EN119" s="60"/>
      <c r="EO119" s="60"/>
      <c r="EP119" s="60"/>
      <c r="EQ119" s="60"/>
      <c r="ER119" s="60"/>
      <c r="ES119" s="60"/>
      <c r="ET119" s="60"/>
      <c r="EU119" s="60"/>
      <c r="EV119" s="60"/>
      <c r="EW119" s="60"/>
      <c r="EX119" s="60"/>
      <c r="EY119" s="60"/>
      <c r="EZ119" s="60"/>
      <c r="FA119" s="60"/>
      <c r="FB119" s="60"/>
      <c r="FC119" s="60"/>
      <c r="FD119" s="60"/>
      <c r="FE119" s="60"/>
      <c r="FF119" s="60"/>
      <c r="FG119" s="60"/>
      <c r="FH119" s="60"/>
      <c r="FI119" s="60"/>
      <c r="FJ119" s="60"/>
      <c r="FK119" s="60"/>
      <c r="FL119" s="60"/>
      <c r="FM119" s="60"/>
      <c r="FN119" s="60"/>
      <c r="FO119" s="60"/>
      <c r="FP119" s="60"/>
      <c r="FQ119" s="60"/>
      <c r="FR119" s="60"/>
      <c r="FS119" s="60"/>
      <c r="FT119" s="60"/>
      <c r="FU119" s="60"/>
      <c r="FV119" s="60"/>
      <c r="FW119" s="60"/>
      <c r="FX119" s="60"/>
      <c r="FY119" s="60"/>
      <c r="FZ119" s="60"/>
      <c r="GA119" s="60"/>
      <c r="GB119" s="60"/>
      <c r="GC119" s="60"/>
      <c r="GD119" s="60"/>
      <c r="GE119" s="60"/>
      <c r="GF119" s="60"/>
      <c r="GG119" s="60"/>
      <c r="GH119" s="60"/>
      <c r="GI119" s="60"/>
      <c r="GJ119" s="60"/>
      <c r="GK119" s="60"/>
      <c r="GL119" s="60"/>
      <c r="GM119" s="60"/>
      <c r="GN119" s="60"/>
      <c r="GO119" s="60"/>
      <c r="GP119" s="60"/>
      <c r="GQ119" s="60"/>
      <c r="GR119" s="60"/>
      <c r="GS119" s="60"/>
      <c r="GT119" s="60"/>
      <c r="GU119" s="60"/>
      <c r="GV119" s="60"/>
      <c r="GW119" s="60"/>
      <c r="GX119" s="60"/>
      <c r="GY119" s="60"/>
      <c r="GZ119" s="60"/>
      <c r="HA119" s="60"/>
      <c r="HB119" s="60"/>
      <c r="HC119" s="60"/>
      <c r="HD119" s="60"/>
      <c r="HE119" s="60"/>
      <c r="HF119" s="60"/>
      <c r="HG119" s="60"/>
      <c r="HH119" s="60"/>
      <c r="HI119" s="60"/>
      <c r="HJ119" s="60"/>
      <c r="HK119" s="60"/>
      <c r="HL119" s="60"/>
      <c r="HM119" s="60"/>
      <c r="HN119" s="60"/>
      <c r="HO119" s="60"/>
      <c r="HP119" s="60"/>
      <c r="HQ119" s="60"/>
      <c r="HR119" s="60"/>
      <c r="HS119" s="60"/>
      <c r="HT119" s="60"/>
      <c r="HU119" s="60"/>
      <c r="HV119" s="60"/>
      <c r="HW119" s="60"/>
      <c r="HX119" s="60"/>
      <c r="HY119" s="60"/>
      <c r="HZ119" s="60"/>
      <c r="IA119" s="60"/>
      <c r="IB119" s="60"/>
      <c r="IC119" s="60"/>
      <c r="ID119" s="60"/>
      <c r="IE119" s="60"/>
      <c r="IF119" s="60"/>
      <c r="IG119" s="60"/>
      <c r="IH119" s="60"/>
      <c r="II119" s="60"/>
      <c r="IJ119" s="60"/>
      <c r="IK119" s="60"/>
      <c r="IL119" s="60"/>
      <c r="IM119" s="60"/>
      <c r="IN119" s="60"/>
      <c r="IO119" s="60"/>
      <c r="IP119" s="60"/>
      <c r="IQ119" s="60"/>
      <c r="IR119" s="60"/>
      <c r="IS119" s="60"/>
      <c r="IT119" s="60"/>
      <c r="IU119" s="60"/>
      <c r="IV119" s="60"/>
      <c r="IW119" s="60"/>
      <c r="IX119" s="60"/>
      <c r="IY119" s="60"/>
      <c r="IZ119" s="60"/>
      <c r="JA119" s="60"/>
      <c r="JB119" s="60"/>
      <c r="JC119" s="60"/>
      <c r="JD119" s="60"/>
      <c r="JE119" s="60"/>
      <c r="JF119" s="60"/>
      <c r="JG119" s="60"/>
      <c r="JH119" s="60"/>
      <c r="JI119" s="60"/>
      <c r="JJ119" s="60"/>
      <c r="JK119" s="60"/>
      <c r="JL119" s="60"/>
      <c r="JM119" s="60"/>
      <c r="JN119" s="60"/>
      <c r="JO119" s="60"/>
      <c r="JP119" s="60"/>
      <c r="JQ119" s="60"/>
      <c r="JR119" s="60"/>
      <c r="JS119" s="60"/>
      <c r="JT119" s="60"/>
      <c r="JU119" s="60"/>
      <c r="JV119" s="60"/>
      <c r="JW119" s="60"/>
      <c r="JX119" s="60"/>
      <c r="JY119" s="60"/>
      <c r="JZ119" s="60"/>
      <c r="KA119" s="60"/>
      <c r="KB119" s="60"/>
      <c r="KC119" s="60"/>
      <c r="KD119" s="60"/>
      <c r="KE119" s="60"/>
      <c r="KF119" s="60"/>
      <c r="KG119" s="60"/>
      <c r="KH119" s="60"/>
      <c r="KI119" s="60"/>
      <c r="KJ119" s="60"/>
      <c r="KK119" s="60"/>
      <c r="KL119" s="60"/>
      <c r="KM119" s="60"/>
      <c r="KN119" s="60"/>
      <c r="KO119" s="60"/>
      <c r="KP119" s="60"/>
      <c r="KQ119" s="60"/>
      <c r="KR119" s="60"/>
      <c r="KS119" s="60"/>
      <c r="KT119" s="60"/>
      <c r="KU119" s="60"/>
      <c r="KV119" s="60"/>
      <c r="KW119" s="60"/>
      <c r="KX119" s="60"/>
      <c r="KY119" s="60"/>
      <c r="KZ119" s="60"/>
      <c r="LA119" s="60"/>
      <c r="LB119" s="60"/>
      <c r="LC119" s="60"/>
      <c r="LD119" s="60"/>
      <c r="LE119" s="60"/>
      <c r="LF119" s="60"/>
      <c r="LG119" s="60"/>
      <c r="LH119" s="60"/>
      <c r="LI119" s="60"/>
      <c r="LJ119" s="60"/>
      <c r="LK119" s="60"/>
      <c r="LL119" s="60"/>
      <c r="LM119" s="60"/>
      <c r="LN119" s="60"/>
      <c r="LO119" s="60"/>
      <c r="LP119" s="60"/>
      <c r="LQ119" s="60"/>
      <c r="LR119" s="60"/>
      <c r="LS119" s="60"/>
      <c r="LT119" s="60"/>
      <c r="LU119" s="60"/>
      <c r="LV119" s="60"/>
      <c r="LW119" s="60"/>
      <c r="LX119" s="60"/>
      <c r="LY119" s="60"/>
      <c r="LZ119" s="60"/>
      <c r="MA119" s="60"/>
      <c r="MB119" s="60"/>
      <c r="MC119" s="60"/>
      <c r="MD119" s="60"/>
      <c r="ME119" s="60"/>
      <c r="MF119" s="60"/>
      <c r="MG119" s="60"/>
      <c r="MH119" s="60"/>
      <c r="MI119" s="60"/>
      <c r="MJ119" s="60"/>
      <c r="MK119" s="60"/>
      <c r="ML119" s="60"/>
      <c r="MM119" s="60"/>
      <c r="MN119" s="60"/>
      <c r="MO119" s="60"/>
      <c r="MP119" s="60"/>
      <c r="MQ119" s="60"/>
      <c r="MR119" s="60"/>
      <c r="MS119" s="60"/>
      <c r="MT119" s="60"/>
      <c r="MU119" s="60"/>
      <c r="MV119" s="60"/>
      <c r="MW119" s="60"/>
      <c r="MX119" s="60"/>
      <c r="MY119" s="60"/>
      <c r="MZ119" s="60"/>
      <c r="NA119" s="60"/>
      <c r="NB119" s="60"/>
      <c r="NC119" s="60"/>
      <c r="ND119" s="60"/>
      <c r="NE119" s="60"/>
      <c r="NF119" s="60"/>
      <c r="NG119" s="60"/>
      <c r="NH119" s="60"/>
      <c r="NI119" s="60"/>
      <c r="NJ119" s="60"/>
      <c r="NK119" s="60"/>
      <c r="NL119" s="60"/>
      <c r="NM119" s="60"/>
      <c r="NN119" s="60"/>
      <c r="NO119" s="60"/>
      <c r="NP119" s="60"/>
      <c r="NQ119" s="60"/>
      <c r="NR119" s="60"/>
      <c r="NS119" s="60"/>
      <c r="NT119" s="60"/>
      <c r="NU119" s="60"/>
      <c r="NV119" s="60"/>
      <c r="NW119" s="60"/>
      <c r="NX119" s="60"/>
      <c r="NY119" s="60"/>
      <c r="NZ119" s="60"/>
      <c r="OA119" s="60"/>
      <c r="OB119" s="60"/>
      <c r="OC119" s="60"/>
      <c r="OD119" s="60"/>
      <c r="OE119" s="60"/>
      <c r="OF119" s="60"/>
      <c r="OG119" s="60"/>
      <c r="OH119" s="60"/>
      <c r="OI119" s="60"/>
      <c r="OJ119" s="60"/>
      <c r="OK119" s="60"/>
      <c r="OL119" s="60"/>
      <c r="OM119" s="60"/>
      <c r="ON119" s="60"/>
      <c r="OO119" s="60"/>
      <c r="OP119" s="60"/>
      <c r="OQ119" s="60"/>
      <c r="OR119" s="60"/>
      <c r="OS119" s="60"/>
      <c r="OT119" s="60"/>
      <c r="OU119" s="60"/>
      <c r="OV119" s="60"/>
      <c r="OW119" s="60"/>
      <c r="OX119" s="60"/>
      <c r="OY119" s="60"/>
      <c r="OZ119" s="60"/>
      <c r="PA119" s="60"/>
      <c r="PB119" s="60"/>
      <c r="PC119" s="60"/>
      <c r="PD119" s="60"/>
      <c r="PE119" s="60"/>
      <c r="PF119" s="60"/>
      <c r="PG119" s="60"/>
      <c r="PH119" s="60"/>
      <c r="PI119" s="60"/>
      <c r="PJ119" s="60"/>
      <c r="PK119" s="60"/>
      <c r="PL119" s="60"/>
      <c r="PM119" s="60"/>
      <c r="PN119" s="60"/>
      <c r="PO119" s="60"/>
      <c r="PP119" s="60"/>
      <c r="PQ119" s="60"/>
      <c r="PR119" s="60"/>
      <c r="PS119" s="60"/>
      <c r="PT119" s="60"/>
      <c r="PU119" s="60"/>
      <c r="PV119" s="60"/>
      <c r="PW119" s="60"/>
      <c r="PX119" s="60"/>
      <c r="PY119" s="60"/>
      <c r="PZ119" s="60"/>
      <c r="QA119" s="60"/>
      <c r="QB119" s="60"/>
      <c r="QC119" s="60"/>
    </row>
    <row r="120" spans="1:445" x14ac:dyDescent="0.3">
      <c r="B120" s="45"/>
      <c r="C120" s="45"/>
      <c r="D120" s="45"/>
      <c r="E120" s="45"/>
      <c r="F120" s="45"/>
      <c r="G120" s="45"/>
      <c r="H120" s="45"/>
      <c r="I120" s="45"/>
      <c r="J120" s="51"/>
      <c r="K120" s="45"/>
      <c r="L120" s="45"/>
      <c r="M120" s="45"/>
      <c r="N120" s="45"/>
      <c r="O120" s="45"/>
      <c r="P120" s="45"/>
      <c r="Q120" s="45"/>
      <c r="R120" s="45"/>
      <c r="S120" s="45"/>
      <c r="T120" s="45" t="str">
        <f t="shared" si="11"/>
        <v/>
      </c>
      <c r="U120" s="45" t="str">
        <f t="shared" si="12"/>
        <v/>
      </c>
      <c r="V120" s="68" t="str">
        <f t="shared" si="13"/>
        <v/>
      </c>
      <c r="W120" s="48"/>
      <c r="X120" s="66" t="str">
        <f t="shared" si="14"/>
        <v/>
      </c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43"/>
      <c r="BN120" s="43"/>
      <c r="BO120" s="43"/>
      <c r="BP120" s="43"/>
      <c r="BQ120" s="43"/>
      <c r="BR120" s="43"/>
      <c r="BS120" s="43"/>
      <c r="BT120" s="43"/>
      <c r="BU120" s="43"/>
      <c r="BV120" s="43"/>
      <c r="BW120" s="43"/>
      <c r="BX120" s="43"/>
      <c r="BY120" s="43"/>
      <c r="BZ120" s="43"/>
      <c r="CA120" s="43"/>
      <c r="CB120" s="43"/>
      <c r="CC120" s="43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43"/>
      <c r="CY120" s="43"/>
      <c r="CZ120" s="43"/>
      <c r="DA120" s="43"/>
      <c r="DB120" s="43"/>
      <c r="DC120" s="43"/>
      <c r="DD120" s="43"/>
      <c r="DE120" s="43"/>
      <c r="DF120" s="43"/>
      <c r="DG120" s="43"/>
      <c r="DH120" s="43"/>
      <c r="DI120" s="43"/>
      <c r="DJ120" s="43"/>
      <c r="DK120" s="43"/>
      <c r="DL120" s="43"/>
      <c r="DM120" s="43"/>
      <c r="DN120" s="43"/>
      <c r="DO120" s="43"/>
      <c r="DP120" s="43"/>
      <c r="DQ120" s="43"/>
      <c r="DR120" s="43"/>
      <c r="DS120" s="43"/>
      <c r="DT120" s="43"/>
      <c r="DU120" s="43"/>
      <c r="DV120" s="43"/>
      <c r="DW120" s="43"/>
      <c r="DX120" s="43"/>
      <c r="DY120" s="43"/>
      <c r="DZ120" s="43"/>
      <c r="EA120" s="43"/>
      <c r="EB120" s="43"/>
      <c r="EC120" s="43"/>
      <c r="ED120" s="43"/>
      <c r="EE120" s="43"/>
      <c r="EF120" s="43"/>
      <c r="EG120" s="43"/>
      <c r="EH120" s="43"/>
      <c r="EI120" s="43"/>
      <c r="EJ120" s="43"/>
      <c r="EK120" s="43"/>
      <c r="EL120" s="43"/>
      <c r="EM120" s="43"/>
      <c r="EN120" s="43"/>
      <c r="EO120" s="43"/>
      <c r="EP120" s="43"/>
      <c r="EQ120" s="43"/>
      <c r="ER120" s="43"/>
      <c r="ES120" s="43"/>
      <c r="ET120" s="43"/>
      <c r="EU120" s="43"/>
      <c r="EV120" s="43"/>
      <c r="EW120" s="43"/>
      <c r="EX120" s="43"/>
      <c r="EY120" s="43"/>
      <c r="EZ120" s="43"/>
      <c r="FA120" s="43"/>
      <c r="FB120" s="43"/>
      <c r="FC120" s="43"/>
      <c r="FD120" s="43"/>
      <c r="FE120" s="43"/>
      <c r="FF120" s="43"/>
      <c r="FG120" s="43"/>
      <c r="FH120" s="43"/>
      <c r="FI120" s="43"/>
      <c r="FJ120" s="43"/>
      <c r="FK120" s="43"/>
      <c r="FL120" s="43"/>
      <c r="FM120" s="43"/>
      <c r="FN120" s="43"/>
      <c r="FO120" s="43"/>
      <c r="FP120" s="43"/>
      <c r="FQ120" s="43"/>
      <c r="FR120" s="43"/>
      <c r="FS120" s="43"/>
      <c r="FT120" s="43"/>
      <c r="FU120" s="43"/>
      <c r="FV120" s="43"/>
      <c r="FW120" s="43"/>
      <c r="FX120" s="43"/>
      <c r="FY120" s="43"/>
      <c r="FZ120" s="43"/>
      <c r="GA120" s="43"/>
      <c r="GB120" s="43"/>
      <c r="GC120" s="43"/>
      <c r="GD120" s="43"/>
      <c r="GE120" s="43"/>
      <c r="GF120" s="43"/>
      <c r="GG120" s="43"/>
      <c r="GH120" s="43"/>
      <c r="GI120" s="43"/>
      <c r="GJ120" s="43"/>
      <c r="GK120" s="43"/>
      <c r="GL120" s="43"/>
      <c r="GM120" s="43"/>
      <c r="GN120" s="43"/>
      <c r="GO120" s="43"/>
      <c r="GP120" s="43"/>
      <c r="GQ120" s="43"/>
      <c r="GR120" s="43"/>
      <c r="GS120" s="43"/>
      <c r="GT120" s="43"/>
      <c r="GU120" s="43"/>
      <c r="GV120" s="43"/>
      <c r="GW120" s="43"/>
      <c r="GX120" s="43"/>
      <c r="GY120" s="43"/>
      <c r="GZ120" s="43"/>
      <c r="HA120" s="43"/>
      <c r="HB120" s="43"/>
      <c r="HC120" s="43"/>
      <c r="HD120" s="43"/>
      <c r="HE120" s="43"/>
      <c r="HF120" s="43"/>
      <c r="HG120" s="43"/>
      <c r="HH120" s="43"/>
      <c r="HI120" s="43"/>
      <c r="HJ120" s="43"/>
      <c r="HK120" s="43"/>
      <c r="HL120" s="43"/>
      <c r="HM120" s="43"/>
      <c r="HN120" s="43"/>
      <c r="HO120" s="43"/>
      <c r="HP120" s="43"/>
      <c r="HQ120" s="43"/>
      <c r="HR120" s="43"/>
      <c r="HS120" s="43"/>
      <c r="HT120" s="43"/>
      <c r="HU120" s="43"/>
      <c r="HV120" s="43"/>
      <c r="HW120" s="43"/>
      <c r="HX120" s="43"/>
      <c r="HY120" s="43"/>
      <c r="HZ120" s="43"/>
      <c r="IA120" s="43"/>
      <c r="IB120" s="43"/>
      <c r="IC120" s="43"/>
      <c r="ID120" s="43"/>
      <c r="IE120" s="43"/>
      <c r="IF120" s="43"/>
      <c r="IG120" s="43"/>
      <c r="IH120" s="43"/>
      <c r="II120" s="43"/>
      <c r="IJ120" s="43"/>
      <c r="IK120" s="43"/>
      <c r="IL120" s="43"/>
      <c r="IM120" s="43"/>
      <c r="IN120" s="43"/>
      <c r="IO120" s="43"/>
      <c r="IP120" s="43"/>
      <c r="IQ120" s="43"/>
      <c r="IR120" s="43"/>
      <c r="IS120" s="43"/>
      <c r="IT120" s="43"/>
      <c r="IU120" s="43"/>
      <c r="IV120" s="43"/>
      <c r="IW120" s="43"/>
      <c r="IX120" s="43"/>
      <c r="IY120" s="43"/>
      <c r="IZ120" s="43"/>
      <c r="JA120" s="43"/>
      <c r="JB120" s="43"/>
      <c r="JC120" s="43"/>
      <c r="JD120" s="43"/>
      <c r="JE120" s="43"/>
      <c r="JF120" s="43"/>
      <c r="JG120" s="43"/>
      <c r="JH120" s="43"/>
      <c r="JI120" s="43"/>
      <c r="JJ120" s="43"/>
      <c r="JK120" s="43"/>
      <c r="JL120" s="43"/>
      <c r="JM120" s="43"/>
      <c r="JN120" s="43"/>
      <c r="JO120" s="43"/>
      <c r="JP120" s="43"/>
      <c r="JQ120" s="43"/>
      <c r="JR120" s="43"/>
      <c r="JS120" s="43"/>
      <c r="JT120" s="43"/>
      <c r="JU120" s="43"/>
      <c r="JV120" s="43"/>
      <c r="JW120" s="43"/>
      <c r="JX120" s="43"/>
      <c r="JY120" s="43"/>
      <c r="JZ120" s="43"/>
      <c r="KA120" s="43"/>
      <c r="KB120" s="43"/>
      <c r="KC120" s="43"/>
      <c r="KD120" s="43"/>
      <c r="KE120" s="43"/>
      <c r="KF120" s="43"/>
      <c r="KG120" s="43"/>
      <c r="KH120" s="43"/>
      <c r="KI120" s="43"/>
      <c r="KJ120" s="43"/>
      <c r="KK120" s="43"/>
      <c r="KL120" s="43"/>
      <c r="KM120" s="43"/>
      <c r="KN120" s="43"/>
      <c r="KO120" s="43"/>
      <c r="KP120" s="43"/>
      <c r="KQ120" s="43"/>
      <c r="KR120" s="43"/>
      <c r="KS120" s="43"/>
      <c r="KT120" s="43"/>
      <c r="KU120" s="43"/>
      <c r="KV120" s="43"/>
      <c r="KW120" s="43"/>
      <c r="KX120" s="43"/>
      <c r="KY120" s="43"/>
      <c r="KZ120" s="43"/>
      <c r="LA120" s="43"/>
      <c r="LB120" s="43"/>
      <c r="LC120" s="43"/>
      <c r="LD120" s="43"/>
      <c r="LE120" s="43"/>
      <c r="LF120" s="43"/>
      <c r="LG120" s="43"/>
      <c r="LH120" s="43"/>
      <c r="LI120" s="43"/>
      <c r="LJ120" s="43"/>
      <c r="LK120" s="43"/>
      <c r="LL120" s="43"/>
      <c r="LM120" s="43"/>
      <c r="LN120" s="43"/>
      <c r="LO120" s="43"/>
      <c r="LP120" s="43"/>
      <c r="LQ120" s="43"/>
      <c r="LR120" s="43"/>
      <c r="LS120" s="43"/>
      <c r="LT120" s="43"/>
      <c r="LU120" s="43"/>
      <c r="LV120" s="43"/>
      <c r="LW120" s="43"/>
      <c r="LX120" s="43"/>
      <c r="LY120" s="43"/>
      <c r="LZ120" s="43"/>
      <c r="MA120" s="43"/>
      <c r="MB120" s="43"/>
      <c r="MC120" s="43"/>
      <c r="MD120" s="43"/>
      <c r="ME120" s="43"/>
      <c r="MF120" s="43"/>
      <c r="MG120" s="43"/>
      <c r="MH120" s="43"/>
      <c r="MI120" s="43"/>
      <c r="MJ120" s="43"/>
      <c r="MK120" s="43"/>
      <c r="ML120" s="43"/>
      <c r="MM120" s="43"/>
      <c r="MN120" s="43"/>
      <c r="MO120" s="43"/>
      <c r="MP120" s="43"/>
      <c r="MQ120" s="43"/>
      <c r="MR120" s="43"/>
      <c r="MS120" s="43"/>
      <c r="MT120" s="43"/>
      <c r="MU120" s="43"/>
      <c r="MV120" s="43"/>
      <c r="MW120" s="43"/>
      <c r="MX120" s="43"/>
      <c r="MY120" s="43"/>
      <c r="MZ120" s="43"/>
      <c r="NA120" s="43"/>
      <c r="NB120" s="43"/>
      <c r="NC120" s="43"/>
      <c r="ND120" s="43"/>
      <c r="NE120" s="43"/>
      <c r="NF120" s="43"/>
      <c r="NG120" s="43"/>
      <c r="NH120" s="43"/>
      <c r="NI120" s="43"/>
      <c r="NJ120" s="43"/>
      <c r="NK120" s="43"/>
      <c r="NL120" s="43"/>
      <c r="NM120" s="43"/>
      <c r="NN120" s="43"/>
      <c r="NO120" s="43"/>
      <c r="NP120" s="43"/>
      <c r="NQ120" s="43"/>
      <c r="NR120" s="43"/>
      <c r="NS120" s="43"/>
      <c r="NT120" s="43"/>
      <c r="NU120" s="43"/>
      <c r="NV120" s="43"/>
      <c r="NW120" s="43"/>
      <c r="NX120" s="43"/>
      <c r="NY120" s="43"/>
      <c r="NZ120" s="43"/>
      <c r="OA120" s="43"/>
      <c r="OB120" s="43"/>
      <c r="OC120" s="43"/>
      <c r="OD120" s="43"/>
      <c r="OE120" s="43"/>
      <c r="OF120" s="43"/>
      <c r="OG120" s="43"/>
      <c r="OH120" s="43"/>
      <c r="OI120" s="43"/>
      <c r="OJ120" s="43"/>
      <c r="OK120" s="43"/>
      <c r="OL120" s="43"/>
      <c r="OM120" s="43"/>
      <c r="ON120" s="43"/>
      <c r="OO120" s="43"/>
      <c r="OP120" s="43"/>
      <c r="OQ120" s="43"/>
      <c r="OR120" s="43"/>
      <c r="OS120" s="43"/>
      <c r="OT120" s="43"/>
      <c r="OU120" s="43"/>
      <c r="OV120" s="43"/>
      <c r="OW120" s="43"/>
      <c r="OX120" s="43"/>
      <c r="OY120" s="43"/>
      <c r="OZ120" s="43"/>
      <c r="PA120" s="43"/>
      <c r="PB120" s="43"/>
      <c r="PC120" s="43"/>
      <c r="PD120" s="43"/>
      <c r="PE120" s="43"/>
      <c r="PF120" s="43"/>
      <c r="PG120" s="43"/>
      <c r="PH120" s="43"/>
      <c r="PI120" s="43"/>
      <c r="PJ120" s="43"/>
      <c r="PK120" s="43"/>
      <c r="PL120" s="43"/>
      <c r="PM120" s="43"/>
      <c r="PN120" s="43"/>
      <c r="PO120" s="43"/>
      <c r="PP120" s="43"/>
      <c r="PQ120" s="43"/>
      <c r="PR120" s="43"/>
      <c r="PS120" s="43"/>
      <c r="PT120" s="43"/>
      <c r="PU120" s="43"/>
      <c r="PV120" s="43"/>
      <c r="PW120" s="43"/>
      <c r="PX120" s="43"/>
      <c r="PY120" s="43"/>
      <c r="PZ120" s="43"/>
      <c r="QA120" s="43"/>
      <c r="QB120" s="43"/>
      <c r="QC120" s="43"/>
    </row>
    <row r="121" spans="1:445" s="50" customFormat="1" x14ac:dyDescent="0.3">
      <c r="A121" s="47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 t="str">
        <f t="shared" si="11"/>
        <v/>
      </c>
      <c r="U121" s="45" t="str">
        <f t="shared" si="12"/>
        <v/>
      </c>
      <c r="V121" s="68" t="str">
        <f t="shared" si="13"/>
        <v/>
      </c>
      <c r="W121" s="48"/>
      <c r="X121" s="66" t="str">
        <f t="shared" si="14"/>
        <v/>
      </c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43"/>
      <c r="BN121" s="43"/>
      <c r="BO121" s="43"/>
      <c r="BP121" s="43"/>
      <c r="BQ121" s="43"/>
      <c r="BR121" s="43"/>
      <c r="BS121" s="43"/>
      <c r="BT121" s="43"/>
      <c r="BU121" s="43"/>
      <c r="BV121" s="43"/>
      <c r="BW121" s="43"/>
      <c r="BX121" s="43"/>
      <c r="BY121" s="43"/>
      <c r="BZ121" s="43"/>
      <c r="CA121" s="43"/>
      <c r="CB121" s="43"/>
      <c r="CC121" s="43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43"/>
      <c r="CY121" s="43"/>
      <c r="CZ121" s="43"/>
      <c r="DA121" s="43"/>
      <c r="DB121" s="43"/>
      <c r="DC121" s="43"/>
      <c r="DD121" s="43"/>
      <c r="DE121" s="43"/>
      <c r="DF121" s="43"/>
      <c r="DG121" s="43"/>
      <c r="DH121" s="43"/>
      <c r="DI121" s="43"/>
      <c r="DJ121" s="43"/>
      <c r="DK121" s="43"/>
      <c r="DL121" s="43"/>
      <c r="DM121" s="43"/>
      <c r="DN121" s="43"/>
      <c r="DO121" s="43"/>
      <c r="DP121" s="43"/>
      <c r="DQ121" s="43"/>
      <c r="DR121" s="43"/>
      <c r="DS121" s="43"/>
      <c r="DT121" s="43"/>
      <c r="DU121" s="43"/>
      <c r="DV121" s="43"/>
      <c r="DW121" s="43"/>
      <c r="DX121" s="43"/>
      <c r="DY121" s="43"/>
      <c r="DZ121" s="43"/>
      <c r="EA121" s="43"/>
      <c r="EB121" s="43"/>
      <c r="EC121" s="43"/>
      <c r="ED121" s="43"/>
      <c r="EE121" s="43"/>
      <c r="EF121" s="43"/>
      <c r="EG121" s="43"/>
      <c r="EH121" s="43"/>
      <c r="EI121" s="43"/>
      <c r="EJ121" s="43"/>
      <c r="EK121" s="43"/>
      <c r="EL121" s="43"/>
      <c r="EM121" s="43"/>
      <c r="EN121" s="43"/>
      <c r="EO121" s="43"/>
      <c r="EP121" s="43"/>
      <c r="EQ121" s="43"/>
      <c r="ER121" s="43"/>
      <c r="ES121" s="43"/>
      <c r="ET121" s="43"/>
      <c r="EU121" s="43"/>
      <c r="EV121" s="43"/>
      <c r="EW121" s="43"/>
      <c r="EX121" s="43"/>
      <c r="EY121" s="43"/>
      <c r="EZ121" s="43"/>
      <c r="FA121" s="43"/>
      <c r="FB121" s="43"/>
      <c r="FC121" s="43"/>
      <c r="FD121" s="43"/>
      <c r="FE121" s="43"/>
      <c r="FF121" s="43"/>
      <c r="FG121" s="43"/>
      <c r="FH121" s="43"/>
      <c r="FI121" s="43"/>
      <c r="FJ121" s="43"/>
      <c r="FK121" s="43"/>
      <c r="FL121" s="43"/>
      <c r="FM121" s="43"/>
      <c r="FN121" s="43"/>
      <c r="FO121" s="43"/>
      <c r="FP121" s="43"/>
      <c r="FQ121" s="43"/>
      <c r="FR121" s="43"/>
      <c r="FS121" s="43"/>
      <c r="FT121" s="43"/>
      <c r="FU121" s="43"/>
      <c r="FV121" s="43"/>
      <c r="FW121" s="43"/>
      <c r="FX121" s="43"/>
      <c r="FY121" s="43"/>
      <c r="FZ121" s="43"/>
      <c r="GA121" s="43"/>
      <c r="GB121" s="43"/>
      <c r="GC121" s="43"/>
      <c r="GD121" s="43"/>
      <c r="GE121" s="43"/>
      <c r="GF121" s="43"/>
      <c r="GG121" s="43"/>
      <c r="GH121" s="43"/>
      <c r="GI121" s="43"/>
      <c r="GJ121" s="43"/>
      <c r="GK121" s="43"/>
      <c r="GL121" s="43"/>
      <c r="GM121" s="43"/>
      <c r="GN121" s="43"/>
      <c r="GO121" s="43"/>
      <c r="GP121" s="43"/>
      <c r="GQ121" s="43"/>
      <c r="GR121" s="43"/>
      <c r="GS121" s="43"/>
      <c r="GT121" s="43"/>
      <c r="GU121" s="43"/>
      <c r="GV121" s="43"/>
      <c r="GW121" s="43"/>
      <c r="GX121" s="43"/>
      <c r="GY121" s="43"/>
      <c r="GZ121" s="43"/>
      <c r="HA121" s="43"/>
      <c r="HB121" s="43"/>
      <c r="HC121" s="43"/>
      <c r="HD121" s="43"/>
      <c r="HE121" s="43"/>
      <c r="HF121" s="43"/>
      <c r="HG121" s="43"/>
      <c r="HH121" s="43"/>
      <c r="HI121" s="43"/>
      <c r="HJ121" s="43"/>
      <c r="HK121" s="43"/>
      <c r="HL121" s="43"/>
      <c r="HM121" s="43"/>
      <c r="HN121" s="43"/>
      <c r="HO121" s="43"/>
      <c r="HP121" s="43"/>
      <c r="HQ121" s="43"/>
      <c r="HR121" s="43"/>
      <c r="HS121" s="43"/>
      <c r="HT121" s="43"/>
      <c r="HU121" s="43"/>
      <c r="HV121" s="43"/>
      <c r="HW121" s="43"/>
      <c r="HX121" s="43"/>
      <c r="HY121" s="43"/>
      <c r="HZ121" s="43"/>
      <c r="IA121" s="43"/>
      <c r="IB121" s="43"/>
      <c r="IC121" s="43"/>
      <c r="ID121" s="43"/>
      <c r="IE121" s="43"/>
      <c r="IF121" s="43"/>
      <c r="IG121" s="43"/>
      <c r="IH121" s="43"/>
      <c r="II121" s="43"/>
      <c r="IJ121" s="43"/>
      <c r="IK121" s="43"/>
      <c r="IL121" s="43"/>
      <c r="IM121" s="43"/>
      <c r="IN121" s="43"/>
      <c r="IO121" s="43"/>
      <c r="IP121" s="43"/>
      <c r="IQ121" s="43"/>
      <c r="IR121" s="43"/>
      <c r="IS121" s="43"/>
      <c r="IT121" s="43"/>
      <c r="IU121" s="43"/>
      <c r="IV121" s="43"/>
      <c r="IW121" s="43"/>
      <c r="IX121" s="43"/>
      <c r="IY121" s="43"/>
      <c r="IZ121" s="43"/>
      <c r="JA121" s="43"/>
      <c r="JB121" s="43"/>
      <c r="JC121" s="43"/>
      <c r="JD121" s="43"/>
      <c r="JE121" s="43"/>
      <c r="JF121" s="43"/>
      <c r="JG121" s="43"/>
      <c r="JH121" s="43"/>
      <c r="JI121" s="43"/>
      <c r="JJ121" s="43"/>
      <c r="JK121" s="43"/>
      <c r="JL121" s="43"/>
      <c r="JM121" s="43"/>
      <c r="JN121" s="43"/>
      <c r="JO121" s="43"/>
      <c r="JP121" s="43"/>
      <c r="JQ121" s="43"/>
      <c r="JR121" s="43"/>
      <c r="JS121" s="43"/>
      <c r="JT121" s="43"/>
      <c r="JU121" s="43"/>
      <c r="JV121" s="43"/>
      <c r="JW121" s="43"/>
      <c r="JX121" s="43"/>
      <c r="JY121" s="43"/>
      <c r="JZ121" s="43"/>
      <c r="KA121" s="43"/>
      <c r="KB121" s="43"/>
      <c r="KC121" s="43"/>
      <c r="KD121" s="43"/>
      <c r="KE121" s="43"/>
      <c r="KF121" s="43"/>
      <c r="KG121" s="43"/>
      <c r="KH121" s="43"/>
      <c r="KI121" s="43"/>
      <c r="KJ121" s="43"/>
      <c r="KK121" s="43"/>
      <c r="KL121" s="43"/>
      <c r="KM121" s="43"/>
      <c r="KN121" s="43"/>
      <c r="KO121" s="43"/>
      <c r="KP121" s="43"/>
      <c r="KQ121" s="43"/>
      <c r="KR121" s="43"/>
      <c r="KS121" s="43"/>
      <c r="KT121" s="43"/>
      <c r="KU121" s="43"/>
      <c r="KV121" s="43"/>
      <c r="KW121" s="43"/>
      <c r="KX121" s="43"/>
      <c r="KY121" s="43"/>
      <c r="KZ121" s="43"/>
      <c r="LA121" s="43"/>
      <c r="LB121" s="43"/>
      <c r="LC121" s="43"/>
      <c r="LD121" s="43"/>
      <c r="LE121" s="43"/>
      <c r="LF121" s="43"/>
      <c r="LG121" s="43"/>
      <c r="LH121" s="43"/>
      <c r="LI121" s="43"/>
      <c r="LJ121" s="43"/>
      <c r="LK121" s="43"/>
      <c r="LL121" s="43"/>
      <c r="LM121" s="43"/>
      <c r="LN121" s="43"/>
      <c r="LO121" s="43"/>
      <c r="LP121" s="43"/>
      <c r="LQ121" s="43"/>
      <c r="LR121" s="43"/>
      <c r="LS121" s="43"/>
      <c r="LT121" s="43"/>
      <c r="LU121" s="43"/>
      <c r="LV121" s="43"/>
      <c r="LW121" s="43"/>
      <c r="LX121" s="43"/>
      <c r="LY121" s="43"/>
      <c r="LZ121" s="43"/>
      <c r="MA121" s="43"/>
      <c r="MB121" s="43"/>
      <c r="MC121" s="43"/>
      <c r="MD121" s="43"/>
      <c r="ME121" s="43"/>
      <c r="MF121" s="43"/>
      <c r="MG121" s="43"/>
      <c r="MH121" s="43"/>
      <c r="MI121" s="43"/>
      <c r="MJ121" s="43"/>
      <c r="MK121" s="43"/>
      <c r="ML121" s="43"/>
      <c r="MM121" s="43"/>
      <c r="MN121" s="43"/>
      <c r="MO121" s="43"/>
      <c r="MP121" s="43"/>
      <c r="MQ121" s="43"/>
      <c r="MR121" s="43"/>
      <c r="MS121" s="43"/>
      <c r="MT121" s="43"/>
      <c r="MU121" s="43"/>
      <c r="MV121" s="43"/>
      <c r="MW121" s="43"/>
      <c r="MX121" s="43"/>
      <c r="MY121" s="43"/>
      <c r="MZ121" s="43"/>
      <c r="NA121" s="43"/>
      <c r="NB121" s="43"/>
      <c r="NC121" s="43"/>
      <c r="ND121" s="43"/>
      <c r="NE121" s="43"/>
      <c r="NF121" s="43"/>
      <c r="NG121" s="43"/>
      <c r="NH121" s="43"/>
      <c r="NI121" s="43"/>
      <c r="NJ121" s="43"/>
      <c r="NK121" s="43"/>
      <c r="NL121" s="43"/>
      <c r="NM121" s="43"/>
      <c r="NN121" s="43"/>
      <c r="NO121" s="43"/>
      <c r="NP121" s="43"/>
      <c r="NQ121" s="43"/>
      <c r="NR121" s="43"/>
      <c r="NS121" s="43"/>
      <c r="NT121" s="43"/>
      <c r="NU121" s="43"/>
      <c r="NV121" s="43"/>
      <c r="NW121" s="43"/>
      <c r="NX121" s="43"/>
      <c r="NY121" s="43"/>
      <c r="NZ121" s="43"/>
      <c r="OA121" s="43"/>
      <c r="OB121" s="43"/>
      <c r="OC121" s="43"/>
      <c r="OD121" s="43"/>
      <c r="OE121" s="43"/>
      <c r="OF121" s="43"/>
      <c r="OG121" s="43"/>
      <c r="OH121" s="43"/>
      <c r="OI121" s="43"/>
      <c r="OJ121" s="43"/>
      <c r="OK121" s="43"/>
      <c r="OL121" s="43"/>
      <c r="OM121" s="43"/>
      <c r="ON121" s="43"/>
      <c r="OO121" s="43"/>
      <c r="OP121" s="43"/>
      <c r="OQ121" s="43"/>
      <c r="OR121" s="43"/>
      <c r="OS121" s="43"/>
      <c r="OT121" s="43"/>
      <c r="OU121" s="43"/>
      <c r="OV121" s="43"/>
      <c r="OW121" s="43"/>
      <c r="OX121" s="43"/>
      <c r="OY121" s="43"/>
      <c r="OZ121" s="43"/>
      <c r="PA121" s="43"/>
      <c r="PB121" s="43"/>
      <c r="PC121" s="43"/>
      <c r="PD121" s="43"/>
      <c r="PE121" s="43"/>
      <c r="PF121" s="43"/>
      <c r="PG121" s="43"/>
      <c r="PH121" s="43"/>
      <c r="PI121" s="43"/>
      <c r="PJ121" s="43"/>
      <c r="PK121" s="43"/>
      <c r="PL121" s="43"/>
      <c r="PM121" s="43"/>
      <c r="PN121" s="43"/>
      <c r="PO121" s="43"/>
      <c r="PP121" s="43"/>
      <c r="PQ121" s="43"/>
      <c r="PR121" s="43"/>
      <c r="PS121" s="43"/>
      <c r="PT121" s="43"/>
      <c r="PU121" s="43"/>
      <c r="PV121" s="43"/>
      <c r="PW121" s="43"/>
      <c r="PX121" s="43"/>
      <c r="PY121" s="43"/>
      <c r="PZ121" s="43"/>
      <c r="QA121" s="43"/>
      <c r="QB121" s="43"/>
      <c r="QC121" s="43"/>
    </row>
    <row r="122" spans="1:445" x14ac:dyDescent="0.3"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 t="str">
        <f t="shared" si="11"/>
        <v/>
      </c>
      <c r="U122" s="45" t="str">
        <f t="shared" si="12"/>
        <v/>
      </c>
      <c r="V122" s="68" t="str">
        <f t="shared" si="13"/>
        <v/>
      </c>
      <c r="W122" s="48"/>
      <c r="X122" s="66" t="str">
        <f t="shared" si="14"/>
        <v/>
      </c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43"/>
      <c r="BN122" s="43"/>
      <c r="BO122" s="43"/>
      <c r="BP122" s="43"/>
      <c r="BQ122" s="43"/>
      <c r="BR122" s="43"/>
      <c r="BS122" s="43"/>
      <c r="BT122" s="43"/>
      <c r="BU122" s="43"/>
      <c r="BV122" s="43"/>
      <c r="BW122" s="43"/>
      <c r="BX122" s="43"/>
      <c r="BY122" s="43"/>
      <c r="BZ122" s="43"/>
      <c r="CA122" s="43"/>
      <c r="CB122" s="43"/>
      <c r="CC122" s="43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43"/>
      <c r="CY122" s="43"/>
      <c r="CZ122" s="43"/>
      <c r="DA122" s="43"/>
      <c r="DB122" s="43"/>
      <c r="DC122" s="43"/>
      <c r="DD122" s="43"/>
      <c r="DE122" s="43"/>
      <c r="DF122" s="43"/>
      <c r="DG122" s="43"/>
      <c r="DH122" s="43"/>
      <c r="DI122" s="43"/>
      <c r="DJ122" s="43"/>
      <c r="DK122" s="43"/>
      <c r="DL122" s="43"/>
      <c r="DM122" s="43"/>
      <c r="DN122" s="43"/>
      <c r="DO122" s="43"/>
      <c r="DP122" s="43"/>
      <c r="DQ122" s="43"/>
      <c r="DR122" s="43"/>
      <c r="DS122" s="43"/>
      <c r="DT122" s="43"/>
      <c r="DU122" s="43"/>
      <c r="DV122" s="43"/>
      <c r="DW122" s="43"/>
      <c r="DX122" s="43"/>
      <c r="DY122" s="43"/>
      <c r="DZ122" s="43"/>
      <c r="EA122" s="43"/>
      <c r="EB122" s="43"/>
      <c r="EC122" s="43"/>
      <c r="ED122" s="43"/>
      <c r="EE122" s="43"/>
      <c r="EF122" s="43"/>
      <c r="EG122" s="43"/>
      <c r="EH122" s="43"/>
      <c r="EI122" s="43"/>
      <c r="EJ122" s="43"/>
      <c r="EK122" s="43"/>
      <c r="EL122" s="43"/>
      <c r="EM122" s="43"/>
      <c r="EN122" s="43"/>
      <c r="EO122" s="43"/>
      <c r="EP122" s="43"/>
      <c r="EQ122" s="43"/>
      <c r="ER122" s="43"/>
      <c r="ES122" s="43"/>
      <c r="ET122" s="43"/>
      <c r="EU122" s="43"/>
      <c r="EV122" s="43"/>
      <c r="EW122" s="43"/>
      <c r="EX122" s="43"/>
      <c r="EY122" s="43"/>
      <c r="EZ122" s="43"/>
      <c r="FA122" s="43"/>
      <c r="FB122" s="43"/>
      <c r="FC122" s="43"/>
      <c r="FD122" s="43"/>
      <c r="FE122" s="43"/>
      <c r="FF122" s="43"/>
      <c r="FG122" s="43"/>
      <c r="FH122" s="43"/>
      <c r="FI122" s="43"/>
      <c r="FJ122" s="43"/>
      <c r="FK122" s="43"/>
      <c r="FL122" s="43"/>
      <c r="FM122" s="43"/>
      <c r="FN122" s="43"/>
      <c r="FO122" s="43"/>
      <c r="FP122" s="43"/>
      <c r="FQ122" s="43"/>
      <c r="FR122" s="43"/>
      <c r="FS122" s="43"/>
      <c r="FT122" s="43"/>
      <c r="FU122" s="43"/>
      <c r="FV122" s="43"/>
      <c r="FW122" s="43"/>
      <c r="FX122" s="43"/>
      <c r="FY122" s="43"/>
      <c r="FZ122" s="43"/>
      <c r="GA122" s="43"/>
      <c r="GB122" s="43"/>
      <c r="GC122" s="43"/>
      <c r="GD122" s="43"/>
      <c r="GE122" s="43"/>
      <c r="GF122" s="43"/>
      <c r="GG122" s="43"/>
      <c r="GH122" s="43"/>
      <c r="GI122" s="43"/>
      <c r="GJ122" s="43"/>
      <c r="GK122" s="43"/>
      <c r="GL122" s="43"/>
      <c r="GM122" s="43"/>
      <c r="GN122" s="43"/>
      <c r="GO122" s="43"/>
      <c r="GP122" s="43"/>
      <c r="GQ122" s="43"/>
      <c r="GR122" s="43"/>
      <c r="GS122" s="43"/>
      <c r="GT122" s="43"/>
      <c r="GU122" s="43"/>
      <c r="GV122" s="43"/>
      <c r="GW122" s="43"/>
      <c r="GX122" s="43"/>
      <c r="GY122" s="43"/>
      <c r="GZ122" s="43"/>
      <c r="HA122" s="43"/>
      <c r="HB122" s="43"/>
      <c r="HC122" s="43"/>
      <c r="HD122" s="43"/>
      <c r="HE122" s="43"/>
      <c r="HF122" s="43"/>
      <c r="HG122" s="43"/>
      <c r="HH122" s="43"/>
      <c r="HI122" s="43"/>
      <c r="HJ122" s="43"/>
      <c r="HK122" s="43"/>
      <c r="HL122" s="43"/>
      <c r="HM122" s="43"/>
      <c r="HN122" s="43"/>
      <c r="HO122" s="43"/>
      <c r="HP122" s="43"/>
      <c r="HQ122" s="43"/>
      <c r="HR122" s="43"/>
      <c r="HS122" s="43"/>
      <c r="HT122" s="43"/>
      <c r="HU122" s="43"/>
      <c r="HV122" s="43"/>
      <c r="HW122" s="43"/>
      <c r="HX122" s="43"/>
      <c r="HY122" s="43"/>
      <c r="HZ122" s="43"/>
      <c r="IA122" s="43"/>
      <c r="IB122" s="43"/>
      <c r="IC122" s="43"/>
      <c r="ID122" s="43"/>
      <c r="IE122" s="43"/>
      <c r="IF122" s="43"/>
      <c r="IG122" s="43"/>
      <c r="IH122" s="43"/>
      <c r="II122" s="43"/>
      <c r="IJ122" s="43"/>
      <c r="IK122" s="43"/>
      <c r="IL122" s="43"/>
      <c r="IM122" s="43"/>
      <c r="IN122" s="43"/>
      <c r="IO122" s="43"/>
      <c r="IP122" s="43"/>
      <c r="IQ122" s="43"/>
      <c r="IR122" s="43"/>
      <c r="IS122" s="43"/>
      <c r="IT122" s="43"/>
      <c r="IU122" s="43"/>
      <c r="IV122" s="43"/>
      <c r="IW122" s="43"/>
      <c r="IX122" s="43"/>
      <c r="IY122" s="43"/>
      <c r="IZ122" s="43"/>
      <c r="JA122" s="43"/>
      <c r="JB122" s="43"/>
      <c r="JC122" s="43"/>
      <c r="JD122" s="43"/>
      <c r="JE122" s="43"/>
      <c r="JF122" s="43"/>
      <c r="JG122" s="43"/>
      <c r="JH122" s="43"/>
      <c r="JI122" s="43"/>
      <c r="JJ122" s="43"/>
      <c r="JK122" s="43"/>
      <c r="JL122" s="43"/>
      <c r="JM122" s="43"/>
      <c r="JN122" s="43"/>
      <c r="JO122" s="43"/>
      <c r="JP122" s="43"/>
      <c r="JQ122" s="43"/>
      <c r="JR122" s="43"/>
      <c r="JS122" s="43"/>
      <c r="JT122" s="43"/>
      <c r="JU122" s="43"/>
      <c r="JV122" s="43"/>
      <c r="JW122" s="43"/>
      <c r="JX122" s="43"/>
      <c r="JY122" s="43"/>
      <c r="JZ122" s="43"/>
      <c r="KA122" s="43"/>
      <c r="KB122" s="43"/>
      <c r="KC122" s="43"/>
      <c r="KD122" s="43"/>
      <c r="KE122" s="43"/>
      <c r="KF122" s="43"/>
      <c r="KG122" s="43"/>
      <c r="KH122" s="43"/>
      <c r="KI122" s="43"/>
      <c r="KJ122" s="43"/>
      <c r="KK122" s="43"/>
      <c r="KL122" s="43"/>
      <c r="KM122" s="43"/>
      <c r="KN122" s="43"/>
      <c r="KO122" s="43"/>
      <c r="KP122" s="43"/>
      <c r="KQ122" s="43"/>
      <c r="KR122" s="43"/>
      <c r="KS122" s="43"/>
      <c r="KT122" s="43"/>
      <c r="KU122" s="43"/>
      <c r="KV122" s="43"/>
      <c r="KW122" s="43"/>
      <c r="KX122" s="43"/>
      <c r="KY122" s="43"/>
      <c r="KZ122" s="43"/>
      <c r="LA122" s="43"/>
      <c r="LB122" s="43"/>
      <c r="LC122" s="43"/>
      <c r="LD122" s="43"/>
      <c r="LE122" s="43"/>
      <c r="LF122" s="43"/>
      <c r="LG122" s="43"/>
      <c r="LH122" s="43"/>
      <c r="LI122" s="43"/>
      <c r="LJ122" s="43"/>
      <c r="LK122" s="43"/>
      <c r="LL122" s="43"/>
      <c r="LM122" s="43"/>
      <c r="LN122" s="43"/>
      <c r="LO122" s="43"/>
      <c r="LP122" s="43"/>
      <c r="LQ122" s="43"/>
      <c r="LR122" s="43"/>
      <c r="LS122" s="43"/>
      <c r="LT122" s="43"/>
      <c r="LU122" s="43"/>
      <c r="LV122" s="43"/>
      <c r="LW122" s="43"/>
      <c r="LX122" s="43"/>
      <c r="LY122" s="43"/>
      <c r="LZ122" s="43"/>
      <c r="MA122" s="43"/>
      <c r="MB122" s="43"/>
      <c r="MC122" s="43"/>
      <c r="MD122" s="43"/>
      <c r="ME122" s="43"/>
      <c r="MF122" s="43"/>
      <c r="MG122" s="43"/>
      <c r="MH122" s="43"/>
      <c r="MI122" s="43"/>
      <c r="MJ122" s="43"/>
      <c r="MK122" s="43"/>
      <c r="ML122" s="43"/>
      <c r="MM122" s="43"/>
      <c r="MN122" s="43"/>
      <c r="MO122" s="43"/>
      <c r="MP122" s="43"/>
      <c r="MQ122" s="43"/>
      <c r="MR122" s="43"/>
      <c r="MS122" s="43"/>
      <c r="MT122" s="43"/>
      <c r="MU122" s="43"/>
      <c r="MV122" s="43"/>
      <c r="MW122" s="43"/>
      <c r="MX122" s="43"/>
      <c r="MY122" s="43"/>
      <c r="MZ122" s="43"/>
      <c r="NA122" s="43"/>
      <c r="NB122" s="43"/>
      <c r="NC122" s="43"/>
      <c r="ND122" s="43"/>
      <c r="NE122" s="43"/>
      <c r="NF122" s="43"/>
      <c r="NG122" s="43"/>
      <c r="NH122" s="43"/>
      <c r="NI122" s="43"/>
      <c r="NJ122" s="43"/>
      <c r="NK122" s="43"/>
      <c r="NL122" s="43"/>
      <c r="NM122" s="43"/>
      <c r="NN122" s="43"/>
      <c r="NO122" s="43"/>
      <c r="NP122" s="43"/>
      <c r="NQ122" s="43"/>
      <c r="NR122" s="43"/>
      <c r="NS122" s="43"/>
      <c r="NT122" s="43"/>
      <c r="NU122" s="43"/>
      <c r="NV122" s="43"/>
      <c r="NW122" s="43"/>
      <c r="NX122" s="43"/>
      <c r="NY122" s="43"/>
      <c r="NZ122" s="43"/>
      <c r="OA122" s="43"/>
      <c r="OB122" s="43"/>
      <c r="OC122" s="43"/>
      <c r="OD122" s="43"/>
      <c r="OE122" s="43"/>
      <c r="OF122" s="43"/>
      <c r="OG122" s="43"/>
      <c r="OH122" s="43"/>
      <c r="OI122" s="43"/>
      <c r="OJ122" s="43"/>
      <c r="OK122" s="43"/>
      <c r="OL122" s="43"/>
      <c r="OM122" s="43"/>
      <c r="ON122" s="43"/>
      <c r="OO122" s="43"/>
      <c r="OP122" s="43"/>
      <c r="OQ122" s="43"/>
      <c r="OR122" s="43"/>
      <c r="OS122" s="43"/>
      <c r="OT122" s="43"/>
      <c r="OU122" s="43"/>
      <c r="OV122" s="43"/>
      <c r="OW122" s="43"/>
      <c r="OX122" s="43"/>
      <c r="OY122" s="43"/>
      <c r="OZ122" s="43"/>
      <c r="PA122" s="43"/>
      <c r="PB122" s="43"/>
      <c r="PC122" s="43"/>
      <c r="PD122" s="43"/>
      <c r="PE122" s="43"/>
      <c r="PF122" s="43"/>
      <c r="PG122" s="43"/>
      <c r="PH122" s="43"/>
      <c r="PI122" s="43"/>
      <c r="PJ122" s="43"/>
      <c r="PK122" s="43"/>
      <c r="PL122" s="43"/>
      <c r="PM122" s="43"/>
      <c r="PN122" s="43"/>
      <c r="PO122" s="43"/>
      <c r="PP122" s="43"/>
      <c r="PQ122" s="43"/>
      <c r="PR122" s="43"/>
      <c r="PS122" s="43"/>
      <c r="PT122" s="43"/>
      <c r="PU122" s="43"/>
      <c r="PV122" s="43"/>
      <c r="PW122" s="43"/>
      <c r="PX122" s="43"/>
      <c r="PY122" s="43"/>
      <c r="PZ122" s="43"/>
      <c r="QA122" s="43"/>
      <c r="QB122" s="43"/>
      <c r="QC122" s="43"/>
    </row>
    <row r="123" spans="1:445" x14ac:dyDescent="0.3"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 t="str">
        <f t="shared" si="11"/>
        <v/>
      </c>
      <c r="U123" s="45" t="str">
        <f t="shared" si="12"/>
        <v/>
      </c>
      <c r="V123" s="68" t="str">
        <f t="shared" si="13"/>
        <v/>
      </c>
      <c r="W123" s="48"/>
      <c r="X123" s="66" t="str">
        <f t="shared" si="14"/>
        <v/>
      </c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43"/>
      <c r="BN123" s="43"/>
      <c r="BO123" s="43"/>
      <c r="BP123" s="43"/>
      <c r="BQ123" s="43"/>
      <c r="BR123" s="43"/>
      <c r="BS123" s="43"/>
      <c r="BT123" s="43"/>
      <c r="BU123" s="43"/>
      <c r="BV123" s="43"/>
      <c r="BW123" s="43"/>
      <c r="BX123" s="43"/>
      <c r="BY123" s="43"/>
      <c r="BZ123" s="43"/>
      <c r="CA123" s="43"/>
      <c r="CB123" s="43"/>
      <c r="CC123" s="4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43"/>
      <c r="CY123" s="43"/>
      <c r="CZ123" s="43"/>
      <c r="DA123" s="43"/>
      <c r="DB123" s="43"/>
      <c r="DC123" s="43"/>
      <c r="DD123" s="43"/>
      <c r="DE123" s="43"/>
      <c r="DF123" s="43"/>
      <c r="DG123" s="43"/>
      <c r="DH123" s="43"/>
      <c r="DI123" s="43"/>
      <c r="DJ123" s="43"/>
      <c r="DK123" s="43"/>
      <c r="DL123" s="43"/>
      <c r="DM123" s="43"/>
      <c r="DN123" s="43"/>
      <c r="DO123" s="43"/>
      <c r="DP123" s="43"/>
      <c r="DQ123" s="43"/>
      <c r="DR123" s="43"/>
      <c r="DS123" s="43"/>
      <c r="DT123" s="43"/>
      <c r="DU123" s="43"/>
      <c r="DV123" s="43"/>
      <c r="DW123" s="43"/>
      <c r="DX123" s="43"/>
      <c r="DY123" s="43"/>
      <c r="DZ123" s="43"/>
      <c r="EA123" s="43"/>
      <c r="EB123" s="43"/>
      <c r="EC123" s="43"/>
      <c r="ED123" s="43"/>
      <c r="EE123" s="43"/>
      <c r="EF123" s="43"/>
      <c r="EG123" s="43"/>
      <c r="EH123" s="43"/>
      <c r="EI123" s="43"/>
      <c r="EJ123" s="43"/>
      <c r="EK123" s="43"/>
      <c r="EL123" s="43"/>
      <c r="EM123" s="43"/>
      <c r="EN123" s="43"/>
      <c r="EO123" s="43"/>
      <c r="EP123" s="43"/>
      <c r="EQ123" s="43"/>
      <c r="ER123" s="43"/>
      <c r="ES123" s="43"/>
      <c r="ET123" s="43"/>
      <c r="EU123" s="43"/>
      <c r="EV123" s="43"/>
      <c r="EW123" s="43"/>
      <c r="EX123" s="43"/>
      <c r="EY123" s="43"/>
      <c r="EZ123" s="43"/>
      <c r="FA123" s="43"/>
      <c r="FB123" s="43"/>
      <c r="FC123" s="43"/>
      <c r="FD123" s="43"/>
      <c r="FE123" s="43"/>
      <c r="FF123" s="43"/>
      <c r="FG123" s="43"/>
      <c r="FH123" s="43"/>
      <c r="FI123" s="43"/>
      <c r="FJ123" s="43"/>
      <c r="FK123" s="43"/>
      <c r="FL123" s="43"/>
      <c r="FM123" s="43"/>
      <c r="FN123" s="43"/>
      <c r="FO123" s="43"/>
      <c r="FP123" s="43"/>
      <c r="FQ123" s="43"/>
      <c r="FR123" s="43"/>
      <c r="FS123" s="43"/>
      <c r="FT123" s="43"/>
      <c r="FU123" s="43"/>
      <c r="FV123" s="43"/>
      <c r="FW123" s="43"/>
      <c r="FX123" s="43"/>
      <c r="FY123" s="43"/>
      <c r="FZ123" s="43"/>
      <c r="GA123" s="43"/>
      <c r="GB123" s="43"/>
      <c r="GC123" s="43"/>
      <c r="GD123" s="43"/>
      <c r="GE123" s="43"/>
      <c r="GF123" s="43"/>
      <c r="GG123" s="43"/>
      <c r="GH123" s="43"/>
      <c r="GI123" s="43"/>
      <c r="GJ123" s="43"/>
      <c r="GK123" s="43"/>
      <c r="GL123" s="43"/>
      <c r="GM123" s="43"/>
      <c r="GN123" s="43"/>
      <c r="GO123" s="43"/>
      <c r="GP123" s="43"/>
      <c r="GQ123" s="43"/>
      <c r="GR123" s="43"/>
      <c r="GS123" s="43"/>
      <c r="GT123" s="43"/>
      <c r="GU123" s="43"/>
      <c r="GV123" s="43"/>
      <c r="GW123" s="43"/>
      <c r="GX123" s="43"/>
      <c r="GY123" s="43"/>
      <c r="GZ123" s="43"/>
      <c r="HA123" s="43"/>
      <c r="HB123" s="43"/>
      <c r="HC123" s="43"/>
      <c r="HD123" s="43"/>
      <c r="HE123" s="43"/>
      <c r="HF123" s="43"/>
      <c r="HG123" s="43"/>
      <c r="HH123" s="43"/>
      <c r="HI123" s="43"/>
      <c r="HJ123" s="43"/>
      <c r="HK123" s="43"/>
      <c r="HL123" s="43"/>
      <c r="HM123" s="43"/>
      <c r="HN123" s="43"/>
      <c r="HO123" s="43"/>
      <c r="HP123" s="43"/>
      <c r="HQ123" s="43"/>
      <c r="HR123" s="43"/>
      <c r="HS123" s="43"/>
      <c r="HT123" s="43"/>
      <c r="HU123" s="43"/>
      <c r="HV123" s="43"/>
      <c r="HW123" s="43"/>
      <c r="HX123" s="43"/>
      <c r="HY123" s="43"/>
      <c r="HZ123" s="43"/>
      <c r="IA123" s="43"/>
      <c r="IB123" s="43"/>
      <c r="IC123" s="43"/>
      <c r="ID123" s="43"/>
      <c r="IE123" s="43"/>
      <c r="IF123" s="43"/>
      <c r="IG123" s="43"/>
      <c r="IH123" s="43"/>
      <c r="II123" s="43"/>
      <c r="IJ123" s="43"/>
      <c r="IK123" s="43"/>
      <c r="IL123" s="43"/>
      <c r="IM123" s="43"/>
      <c r="IN123" s="43"/>
      <c r="IO123" s="43"/>
      <c r="IP123" s="43"/>
      <c r="IQ123" s="43"/>
      <c r="IR123" s="43"/>
      <c r="IS123" s="43"/>
      <c r="IT123" s="43"/>
      <c r="IU123" s="43"/>
      <c r="IV123" s="43"/>
      <c r="IW123" s="43"/>
      <c r="IX123" s="43"/>
      <c r="IY123" s="43"/>
      <c r="IZ123" s="43"/>
      <c r="JA123" s="43"/>
      <c r="JB123" s="43"/>
      <c r="JC123" s="43"/>
      <c r="JD123" s="43"/>
      <c r="JE123" s="43"/>
      <c r="JF123" s="43"/>
      <c r="JG123" s="43"/>
      <c r="JH123" s="43"/>
      <c r="JI123" s="43"/>
      <c r="JJ123" s="43"/>
      <c r="JK123" s="43"/>
      <c r="JL123" s="43"/>
      <c r="JM123" s="43"/>
      <c r="JN123" s="43"/>
      <c r="JO123" s="43"/>
      <c r="JP123" s="43"/>
      <c r="JQ123" s="43"/>
      <c r="JR123" s="43"/>
      <c r="JS123" s="43"/>
      <c r="JT123" s="43"/>
      <c r="JU123" s="43"/>
      <c r="JV123" s="43"/>
      <c r="JW123" s="43"/>
      <c r="JX123" s="43"/>
      <c r="JY123" s="43"/>
      <c r="JZ123" s="43"/>
      <c r="KA123" s="43"/>
      <c r="KB123" s="43"/>
      <c r="KC123" s="43"/>
      <c r="KD123" s="43"/>
      <c r="KE123" s="43"/>
      <c r="KF123" s="43"/>
      <c r="KG123" s="43"/>
      <c r="KH123" s="43"/>
      <c r="KI123" s="43"/>
      <c r="KJ123" s="43"/>
      <c r="KK123" s="43"/>
      <c r="KL123" s="43"/>
      <c r="KM123" s="43"/>
      <c r="KN123" s="43"/>
      <c r="KO123" s="43"/>
      <c r="KP123" s="43"/>
      <c r="KQ123" s="43"/>
      <c r="KR123" s="43"/>
      <c r="KS123" s="43"/>
      <c r="KT123" s="43"/>
      <c r="KU123" s="43"/>
      <c r="KV123" s="43"/>
      <c r="KW123" s="43"/>
      <c r="KX123" s="43"/>
      <c r="KY123" s="43"/>
      <c r="KZ123" s="43"/>
      <c r="LA123" s="43"/>
      <c r="LB123" s="43"/>
      <c r="LC123" s="43"/>
      <c r="LD123" s="43"/>
      <c r="LE123" s="43"/>
      <c r="LF123" s="43"/>
      <c r="LG123" s="43"/>
      <c r="LH123" s="43"/>
      <c r="LI123" s="43"/>
      <c r="LJ123" s="43"/>
      <c r="LK123" s="43"/>
      <c r="LL123" s="43"/>
      <c r="LM123" s="43"/>
      <c r="LN123" s="43"/>
      <c r="LO123" s="43"/>
      <c r="LP123" s="43"/>
      <c r="LQ123" s="43"/>
      <c r="LR123" s="43"/>
      <c r="LS123" s="43"/>
      <c r="LT123" s="43"/>
      <c r="LU123" s="43"/>
      <c r="LV123" s="43"/>
      <c r="LW123" s="43"/>
      <c r="LX123" s="43"/>
      <c r="LY123" s="43"/>
      <c r="LZ123" s="43"/>
      <c r="MA123" s="43"/>
      <c r="MB123" s="43"/>
      <c r="MC123" s="43"/>
      <c r="MD123" s="43"/>
      <c r="ME123" s="43"/>
      <c r="MF123" s="43"/>
      <c r="MG123" s="43"/>
      <c r="MH123" s="43"/>
      <c r="MI123" s="43"/>
      <c r="MJ123" s="43"/>
      <c r="MK123" s="43"/>
      <c r="ML123" s="43"/>
      <c r="MM123" s="43"/>
      <c r="MN123" s="43"/>
      <c r="MO123" s="43"/>
      <c r="MP123" s="43"/>
      <c r="MQ123" s="43"/>
      <c r="MR123" s="43"/>
      <c r="MS123" s="43"/>
      <c r="MT123" s="43"/>
      <c r="MU123" s="43"/>
      <c r="MV123" s="43"/>
      <c r="MW123" s="43"/>
      <c r="MX123" s="43"/>
      <c r="MY123" s="43"/>
      <c r="MZ123" s="43"/>
      <c r="NA123" s="43"/>
      <c r="NB123" s="43"/>
      <c r="NC123" s="43"/>
      <c r="ND123" s="43"/>
      <c r="NE123" s="43"/>
      <c r="NF123" s="43"/>
      <c r="NG123" s="43"/>
      <c r="NH123" s="43"/>
      <c r="NI123" s="43"/>
      <c r="NJ123" s="43"/>
      <c r="NK123" s="43"/>
      <c r="NL123" s="43"/>
      <c r="NM123" s="43"/>
      <c r="NN123" s="43"/>
      <c r="NO123" s="43"/>
      <c r="NP123" s="43"/>
      <c r="NQ123" s="43"/>
      <c r="NR123" s="43"/>
      <c r="NS123" s="43"/>
      <c r="NT123" s="43"/>
      <c r="NU123" s="43"/>
      <c r="NV123" s="43"/>
      <c r="NW123" s="43"/>
      <c r="NX123" s="43"/>
      <c r="NY123" s="43"/>
      <c r="NZ123" s="43"/>
      <c r="OA123" s="43"/>
      <c r="OB123" s="43"/>
      <c r="OC123" s="43"/>
      <c r="OD123" s="43"/>
      <c r="OE123" s="43"/>
      <c r="OF123" s="43"/>
      <c r="OG123" s="43"/>
      <c r="OH123" s="43"/>
      <c r="OI123" s="43"/>
      <c r="OJ123" s="43"/>
      <c r="OK123" s="43"/>
      <c r="OL123" s="43"/>
      <c r="OM123" s="43"/>
      <c r="ON123" s="43"/>
      <c r="OO123" s="43"/>
      <c r="OP123" s="43"/>
      <c r="OQ123" s="43"/>
      <c r="OR123" s="43"/>
      <c r="OS123" s="43"/>
      <c r="OT123" s="43"/>
      <c r="OU123" s="43"/>
      <c r="OV123" s="43"/>
      <c r="OW123" s="43"/>
      <c r="OX123" s="43"/>
      <c r="OY123" s="43"/>
      <c r="OZ123" s="43"/>
      <c r="PA123" s="43"/>
      <c r="PB123" s="43"/>
      <c r="PC123" s="43"/>
      <c r="PD123" s="43"/>
      <c r="PE123" s="43"/>
      <c r="PF123" s="43"/>
      <c r="PG123" s="43"/>
      <c r="PH123" s="43"/>
      <c r="PI123" s="43"/>
      <c r="PJ123" s="43"/>
      <c r="PK123" s="43"/>
      <c r="PL123" s="43"/>
      <c r="PM123" s="43"/>
      <c r="PN123" s="43"/>
      <c r="PO123" s="43"/>
      <c r="PP123" s="43"/>
      <c r="PQ123" s="43"/>
      <c r="PR123" s="43"/>
      <c r="PS123" s="43"/>
      <c r="PT123" s="43"/>
      <c r="PU123" s="43"/>
      <c r="PV123" s="43"/>
      <c r="PW123" s="43"/>
      <c r="PX123" s="43"/>
      <c r="PY123" s="43"/>
      <c r="PZ123" s="43"/>
      <c r="QA123" s="43"/>
      <c r="QB123" s="43"/>
      <c r="QC123" s="43"/>
    </row>
    <row r="124" spans="1:445" x14ac:dyDescent="0.3">
      <c r="B124" s="45"/>
      <c r="C124" s="45"/>
      <c r="D124" s="45"/>
      <c r="E124" s="45"/>
      <c r="F124" s="45"/>
      <c r="G124" s="45"/>
      <c r="H124" s="45"/>
      <c r="I124" s="45"/>
      <c r="J124" s="61"/>
      <c r="K124" s="45"/>
      <c r="L124" s="45"/>
      <c r="M124" s="45"/>
      <c r="N124" s="45"/>
      <c r="O124" s="45"/>
      <c r="P124" s="45"/>
      <c r="Q124" s="45"/>
      <c r="R124" s="45"/>
      <c r="S124" s="45"/>
      <c r="T124" s="45" t="str">
        <f t="shared" si="11"/>
        <v/>
      </c>
      <c r="U124" s="45" t="str">
        <f t="shared" si="12"/>
        <v/>
      </c>
      <c r="V124" s="68" t="str">
        <f t="shared" si="13"/>
        <v/>
      </c>
      <c r="W124" s="48"/>
      <c r="X124" s="66" t="str">
        <f t="shared" si="14"/>
        <v/>
      </c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43"/>
      <c r="BN124" s="43"/>
      <c r="BO124" s="43"/>
      <c r="BP124" s="43"/>
      <c r="BQ124" s="43"/>
      <c r="BR124" s="43"/>
      <c r="BS124" s="43"/>
      <c r="BT124" s="43"/>
      <c r="BU124" s="43"/>
      <c r="BV124" s="43"/>
      <c r="BW124" s="43"/>
      <c r="BX124" s="43"/>
      <c r="BY124" s="43"/>
      <c r="BZ124" s="43"/>
      <c r="CA124" s="43"/>
      <c r="CB124" s="43"/>
      <c r="CC124" s="4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43"/>
      <c r="CY124" s="43"/>
      <c r="CZ124" s="43"/>
      <c r="DA124" s="43"/>
      <c r="DB124" s="43"/>
      <c r="DC124" s="43"/>
      <c r="DD124" s="43"/>
      <c r="DE124" s="43"/>
      <c r="DF124" s="43"/>
      <c r="DG124" s="43"/>
      <c r="DH124" s="43"/>
      <c r="DI124" s="43"/>
      <c r="DJ124" s="43"/>
      <c r="DK124" s="43"/>
      <c r="DL124" s="43"/>
      <c r="DM124" s="43"/>
      <c r="DN124" s="43"/>
      <c r="DO124" s="43"/>
      <c r="DP124" s="43"/>
      <c r="DQ124" s="43"/>
      <c r="DR124" s="43"/>
      <c r="DS124" s="43"/>
      <c r="DT124" s="43"/>
      <c r="DU124" s="43"/>
      <c r="DV124" s="43"/>
      <c r="DW124" s="43"/>
      <c r="DX124" s="43"/>
      <c r="DY124" s="43"/>
      <c r="DZ124" s="43"/>
      <c r="EA124" s="43"/>
      <c r="EB124" s="43"/>
      <c r="EC124" s="43"/>
      <c r="ED124" s="43"/>
      <c r="EE124" s="43"/>
      <c r="EF124" s="43"/>
      <c r="EG124" s="43"/>
      <c r="EH124" s="43"/>
      <c r="EI124" s="43"/>
      <c r="EJ124" s="43"/>
      <c r="EK124" s="43"/>
      <c r="EL124" s="43"/>
      <c r="EM124" s="43"/>
      <c r="EN124" s="43"/>
      <c r="EO124" s="43"/>
      <c r="EP124" s="43"/>
      <c r="EQ124" s="43"/>
      <c r="ER124" s="43"/>
      <c r="ES124" s="43"/>
      <c r="ET124" s="43"/>
      <c r="EU124" s="43"/>
      <c r="EV124" s="43"/>
      <c r="EW124" s="43"/>
      <c r="EX124" s="43"/>
      <c r="EY124" s="43"/>
      <c r="EZ124" s="43"/>
      <c r="FA124" s="43"/>
      <c r="FB124" s="43"/>
      <c r="FC124" s="43"/>
      <c r="FD124" s="43"/>
      <c r="FE124" s="43"/>
      <c r="FF124" s="43"/>
      <c r="FG124" s="43"/>
      <c r="FH124" s="43"/>
      <c r="FI124" s="43"/>
      <c r="FJ124" s="43"/>
      <c r="FK124" s="43"/>
      <c r="FL124" s="43"/>
      <c r="FM124" s="43"/>
      <c r="FN124" s="43"/>
      <c r="FO124" s="43"/>
      <c r="FP124" s="43"/>
      <c r="FQ124" s="43"/>
      <c r="FR124" s="43"/>
      <c r="FS124" s="43"/>
      <c r="FT124" s="43"/>
      <c r="FU124" s="43"/>
      <c r="FV124" s="43"/>
      <c r="FW124" s="43"/>
      <c r="FX124" s="43"/>
      <c r="FY124" s="43"/>
      <c r="FZ124" s="43"/>
      <c r="GA124" s="43"/>
      <c r="GB124" s="43"/>
      <c r="GC124" s="43"/>
      <c r="GD124" s="43"/>
      <c r="GE124" s="43"/>
      <c r="GF124" s="43"/>
      <c r="GG124" s="43"/>
      <c r="GH124" s="43"/>
      <c r="GI124" s="43"/>
      <c r="GJ124" s="43"/>
      <c r="GK124" s="43"/>
      <c r="GL124" s="43"/>
      <c r="GM124" s="43"/>
      <c r="GN124" s="43"/>
      <c r="GO124" s="43"/>
      <c r="GP124" s="43"/>
      <c r="GQ124" s="43"/>
      <c r="GR124" s="43"/>
      <c r="GS124" s="43"/>
      <c r="GT124" s="43"/>
      <c r="GU124" s="43"/>
      <c r="GV124" s="43"/>
      <c r="GW124" s="43"/>
      <c r="GX124" s="43"/>
      <c r="GY124" s="43"/>
      <c r="GZ124" s="43"/>
      <c r="HA124" s="43"/>
      <c r="HB124" s="43"/>
      <c r="HC124" s="43"/>
      <c r="HD124" s="43"/>
      <c r="HE124" s="43"/>
      <c r="HF124" s="43"/>
      <c r="HG124" s="43"/>
      <c r="HH124" s="43"/>
      <c r="HI124" s="43"/>
      <c r="HJ124" s="43"/>
      <c r="HK124" s="43"/>
      <c r="HL124" s="43"/>
      <c r="HM124" s="43"/>
      <c r="HN124" s="43"/>
      <c r="HO124" s="43"/>
      <c r="HP124" s="43"/>
      <c r="HQ124" s="43"/>
      <c r="HR124" s="43"/>
      <c r="HS124" s="43"/>
      <c r="HT124" s="43"/>
      <c r="HU124" s="43"/>
      <c r="HV124" s="43"/>
      <c r="HW124" s="43"/>
      <c r="HX124" s="43"/>
      <c r="HY124" s="43"/>
      <c r="HZ124" s="43"/>
      <c r="IA124" s="43"/>
      <c r="IB124" s="43"/>
      <c r="IC124" s="43"/>
      <c r="ID124" s="43"/>
      <c r="IE124" s="43"/>
      <c r="IF124" s="43"/>
      <c r="IG124" s="43"/>
      <c r="IH124" s="43"/>
      <c r="II124" s="43"/>
      <c r="IJ124" s="43"/>
      <c r="IK124" s="43"/>
      <c r="IL124" s="43"/>
      <c r="IM124" s="43"/>
      <c r="IN124" s="43"/>
      <c r="IO124" s="43"/>
      <c r="IP124" s="43"/>
      <c r="IQ124" s="43"/>
      <c r="IR124" s="43"/>
      <c r="IS124" s="43"/>
      <c r="IT124" s="43"/>
      <c r="IU124" s="43"/>
      <c r="IV124" s="43"/>
      <c r="IW124" s="43"/>
      <c r="IX124" s="43"/>
      <c r="IY124" s="43"/>
      <c r="IZ124" s="43"/>
      <c r="JA124" s="43"/>
      <c r="JB124" s="43"/>
      <c r="JC124" s="43"/>
      <c r="JD124" s="43"/>
      <c r="JE124" s="43"/>
      <c r="JF124" s="43"/>
      <c r="JG124" s="43"/>
      <c r="JH124" s="43"/>
      <c r="JI124" s="43"/>
      <c r="JJ124" s="43"/>
      <c r="JK124" s="43"/>
      <c r="JL124" s="43"/>
      <c r="JM124" s="43"/>
      <c r="JN124" s="43"/>
      <c r="JO124" s="43"/>
      <c r="JP124" s="43"/>
      <c r="JQ124" s="43"/>
      <c r="JR124" s="43"/>
      <c r="JS124" s="43"/>
      <c r="JT124" s="43"/>
      <c r="JU124" s="43"/>
      <c r="JV124" s="43"/>
      <c r="JW124" s="43"/>
      <c r="JX124" s="43"/>
      <c r="JY124" s="43"/>
      <c r="JZ124" s="43"/>
      <c r="KA124" s="43"/>
      <c r="KB124" s="43"/>
      <c r="KC124" s="43"/>
      <c r="KD124" s="43"/>
      <c r="KE124" s="43"/>
      <c r="KF124" s="43"/>
      <c r="KG124" s="43"/>
      <c r="KH124" s="43"/>
      <c r="KI124" s="43"/>
      <c r="KJ124" s="43"/>
      <c r="KK124" s="43"/>
      <c r="KL124" s="43"/>
      <c r="KM124" s="43"/>
      <c r="KN124" s="43"/>
      <c r="KO124" s="43"/>
      <c r="KP124" s="43"/>
      <c r="KQ124" s="43"/>
      <c r="KR124" s="43"/>
      <c r="KS124" s="43"/>
      <c r="KT124" s="43"/>
      <c r="KU124" s="43"/>
      <c r="KV124" s="43"/>
      <c r="KW124" s="43"/>
      <c r="KX124" s="43"/>
      <c r="KY124" s="43"/>
      <c r="KZ124" s="43"/>
      <c r="LA124" s="43"/>
      <c r="LB124" s="43"/>
      <c r="LC124" s="43"/>
      <c r="LD124" s="43"/>
      <c r="LE124" s="43"/>
      <c r="LF124" s="43"/>
      <c r="LG124" s="43"/>
      <c r="LH124" s="43"/>
      <c r="LI124" s="43"/>
      <c r="LJ124" s="43"/>
      <c r="LK124" s="43"/>
      <c r="LL124" s="43"/>
      <c r="LM124" s="43"/>
      <c r="LN124" s="43"/>
      <c r="LO124" s="43"/>
      <c r="LP124" s="43"/>
      <c r="LQ124" s="43"/>
      <c r="LR124" s="43"/>
      <c r="LS124" s="43"/>
      <c r="LT124" s="43"/>
      <c r="LU124" s="43"/>
      <c r="LV124" s="43"/>
      <c r="LW124" s="43"/>
      <c r="LX124" s="43"/>
      <c r="LY124" s="43"/>
      <c r="LZ124" s="43"/>
      <c r="MA124" s="43"/>
      <c r="MB124" s="43"/>
      <c r="MC124" s="43"/>
      <c r="MD124" s="43"/>
      <c r="ME124" s="43"/>
      <c r="MF124" s="43"/>
      <c r="MG124" s="43"/>
      <c r="MH124" s="43"/>
      <c r="MI124" s="43"/>
      <c r="MJ124" s="43"/>
      <c r="MK124" s="43"/>
      <c r="ML124" s="43"/>
      <c r="MM124" s="43"/>
      <c r="MN124" s="43"/>
      <c r="MO124" s="43"/>
      <c r="MP124" s="43"/>
      <c r="MQ124" s="43"/>
      <c r="MR124" s="43"/>
      <c r="MS124" s="43"/>
      <c r="MT124" s="43"/>
      <c r="MU124" s="43"/>
      <c r="MV124" s="43"/>
      <c r="MW124" s="43"/>
      <c r="MX124" s="43"/>
      <c r="MY124" s="43"/>
      <c r="MZ124" s="43"/>
      <c r="NA124" s="43"/>
      <c r="NB124" s="43"/>
      <c r="NC124" s="43"/>
      <c r="ND124" s="43"/>
      <c r="NE124" s="43"/>
      <c r="NF124" s="43"/>
      <c r="NG124" s="43"/>
      <c r="NH124" s="43"/>
      <c r="NI124" s="43"/>
      <c r="NJ124" s="43"/>
      <c r="NK124" s="43"/>
      <c r="NL124" s="43"/>
      <c r="NM124" s="43"/>
      <c r="NN124" s="43"/>
      <c r="NO124" s="43"/>
      <c r="NP124" s="43"/>
      <c r="NQ124" s="43"/>
      <c r="NR124" s="43"/>
      <c r="NS124" s="43"/>
      <c r="NT124" s="43"/>
      <c r="NU124" s="43"/>
      <c r="NV124" s="43"/>
      <c r="NW124" s="43"/>
      <c r="NX124" s="43"/>
      <c r="NY124" s="43"/>
      <c r="NZ124" s="43"/>
      <c r="OA124" s="43"/>
      <c r="OB124" s="43"/>
      <c r="OC124" s="43"/>
      <c r="OD124" s="43"/>
      <c r="OE124" s="43"/>
      <c r="OF124" s="43"/>
      <c r="OG124" s="43"/>
      <c r="OH124" s="43"/>
      <c r="OI124" s="43"/>
      <c r="OJ124" s="43"/>
      <c r="OK124" s="43"/>
      <c r="OL124" s="43"/>
      <c r="OM124" s="43"/>
      <c r="ON124" s="43"/>
      <c r="OO124" s="43"/>
      <c r="OP124" s="43"/>
      <c r="OQ124" s="43"/>
      <c r="OR124" s="43"/>
      <c r="OS124" s="43"/>
      <c r="OT124" s="43"/>
      <c r="OU124" s="43"/>
      <c r="OV124" s="43"/>
      <c r="OW124" s="43"/>
      <c r="OX124" s="43"/>
      <c r="OY124" s="43"/>
      <c r="OZ124" s="43"/>
      <c r="PA124" s="43"/>
      <c r="PB124" s="43"/>
      <c r="PC124" s="43"/>
      <c r="PD124" s="43"/>
      <c r="PE124" s="43"/>
      <c r="PF124" s="43"/>
      <c r="PG124" s="43"/>
      <c r="PH124" s="43"/>
      <c r="PI124" s="43"/>
      <c r="PJ124" s="43"/>
      <c r="PK124" s="43"/>
      <c r="PL124" s="43"/>
      <c r="PM124" s="43"/>
      <c r="PN124" s="43"/>
      <c r="PO124" s="43"/>
      <c r="PP124" s="43"/>
      <c r="PQ124" s="43"/>
      <c r="PR124" s="43"/>
      <c r="PS124" s="43"/>
      <c r="PT124" s="43"/>
      <c r="PU124" s="43"/>
      <c r="PV124" s="43"/>
      <c r="PW124" s="43"/>
      <c r="PX124" s="43"/>
      <c r="PY124" s="43"/>
      <c r="PZ124" s="43"/>
      <c r="QA124" s="43"/>
      <c r="QB124" s="43"/>
      <c r="QC124" s="43"/>
    </row>
    <row r="125" spans="1:445" x14ac:dyDescent="0.3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 t="str">
        <f t="shared" si="11"/>
        <v/>
      </c>
      <c r="U125" s="45" t="str">
        <f t="shared" si="12"/>
        <v/>
      </c>
      <c r="V125" s="68" t="str">
        <f t="shared" si="13"/>
        <v/>
      </c>
      <c r="W125" s="48"/>
      <c r="X125" s="66" t="str">
        <f t="shared" si="14"/>
        <v/>
      </c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43"/>
      <c r="BN125" s="43"/>
      <c r="BO125" s="43"/>
      <c r="BP125" s="43"/>
      <c r="BQ125" s="43"/>
      <c r="BR125" s="43"/>
      <c r="BS125" s="43"/>
      <c r="BT125" s="43"/>
      <c r="BU125" s="43"/>
      <c r="BV125" s="43"/>
      <c r="BW125" s="43"/>
      <c r="BX125" s="43"/>
      <c r="BY125" s="43"/>
      <c r="BZ125" s="43"/>
      <c r="CA125" s="43"/>
      <c r="CB125" s="43"/>
      <c r="CC125" s="43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43"/>
      <c r="CY125" s="43"/>
      <c r="CZ125" s="43"/>
      <c r="DA125" s="43"/>
      <c r="DB125" s="43"/>
      <c r="DC125" s="43"/>
      <c r="DD125" s="43"/>
      <c r="DE125" s="43"/>
      <c r="DF125" s="43"/>
      <c r="DG125" s="43"/>
      <c r="DH125" s="43"/>
      <c r="DI125" s="43"/>
      <c r="DJ125" s="43"/>
      <c r="DK125" s="43"/>
      <c r="DL125" s="43"/>
      <c r="DM125" s="43"/>
      <c r="DN125" s="43"/>
      <c r="DO125" s="43"/>
      <c r="DP125" s="43"/>
      <c r="DQ125" s="43"/>
      <c r="DR125" s="43"/>
      <c r="DS125" s="43"/>
      <c r="DT125" s="43"/>
      <c r="DU125" s="43"/>
      <c r="DV125" s="43"/>
      <c r="DW125" s="43"/>
      <c r="DX125" s="43"/>
      <c r="DY125" s="43"/>
      <c r="DZ125" s="43"/>
      <c r="EA125" s="43"/>
      <c r="EB125" s="43"/>
      <c r="EC125" s="43"/>
      <c r="ED125" s="43"/>
      <c r="EE125" s="43"/>
      <c r="EF125" s="43"/>
      <c r="EG125" s="43"/>
      <c r="EH125" s="43"/>
      <c r="EI125" s="43"/>
      <c r="EJ125" s="43"/>
      <c r="EK125" s="43"/>
      <c r="EL125" s="43"/>
      <c r="EM125" s="43"/>
      <c r="EN125" s="43"/>
      <c r="EO125" s="43"/>
      <c r="EP125" s="43"/>
      <c r="EQ125" s="43"/>
      <c r="ER125" s="43"/>
      <c r="ES125" s="43"/>
      <c r="ET125" s="43"/>
      <c r="EU125" s="43"/>
      <c r="EV125" s="43"/>
      <c r="EW125" s="43"/>
      <c r="EX125" s="43"/>
      <c r="EY125" s="43"/>
      <c r="EZ125" s="43"/>
      <c r="FA125" s="43"/>
      <c r="FB125" s="43"/>
      <c r="FC125" s="43"/>
      <c r="FD125" s="43"/>
      <c r="FE125" s="43"/>
      <c r="FF125" s="43"/>
      <c r="FG125" s="43"/>
      <c r="FH125" s="43"/>
      <c r="FI125" s="43"/>
      <c r="FJ125" s="43"/>
      <c r="FK125" s="43"/>
      <c r="FL125" s="43"/>
      <c r="FM125" s="43"/>
      <c r="FN125" s="43"/>
      <c r="FO125" s="43"/>
      <c r="FP125" s="43"/>
      <c r="FQ125" s="43"/>
      <c r="FR125" s="43"/>
      <c r="FS125" s="43"/>
      <c r="FT125" s="43"/>
      <c r="FU125" s="43"/>
      <c r="FV125" s="43"/>
      <c r="FW125" s="43"/>
      <c r="FX125" s="43"/>
      <c r="FY125" s="43"/>
      <c r="FZ125" s="43"/>
      <c r="GA125" s="43"/>
      <c r="GB125" s="43"/>
      <c r="GC125" s="43"/>
      <c r="GD125" s="43"/>
      <c r="GE125" s="43"/>
      <c r="GF125" s="43"/>
      <c r="GG125" s="43"/>
      <c r="GH125" s="43"/>
      <c r="GI125" s="43"/>
      <c r="GJ125" s="43"/>
      <c r="GK125" s="43"/>
      <c r="GL125" s="43"/>
      <c r="GM125" s="43"/>
      <c r="GN125" s="43"/>
      <c r="GO125" s="43"/>
      <c r="GP125" s="43"/>
      <c r="GQ125" s="43"/>
      <c r="GR125" s="43"/>
      <c r="GS125" s="43"/>
      <c r="GT125" s="43"/>
      <c r="GU125" s="43"/>
      <c r="GV125" s="43"/>
      <c r="GW125" s="43"/>
      <c r="GX125" s="43"/>
      <c r="GY125" s="43"/>
      <c r="GZ125" s="43"/>
      <c r="HA125" s="43"/>
      <c r="HB125" s="43"/>
      <c r="HC125" s="43"/>
      <c r="HD125" s="43"/>
      <c r="HE125" s="43"/>
      <c r="HF125" s="43"/>
      <c r="HG125" s="43"/>
      <c r="HH125" s="43"/>
      <c r="HI125" s="43"/>
      <c r="HJ125" s="43"/>
      <c r="HK125" s="43"/>
      <c r="HL125" s="43"/>
      <c r="HM125" s="43"/>
      <c r="HN125" s="43"/>
      <c r="HO125" s="43"/>
      <c r="HP125" s="43"/>
      <c r="HQ125" s="43"/>
      <c r="HR125" s="43"/>
      <c r="HS125" s="43"/>
      <c r="HT125" s="43"/>
      <c r="HU125" s="43"/>
      <c r="HV125" s="43"/>
      <c r="HW125" s="43"/>
      <c r="HX125" s="43"/>
      <c r="HY125" s="43"/>
      <c r="HZ125" s="43"/>
      <c r="IA125" s="43"/>
      <c r="IB125" s="43"/>
      <c r="IC125" s="43"/>
      <c r="ID125" s="43"/>
      <c r="IE125" s="43"/>
      <c r="IF125" s="43"/>
      <c r="IG125" s="43"/>
      <c r="IH125" s="43"/>
      <c r="II125" s="43"/>
      <c r="IJ125" s="43"/>
      <c r="IK125" s="43"/>
      <c r="IL125" s="43"/>
      <c r="IM125" s="43"/>
      <c r="IN125" s="43"/>
      <c r="IO125" s="43"/>
      <c r="IP125" s="43"/>
      <c r="IQ125" s="43"/>
      <c r="IR125" s="43"/>
      <c r="IS125" s="43"/>
      <c r="IT125" s="43"/>
      <c r="IU125" s="43"/>
      <c r="IV125" s="43"/>
      <c r="IW125" s="43"/>
      <c r="IX125" s="43"/>
      <c r="IY125" s="43"/>
      <c r="IZ125" s="43"/>
      <c r="JA125" s="43"/>
      <c r="JB125" s="43"/>
      <c r="JC125" s="43"/>
      <c r="JD125" s="43"/>
      <c r="JE125" s="43"/>
      <c r="JF125" s="43"/>
      <c r="JG125" s="43"/>
      <c r="JH125" s="43"/>
      <c r="JI125" s="43"/>
      <c r="JJ125" s="43"/>
      <c r="JK125" s="43"/>
      <c r="JL125" s="43"/>
      <c r="JM125" s="43"/>
      <c r="JN125" s="43"/>
      <c r="JO125" s="43"/>
      <c r="JP125" s="43"/>
      <c r="JQ125" s="43"/>
      <c r="JR125" s="43"/>
      <c r="JS125" s="43"/>
      <c r="JT125" s="43"/>
      <c r="JU125" s="43"/>
      <c r="JV125" s="43"/>
      <c r="JW125" s="43"/>
      <c r="JX125" s="43"/>
      <c r="JY125" s="43"/>
      <c r="JZ125" s="43"/>
      <c r="KA125" s="43"/>
      <c r="KB125" s="43"/>
      <c r="KC125" s="43"/>
      <c r="KD125" s="43"/>
      <c r="KE125" s="43"/>
      <c r="KF125" s="43"/>
      <c r="KG125" s="43"/>
      <c r="KH125" s="43"/>
      <c r="KI125" s="43"/>
      <c r="KJ125" s="43"/>
      <c r="KK125" s="43"/>
      <c r="KL125" s="43"/>
      <c r="KM125" s="43"/>
      <c r="KN125" s="43"/>
      <c r="KO125" s="43"/>
      <c r="KP125" s="43"/>
      <c r="KQ125" s="43"/>
      <c r="KR125" s="43"/>
      <c r="KS125" s="43"/>
      <c r="KT125" s="43"/>
      <c r="KU125" s="43"/>
      <c r="KV125" s="43"/>
      <c r="KW125" s="43"/>
      <c r="KX125" s="43"/>
      <c r="KY125" s="43"/>
      <c r="KZ125" s="43"/>
      <c r="LA125" s="43"/>
      <c r="LB125" s="43"/>
      <c r="LC125" s="43"/>
      <c r="LD125" s="43"/>
      <c r="LE125" s="43"/>
      <c r="LF125" s="43"/>
      <c r="LG125" s="43"/>
      <c r="LH125" s="43"/>
      <c r="LI125" s="43"/>
      <c r="LJ125" s="43"/>
      <c r="LK125" s="43"/>
      <c r="LL125" s="43"/>
      <c r="LM125" s="43"/>
      <c r="LN125" s="43"/>
      <c r="LO125" s="43"/>
      <c r="LP125" s="43"/>
      <c r="LQ125" s="43"/>
      <c r="LR125" s="43"/>
      <c r="LS125" s="43"/>
      <c r="LT125" s="43"/>
      <c r="LU125" s="43"/>
      <c r="LV125" s="43"/>
      <c r="LW125" s="43"/>
      <c r="LX125" s="43"/>
      <c r="LY125" s="43"/>
      <c r="LZ125" s="43"/>
      <c r="MA125" s="43"/>
      <c r="MB125" s="43"/>
      <c r="MC125" s="43"/>
      <c r="MD125" s="43"/>
      <c r="ME125" s="43"/>
      <c r="MF125" s="43"/>
      <c r="MG125" s="43"/>
      <c r="MH125" s="43"/>
      <c r="MI125" s="43"/>
      <c r="MJ125" s="43"/>
      <c r="MK125" s="43"/>
      <c r="ML125" s="43"/>
      <c r="MM125" s="43"/>
      <c r="MN125" s="43"/>
      <c r="MO125" s="43"/>
      <c r="MP125" s="43"/>
      <c r="MQ125" s="43"/>
      <c r="MR125" s="43"/>
      <c r="MS125" s="43"/>
      <c r="MT125" s="43"/>
      <c r="MU125" s="43"/>
      <c r="MV125" s="43"/>
      <c r="MW125" s="43"/>
      <c r="MX125" s="43"/>
      <c r="MY125" s="43"/>
      <c r="MZ125" s="43"/>
      <c r="NA125" s="43"/>
      <c r="NB125" s="43"/>
      <c r="NC125" s="43"/>
      <c r="ND125" s="43"/>
      <c r="NE125" s="43"/>
      <c r="NF125" s="43"/>
      <c r="NG125" s="43"/>
      <c r="NH125" s="43"/>
      <c r="NI125" s="43"/>
      <c r="NJ125" s="43"/>
      <c r="NK125" s="43"/>
      <c r="NL125" s="43"/>
      <c r="NM125" s="43"/>
      <c r="NN125" s="43"/>
      <c r="NO125" s="43"/>
      <c r="NP125" s="43"/>
      <c r="NQ125" s="43"/>
      <c r="NR125" s="43"/>
      <c r="NS125" s="43"/>
      <c r="NT125" s="43"/>
      <c r="NU125" s="43"/>
      <c r="NV125" s="43"/>
      <c r="NW125" s="43"/>
      <c r="NX125" s="43"/>
      <c r="NY125" s="43"/>
      <c r="NZ125" s="43"/>
      <c r="OA125" s="43"/>
      <c r="OB125" s="43"/>
      <c r="OC125" s="43"/>
      <c r="OD125" s="43"/>
      <c r="OE125" s="43"/>
      <c r="OF125" s="43"/>
      <c r="OG125" s="43"/>
      <c r="OH125" s="43"/>
      <c r="OI125" s="43"/>
      <c r="OJ125" s="43"/>
      <c r="OK125" s="43"/>
      <c r="OL125" s="43"/>
      <c r="OM125" s="43"/>
      <c r="ON125" s="43"/>
      <c r="OO125" s="43"/>
      <c r="OP125" s="43"/>
      <c r="OQ125" s="43"/>
      <c r="OR125" s="43"/>
      <c r="OS125" s="43"/>
      <c r="OT125" s="43"/>
      <c r="OU125" s="43"/>
      <c r="OV125" s="43"/>
      <c r="OW125" s="43"/>
      <c r="OX125" s="43"/>
      <c r="OY125" s="43"/>
      <c r="OZ125" s="43"/>
      <c r="PA125" s="43"/>
      <c r="PB125" s="43"/>
      <c r="PC125" s="43"/>
      <c r="PD125" s="43"/>
      <c r="PE125" s="43"/>
      <c r="PF125" s="43"/>
      <c r="PG125" s="43"/>
      <c r="PH125" s="43"/>
      <c r="PI125" s="43"/>
      <c r="PJ125" s="43"/>
      <c r="PK125" s="43"/>
      <c r="PL125" s="43"/>
      <c r="PM125" s="43"/>
      <c r="PN125" s="43"/>
      <c r="PO125" s="43"/>
      <c r="PP125" s="43"/>
      <c r="PQ125" s="43"/>
      <c r="PR125" s="43"/>
      <c r="PS125" s="43"/>
      <c r="PT125" s="43"/>
      <c r="PU125" s="43"/>
      <c r="PV125" s="43"/>
      <c r="PW125" s="43"/>
      <c r="PX125" s="43"/>
      <c r="PY125" s="43"/>
      <c r="PZ125" s="43"/>
      <c r="QA125" s="43"/>
      <c r="QB125" s="43"/>
      <c r="QC125" s="43"/>
    </row>
    <row r="126" spans="1:445" x14ac:dyDescent="0.3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 t="str">
        <f t="shared" si="11"/>
        <v/>
      </c>
      <c r="U126" s="45" t="str">
        <f t="shared" si="12"/>
        <v/>
      </c>
      <c r="V126" s="68" t="str">
        <f t="shared" si="13"/>
        <v/>
      </c>
      <c r="W126" s="48"/>
      <c r="X126" s="66" t="str">
        <f t="shared" si="14"/>
        <v/>
      </c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43"/>
      <c r="BN126" s="43"/>
      <c r="BO126" s="43"/>
      <c r="BP126" s="43"/>
      <c r="BQ126" s="43"/>
      <c r="BR126" s="43"/>
      <c r="BS126" s="43"/>
      <c r="BT126" s="43"/>
      <c r="BU126" s="43"/>
      <c r="BV126" s="43"/>
      <c r="BW126" s="43"/>
      <c r="BX126" s="43"/>
      <c r="BY126" s="43"/>
      <c r="BZ126" s="43"/>
      <c r="CA126" s="43"/>
      <c r="CB126" s="43"/>
      <c r="CC126" s="43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43"/>
      <c r="CY126" s="43"/>
      <c r="CZ126" s="43"/>
      <c r="DA126" s="43"/>
      <c r="DB126" s="43"/>
      <c r="DC126" s="43"/>
      <c r="DD126" s="43"/>
      <c r="DE126" s="43"/>
      <c r="DF126" s="43"/>
      <c r="DG126" s="43"/>
      <c r="DH126" s="43"/>
      <c r="DI126" s="43"/>
      <c r="DJ126" s="43"/>
      <c r="DK126" s="43"/>
      <c r="DL126" s="43"/>
      <c r="DM126" s="43"/>
      <c r="DN126" s="43"/>
      <c r="DO126" s="43"/>
      <c r="DP126" s="43"/>
      <c r="DQ126" s="43"/>
      <c r="DR126" s="43"/>
      <c r="DS126" s="43"/>
      <c r="DT126" s="43"/>
      <c r="DU126" s="43"/>
      <c r="DV126" s="43"/>
      <c r="DW126" s="43"/>
      <c r="DX126" s="43"/>
      <c r="DY126" s="43"/>
      <c r="DZ126" s="43"/>
      <c r="EA126" s="43"/>
      <c r="EB126" s="43"/>
      <c r="EC126" s="43"/>
      <c r="ED126" s="43"/>
      <c r="EE126" s="43"/>
      <c r="EF126" s="43"/>
      <c r="EG126" s="43"/>
      <c r="EH126" s="43"/>
      <c r="EI126" s="43"/>
      <c r="EJ126" s="43"/>
      <c r="EK126" s="43"/>
      <c r="EL126" s="43"/>
      <c r="EM126" s="43"/>
      <c r="EN126" s="43"/>
      <c r="EO126" s="43"/>
      <c r="EP126" s="43"/>
      <c r="EQ126" s="43"/>
      <c r="ER126" s="43"/>
      <c r="ES126" s="43"/>
      <c r="ET126" s="43"/>
      <c r="EU126" s="43"/>
      <c r="EV126" s="43"/>
      <c r="EW126" s="43"/>
      <c r="EX126" s="43"/>
      <c r="EY126" s="43"/>
      <c r="EZ126" s="43"/>
      <c r="FA126" s="43"/>
      <c r="FB126" s="43"/>
      <c r="FC126" s="43"/>
      <c r="FD126" s="43"/>
      <c r="FE126" s="43"/>
      <c r="FF126" s="43"/>
      <c r="FG126" s="43"/>
      <c r="FH126" s="43"/>
      <c r="FI126" s="43"/>
      <c r="FJ126" s="43"/>
      <c r="FK126" s="43"/>
      <c r="FL126" s="43"/>
      <c r="FM126" s="43"/>
      <c r="FN126" s="43"/>
      <c r="FO126" s="43"/>
      <c r="FP126" s="43"/>
      <c r="FQ126" s="43"/>
      <c r="FR126" s="43"/>
      <c r="FS126" s="43"/>
      <c r="FT126" s="43"/>
      <c r="FU126" s="43"/>
      <c r="FV126" s="43"/>
      <c r="FW126" s="43"/>
      <c r="FX126" s="43"/>
      <c r="FY126" s="43"/>
      <c r="FZ126" s="43"/>
      <c r="GA126" s="43"/>
      <c r="GB126" s="43"/>
      <c r="GC126" s="43"/>
      <c r="GD126" s="43"/>
      <c r="GE126" s="43"/>
      <c r="GF126" s="43"/>
      <c r="GG126" s="43"/>
      <c r="GH126" s="43"/>
      <c r="GI126" s="43"/>
      <c r="GJ126" s="43"/>
      <c r="GK126" s="43"/>
      <c r="GL126" s="43"/>
      <c r="GM126" s="43"/>
      <c r="GN126" s="43"/>
      <c r="GO126" s="43"/>
      <c r="GP126" s="43"/>
      <c r="GQ126" s="43"/>
      <c r="GR126" s="43"/>
      <c r="GS126" s="43"/>
      <c r="GT126" s="43"/>
      <c r="GU126" s="43"/>
      <c r="GV126" s="43"/>
      <c r="GW126" s="43"/>
      <c r="GX126" s="43"/>
      <c r="GY126" s="43"/>
      <c r="GZ126" s="43"/>
      <c r="HA126" s="43"/>
      <c r="HB126" s="43"/>
      <c r="HC126" s="43"/>
      <c r="HD126" s="43"/>
      <c r="HE126" s="43"/>
      <c r="HF126" s="43"/>
      <c r="HG126" s="43"/>
      <c r="HH126" s="43"/>
      <c r="HI126" s="43"/>
      <c r="HJ126" s="43"/>
      <c r="HK126" s="43"/>
      <c r="HL126" s="43"/>
      <c r="HM126" s="43"/>
      <c r="HN126" s="43"/>
      <c r="HO126" s="43"/>
      <c r="HP126" s="43"/>
      <c r="HQ126" s="43"/>
      <c r="HR126" s="43"/>
      <c r="HS126" s="43"/>
      <c r="HT126" s="43"/>
      <c r="HU126" s="43"/>
      <c r="HV126" s="43"/>
      <c r="HW126" s="43"/>
      <c r="HX126" s="43"/>
      <c r="HY126" s="43"/>
      <c r="HZ126" s="43"/>
      <c r="IA126" s="43"/>
      <c r="IB126" s="43"/>
      <c r="IC126" s="43"/>
      <c r="ID126" s="43"/>
      <c r="IE126" s="43"/>
      <c r="IF126" s="43"/>
      <c r="IG126" s="43"/>
      <c r="IH126" s="43"/>
      <c r="II126" s="43"/>
      <c r="IJ126" s="43"/>
      <c r="IK126" s="43"/>
      <c r="IL126" s="43"/>
      <c r="IM126" s="43"/>
      <c r="IN126" s="43"/>
      <c r="IO126" s="43"/>
      <c r="IP126" s="43"/>
      <c r="IQ126" s="43"/>
      <c r="IR126" s="43"/>
      <c r="IS126" s="43"/>
      <c r="IT126" s="43"/>
      <c r="IU126" s="43"/>
      <c r="IV126" s="43"/>
      <c r="IW126" s="43"/>
      <c r="IX126" s="43"/>
      <c r="IY126" s="43"/>
      <c r="IZ126" s="43"/>
      <c r="JA126" s="43"/>
      <c r="JB126" s="43"/>
      <c r="JC126" s="43"/>
      <c r="JD126" s="43"/>
      <c r="JE126" s="43"/>
      <c r="JF126" s="43"/>
      <c r="JG126" s="43"/>
      <c r="JH126" s="43"/>
      <c r="JI126" s="43"/>
      <c r="JJ126" s="43"/>
      <c r="JK126" s="43"/>
      <c r="JL126" s="43"/>
      <c r="JM126" s="43"/>
      <c r="JN126" s="43"/>
      <c r="JO126" s="43"/>
      <c r="JP126" s="43"/>
      <c r="JQ126" s="43"/>
      <c r="JR126" s="43"/>
      <c r="JS126" s="43"/>
      <c r="JT126" s="43"/>
      <c r="JU126" s="43"/>
      <c r="JV126" s="43"/>
      <c r="JW126" s="43"/>
      <c r="JX126" s="43"/>
      <c r="JY126" s="43"/>
      <c r="JZ126" s="43"/>
      <c r="KA126" s="43"/>
      <c r="KB126" s="43"/>
      <c r="KC126" s="43"/>
      <c r="KD126" s="43"/>
      <c r="KE126" s="43"/>
      <c r="KF126" s="43"/>
      <c r="KG126" s="43"/>
      <c r="KH126" s="43"/>
      <c r="KI126" s="43"/>
      <c r="KJ126" s="43"/>
      <c r="KK126" s="43"/>
      <c r="KL126" s="43"/>
      <c r="KM126" s="43"/>
      <c r="KN126" s="43"/>
      <c r="KO126" s="43"/>
      <c r="KP126" s="43"/>
      <c r="KQ126" s="43"/>
      <c r="KR126" s="43"/>
      <c r="KS126" s="43"/>
      <c r="KT126" s="43"/>
      <c r="KU126" s="43"/>
      <c r="KV126" s="43"/>
      <c r="KW126" s="43"/>
      <c r="KX126" s="43"/>
      <c r="KY126" s="43"/>
      <c r="KZ126" s="43"/>
      <c r="LA126" s="43"/>
      <c r="LB126" s="43"/>
      <c r="LC126" s="43"/>
      <c r="LD126" s="43"/>
      <c r="LE126" s="43"/>
      <c r="LF126" s="43"/>
      <c r="LG126" s="43"/>
      <c r="LH126" s="43"/>
      <c r="LI126" s="43"/>
      <c r="LJ126" s="43"/>
      <c r="LK126" s="43"/>
      <c r="LL126" s="43"/>
      <c r="LM126" s="43"/>
      <c r="LN126" s="43"/>
      <c r="LO126" s="43"/>
      <c r="LP126" s="43"/>
      <c r="LQ126" s="43"/>
      <c r="LR126" s="43"/>
      <c r="LS126" s="43"/>
      <c r="LT126" s="43"/>
      <c r="LU126" s="43"/>
      <c r="LV126" s="43"/>
      <c r="LW126" s="43"/>
      <c r="LX126" s="43"/>
      <c r="LY126" s="43"/>
      <c r="LZ126" s="43"/>
      <c r="MA126" s="43"/>
      <c r="MB126" s="43"/>
      <c r="MC126" s="43"/>
      <c r="MD126" s="43"/>
      <c r="ME126" s="43"/>
      <c r="MF126" s="43"/>
      <c r="MG126" s="43"/>
      <c r="MH126" s="43"/>
      <c r="MI126" s="43"/>
      <c r="MJ126" s="43"/>
      <c r="MK126" s="43"/>
      <c r="ML126" s="43"/>
      <c r="MM126" s="43"/>
      <c r="MN126" s="43"/>
      <c r="MO126" s="43"/>
      <c r="MP126" s="43"/>
      <c r="MQ126" s="43"/>
      <c r="MR126" s="43"/>
      <c r="MS126" s="43"/>
      <c r="MT126" s="43"/>
      <c r="MU126" s="43"/>
      <c r="MV126" s="43"/>
      <c r="MW126" s="43"/>
      <c r="MX126" s="43"/>
      <c r="MY126" s="43"/>
      <c r="MZ126" s="43"/>
      <c r="NA126" s="43"/>
      <c r="NB126" s="43"/>
      <c r="NC126" s="43"/>
      <c r="ND126" s="43"/>
      <c r="NE126" s="43"/>
      <c r="NF126" s="43"/>
      <c r="NG126" s="43"/>
      <c r="NH126" s="43"/>
      <c r="NI126" s="43"/>
      <c r="NJ126" s="43"/>
      <c r="NK126" s="43"/>
      <c r="NL126" s="43"/>
      <c r="NM126" s="43"/>
      <c r="NN126" s="43"/>
      <c r="NO126" s="43"/>
      <c r="NP126" s="43"/>
      <c r="NQ126" s="43"/>
      <c r="NR126" s="43"/>
      <c r="NS126" s="43"/>
      <c r="NT126" s="43"/>
      <c r="NU126" s="43"/>
      <c r="NV126" s="43"/>
      <c r="NW126" s="43"/>
      <c r="NX126" s="43"/>
      <c r="NY126" s="43"/>
      <c r="NZ126" s="43"/>
      <c r="OA126" s="43"/>
      <c r="OB126" s="43"/>
      <c r="OC126" s="43"/>
      <c r="OD126" s="43"/>
      <c r="OE126" s="43"/>
      <c r="OF126" s="43"/>
      <c r="OG126" s="43"/>
      <c r="OH126" s="43"/>
      <c r="OI126" s="43"/>
      <c r="OJ126" s="43"/>
      <c r="OK126" s="43"/>
      <c r="OL126" s="43"/>
      <c r="OM126" s="43"/>
      <c r="ON126" s="43"/>
      <c r="OO126" s="43"/>
      <c r="OP126" s="43"/>
      <c r="OQ126" s="43"/>
      <c r="OR126" s="43"/>
      <c r="OS126" s="43"/>
      <c r="OT126" s="43"/>
      <c r="OU126" s="43"/>
      <c r="OV126" s="43"/>
      <c r="OW126" s="43"/>
      <c r="OX126" s="43"/>
      <c r="OY126" s="43"/>
      <c r="OZ126" s="43"/>
      <c r="PA126" s="43"/>
      <c r="PB126" s="43"/>
      <c r="PC126" s="43"/>
      <c r="PD126" s="43"/>
      <c r="PE126" s="43"/>
      <c r="PF126" s="43"/>
      <c r="PG126" s="43"/>
      <c r="PH126" s="43"/>
      <c r="PI126" s="43"/>
      <c r="PJ126" s="43"/>
      <c r="PK126" s="43"/>
      <c r="PL126" s="43"/>
      <c r="PM126" s="43"/>
      <c r="PN126" s="43"/>
      <c r="PO126" s="43"/>
      <c r="PP126" s="43"/>
      <c r="PQ126" s="43"/>
      <c r="PR126" s="43"/>
      <c r="PS126" s="43"/>
      <c r="PT126" s="43"/>
      <c r="PU126" s="43"/>
      <c r="PV126" s="43"/>
      <c r="PW126" s="43"/>
      <c r="PX126" s="43"/>
      <c r="PY126" s="43"/>
      <c r="PZ126" s="43"/>
      <c r="QA126" s="43"/>
      <c r="QB126" s="43"/>
      <c r="QC126" s="43"/>
    </row>
    <row r="127" spans="1:445" x14ac:dyDescent="0.3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 t="str">
        <f t="shared" si="11"/>
        <v/>
      </c>
      <c r="U127" s="45" t="str">
        <f t="shared" si="12"/>
        <v/>
      </c>
      <c r="V127" s="68" t="str">
        <f t="shared" si="13"/>
        <v/>
      </c>
      <c r="W127" s="48"/>
      <c r="X127" s="66" t="str">
        <f t="shared" si="14"/>
        <v/>
      </c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43"/>
      <c r="BN127" s="43"/>
      <c r="BO127" s="43"/>
      <c r="BP127" s="43"/>
      <c r="BQ127" s="43"/>
      <c r="BR127" s="43"/>
      <c r="BS127" s="43"/>
      <c r="BT127" s="43"/>
      <c r="BU127" s="43"/>
      <c r="BV127" s="43"/>
      <c r="BW127" s="43"/>
      <c r="BX127" s="43"/>
      <c r="BY127" s="43"/>
      <c r="BZ127" s="43"/>
      <c r="CA127" s="43"/>
      <c r="CB127" s="43"/>
      <c r="CC127" s="43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43"/>
      <c r="CY127" s="43"/>
      <c r="CZ127" s="43"/>
      <c r="DA127" s="43"/>
      <c r="DB127" s="43"/>
      <c r="DC127" s="43"/>
      <c r="DD127" s="43"/>
      <c r="DE127" s="43"/>
      <c r="DF127" s="43"/>
      <c r="DG127" s="43"/>
      <c r="DH127" s="43"/>
      <c r="DI127" s="43"/>
      <c r="DJ127" s="43"/>
      <c r="DK127" s="43"/>
      <c r="DL127" s="43"/>
      <c r="DM127" s="43"/>
      <c r="DN127" s="43"/>
      <c r="DO127" s="43"/>
      <c r="DP127" s="43"/>
      <c r="DQ127" s="43"/>
      <c r="DR127" s="43"/>
      <c r="DS127" s="43"/>
      <c r="DT127" s="43"/>
      <c r="DU127" s="43"/>
      <c r="DV127" s="43"/>
      <c r="DW127" s="43"/>
      <c r="DX127" s="43"/>
      <c r="DY127" s="43"/>
      <c r="DZ127" s="43"/>
      <c r="EA127" s="43"/>
      <c r="EB127" s="43"/>
      <c r="EC127" s="43"/>
      <c r="ED127" s="43"/>
      <c r="EE127" s="43"/>
      <c r="EF127" s="43"/>
      <c r="EG127" s="43"/>
      <c r="EH127" s="43"/>
      <c r="EI127" s="43"/>
      <c r="EJ127" s="43"/>
      <c r="EK127" s="43"/>
      <c r="EL127" s="43"/>
      <c r="EM127" s="43"/>
      <c r="EN127" s="43"/>
      <c r="EO127" s="43"/>
      <c r="EP127" s="43"/>
      <c r="EQ127" s="43"/>
      <c r="ER127" s="43"/>
      <c r="ES127" s="43"/>
      <c r="ET127" s="43"/>
      <c r="EU127" s="43"/>
      <c r="EV127" s="43"/>
      <c r="EW127" s="43"/>
      <c r="EX127" s="43"/>
      <c r="EY127" s="43"/>
      <c r="EZ127" s="43"/>
      <c r="FA127" s="43"/>
      <c r="FB127" s="43"/>
      <c r="FC127" s="43"/>
      <c r="FD127" s="43"/>
      <c r="FE127" s="43"/>
      <c r="FF127" s="43"/>
      <c r="FG127" s="43"/>
      <c r="FH127" s="43"/>
      <c r="FI127" s="43"/>
      <c r="FJ127" s="43"/>
      <c r="FK127" s="43"/>
      <c r="FL127" s="43"/>
      <c r="FM127" s="43"/>
      <c r="FN127" s="43"/>
      <c r="FO127" s="43"/>
      <c r="FP127" s="43"/>
      <c r="FQ127" s="43"/>
      <c r="FR127" s="43"/>
      <c r="FS127" s="43"/>
      <c r="FT127" s="43"/>
      <c r="FU127" s="43"/>
      <c r="FV127" s="43"/>
      <c r="FW127" s="43"/>
      <c r="FX127" s="43"/>
      <c r="FY127" s="43"/>
      <c r="FZ127" s="43"/>
      <c r="GA127" s="43"/>
      <c r="GB127" s="43"/>
      <c r="GC127" s="43"/>
      <c r="GD127" s="43"/>
      <c r="GE127" s="43"/>
      <c r="GF127" s="43"/>
      <c r="GG127" s="43"/>
      <c r="GH127" s="43"/>
      <c r="GI127" s="43"/>
      <c r="GJ127" s="43"/>
      <c r="GK127" s="43"/>
      <c r="GL127" s="43"/>
      <c r="GM127" s="43"/>
      <c r="GN127" s="43"/>
      <c r="GO127" s="43"/>
      <c r="GP127" s="43"/>
      <c r="GQ127" s="43"/>
      <c r="GR127" s="43"/>
      <c r="GS127" s="43"/>
      <c r="GT127" s="43"/>
      <c r="GU127" s="43"/>
      <c r="GV127" s="43"/>
      <c r="GW127" s="43"/>
      <c r="GX127" s="43"/>
      <c r="GY127" s="43"/>
      <c r="GZ127" s="43"/>
      <c r="HA127" s="43"/>
      <c r="HB127" s="43"/>
      <c r="HC127" s="43"/>
      <c r="HD127" s="43"/>
      <c r="HE127" s="43"/>
      <c r="HF127" s="43"/>
      <c r="HG127" s="43"/>
      <c r="HH127" s="43"/>
      <c r="HI127" s="43"/>
      <c r="HJ127" s="43"/>
      <c r="HK127" s="43"/>
      <c r="HL127" s="43"/>
      <c r="HM127" s="43"/>
      <c r="HN127" s="43"/>
      <c r="HO127" s="43"/>
      <c r="HP127" s="43"/>
      <c r="HQ127" s="43"/>
      <c r="HR127" s="43"/>
      <c r="HS127" s="43"/>
      <c r="HT127" s="43"/>
      <c r="HU127" s="43"/>
      <c r="HV127" s="43"/>
      <c r="HW127" s="43"/>
      <c r="HX127" s="43"/>
      <c r="HY127" s="43"/>
      <c r="HZ127" s="43"/>
      <c r="IA127" s="43"/>
      <c r="IB127" s="43"/>
      <c r="IC127" s="43"/>
      <c r="ID127" s="43"/>
      <c r="IE127" s="43"/>
      <c r="IF127" s="43"/>
      <c r="IG127" s="43"/>
      <c r="IH127" s="43"/>
      <c r="II127" s="43"/>
      <c r="IJ127" s="43"/>
      <c r="IK127" s="43"/>
      <c r="IL127" s="43"/>
      <c r="IM127" s="43"/>
      <c r="IN127" s="43"/>
      <c r="IO127" s="43"/>
      <c r="IP127" s="43"/>
      <c r="IQ127" s="43"/>
      <c r="IR127" s="43"/>
      <c r="IS127" s="43"/>
      <c r="IT127" s="43"/>
      <c r="IU127" s="43"/>
      <c r="IV127" s="43"/>
      <c r="IW127" s="43"/>
      <c r="IX127" s="43"/>
      <c r="IY127" s="43"/>
      <c r="IZ127" s="43"/>
      <c r="JA127" s="43"/>
      <c r="JB127" s="43"/>
      <c r="JC127" s="43"/>
      <c r="JD127" s="43"/>
      <c r="JE127" s="43"/>
      <c r="JF127" s="43"/>
      <c r="JG127" s="43"/>
      <c r="JH127" s="43"/>
      <c r="JI127" s="43"/>
      <c r="JJ127" s="43"/>
      <c r="JK127" s="43"/>
      <c r="JL127" s="43"/>
      <c r="JM127" s="43"/>
      <c r="JN127" s="43"/>
      <c r="JO127" s="43"/>
      <c r="JP127" s="43"/>
      <c r="JQ127" s="43"/>
      <c r="JR127" s="43"/>
      <c r="JS127" s="43"/>
      <c r="JT127" s="43"/>
      <c r="JU127" s="43"/>
      <c r="JV127" s="43"/>
      <c r="JW127" s="43"/>
      <c r="JX127" s="43"/>
      <c r="JY127" s="43"/>
      <c r="JZ127" s="43"/>
      <c r="KA127" s="43"/>
      <c r="KB127" s="43"/>
      <c r="KC127" s="43"/>
      <c r="KD127" s="43"/>
      <c r="KE127" s="43"/>
      <c r="KF127" s="43"/>
      <c r="KG127" s="43"/>
      <c r="KH127" s="43"/>
      <c r="KI127" s="43"/>
      <c r="KJ127" s="43"/>
      <c r="KK127" s="43"/>
      <c r="KL127" s="43"/>
      <c r="KM127" s="43"/>
      <c r="KN127" s="43"/>
      <c r="KO127" s="43"/>
      <c r="KP127" s="43"/>
      <c r="KQ127" s="43"/>
      <c r="KR127" s="43"/>
      <c r="KS127" s="43"/>
      <c r="KT127" s="43"/>
      <c r="KU127" s="43"/>
      <c r="KV127" s="43"/>
      <c r="KW127" s="43"/>
      <c r="KX127" s="43"/>
      <c r="KY127" s="43"/>
      <c r="KZ127" s="43"/>
      <c r="LA127" s="43"/>
      <c r="LB127" s="43"/>
      <c r="LC127" s="43"/>
      <c r="LD127" s="43"/>
      <c r="LE127" s="43"/>
      <c r="LF127" s="43"/>
      <c r="LG127" s="43"/>
      <c r="LH127" s="43"/>
      <c r="LI127" s="43"/>
      <c r="LJ127" s="43"/>
      <c r="LK127" s="43"/>
      <c r="LL127" s="43"/>
      <c r="LM127" s="43"/>
      <c r="LN127" s="43"/>
      <c r="LO127" s="43"/>
      <c r="LP127" s="43"/>
      <c r="LQ127" s="43"/>
      <c r="LR127" s="43"/>
      <c r="LS127" s="43"/>
      <c r="LT127" s="43"/>
      <c r="LU127" s="43"/>
      <c r="LV127" s="43"/>
      <c r="LW127" s="43"/>
      <c r="LX127" s="43"/>
      <c r="LY127" s="43"/>
      <c r="LZ127" s="43"/>
      <c r="MA127" s="43"/>
      <c r="MB127" s="43"/>
      <c r="MC127" s="43"/>
      <c r="MD127" s="43"/>
      <c r="ME127" s="43"/>
      <c r="MF127" s="43"/>
      <c r="MG127" s="43"/>
      <c r="MH127" s="43"/>
      <c r="MI127" s="43"/>
      <c r="MJ127" s="43"/>
      <c r="MK127" s="43"/>
      <c r="ML127" s="43"/>
      <c r="MM127" s="43"/>
      <c r="MN127" s="43"/>
      <c r="MO127" s="43"/>
      <c r="MP127" s="43"/>
      <c r="MQ127" s="43"/>
      <c r="MR127" s="43"/>
      <c r="MS127" s="43"/>
      <c r="MT127" s="43"/>
      <c r="MU127" s="43"/>
      <c r="MV127" s="43"/>
      <c r="MW127" s="43"/>
      <c r="MX127" s="43"/>
      <c r="MY127" s="43"/>
      <c r="MZ127" s="43"/>
      <c r="NA127" s="43"/>
      <c r="NB127" s="43"/>
      <c r="NC127" s="43"/>
      <c r="ND127" s="43"/>
      <c r="NE127" s="43"/>
      <c r="NF127" s="43"/>
      <c r="NG127" s="43"/>
      <c r="NH127" s="43"/>
      <c r="NI127" s="43"/>
      <c r="NJ127" s="43"/>
      <c r="NK127" s="43"/>
      <c r="NL127" s="43"/>
      <c r="NM127" s="43"/>
      <c r="NN127" s="43"/>
      <c r="NO127" s="43"/>
      <c r="NP127" s="43"/>
      <c r="NQ127" s="43"/>
      <c r="NR127" s="43"/>
      <c r="NS127" s="43"/>
      <c r="NT127" s="43"/>
      <c r="NU127" s="43"/>
      <c r="NV127" s="43"/>
      <c r="NW127" s="43"/>
      <c r="NX127" s="43"/>
      <c r="NY127" s="43"/>
      <c r="NZ127" s="43"/>
      <c r="OA127" s="43"/>
      <c r="OB127" s="43"/>
      <c r="OC127" s="43"/>
      <c r="OD127" s="43"/>
      <c r="OE127" s="43"/>
      <c r="OF127" s="43"/>
      <c r="OG127" s="43"/>
      <c r="OH127" s="43"/>
      <c r="OI127" s="43"/>
      <c r="OJ127" s="43"/>
      <c r="OK127" s="43"/>
      <c r="OL127" s="43"/>
      <c r="OM127" s="43"/>
      <c r="ON127" s="43"/>
      <c r="OO127" s="43"/>
      <c r="OP127" s="43"/>
      <c r="OQ127" s="43"/>
      <c r="OR127" s="43"/>
      <c r="OS127" s="43"/>
      <c r="OT127" s="43"/>
      <c r="OU127" s="43"/>
      <c r="OV127" s="43"/>
      <c r="OW127" s="43"/>
      <c r="OX127" s="43"/>
      <c r="OY127" s="43"/>
      <c r="OZ127" s="43"/>
      <c r="PA127" s="43"/>
      <c r="PB127" s="43"/>
      <c r="PC127" s="43"/>
      <c r="PD127" s="43"/>
      <c r="PE127" s="43"/>
      <c r="PF127" s="43"/>
      <c r="PG127" s="43"/>
      <c r="PH127" s="43"/>
      <c r="PI127" s="43"/>
      <c r="PJ127" s="43"/>
      <c r="PK127" s="43"/>
      <c r="PL127" s="43"/>
      <c r="PM127" s="43"/>
      <c r="PN127" s="43"/>
      <c r="PO127" s="43"/>
      <c r="PP127" s="43"/>
      <c r="PQ127" s="43"/>
      <c r="PR127" s="43"/>
      <c r="PS127" s="43"/>
      <c r="PT127" s="43"/>
      <c r="PU127" s="43"/>
      <c r="PV127" s="43"/>
      <c r="PW127" s="43"/>
      <c r="PX127" s="43"/>
      <c r="PY127" s="43"/>
      <c r="PZ127" s="43"/>
      <c r="QA127" s="43"/>
      <c r="QB127" s="43"/>
      <c r="QC127" s="43"/>
    </row>
    <row r="128" spans="1:445" x14ac:dyDescent="0.3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 t="str">
        <f t="shared" si="11"/>
        <v/>
      </c>
      <c r="U128" s="45" t="str">
        <f t="shared" si="12"/>
        <v/>
      </c>
      <c r="V128" s="68" t="str">
        <f t="shared" si="13"/>
        <v/>
      </c>
      <c r="W128" s="48"/>
      <c r="X128" s="66" t="str">
        <f t="shared" si="14"/>
        <v/>
      </c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43"/>
      <c r="BN128" s="43"/>
      <c r="BO128" s="43"/>
      <c r="BP128" s="43"/>
      <c r="BQ128" s="43"/>
      <c r="BR128" s="43"/>
      <c r="BS128" s="43"/>
      <c r="BT128" s="43"/>
      <c r="BU128" s="43"/>
      <c r="BV128" s="43"/>
      <c r="BW128" s="43"/>
      <c r="BX128" s="43"/>
      <c r="BY128" s="43"/>
      <c r="BZ128" s="43"/>
      <c r="CA128" s="43"/>
      <c r="CB128" s="43"/>
      <c r="CC128" s="43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43"/>
      <c r="CY128" s="43"/>
      <c r="CZ128" s="43"/>
      <c r="DA128" s="43"/>
      <c r="DB128" s="43"/>
      <c r="DC128" s="43"/>
      <c r="DD128" s="43"/>
      <c r="DE128" s="43"/>
      <c r="DF128" s="43"/>
      <c r="DG128" s="43"/>
      <c r="DH128" s="43"/>
      <c r="DI128" s="43"/>
      <c r="DJ128" s="43"/>
      <c r="DK128" s="43"/>
      <c r="DL128" s="43"/>
      <c r="DM128" s="43"/>
      <c r="DN128" s="43"/>
      <c r="DO128" s="43"/>
      <c r="DP128" s="43"/>
      <c r="DQ128" s="43"/>
      <c r="DR128" s="43"/>
      <c r="DS128" s="43"/>
      <c r="DT128" s="43"/>
      <c r="DU128" s="43"/>
      <c r="DV128" s="43"/>
      <c r="DW128" s="43"/>
      <c r="DX128" s="43"/>
      <c r="DY128" s="43"/>
      <c r="DZ128" s="43"/>
      <c r="EA128" s="43"/>
      <c r="EB128" s="43"/>
      <c r="EC128" s="43"/>
      <c r="ED128" s="43"/>
      <c r="EE128" s="43"/>
      <c r="EF128" s="43"/>
      <c r="EG128" s="43"/>
      <c r="EH128" s="43"/>
      <c r="EI128" s="43"/>
      <c r="EJ128" s="43"/>
      <c r="EK128" s="43"/>
      <c r="EL128" s="43"/>
      <c r="EM128" s="43"/>
      <c r="EN128" s="43"/>
      <c r="EO128" s="43"/>
      <c r="EP128" s="43"/>
      <c r="EQ128" s="43"/>
      <c r="ER128" s="43"/>
      <c r="ES128" s="43"/>
      <c r="ET128" s="43"/>
      <c r="EU128" s="43"/>
      <c r="EV128" s="43"/>
      <c r="EW128" s="43"/>
      <c r="EX128" s="43"/>
      <c r="EY128" s="43"/>
      <c r="EZ128" s="43"/>
      <c r="FA128" s="43"/>
      <c r="FB128" s="43"/>
      <c r="FC128" s="43"/>
      <c r="FD128" s="43"/>
      <c r="FE128" s="43"/>
      <c r="FF128" s="43"/>
      <c r="FG128" s="43"/>
      <c r="FH128" s="43"/>
      <c r="FI128" s="43"/>
      <c r="FJ128" s="43"/>
      <c r="FK128" s="43"/>
      <c r="FL128" s="43"/>
      <c r="FM128" s="43"/>
      <c r="FN128" s="43"/>
      <c r="FO128" s="43"/>
      <c r="FP128" s="43"/>
      <c r="FQ128" s="43"/>
      <c r="FR128" s="43"/>
      <c r="FS128" s="43"/>
      <c r="FT128" s="43"/>
      <c r="FU128" s="43"/>
      <c r="FV128" s="43"/>
      <c r="FW128" s="43"/>
      <c r="FX128" s="43"/>
      <c r="FY128" s="43"/>
      <c r="FZ128" s="43"/>
      <c r="GA128" s="43"/>
      <c r="GB128" s="43"/>
      <c r="GC128" s="43"/>
      <c r="GD128" s="43"/>
      <c r="GE128" s="43"/>
      <c r="GF128" s="43"/>
      <c r="GG128" s="43"/>
      <c r="GH128" s="43"/>
      <c r="GI128" s="43"/>
      <c r="GJ128" s="43"/>
      <c r="GK128" s="43"/>
      <c r="GL128" s="43"/>
      <c r="GM128" s="43"/>
      <c r="GN128" s="43"/>
      <c r="GO128" s="43"/>
      <c r="GP128" s="43"/>
      <c r="GQ128" s="43"/>
      <c r="GR128" s="43"/>
      <c r="GS128" s="43"/>
      <c r="GT128" s="43"/>
      <c r="GU128" s="43"/>
      <c r="GV128" s="43"/>
      <c r="GW128" s="43"/>
      <c r="GX128" s="43"/>
      <c r="GY128" s="43"/>
      <c r="GZ128" s="43"/>
      <c r="HA128" s="43"/>
      <c r="HB128" s="43"/>
      <c r="HC128" s="43"/>
      <c r="HD128" s="43"/>
      <c r="HE128" s="43"/>
      <c r="HF128" s="43"/>
      <c r="HG128" s="43"/>
      <c r="HH128" s="43"/>
      <c r="HI128" s="43"/>
      <c r="HJ128" s="43"/>
      <c r="HK128" s="43"/>
      <c r="HL128" s="43"/>
      <c r="HM128" s="43"/>
      <c r="HN128" s="43"/>
      <c r="HO128" s="43"/>
      <c r="HP128" s="43"/>
      <c r="HQ128" s="43"/>
      <c r="HR128" s="43"/>
      <c r="HS128" s="43"/>
      <c r="HT128" s="43"/>
      <c r="HU128" s="43"/>
      <c r="HV128" s="43"/>
      <c r="HW128" s="43"/>
      <c r="HX128" s="43"/>
      <c r="HY128" s="43"/>
      <c r="HZ128" s="43"/>
      <c r="IA128" s="43"/>
      <c r="IB128" s="43"/>
      <c r="IC128" s="43"/>
      <c r="ID128" s="43"/>
      <c r="IE128" s="43"/>
      <c r="IF128" s="43"/>
      <c r="IG128" s="43"/>
      <c r="IH128" s="43"/>
      <c r="II128" s="43"/>
      <c r="IJ128" s="43"/>
      <c r="IK128" s="43"/>
      <c r="IL128" s="43"/>
      <c r="IM128" s="43"/>
      <c r="IN128" s="43"/>
      <c r="IO128" s="43"/>
      <c r="IP128" s="43"/>
      <c r="IQ128" s="43"/>
      <c r="IR128" s="43"/>
      <c r="IS128" s="43"/>
      <c r="IT128" s="43"/>
      <c r="IU128" s="43"/>
      <c r="IV128" s="43"/>
      <c r="IW128" s="43"/>
      <c r="IX128" s="43"/>
      <c r="IY128" s="43"/>
      <c r="IZ128" s="43"/>
      <c r="JA128" s="43"/>
      <c r="JB128" s="43"/>
      <c r="JC128" s="43"/>
      <c r="JD128" s="43"/>
      <c r="JE128" s="43"/>
      <c r="JF128" s="43"/>
      <c r="JG128" s="43"/>
      <c r="JH128" s="43"/>
      <c r="JI128" s="43"/>
      <c r="JJ128" s="43"/>
      <c r="JK128" s="43"/>
      <c r="JL128" s="43"/>
      <c r="JM128" s="43"/>
      <c r="JN128" s="43"/>
      <c r="JO128" s="43"/>
      <c r="JP128" s="43"/>
      <c r="JQ128" s="43"/>
      <c r="JR128" s="43"/>
      <c r="JS128" s="43"/>
      <c r="JT128" s="43"/>
      <c r="JU128" s="43"/>
      <c r="JV128" s="43"/>
      <c r="JW128" s="43"/>
      <c r="JX128" s="43"/>
      <c r="JY128" s="43"/>
      <c r="JZ128" s="43"/>
      <c r="KA128" s="43"/>
      <c r="KB128" s="43"/>
      <c r="KC128" s="43"/>
      <c r="KD128" s="43"/>
      <c r="KE128" s="43"/>
      <c r="KF128" s="43"/>
      <c r="KG128" s="43"/>
      <c r="KH128" s="43"/>
      <c r="KI128" s="43"/>
      <c r="KJ128" s="43"/>
      <c r="KK128" s="43"/>
      <c r="KL128" s="43"/>
      <c r="KM128" s="43"/>
      <c r="KN128" s="43"/>
      <c r="KO128" s="43"/>
      <c r="KP128" s="43"/>
      <c r="KQ128" s="43"/>
      <c r="KR128" s="43"/>
      <c r="KS128" s="43"/>
      <c r="KT128" s="43"/>
      <c r="KU128" s="43"/>
      <c r="KV128" s="43"/>
      <c r="KW128" s="43"/>
      <c r="KX128" s="43"/>
      <c r="KY128" s="43"/>
      <c r="KZ128" s="43"/>
      <c r="LA128" s="43"/>
      <c r="LB128" s="43"/>
      <c r="LC128" s="43"/>
      <c r="LD128" s="43"/>
      <c r="LE128" s="43"/>
      <c r="LF128" s="43"/>
      <c r="LG128" s="43"/>
      <c r="LH128" s="43"/>
      <c r="LI128" s="43"/>
      <c r="LJ128" s="43"/>
      <c r="LK128" s="43"/>
      <c r="LL128" s="43"/>
      <c r="LM128" s="43"/>
      <c r="LN128" s="43"/>
      <c r="LO128" s="43"/>
      <c r="LP128" s="43"/>
      <c r="LQ128" s="43"/>
      <c r="LR128" s="43"/>
      <c r="LS128" s="43"/>
      <c r="LT128" s="43"/>
      <c r="LU128" s="43"/>
      <c r="LV128" s="43"/>
      <c r="LW128" s="43"/>
      <c r="LX128" s="43"/>
      <c r="LY128" s="43"/>
      <c r="LZ128" s="43"/>
      <c r="MA128" s="43"/>
      <c r="MB128" s="43"/>
      <c r="MC128" s="43"/>
      <c r="MD128" s="43"/>
      <c r="ME128" s="43"/>
      <c r="MF128" s="43"/>
      <c r="MG128" s="43"/>
      <c r="MH128" s="43"/>
      <c r="MI128" s="43"/>
      <c r="MJ128" s="43"/>
      <c r="MK128" s="43"/>
      <c r="ML128" s="43"/>
      <c r="MM128" s="43"/>
      <c r="MN128" s="43"/>
      <c r="MO128" s="43"/>
      <c r="MP128" s="43"/>
      <c r="MQ128" s="43"/>
      <c r="MR128" s="43"/>
      <c r="MS128" s="43"/>
      <c r="MT128" s="43"/>
      <c r="MU128" s="43"/>
      <c r="MV128" s="43"/>
      <c r="MW128" s="43"/>
      <c r="MX128" s="43"/>
      <c r="MY128" s="43"/>
      <c r="MZ128" s="43"/>
      <c r="NA128" s="43"/>
      <c r="NB128" s="43"/>
      <c r="NC128" s="43"/>
      <c r="ND128" s="43"/>
      <c r="NE128" s="43"/>
      <c r="NF128" s="43"/>
      <c r="NG128" s="43"/>
      <c r="NH128" s="43"/>
      <c r="NI128" s="43"/>
      <c r="NJ128" s="43"/>
      <c r="NK128" s="43"/>
      <c r="NL128" s="43"/>
      <c r="NM128" s="43"/>
      <c r="NN128" s="43"/>
      <c r="NO128" s="43"/>
      <c r="NP128" s="43"/>
      <c r="NQ128" s="43"/>
      <c r="NR128" s="43"/>
      <c r="NS128" s="43"/>
      <c r="NT128" s="43"/>
      <c r="NU128" s="43"/>
      <c r="NV128" s="43"/>
      <c r="NW128" s="43"/>
      <c r="NX128" s="43"/>
      <c r="NY128" s="43"/>
      <c r="NZ128" s="43"/>
      <c r="OA128" s="43"/>
      <c r="OB128" s="43"/>
      <c r="OC128" s="43"/>
      <c r="OD128" s="43"/>
      <c r="OE128" s="43"/>
      <c r="OF128" s="43"/>
      <c r="OG128" s="43"/>
      <c r="OH128" s="43"/>
      <c r="OI128" s="43"/>
      <c r="OJ128" s="43"/>
      <c r="OK128" s="43"/>
      <c r="OL128" s="43"/>
      <c r="OM128" s="43"/>
      <c r="ON128" s="43"/>
      <c r="OO128" s="43"/>
      <c r="OP128" s="43"/>
      <c r="OQ128" s="43"/>
      <c r="OR128" s="43"/>
      <c r="OS128" s="43"/>
      <c r="OT128" s="43"/>
      <c r="OU128" s="43"/>
      <c r="OV128" s="43"/>
      <c r="OW128" s="43"/>
      <c r="OX128" s="43"/>
      <c r="OY128" s="43"/>
      <c r="OZ128" s="43"/>
      <c r="PA128" s="43"/>
      <c r="PB128" s="43"/>
      <c r="PC128" s="43"/>
      <c r="PD128" s="43"/>
      <c r="PE128" s="43"/>
      <c r="PF128" s="43"/>
      <c r="PG128" s="43"/>
      <c r="PH128" s="43"/>
      <c r="PI128" s="43"/>
      <c r="PJ128" s="43"/>
      <c r="PK128" s="43"/>
      <c r="PL128" s="43"/>
      <c r="PM128" s="43"/>
      <c r="PN128" s="43"/>
      <c r="PO128" s="43"/>
      <c r="PP128" s="43"/>
      <c r="PQ128" s="43"/>
      <c r="PR128" s="43"/>
      <c r="PS128" s="43"/>
      <c r="PT128" s="43"/>
      <c r="PU128" s="43"/>
      <c r="PV128" s="43"/>
      <c r="PW128" s="43"/>
      <c r="PX128" s="43"/>
      <c r="PY128" s="43"/>
      <c r="PZ128" s="43"/>
      <c r="QA128" s="43"/>
      <c r="QB128" s="43"/>
      <c r="QC128" s="43"/>
    </row>
    <row r="129" spans="1:445" x14ac:dyDescent="0.3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 t="str">
        <f t="shared" si="11"/>
        <v/>
      </c>
      <c r="U129" s="45" t="str">
        <f t="shared" si="12"/>
        <v/>
      </c>
      <c r="V129" s="68" t="str">
        <f t="shared" si="13"/>
        <v/>
      </c>
      <c r="W129" s="48"/>
      <c r="X129" s="66" t="str">
        <f t="shared" si="14"/>
        <v/>
      </c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43"/>
      <c r="BN129" s="43"/>
      <c r="BO129" s="43"/>
      <c r="BP129" s="43"/>
      <c r="BQ129" s="43"/>
      <c r="BR129" s="43"/>
      <c r="BS129" s="43"/>
      <c r="BT129" s="43"/>
      <c r="BU129" s="43"/>
      <c r="BV129" s="43"/>
      <c r="BW129" s="43"/>
      <c r="BX129" s="43"/>
      <c r="BY129" s="43"/>
      <c r="BZ129" s="43"/>
      <c r="CA129" s="43"/>
      <c r="CB129" s="43"/>
      <c r="CC129" s="43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43"/>
      <c r="CY129" s="43"/>
      <c r="CZ129" s="43"/>
      <c r="DA129" s="43"/>
      <c r="DB129" s="43"/>
      <c r="DC129" s="43"/>
      <c r="DD129" s="43"/>
      <c r="DE129" s="43"/>
      <c r="DF129" s="43"/>
      <c r="DG129" s="43"/>
      <c r="DH129" s="43"/>
      <c r="DI129" s="43"/>
      <c r="DJ129" s="43"/>
      <c r="DK129" s="43"/>
      <c r="DL129" s="43"/>
      <c r="DM129" s="43"/>
      <c r="DN129" s="43"/>
      <c r="DO129" s="43"/>
      <c r="DP129" s="43"/>
      <c r="DQ129" s="43"/>
      <c r="DR129" s="43"/>
      <c r="DS129" s="43"/>
      <c r="DT129" s="43"/>
      <c r="DU129" s="43"/>
      <c r="DV129" s="43"/>
      <c r="DW129" s="43"/>
      <c r="DX129" s="43"/>
      <c r="DY129" s="43"/>
      <c r="DZ129" s="43"/>
      <c r="EA129" s="43"/>
      <c r="EB129" s="43"/>
      <c r="EC129" s="43"/>
      <c r="ED129" s="43"/>
      <c r="EE129" s="43"/>
      <c r="EF129" s="43"/>
      <c r="EG129" s="43"/>
      <c r="EH129" s="43"/>
      <c r="EI129" s="43"/>
      <c r="EJ129" s="43"/>
      <c r="EK129" s="43"/>
      <c r="EL129" s="43"/>
      <c r="EM129" s="43"/>
      <c r="EN129" s="43"/>
      <c r="EO129" s="43"/>
      <c r="EP129" s="43"/>
      <c r="EQ129" s="43"/>
      <c r="ER129" s="43"/>
      <c r="ES129" s="43"/>
      <c r="ET129" s="43"/>
      <c r="EU129" s="43"/>
      <c r="EV129" s="43"/>
      <c r="EW129" s="43"/>
      <c r="EX129" s="43"/>
      <c r="EY129" s="43"/>
      <c r="EZ129" s="43"/>
      <c r="FA129" s="43"/>
      <c r="FB129" s="43"/>
      <c r="FC129" s="43"/>
      <c r="FD129" s="43"/>
      <c r="FE129" s="43"/>
      <c r="FF129" s="43"/>
      <c r="FG129" s="43"/>
      <c r="FH129" s="43"/>
      <c r="FI129" s="43"/>
      <c r="FJ129" s="43"/>
      <c r="FK129" s="43"/>
      <c r="FL129" s="43"/>
      <c r="FM129" s="43"/>
      <c r="FN129" s="43"/>
      <c r="FO129" s="43"/>
      <c r="FP129" s="43"/>
      <c r="FQ129" s="43"/>
      <c r="FR129" s="43"/>
      <c r="FS129" s="43"/>
      <c r="FT129" s="43"/>
      <c r="FU129" s="43"/>
      <c r="FV129" s="43"/>
      <c r="FW129" s="43"/>
      <c r="FX129" s="43"/>
      <c r="FY129" s="43"/>
      <c r="FZ129" s="43"/>
      <c r="GA129" s="43"/>
      <c r="GB129" s="43"/>
      <c r="GC129" s="43"/>
      <c r="GD129" s="43"/>
      <c r="GE129" s="43"/>
      <c r="GF129" s="43"/>
      <c r="GG129" s="43"/>
      <c r="GH129" s="43"/>
      <c r="GI129" s="43"/>
      <c r="GJ129" s="43"/>
      <c r="GK129" s="43"/>
      <c r="GL129" s="43"/>
      <c r="GM129" s="43"/>
      <c r="GN129" s="43"/>
      <c r="GO129" s="43"/>
      <c r="GP129" s="43"/>
      <c r="GQ129" s="43"/>
      <c r="GR129" s="43"/>
      <c r="GS129" s="43"/>
      <c r="GT129" s="43"/>
      <c r="GU129" s="43"/>
      <c r="GV129" s="43"/>
      <c r="GW129" s="43"/>
      <c r="GX129" s="43"/>
      <c r="GY129" s="43"/>
      <c r="GZ129" s="43"/>
      <c r="HA129" s="43"/>
      <c r="HB129" s="43"/>
      <c r="HC129" s="43"/>
      <c r="HD129" s="43"/>
      <c r="HE129" s="43"/>
      <c r="HF129" s="43"/>
      <c r="HG129" s="43"/>
      <c r="HH129" s="43"/>
      <c r="HI129" s="43"/>
      <c r="HJ129" s="43"/>
      <c r="HK129" s="43"/>
      <c r="HL129" s="43"/>
      <c r="HM129" s="43"/>
      <c r="HN129" s="43"/>
      <c r="HO129" s="43"/>
      <c r="HP129" s="43"/>
      <c r="HQ129" s="43"/>
      <c r="HR129" s="43"/>
      <c r="HS129" s="43"/>
      <c r="HT129" s="43"/>
      <c r="HU129" s="43"/>
      <c r="HV129" s="43"/>
      <c r="HW129" s="43"/>
      <c r="HX129" s="43"/>
      <c r="HY129" s="43"/>
      <c r="HZ129" s="43"/>
      <c r="IA129" s="43"/>
      <c r="IB129" s="43"/>
      <c r="IC129" s="43"/>
      <c r="ID129" s="43"/>
      <c r="IE129" s="43"/>
      <c r="IF129" s="43"/>
      <c r="IG129" s="43"/>
      <c r="IH129" s="43"/>
      <c r="II129" s="43"/>
      <c r="IJ129" s="43"/>
      <c r="IK129" s="43"/>
      <c r="IL129" s="43"/>
      <c r="IM129" s="43"/>
      <c r="IN129" s="43"/>
      <c r="IO129" s="43"/>
      <c r="IP129" s="43"/>
      <c r="IQ129" s="43"/>
      <c r="IR129" s="43"/>
      <c r="IS129" s="43"/>
      <c r="IT129" s="43"/>
      <c r="IU129" s="43"/>
      <c r="IV129" s="43"/>
      <c r="IW129" s="43"/>
      <c r="IX129" s="43"/>
      <c r="IY129" s="43"/>
      <c r="IZ129" s="43"/>
      <c r="JA129" s="43"/>
      <c r="JB129" s="43"/>
      <c r="JC129" s="43"/>
      <c r="JD129" s="43"/>
      <c r="JE129" s="43"/>
      <c r="JF129" s="43"/>
      <c r="JG129" s="43"/>
      <c r="JH129" s="43"/>
      <c r="JI129" s="43"/>
      <c r="JJ129" s="43"/>
      <c r="JK129" s="43"/>
      <c r="JL129" s="43"/>
      <c r="JM129" s="43"/>
      <c r="JN129" s="43"/>
      <c r="JO129" s="43"/>
      <c r="JP129" s="43"/>
      <c r="JQ129" s="43"/>
      <c r="JR129" s="43"/>
      <c r="JS129" s="43"/>
      <c r="JT129" s="43"/>
      <c r="JU129" s="43"/>
      <c r="JV129" s="43"/>
      <c r="JW129" s="43"/>
      <c r="JX129" s="43"/>
      <c r="JY129" s="43"/>
      <c r="JZ129" s="43"/>
      <c r="KA129" s="43"/>
      <c r="KB129" s="43"/>
      <c r="KC129" s="43"/>
      <c r="KD129" s="43"/>
      <c r="KE129" s="43"/>
      <c r="KF129" s="43"/>
      <c r="KG129" s="43"/>
      <c r="KH129" s="43"/>
      <c r="KI129" s="43"/>
      <c r="KJ129" s="43"/>
      <c r="KK129" s="43"/>
      <c r="KL129" s="43"/>
      <c r="KM129" s="43"/>
      <c r="KN129" s="43"/>
      <c r="KO129" s="43"/>
      <c r="KP129" s="43"/>
      <c r="KQ129" s="43"/>
      <c r="KR129" s="43"/>
      <c r="KS129" s="43"/>
      <c r="KT129" s="43"/>
      <c r="KU129" s="43"/>
      <c r="KV129" s="43"/>
      <c r="KW129" s="43"/>
      <c r="KX129" s="43"/>
      <c r="KY129" s="43"/>
      <c r="KZ129" s="43"/>
      <c r="LA129" s="43"/>
      <c r="LB129" s="43"/>
      <c r="LC129" s="43"/>
      <c r="LD129" s="43"/>
      <c r="LE129" s="43"/>
      <c r="LF129" s="43"/>
      <c r="LG129" s="43"/>
      <c r="LH129" s="43"/>
      <c r="LI129" s="43"/>
      <c r="LJ129" s="43"/>
      <c r="LK129" s="43"/>
      <c r="LL129" s="43"/>
      <c r="LM129" s="43"/>
      <c r="LN129" s="43"/>
      <c r="LO129" s="43"/>
      <c r="LP129" s="43"/>
      <c r="LQ129" s="43"/>
      <c r="LR129" s="43"/>
      <c r="LS129" s="43"/>
      <c r="LT129" s="43"/>
      <c r="LU129" s="43"/>
      <c r="LV129" s="43"/>
      <c r="LW129" s="43"/>
      <c r="LX129" s="43"/>
      <c r="LY129" s="43"/>
      <c r="LZ129" s="43"/>
      <c r="MA129" s="43"/>
      <c r="MB129" s="43"/>
      <c r="MC129" s="43"/>
      <c r="MD129" s="43"/>
      <c r="ME129" s="43"/>
      <c r="MF129" s="43"/>
      <c r="MG129" s="43"/>
      <c r="MH129" s="43"/>
      <c r="MI129" s="43"/>
      <c r="MJ129" s="43"/>
      <c r="MK129" s="43"/>
      <c r="ML129" s="43"/>
      <c r="MM129" s="43"/>
      <c r="MN129" s="43"/>
      <c r="MO129" s="43"/>
      <c r="MP129" s="43"/>
      <c r="MQ129" s="43"/>
      <c r="MR129" s="43"/>
      <c r="MS129" s="43"/>
      <c r="MT129" s="43"/>
      <c r="MU129" s="43"/>
      <c r="MV129" s="43"/>
      <c r="MW129" s="43"/>
      <c r="MX129" s="43"/>
      <c r="MY129" s="43"/>
      <c r="MZ129" s="43"/>
      <c r="NA129" s="43"/>
      <c r="NB129" s="43"/>
      <c r="NC129" s="43"/>
      <c r="ND129" s="43"/>
      <c r="NE129" s="43"/>
      <c r="NF129" s="43"/>
      <c r="NG129" s="43"/>
      <c r="NH129" s="43"/>
      <c r="NI129" s="43"/>
      <c r="NJ129" s="43"/>
      <c r="NK129" s="43"/>
      <c r="NL129" s="43"/>
      <c r="NM129" s="43"/>
      <c r="NN129" s="43"/>
      <c r="NO129" s="43"/>
      <c r="NP129" s="43"/>
      <c r="NQ129" s="43"/>
      <c r="NR129" s="43"/>
      <c r="NS129" s="43"/>
      <c r="NT129" s="43"/>
      <c r="NU129" s="43"/>
      <c r="NV129" s="43"/>
      <c r="NW129" s="43"/>
      <c r="NX129" s="43"/>
      <c r="NY129" s="43"/>
      <c r="NZ129" s="43"/>
      <c r="OA129" s="43"/>
      <c r="OB129" s="43"/>
      <c r="OC129" s="43"/>
      <c r="OD129" s="43"/>
      <c r="OE129" s="43"/>
      <c r="OF129" s="43"/>
      <c r="OG129" s="43"/>
      <c r="OH129" s="43"/>
      <c r="OI129" s="43"/>
      <c r="OJ129" s="43"/>
      <c r="OK129" s="43"/>
      <c r="OL129" s="43"/>
      <c r="OM129" s="43"/>
      <c r="ON129" s="43"/>
      <c r="OO129" s="43"/>
      <c r="OP129" s="43"/>
      <c r="OQ129" s="43"/>
      <c r="OR129" s="43"/>
      <c r="OS129" s="43"/>
      <c r="OT129" s="43"/>
      <c r="OU129" s="43"/>
      <c r="OV129" s="43"/>
      <c r="OW129" s="43"/>
      <c r="OX129" s="43"/>
      <c r="OY129" s="43"/>
      <c r="OZ129" s="43"/>
      <c r="PA129" s="43"/>
      <c r="PB129" s="43"/>
      <c r="PC129" s="43"/>
      <c r="PD129" s="43"/>
      <c r="PE129" s="43"/>
      <c r="PF129" s="43"/>
      <c r="PG129" s="43"/>
      <c r="PH129" s="43"/>
      <c r="PI129" s="43"/>
      <c r="PJ129" s="43"/>
      <c r="PK129" s="43"/>
      <c r="PL129" s="43"/>
      <c r="PM129" s="43"/>
      <c r="PN129" s="43"/>
      <c r="PO129" s="43"/>
      <c r="PP129" s="43"/>
      <c r="PQ129" s="43"/>
      <c r="PR129" s="43"/>
      <c r="PS129" s="43"/>
      <c r="PT129" s="43"/>
      <c r="PU129" s="43"/>
      <c r="PV129" s="43"/>
      <c r="PW129" s="43"/>
      <c r="PX129" s="43"/>
      <c r="PY129" s="43"/>
      <c r="PZ129" s="43"/>
      <c r="QA129" s="43"/>
      <c r="QB129" s="43"/>
      <c r="QC129" s="43"/>
    </row>
    <row r="130" spans="1:445" x14ac:dyDescent="0.3"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 t="str">
        <f t="shared" si="11"/>
        <v/>
      </c>
      <c r="U130" s="45" t="str">
        <f t="shared" si="12"/>
        <v/>
      </c>
      <c r="V130" s="68" t="str">
        <f t="shared" si="13"/>
        <v/>
      </c>
      <c r="X130" s="66" t="str">
        <f t="shared" si="14"/>
        <v/>
      </c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43"/>
      <c r="BN130" s="43"/>
      <c r="BO130" s="43"/>
      <c r="BP130" s="43"/>
      <c r="BQ130" s="43"/>
      <c r="BR130" s="43"/>
      <c r="BS130" s="43"/>
      <c r="BT130" s="43"/>
      <c r="BU130" s="43"/>
      <c r="BV130" s="43"/>
      <c r="BW130" s="43"/>
      <c r="BX130" s="43"/>
      <c r="BY130" s="43"/>
      <c r="BZ130" s="43"/>
      <c r="CA130" s="43"/>
      <c r="CB130" s="43"/>
      <c r="CC130" s="4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43"/>
      <c r="CY130" s="43"/>
      <c r="CZ130" s="43"/>
      <c r="DA130" s="43"/>
      <c r="DB130" s="43"/>
      <c r="DC130" s="43"/>
      <c r="DD130" s="43"/>
      <c r="DE130" s="43"/>
      <c r="DF130" s="43"/>
      <c r="DG130" s="43"/>
      <c r="DH130" s="43"/>
      <c r="DI130" s="43"/>
      <c r="DJ130" s="43"/>
      <c r="DK130" s="43"/>
      <c r="DL130" s="43"/>
      <c r="DM130" s="43"/>
      <c r="DN130" s="43"/>
      <c r="DO130" s="43"/>
      <c r="DP130" s="43"/>
      <c r="DQ130" s="43"/>
      <c r="DR130" s="43"/>
      <c r="DS130" s="43"/>
      <c r="DT130" s="43"/>
      <c r="DU130" s="43"/>
      <c r="DV130" s="43"/>
      <c r="DW130" s="43"/>
      <c r="DX130" s="43"/>
      <c r="DY130" s="43"/>
      <c r="DZ130" s="43"/>
      <c r="EA130" s="43"/>
      <c r="EB130" s="43"/>
      <c r="EC130" s="43"/>
      <c r="ED130" s="43"/>
      <c r="EE130" s="43"/>
      <c r="EF130" s="43"/>
      <c r="EG130" s="43"/>
      <c r="EH130" s="43"/>
      <c r="EI130" s="43"/>
      <c r="EJ130" s="43"/>
      <c r="EK130" s="43"/>
      <c r="EL130" s="43"/>
      <c r="EM130" s="43"/>
      <c r="EN130" s="43"/>
      <c r="EO130" s="43"/>
      <c r="EP130" s="43"/>
      <c r="EQ130" s="43"/>
      <c r="ER130" s="43"/>
      <c r="ES130" s="43"/>
      <c r="ET130" s="43"/>
      <c r="EU130" s="43"/>
      <c r="EV130" s="43"/>
      <c r="EW130" s="43"/>
      <c r="EX130" s="43"/>
      <c r="EY130" s="43"/>
      <c r="EZ130" s="43"/>
      <c r="FA130" s="43"/>
      <c r="FB130" s="43"/>
      <c r="FC130" s="43"/>
      <c r="FD130" s="43"/>
      <c r="FE130" s="43"/>
      <c r="FF130" s="43"/>
      <c r="FG130" s="43"/>
      <c r="FH130" s="43"/>
      <c r="FI130" s="43"/>
      <c r="FJ130" s="43"/>
      <c r="FK130" s="43"/>
      <c r="FL130" s="43"/>
      <c r="FM130" s="43"/>
      <c r="FN130" s="43"/>
      <c r="FO130" s="43"/>
      <c r="FP130" s="43"/>
      <c r="FQ130" s="43"/>
      <c r="FR130" s="43"/>
      <c r="FS130" s="43"/>
      <c r="FT130" s="43"/>
      <c r="FU130" s="43"/>
      <c r="FV130" s="43"/>
      <c r="FW130" s="43"/>
      <c r="FX130" s="43"/>
      <c r="FY130" s="43"/>
      <c r="FZ130" s="43"/>
      <c r="GA130" s="43"/>
      <c r="GB130" s="43"/>
      <c r="GC130" s="43"/>
      <c r="GD130" s="43"/>
      <c r="GE130" s="43"/>
      <c r="GF130" s="43"/>
      <c r="GG130" s="43"/>
      <c r="GH130" s="43"/>
      <c r="GI130" s="43"/>
      <c r="GJ130" s="43"/>
      <c r="GK130" s="43"/>
      <c r="GL130" s="43"/>
      <c r="GM130" s="43"/>
      <c r="GN130" s="43"/>
      <c r="GO130" s="43"/>
      <c r="GP130" s="43"/>
      <c r="GQ130" s="43"/>
      <c r="GR130" s="43"/>
      <c r="GS130" s="43"/>
      <c r="GT130" s="43"/>
      <c r="GU130" s="43"/>
      <c r="GV130" s="43"/>
      <c r="GW130" s="43"/>
      <c r="GX130" s="43"/>
      <c r="GY130" s="43"/>
      <c r="GZ130" s="43"/>
      <c r="HA130" s="43"/>
      <c r="HB130" s="43"/>
      <c r="HC130" s="43"/>
      <c r="HD130" s="43"/>
      <c r="HE130" s="43"/>
      <c r="HF130" s="43"/>
      <c r="HG130" s="43"/>
      <c r="HH130" s="43"/>
      <c r="HI130" s="43"/>
      <c r="HJ130" s="43"/>
      <c r="HK130" s="43"/>
      <c r="HL130" s="43"/>
      <c r="HM130" s="43"/>
      <c r="HN130" s="43"/>
      <c r="HO130" s="43"/>
      <c r="HP130" s="43"/>
      <c r="HQ130" s="43"/>
      <c r="HR130" s="43"/>
      <c r="HS130" s="43"/>
      <c r="HT130" s="43"/>
      <c r="HU130" s="43"/>
      <c r="HV130" s="43"/>
      <c r="HW130" s="43"/>
      <c r="HX130" s="43"/>
      <c r="HY130" s="43"/>
      <c r="HZ130" s="43"/>
      <c r="IA130" s="43"/>
      <c r="IB130" s="43"/>
      <c r="IC130" s="43"/>
      <c r="ID130" s="43"/>
      <c r="IE130" s="43"/>
      <c r="IF130" s="43"/>
      <c r="IG130" s="43"/>
      <c r="IH130" s="43"/>
      <c r="II130" s="43"/>
      <c r="IJ130" s="43"/>
      <c r="IK130" s="43"/>
      <c r="IL130" s="43"/>
      <c r="IM130" s="43"/>
      <c r="IN130" s="43"/>
      <c r="IO130" s="43"/>
      <c r="IP130" s="43"/>
      <c r="IQ130" s="43"/>
      <c r="IR130" s="43"/>
      <c r="IS130" s="43"/>
      <c r="IT130" s="43"/>
      <c r="IU130" s="43"/>
      <c r="IV130" s="43"/>
      <c r="IW130" s="43"/>
      <c r="IX130" s="43"/>
      <c r="IY130" s="43"/>
      <c r="IZ130" s="43"/>
      <c r="JA130" s="43"/>
      <c r="JB130" s="43"/>
      <c r="JC130" s="43"/>
      <c r="JD130" s="43"/>
      <c r="JE130" s="43"/>
      <c r="JF130" s="43"/>
      <c r="JG130" s="43"/>
      <c r="JH130" s="43"/>
      <c r="JI130" s="43"/>
      <c r="JJ130" s="43"/>
      <c r="JK130" s="43"/>
      <c r="JL130" s="43"/>
      <c r="JM130" s="43"/>
      <c r="JN130" s="43"/>
      <c r="JO130" s="43"/>
      <c r="JP130" s="43"/>
      <c r="JQ130" s="43"/>
      <c r="JR130" s="43"/>
      <c r="JS130" s="43"/>
      <c r="JT130" s="43"/>
      <c r="JU130" s="43"/>
      <c r="JV130" s="43"/>
      <c r="JW130" s="43"/>
      <c r="JX130" s="43"/>
      <c r="JY130" s="43"/>
      <c r="JZ130" s="43"/>
      <c r="KA130" s="43"/>
      <c r="KB130" s="43"/>
      <c r="KC130" s="43"/>
      <c r="KD130" s="43"/>
      <c r="KE130" s="43"/>
      <c r="KF130" s="43"/>
      <c r="KG130" s="43"/>
      <c r="KH130" s="43"/>
      <c r="KI130" s="43"/>
      <c r="KJ130" s="43"/>
      <c r="KK130" s="43"/>
      <c r="KL130" s="43"/>
      <c r="KM130" s="43"/>
      <c r="KN130" s="43"/>
      <c r="KO130" s="43"/>
      <c r="KP130" s="43"/>
      <c r="KQ130" s="43"/>
      <c r="KR130" s="43"/>
      <c r="KS130" s="43"/>
      <c r="KT130" s="43"/>
      <c r="KU130" s="43"/>
      <c r="KV130" s="43"/>
      <c r="KW130" s="43"/>
      <c r="KX130" s="43"/>
      <c r="KY130" s="43"/>
      <c r="KZ130" s="43"/>
      <c r="LA130" s="43"/>
      <c r="LB130" s="43"/>
      <c r="LC130" s="43"/>
      <c r="LD130" s="43"/>
      <c r="LE130" s="43"/>
      <c r="LF130" s="43"/>
      <c r="LG130" s="43"/>
      <c r="LH130" s="43"/>
      <c r="LI130" s="43"/>
      <c r="LJ130" s="43"/>
      <c r="LK130" s="43"/>
      <c r="LL130" s="43"/>
      <c r="LM130" s="43"/>
      <c r="LN130" s="43"/>
      <c r="LO130" s="43"/>
      <c r="LP130" s="43"/>
      <c r="LQ130" s="43"/>
      <c r="LR130" s="43"/>
      <c r="LS130" s="43"/>
      <c r="LT130" s="43"/>
      <c r="LU130" s="43"/>
      <c r="LV130" s="43"/>
      <c r="LW130" s="43"/>
      <c r="LX130" s="43"/>
      <c r="LY130" s="43"/>
      <c r="LZ130" s="43"/>
      <c r="MA130" s="43"/>
      <c r="MB130" s="43"/>
      <c r="MC130" s="43"/>
      <c r="MD130" s="43"/>
      <c r="ME130" s="43"/>
      <c r="MF130" s="43"/>
      <c r="MG130" s="43"/>
      <c r="MH130" s="43"/>
      <c r="MI130" s="43"/>
      <c r="MJ130" s="43"/>
      <c r="MK130" s="43"/>
      <c r="ML130" s="43"/>
      <c r="MM130" s="43"/>
      <c r="MN130" s="43"/>
      <c r="MO130" s="43"/>
      <c r="MP130" s="43"/>
      <c r="MQ130" s="43"/>
      <c r="MR130" s="43"/>
      <c r="MS130" s="43"/>
      <c r="MT130" s="43"/>
      <c r="MU130" s="43"/>
      <c r="MV130" s="43"/>
      <c r="MW130" s="43"/>
      <c r="MX130" s="43"/>
      <c r="MY130" s="43"/>
      <c r="MZ130" s="43"/>
      <c r="NA130" s="43"/>
      <c r="NB130" s="43"/>
      <c r="NC130" s="43"/>
      <c r="ND130" s="43"/>
      <c r="NE130" s="43"/>
      <c r="NF130" s="43"/>
      <c r="NG130" s="43"/>
      <c r="NH130" s="43"/>
      <c r="NI130" s="43"/>
      <c r="NJ130" s="43"/>
      <c r="NK130" s="43"/>
      <c r="NL130" s="43"/>
      <c r="NM130" s="43"/>
      <c r="NN130" s="43"/>
      <c r="NO130" s="43"/>
      <c r="NP130" s="43"/>
      <c r="NQ130" s="43"/>
      <c r="NR130" s="43"/>
      <c r="NS130" s="43"/>
      <c r="NT130" s="43"/>
      <c r="NU130" s="43"/>
      <c r="NV130" s="43"/>
      <c r="NW130" s="43"/>
      <c r="NX130" s="43"/>
      <c r="NY130" s="43"/>
      <c r="NZ130" s="43"/>
      <c r="OA130" s="43"/>
      <c r="OB130" s="43"/>
      <c r="OC130" s="43"/>
      <c r="OD130" s="43"/>
      <c r="OE130" s="43"/>
      <c r="OF130" s="43"/>
      <c r="OG130" s="43"/>
      <c r="OH130" s="43"/>
      <c r="OI130" s="43"/>
      <c r="OJ130" s="43"/>
      <c r="OK130" s="43"/>
      <c r="OL130" s="43"/>
      <c r="OM130" s="43"/>
      <c r="ON130" s="43"/>
      <c r="OO130" s="43"/>
      <c r="OP130" s="43"/>
      <c r="OQ130" s="43"/>
      <c r="OR130" s="43"/>
      <c r="OS130" s="43"/>
      <c r="OT130" s="43"/>
      <c r="OU130" s="43"/>
      <c r="OV130" s="43"/>
      <c r="OW130" s="43"/>
      <c r="OX130" s="43"/>
      <c r="OY130" s="43"/>
      <c r="OZ130" s="43"/>
      <c r="PA130" s="43"/>
      <c r="PB130" s="43"/>
      <c r="PC130" s="43"/>
      <c r="PD130" s="43"/>
      <c r="PE130" s="43"/>
      <c r="PF130" s="43"/>
      <c r="PG130" s="43"/>
      <c r="PH130" s="43"/>
      <c r="PI130" s="43"/>
      <c r="PJ130" s="43"/>
      <c r="PK130" s="43"/>
      <c r="PL130" s="43"/>
      <c r="PM130" s="43"/>
      <c r="PN130" s="43"/>
      <c r="PO130" s="43"/>
      <c r="PP130" s="43"/>
      <c r="PQ130" s="43"/>
      <c r="PR130" s="43"/>
      <c r="PS130" s="43"/>
      <c r="PT130" s="43"/>
      <c r="PU130" s="43"/>
      <c r="PV130" s="43"/>
      <c r="PW130" s="43"/>
      <c r="PX130" s="43"/>
      <c r="PY130" s="43"/>
      <c r="PZ130" s="43"/>
      <c r="QA130" s="43"/>
      <c r="QB130" s="43"/>
      <c r="QC130" s="43"/>
    </row>
    <row r="131" spans="1:445" x14ac:dyDescent="0.3"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70"/>
      <c r="M131" s="70"/>
      <c r="N131" s="70"/>
      <c r="O131" s="45"/>
      <c r="P131" s="45"/>
      <c r="Q131" s="45"/>
      <c r="R131" s="45"/>
      <c r="S131" s="45"/>
      <c r="T131" s="45" t="str">
        <f t="shared" si="11"/>
        <v/>
      </c>
      <c r="U131" s="45" t="str">
        <f t="shared" si="12"/>
        <v/>
      </c>
      <c r="V131" s="68" t="str">
        <f t="shared" si="13"/>
        <v/>
      </c>
      <c r="X131" s="66" t="str">
        <f t="shared" si="14"/>
        <v/>
      </c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43"/>
      <c r="BN131" s="43"/>
      <c r="BO131" s="43"/>
      <c r="BP131" s="43"/>
      <c r="BQ131" s="43"/>
      <c r="BR131" s="43"/>
      <c r="BS131" s="43"/>
      <c r="BT131" s="43"/>
      <c r="BU131" s="43"/>
      <c r="BV131" s="43"/>
      <c r="BW131" s="43"/>
      <c r="BX131" s="43"/>
      <c r="BY131" s="43"/>
      <c r="BZ131" s="43"/>
      <c r="CA131" s="43"/>
      <c r="CB131" s="43"/>
      <c r="CC131" s="43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43"/>
      <c r="CY131" s="43"/>
      <c r="CZ131" s="43"/>
      <c r="DA131" s="43"/>
      <c r="DB131" s="43"/>
      <c r="DC131" s="43"/>
      <c r="DD131" s="43"/>
      <c r="DE131" s="43"/>
      <c r="DF131" s="43"/>
      <c r="DG131" s="43"/>
      <c r="DH131" s="43"/>
      <c r="DI131" s="43"/>
      <c r="DJ131" s="43"/>
      <c r="DK131" s="43"/>
      <c r="DL131" s="43"/>
      <c r="DM131" s="43"/>
      <c r="DN131" s="43"/>
      <c r="DO131" s="43"/>
      <c r="DP131" s="43"/>
      <c r="DQ131" s="43"/>
      <c r="DR131" s="43"/>
      <c r="DS131" s="43"/>
      <c r="DT131" s="43"/>
      <c r="DU131" s="43"/>
      <c r="DV131" s="43"/>
      <c r="DW131" s="43"/>
      <c r="DX131" s="43"/>
      <c r="DY131" s="43"/>
      <c r="DZ131" s="43"/>
      <c r="EA131" s="43"/>
      <c r="EB131" s="43"/>
      <c r="EC131" s="43"/>
      <c r="ED131" s="43"/>
      <c r="EE131" s="43"/>
      <c r="EF131" s="43"/>
      <c r="EG131" s="43"/>
      <c r="EH131" s="43"/>
      <c r="EI131" s="43"/>
      <c r="EJ131" s="43"/>
      <c r="EK131" s="43"/>
      <c r="EL131" s="43"/>
      <c r="EM131" s="43"/>
      <c r="EN131" s="43"/>
      <c r="EO131" s="43"/>
      <c r="EP131" s="43"/>
      <c r="EQ131" s="43"/>
      <c r="ER131" s="43"/>
      <c r="ES131" s="43"/>
      <c r="ET131" s="43"/>
      <c r="EU131" s="43"/>
      <c r="EV131" s="43"/>
      <c r="EW131" s="43"/>
      <c r="EX131" s="43"/>
      <c r="EY131" s="43"/>
      <c r="EZ131" s="43"/>
      <c r="FA131" s="43"/>
      <c r="FB131" s="43"/>
      <c r="FC131" s="43"/>
      <c r="FD131" s="43"/>
      <c r="FE131" s="43"/>
      <c r="FF131" s="43"/>
      <c r="FG131" s="43"/>
      <c r="FH131" s="43"/>
      <c r="FI131" s="43"/>
      <c r="FJ131" s="43"/>
      <c r="FK131" s="43"/>
      <c r="FL131" s="43"/>
      <c r="FM131" s="43"/>
      <c r="FN131" s="43"/>
      <c r="FO131" s="43"/>
      <c r="FP131" s="43"/>
      <c r="FQ131" s="43"/>
      <c r="FR131" s="43"/>
      <c r="FS131" s="43"/>
      <c r="FT131" s="43"/>
      <c r="FU131" s="43"/>
      <c r="FV131" s="43"/>
      <c r="FW131" s="43"/>
      <c r="FX131" s="43"/>
      <c r="FY131" s="43"/>
      <c r="FZ131" s="43"/>
      <c r="GA131" s="43"/>
      <c r="GB131" s="43"/>
      <c r="GC131" s="43"/>
      <c r="GD131" s="43"/>
      <c r="GE131" s="43"/>
      <c r="GF131" s="43"/>
      <c r="GG131" s="43"/>
      <c r="GH131" s="43"/>
      <c r="GI131" s="43"/>
      <c r="GJ131" s="43"/>
      <c r="GK131" s="43"/>
      <c r="GL131" s="43"/>
      <c r="GM131" s="43"/>
      <c r="GN131" s="43"/>
      <c r="GO131" s="43"/>
      <c r="GP131" s="43"/>
      <c r="GQ131" s="43"/>
      <c r="GR131" s="43"/>
      <c r="GS131" s="43"/>
      <c r="GT131" s="43"/>
      <c r="GU131" s="43"/>
      <c r="GV131" s="43"/>
      <c r="GW131" s="43"/>
      <c r="GX131" s="43"/>
      <c r="GY131" s="43"/>
      <c r="GZ131" s="43"/>
      <c r="HA131" s="43"/>
      <c r="HB131" s="43"/>
      <c r="HC131" s="43"/>
      <c r="HD131" s="43"/>
      <c r="HE131" s="43"/>
      <c r="HF131" s="43"/>
      <c r="HG131" s="43"/>
      <c r="HH131" s="43"/>
      <c r="HI131" s="43"/>
      <c r="HJ131" s="43"/>
      <c r="HK131" s="43"/>
      <c r="HL131" s="43"/>
      <c r="HM131" s="43"/>
      <c r="HN131" s="43"/>
      <c r="HO131" s="43"/>
      <c r="HP131" s="43"/>
      <c r="HQ131" s="43"/>
      <c r="HR131" s="43"/>
      <c r="HS131" s="43"/>
      <c r="HT131" s="43"/>
      <c r="HU131" s="43"/>
      <c r="HV131" s="43"/>
      <c r="HW131" s="43"/>
      <c r="HX131" s="43"/>
      <c r="HY131" s="43"/>
      <c r="HZ131" s="43"/>
      <c r="IA131" s="43"/>
      <c r="IB131" s="43"/>
      <c r="IC131" s="43"/>
      <c r="ID131" s="43"/>
      <c r="IE131" s="43"/>
      <c r="IF131" s="43"/>
      <c r="IG131" s="43"/>
      <c r="IH131" s="43"/>
      <c r="II131" s="43"/>
      <c r="IJ131" s="43"/>
      <c r="IK131" s="43"/>
      <c r="IL131" s="43"/>
      <c r="IM131" s="43"/>
      <c r="IN131" s="43"/>
      <c r="IO131" s="43"/>
      <c r="IP131" s="43"/>
      <c r="IQ131" s="43"/>
      <c r="IR131" s="43"/>
      <c r="IS131" s="43"/>
      <c r="IT131" s="43"/>
      <c r="IU131" s="43"/>
      <c r="IV131" s="43"/>
      <c r="IW131" s="43"/>
      <c r="IX131" s="43"/>
      <c r="IY131" s="43"/>
      <c r="IZ131" s="43"/>
      <c r="JA131" s="43"/>
      <c r="JB131" s="43"/>
      <c r="JC131" s="43"/>
      <c r="JD131" s="43"/>
      <c r="JE131" s="43"/>
      <c r="JF131" s="43"/>
      <c r="JG131" s="43"/>
      <c r="JH131" s="43"/>
      <c r="JI131" s="43"/>
      <c r="JJ131" s="43"/>
      <c r="JK131" s="43"/>
      <c r="JL131" s="43"/>
      <c r="JM131" s="43"/>
      <c r="JN131" s="43"/>
      <c r="JO131" s="43"/>
      <c r="JP131" s="43"/>
      <c r="JQ131" s="43"/>
      <c r="JR131" s="43"/>
      <c r="JS131" s="43"/>
      <c r="JT131" s="43"/>
      <c r="JU131" s="43"/>
      <c r="JV131" s="43"/>
      <c r="JW131" s="43"/>
      <c r="JX131" s="43"/>
      <c r="JY131" s="43"/>
      <c r="JZ131" s="43"/>
      <c r="KA131" s="43"/>
      <c r="KB131" s="43"/>
      <c r="KC131" s="43"/>
      <c r="KD131" s="43"/>
      <c r="KE131" s="43"/>
      <c r="KF131" s="43"/>
      <c r="KG131" s="43"/>
      <c r="KH131" s="43"/>
      <c r="KI131" s="43"/>
      <c r="KJ131" s="43"/>
      <c r="KK131" s="43"/>
      <c r="KL131" s="43"/>
      <c r="KM131" s="43"/>
      <c r="KN131" s="43"/>
      <c r="KO131" s="43"/>
      <c r="KP131" s="43"/>
      <c r="KQ131" s="43"/>
      <c r="KR131" s="43"/>
      <c r="KS131" s="43"/>
      <c r="KT131" s="43"/>
      <c r="KU131" s="43"/>
      <c r="KV131" s="43"/>
      <c r="KW131" s="43"/>
      <c r="KX131" s="43"/>
      <c r="KY131" s="43"/>
      <c r="KZ131" s="43"/>
      <c r="LA131" s="43"/>
      <c r="LB131" s="43"/>
      <c r="LC131" s="43"/>
      <c r="LD131" s="43"/>
      <c r="LE131" s="43"/>
      <c r="LF131" s="43"/>
      <c r="LG131" s="43"/>
      <c r="LH131" s="43"/>
      <c r="LI131" s="43"/>
      <c r="LJ131" s="43"/>
      <c r="LK131" s="43"/>
      <c r="LL131" s="43"/>
      <c r="LM131" s="43"/>
      <c r="LN131" s="43"/>
      <c r="LO131" s="43"/>
      <c r="LP131" s="43"/>
      <c r="LQ131" s="43"/>
      <c r="LR131" s="43"/>
      <c r="LS131" s="43"/>
      <c r="LT131" s="43"/>
      <c r="LU131" s="43"/>
      <c r="LV131" s="43"/>
      <c r="LW131" s="43"/>
      <c r="LX131" s="43"/>
      <c r="LY131" s="43"/>
      <c r="LZ131" s="43"/>
      <c r="MA131" s="43"/>
      <c r="MB131" s="43"/>
      <c r="MC131" s="43"/>
      <c r="MD131" s="43"/>
      <c r="ME131" s="43"/>
      <c r="MF131" s="43"/>
      <c r="MG131" s="43"/>
      <c r="MH131" s="43"/>
      <c r="MI131" s="43"/>
      <c r="MJ131" s="43"/>
      <c r="MK131" s="43"/>
      <c r="ML131" s="43"/>
      <c r="MM131" s="43"/>
      <c r="MN131" s="43"/>
      <c r="MO131" s="43"/>
      <c r="MP131" s="43"/>
      <c r="MQ131" s="43"/>
      <c r="MR131" s="43"/>
      <c r="MS131" s="43"/>
      <c r="MT131" s="43"/>
      <c r="MU131" s="43"/>
      <c r="MV131" s="43"/>
      <c r="MW131" s="43"/>
      <c r="MX131" s="43"/>
      <c r="MY131" s="43"/>
      <c r="MZ131" s="43"/>
      <c r="NA131" s="43"/>
      <c r="NB131" s="43"/>
      <c r="NC131" s="43"/>
      <c r="ND131" s="43"/>
      <c r="NE131" s="43"/>
      <c r="NF131" s="43"/>
      <c r="NG131" s="43"/>
      <c r="NH131" s="43"/>
      <c r="NI131" s="43"/>
      <c r="NJ131" s="43"/>
      <c r="NK131" s="43"/>
      <c r="NL131" s="43"/>
      <c r="NM131" s="43"/>
      <c r="NN131" s="43"/>
      <c r="NO131" s="43"/>
      <c r="NP131" s="43"/>
      <c r="NQ131" s="43"/>
      <c r="NR131" s="43"/>
      <c r="NS131" s="43"/>
      <c r="NT131" s="43"/>
      <c r="NU131" s="43"/>
      <c r="NV131" s="43"/>
      <c r="NW131" s="43"/>
      <c r="NX131" s="43"/>
      <c r="NY131" s="43"/>
      <c r="NZ131" s="43"/>
      <c r="OA131" s="43"/>
      <c r="OB131" s="43"/>
      <c r="OC131" s="43"/>
      <c r="OD131" s="43"/>
      <c r="OE131" s="43"/>
      <c r="OF131" s="43"/>
      <c r="OG131" s="43"/>
      <c r="OH131" s="43"/>
      <c r="OI131" s="43"/>
      <c r="OJ131" s="43"/>
      <c r="OK131" s="43"/>
      <c r="OL131" s="43"/>
      <c r="OM131" s="43"/>
      <c r="ON131" s="43"/>
      <c r="OO131" s="43"/>
      <c r="OP131" s="43"/>
      <c r="OQ131" s="43"/>
      <c r="OR131" s="43"/>
      <c r="OS131" s="43"/>
      <c r="OT131" s="43"/>
      <c r="OU131" s="43"/>
      <c r="OV131" s="43"/>
      <c r="OW131" s="43"/>
      <c r="OX131" s="43"/>
      <c r="OY131" s="43"/>
      <c r="OZ131" s="43"/>
      <c r="PA131" s="43"/>
      <c r="PB131" s="43"/>
      <c r="PC131" s="43"/>
      <c r="PD131" s="43"/>
      <c r="PE131" s="43"/>
      <c r="PF131" s="43"/>
      <c r="PG131" s="43"/>
      <c r="PH131" s="43"/>
      <c r="PI131" s="43"/>
      <c r="PJ131" s="43"/>
      <c r="PK131" s="43"/>
      <c r="PL131" s="43"/>
      <c r="PM131" s="43"/>
      <c r="PN131" s="43"/>
      <c r="PO131" s="43"/>
      <c r="PP131" s="43"/>
      <c r="PQ131" s="43"/>
      <c r="PR131" s="43"/>
      <c r="PS131" s="43"/>
      <c r="PT131" s="43"/>
      <c r="PU131" s="43"/>
      <c r="PV131" s="43"/>
      <c r="PW131" s="43"/>
      <c r="PX131" s="43"/>
      <c r="PY131" s="43"/>
      <c r="PZ131" s="43"/>
      <c r="QA131" s="43"/>
      <c r="QB131" s="43"/>
      <c r="QC131" s="43"/>
    </row>
    <row r="132" spans="1:445" s="50" customFormat="1" x14ac:dyDescent="0.3">
      <c r="A132" s="47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 t="str">
        <f t="shared" si="11"/>
        <v/>
      </c>
      <c r="U132" s="45" t="str">
        <f t="shared" si="12"/>
        <v/>
      </c>
      <c r="V132" s="68" t="str">
        <f t="shared" si="13"/>
        <v/>
      </c>
      <c r="W132" s="48"/>
      <c r="X132" s="66" t="str">
        <f t="shared" ref="X132:X153" si="15">IF(W132&lt;&gt;"",F132 - (SUM(G132:S132)),"")</f>
        <v/>
      </c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43"/>
      <c r="BN132" s="43"/>
      <c r="BO132" s="43"/>
      <c r="BP132" s="43"/>
      <c r="BQ132" s="43"/>
      <c r="BR132" s="43"/>
      <c r="BS132" s="43"/>
      <c r="BT132" s="43"/>
      <c r="BU132" s="43"/>
      <c r="BV132" s="43"/>
      <c r="BW132" s="43"/>
      <c r="BX132" s="43"/>
      <c r="BY132" s="43"/>
      <c r="BZ132" s="43"/>
      <c r="CA132" s="43"/>
      <c r="CB132" s="43"/>
      <c r="CC132" s="43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43"/>
      <c r="CY132" s="43"/>
      <c r="CZ132" s="43"/>
      <c r="DA132" s="43"/>
      <c r="DB132" s="43"/>
      <c r="DC132" s="43"/>
      <c r="DD132" s="43"/>
      <c r="DE132" s="43"/>
      <c r="DF132" s="43"/>
      <c r="DG132" s="43"/>
      <c r="DH132" s="43"/>
      <c r="DI132" s="43"/>
      <c r="DJ132" s="43"/>
      <c r="DK132" s="43"/>
      <c r="DL132" s="43"/>
      <c r="DM132" s="43"/>
      <c r="DN132" s="43"/>
      <c r="DO132" s="43"/>
      <c r="DP132" s="43"/>
      <c r="DQ132" s="43"/>
      <c r="DR132" s="43"/>
      <c r="DS132" s="43"/>
      <c r="DT132" s="43"/>
      <c r="DU132" s="43"/>
      <c r="DV132" s="43"/>
      <c r="DW132" s="43"/>
      <c r="DX132" s="43"/>
      <c r="DY132" s="43"/>
      <c r="DZ132" s="43"/>
      <c r="EA132" s="43"/>
      <c r="EB132" s="43"/>
      <c r="EC132" s="43"/>
      <c r="ED132" s="43"/>
      <c r="EE132" s="43"/>
      <c r="EF132" s="43"/>
      <c r="EG132" s="43"/>
      <c r="EH132" s="43"/>
      <c r="EI132" s="43"/>
      <c r="EJ132" s="43"/>
      <c r="EK132" s="43"/>
      <c r="EL132" s="43"/>
      <c r="EM132" s="43"/>
      <c r="EN132" s="43"/>
      <c r="EO132" s="43"/>
      <c r="EP132" s="43"/>
      <c r="EQ132" s="43"/>
      <c r="ER132" s="43"/>
      <c r="ES132" s="43"/>
      <c r="ET132" s="43"/>
      <c r="EU132" s="43"/>
      <c r="EV132" s="43"/>
      <c r="EW132" s="43"/>
      <c r="EX132" s="43"/>
      <c r="EY132" s="43"/>
      <c r="EZ132" s="43"/>
      <c r="FA132" s="43"/>
      <c r="FB132" s="43"/>
      <c r="FC132" s="43"/>
      <c r="FD132" s="43"/>
      <c r="FE132" s="43"/>
      <c r="FF132" s="43"/>
      <c r="FG132" s="43"/>
      <c r="FH132" s="43"/>
      <c r="FI132" s="43"/>
      <c r="FJ132" s="43"/>
      <c r="FK132" s="43"/>
      <c r="FL132" s="43"/>
      <c r="FM132" s="43"/>
      <c r="FN132" s="43"/>
      <c r="FO132" s="43"/>
      <c r="FP132" s="43"/>
      <c r="FQ132" s="43"/>
      <c r="FR132" s="43"/>
      <c r="FS132" s="43"/>
      <c r="FT132" s="43"/>
      <c r="FU132" s="43"/>
      <c r="FV132" s="43"/>
      <c r="FW132" s="43"/>
      <c r="FX132" s="43"/>
      <c r="FY132" s="43"/>
      <c r="FZ132" s="43"/>
      <c r="GA132" s="43"/>
      <c r="GB132" s="43"/>
      <c r="GC132" s="43"/>
      <c r="GD132" s="43"/>
      <c r="GE132" s="43"/>
      <c r="GF132" s="43"/>
      <c r="GG132" s="43"/>
      <c r="GH132" s="43"/>
      <c r="GI132" s="43"/>
      <c r="GJ132" s="43"/>
      <c r="GK132" s="43"/>
      <c r="GL132" s="43"/>
      <c r="GM132" s="43"/>
      <c r="GN132" s="43"/>
      <c r="GO132" s="43"/>
      <c r="GP132" s="43"/>
      <c r="GQ132" s="43"/>
      <c r="GR132" s="43"/>
      <c r="GS132" s="43"/>
      <c r="GT132" s="43"/>
      <c r="GU132" s="43"/>
      <c r="GV132" s="43"/>
      <c r="GW132" s="43"/>
      <c r="GX132" s="43"/>
      <c r="GY132" s="43"/>
      <c r="GZ132" s="43"/>
      <c r="HA132" s="43"/>
      <c r="HB132" s="43"/>
      <c r="HC132" s="43"/>
      <c r="HD132" s="43"/>
      <c r="HE132" s="43"/>
      <c r="HF132" s="43"/>
      <c r="HG132" s="43"/>
      <c r="HH132" s="43"/>
      <c r="HI132" s="43"/>
      <c r="HJ132" s="43"/>
      <c r="HK132" s="43"/>
      <c r="HL132" s="43"/>
      <c r="HM132" s="43"/>
      <c r="HN132" s="43"/>
      <c r="HO132" s="43"/>
      <c r="HP132" s="43"/>
      <c r="HQ132" s="43"/>
      <c r="HR132" s="43"/>
      <c r="HS132" s="43"/>
      <c r="HT132" s="43"/>
      <c r="HU132" s="43"/>
      <c r="HV132" s="43"/>
      <c r="HW132" s="43"/>
      <c r="HX132" s="43"/>
      <c r="HY132" s="43"/>
      <c r="HZ132" s="43"/>
      <c r="IA132" s="43"/>
      <c r="IB132" s="43"/>
      <c r="IC132" s="43"/>
      <c r="ID132" s="43"/>
      <c r="IE132" s="43"/>
      <c r="IF132" s="43"/>
      <c r="IG132" s="43"/>
      <c r="IH132" s="43"/>
      <c r="II132" s="43"/>
      <c r="IJ132" s="43"/>
      <c r="IK132" s="43"/>
      <c r="IL132" s="43"/>
      <c r="IM132" s="43"/>
      <c r="IN132" s="43"/>
      <c r="IO132" s="43"/>
      <c r="IP132" s="43"/>
      <c r="IQ132" s="43"/>
      <c r="IR132" s="43"/>
      <c r="IS132" s="43"/>
      <c r="IT132" s="43"/>
      <c r="IU132" s="43"/>
      <c r="IV132" s="43"/>
      <c r="IW132" s="43"/>
      <c r="IX132" s="43"/>
      <c r="IY132" s="43"/>
      <c r="IZ132" s="43"/>
      <c r="JA132" s="43"/>
      <c r="JB132" s="43"/>
      <c r="JC132" s="43"/>
      <c r="JD132" s="43"/>
      <c r="JE132" s="43"/>
      <c r="JF132" s="43"/>
      <c r="JG132" s="43"/>
      <c r="JH132" s="43"/>
      <c r="JI132" s="43"/>
      <c r="JJ132" s="43"/>
      <c r="JK132" s="43"/>
      <c r="JL132" s="43"/>
      <c r="JM132" s="43"/>
      <c r="JN132" s="43"/>
      <c r="JO132" s="43"/>
      <c r="JP132" s="43"/>
      <c r="JQ132" s="43"/>
      <c r="JR132" s="43"/>
      <c r="JS132" s="43"/>
      <c r="JT132" s="43"/>
      <c r="JU132" s="43"/>
      <c r="JV132" s="43"/>
      <c r="JW132" s="43"/>
      <c r="JX132" s="43"/>
      <c r="JY132" s="43"/>
      <c r="JZ132" s="43"/>
      <c r="KA132" s="43"/>
      <c r="KB132" s="43"/>
      <c r="KC132" s="43"/>
      <c r="KD132" s="43"/>
      <c r="KE132" s="43"/>
      <c r="KF132" s="43"/>
      <c r="KG132" s="43"/>
      <c r="KH132" s="43"/>
      <c r="KI132" s="43"/>
      <c r="KJ132" s="43"/>
      <c r="KK132" s="43"/>
      <c r="KL132" s="43"/>
      <c r="KM132" s="43"/>
      <c r="KN132" s="43"/>
      <c r="KO132" s="43"/>
      <c r="KP132" s="43"/>
      <c r="KQ132" s="43"/>
      <c r="KR132" s="43"/>
      <c r="KS132" s="43"/>
      <c r="KT132" s="43"/>
      <c r="KU132" s="43"/>
      <c r="KV132" s="43"/>
      <c r="KW132" s="43"/>
      <c r="KX132" s="43"/>
      <c r="KY132" s="43"/>
      <c r="KZ132" s="43"/>
      <c r="LA132" s="43"/>
      <c r="LB132" s="43"/>
      <c r="LC132" s="43"/>
      <c r="LD132" s="43"/>
      <c r="LE132" s="43"/>
      <c r="LF132" s="43"/>
      <c r="LG132" s="43"/>
      <c r="LH132" s="43"/>
      <c r="LI132" s="43"/>
      <c r="LJ132" s="43"/>
      <c r="LK132" s="43"/>
      <c r="LL132" s="43"/>
      <c r="LM132" s="43"/>
      <c r="LN132" s="43"/>
      <c r="LO132" s="43"/>
      <c r="LP132" s="43"/>
      <c r="LQ132" s="43"/>
      <c r="LR132" s="43"/>
      <c r="LS132" s="43"/>
      <c r="LT132" s="43"/>
      <c r="LU132" s="43"/>
      <c r="LV132" s="43"/>
      <c r="LW132" s="43"/>
      <c r="LX132" s="43"/>
      <c r="LY132" s="43"/>
      <c r="LZ132" s="43"/>
      <c r="MA132" s="43"/>
      <c r="MB132" s="43"/>
      <c r="MC132" s="43"/>
      <c r="MD132" s="43"/>
      <c r="ME132" s="43"/>
      <c r="MF132" s="43"/>
      <c r="MG132" s="43"/>
      <c r="MH132" s="43"/>
      <c r="MI132" s="43"/>
      <c r="MJ132" s="43"/>
      <c r="MK132" s="43"/>
      <c r="ML132" s="43"/>
      <c r="MM132" s="43"/>
      <c r="MN132" s="43"/>
      <c r="MO132" s="43"/>
      <c r="MP132" s="43"/>
      <c r="MQ132" s="43"/>
      <c r="MR132" s="43"/>
      <c r="MS132" s="43"/>
      <c r="MT132" s="43"/>
      <c r="MU132" s="43"/>
      <c r="MV132" s="43"/>
      <c r="MW132" s="43"/>
      <c r="MX132" s="43"/>
      <c r="MY132" s="43"/>
      <c r="MZ132" s="43"/>
      <c r="NA132" s="43"/>
      <c r="NB132" s="43"/>
      <c r="NC132" s="43"/>
      <c r="ND132" s="43"/>
      <c r="NE132" s="43"/>
      <c r="NF132" s="43"/>
      <c r="NG132" s="43"/>
      <c r="NH132" s="43"/>
      <c r="NI132" s="43"/>
      <c r="NJ132" s="43"/>
      <c r="NK132" s="43"/>
      <c r="NL132" s="43"/>
      <c r="NM132" s="43"/>
      <c r="NN132" s="43"/>
      <c r="NO132" s="43"/>
      <c r="NP132" s="43"/>
      <c r="NQ132" s="43"/>
      <c r="NR132" s="43"/>
      <c r="NS132" s="43"/>
      <c r="NT132" s="43"/>
      <c r="NU132" s="43"/>
      <c r="NV132" s="43"/>
      <c r="NW132" s="43"/>
      <c r="NX132" s="43"/>
      <c r="NY132" s="43"/>
      <c r="NZ132" s="43"/>
      <c r="OA132" s="43"/>
      <c r="OB132" s="43"/>
      <c r="OC132" s="43"/>
      <c r="OD132" s="43"/>
      <c r="OE132" s="43"/>
      <c r="OF132" s="43"/>
      <c r="OG132" s="43"/>
      <c r="OH132" s="43"/>
      <c r="OI132" s="43"/>
      <c r="OJ132" s="43"/>
      <c r="OK132" s="43"/>
      <c r="OL132" s="43"/>
      <c r="OM132" s="43"/>
      <c r="ON132" s="43"/>
      <c r="OO132" s="43"/>
      <c r="OP132" s="43"/>
      <c r="OQ132" s="43"/>
      <c r="OR132" s="43"/>
      <c r="OS132" s="43"/>
      <c r="OT132" s="43"/>
      <c r="OU132" s="43"/>
      <c r="OV132" s="43"/>
      <c r="OW132" s="43"/>
      <c r="OX132" s="43"/>
      <c r="OY132" s="43"/>
      <c r="OZ132" s="43"/>
      <c r="PA132" s="43"/>
      <c r="PB132" s="43"/>
      <c r="PC132" s="43"/>
      <c r="PD132" s="43"/>
      <c r="PE132" s="43"/>
      <c r="PF132" s="43"/>
      <c r="PG132" s="43"/>
      <c r="PH132" s="43"/>
      <c r="PI132" s="43"/>
      <c r="PJ132" s="43"/>
      <c r="PK132" s="43"/>
      <c r="PL132" s="43"/>
      <c r="PM132" s="43"/>
      <c r="PN132" s="43"/>
      <c r="PO132" s="43"/>
      <c r="PP132" s="43"/>
      <c r="PQ132" s="43"/>
      <c r="PR132" s="43"/>
      <c r="PS132" s="43"/>
      <c r="PT132" s="43"/>
      <c r="PU132" s="43"/>
      <c r="PV132" s="43"/>
      <c r="PW132" s="43"/>
      <c r="PX132" s="43"/>
      <c r="PY132" s="43"/>
      <c r="PZ132" s="43"/>
      <c r="QA132" s="43"/>
      <c r="QB132" s="43"/>
      <c r="QC132" s="43"/>
    </row>
    <row r="133" spans="1:445" s="50" customFormat="1" x14ac:dyDescent="0.3">
      <c r="A133" s="47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8"/>
      <c r="M133" s="48"/>
      <c r="N133" s="48"/>
      <c r="O133" s="45"/>
      <c r="P133" s="45"/>
      <c r="Q133" s="45"/>
      <c r="R133" s="45"/>
      <c r="S133" s="45"/>
      <c r="T133" s="45" t="str">
        <f t="shared" si="11"/>
        <v/>
      </c>
      <c r="U133" s="45" t="str">
        <f t="shared" si="12"/>
        <v/>
      </c>
      <c r="V133" s="68" t="str">
        <f t="shared" si="13"/>
        <v/>
      </c>
      <c r="W133" s="49"/>
      <c r="X133" s="66" t="str">
        <f t="shared" si="15"/>
        <v/>
      </c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43"/>
      <c r="BN133" s="43"/>
      <c r="BO133" s="43"/>
      <c r="BP133" s="43"/>
      <c r="BQ133" s="43"/>
      <c r="BR133" s="43"/>
      <c r="BS133" s="43"/>
      <c r="BT133" s="43"/>
      <c r="BU133" s="43"/>
      <c r="BV133" s="43"/>
      <c r="BW133" s="43"/>
      <c r="BX133" s="43"/>
      <c r="BY133" s="43"/>
      <c r="BZ133" s="43"/>
      <c r="CA133" s="43"/>
      <c r="CB133" s="43"/>
      <c r="CC133" s="43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43"/>
      <c r="CY133" s="43"/>
      <c r="CZ133" s="43"/>
      <c r="DA133" s="43"/>
      <c r="DB133" s="43"/>
      <c r="DC133" s="43"/>
      <c r="DD133" s="43"/>
      <c r="DE133" s="43"/>
      <c r="DF133" s="43"/>
      <c r="DG133" s="43"/>
      <c r="DH133" s="43"/>
      <c r="DI133" s="43"/>
      <c r="DJ133" s="43"/>
      <c r="DK133" s="43"/>
      <c r="DL133" s="43"/>
      <c r="DM133" s="43"/>
      <c r="DN133" s="43"/>
      <c r="DO133" s="43"/>
      <c r="DP133" s="43"/>
      <c r="DQ133" s="43"/>
      <c r="DR133" s="43"/>
      <c r="DS133" s="43"/>
      <c r="DT133" s="43"/>
      <c r="DU133" s="43"/>
      <c r="DV133" s="43"/>
      <c r="DW133" s="43"/>
      <c r="DX133" s="43"/>
      <c r="DY133" s="43"/>
      <c r="DZ133" s="43"/>
      <c r="EA133" s="43"/>
      <c r="EB133" s="43"/>
      <c r="EC133" s="43"/>
      <c r="ED133" s="43"/>
      <c r="EE133" s="43"/>
      <c r="EF133" s="43"/>
      <c r="EG133" s="43"/>
      <c r="EH133" s="43"/>
      <c r="EI133" s="43"/>
      <c r="EJ133" s="43"/>
      <c r="EK133" s="43"/>
      <c r="EL133" s="43"/>
      <c r="EM133" s="43"/>
      <c r="EN133" s="43"/>
      <c r="EO133" s="43"/>
      <c r="EP133" s="43"/>
      <c r="EQ133" s="43"/>
      <c r="ER133" s="43"/>
      <c r="ES133" s="43"/>
      <c r="ET133" s="43"/>
      <c r="EU133" s="43"/>
      <c r="EV133" s="43"/>
      <c r="EW133" s="43"/>
      <c r="EX133" s="43"/>
      <c r="EY133" s="43"/>
      <c r="EZ133" s="43"/>
      <c r="FA133" s="43"/>
      <c r="FB133" s="43"/>
      <c r="FC133" s="43"/>
      <c r="FD133" s="43"/>
      <c r="FE133" s="43"/>
      <c r="FF133" s="43"/>
      <c r="FG133" s="43"/>
      <c r="FH133" s="43"/>
      <c r="FI133" s="43"/>
      <c r="FJ133" s="43"/>
      <c r="FK133" s="43"/>
      <c r="FL133" s="43"/>
      <c r="FM133" s="43"/>
      <c r="FN133" s="43"/>
      <c r="FO133" s="43"/>
      <c r="FP133" s="43"/>
      <c r="FQ133" s="43"/>
      <c r="FR133" s="43"/>
      <c r="FS133" s="43"/>
      <c r="FT133" s="43"/>
      <c r="FU133" s="43"/>
      <c r="FV133" s="43"/>
      <c r="FW133" s="43"/>
      <c r="FX133" s="43"/>
      <c r="FY133" s="43"/>
      <c r="FZ133" s="43"/>
      <c r="GA133" s="43"/>
      <c r="GB133" s="43"/>
      <c r="GC133" s="43"/>
      <c r="GD133" s="43"/>
      <c r="GE133" s="43"/>
      <c r="GF133" s="43"/>
      <c r="GG133" s="43"/>
      <c r="GH133" s="43"/>
      <c r="GI133" s="43"/>
      <c r="GJ133" s="43"/>
      <c r="GK133" s="43"/>
      <c r="GL133" s="43"/>
      <c r="GM133" s="43"/>
      <c r="GN133" s="43"/>
      <c r="GO133" s="43"/>
      <c r="GP133" s="43"/>
      <c r="GQ133" s="43"/>
      <c r="GR133" s="43"/>
      <c r="GS133" s="43"/>
      <c r="GT133" s="43"/>
      <c r="GU133" s="43"/>
      <c r="GV133" s="43"/>
      <c r="GW133" s="43"/>
      <c r="GX133" s="43"/>
      <c r="GY133" s="43"/>
      <c r="GZ133" s="43"/>
      <c r="HA133" s="43"/>
      <c r="HB133" s="43"/>
      <c r="HC133" s="43"/>
      <c r="HD133" s="43"/>
      <c r="HE133" s="43"/>
      <c r="HF133" s="43"/>
      <c r="HG133" s="43"/>
      <c r="HH133" s="43"/>
      <c r="HI133" s="43"/>
      <c r="HJ133" s="43"/>
      <c r="HK133" s="43"/>
      <c r="HL133" s="43"/>
      <c r="HM133" s="43"/>
      <c r="HN133" s="43"/>
      <c r="HO133" s="43"/>
      <c r="HP133" s="43"/>
      <c r="HQ133" s="43"/>
      <c r="HR133" s="43"/>
      <c r="HS133" s="43"/>
      <c r="HT133" s="43"/>
      <c r="HU133" s="43"/>
      <c r="HV133" s="43"/>
      <c r="HW133" s="43"/>
      <c r="HX133" s="43"/>
      <c r="HY133" s="43"/>
      <c r="HZ133" s="43"/>
      <c r="IA133" s="43"/>
      <c r="IB133" s="43"/>
      <c r="IC133" s="43"/>
      <c r="ID133" s="43"/>
      <c r="IE133" s="43"/>
      <c r="IF133" s="43"/>
      <c r="IG133" s="43"/>
      <c r="IH133" s="43"/>
      <c r="II133" s="43"/>
      <c r="IJ133" s="43"/>
      <c r="IK133" s="43"/>
      <c r="IL133" s="43"/>
      <c r="IM133" s="43"/>
      <c r="IN133" s="43"/>
      <c r="IO133" s="43"/>
      <c r="IP133" s="43"/>
      <c r="IQ133" s="43"/>
      <c r="IR133" s="43"/>
      <c r="IS133" s="43"/>
      <c r="IT133" s="43"/>
      <c r="IU133" s="43"/>
      <c r="IV133" s="43"/>
      <c r="IW133" s="43"/>
      <c r="IX133" s="43"/>
      <c r="IY133" s="43"/>
      <c r="IZ133" s="43"/>
      <c r="JA133" s="43"/>
      <c r="JB133" s="43"/>
      <c r="JC133" s="43"/>
      <c r="JD133" s="43"/>
      <c r="JE133" s="43"/>
      <c r="JF133" s="43"/>
      <c r="JG133" s="43"/>
      <c r="JH133" s="43"/>
      <c r="JI133" s="43"/>
      <c r="JJ133" s="43"/>
      <c r="JK133" s="43"/>
      <c r="JL133" s="43"/>
      <c r="JM133" s="43"/>
      <c r="JN133" s="43"/>
      <c r="JO133" s="43"/>
      <c r="JP133" s="43"/>
      <c r="JQ133" s="43"/>
      <c r="JR133" s="43"/>
      <c r="JS133" s="43"/>
      <c r="JT133" s="43"/>
      <c r="JU133" s="43"/>
      <c r="JV133" s="43"/>
      <c r="JW133" s="43"/>
      <c r="JX133" s="43"/>
      <c r="JY133" s="43"/>
      <c r="JZ133" s="43"/>
      <c r="KA133" s="43"/>
      <c r="KB133" s="43"/>
      <c r="KC133" s="43"/>
      <c r="KD133" s="43"/>
      <c r="KE133" s="43"/>
      <c r="KF133" s="43"/>
      <c r="KG133" s="43"/>
      <c r="KH133" s="43"/>
      <c r="KI133" s="43"/>
      <c r="KJ133" s="43"/>
      <c r="KK133" s="43"/>
      <c r="KL133" s="43"/>
      <c r="KM133" s="43"/>
      <c r="KN133" s="43"/>
      <c r="KO133" s="43"/>
      <c r="KP133" s="43"/>
      <c r="KQ133" s="43"/>
      <c r="KR133" s="43"/>
      <c r="KS133" s="43"/>
      <c r="KT133" s="43"/>
      <c r="KU133" s="43"/>
      <c r="KV133" s="43"/>
      <c r="KW133" s="43"/>
      <c r="KX133" s="43"/>
      <c r="KY133" s="43"/>
      <c r="KZ133" s="43"/>
      <c r="LA133" s="43"/>
      <c r="LB133" s="43"/>
      <c r="LC133" s="43"/>
      <c r="LD133" s="43"/>
      <c r="LE133" s="43"/>
      <c r="LF133" s="43"/>
      <c r="LG133" s="43"/>
      <c r="LH133" s="43"/>
      <c r="LI133" s="43"/>
      <c r="LJ133" s="43"/>
      <c r="LK133" s="43"/>
      <c r="LL133" s="43"/>
      <c r="LM133" s="43"/>
      <c r="LN133" s="43"/>
      <c r="LO133" s="43"/>
      <c r="LP133" s="43"/>
      <c r="LQ133" s="43"/>
      <c r="LR133" s="43"/>
      <c r="LS133" s="43"/>
      <c r="LT133" s="43"/>
      <c r="LU133" s="43"/>
      <c r="LV133" s="43"/>
      <c r="LW133" s="43"/>
      <c r="LX133" s="43"/>
      <c r="LY133" s="43"/>
      <c r="LZ133" s="43"/>
      <c r="MA133" s="43"/>
      <c r="MB133" s="43"/>
      <c r="MC133" s="43"/>
      <c r="MD133" s="43"/>
      <c r="ME133" s="43"/>
      <c r="MF133" s="43"/>
      <c r="MG133" s="43"/>
      <c r="MH133" s="43"/>
      <c r="MI133" s="43"/>
      <c r="MJ133" s="43"/>
      <c r="MK133" s="43"/>
      <c r="ML133" s="43"/>
      <c r="MM133" s="43"/>
      <c r="MN133" s="43"/>
      <c r="MO133" s="43"/>
      <c r="MP133" s="43"/>
      <c r="MQ133" s="43"/>
      <c r="MR133" s="43"/>
      <c r="MS133" s="43"/>
      <c r="MT133" s="43"/>
      <c r="MU133" s="43"/>
      <c r="MV133" s="43"/>
      <c r="MW133" s="43"/>
      <c r="MX133" s="43"/>
      <c r="MY133" s="43"/>
      <c r="MZ133" s="43"/>
      <c r="NA133" s="43"/>
      <c r="NB133" s="43"/>
      <c r="NC133" s="43"/>
      <c r="ND133" s="43"/>
      <c r="NE133" s="43"/>
      <c r="NF133" s="43"/>
      <c r="NG133" s="43"/>
      <c r="NH133" s="43"/>
      <c r="NI133" s="43"/>
      <c r="NJ133" s="43"/>
      <c r="NK133" s="43"/>
      <c r="NL133" s="43"/>
      <c r="NM133" s="43"/>
      <c r="NN133" s="43"/>
      <c r="NO133" s="43"/>
      <c r="NP133" s="43"/>
      <c r="NQ133" s="43"/>
      <c r="NR133" s="43"/>
      <c r="NS133" s="43"/>
      <c r="NT133" s="43"/>
      <c r="NU133" s="43"/>
      <c r="NV133" s="43"/>
      <c r="NW133" s="43"/>
      <c r="NX133" s="43"/>
      <c r="NY133" s="43"/>
      <c r="NZ133" s="43"/>
      <c r="OA133" s="43"/>
      <c r="OB133" s="43"/>
      <c r="OC133" s="43"/>
      <c r="OD133" s="43"/>
      <c r="OE133" s="43"/>
      <c r="OF133" s="43"/>
      <c r="OG133" s="43"/>
      <c r="OH133" s="43"/>
      <c r="OI133" s="43"/>
      <c r="OJ133" s="43"/>
      <c r="OK133" s="43"/>
      <c r="OL133" s="43"/>
      <c r="OM133" s="43"/>
      <c r="ON133" s="43"/>
      <c r="OO133" s="43"/>
      <c r="OP133" s="43"/>
      <c r="OQ133" s="43"/>
      <c r="OR133" s="43"/>
      <c r="OS133" s="43"/>
      <c r="OT133" s="43"/>
      <c r="OU133" s="43"/>
      <c r="OV133" s="43"/>
      <c r="OW133" s="43"/>
      <c r="OX133" s="43"/>
      <c r="OY133" s="43"/>
      <c r="OZ133" s="43"/>
      <c r="PA133" s="43"/>
      <c r="PB133" s="43"/>
      <c r="PC133" s="43"/>
      <c r="PD133" s="43"/>
      <c r="PE133" s="43"/>
      <c r="PF133" s="43"/>
      <c r="PG133" s="43"/>
      <c r="PH133" s="43"/>
      <c r="PI133" s="43"/>
      <c r="PJ133" s="43"/>
      <c r="PK133" s="43"/>
      <c r="PL133" s="43"/>
      <c r="PM133" s="43"/>
      <c r="PN133" s="43"/>
      <c r="PO133" s="43"/>
      <c r="PP133" s="43"/>
      <c r="PQ133" s="43"/>
      <c r="PR133" s="43"/>
      <c r="PS133" s="43"/>
      <c r="PT133" s="43"/>
      <c r="PU133" s="43"/>
      <c r="PV133" s="43"/>
      <c r="PW133" s="43"/>
      <c r="PX133" s="43"/>
      <c r="PY133" s="43"/>
      <c r="PZ133" s="43"/>
      <c r="QA133" s="43"/>
      <c r="QB133" s="43"/>
      <c r="QC133" s="43"/>
    </row>
    <row r="134" spans="1:445" x14ac:dyDescent="0.3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 t="str">
        <f t="shared" si="11"/>
        <v/>
      </c>
      <c r="U134" s="45" t="str">
        <f t="shared" si="12"/>
        <v/>
      </c>
      <c r="V134" s="68" t="str">
        <f t="shared" si="13"/>
        <v/>
      </c>
      <c r="W134" s="48"/>
      <c r="X134" s="66" t="str">
        <f t="shared" si="15"/>
        <v/>
      </c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43"/>
      <c r="BN134" s="43"/>
      <c r="BO134" s="43"/>
      <c r="BP134" s="43"/>
      <c r="BQ134" s="43"/>
      <c r="BR134" s="43"/>
      <c r="BS134" s="43"/>
      <c r="BT134" s="43"/>
      <c r="BU134" s="43"/>
      <c r="BV134" s="43"/>
      <c r="BW134" s="43"/>
      <c r="BX134" s="43"/>
      <c r="BY134" s="43"/>
      <c r="BZ134" s="43"/>
      <c r="CA134" s="43"/>
      <c r="CB134" s="43"/>
      <c r="CC134" s="43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43"/>
      <c r="CY134" s="43"/>
      <c r="CZ134" s="43"/>
      <c r="DA134" s="43"/>
      <c r="DB134" s="43"/>
      <c r="DC134" s="43"/>
      <c r="DD134" s="43"/>
      <c r="DE134" s="43"/>
      <c r="DF134" s="43"/>
      <c r="DG134" s="43"/>
      <c r="DH134" s="43"/>
      <c r="DI134" s="43"/>
      <c r="DJ134" s="43"/>
      <c r="DK134" s="43"/>
      <c r="DL134" s="43"/>
      <c r="DM134" s="43"/>
      <c r="DN134" s="43"/>
      <c r="DO134" s="43"/>
      <c r="DP134" s="43"/>
      <c r="DQ134" s="43"/>
      <c r="DR134" s="43"/>
      <c r="DS134" s="43"/>
      <c r="DT134" s="43"/>
      <c r="DU134" s="43"/>
      <c r="DV134" s="43"/>
      <c r="DW134" s="43"/>
      <c r="DX134" s="43"/>
      <c r="DY134" s="43"/>
      <c r="DZ134" s="43"/>
      <c r="EA134" s="43"/>
      <c r="EB134" s="43"/>
      <c r="EC134" s="43"/>
      <c r="ED134" s="43"/>
      <c r="EE134" s="43"/>
      <c r="EF134" s="43"/>
      <c r="EG134" s="43"/>
      <c r="EH134" s="43"/>
      <c r="EI134" s="43"/>
      <c r="EJ134" s="43"/>
      <c r="EK134" s="43"/>
      <c r="EL134" s="43"/>
      <c r="EM134" s="43"/>
      <c r="EN134" s="43"/>
      <c r="EO134" s="43"/>
      <c r="EP134" s="43"/>
      <c r="EQ134" s="43"/>
      <c r="ER134" s="43"/>
      <c r="ES134" s="43"/>
      <c r="ET134" s="43"/>
      <c r="EU134" s="43"/>
      <c r="EV134" s="43"/>
      <c r="EW134" s="43"/>
      <c r="EX134" s="43"/>
      <c r="EY134" s="43"/>
      <c r="EZ134" s="43"/>
      <c r="FA134" s="43"/>
      <c r="FB134" s="43"/>
      <c r="FC134" s="43"/>
      <c r="FD134" s="43"/>
      <c r="FE134" s="43"/>
      <c r="FF134" s="43"/>
      <c r="FG134" s="43"/>
      <c r="FH134" s="43"/>
      <c r="FI134" s="43"/>
      <c r="FJ134" s="43"/>
      <c r="FK134" s="43"/>
      <c r="FL134" s="43"/>
      <c r="FM134" s="43"/>
      <c r="FN134" s="43"/>
      <c r="FO134" s="43"/>
      <c r="FP134" s="43"/>
      <c r="FQ134" s="43"/>
      <c r="FR134" s="43"/>
      <c r="FS134" s="43"/>
      <c r="FT134" s="43"/>
      <c r="FU134" s="43"/>
      <c r="FV134" s="43"/>
      <c r="FW134" s="43"/>
      <c r="FX134" s="43"/>
      <c r="FY134" s="43"/>
      <c r="FZ134" s="43"/>
      <c r="GA134" s="43"/>
      <c r="GB134" s="43"/>
      <c r="GC134" s="43"/>
      <c r="GD134" s="43"/>
      <c r="GE134" s="43"/>
      <c r="GF134" s="43"/>
      <c r="GG134" s="43"/>
      <c r="GH134" s="43"/>
      <c r="GI134" s="43"/>
      <c r="GJ134" s="43"/>
      <c r="GK134" s="43"/>
      <c r="GL134" s="43"/>
      <c r="GM134" s="43"/>
      <c r="GN134" s="43"/>
      <c r="GO134" s="43"/>
      <c r="GP134" s="43"/>
      <c r="GQ134" s="43"/>
      <c r="GR134" s="43"/>
      <c r="GS134" s="43"/>
      <c r="GT134" s="43"/>
      <c r="GU134" s="43"/>
      <c r="GV134" s="43"/>
      <c r="GW134" s="43"/>
      <c r="GX134" s="43"/>
      <c r="GY134" s="43"/>
      <c r="GZ134" s="43"/>
      <c r="HA134" s="43"/>
      <c r="HB134" s="43"/>
      <c r="HC134" s="43"/>
      <c r="HD134" s="43"/>
      <c r="HE134" s="43"/>
      <c r="HF134" s="43"/>
      <c r="HG134" s="43"/>
      <c r="HH134" s="43"/>
      <c r="HI134" s="43"/>
      <c r="HJ134" s="43"/>
      <c r="HK134" s="43"/>
      <c r="HL134" s="43"/>
      <c r="HM134" s="43"/>
      <c r="HN134" s="43"/>
      <c r="HO134" s="43"/>
      <c r="HP134" s="43"/>
      <c r="HQ134" s="43"/>
      <c r="HR134" s="43"/>
      <c r="HS134" s="43"/>
      <c r="HT134" s="43"/>
      <c r="HU134" s="43"/>
      <c r="HV134" s="43"/>
      <c r="HW134" s="43"/>
      <c r="HX134" s="43"/>
      <c r="HY134" s="43"/>
      <c r="HZ134" s="43"/>
      <c r="IA134" s="43"/>
      <c r="IB134" s="43"/>
      <c r="IC134" s="43"/>
      <c r="ID134" s="43"/>
      <c r="IE134" s="43"/>
      <c r="IF134" s="43"/>
      <c r="IG134" s="43"/>
      <c r="IH134" s="43"/>
      <c r="II134" s="43"/>
      <c r="IJ134" s="43"/>
      <c r="IK134" s="43"/>
      <c r="IL134" s="43"/>
      <c r="IM134" s="43"/>
      <c r="IN134" s="43"/>
      <c r="IO134" s="43"/>
      <c r="IP134" s="43"/>
      <c r="IQ134" s="43"/>
      <c r="IR134" s="43"/>
      <c r="IS134" s="43"/>
      <c r="IT134" s="43"/>
      <c r="IU134" s="43"/>
      <c r="IV134" s="43"/>
      <c r="IW134" s="43"/>
      <c r="IX134" s="43"/>
      <c r="IY134" s="43"/>
      <c r="IZ134" s="43"/>
      <c r="JA134" s="43"/>
      <c r="JB134" s="43"/>
      <c r="JC134" s="43"/>
      <c r="JD134" s="43"/>
      <c r="JE134" s="43"/>
      <c r="JF134" s="43"/>
      <c r="JG134" s="43"/>
      <c r="JH134" s="43"/>
      <c r="JI134" s="43"/>
      <c r="JJ134" s="43"/>
      <c r="JK134" s="43"/>
      <c r="JL134" s="43"/>
      <c r="JM134" s="43"/>
      <c r="JN134" s="43"/>
      <c r="JO134" s="43"/>
      <c r="JP134" s="43"/>
      <c r="JQ134" s="43"/>
      <c r="JR134" s="43"/>
      <c r="JS134" s="43"/>
      <c r="JT134" s="43"/>
      <c r="JU134" s="43"/>
      <c r="JV134" s="43"/>
      <c r="JW134" s="43"/>
      <c r="JX134" s="43"/>
      <c r="JY134" s="43"/>
      <c r="JZ134" s="43"/>
      <c r="KA134" s="43"/>
      <c r="KB134" s="43"/>
      <c r="KC134" s="43"/>
      <c r="KD134" s="43"/>
      <c r="KE134" s="43"/>
      <c r="KF134" s="43"/>
      <c r="KG134" s="43"/>
      <c r="KH134" s="43"/>
      <c r="KI134" s="43"/>
      <c r="KJ134" s="43"/>
      <c r="KK134" s="43"/>
      <c r="KL134" s="43"/>
      <c r="KM134" s="43"/>
      <c r="KN134" s="43"/>
      <c r="KO134" s="43"/>
      <c r="KP134" s="43"/>
      <c r="KQ134" s="43"/>
      <c r="KR134" s="43"/>
      <c r="KS134" s="43"/>
      <c r="KT134" s="43"/>
      <c r="KU134" s="43"/>
      <c r="KV134" s="43"/>
      <c r="KW134" s="43"/>
      <c r="KX134" s="43"/>
      <c r="KY134" s="43"/>
      <c r="KZ134" s="43"/>
      <c r="LA134" s="43"/>
      <c r="LB134" s="43"/>
      <c r="LC134" s="43"/>
      <c r="LD134" s="43"/>
      <c r="LE134" s="43"/>
      <c r="LF134" s="43"/>
      <c r="LG134" s="43"/>
      <c r="LH134" s="43"/>
      <c r="LI134" s="43"/>
      <c r="LJ134" s="43"/>
      <c r="LK134" s="43"/>
      <c r="LL134" s="43"/>
      <c r="LM134" s="43"/>
      <c r="LN134" s="43"/>
      <c r="LO134" s="43"/>
      <c r="LP134" s="43"/>
      <c r="LQ134" s="43"/>
      <c r="LR134" s="43"/>
      <c r="LS134" s="43"/>
      <c r="LT134" s="43"/>
      <c r="LU134" s="43"/>
      <c r="LV134" s="43"/>
      <c r="LW134" s="43"/>
      <c r="LX134" s="43"/>
      <c r="LY134" s="43"/>
      <c r="LZ134" s="43"/>
      <c r="MA134" s="43"/>
      <c r="MB134" s="43"/>
      <c r="MC134" s="43"/>
      <c r="MD134" s="43"/>
      <c r="ME134" s="43"/>
      <c r="MF134" s="43"/>
      <c r="MG134" s="43"/>
      <c r="MH134" s="43"/>
      <c r="MI134" s="43"/>
      <c r="MJ134" s="43"/>
      <c r="MK134" s="43"/>
      <c r="ML134" s="43"/>
      <c r="MM134" s="43"/>
      <c r="MN134" s="43"/>
      <c r="MO134" s="43"/>
      <c r="MP134" s="43"/>
      <c r="MQ134" s="43"/>
      <c r="MR134" s="43"/>
      <c r="MS134" s="43"/>
      <c r="MT134" s="43"/>
      <c r="MU134" s="43"/>
      <c r="MV134" s="43"/>
      <c r="MW134" s="43"/>
      <c r="MX134" s="43"/>
      <c r="MY134" s="43"/>
      <c r="MZ134" s="43"/>
      <c r="NA134" s="43"/>
      <c r="NB134" s="43"/>
      <c r="NC134" s="43"/>
      <c r="ND134" s="43"/>
      <c r="NE134" s="43"/>
      <c r="NF134" s="43"/>
      <c r="NG134" s="43"/>
      <c r="NH134" s="43"/>
      <c r="NI134" s="43"/>
      <c r="NJ134" s="43"/>
      <c r="NK134" s="43"/>
      <c r="NL134" s="43"/>
      <c r="NM134" s="43"/>
      <c r="NN134" s="43"/>
      <c r="NO134" s="43"/>
      <c r="NP134" s="43"/>
      <c r="NQ134" s="43"/>
      <c r="NR134" s="43"/>
      <c r="NS134" s="43"/>
      <c r="NT134" s="43"/>
      <c r="NU134" s="43"/>
      <c r="NV134" s="43"/>
      <c r="NW134" s="43"/>
      <c r="NX134" s="43"/>
      <c r="NY134" s="43"/>
      <c r="NZ134" s="43"/>
      <c r="OA134" s="43"/>
      <c r="OB134" s="43"/>
      <c r="OC134" s="43"/>
      <c r="OD134" s="43"/>
      <c r="OE134" s="43"/>
      <c r="OF134" s="43"/>
      <c r="OG134" s="43"/>
      <c r="OH134" s="43"/>
      <c r="OI134" s="43"/>
      <c r="OJ134" s="43"/>
      <c r="OK134" s="43"/>
      <c r="OL134" s="43"/>
      <c r="OM134" s="43"/>
      <c r="ON134" s="43"/>
      <c r="OO134" s="43"/>
      <c r="OP134" s="43"/>
      <c r="OQ134" s="43"/>
      <c r="OR134" s="43"/>
      <c r="OS134" s="43"/>
      <c r="OT134" s="43"/>
      <c r="OU134" s="43"/>
      <c r="OV134" s="43"/>
      <c r="OW134" s="43"/>
      <c r="OX134" s="43"/>
      <c r="OY134" s="43"/>
      <c r="OZ134" s="43"/>
      <c r="PA134" s="43"/>
      <c r="PB134" s="43"/>
      <c r="PC134" s="43"/>
      <c r="PD134" s="43"/>
      <c r="PE134" s="43"/>
      <c r="PF134" s="43"/>
      <c r="PG134" s="43"/>
      <c r="PH134" s="43"/>
      <c r="PI134" s="43"/>
      <c r="PJ134" s="43"/>
      <c r="PK134" s="43"/>
      <c r="PL134" s="43"/>
      <c r="PM134" s="43"/>
      <c r="PN134" s="43"/>
      <c r="PO134" s="43"/>
      <c r="PP134" s="43"/>
      <c r="PQ134" s="43"/>
      <c r="PR134" s="43"/>
      <c r="PS134" s="43"/>
      <c r="PT134" s="43"/>
      <c r="PU134" s="43"/>
      <c r="PV134" s="43"/>
      <c r="PW134" s="43"/>
      <c r="PX134" s="43"/>
      <c r="PY134" s="43"/>
      <c r="PZ134" s="43"/>
      <c r="QA134" s="43"/>
      <c r="QB134" s="43"/>
      <c r="QC134" s="43"/>
    </row>
    <row r="135" spans="1:445" x14ac:dyDescent="0.3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 t="str">
        <f t="shared" si="11"/>
        <v/>
      </c>
      <c r="U135" s="45" t="str">
        <f t="shared" si="12"/>
        <v/>
      </c>
      <c r="V135" s="68" t="str">
        <f t="shared" si="13"/>
        <v/>
      </c>
      <c r="W135" s="48"/>
      <c r="X135" s="66" t="str">
        <f t="shared" si="15"/>
        <v/>
      </c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43"/>
      <c r="BN135" s="43"/>
      <c r="BO135" s="43"/>
      <c r="BP135" s="43"/>
      <c r="BQ135" s="43"/>
      <c r="BR135" s="43"/>
      <c r="BS135" s="43"/>
      <c r="BT135" s="43"/>
      <c r="BU135" s="43"/>
      <c r="BV135" s="43"/>
      <c r="BW135" s="43"/>
      <c r="BX135" s="43"/>
      <c r="BY135" s="43"/>
      <c r="BZ135" s="43"/>
      <c r="CA135" s="43"/>
      <c r="CB135" s="43"/>
      <c r="CC135" s="43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43"/>
      <c r="CY135" s="43"/>
      <c r="CZ135" s="43"/>
      <c r="DA135" s="43"/>
      <c r="DB135" s="43"/>
      <c r="DC135" s="43"/>
      <c r="DD135" s="43"/>
      <c r="DE135" s="43"/>
      <c r="DF135" s="43"/>
      <c r="DG135" s="43"/>
      <c r="DH135" s="43"/>
      <c r="DI135" s="43"/>
      <c r="DJ135" s="43"/>
      <c r="DK135" s="43"/>
      <c r="DL135" s="43"/>
      <c r="DM135" s="43"/>
      <c r="DN135" s="43"/>
      <c r="DO135" s="43"/>
      <c r="DP135" s="43"/>
      <c r="DQ135" s="43"/>
      <c r="DR135" s="43"/>
      <c r="DS135" s="43"/>
      <c r="DT135" s="43"/>
      <c r="DU135" s="43"/>
      <c r="DV135" s="43"/>
      <c r="DW135" s="43"/>
      <c r="DX135" s="43"/>
      <c r="DY135" s="43"/>
      <c r="DZ135" s="43"/>
      <c r="EA135" s="43"/>
      <c r="EB135" s="43"/>
      <c r="EC135" s="43"/>
      <c r="ED135" s="43"/>
      <c r="EE135" s="43"/>
      <c r="EF135" s="43"/>
      <c r="EG135" s="43"/>
      <c r="EH135" s="43"/>
      <c r="EI135" s="43"/>
      <c r="EJ135" s="43"/>
      <c r="EK135" s="43"/>
      <c r="EL135" s="43"/>
      <c r="EM135" s="43"/>
      <c r="EN135" s="43"/>
      <c r="EO135" s="43"/>
      <c r="EP135" s="43"/>
      <c r="EQ135" s="43"/>
      <c r="ER135" s="43"/>
      <c r="ES135" s="43"/>
      <c r="ET135" s="43"/>
      <c r="EU135" s="43"/>
      <c r="EV135" s="43"/>
      <c r="EW135" s="43"/>
      <c r="EX135" s="43"/>
      <c r="EY135" s="43"/>
      <c r="EZ135" s="43"/>
      <c r="FA135" s="43"/>
      <c r="FB135" s="43"/>
      <c r="FC135" s="43"/>
      <c r="FD135" s="43"/>
      <c r="FE135" s="43"/>
      <c r="FF135" s="43"/>
      <c r="FG135" s="43"/>
      <c r="FH135" s="43"/>
      <c r="FI135" s="43"/>
      <c r="FJ135" s="43"/>
      <c r="FK135" s="43"/>
      <c r="FL135" s="43"/>
      <c r="FM135" s="43"/>
      <c r="FN135" s="43"/>
      <c r="FO135" s="43"/>
      <c r="FP135" s="43"/>
      <c r="FQ135" s="43"/>
      <c r="FR135" s="43"/>
      <c r="FS135" s="43"/>
      <c r="FT135" s="43"/>
      <c r="FU135" s="43"/>
      <c r="FV135" s="43"/>
      <c r="FW135" s="43"/>
      <c r="FX135" s="43"/>
      <c r="FY135" s="43"/>
      <c r="FZ135" s="43"/>
      <c r="GA135" s="43"/>
      <c r="GB135" s="43"/>
      <c r="GC135" s="43"/>
      <c r="GD135" s="43"/>
      <c r="GE135" s="43"/>
      <c r="GF135" s="43"/>
      <c r="GG135" s="43"/>
      <c r="GH135" s="43"/>
      <c r="GI135" s="43"/>
      <c r="GJ135" s="43"/>
      <c r="GK135" s="43"/>
      <c r="GL135" s="43"/>
      <c r="GM135" s="43"/>
      <c r="GN135" s="43"/>
      <c r="GO135" s="43"/>
      <c r="GP135" s="43"/>
      <c r="GQ135" s="43"/>
      <c r="GR135" s="43"/>
      <c r="GS135" s="43"/>
      <c r="GT135" s="43"/>
      <c r="GU135" s="43"/>
      <c r="GV135" s="43"/>
      <c r="GW135" s="43"/>
      <c r="GX135" s="43"/>
      <c r="GY135" s="43"/>
      <c r="GZ135" s="43"/>
      <c r="HA135" s="43"/>
      <c r="HB135" s="43"/>
      <c r="HC135" s="43"/>
      <c r="HD135" s="43"/>
      <c r="HE135" s="43"/>
      <c r="HF135" s="43"/>
      <c r="HG135" s="43"/>
      <c r="HH135" s="43"/>
      <c r="HI135" s="43"/>
      <c r="HJ135" s="43"/>
      <c r="HK135" s="43"/>
      <c r="HL135" s="43"/>
      <c r="HM135" s="43"/>
      <c r="HN135" s="43"/>
      <c r="HO135" s="43"/>
      <c r="HP135" s="43"/>
      <c r="HQ135" s="43"/>
      <c r="HR135" s="43"/>
      <c r="HS135" s="43"/>
      <c r="HT135" s="43"/>
      <c r="HU135" s="43"/>
      <c r="HV135" s="43"/>
      <c r="HW135" s="43"/>
      <c r="HX135" s="43"/>
      <c r="HY135" s="43"/>
      <c r="HZ135" s="43"/>
      <c r="IA135" s="43"/>
      <c r="IB135" s="43"/>
      <c r="IC135" s="43"/>
      <c r="ID135" s="43"/>
      <c r="IE135" s="43"/>
      <c r="IF135" s="43"/>
      <c r="IG135" s="43"/>
      <c r="IH135" s="43"/>
      <c r="II135" s="43"/>
      <c r="IJ135" s="43"/>
      <c r="IK135" s="43"/>
      <c r="IL135" s="43"/>
      <c r="IM135" s="43"/>
      <c r="IN135" s="43"/>
      <c r="IO135" s="43"/>
      <c r="IP135" s="43"/>
      <c r="IQ135" s="43"/>
      <c r="IR135" s="43"/>
      <c r="IS135" s="43"/>
      <c r="IT135" s="43"/>
      <c r="IU135" s="43"/>
      <c r="IV135" s="43"/>
      <c r="IW135" s="43"/>
      <c r="IX135" s="43"/>
      <c r="IY135" s="43"/>
      <c r="IZ135" s="43"/>
      <c r="JA135" s="43"/>
      <c r="JB135" s="43"/>
      <c r="JC135" s="43"/>
      <c r="JD135" s="43"/>
      <c r="JE135" s="43"/>
      <c r="JF135" s="43"/>
      <c r="JG135" s="43"/>
      <c r="JH135" s="43"/>
      <c r="JI135" s="43"/>
      <c r="JJ135" s="43"/>
      <c r="JK135" s="43"/>
      <c r="JL135" s="43"/>
      <c r="JM135" s="43"/>
      <c r="JN135" s="43"/>
      <c r="JO135" s="43"/>
      <c r="JP135" s="43"/>
      <c r="JQ135" s="43"/>
      <c r="JR135" s="43"/>
      <c r="JS135" s="43"/>
      <c r="JT135" s="43"/>
      <c r="JU135" s="43"/>
      <c r="JV135" s="43"/>
      <c r="JW135" s="43"/>
      <c r="JX135" s="43"/>
      <c r="JY135" s="43"/>
      <c r="JZ135" s="43"/>
      <c r="KA135" s="43"/>
      <c r="KB135" s="43"/>
      <c r="KC135" s="43"/>
      <c r="KD135" s="43"/>
      <c r="KE135" s="43"/>
      <c r="KF135" s="43"/>
      <c r="KG135" s="43"/>
      <c r="KH135" s="43"/>
      <c r="KI135" s="43"/>
      <c r="KJ135" s="43"/>
      <c r="KK135" s="43"/>
      <c r="KL135" s="43"/>
      <c r="KM135" s="43"/>
      <c r="KN135" s="43"/>
      <c r="KO135" s="43"/>
      <c r="KP135" s="43"/>
      <c r="KQ135" s="43"/>
      <c r="KR135" s="43"/>
      <c r="KS135" s="43"/>
      <c r="KT135" s="43"/>
      <c r="KU135" s="43"/>
      <c r="KV135" s="43"/>
      <c r="KW135" s="43"/>
      <c r="KX135" s="43"/>
      <c r="KY135" s="43"/>
      <c r="KZ135" s="43"/>
      <c r="LA135" s="43"/>
      <c r="LB135" s="43"/>
      <c r="LC135" s="43"/>
      <c r="LD135" s="43"/>
      <c r="LE135" s="43"/>
      <c r="LF135" s="43"/>
      <c r="LG135" s="43"/>
      <c r="LH135" s="43"/>
      <c r="LI135" s="43"/>
      <c r="LJ135" s="43"/>
      <c r="LK135" s="43"/>
      <c r="LL135" s="43"/>
      <c r="LM135" s="43"/>
      <c r="LN135" s="43"/>
      <c r="LO135" s="43"/>
      <c r="LP135" s="43"/>
      <c r="LQ135" s="43"/>
      <c r="LR135" s="43"/>
      <c r="LS135" s="43"/>
      <c r="LT135" s="43"/>
      <c r="LU135" s="43"/>
      <c r="LV135" s="43"/>
      <c r="LW135" s="43"/>
      <c r="LX135" s="43"/>
      <c r="LY135" s="43"/>
      <c r="LZ135" s="43"/>
      <c r="MA135" s="43"/>
      <c r="MB135" s="43"/>
      <c r="MC135" s="43"/>
      <c r="MD135" s="43"/>
      <c r="ME135" s="43"/>
      <c r="MF135" s="43"/>
      <c r="MG135" s="43"/>
      <c r="MH135" s="43"/>
      <c r="MI135" s="43"/>
      <c r="MJ135" s="43"/>
      <c r="MK135" s="43"/>
      <c r="ML135" s="43"/>
      <c r="MM135" s="43"/>
      <c r="MN135" s="43"/>
      <c r="MO135" s="43"/>
      <c r="MP135" s="43"/>
      <c r="MQ135" s="43"/>
      <c r="MR135" s="43"/>
      <c r="MS135" s="43"/>
      <c r="MT135" s="43"/>
      <c r="MU135" s="43"/>
      <c r="MV135" s="43"/>
      <c r="MW135" s="43"/>
      <c r="MX135" s="43"/>
      <c r="MY135" s="43"/>
      <c r="MZ135" s="43"/>
      <c r="NA135" s="43"/>
      <c r="NB135" s="43"/>
      <c r="NC135" s="43"/>
      <c r="ND135" s="43"/>
      <c r="NE135" s="43"/>
      <c r="NF135" s="43"/>
      <c r="NG135" s="43"/>
      <c r="NH135" s="43"/>
      <c r="NI135" s="43"/>
      <c r="NJ135" s="43"/>
      <c r="NK135" s="43"/>
      <c r="NL135" s="43"/>
      <c r="NM135" s="43"/>
      <c r="NN135" s="43"/>
      <c r="NO135" s="43"/>
      <c r="NP135" s="43"/>
      <c r="NQ135" s="43"/>
      <c r="NR135" s="43"/>
      <c r="NS135" s="43"/>
      <c r="NT135" s="43"/>
      <c r="NU135" s="43"/>
      <c r="NV135" s="43"/>
      <c r="NW135" s="43"/>
      <c r="NX135" s="43"/>
      <c r="NY135" s="43"/>
      <c r="NZ135" s="43"/>
      <c r="OA135" s="43"/>
      <c r="OB135" s="43"/>
      <c r="OC135" s="43"/>
      <c r="OD135" s="43"/>
      <c r="OE135" s="43"/>
      <c r="OF135" s="43"/>
      <c r="OG135" s="43"/>
      <c r="OH135" s="43"/>
      <c r="OI135" s="43"/>
      <c r="OJ135" s="43"/>
      <c r="OK135" s="43"/>
      <c r="OL135" s="43"/>
      <c r="OM135" s="43"/>
      <c r="ON135" s="43"/>
      <c r="OO135" s="43"/>
      <c r="OP135" s="43"/>
      <c r="OQ135" s="43"/>
      <c r="OR135" s="43"/>
      <c r="OS135" s="43"/>
      <c r="OT135" s="43"/>
      <c r="OU135" s="43"/>
      <c r="OV135" s="43"/>
      <c r="OW135" s="43"/>
      <c r="OX135" s="43"/>
      <c r="OY135" s="43"/>
      <c r="OZ135" s="43"/>
      <c r="PA135" s="43"/>
      <c r="PB135" s="43"/>
      <c r="PC135" s="43"/>
      <c r="PD135" s="43"/>
      <c r="PE135" s="43"/>
      <c r="PF135" s="43"/>
      <c r="PG135" s="43"/>
      <c r="PH135" s="43"/>
      <c r="PI135" s="43"/>
      <c r="PJ135" s="43"/>
      <c r="PK135" s="43"/>
      <c r="PL135" s="43"/>
      <c r="PM135" s="43"/>
      <c r="PN135" s="43"/>
      <c r="PO135" s="43"/>
      <c r="PP135" s="43"/>
      <c r="PQ135" s="43"/>
      <c r="PR135" s="43"/>
      <c r="PS135" s="43"/>
      <c r="PT135" s="43"/>
      <c r="PU135" s="43"/>
      <c r="PV135" s="43"/>
      <c r="PW135" s="43"/>
      <c r="PX135" s="43"/>
      <c r="PY135" s="43"/>
      <c r="PZ135" s="43"/>
      <c r="QA135" s="43"/>
      <c r="QB135" s="43"/>
      <c r="QC135" s="43"/>
    </row>
    <row r="136" spans="1:445" x14ac:dyDescent="0.3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 t="str">
        <f t="shared" si="11"/>
        <v/>
      </c>
      <c r="U136" s="45" t="str">
        <f t="shared" si="12"/>
        <v/>
      </c>
      <c r="V136" s="68" t="str">
        <f t="shared" si="13"/>
        <v/>
      </c>
      <c r="W136" s="48"/>
      <c r="X136" s="66" t="str">
        <f t="shared" si="15"/>
        <v/>
      </c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43"/>
      <c r="BN136" s="43"/>
      <c r="BO136" s="43"/>
      <c r="BP136" s="43"/>
      <c r="BQ136" s="43"/>
      <c r="BR136" s="43"/>
      <c r="BS136" s="43"/>
      <c r="BT136" s="43"/>
      <c r="BU136" s="43"/>
      <c r="BV136" s="43"/>
      <c r="BW136" s="43"/>
      <c r="BX136" s="43"/>
      <c r="BY136" s="43"/>
      <c r="BZ136" s="43"/>
      <c r="CA136" s="43"/>
      <c r="CB136" s="43"/>
      <c r="CC136" s="43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43"/>
      <c r="CY136" s="43"/>
      <c r="CZ136" s="43"/>
      <c r="DA136" s="43"/>
      <c r="DB136" s="43"/>
      <c r="DC136" s="43"/>
      <c r="DD136" s="43"/>
      <c r="DE136" s="43"/>
      <c r="DF136" s="43"/>
      <c r="DG136" s="43"/>
      <c r="DH136" s="43"/>
      <c r="DI136" s="43"/>
      <c r="DJ136" s="43"/>
      <c r="DK136" s="43"/>
      <c r="DL136" s="43"/>
      <c r="DM136" s="43"/>
      <c r="DN136" s="43"/>
      <c r="DO136" s="43"/>
      <c r="DP136" s="43"/>
      <c r="DQ136" s="43"/>
      <c r="DR136" s="43"/>
      <c r="DS136" s="43"/>
      <c r="DT136" s="43"/>
      <c r="DU136" s="43"/>
      <c r="DV136" s="43"/>
      <c r="DW136" s="43"/>
      <c r="DX136" s="43"/>
      <c r="DY136" s="43"/>
      <c r="DZ136" s="43"/>
      <c r="EA136" s="43"/>
      <c r="EB136" s="43"/>
      <c r="EC136" s="43"/>
      <c r="ED136" s="43"/>
      <c r="EE136" s="43"/>
      <c r="EF136" s="43"/>
      <c r="EG136" s="43"/>
      <c r="EH136" s="43"/>
      <c r="EI136" s="43"/>
      <c r="EJ136" s="43"/>
      <c r="EK136" s="43"/>
      <c r="EL136" s="43"/>
      <c r="EM136" s="43"/>
      <c r="EN136" s="43"/>
      <c r="EO136" s="43"/>
      <c r="EP136" s="43"/>
      <c r="EQ136" s="43"/>
      <c r="ER136" s="43"/>
      <c r="ES136" s="43"/>
      <c r="ET136" s="43"/>
      <c r="EU136" s="43"/>
      <c r="EV136" s="43"/>
      <c r="EW136" s="43"/>
      <c r="EX136" s="43"/>
      <c r="EY136" s="43"/>
      <c r="EZ136" s="43"/>
      <c r="FA136" s="43"/>
      <c r="FB136" s="43"/>
      <c r="FC136" s="43"/>
      <c r="FD136" s="43"/>
      <c r="FE136" s="43"/>
      <c r="FF136" s="43"/>
      <c r="FG136" s="43"/>
      <c r="FH136" s="43"/>
      <c r="FI136" s="43"/>
      <c r="FJ136" s="43"/>
      <c r="FK136" s="43"/>
      <c r="FL136" s="43"/>
      <c r="FM136" s="43"/>
      <c r="FN136" s="43"/>
      <c r="FO136" s="43"/>
      <c r="FP136" s="43"/>
      <c r="FQ136" s="43"/>
      <c r="FR136" s="43"/>
      <c r="FS136" s="43"/>
      <c r="FT136" s="43"/>
      <c r="FU136" s="43"/>
      <c r="FV136" s="43"/>
      <c r="FW136" s="43"/>
      <c r="FX136" s="43"/>
      <c r="FY136" s="43"/>
      <c r="FZ136" s="43"/>
      <c r="GA136" s="43"/>
      <c r="GB136" s="43"/>
      <c r="GC136" s="43"/>
      <c r="GD136" s="43"/>
      <c r="GE136" s="43"/>
      <c r="GF136" s="43"/>
      <c r="GG136" s="43"/>
      <c r="GH136" s="43"/>
      <c r="GI136" s="43"/>
      <c r="GJ136" s="43"/>
      <c r="GK136" s="43"/>
      <c r="GL136" s="43"/>
      <c r="GM136" s="43"/>
      <c r="GN136" s="43"/>
      <c r="GO136" s="43"/>
      <c r="GP136" s="43"/>
      <c r="GQ136" s="43"/>
      <c r="GR136" s="43"/>
      <c r="GS136" s="43"/>
      <c r="GT136" s="43"/>
      <c r="GU136" s="43"/>
      <c r="GV136" s="43"/>
      <c r="GW136" s="43"/>
      <c r="GX136" s="43"/>
      <c r="GY136" s="43"/>
      <c r="GZ136" s="43"/>
      <c r="HA136" s="43"/>
      <c r="HB136" s="43"/>
      <c r="HC136" s="43"/>
      <c r="HD136" s="43"/>
      <c r="HE136" s="43"/>
      <c r="HF136" s="43"/>
      <c r="HG136" s="43"/>
      <c r="HH136" s="43"/>
      <c r="HI136" s="43"/>
      <c r="HJ136" s="43"/>
      <c r="HK136" s="43"/>
      <c r="HL136" s="43"/>
      <c r="HM136" s="43"/>
      <c r="HN136" s="43"/>
      <c r="HO136" s="43"/>
      <c r="HP136" s="43"/>
      <c r="HQ136" s="43"/>
      <c r="HR136" s="43"/>
      <c r="HS136" s="43"/>
      <c r="HT136" s="43"/>
      <c r="HU136" s="43"/>
      <c r="HV136" s="43"/>
      <c r="HW136" s="43"/>
      <c r="HX136" s="43"/>
      <c r="HY136" s="43"/>
      <c r="HZ136" s="43"/>
      <c r="IA136" s="43"/>
      <c r="IB136" s="43"/>
      <c r="IC136" s="43"/>
      <c r="ID136" s="43"/>
      <c r="IE136" s="43"/>
      <c r="IF136" s="43"/>
      <c r="IG136" s="43"/>
      <c r="IH136" s="43"/>
      <c r="II136" s="43"/>
      <c r="IJ136" s="43"/>
      <c r="IK136" s="43"/>
      <c r="IL136" s="43"/>
      <c r="IM136" s="43"/>
      <c r="IN136" s="43"/>
      <c r="IO136" s="43"/>
      <c r="IP136" s="43"/>
      <c r="IQ136" s="43"/>
      <c r="IR136" s="43"/>
      <c r="IS136" s="43"/>
      <c r="IT136" s="43"/>
      <c r="IU136" s="43"/>
      <c r="IV136" s="43"/>
      <c r="IW136" s="43"/>
      <c r="IX136" s="43"/>
      <c r="IY136" s="43"/>
      <c r="IZ136" s="43"/>
      <c r="JA136" s="43"/>
      <c r="JB136" s="43"/>
      <c r="JC136" s="43"/>
      <c r="JD136" s="43"/>
      <c r="JE136" s="43"/>
      <c r="JF136" s="43"/>
      <c r="JG136" s="43"/>
      <c r="JH136" s="43"/>
      <c r="JI136" s="43"/>
      <c r="JJ136" s="43"/>
      <c r="JK136" s="43"/>
      <c r="JL136" s="43"/>
      <c r="JM136" s="43"/>
      <c r="JN136" s="43"/>
      <c r="JO136" s="43"/>
      <c r="JP136" s="43"/>
      <c r="JQ136" s="43"/>
      <c r="JR136" s="43"/>
      <c r="JS136" s="43"/>
      <c r="JT136" s="43"/>
      <c r="JU136" s="43"/>
      <c r="JV136" s="43"/>
      <c r="JW136" s="43"/>
      <c r="JX136" s="43"/>
      <c r="JY136" s="43"/>
      <c r="JZ136" s="43"/>
      <c r="KA136" s="43"/>
      <c r="KB136" s="43"/>
      <c r="KC136" s="43"/>
      <c r="KD136" s="43"/>
      <c r="KE136" s="43"/>
      <c r="KF136" s="43"/>
      <c r="KG136" s="43"/>
      <c r="KH136" s="43"/>
      <c r="KI136" s="43"/>
      <c r="KJ136" s="43"/>
      <c r="KK136" s="43"/>
      <c r="KL136" s="43"/>
      <c r="KM136" s="43"/>
      <c r="KN136" s="43"/>
      <c r="KO136" s="43"/>
      <c r="KP136" s="43"/>
      <c r="KQ136" s="43"/>
      <c r="KR136" s="43"/>
      <c r="KS136" s="43"/>
      <c r="KT136" s="43"/>
      <c r="KU136" s="43"/>
      <c r="KV136" s="43"/>
      <c r="KW136" s="43"/>
      <c r="KX136" s="43"/>
      <c r="KY136" s="43"/>
      <c r="KZ136" s="43"/>
      <c r="LA136" s="43"/>
      <c r="LB136" s="43"/>
      <c r="LC136" s="43"/>
      <c r="LD136" s="43"/>
      <c r="LE136" s="43"/>
      <c r="LF136" s="43"/>
      <c r="LG136" s="43"/>
      <c r="LH136" s="43"/>
      <c r="LI136" s="43"/>
      <c r="LJ136" s="43"/>
      <c r="LK136" s="43"/>
      <c r="LL136" s="43"/>
      <c r="LM136" s="43"/>
      <c r="LN136" s="43"/>
      <c r="LO136" s="43"/>
      <c r="LP136" s="43"/>
      <c r="LQ136" s="43"/>
      <c r="LR136" s="43"/>
      <c r="LS136" s="43"/>
      <c r="LT136" s="43"/>
      <c r="LU136" s="43"/>
      <c r="LV136" s="43"/>
      <c r="LW136" s="43"/>
      <c r="LX136" s="43"/>
      <c r="LY136" s="43"/>
      <c r="LZ136" s="43"/>
      <c r="MA136" s="43"/>
      <c r="MB136" s="43"/>
      <c r="MC136" s="43"/>
      <c r="MD136" s="43"/>
      <c r="ME136" s="43"/>
      <c r="MF136" s="43"/>
      <c r="MG136" s="43"/>
      <c r="MH136" s="43"/>
      <c r="MI136" s="43"/>
      <c r="MJ136" s="43"/>
      <c r="MK136" s="43"/>
      <c r="ML136" s="43"/>
      <c r="MM136" s="43"/>
      <c r="MN136" s="43"/>
      <c r="MO136" s="43"/>
      <c r="MP136" s="43"/>
      <c r="MQ136" s="43"/>
      <c r="MR136" s="43"/>
      <c r="MS136" s="43"/>
      <c r="MT136" s="43"/>
      <c r="MU136" s="43"/>
      <c r="MV136" s="43"/>
      <c r="MW136" s="43"/>
      <c r="MX136" s="43"/>
      <c r="MY136" s="43"/>
      <c r="MZ136" s="43"/>
      <c r="NA136" s="43"/>
      <c r="NB136" s="43"/>
      <c r="NC136" s="43"/>
      <c r="ND136" s="43"/>
      <c r="NE136" s="43"/>
      <c r="NF136" s="43"/>
      <c r="NG136" s="43"/>
      <c r="NH136" s="43"/>
      <c r="NI136" s="43"/>
      <c r="NJ136" s="43"/>
      <c r="NK136" s="43"/>
      <c r="NL136" s="43"/>
      <c r="NM136" s="43"/>
      <c r="NN136" s="43"/>
      <c r="NO136" s="43"/>
      <c r="NP136" s="43"/>
      <c r="NQ136" s="43"/>
      <c r="NR136" s="43"/>
      <c r="NS136" s="43"/>
      <c r="NT136" s="43"/>
      <c r="NU136" s="43"/>
      <c r="NV136" s="43"/>
      <c r="NW136" s="43"/>
      <c r="NX136" s="43"/>
      <c r="NY136" s="43"/>
      <c r="NZ136" s="43"/>
      <c r="OA136" s="43"/>
      <c r="OB136" s="43"/>
      <c r="OC136" s="43"/>
      <c r="OD136" s="43"/>
      <c r="OE136" s="43"/>
      <c r="OF136" s="43"/>
      <c r="OG136" s="43"/>
      <c r="OH136" s="43"/>
      <c r="OI136" s="43"/>
      <c r="OJ136" s="43"/>
      <c r="OK136" s="43"/>
      <c r="OL136" s="43"/>
      <c r="OM136" s="43"/>
      <c r="ON136" s="43"/>
      <c r="OO136" s="43"/>
      <c r="OP136" s="43"/>
      <c r="OQ136" s="43"/>
      <c r="OR136" s="43"/>
      <c r="OS136" s="43"/>
      <c r="OT136" s="43"/>
      <c r="OU136" s="43"/>
      <c r="OV136" s="43"/>
      <c r="OW136" s="43"/>
      <c r="OX136" s="43"/>
      <c r="OY136" s="43"/>
      <c r="OZ136" s="43"/>
      <c r="PA136" s="43"/>
      <c r="PB136" s="43"/>
      <c r="PC136" s="43"/>
      <c r="PD136" s="43"/>
      <c r="PE136" s="43"/>
      <c r="PF136" s="43"/>
      <c r="PG136" s="43"/>
      <c r="PH136" s="43"/>
      <c r="PI136" s="43"/>
      <c r="PJ136" s="43"/>
      <c r="PK136" s="43"/>
      <c r="PL136" s="43"/>
      <c r="PM136" s="43"/>
      <c r="PN136" s="43"/>
      <c r="PO136" s="43"/>
      <c r="PP136" s="43"/>
      <c r="PQ136" s="43"/>
      <c r="PR136" s="43"/>
      <c r="PS136" s="43"/>
      <c r="PT136" s="43"/>
      <c r="PU136" s="43"/>
      <c r="PV136" s="43"/>
      <c r="PW136" s="43"/>
      <c r="PX136" s="43"/>
      <c r="PY136" s="43"/>
      <c r="PZ136" s="43"/>
      <c r="QA136" s="43"/>
      <c r="QB136" s="43"/>
      <c r="QC136" s="43"/>
    </row>
    <row r="137" spans="1:445" x14ac:dyDescent="0.3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 t="str">
        <f t="shared" si="11"/>
        <v/>
      </c>
      <c r="U137" s="45" t="str">
        <f t="shared" si="12"/>
        <v/>
      </c>
      <c r="V137" s="68" t="str">
        <f t="shared" si="13"/>
        <v/>
      </c>
      <c r="W137" s="48"/>
      <c r="X137" s="66" t="str">
        <f t="shared" si="15"/>
        <v/>
      </c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43"/>
      <c r="BN137" s="43"/>
      <c r="BO137" s="43"/>
      <c r="BP137" s="43"/>
      <c r="BQ137" s="43"/>
      <c r="BR137" s="43"/>
      <c r="BS137" s="43"/>
      <c r="BT137" s="43"/>
      <c r="BU137" s="43"/>
      <c r="BV137" s="43"/>
      <c r="BW137" s="43"/>
      <c r="BX137" s="43"/>
      <c r="BY137" s="43"/>
      <c r="BZ137" s="43"/>
      <c r="CA137" s="43"/>
      <c r="CB137" s="43"/>
      <c r="CC137" s="43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43"/>
      <c r="CY137" s="43"/>
      <c r="CZ137" s="43"/>
      <c r="DA137" s="43"/>
      <c r="DB137" s="43"/>
      <c r="DC137" s="43"/>
      <c r="DD137" s="43"/>
      <c r="DE137" s="43"/>
      <c r="DF137" s="43"/>
      <c r="DG137" s="43"/>
      <c r="DH137" s="43"/>
      <c r="DI137" s="43"/>
      <c r="DJ137" s="43"/>
      <c r="DK137" s="43"/>
      <c r="DL137" s="43"/>
      <c r="DM137" s="43"/>
      <c r="DN137" s="43"/>
      <c r="DO137" s="43"/>
      <c r="DP137" s="43"/>
      <c r="DQ137" s="43"/>
      <c r="DR137" s="43"/>
      <c r="DS137" s="43"/>
      <c r="DT137" s="43"/>
      <c r="DU137" s="43"/>
      <c r="DV137" s="43"/>
      <c r="DW137" s="43"/>
      <c r="DX137" s="43"/>
      <c r="DY137" s="43"/>
      <c r="DZ137" s="43"/>
      <c r="EA137" s="43"/>
      <c r="EB137" s="43"/>
      <c r="EC137" s="43"/>
      <c r="ED137" s="43"/>
      <c r="EE137" s="43"/>
      <c r="EF137" s="43"/>
      <c r="EG137" s="43"/>
      <c r="EH137" s="43"/>
      <c r="EI137" s="43"/>
      <c r="EJ137" s="43"/>
      <c r="EK137" s="43"/>
      <c r="EL137" s="43"/>
      <c r="EM137" s="43"/>
      <c r="EN137" s="43"/>
      <c r="EO137" s="43"/>
      <c r="EP137" s="43"/>
      <c r="EQ137" s="43"/>
      <c r="ER137" s="43"/>
      <c r="ES137" s="43"/>
      <c r="ET137" s="43"/>
      <c r="EU137" s="43"/>
      <c r="EV137" s="43"/>
      <c r="EW137" s="43"/>
      <c r="EX137" s="43"/>
      <c r="EY137" s="43"/>
      <c r="EZ137" s="43"/>
      <c r="FA137" s="43"/>
      <c r="FB137" s="43"/>
      <c r="FC137" s="43"/>
      <c r="FD137" s="43"/>
      <c r="FE137" s="43"/>
      <c r="FF137" s="43"/>
      <c r="FG137" s="43"/>
      <c r="FH137" s="43"/>
      <c r="FI137" s="43"/>
      <c r="FJ137" s="43"/>
      <c r="FK137" s="43"/>
      <c r="FL137" s="43"/>
      <c r="FM137" s="43"/>
      <c r="FN137" s="43"/>
      <c r="FO137" s="43"/>
      <c r="FP137" s="43"/>
      <c r="FQ137" s="43"/>
      <c r="FR137" s="43"/>
      <c r="FS137" s="43"/>
      <c r="FT137" s="43"/>
      <c r="FU137" s="43"/>
      <c r="FV137" s="43"/>
      <c r="FW137" s="43"/>
      <c r="FX137" s="43"/>
      <c r="FY137" s="43"/>
      <c r="FZ137" s="43"/>
      <c r="GA137" s="43"/>
      <c r="GB137" s="43"/>
      <c r="GC137" s="43"/>
      <c r="GD137" s="43"/>
      <c r="GE137" s="43"/>
      <c r="GF137" s="43"/>
      <c r="GG137" s="43"/>
      <c r="GH137" s="43"/>
      <c r="GI137" s="43"/>
      <c r="GJ137" s="43"/>
      <c r="GK137" s="43"/>
      <c r="GL137" s="43"/>
      <c r="GM137" s="43"/>
      <c r="GN137" s="43"/>
      <c r="GO137" s="43"/>
      <c r="GP137" s="43"/>
      <c r="GQ137" s="43"/>
      <c r="GR137" s="43"/>
      <c r="GS137" s="43"/>
      <c r="GT137" s="43"/>
      <c r="GU137" s="43"/>
      <c r="GV137" s="43"/>
      <c r="GW137" s="43"/>
      <c r="GX137" s="43"/>
      <c r="GY137" s="43"/>
      <c r="GZ137" s="43"/>
      <c r="HA137" s="43"/>
      <c r="HB137" s="43"/>
      <c r="HC137" s="43"/>
      <c r="HD137" s="43"/>
      <c r="HE137" s="43"/>
      <c r="HF137" s="43"/>
      <c r="HG137" s="43"/>
      <c r="HH137" s="43"/>
      <c r="HI137" s="43"/>
      <c r="HJ137" s="43"/>
      <c r="HK137" s="43"/>
      <c r="HL137" s="43"/>
      <c r="HM137" s="43"/>
      <c r="HN137" s="43"/>
      <c r="HO137" s="43"/>
      <c r="HP137" s="43"/>
      <c r="HQ137" s="43"/>
      <c r="HR137" s="43"/>
      <c r="HS137" s="43"/>
      <c r="HT137" s="43"/>
      <c r="HU137" s="43"/>
      <c r="HV137" s="43"/>
      <c r="HW137" s="43"/>
      <c r="HX137" s="43"/>
      <c r="HY137" s="43"/>
      <c r="HZ137" s="43"/>
      <c r="IA137" s="43"/>
      <c r="IB137" s="43"/>
      <c r="IC137" s="43"/>
      <c r="ID137" s="43"/>
      <c r="IE137" s="43"/>
      <c r="IF137" s="43"/>
      <c r="IG137" s="43"/>
      <c r="IH137" s="43"/>
      <c r="II137" s="43"/>
      <c r="IJ137" s="43"/>
      <c r="IK137" s="43"/>
      <c r="IL137" s="43"/>
      <c r="IM137" s="43"/>
      <c r="IN137" s="43"/>
      <c r="IO137" s="43"/>
      <c r="IP137" s="43"/>
      <c r="IQ137" s="43"/>
      <c r="IR137" s="43"/>
      <c r="IS137" s="43"/>
      <c r="IT137" s="43"/>
      <c r="IU137" s="43"/>
      <c r="IV137" s="43"/>
      <c r="IW137" s="43"/>
      <c r="IX137" s="43"/>
      <c r="IY137" s="43"/>
      <c r="IZ137" s="43"/>
      <c r="JA137" s="43"/>
      <c r="JB137" s="43"/>
      <c r="JC137" s="43"/>
      <c r="JD137" s="43"/>
      <c r="JE137" s="43"/>
      <c r="JF137" s="43"/>
      <c r="JG137" s="43"/>
      <c r="JH137" s="43"/>
      <c r="JI137" s="43"/>
      <c r="JJ137" s="43"/>
      <c r="JK137" s="43"/>
      <c r="JL137" s="43"/>
      <c r="JM137" s="43"/>
      <c r="JN137" s="43"/>
      <c r="JO137" s="43"/>
      <c r="JP137" s="43"/>
      <c r="JQ137" s="43"/>
      <c r="JR137" s="43"/>
      <c r="JS137" s="43"/>
      <c r="JT137" s="43"/>
      <c r="JU137" s="43"/>
      <c r="JV137" s="43"/>
      <c r="JW137" s="43"/>
      <c r="JX137" s="43"/>
      <c r="JY137" s="43"/>
      <c r="JZ137" s="43"/>
      <c r="KA137" s="43"/>
      <c r="KB137" s="43"/>
      <c r="KC137" s="43"/>
      <c r="KD137" s="43"/>
      <c r="KE137" s="43"/>
      <c r="KF137" s="43"/>
      <c r="KG137" s="43"/>
      <c r="KH137" s="43"/>
      <c r="KI137" s="43"/>
      <c r="KJ137" s="43"/>
      <c r="KK137" s="43"/>
      <c r="KL137" s="43"/>
      <c r="KM137" s="43"/>
      <c r="KN137" s="43"/>
      <c r="KO137" s="43"/>
      <c r="KP137" s="43"/>
      <c r="KQ137" s="43"/>
      <c r="KR137" s="43"/>
      <c r="KS137" s="43"/>
      <c r="KT137" s="43"/>
      <c r="KU137" s="43"/>
      <c r="KV137" s="43"/>
      <c r="KW137" s="43"/>
      <c r="KX137" s="43"/>
      <c r="KY137" s="43"/>
      <c r="KZ137" s="43"/>
      <c r="LA137" s="43"/>
      <c r="LB137" s="43"/>
      <c r="LC137" s="43"/>
      <c r="LD137" s="43"/>
      <c r="LE137" s="43"/>
      <c r="LF137" s="43"/>
      <c r="LG137" s="43"/>
      <c r="LH137" s="43"/>
      <c r="LI137" s="43"/>
      <c r="LJ137" s="43"/>
      <c r="LK137" s="43"/>
      <c r="LL137" s="43"/>
      <c r="LM137" s="43"/>
      <c r="LN137" s="43"/>
      <c r="LO137" s="43"/>
      <c r="LP137" s="43"/>
      <c r="LQ137" s="43"/>
      <c r="LR137" s="43"/>
      <c r="LS137" s="43"/>
      <c r="LT137" s="43"/>
      <c r="LU137" s="43"/>
      <c r="LV137" s="43"/>
      <c r="LW137" s="43"/>
      <c r="LX137" s="43"/>
      <c r="LY137" s="43"/>
      <c r="LZ137" s="43"/>
      <c r="MA137" s="43"/>
      <c r="MB137" s="43"/>
      <c r="MC137" s="43"/>
      <c r="MD137" s="43"/>
      <c r="ME137" s="43"/>
      <c r="MF137" s="43"/>
      <c r="MG137" s="43"/>
      <c r="MH137" s="43"/>
      <c r="MI137" s="43"/>
      <c r="MJ137" s="43"/>
      <c r="MK137" s="43"/>
      <c r="ML137" s="43"/>
      <c r="MM137" s="43"/>
      <c r="MN137" s="43"/>
      <c r="MO137" s="43"/>
      <c r="MP137" s="43"/>
      <c r="MQ137" s="43"/>
      <c r="MR137" s="43"/>
      <c r="MS137" s="43"/>
      <c r="MT137" s="43"/>
      <c r="MU137" s="43"/>
      <c r="MV137" s="43"/>
      <c r="MW137" s="43"/>
      <c r="MX137" s="43"/>
      <c r="MY137" s="43"/>
      <c r="MZ137" s="43"/>
      <c r="NA137" s="43"/>
      <c r="NB137" s="43"/>
      <c r="NC137" s="43"/>
      <c r="ND137" s="43"/>
      <c r="NE137" s="43"/>
      <c r="NF137" s="43"/>
      <c r="NG137" s="43"/>
      <c r="NH137" s="43"/>
      <c r="NI137" s="43"/>
      <c r="NJ137" s="43"/>
      <c r="NK137" s="43"/>
      <c r="NL137" s="43"/>
      <c r="NM137" s="43"/>
      <c r="NN137" s="43"/>
      <c r="NO137" s="43"/>
      <c r="NP137" s="43"/>
      <c r="NQ137" s="43"/>
      <c r="NR137" s="43"/>
      <c r="NS137" s="43"/>
      <c r="NT137" s="43"/>
      <c r="NU137" s="43"/>
      <c r="NV137" s="43"/>
      <c r="NW137" s="43"/>
      <c r="NX137" s="43"/>
      <c r="NY137" s="43"/>
      <c r="NZ137" s="43"/>
      <c r="OA137" s="43"/>
      <c r="OB137" s="43"/>
      <c r="OC137" s="43"/>
      <c r="OD137" s="43"/>
      <c r="OE137" s="43"/>
      <c r="OF137" s="43"/>
      <c r="OG137" s="43"/>
      <c r="OH137" s="43"/>
      <c r="OI137" s="43"/>
      <c r="OJ137" s="43"/>
      <c r="OK137" s="43"/>
      <c r="OL137" s="43"/>
      <c r="OM137" s="43"/>
      <c r="ON137" s="43"/>
      <c r="OO137" s="43"/>
      <c r="OP137" s="43"/>
      <c r="OQ137" s="43"/>
      <c r="OR137" s="43"/>
      <c r="OS137" s="43"/>
      <c r="OT137" s="43"/>
      <c r="OU137" s="43"/>
      <c r="OV137" s="43"/>
      <c r="OW137" s="43"/>
      <c r="OX137" s="43"/>
      <c r="OY137" s="43"/>
      <c r="OZ137" s="43"/>
      <c r="PA137" s="43"/>
      <c r="PB137" s="43"/>
      <c r="PC137" s="43"/>
      <c r="PD137" s="43"/>
      <c r="PE137" s="43"/>
      <c r="PF137" s="43"/>
      <c r="PG137" s="43"/>
      <c r="PH137" s="43"/>
      <c r="PI137" s="43"/>
      <c r="PJ137" s="43"/>
      <c r="PK137" s="43"/>
      <c r="PL137" s="43"/>
      <c r="PM137" s="43"/>
      <c r="PN137" s="43"/>
      <c r="PO137" s="43"/>
      <c r="PP137" s="43"/>
      <c r="PQ137" s="43"/>
      <c r="PR137" s="43"/>
      <c r="PS137" s="43"/>
      <c r="PT137" s="43"/>
      <c r="PU137" s="43"/>
      <c r="PV137" s="43"/>
      <c r="PW137" s="43"/>
      <c r="PX137" s="43"/>
      <c r="PY137" s="43"/>
      <c r="PZ137" s="43"/>
      <c r="QA137" s="43"/>
      <c r="QB137" s="43"/>
      <c r="QC137" s="43"/>
    </row>
    <row r="138" spans="1:445" x14ac:dyDescent="0.3"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 t="str">
        <f t="shared" si="11"/>
        <v/>
      </c>
      <c r="U138" s="45" t="str">
        <f t="shared" si="12"/>
        <v/>
      </c>
      <c r="V138" s="68" t="str">
        <f t="shared" si="13"/>
        <v/>
      </c>
      <c r="W138" s="48"/>
      <c r="X138" s="66" t="str">
        <f t="shared" si="15"/>
        <v/>
      </c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43"/>
      <c r="BN138" s="43"/>
      <c r="BO138" s="43"/>
      <c r="BP138" s="43"/>
      <c r="BQ138" s="43"/>
      <c r="BR138" s="43"/>
      <c r="BS138" s="43"/>
      <c r="BT138" s="43"/>
      <c r="BU138" s="43"/>
      <c r="BV138" s="43"/>
      <c r="BW138" s="43"/>
      <c r="BX138" s="43"/>
      <c r="BY138" s="43"/>
      <c r="BZ138" s="43"/>
      <c r="CA138" s="43"/>
      <c r="CB138" s="43"/>
      <c r="CC138" s="43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43"/>
      <c r="CY138" s="43"/>
      <c r="CZ138" s="43"/>
      <c r="DA138" s="43"/>
      <c r="DB138" s="43"/>
      <c r="DC138" s="43"/>
      <c r="DD138" s="43"/>
      <c r="DE138" s="43"/>
      <c r="DF138" s="43"/>
      <c r="DG138" s="43"/>
      <c r="DH138" s="43"/>
      <c r="DI138" s="43"/>
      <c r="DJ138" s="43"/>
      <c r="DK138" s="43"/>
      <c r="DL138" s="43"/>
      <c r="DM138" s="43"/>
      <c r="DN138" s="43"/>
      <c r="DO138" s="43"/>
      <c r="DP138" s="43"/>
      <c r="DQ138" s="43"/>
      <c r="DR138" s="43"/>
      <c r="DS138" s="43"/>
      <c r="DT138" s="43"/>
      <c r="DU138" s="43"/>
      <c r="DV138" s="43"/>
      <c r="DW138" s="43"/>
      <c r="DX138" s="43"/>
      <c r="DY138" s="43"/>
      <c r="DZ138" s="43"/>
      <c r="EA138" s="43"/>
      <c r="EB138" s="43"/>
      <c r="EC138" s="43"/>
      <c r="ED138" s="43"/>
      <c r="EE138" s="43"/>
      <c r="EF138" s="43"/>
      <c r="EG138" s="43"/>
      <c r="EH138" s="43"/>
      <c r="EI138" s="43"/>
      <c r="EJ138" s="43"/>
      <c r="EK138" s="43"/>
      <c r="EL138" s="43"/>
      <c r="EM138" s="43"/>
      <c r="EN138" s="43"/>
      <c r="EO138" s="43"/>
      <c r="EP138" s="43"/>
      <c r="EQ138" s="43"/>
      <c r="ER138" s="43"/>
      <c r="ES138" s="43"/>
      <c r="ET138" s="43"/>
      <c r="EU138" s="43"/>
      <c r="EV138" s="43"/>
      <c r="EW138" s="43"/>
      <c r="EX138" s="43"/>
      <c r="EY138" s="43"/>
      <c r="EZ138" s="43"/>
      <c r="FA138" s="43"/>
      <c r="FB138" s="43"/>
      <c r="FC138" s="43"/>
      <c r="FD138" s="43"/>
      <c r="FE138" s="43"/>
      <c r="FF138" s="43"/>
      <c r="FG138" s="43"/>
      <c r="FH138" s="43"/>
      <c r="FI138" s="43"/>
      <c r="FJ138" s="43"/>
      <c r="FK138" s="43"/>
      <c r="FL138" s="43"/>
      <c r="FM138" s="43"/>
      <c r="FN138" s="43"/>
      <c r="FO138" s="43"/>
      <c r="FP138" s="43"/>
      <c r="FQ138" s="43"/>
      <c r="FR138" s="43"/>
      <c r="FS138" s="43"/>
      <c r="FT138" s="43"/>
      <c r="FU138" s="43"/>
      <c r="FV138" s="43"/>
      <c r="FW138" s="43"/>
      <c r="FX138" s="43"/>
      <c r="FY138" s="43"/>
      <c r="FZ138" s="43"/>
      <c r="GA138" s="43"/>
      <c r="GB138" s="43"/>
      <c r="GC138" s="43"/>
      <c r="GD138" s="43"/>
      <c r="GE138" s="43"/>
      <c r="GF138" s="43"/>
      <c r="GG138" s="43"/>
      <c r="GH138" s="43"/>
      <c r="GI138" s="43"/>
      <c r="GJ138" s="43"/>
      <c r="GK138" s="43"/>
      <c r="GL138" s="43"/>
      <c r="GM138" s="43"/>
      <c r="GN138" s="43"/>
      <c r="GO138" s="43"/>
      <c r="GP138" s="43"/>
      <c r="GQ138" s="43"/>
      <c r="GR138" s="43"/>
      <c r="GS138" s="43"/>
      <c r="GT138" s="43"/>
      <c r="GU138" s="43"/>
      <c r="GV138" s="43"/>
      <c r="GW138" s="43"/>
      <c r="GX138" s="43"/>
      <c r="GY138" s="43"/>
      <c r="GZ138" s="43"/>
      <c r="HA138" s="43"/>
      <c r="HB138" s="43"/>
      <c r="HC138" s="43"/>
      <c r="HD138" s="43"/>
      <c r="HE138" s="43"/>
      <c r="HF138" s="43"/>
      <c r="HG138" s="43"/>
      <c r="HH138" s="43"/>
      <c r="HI138" s="43"/>
      <c r="HJ138" s="43"/>
      <c r="HK138" s="43"/>
      <c r="HL138" s="43"/>
      <c r="HM138" s="43"/>
      <c r="HN138" s="43"/>
      <c r="HO138" s="43"/>
      <c r="HP138" s="43"/>
      <c r="HQ138" s="43"/>
      <c r="HR138" s="43"/>
      <c r="HS138" s="43"/>
      <c r="HT138" s="43"/>
      <c r="HU138" s="43"/>
      <c r="HV138" s="43"/>
      <c r="HW138" s="43"/>
      <c r="HX138" s="43"/>
      <c r="HY138" s="43"/>
      <c r="HZ138" s="43"/>
      <c r="IA138" s="43"/>
      <c r="IB138" s="43"/>
      <c r="IC138" s="43"/>
      <c r="ID138" s="43"/>
      <c r="IE138" s="43"/>
      <c r="IF138" s="43"/>
      <c r="IG138" s="43"/>
      <c r="IH138" s="43"/>
      <c r="II138" s="43"/>
      <c r="IJ138" s="43"/>
      <c r="IK138" s="43"/>
      <c r="IL138" s="43"/>
      <c r="IM138" s="43"/>
      <c r="IN138" s="43"/>
      <c r="IO138" s="43"/>
      <c r="IP138" s="43"/>
      <c r="IQ138" s="43"/>
      <c r="IR138" s="43"/>
      <c r="IS138" s="43"/>
      <c r="IT138" s="43"/>
      <c r="IU138" s="43"/>
      <c r="IV138" s="43"/>
      <c r="IW138" s="43"/>
      <c r="IX138" s="43"/>
      <c r="IY138" s="43"/>
      <c r="IZ138" s="43"/>
      <c r="JA138" s="43"/>
      <c r="JB138" s="43"/>
      <c r="JC138" s="43"/>
      <c r="JD138" s="43"/>
      <c r="JE138" s="43"/>
      <c r="JF138" s="43"/>
      <c r="JG138" s="43"/>
      <c r="JH138" s="43"/>
      <c r="JI138" s="43"/>
      <c r="JJ138" s="43"/>
      <c r="JK138" s="43"/>
      <c r="JL138" s="43"/>
      <c r="JM138" s="43"/>
      <c r="JN138" s="43"/>
      <c r="JO138" s="43"/>
      <c r="JP138" s="43"/>
      <c r="JQ138" s="43"/>
      <c r="JR138" s="43"/>
      <c r="JS138" s="43"/>
      <c r="JT138" s="43"/>
      <c r="JU138" s="43"/>
      <c r="JV138" s="43"/>
      <c r="JW138" s="43"/>
      <c r="JX138" s="43"/>
      <c r="JY138" s="43"/>
      <c r="JZ138" s="43"/>
      <c r="KA138" s="43"/>
      <c r="KB138" s="43"/>
      <c r="KC138" s="43"/>
      <c r="KD138" s="43"/>
      <c r="KE138" s="43"/>
      <c r="KF138" s="43"/>
      <c r="KG138" s="43"/>
      <c r="KH138" s="43"/>
      <c r="KI138" s="43"/>
      <c r="KJ138" s="43"/>
      <c r="KK138" s="43"/>
      <c r="KL138" s="43"/>
      <c r="KM138" s="43"/>
      <c r="KN138" s="43"/>
      <c r="KO138" s="43"/>
      <c r="KP138" s="43"/>
      <c r="KQ138" s="43"/>
      <c r="KR138" s="43"/>
      <c r="KS138" s="43"/>
      <c r="KT138" s="43"/>
      <c r="KU138" s="43"/>
      <c r="KV138" s="43"/>
      <c r="KW138" s="43"/>
      <c r="KX138" s="43"/>
      <c r="KY138" s="43"/>
      <c r="KZ138" s="43"/>
      <c r="LA138" s="43"/>
      <c r="LB138" s="43"/>
      <c r="LC138" s="43"/>
      <c r="LD138" s="43"/>
      <c r="LE138" s="43"/>
      <c r="LF138" s="43"/>
      <c r="LG138" s="43"/>
      <c r="LH138" s="43"/>
      <c r="LI138" s="43"/>
      <c r="LJ138" s="43"/>
      <c r="LK138" s="43"/>
      <c r="LL138" s="43"/>
      <c r="LM138" s="43"/>
      <c r="LN138" s="43"/>
      <c r="LO138" s="43"/>
      <c r="LP138" s="43"/>
      <c r="LQ138" s="43"/>
      <c r="LR138" s="43"/>
      <c r="LS138" s="43"/>
      <c r="LT138" s="43"/>
      <c r="LU138" s="43"/>
      <c r="LV138" s="43"/>
      <c r="LW138" s="43"/>
      <c r="LX138" s="43"/>
      <c r="LY138" s="43"/>
      <c r="LZ138" s="43"/>
      <c r="MA138" s="43"/>
      <c r="MB138" s="43"/>
      <c r="MC138" s="43"/>
      <c r="MD138" s="43"/>
      <c r="ME138" s="43"/>
      <c r="MF138" s="43"/>
      <c r="MG138" s="43"/>
      <c r="MH138" s="43"/>
      <c r="MI138" s="43"/>
      <c r="MJ138" s="43"/>
      <c r="MK138" s="43"/>
      <c r="ML138" s="43"/>
      <c r="MM138" s="43"/>
      <c r="MN138" s="43"/>
      <c r="MO138" s="43"/>
      <c r="MP138" s="43"/>
      <c r="MQ138" s="43"/>
      <c r="MR138" s="43"/>
      <c r="MS138" s="43"/>
      <c r="MT138" s="43"/>
      <c r="MU138" s="43"/>
      <c r="MV138" s="43"/>
      <c r="MW138" s="43"/>
      <c r="MX138" s="43"/>
      <c r="MY138" s="43"/>
      <c r="MZ138" s="43"/>
      <c r="NA138" s="43"/>
      <c r="NB138" s="43"/>
      <c r="NC138" s="43"/>
      <c r="ND138" s="43"/>
      <c r="NE138" s="43"/>
      <c r="NF138" s="43"/>
      <c r="NG138" s="43"/>
      <c r="NH138" s="43"/>
      <c r="NI138" s="43"/>
      <c r="NJ138" s="43"/>
      <c r="NK138" s="43"/>
      <c r="NL138" s="43"/>
      <c r="NM138" s="43"/>
      <c r="NN138" s="43"/>
      <c r="NO138" s="43"/>
      <c r="NP138" s="43"/>
      <c r="NQ138" s="43"/>
      <c r="NR138" s="43"/>
      <c r="NS138" s="43"/>
      <c r="NT138" s="43"/>
      <c r="NU138" s="43"/>
      <c r="NV138" s="43"/>
      <c r="NW138" s="43"/>
      <c r="NX138" s="43"/>
      <c r="NY138" s="43"/>
      <c r="NZ138" s="43"/>
      <c r="OA138" s="43"/>
      <c r="OB138" s="43"/>
      <c r="OC138" s="43"/>
      <c r="OD138" s="43"/>
      <c r="OE138" s="43"/>
      <c r="OF138" s="43"/>
      <c r="OG138" s="43"/>
      <c r="OH138" s="43"/>
      <c r="OI138" s="43"/>
      <c r="OJ138" s="43"/>
      <c r="OK138" s="43"/>
      <c r="OL138" s="43"/>
      <c r="OM138" s="43"/>
      <c r="ON138" s="43"/>
      <c r="OO138" s="43"/>
      <c r="OP138" s="43"/>
      <c r="OQ138" s="43"/>
      <c r="OR138" s="43"/>
      <c r="OS138" s="43"/>
      <c r="OT138" s="43"/>
      <c r="OU138" s="43"/>
      <c r="OV138" s="43"/>
      <c r="OW138" s="43"/>
      <c r="OX138" s="43"/>
      <c r="OY138" s="43"/>
      <c r="OZ138" s="43"/>
      <c r="PA138" s="43"/>
      <c r="PB138" s="43"/>
      <c r="PC138" s="43"/>
      <c r="PD138" s="43"/>
      <c r="PE138" s="43"/>
      <c r="PF138" s="43"/>
      <c r="PG138" s="43"/>
      <c r="PH138" s="43"/>
      <c r="PI138" s="43"/>
      <c r="PJ138" s="43"/>
      <c r="PK138" s="43"/>
      <c r="PL138" s="43"/>
      <c r="PM138" s="43"/>
      <c r="PN138" s="43"/>
      <c r="PO138" s="43"/>
      <c r="PP138" s="43"/>
      <c r="PQ138" s="43"/>
      <c r="PR138" s="43"/>
      <c r="PS138" s="43"/>
      <c r="PT138" s="43"/>
      <c r="PU138" s="43"/>
      <c r="PV138" s="43"/>
      <c r="PW138" s="43"/>
      <c r="PX138" s="43"/>
      <c r="PY138" s="43"/>
      <c r="PZ138" s="43"/>
      <c r="QA138" s="43"/>
      <c r="QB138" s="43"/>
      <c r="QC138" s="43"/>
    </row>
    <row r="139" spans="1:445" x14ac:dyDescent="0.3"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 t="str">
        <f t="shared" si="11"/>
        <v/>
      </c>
      <c r="U139" s="45" t="str">
        <f t="shared" si="12"/>
        <v/>
      </c>
      <c r="V139" s="68" t="str">
        <f t="shared" si="13"/>
        <v/>
      </c>
      <c r="X139" s="66" t="str">
        <f t="shared" si="15"/>
        <v/>
      </c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43"/>
      <c r="BN139" s="43"/>
      <c r="BO139" s="43"/>
      <c r="BP139" s="43"/>
      <c r="BQ139" s="43"/>
      <c r="BR139" s="43"/>
      <c r="BS139" s="43"/>
      <c r="BT139" s="43"/>
      <c r="BU139" s="43"/>
      <c r="BV139" s="43"/>
      <c r="BW139" s="43"/>
      <c r="BX139" s="43"/>
      <c r="BY139" s="43"/>
      <c r="BZ139" s="43"/>
      <c r="CA139" s="43"/>
      <c r="CB139" s="43"/>
      <c r="CC139" s="43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43"/>
      <c r="CY139" s="43"/>
      <c r="CZ139" s="43"/>
      <c r="DA139" s="43"/>
      <c r="DB139" s="43"/>
      <c r="DC139" s="43"/>
      <c r="DD139" s="43"/>
      <c r="DE139" s="43"/>
      <c r="DF139" s="43"/>
      <c r="DG139" s="43"/>
      <c r="DH139" s="43"/>
      <c r="DI139" s="43"/>
      <c r="DJ139" s="43"/>
      <c r="DK139" s="43"/>
      <c r="DL139" s="43"/>
      <c r="DM139" s="43"/>
      <c r="DN139" s="43"/>
      <c r="DO139" s="43"/>
      <c r="DP139" s="43"/>
      <c r="DQ139" s="43"/>
      <c r="DR139" s="43"/>
      <c r="DS139" s="43"/>
      <c r="DT139" s="43"/>
      <c r="DU139" s="43"/>
      <c r="DV139" s="43"/>
      <c r="DW139" s="43"/>
      <c r="DX139" s="43"/>
      <c r="DY139" s="43"/>
      <c r="DZ139" s="43"/>
      <c r="EA139" s="43"/>
      <c r="EB139" s="43"/>
      <c r="EC139" s="43"/>
      <c r="ED139" s="43"/>
      <c r="EE139" s="43"/>
      <c r="EF139" s="43"/>
      <c r="EG139" s="43"/>
      <c r="EH139" s="43"/>
      <c r="EI139" s="43"/>
      <c r="EJ139" s="43"/>
      <c r="EK139" s="43"/>
      <c r="EL139" s="43"/>
      <c r="EM139" s="43"/>
      <c r="EN139" s="43"/>
      <c r="EO139" s="43"/>
      <c r="EP139" s="43"/>
      <c r="EQ139" s="43"/>
      <c r="ER139" s="43"/>
      <c r="ES139" s="43"/>
      <c r="ET139" s="43"/>
      <c r="EU139" s="43"/>
      <c r="EV139" s="43"/>
      <c r="EW139" s="43"/>
      <c r="EX139" s="43"/>
      <c r="EY139" s="43"/>
      <c r="EZ139" s="43"/>
      <c r="FA139" s="43"/>
      <c r="FB139" s="43"/>
      <c r="FC139" s="43"/>
      <c r="FD139" s="43"/>
      <c r="FE139" s="43"/>
      <c r="FF139" s="43"/>
      <c r="FG139" s="43"/>
      <c r="FH139" s="43"/>
      <c r="FI139" s="43"/>
      <c r="FJ139" s="43"/>
      <c r="FK139" s="43"/>
      <c r="FL139" s="43"/>
      <c r="FM139" s="43"/>
      <c r="FN139" s="43"/>
      <c r="FO139" s="43"/>
      <c r="FP139" s="43"/>
      <c r="FQ139" s="43"/>
      <c r="FR139" s="43"/>
      <c r="FS139" s="43"/>
      <c r="FT139" s="43"/>
      <c r="FU139" s="43"/>
      <c r="FV139" s="43"/>
      <c r="FW139" s="43"/>
      <c r="FX139" s="43"/>
      <c r="FY139" s="43"/>
      <c r="FZ139" s="43"/>
      <c r="GA139" s="43"/>
      <c r="GB139" s="43"/>
      <c r="GC139" s="43"/>
      <c r="GD139" s="43"/>
      <c r="GE139" s="43"/>
      <c r="GF139" s="43"/>
      <c r="GG139" s="43"/>
      <c r="GH139" s="43"/>
      <c r="GI139" s="43"/>
      <c r="GJ139" s="43"/>
      <c r="GK139" s="43"/>
      <c r="GL139" s="43"/>
      <c r="GM139" s="43"/>
      <c r="GN139" s="43"/>
      <c r="GO139" s="43"/>
      <c r="GP139" s="43"/>
      <c r="GQ139" s="43"/>
      <c r="GR139" s="43"/>
      <c r="GS139" s="43"/>
      <c r="GT139" s="43"/>
      <c r="GU139" s="43"/>
      <c r="GV139" s="43"/>
      <c r="GW139" s="43"/>
      <c r="GX139" s="43"/>
      <c r="GY139" s="43"/>
      <c r="GZ139" s="43"/>
      <c r="HA139" s="43"/>
      <c r="HB139" s="43"/>
      <c r="HC139" s="43"/>
      <c r="HD139" s="43"/>
      <c r="HE139" s="43"/>
      <c r="HF139" s="43"/>
      <c r="HG139" s="43"/>
      <c r="HH139" s="43"/>
      <c r="HI139" s="43"/>
      <c r="HJ139" s="43"/>
      <c r="HK139" s="43"/>
      <c r="HL139" s="43"/>
      <c r="HM139" s="43"/>
      <c r="HN139" s="43"/>
      <c r="HO139" s="43"/>
      <c r="HP139" s="43"/>
      <c r="HQ139" s="43"/>
      <c r="HR139" s="43"/>
      <c r="HS139" s="43"/>
      <c r="HT139" s="43"/>
      <c r="HU139" s="43"/>
      <c r="HV139" s="43"/>
      <c r="HW139" s="43"/>
      <c r="HX139" s="43"/>
      <c r="HY139" s="43"/>
      <c r="HZ139" s="43"/>
      <c r="IA139" s="43"/>
      <c r="IB139" s="43"/>
      <c r="IC139" s="43"/>
      <c r="ID139" s="43"/>
      <c r="IE139" s="43"/>
      <c r="IF139" s="43"/>
      <c r="IG139" s="43"/>
      <c r="IH139" s="43"/>
      <c r="II139" s="43"/>
      <c r="IJ139" s="43"/>
      <c r="IK139" s="43"/>
      <c r="IL139" s="43"/>
      <c r="IM139" s="43"/>
      <c r="IN139" s="43"/>
      <c r="IO139" s="43"/>
      <c r="IP139" s="43"/>
      <c r="IQ139" s="43"/>
      <c r="IR139" s="43"/>
      <c r="IS139" s="43"/>
      <c r="IT139" s="43"/>
      <c r="IU139" s="43"/>
      <c r="IV139" s="43"/>
      <c r="IW139" s="43"/>
      <c r="IX139" s="43"/>
      <c r="IY139" s="43"/>
      <c r="IZ139" s="43"/>
      <c r="JA139" s="43"/>
      <c r="JB139" s="43"/>
      <c r="JC139" s="43"/>
      <c r="JD139" s="43"/>
      <c r="JE139" s="43"/>
      <c r="JF139" s="43"/>
      <c r="JG139" s="43"/>
      <c r="JH139" s="43"/>
      <c r="JI139" s="43"/>
      <c r="JJ139" s="43"/>
      <c r="JK139" s="43"/>
      <c r="JL139" s="43"/>
      <c r="JM139" s="43"/>
      <c r="JN139" s="43"/>
      <c r="JO139" s="43"/>
      <c r="JP139" s="43"/>
      <c r="JQ139" s="43"/>
      <c r="JR139" s="43"/>
      <c r="JS139" s="43"/>
      <c r="JT139" s="43"/>
      <c r="JU139" s="43"/>
      <c r="JV139" s="43"/>
      <c r="JW139" s="43"/>
      <c r="JX139" s="43"/>
      <c r="JY139" s="43"/>
      <c r="JZ139" s="43"/>
      <c r="KA139" s="43"/>
      <c r="KB139" s="43"/>
      <c r="KC139" s="43"/>
      <c r="KD139" s="43"/>
      <c r="KE139" s="43"/>
      <c r="KF139" s="43"/>
      <c r="KG139" s="43"/>
      <c r="KH139" s="43"/>
      <c r="KI139" s="43"/>
      <c r="KJ139" s="43"/>
      <c r="KK139" s="43"/>
      <c r="KL139" s="43"/>
      <c r="KM139" s="43"/>
      <c r="KN139" s="43"/>
      <c r="KO139" s="43"/>
      <c r="KP139" s="43"/>
      <c r="KQ139" s="43"/>
      <c r="KR139" s="43"/>
      <c r="KS139" s="43"/>
      <c r="KT139" s="43"/>
      <c r="KU139" s="43"/>
      <c r="KV139" s="43"/>
      <c r="KW139" s="43"/>
      <c r="KX139" s="43"/>
      <c r="KY139" s="43"/>
      <c r="KZ139" s="43"/>
      <c r="LA139" s="43"/>
      <c r="LB139" s="43"/>
      <c r="LC139" s="43"/>
      <c r="LD139" s="43"/>
      <c r="LE139" s="43"/>
      <c r="LF139" s="43"/>
      <c r="LG139" s="43"/>
      <c r="LH139" s="43"/>
      <c r="LI139" s="43"/>
      <c r="LJ139" s="43"/>
      <c r="LK139" s="43"/>
      <c r="LL139" s="43"/>
      <c r="LM139" s="43"/>
      <c r="LN139" s="43"/>
      <c r="LO139" s="43"/>
      <c r="LP139" s="43"/>
      <c r="LQ139" s="43"/>
      <c r="LR139" s="43"/>
      <c r="LS139" s="43"/>
      <c r="LT139" s="43"/>
      <c r="LU139" s="43"/>
      <c r="LV139" s="43"/>
      <c r="LW139" s="43"/>
      <c r="LX139" s="43"/>
      <c r="LY139" s="43"/>
      <c r="LZ139" s="43"/>
      <c r="MA139" s="43"/>
      <c r="MB139" s="43"/>
      <c r="MC139" s="43"/>
      <c r="MD139" s="43"/>
      <c r="ME139" s="43"/>
      <c r="MF139" s="43"/>
      <c r="MG139" s="43"/>
      <c r="MH139" s="43"/>
      <c r="MI139" s="43"/>
      <c r="MJ139" s="43"/>
      <c r="MK139" s="43"/>
      <c r="ML139" s="43"/>
      <c r="MM139" s="43"/>
      <c r="MN139" s="43"/>
      <c r="MO139" s="43"/>
      <c r="MP139" s="43"/>
      <c r="MQ139" s="43"/>
      <c r="MR139" s="43"/>
      <c r="MS139" s="43"/>
      <c r="MT139" s="43"/>
      <c r="MU139" s="43"/>
      <c r="MV139" s="43"/>
      <c r="MW139" s="43"/>
      <c r="MX139" s="43"/>
      <c r="MY139" s="43"/>
      <c r="MZ139" s="43"/>
      <c r="NA139" s="43"/>
      <c r="NB139" s="43"/>
      <c r="NC139" s="43"/>
      <c r="ND139" s="43"/>
      <c r="NE139" s="43"/>
      <c r="NF139" s="43"/>
      <c r="NG139" s="43"/>
      <c r="NH139" s="43"/>
      <c r="NI139" s="43"/>
      <c r="NJ139" s="43"/>
      <c r="NK139" s="43"/>
      <c r="NL139" s="43"/>
      <c r="NM139" s="43"/>
      <c r="NN139" s="43"/>
      <c r="NO139" s="43"/>
      <c r="NP139" s="43"/>
      <c r="NQ139" s="43"/>
      <c r="NR139" s="43"/>
      <c r="NS139" s="43"/>
      <c r="NT139" s="43"/>
      <c r="NU139" s="43"/>
      <c r="NV139" s="43"/>
      <c r="NW139" s="43"/>
      <c r="NX139" s="43"/>
      <c r="NY139" s="43"/>
      <c r="NZ139" s="43"/>
      <c r="OA139" s="43"/>
      <c r="OB139" s="43"/>
      <c r="OC139" s="43"/>
      <c r="OD139" s="43"/>
      <c r="OE139" s="43"/>
      <c r="OF139" s="43"/>
      <c r="OG139" s="43"/>
      <c r="OH139" s="43"/>
      <c r="OI139" s="43"/>
      <c r="OJ139" s="43"/>
      <c r="OK139" s="43"/>
      <c r="OL139" s="43"/>
      <c r="OM139" s="43"/>
      <c r="ON139" s="43"/>
      <c r="OO139" s="43"/>
      <c r="OP139" s="43"/>
      <c r="OQ139" s="43"/>
      <c r="OR139" s="43"/>
      <c r="OS139" s="43"/>
      <c r="OT139" s="43"/>
      <c r="OU139" s="43"/>
      <c r="OV139" s="43"/>
      <c r="OW139" s="43"/>
      <c r="OX139" s="43"/>
      <c r="OY139" s="43"/>
      <c r="OZ139" s="43"/>
      <c r="PA139" s="43"/>
      <c r="PB139" s="43"/>
      <c r="PC139" s="43"/>
      <c r="PD139" s="43"/>
      <c r="PE139" s="43"/>
      <c r="PF139" s="43"/>
      <c r="PG139" s="43"/>
      <c r="PH139" s="43"/>
      <c r="PI139" s="43"/>
      <c r="PJ139" s="43"/>
      <c r="PK139" s="43"/>
      <c r="PL139" s="43"/>
      <c r="PM139" s="43"/>
      <c r="PN139" s="43"/>
      <c r="PO139" s="43"/>
      <c r="PP139" s="43"/>
      <c r="PQ139" s="43"/>
      <c r="PR139" s="43"/>
      <c r="PS139" s="43"/>
      <c r="PT139" s="43"/>
      <c r="PU139" s="43"/>
      <c r="PV139" s="43"/>
      <c r="PW139" s="43"/>
      <c r="PX139" s="43"/>
      <c r="PY139" s="43"/>
      <c r="PZ139" s="43"/>
      <c r="QA139" s="43"/>
      <c r="QB139" s="43"/>
      <c r="QC139" s="43"/>
    </row>
    <row r="140" spans="1:445" x14ac:dyDescent="0.3"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 t="str">
        <f t="shared" si="11"/>
        <v/>
      </c>
      <c r="U140" s="45" t="str">
        <f t="shared" si="12"/>
        <v/>
      </c>
      <c r="V140" s="68" t="str">
        <f t="shared" si="13"/>
        <v/>
      </c>
      <c r="X140" s="66" t="str">
        <f t="shared" si="15"/>
        <v/>
      </c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43"/>
      <c r="BN140" s="43"/>
      <c r="BO140" s="43"/>
      <c r="BP140" s="43"/>
      <c r="BQ140" s="43"/>
      <c r="BR140" s="43"/>
      <c r="BS140" s="43"/>
      <c r="BT140" s="43"/>
      <c r="BU140" s="43"/>
      <c r="BV140" s="43"/>
      <c r="BW140" s="43"/>
      <c r="BX140" s="43"/>
      <c r="BY140" s="43"/>
      <c r="BZ140" s="43"/>
      <c r="CA140" s="43"/>
      <c r="CB140" s="43"/>
      <c r="CC140" s="43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43"/>
      <c r="CY140" s="43"/>
      <c r="CZ140" s="43"/>
      <c r="DA140" s="43"/>
      <c r="DB140" s="43"/>
      <c r="DC140" s="43"/>
      <c r="DD140" s="43"/>
      <c r="DE140" s="43"/>
      <c r="DF140" s="43"/>
      <c r="DG140" s="43"/>
      <c r="DH140" s="43"/>
      <c r="DI140" s="43"/>
      <c r="DJ140" s="43"/>
      <c r="DK140" s="43"/>
      <c r="DL140" s="43"/>
      <c r="DM140" s="43"/>
      <c r="DN140" s="43"/>
      <c r="DO140" s="43"/>
      <c r="DP140" s="43"/>
      <c r="DQ140" s="43"/>
      <c r="DR140" s="43"/>
      <c r="DS140" s="43"/>
      <c r="DT140" s="43"/>
      <c r="DU140" s="43"/>
      <c r="DV140" s="43"/>
      <c r="DW140" s="43"/>
      <c r="DX140" s="43"/>
      <c r="DY140" s="43"/>
      <c r="DZ140" s="43"/>
      <c r="EA140" s="43"/>
      <c r="EB140" s="43"/>
      <c r="EC140" s="43"/>
      <c r="ED140" s="43"/>
      <c r="EE140" s="43"/>
      <c r="EF140" s="43"/>
      <c r="EG140" s="43"/>
      <c r="EH140" s="43"/>
      <c r="EI140" s="43"/>
      <c r="EJ140" s="43"/>
      <c r="EK140" s="43"/>
      <c r="EL140" s="43"/>
      <c r="EM140" s="43"/>
      <c r="EN140" s="43"/>
      <c r="EO140" s="43"/>
      <c r="EP140" s="43"/>
      <c r="EQ140" s="43"/>
      <c r="ER140" s="43"/>
      <c r="ES140" s="43"/>
      <c r="ET140" s="43"/>
      <c r="EU140" s="43"/>
      <c r="EV140" s="43"/>
      <c r="EW140" s="43"/>
      <c r="EX140" s="43"/>
      <c r="EY140" s="43"/>
      <c r="EZ140" s="43"/>
      <c r="FA140" s="43"/>
      <c r="FB140" s="43"/>
      <c r="FC140" s="43"/>
      <c r="FD140" s="43"/>
      <c r="FE140" s="43"/>
      <c r="FF140" s="43"/>
      <c r="FG140" s="43"/>
      <c r="FH140" s="43"/>
      <c r="FI140" s="43"/>
      <c r="FJ140" s="43"/>
      <c r="FK140" s="43"/>
      <c r="FL140" s="43"/>
      <c r="FM140" s="43"/>
      <c r="FN140" s="43"/>
      <c r="FO140" s="43"/>
      <c r="FP140" s="43"/>
      <c r="FQ140" s="43"/>
      <c r="FR140" s="43"/>
      <c r="FS140" s="43"/>
      <c r="FT140" s="43"/>
      <c r="FU140" s="43"/>
      <c r="FV140" s="43"/>
      <c r="FW140" s="43"/>
      <c r="FX140" s="43"/>
      <c r="FY140" s="43"/>
      <c r="FZ140" s="43"/>
      <c r="GA140" s="43"/>
      <c r="GB140" s="43"/>
      <c r="GC140" s="43"/>
      <c r="GD140" s="43"/>
      <c r="GE140" s="43"/>
      <c r="GF140" s="43"/>
      <c r="GG140" s="43"/>
      <c r="GH140" s="43"/>
      <c r="GI140" s="43"/>
      <c r="GJ140" s="43"/>
      <c r="GK140" s="43"/>
      <c r="GL140" s="43"/>
      <c r="GM140" s="43"/>
      <c r="GN140" s="43"/>
      <c r="GO140" s="43"/>
      <c r="GP140" s="43"/>
      <c r="GQ140" s="43"/>
      <c r="GR140" s="43"/>
      <c r="GS140" s="43"/>
      <c r="GT140" s="43"/>
      <c r="GU140" s="43"/>
      <c r="GV140" s="43"/>
      <c r="GW140" s="43"/>
      <c r="GX140" s="43"/>
      <c r="GY140" s="43"/>
      <c r="GZ140" s="43"/>
      <c r="HA140" s="43"/>
      <c r="HB140" s="43"/>
      <c r="HC140" s="43"/>
      <c r="HD140" s="43"/>
      <c r="HE140" s="43"/>
      <c r="HF140" s="43"/>
      <c r="HG140" s="43"/>
      <c r="HH140" s="43"/>
      <c r="HI140" s="43"/>
      <c r="HJ140" s="43"/>
      <c r="HK140" s="43"/>
      <c r="HL140" s="43"/>
      <c r="HM140" s="43"/>
      <c r="HN140" s="43"/>
      <c r="HO140" s="43"/>
      <c r="HP140" s="43"/>
      <c r="HQ140" s="43"/>
      <c r="HR140" s="43"/>
      <c r="HS140" s="43"/>
      <c r="HT140" s="43"/>
      <c r="HU140" s="43"/>
      <c r="HV140" s="43"/>
      <c r="HW140" s="43"/>
      <c r="HX140" s="43"/>
      <c r="HY140" s="43"/>
      <c r="HZ140" s="43"/>
      <c r="IA140" s="43"/>
      <c r="IB140" s="43"/>
      <c r="IC140" s="43"/>
      <c r="ID140" s="43"/>
      <c r="IE140" s="43"/>
      <c r="IF140" s="43"/>
      <c r="IG140" s="43"/>
      <c r="IH140" s="43"/>
      <c r="II140" s="43"/>
      <c r="IJ140" s="43"/>
      <c r="IK140" s="43"/>
      <c r="IL140" s="43"/>
      <c r="IM140" s="43"/>
      <c r="IN140" s="43"/>
      <c r="IO140" s="43"/>
      <c r="IP140" s="43"/>
      <c r="IQ140" s="43"/>
      <c r="IR140" s="43"/>
      <c r="IS140" s="43"/>
      <c r="IT140" s="43"/>
      <c r="IU140" s="43"/>
      <c r="IV140" s="43"/>
      <c r="IW140" s="43"/>
      <c r="IX140" s="43"/>
      <c r="IY140" s="43"/>
      <c r="IZ140" s="43"/>
      <c r="JA140" s="43"/>
      <c r="JB140" s="43"/>
      <c r="JC140" s="43"/>
      <c r="JD140" s="43"/>
      <c r="JE140" s="43"/>
      <c r="JF140" s="43"/>
      <c r="JG140" s="43"/>
      <c r="JH140" s="43"/>
      <c r="JI140" s="43"/>
      <c r="JJ140" s="43"/>
      <c r="JK140" s="43"/>
      <c r="JL140" s="43"/>
      <c r="JM140" s="43"/>
      <c r="JN140" s="43"/>
      <c r="JO140" s="43"/>
      <c r="JP140" s="43"/>
      <c r="JQ140" s="43"/>
      <c r="JR140" s="43"/>
      <c r="JS140" s="43"/>
      <c r="JT140" s="43"/>
      <c r="JU140" s="43"/>
      <c r="JV140" s="43"/>
      <c r="JW140" s="43"/>
      <c r="JX140" s="43"/>
      <c r="JY140" s="43"/>
      <c r="JZ140" s="43"/>
      <c r="KA140" s="43"/>
      <c r="KB140" s="43"/>
      <c r="KC140" s="43"/>
      <c r="KD140" s="43"/>
      <c r="KE140" s="43"/>
      <c r="KF140" s="43"/>
      <c r="KG140" s="43"/>
      <c r="KH140" s="43"/>
      <c r="KI140" s="43"/>
      <c r="KJ140" s="43"/>
      <c r="KK140" s="43"/>
      <c r="KL140" s="43"/>
      <c r="KM140" s="43"/>
      <c r="KN140" s="43"/>
      <c r="KO140" s="43"/>
      <c r="KP140" s="43"/>
      <c r="KQ140" s="43"/>
      <c r="KR140" s="43"/>
      <c r="KS140" s="43"/>
      <c r="KT140" s="43"/>
      <c r="KU140" s="43"/>
      <c r="KV140" s="43"/>
      <c r="KW140" s="43"/>
      <c r="KX140" s="43"/>
      <c r="KY140" s="43"/>
      <c r="KZ140" s="43"/>
      <c r="LA140" s="43"/>
      <c r="LB140" s="43"/>
      <c r="LC140" s="43"/>
      <c r="LD140" s="43"/>
      <c r="LE140" s="43"/>
      <c r="LF140" s="43"/>
      <c r="LG140" s="43"/>
      <c r="LH140" s="43"/>
      <c r="LI140" s="43"/>
      <c r="LJ140" s="43"/>
      <c r="LK140" s="43"/>
      <c r="LL140" s="43"/>
      <c r="LM140" s="43"/>
      <c r="LN140" s="43"/>
      <c r="LO140" s="43"/>
      <c r="LP140" s="43"/>
      <c r="LQ140" s="43"/>
      <c r="LR140" s="43"/>
      <c r="LS140" s="43"/>
      <c r="LT140" s="43"/>
      <c r="LU140" s="43"/>
      <c r="LV140" s="43"/>
      <c r="LW140" s="43"/>
      <c r="LX140" s="43"/>
      <c r="LY140" s="43"/>
      <c r="LZ140" s="43"/>
      <c r="MA140" s="43"/>
      <c r="MB140" s="43"/>
      <c r="MC140" s="43"/>
      <c r="MD140" s="43"/>
      <c r="ME140" s="43"/>
      <c r="MF140" s="43"/>
      <c r="MG140" s="43"/>
      <c r="MH140" s="43"/>
      <c r="MI140" s="43"/>
      <c r="MJ140" s="43"/>
      <c r="MK140" s="43"/>
      <c r="ML140" s="43"/>
      <c r="MM140" s="43"/>
      <c r="MN140" s="43"/>
      <c r="MO140" s="43"/>
      <c r="MP140" s="43"/>
      <c r="MQ140" s="43"/>
      <c r="MR140" s="43"/>
      <c r="MS140" s="43"/>
      <c r="MT140" s="43"/>
      <c r="MU140" s="43"/>
      <c r="MV140" s="43"/>
      <c r="MW140" s="43"/>
      <c r="MX140" s="43"/>
      <c r="MY140" s="43"/>
      <c r="MZ140" s="43"/>
      <c r="NA140" s="43"/>
      <c r="NB140" s="43"/>
      <c r="NC140" s="43"/>
      <c r="ND140" s="43"/>
      <c r="NE140" s="43"/>
      <c r="NF140" s="43"/>
      <c r="NG140" s="43"/>
      <c r="NH140" s="43"/>
      <c r="NI140" s="43"/>
      <c r="NJ140" s="43"/>
      <c r="NK140" s="43"/>
      <c r="NL140" s="43"/>
      <c r="NM140" s="43"/>
      <c r="NN140" s="43"/>
      <c r="NO140" s="43"/>
      <c r="NP140" s="43"/>
      <c r="NQ140" s="43"/>
      <c r="NR140" s="43"/>
      <c r="NS140" s="43"/>
      <c r="NT140" s="43"/>
      <c r="NU140" s="43"/>
      <c r="NV140" s="43"/>
      <c r="NW140" s="43"/>
      <c r="NX140" s="43"/>
      <c r="NY140" s="43"/>
      <c r="NZ140" s="43"/>
      <c r="OA140" s="43"/>
      <c r="OB140" s="43"/>
      <c r="OC140" s="43"/>
      <c r="OD140" s="43"/>
      <c r="OE140" s="43"/>
      <c r="OF140" s="43"/>
      <c r="OG140" s="43"/>
      <c r="OH140" s="43"/>
      <c r="OI140" s="43"/>
      <c r="OJ140" s="43"/>
      <c r="OK140" s="43"/>
      <c r="OL140" s="43"/>
      <c r="OM140" s="43"/>
      <c r="ON140" s="43"/>
      <c r="OO140" s="43"/>
      <c r="OP140" s="43"/>
      <c r="OQ140" s="43"/>
      <c r="OR140" s="43"/>
      <c r="OS140" s="43"/>
      <c r="OT140" s="43"/>
      <c r="OU140" s="43"/>
      <c r="OV140" s="43"/>
      <c r="OW140" s="43"/>
      <c r="OX140" s="43"/>
      <c r="OY140" s="43"/>
      <c r="OZ140" s="43"/>
      <c r="PA140" s="43"/>
      <c r="PB140" s="43"/>
      <c r="PC140" s="43"/>
      <c r="PD140" s="43"/>
      <c r="PE140" s="43"/>
      <c r="PF140" s="43"/>
      <c r="PG140" s="43"/>
      <c r="PH140" s="43"/>
      <c r="PI140" s="43"/>
      <c r="PJ140" s="43"/>
      <c r="PK140" s="43"/>
      <c r="PL140" s="43"/>
      <c r="PM140" s="43"/>
      <c r="PN140" s="43"/>
      <c r="PO140" s="43"/>
      <c r="PP140" s="43"/>
      <c r="PQ140" s="43"/>
      <c r="PR140" s="43"/>
      <c r="PS140" s="43"/>
      <c r="PT140" s="43"/>
      <c r="PU140" s="43"/>
      <c r="PV140" s="43"/>
      <c r="PW140" s="43"/>
      <c r="PX140" s="43"/>
      <c r="PY140" s="43"/>
      <c r="PZ140" s="43"/>
      <c r="QA140" s="43"/>
      <c r="QB140" s="43"/>
      <c r="QC140" s="43"/>
    </row>
    <row r="141" spans="1:445" x14ac:dyDescent="0.3"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 t="str">
        <f t="shared" si="11"/>
        <v/>
      </c>
      <c r="U141" s="45" t="str">
        <f t="shared" si="12"/>
        <v/>
      </c>
      <c r="V141" s="68" t="str">
        <f t="shared" si="13"/>
        <v/>
      </c>
      <c r="W141" s="48"/>
      <c r="X141" s="66" t="str">
        <f t="shared" si="15"/>
        <v/>
      </c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43"/>
      <c r="BN141" s="43"/>
      <c r="BO141" s="43"/>
      <c r="BP141" s="43"/>
      <c r="BQ141" s="43"/>
      <c r="BR141" s="43"/>
      <c r="BS141" s="43"/>
      <c r="BT141" s="43"/>
      <c r="BU141" s="43"/>
      <c r="BV141" s="43"/>
      <c r="BW141" s="43"/>
      <c r="BX141" s="43"/>
      <c r="BY141" s="43"/>
      <c r="BZ141" s="43"/>
      <c r="CA141" s="43"/>
      <c r="CB141" s="43"/>
      <c r="CC141" s="43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43"/>
      <c r="CY141" s="43"/>
      <c r="CZ141" s="43"/>
      <c r="DA141" s="43"/>
      <c r="DB141" s="43"/>
      <c r="DC141" s="43"/>
      <c r="DD141" s="43"/>
      <c r="DE141" s="43"/>
      <c r="DF141" s="43"/>
      <c r="DG141" s="43"/>
      <c r="DH141" s="43"/>
      <c r="DI141" s="43"/>
      <c r="DJ141" s="43"/>
      <c r="DK141" s="43"/>
      <c r="DL141" s="43"/>
      <c r="DM141" s="43"/>
      <c r="DN141" s="43"/>
      <c r="DO141" s="43"/>
      <c r="DP141" s="43"/>
      <c r="DQ141" s="43"/>
      <c r="DR141" s="43"/>
      <c r="DS141" s="43"/>
      <c r="DT141" s="43"/>
      <c r="DU141" s="43"/>
      <c r="DV141" s="43"/>
      <c r="DW141" s="43"/>
      <c r="DX141" s="43"/>
      <c r="DY141" s="43"/>
      <c r="DZ141" s="43"/>
      <c r="EA141" s="43"/>
      <c r="EB141" s="43"/>
      <c r="EC141" s="43"/>
      <c r="ED141" s="43"/>
      <c r="EE141" s="43"/>
      <c r="EF141" s="43"/>
      <c r="EG141" s="43"/>
      <c r="EH141" s="43"/>
      <c r="EI141" s="43"/>
      <c r="EJ141" s="43"/>
      <c r="EK141" s="43"/>
      <c r="EL141" s="43"/>
      <c r="EM141" s="43"/>
      <c r="EN141" s="43"/>
      <c r="EO141" s="43"/>
      <c r="EP141" s="43"/>
      <c r="EQ141" s="43"/>
      <c r="ER141" s="43"/>
      <c r="ES141" s="43"/>
      <c r="ET141" s="43"/>
      <c r="EU141" s="43"/>
      <c r="EV141" s="43"/>
      <c r="EW141" s="43"/>
      <c r="EX141" s="43"/>
      <c r="EY141" s="43"/>
      <c r="EZ141" s="43"/>
      <c r="FA141" s="43"/>
      <c r="FB141" s="43"/>
      <c r="FC141" s="43"/>
      <c r="FD141" s="43"/>
      <c r="FE141" s="43"/>
      <c r="FF141" s="43"/>
      <c r="FG141" s="43"/>
      <c r="FH141" s="43"/>
      <c r="FI141" s="43"/>
      <c r="FJ141" s="43"/>
      <c r="FK141" s="43"/>
      <c r="FL141" s="43"/>
      <c r="FM141" s="43"/>
      <c r="FN141" s="43"/>
      <c r="FO141" s="43"/>
      <c r="FP141" s="43"/>
      <c r="FQ141" s="43"/>
      <c r="FR141" s="43"/>
      <c r="FS141" s="43"/>
      <c r="FT141" s="43"/>
      <c r="FU141" s="43"/>
      <c r="FV141" s="43"/>
      <c r="FW141" s="43"/>
      <c r="FX141" s="43"/>
      <c r="FY141" s="43"/>
      <c r="FZ141" s="43"/>
      <c r="GA141" s="43"/>
      <c r="GB141" s="43"/>
      <c r="GC141" s="43"/>
      <c r="GD141" s="43"/>
      <c r="GE141" s="43"/>
      <c r="GF141" s="43"/>
      <c r="GG141" s="43"/>
      <c r="GH141" s="43"/>
      <c r="GI141" s="43"/>
      <c r="GJ141" s="43"/>
      <c r="GK141" s="43"/>
      <c r="GL141" s="43"/>
      <c r="GM141" s="43"/>
      <c r="GN141" s="43"/>
      <c r="GO141" s="43"/>
      <c r="GP141" s="43"/>
      <c r="GQ141" s="43"/>
      <c r="GR141" s="43"/>
      <c r="GS141" s="43"/>
      <c r="GT141" s="43"/>
      <c r="GU141" s="43"/>
      <c r="GV141" s="43"/>
      <c r="GW141" s="43"/>
      <c r="GX141" s="43"/>
      <c r="GY141" s="43"/>
      <c r="GZ141" s="43"/>
      <c r="HA141" s="43"/>
      <c r="HB141" s="43"/>
      <c r="HC141" s="43"/>
      <c r="HD141" s="43"/>
      <c r="HE141" s="43"/>
      <c r="HF141" s="43"/>
      <c r="HG141" s="43"/>
      <c r="HH141" s="43"/>
      <c r="HI141" s="43"/>
      <c r="HJ141" s="43"/>
      <c r="HK141" s="43"/>
      <c r="HL141" s="43"/>
      <c r="HM141" s="43"/>
      <c r="HN141" s="43"/>
      <c r="HO141" s="43"/>
      <c r="HP141" s="43"/>
      <c r="HQ141" s="43"/>
      <c r="HR141" s="43"/>
      <c r="HS141" s="43"/>
      <c r="HT141" s="43"/>
      <c r="HU141" s="43"/>
      <c r="HV141" s="43"/>
      <c r="HW141" s="43"/>
      <c r="HX141" s="43"/>
      <c r="HY141" s="43"/>
      <c r="HZ141" s="43"/>
      <c r="IA141" s="43"/>
      <c r="IB141" s="43"/>
      <c r="IC141" s="43"/>
      <c r="ID141" s="43"/>
      <c r="IE141" s="43"/>
      <c r="IF141" s="43"/>
      <c r="IG141" s="43"/>
      <c r="IH141" s="43"/>
      <c r="II141" s="43"/>
      <c r="IJ141" s="43"/>
      <c r="IK141" s="43"/>
      <c r="IL141" s="43"/>
      <c r="IM141" s="43"/>
      <c r="IN141" s="43"/>
      <c r="IO141" s="43"/>
      <c r="IP141" s="43"/>
      <c r="IQ141" s="43"/>
      <c r="IR141" s="43"/>
      <c r="IS141" s="43"/>
      <c r="IT141" s="43"/>
      <c r="IU141" s="43"/>
      <c r="IV141" s="43"/>
      <c r="IW141" s="43"/>
      <c r="IX141" s="43"/>
      <c r="IY141" s="43"/>
      <c r="IZ141" s="43"/>
      <c r="JA141" s="43"/>
      <c r="JB141" s="43"/>
      <c r="JC141" s="43"/>
      <c r="JD141" s="43"/>
      <c r="JE141" s="43"/>
      <c r="JF141" s="43"/>
      <c r="JG141" s="43"/>
      <c r="JH141" s="43"/>
      <c r="JI141" s="43"/>
      <c r="JJ141" s="43"/>
      <c r="JK141" s="43"/>
      <c r="JL141" s="43"/>
      <c r="JM141" s="43"/>
      <c r="JN141" s="43"/>
      <c r="JO141" s="43"/>
      <c r="JP141" s="43"/>
      <c r="JQ141" s="43"/>
      <c r="JR141" s="43"/>
      <c r="JS141" s="43"/>
      <c r="JT141" s="43"/>
      <c r="JU141" s="43"/>
      <c r="JV141" s="43"/>
      <c r="JW141" s="43"/>
      <c r="JX141" s="43"/>
      <c r="JY141" s="43"/>
      <c r="JZ141" s="43"/>
      <c r="KA141" s="43"/>
      <c r="KB141" s="43"/>
      <c r="KC141" s="43"/>
      <c r="KD141" s="43"/>
      <c r="KE141" s="43"/>
      <c r="KF141" s="43"/>
      <c r="KG141" s="43"/>
      <c r="KH141" s="43"/>
      <c r="KI141" s="43"/>
      <c r="KJ141" s="43"/>
      <c r="KK141" s="43"/>
      <c r="KL141" s="43"/>
      <c r="KM141" s="43"/>
      <c r="KN141" s="43"/>
      <c r="KO141" s="43"/>
      <c r="KP141" s="43"/>
      <c r="KQ141" s="43"/>
      <c r="KR141" s="43"/>
      <c r="KS141" s="43"/>
      <c r="KT141" s="43"/>
      <c r="KU141" s="43"/>
      <c r="KV141" s="43"/>
      <c r="KW141" s="43"/>
      <c r="KX141" s="43"/>
      <c r="KY141" s="43"/>
      <c r="KZ141" s="43"/>
      <c r="LA141" s="43"/>
      <c r="LB141" s="43"/>
      <c r="LC141" s="43"/>
      <c r="LD141" s="43"/>
      <c r="LE141" s="43"/>
      <c r="LF141" s="43"/>
      <c r="LG141" s="43"/>
      <c r="LH141" s="43"/>
      <c r="LI141" s="43"/>
      <c r="LJ141" s="43"/>
      <c r="LK141" s="43"/>
      <c r="LL141" s="43"/>
      <c r="LM141" s="43"/>
      <c r="LN141" s="43"/>
      <c r="LO141" s="43"/>
      <c r="LP141" s="43"/>
      <c r="LQ141" s="43"/>
      <c r="LR141" s="43"/>
      <c r="LS141" s="43"/>
      <c r="LT141" s="43"/>
      <c r="LU141" s="43"/>
      <c r="LV141" s="43"/>
      <c r="LW141" s="43"/>
      <c r="LX141" s="43"/>
      <c r="LY141" s="43"/>
      <c r="LZ141" s="43"/>
      <c r="MA141" s="43"/>
      <c r="MB141" s="43"/>
      <c r="MC141" s="43"/>
      <c r="MD141" s="43"/>
      <c r="ME141" s="43"/>
      <c r="MF141" s="43"/>
      <c r="MG141" s="43"/>
      <c r="MH141" s="43"/>
      <c r="MI141" s="43"/>
      <c r="MJ141" s="43"/>
      <c r="MK141" s="43"/>
      <c r="ML141" s="43"/>
      <c r="MM141" s="43"/>
      <c r="MN141" s="43"/>
      <c r="MO141" s="43"/>
      <c r="MP141" s="43"/>
      <c r="MQ141" s="43"/>
      <c r="MR141" s="43"/>
      <c r="MS141" s="43"/>
      <c r="MT141" s="43"/>
      <c r="MU141" s="43"/>
      <c r="MV141" s="43"/>
      <c r="MW141" s="43"/>
      <c r="MX141" s="43"/>
      <c r="MY141" s="43"/>
      <c r="MZ141" s="43"/>
      <c r="NA141" s="43"/>
      <c r="NB141" s="43"/>
      <c r="NC141" s="43"/>
      <c r="ND141" s="43"/>
      <c r="NE141" s="43"/>
      <c r="NF141" s="43"/>
      <c r="NG141" s="43"/>
      <c r="NH141" s="43"/>
      <c r="NI141" s="43"/>
      <c r="NJ141" s="43"/>
      <c r="NK141" s="43"/>
      <c r="NL141" s="43"/>
      <c r="NM141" s="43"/>
      <c r="NN141" s="43"/>
      <c r="NO141" s="43"/>
      <c r="NP141" s="43"/>
      <c r="NQ141" s="43"/>
      <c r="NR141" s="43"/>
      <c r="NS141" s="43"/>
      <c r="NT141" s="43"/>
      <c r="NU141" s="43"/>
      <c r="NV141" s="43"/>
      <c r="NW141" s="43"/>
      <c r="NX141" s="43"/>
      <c r="NY141" s="43"/>
      <c r="NZ141" s="43"/>
      <c r="OA141" s="43"/>
      <c r="OB141" s="43"/>
      <c r="OC141" s="43"/>
      <c r="OD141" s="43"/>
      <c r="OE141" s="43"/>
      <c r="OF141" s="43"/>
      <c r="OG141" s="43"/>
      <c r="OH141" s="43"/>
      <c r="OI141" s="43"/>
      <c r="OJ141" s="43"/>
      <c r="OK141" s="43"/>
      <c r="OL141" s="43"/>
      <c r="OM141" s="43"/>
      <c r="ON141" s="43"/>
      <c r="OO141" s="43"/>
      <c r="OP141" s="43"/>
      <c r="OQ141" s="43"/>
      <c r="OR141" s="43"/>
      <c r="OS141" s="43"/>
      <c r="OT141" s="43"/>
      <c r="OU141" s="43"/>
      <c r="OV141" s="43"/>
      <c r="OW141" s="43"/>
      <c r="OX141" s="43"/>
      <c r="OY141" s="43"/>
      <c r="OZ141" s="43"/>
      <c r="PA141" s="43"/>
      <c r="PB141" s="43"/>
      <c r="PC141" s="43"/>
      <c r="PD141" s="43"/>
      <c r="PE141" s="43"/>
      <c r="PF141" s="43"/>
      <c r="PG141" s="43"/>
      <c r="PH141" s="43"/>
      <c r="PI141" s="43"/>
      <c r="PJ141" s="43"/>
      <c r="PK141" s="43"/>
      <c r="PL141" s="43"/>
      <c r="PM141" s="43"/>
      <c r="PN141" s="43"/>
      <c r="PO141" s="43"/>
      <c r="PP141" s="43"/>
      <c r="PQ141" s="43"/>
      <c r="PR141" s="43"/>
      <c r="PS141" s="43"/>
      <c r="PT141" s="43"/>
      <c r="PU141" s="43"/>
      <c r="PV141" s="43"/>
      <c r="PW141" s="43"/>
      <c r="PX141" s="43"/>
      <c r="PY141" s="43"/>
      <c r="PZ141" s="43"/>
      <c r="QA141" s="43"/>
      <c r="QB141" s="43"/>
      <c r="QC141" s="43"/>
    </row>
    <row r="142" spans="1:445" x14ac:dyDescent="0.3"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 t="str">
        <f t="shared" si="11"/>
        <v/>
      </c>
      <c r="U142" s="45" t="str">
        <f t="shared" si="12"/>
        <v/>
      </c>
      <c r="V142" s="68" t="str">
        <f t="shared" si="13"/>
        <v/>
      </c>
      <c r="W142" s="48"/>
      <c r="X142" s="66" t="str">
        <f t="shared" si="15"/>
        <v/>
      </c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43"/>
      <c r="BN142" s="43"/>
      <c r="BO142" s="43"/>
      <c r="BP142" s="43"/>
      <c r="BQ142" s="43"/>
      <c r="BR142" s="43"/>
      <c r="BS142" s="43"/>
      <c r="BT142" s="43"/>
      <c r="BU142" s="43"/>
      <c r="BV142" s="43"/>
      <c r="BW142" s="43"/>
      <c r="BX142" s="43"/>
      <c r="BY142" s="43"/>
      <c r="BZ142" s="43"/>
      <c r="CA142" s="43"/>
      <c r="CB142" s="43"/>
      <c r="CC142" s="43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43"/>
      <c r="CY142" s="43"/>
      <c r="CZ142" s="43"/>
      <c r="DA142" s="43"/>
      <c r="DB142" s="43"/>
      <c r="DC142" s="43"/>
      <c r="DD142" s="43"/>
      <c r="DE142" s="43"/>
      <c r="DF142" s="43"/>
      <c r="DG142" s="43"/>
      <c r="DH142" s="43"/>
      <c r="DI142" s="43"/>
      <c r="DJ142" s="43"/>
      <c r="DK142" s="43"/>
      <c r="DL142" s="43"/>
      <c r="DM142" s="43"/>
      <c r="DN142" s="43"/>
      <c r="DO142" s="43"/>
      <c r="DP142" s="43"/>
      <c r="DQ142" s="43"/>
      <c r="DR142" s="43"/>
      <c r="DS142" s="43"/>
      <c r="DT142" s="43"/>
      <c r="DU142" s="43"/>
      <c r="DV142" s="43"/>
      <c r="DW142" s="43"/>
      <c r="DX142" s="43"/>
      <c r="DY142" s="43"/>
      <c r="DZ142" s="43"/>
      <c r="EA142" s="43"/>
      <c r="EB142" s="43"/>
      <c r="EC142" s="43"/>
      <c r="ED142" s="43"/>
      <c r="EE142" s="43"/>
      <c r="EF142" s="43"/>
      <c r="EG142" s="43"/>
      <c r="EH142" s="43"/>
      <c r="EI142" s="43"/>
      <c r="EJ142" s="43"/>
      <c r="EK142" s="43"/>
      <c r="EL142" s="43"/>
      <c r="EM142" s="43"/>
      <c r="EN142" s="43"/>
      <c r="EO142" s="43"/>
      <c r="EP142" s="43"/>
      <c r="EQ142" s="43"/>
      <c r="ER142" s="43"/>
      <c r="ES142" s="43"/>
      <c r="ET142" s="43"/>
      <c r="EU142" s="43"/>
      <c r="EV142" s="43"/>
      <c r="EW142" s="43"/>
      <c r="EX142" s="43"/>
      <c r="EY142" s="43"/>
      <c r="EZ142" s="43"/>
      <c r="FA142" s="43"/>
      <c r="FB142" s="43"/>
      <c r="FC142" s="43"/>
      <c r="FD142" s="43"/>
      <c r="FE142" s="43"/>
      <c r="FF142" s="43"/>
      <c r="FG142" s="43"/>
      <c r="FH142" s="43"/>
      <c r="FI142" s="43"/>
      <c r="FJ142" s="43"/>
      <c r="FK142" s="43"/>
      <c r="FL142" s="43"/>
      <c r="FM142" s="43"/>
      <c r="FN142" s="43"/>
      <c r="FO142" s="43"/>
      <c r="FP142" s="43"/>
      <c r="FQ142" s="43"/>
      <c r="FR142" s="43"/>
      <c r="FS142" s="43"/>
      <c r="FT142" s="43"/>
      <c r="FU142" s="43"/>
      <c r="FV142" s="43"/>
      <c r="FW142" s="43"/>
      <c r="FX142" s="43"/>
      <c r="FY142" s="43"/>
      <c r="FZ142" s="43"/>
      <c r="GA142" s="43"/>
      <c r="GB142" s="43"/>
      <c r="GC142" s="43"/>
      <c r="GD142" s="43"/>
      <c r="GE142" s="43"/>
      <c r="GF142" s="43"/>
      <c r="GG142" s="43"/>
      <c r="GH142" s="43"/>
      <c r="GI142" s="43"/>
      <c r="GJ142" s="43"/>
      <c r="GK142" s="43"/>
      <c r="GL142" s="43"/>
      <c r="GM142" s="43"/>
      <c r="GN142" s="43"/>
      <c r="GO142" s="43"/>
      <c r="GP142" s="43"/>
      <c r="GQ142" s="43"/>
      <c r="GR142" s="43"/>
      <c r="GS142" s="43"/>
      <c r="GT142" s="43"/>
      <c r="GU142" s="43"/>
      <c r="GV142" s="43"/>
      <c r="GW142" s="43"/>
      <c r="GX142" s="43"/>
      <c r="GY142" s="43"/>
      <c r="GZ142" s="43"/>
      <c r="HA142" s="43"/>
      <c r="HB142" s="43"/>
      <c r="HC142" s="43"/>
      <c r="HD142" s="43"/>
      <c r="HE142" s="43"/>
      <c r="HF142" s="43"/>
      <c r="HG142" s="43"/>
      <c r="HH142" s="43"/>
      <c r="HI142" s="43"/>
      <c r="HJ142" s="43"/>
      <c r="HK142" s="43"/>
      <c r="HL142" s="43"/>
      <c r="HM142" s="43"/>
      <c r="HN142" s="43"/>
      <c r="HO142" s="43"/>
      <c r="HP142" s="43"/>
      <c r="HQ142" s="43"/>
      <c r="HR142" s="43"/>
      <c r="HS142" s="43"/>
      <c r="HT142" s="43"/>
      <c r="HU142" s="43"/>
      <c r="HV142" s="43"/>
      <c r="HW142" s="43"/>
      <c r="HX142" s="43"/>
      <c r="HY142" s="43"/>
      <c r="HZ142" s="43"/>
      <c r="IA142" s="43"/>
      <c r="IB142" s="43"/>
      <c r="IC142" s="43"/>
      <c r="ID142" s="43"/>
      <c r="IE142" s="43"/>
      <c r="IF142" s="43"/>
      <c r="IG142" s="43"/>
      <c r="IH142" s="43"/>
      <c r="II142" s="43"/>
      <c r="IJ142" s="43"/>
      <c r="IK142" s="43"/>
      <c r="IL142" s="43"/>
      <c r="IM142" s="43"/>
      <c r="IN142" s="43"/>
      <c r="IO142" s="43"/>
      <c r="IP142" s="43"/>
      <c r="IQ142" s="43"/>
      <c r="IR142" s="43"/>
      <c r="IS142" s="43"/>
      <c r="IT142" s="43"/>
      <c r="IU142" s="43"/>
      <c r="IV142" s="43"/>
      <c r="IW142" s="43"/>
      <c r="IX142" s="43"/>
      <c r="IY142" s="43"/>
      <c r="IZ142" s="43"/>
      <c r="JA142" s="43"/>
      <c r="JB142" s="43"/>
      <c r="JC142" s="43"/>
      <c r="JD142" s="43"/>
      <c r="JE142" s="43"/>
      <c r="JF142" s="43"/>
      <c r="JG142" s="43"/>
      <c r="JH142" s="43"/>
      <c r="JI142" s="43"/>
      <c r="JJ142" s="43"/>
      <c r="JK142" s="43"/>
      <c r="JL142" s="43"/>
      <c r="JM142" s="43"/>
      <c r="JN142" s="43"/>
      <c r="JO142" s="43"/>
      <c r="JP142" s="43"/>
      <c r="JQ142" s="43"/>
      <c r="JR142" s="43"/>
      <c r="JS142" s="43"/>
      <c r="JT142" s="43"/>
      <c r="JU142" s="43"/>
      <c r="JV142" s="43"/>
      <c r="JW142" s="43"/>
      <c r="JX142" s="43"/>
      <c r="JY142" s="43"/>
      <c r="JZ142" s="43"/>
      <c r="KA142" s="43"/>
      <c r="KB142" s="43"/>
      <c r="KC142" s="43"/>
      <c r="KD142" s="43"/>
      <c r="KE142" s="43"/>
      <c r="KF142" s="43"/>
      <c r="KG142" s="43"/>
      <c r="KH142" s="43"/>
      <c r="KI142" s="43"/>
      <c r="KJ142" s="43"/>
      <c r="KK142" s="43"/>
      <c r="KL142" s="43"/>
      <c r="KM142" s="43"/>
      <c r="KN142" s="43"/>
      <c r="KO142" s="43"/>
      <c r="KP142" s="43"/>
      <c r="KQ142" s="43"/>
      <c r="KR142" s="43"/>
      <c r="KS142" s="43"/>
      <c r="KT142" s="43"/>
      <c r="KU142" s="43"/>
      <c r="KV142" s="43"/>
      <c r="KW142" s="43"/>
      <c r="KX142" s="43"/>
      <c r="KY142" s="43"/>
      <c r="KZ142" s="43"/>
      <c r="LA142" s="43"/>
      <c r="LB142" s="43"/>
      <c r="LC142" s="43"/>
      <c r="LD142" s="43"/>
      <c r="LE142" s="43"/>
      <c r="LF142" s="43"/>
      <c r="LG142" s="43"/>
      <c r="LH142" s="43"/>
      <c r="LI142" s="43"/>
      <c r="LJ142" s="43"/>
      <c r="LK142" s="43"/>
      <c r="LL142" s="43"/>
      <c r="LM142" s="43"/>
      <c r="LN142" s="43"/>
      <c r="LO142" s="43"/>
      <c r="LP142" s="43"/>
      <c r="LQ142" s="43"/>
      <c r="LR142" s="43"/>
      <c r="LS142" s="43"/>
      <c r="LT142" s="43"/>
      <c r="LU142" s="43"/>
      <c r="LV142" s="43"/>
      <c r="LW142" s="43"/>
      <c r="LX142" s="43"/>
      <c r="LY142" s="43"/>
      <c r="LZ142" s="43"/>
      <c r="MA142" s="43"/>
      <c r="MB142" s="43"/>
      <c r="MC142" s="43"/>
      <c r="MD142" s="43"/>
      <c r="ME142" s="43"/>
      <c r="MF142" s="43"/>
      <c r="MG142" s="43"/>
      <c r="MH142" s="43"/>
      <c r="MI142" s="43"/>
      <c r="MJ142" s="43"/>
      <c r="MK142" s="43"/>
      <c r="ML142" s="43"/>
      <c r="MM142" s="43"/>
      <c r="MN142" s="43"/>
      <c r="MO142" s="43"/>
      <c r="MP142" s="43"/>
      <c r="MQ142" s="43"/>
      <c r="MR142" s="43"/>
      <c r="MS142" s="43"/>
      <c r="MT142" s="43"/>
      <c r="MU142" s="43"/>
      <c r="MV142" s="43"/>
      <c r="MW142" s="43"/>
      <c r="MX142" s="43"/>
      <c r="MY142" s="43"/>
      <c r="MZ142" s="43"/>
      <c r="NA142" s="43"/>
      <c r="NB142" s="43"/>
      <c r="NC142" s="43"/>
      <c r="ND142" s="43"/>
      <c r="NE142" s="43"/>
      <c r="NF142" s="43"/>
      <c r="NG142" s="43"/>
      <c r="NH142" s="43"/>
      <c r="NI142" s="43"/>
      <c r="NJ142" s="43"/>
      <c r="NK142" s="43"/>
      <c r="NL142" s="43"/>
      <c r="NM142" s="43"/>
      <c r="NN142" s="43"/>
      <c r="NO142" s="43"/>
      <c r="NP142" s="43"/>
      <c r="NQ142" s="43"/>
      <c r="NR142" s="43"/>
      <c r="NS142" s="43"/>
      <c r="NT142" s="43"/>
      <c r="NU142" s="43"/>
      <c r="NV142" s="43"/>
      <c r="NW142" s="43"/>
      <c r="NX142" s="43"/>
      <c r="NY142" s="43"/>
      <c r="NZ142" s="43"/>
      <c r="OA142" s="43"/>
      <c r="OB142" s="43"/>
      <c r="OC142" s="43"/>
      <c r="OD142" s="43"/>
      <c r="OE142" s="43"/>
      <c r="OF142" s="43"/>
      <c r="OG142" s="43"/>
      <c r="OH142" s="43"/>
      <c r="OI142" s="43"/>
      <c r="OJ142" s="43"/>
      <c r="OK142" s="43"/>
      <c r="OL142" s="43"/>
      <c r="OM142" s="43"/>
      <c r="ON142" s="43"/>
      <c r="OO142" s="43"/>
      <c r="OP142" s="43"/>
      <c r="OQ142" s="43"/>
      <c r="OR142" s="43"/>
      <c r="OS142" s="43"/>
      <c r="OT142" s="43"/>
      <c r="OU142" s="43"/>
      <c r="OV142" s="43"/>
      <c r="OW142" s="43"/>
      <c r="OX142" s="43"/>
      <c r="OY142" s="43"/>
      <c r="OZ142" s="43"/>
      <c r="PA142" s="43"/>
      <c r="PB142" s="43"/>
      <c r="PC142" s="43"/>
      <c r="PD142" s="43"/>
      <c r="PE142" s="43"/>
      <c r="PF142" s="43"/>
      <c r="PG142" s="43"/>
      <c r="PH142" s="43"/>
      <c r="PI142" s="43"/>
      <c r="PJ142" s="43"/>
      <c r="PK142" s="43"/>
      <c r="PL142" s="43"/>
      <c r="PM142" s="43"/>
      <c r="PN142" s="43"/>
      <c r="PO142" s="43"/>
      <c r="PP142" s="43"/>
      <c r="PQ142" s="43"/>
      <c r="PR142" s="43"/>
      <c r="PS142" s="43"/>
      <c r="PT142" s="43"/>
      <c r="PU142" s="43"/>
      <c r="PV142" s="43"/>
      <c r="PW142" s="43"/>
      <c r="PX142" s="43"/>
      <c r="PY142" s="43"/>
      <c r="PZ142" s="43"/>
      <c r="QA142" s="43"/>
      <c r="QB142" s="43"/>
      <c r="QC142" s="43"/>
    </row>
    <row r="143" spans="1:445" x14ac:dyDescent="0.3"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 t="str">
        <f t="shared" si="11"/>
        <v/>
      </c>
      <c r="U143" s="45" t="str">
        <f t="shared" si="12"/>
        <v/>
      </c>
      <c r="V143" s="68" t="str">
        <f t="shared" si="13"/>
        <v/>
      </c>
      <c r="W143" s="48"/>
      <c r="X143" s="66" t="str">
        <f t="shared" si="15"/>
        <v/>
      </c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43"/>
      <c r="BN143" s="43"/>
      <c r="BO143" s="43"/>
      <c r="BP143" s="43"/>
      <c r="BQ143" s="43"/>
      <c r="BR143" s="43"/>
      <c r="BS143" s="43"/>
      <c r="BT143" s="43"/>
      <c r="BU143" s="43"/>
      <c r="BV143" s="43"/>
      <c r="BW143" s="43"/>
      <c r="BX143" s="43"/>
      <c r="BY143" s="43"/>
      <c r="BZ143" s="43"/>
      <c r="CA143" s="43"/>
      <c r="CB143" s="43"/>
      <c r="CC143" s="43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43"/>
      <c r="CY143" s="43"/>
      <c r="CZ143" s="43"/>
      <c r="DA143" s="43"/>
      <c r="DB143" s="43"/>
      <c r="DC143" s="43"/>
      <c r="DD143" s="43"/>
      <c r="DE143" s="43"/>
      <c r="DF143" s="43"/>
      <c r="DG143" s="43"/>
      <c r="DH143" s="43"/>
      <c r="DI143" s="43"/>
      <c r="DJ143" s="43"/>
      <c r="DK143" s="43"/>
      <c r="DL143" s="43"/>
      <c r="DM143" s="43"/>
      <c r="DN143" s="43"/>
      <c r="DO143" s="43"/>
      <c r="DP143" s="43"/>
      <c r="DQ143" s="43"/>
      <c r="DR143" s="43"/>
      <c r="DS143" s="43"/>
      <c r="DT143" s="43"/>
      <c r="DU143" s="43"/>
      <c r="DV143" s="43"/>
      <c r="DW143" s="43"/>
      <c r="DX143" s="43"/>
      <c r="DY143" s="43"/>
      <c r="DZ143" s="43"/>
      <c r="EA143" s="43"/>
      <c r="EB143" s="43"/>
      <c r="EC143" s="43"/>
      <c r="ED143" s="43"/>
      <c r="EE143" s="43"/>
      <c r="EF143" s="43"/>
      <c r="EG143" s="43"/>
      <c r="EH143" s="43"/>
      <c r="EI143" s="43"/>
      <c r="EJ143" s="43"/>
      <c r="EK143" s="43"/>
      <c r="EL143" s="43"/>
      <c r="EM143" s="43"/>
      <c r="EN143" s="43"/>
      <c r="EO143" s="43"/>
      <c r="EP143" s="43"/>
      <c r="EQ143" s="43"/>
      <c r="ER143" s="43"/>
      <c r="ES143" s="43"/>
      <c r="ET143" s="43"/>
      <c r="EU143" s="43"/>
      <c r="EV143" s="43"/>
      <c r="EW143" s="43"/>
      <c r="EX143" s="43"/>
      <c r="EY143" s="43"/>
      <c r="EZ143" s="43"/>
      <c r="FA143" s="43"/>
      <c r="FB143" s="43"/>
      <c r="FC143" s="43"/>
      <c r="FD143" s="43"/>
      <c r="FE143" s="43"/>
      <c r="FF143" s="43"/>
      <c r="FG143" s="43"/>
      <c r="FH143" s="43"/>
      <c r="FI143" s="43"/>
      <c r="FJ143" s="43"/>
      <c r="FK143" s="43"/>
      <c r="FL143" s="43"/>
      <c r="FM143" s="43"/>
      <c r="FN143" s="43"/>
      <c r="FO143" s="43"/>
      <c r="FP143" s="43"/>
      <c r="FQ143" s="43"/>
      <c r="FR143" s="43"/>
      <c r="FS143" s="43"/>
      <c r="FT143" s="43"/>
      <c r="FU143" s="43"/>
      <c r="FV143" s="43"/>
      <c r="FW143" s="43"/>
      <c r="FX143" s="43"/>
      <c r="FY143" s="43"/>
      <c r="FZ143" s="43"/>
      <c r="GA143" s="43"/>
      <c r="GB143" s="43"/>
      <c r="GC143" s="43"/>
      <c r="GD143" s="43"/>
      <c r="GE143" s="43"/>
      <c r="GF143" s="43"/>
      <c r="GG143" s="43"/>
      <c r="GH143" s="43"/>
      <c r="GI143" s="43"/>
      <c r="GJ143" s="43"/>
      <c r="GK143" s="43"/>
      <c r="GL143" s="43"/>
      <c r="GM143" s="43"/>
      <c r="GN143" s="43"/>
      <c r="GO143" s="43"/>
      <c r="GP143" s="43"/>
      <c r="GQ143" s="43"/>
      <c r="GR143" s="43"/>
      <c r="GS143" s="43"/>
      <c r="GT143" s="43"/>
      <c r="GU143" s="43"/>
      <c r="GV143" s="43"/>
      <c r="GW143" s="43"/>
      <c r="GX143" s="43"/>
      <c r="GY143" s="43"/>
      <c r="GZ143" s="43"/>
      <c r="HA143" s="43"/>
      <c r="HB143" s="43"/>
      <c r="HC143" s="43"/>
      <c r="HD143" s="43"/>
      <c r="HE143" s="43"/>
      <c r="HF143" s="43"/>
      <c r="HG143" s="43"/>
      <c r="HH143" s="43"/>
      <c r="HI143" s="43"/>
      <c r="HJ143" s="43"/>
      <c r="HK143" s="43"/>
      <c r="HL143" s="43"/>
      <c r="HM143" s="43"/>
      <c r="HN143" s="43"/>
      <c r="HO143" s="43"/>
      <c r="HP143" s="43"/>
      <c r="HQ143" s="43"/>
      <c r="HR143" s="43"/>
      <c r="HS143" s="43"/>
      <c r="HT143" s="43"/>
      <c r="HU143" s="43"/>
      <c r="HV143" s="43"/>
      <c r="HW143" s="43"/>
      <c r="HX143" s="43"/>
      <c r="HY143" s="43"/>
      <c r="HZ143" s="43"/>
      <c r="IA143" s="43"/>
      <c r="IB143" s="43"/>
      <c r="IC143" s="43"/>
      <c r="ID143" s="43"/>
      <c r="IE143" s="43"/>
      <c r="IF143" s="43"/>
      <c r="IG143" s="43"/>
      <c r="IH143" s="43"/>
      <c r="II143" s="43"/>
      <c r="IJ143" s="43"/>
      <c r="IK143" s="43"/>
      <c r="IL143" s="43"/>
      <c r="IM143" s="43"/>
      <c r="IN143" s="43"/>
      <c r="IO143" s="43"/>
      <c r="IP143" s="43"/>
      <c r="IQ143" s="43"/>
      <c r="IR143" s="43"/>
      <c r="IS143" s="43"/>
      <c r="IT143" s="43"/>
      <c r="IU143" s="43"/>
      <c r="IV143" s="43"/>
      <c r="IW143" s="43"/>
      <c r="IX143" s="43"/>
      <c r="IY143" s="43"/>
      <c r="IZ143" s="43"/>
      <c r="JA143" s="43"/>
      <c r="JB143" s="43"/>
      <c r="JC143" s="43"/>
      <c r="JD143" s="43"/>
      <c r="JE143" s="43"/>
      <c r="JF143" s="43"/>
      <c r="JG143" s="43"/>
      <c r="JH143" s="43"/>
      <c r="JI143" s="43"/>
      <c r="JJ143" s="43"/>
      <c r="JK143" s="43"/>
      <c r="JL143" s="43"/>
      <c r="JM143" s="43"/>
      <c r="JN143" s="43"/>
      <c r="JO143" s="43"/>
      <c r="JP143" s="43"/>
      <c r="JQ143" s="43"/>
      <c r="JR143" s="43"/>
      <c r="JS143" s="43"/>
      <c r="JT143" s="43"/>
      <c r="JU143" s="43"/>
      <c r="JV143" s="43"/>
      <c r="JW143" s="43"/>
      <c r="JX143" s="43"/>
      <c r="JY143" s="43"/>
      <c r="JZ143" s="43"/>
      <c r="KA143" s="43"/>
      <c r="KB143" s="43"/>
      <c r="KC143" s="43"/>
      <c r="KD143" s="43"/>
      <c r="KE143" s="43"/>
      <c r="KF143" s="43"/>
      <c r="KG143" s="43"/>
      <c r="KH143" s="43"/>
      <c r="KI143" s="43"/>
      <c r="KJ143" s="43"/>
      <c r="KK143" s="43"/>
      <c r="KL143" s="43"/>
      <c r="KM143" s="43"/>
      <c r="KN143" s="43"/>
      <c r="KO143" s="43"/>
      <c r="KP143" s="43"/>
      <c r="KQ143" s="43"/>
      <c r="KR143" s="43"/>
      <c r="KS143" s="43"/>
      <c r="KT143" s="43"/>
      <c r="KU143" s="43"/>
      <c r="KV143" s="43"/>
      <c r="KW143" s="43"/>
      <c r="KX143" s="43"/>
      <c r="KY143" s="43"/>
      <c r="KZ143" s="43"/>
      <c r="LA143" s="43"/>
      <c r="LB143" s="43"/>
      <c r="LC143" s="43"/>
      <c r="LD143" s="43"/>
      <c r="LE143" s="43"/>
      <c r="LF143" s="43"/>
      <c r="LG143" s="43"/>
      <c r="LH143" s="43"/>
      <c r="LI143" s="43"/>
      <c r="LJ143" s="43"/>
      <c r="LK143" s="43"/>
      <c r="LL143" s="43"/>
      <c r="LM143" s="43"/>
      <c r="LN143" s="43"/>
      <c r="LO143" s="43"/>
      <c r="LP143" s="43"/>
      <c r="LQ143" s="43"/>
      <c r="LR143" s="43"/>
      <c r="LS143" s="43"/>
      <c r="LT143" s="43"/>
      <c r="LU143" s="43"/>
      <c r="LV143" s="43"/>
      <c r="LW143" s="43"/>
      <c r="LX143" s="43"/>
      <c r="LY143" s="43"/>
      <c r="LZ143" s="43"/>
      <c r="MA143" s="43"/>
      <c r="MB143" s="43"/>
      <c r="MC143" s="43"/>
      <c r="MD143" s="43"/>
      <c r="ME143" s="43"/>
      <c r="MF143" s="43"/>
      <c r="MG143" s="43"/>
      <c r="MH143" s="43"/>
      <c r="MI143" s="43"/>
      <c r="MJ143" s="43"/>
      <c r="MK143" s="43"/>
      <c r="ML143" s="43"/>
      <c r="MM143" s="43"/>
      <c r="MN143" s="43"/>
      <c r="MO143" s="43"/>
      <c r="MP143" s="43"/>
      <c r="MQ143" s="43"/>
      <c r="MR143" s="43"/>
      <c r="MS143" s="43"/>
      <c r="MT143" s="43"/>
      <c r="MU143" s="43"/>
      <c r="MV143" s="43"/>
      <c r="MW143" s="43"/>
      <c r="MX143" s="43"/>
      <c r="MY143" s="43"/>
      <c r="MZ143" s="43"/>
      <c r="NA143" s="43"/>
      <c r="NB143" s="43"/>
      <c r="NC143" s="43"/>
      <c r="ND143" s="43"/>
      <c r="NE143" s="43"/>
      <c r="NF143" s="43"/>
      <c r="NG143" s="43"/>
      <c r="NH143" s="43"/>
      <c r="NI143" s="43"/>
      <c r="NJ143" s="43"/>
      <c r="NK143" s="43"/>
      <c r="NL143" s="43"/>
      <c r="NM143" s="43"/>
      <c r="NN143" s="43"/>
      <c r="NO143" s="43"/>
      <c r="NP143" s="43"/>
      <c r="NQ143" s="43"/>
      <c r="NR143" s="43"/>
      <c r="NS143" s="43"/>
      <c r="NT143" s="43"/>
      <c r="NU143" s="43"/>
      <c r="NV143" s="43"/>
      <c r="NW143" s="43"/>
      <c r="NX143" s="43"/>
      <c r="NY143" s="43"/>
      <c r="NZ143" s="43"/>
      <c r="OA143" s="43"/>
      <c r="OB143" s="43"/>
      <c r="OC143" s="43"/>
      <c r="OD143" s="43"/>
      <c r="OE143" s="43"/>
      <c r="OF143" s="43"/>
      <c r="OG143" s="43"/>
      <c r="OH143" s="43"/>
      <c r="OI143" s="43"/>
      <c r="OJ143" s="43"/>
      <c r="OK143" s="43"/>
      <c r="OL143" s="43"/>
      <c r="OM143" s="43"/>
      <c r="ON143" s="43"/>
      <c r="OO143" s="43"/>
      <c r="OP143" s="43"/>
      <c r="OQ143" s="43"/>
      <c r="OR143" s="43"/>
      <c r="OS143" s="43"/>
      <c r="OT143" s="43"/>
      <c r="OU143" s="43"/>
      <c r="OV143" s="43"/>
      <c r="OW143" s="43"/>
      <c r="OX143" s="43"/>
      <c r="OY143" s="43"/>
      <c r="OZ143" s="43"/>
      <c r="PA143" s="43"/>
      <c r="PB143" s="43"/>
      <c r="PC143" s="43"/>
      <c r="PD143" s="43"/>
      <c r="PE143" s="43"/>
      <c r="PF143" s="43"/>
      <c r="PG143" s="43"/>
      <c r="PH143" s="43"/>
      <c r="PI143" s="43"/>
      <c r="PJ143" s="43"/>
      <c r="PK143" s="43"/>
      <c r="PL143" s="43"/>
      <c r="PM143" s="43"/>
      <c r="PN143" s="43"/>
      <c r="PO143" s="43"/>
      <c r="PP143" s="43"/>
      <c r="PQ143" s="43"/>
      <c r="PR143" s="43"/>
      <c r="PS143" s="43"/>
      <c r="PT143" s="43"/>
      <c r="PU143" s="43"/>
      <c r="PV143" s="43"/>
      <c r="PW143" s="43"/>
      <c r="PX143" s="43"/>
      <c r="PY143" s="43"/>
      <c r="PZ143" s="43"/>
      <c r="QA143" s="43"/>
      <c r="QB143" s="43"/>
      <c r="QC143" s="43"/>
    </row>
    <row r="144" spans="1:445" x14ac:dyDescent="0.3"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 t="str">
        <f t="shared" si="11"/>
        <v/>
      </c>
      <c r="U144" s="45" t="str">
        <f t="shared" si="12"/>
        <v/>
      </c>
      <c r="V144" s="68" t="str">
        <f t="shared" si="13"/>
        <v/>
      </c>
      <c r="X144" s="66" t="str">
        <f t="shared" si="15"/>
        <v/>
      </c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43"/>
      <c r="BN144" s="43"/>
      <c r="BO144" s="43"/>
      <c r="BP144" s="43"/>
      <c r="BQ144" s="43"/>
      <c r="BR144" s="43"/>
      <c r="BS144" s="43"/>
      <c r="BT144" s="43"/>
      <c r="BU144" s="43"/>
      <c r="BV144" s="43"/>
      <c r="BW144" s="43"/>
      <c r="BX144" s="43"/>
      <c r="BY144" s="43"/>
      <c r="BZ144" s="43"/>
      <c r="CA144" s="43"/>
      <c r="CB144" s="43"/>
      <c r="CC144" s="43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43"/>
      <c r="CY144" s="43"/>
      <c r="CZ144" s="43"/>
      <c r="DA144" s="43"/>
      <c r="DB144" s="43"/>
      <c r="DC144" s="43"/>
      <c r="DD144" s="43"/>
      <c r="DE144" s="43"/>
      <c r="DF144" s="43"/>
      <c r="DG144" s="43"/>
      <c r="DH144" s="43"/>
      <c r="DI144" s="43"/>
      <c r="DJ144" s="43"/>
      <c r="DK144" s="43"/>
      <c r="DL144" s="43"/>
      <c r="DM144" s="43"/>
      <c r="DN144" s="43"/>
      <c r="DO144" s="43"/>
      <c r="DP144" s="43"/>
      <c r="DQ144" s="43"/>
      <c r="DR144" s="43"/>
      <c r="DS144" s="43"/>
      <c r="DT144" s="43"/>
      <c r="DU144" s="43"/>
      <c r="DV144" s="43"/>
      <c r="DW144" s="43"/>
      <c r="DX144" s="43"/>
      <c r="DY144" s="43"/>
      <c r="DZ144" s="43"/>
      <c r="EA144" s="43"/>
      <c r="EB144" s="43"/>
      <c r="EC144" s="43"/>
      <c r="ED144" s="43"/>
      <c r="EE144" s="43"/>
      <c r="EF144" s="43"/>
      <c r="EG144" s="43"/>
      <c r="EH144" s="43"/>
      <c r="EI144" s="43"/>
      <c r="EJ144" s="43"/>
      <c r="EK144" s="43"/>
      <c r="EL144" s="43"/>
      <c r="EM144" s="43"/>
      <c r="EN144" s="43"/>
      <c r="EO144" s="43"/>
      <c r="EP144" s="43"/>
      <c r="EQ144" s="43"/>
      <c r="ER144" s="43"/>
      <c r="ES144" s="43"/>
      <c r="ET144" s="43"/>
      <c r="EU144" s="43"/>
      <c r="EV144" s="43"/>
      <c r="EW144" s="43"/>
      <c r="EX144" s="43"/>
      <c r="EY144" s="43"/>
      <c r="EZ144" s="43"/>
      <c r="FA144" s="43"/>
      <c r="FB144" s="43"/>
      <c r="FC144" s="43"/>
      <c r="FD144" s="43"/>
      <c r="FE144" s="43"/>
      <c r="FF144" s="43"/>
      <c r="FG144" s="43"/>
      <c r="FH144" s="43"/>
      <c r="FI144" s="43"/>
      <c r="FJ144" s="43"/>
      <c r="FK144" s="43"/>
      <c r="FL144" s="43"/>
      <c r="FM144" s="43"/>
      <c r="FN144" s="43"/>
      <c r="FO144" s="43"/>
      <c r="FP144" s="43"/>
      <c r="FQ144" s="43"/>
      <c r="FR144" s="43"/>
      <c r="FS144" s="43"/>
      <c r="FT144" s="43"/>
      <c r="FU144" s="43"/>
      <c r="FV144" s="43"/>
      <c r="FW144" s="43"/>
      <c r="FX144" s="43"/>
      <c r="FY144" s="43"/>
      <c r="FZ144" s="43"/>
      <c r="GA144" s="43"/>
      <c r="GB144" s="43"/>
      <c r="GC144" s="43"/>
      <c r="GD144" s="43"/>
      <c r="GE144" s="43"/>
      <c r="GF144" s="43"/>
      <c r="GG144" s="43"/>
      <c r="GH144" s="43"/>
      <c r="GI144" s="43"/>
      <c r="GJ144" s="43"/>
      <c r="GK144" s="43"/>
      <c r="GL144" s="43"/>
      <c r="GM144" s="43"/>
      <c r="GN144" s="43"/>
      <c r="GO144" s="43"/>
      <c r="GP144" s="43"/>
      <c r="GQ144" s="43"/>
      <c r="GR144" s="43"/>
      <c r="GS144" s="43"/>
      <c r="GT144" s="43"/>
      <c r="GU144" s="43"/>
      <c r="GV144" s="43"/>
      <c r="GW144" s="43"/>
      <c r="GX144" s="43"/>
      <c r="GY144" s="43"/>
      <c r="GZ144" s="43"/>
      <c r="HA144" s="43"/>
      <c r="HB144" s="43"/>
      <c r="HC144" s="43"/>
      <c r="HD144" s="43"/>
      <c r="HE144" s="43"/>
      <c r="HF144" s="43"/>
      <c r="HG144" s="43"/>
      <c r="HH144" s="43"/>
      <c r="HI144" s="43"/>
      <c r="HJ144" s="43"/>
      <c r="HK144" s="43"/>
      <c r="HL144" s="43"/>
      <c r="HM144" s="43"/>
      <c r="HN144" s="43"/>
      <c r="HO144" s="43"/>
      <c r="HP144" s="43"/>
      <c r="HQ144" s="43"/>
      <c r="HR144" s="43"/>
      <c r="HS144" s="43"/>
      <c r="HT144" s="43"/>
      <c r="HU144" s="43"/>
      <c r="HV144" s="43"/>
      <c r="HW144" s="43"/>
      <c r="HX144" s="43"/>
      <c r="HY144" s="43"/>
      <c r="HZ144" s="43"/>
      <c r="IA144" s="43"/>
      <c r="IB144" s="43"/>
      <c r="IC144" s="43"/>
      <c r="ID144" s="43"/>
      <c r="IE144" s="43"/>
      <c r="IF144" s="43"/>
      <c r="IG144" s="43"/>
      <c r="IH144" s="43"/>
      <c r="II144" s="43"/>
      <c r="IJ144" s="43"/>
      <c r="IK144" s="43"/>
      <c r="IL144" s="43"/>
      <c r="IM144" s="43"/>
      <c r="IN144" s="43"/>
      <c r="IO144" s="43"/>
      <c r="IP144" s="43"/>
      <c r="IQ144" s="43"/>
      <c r="IR144" s="43"/>
      <c r="IS144" s="43"/>
      <c r="IT144" s="43"/>
      <c r="IU144" s="43"/>
      <c r="IV144" s="43"/>
      <c r="IW144" s="43"/>
      <c r="IX144" s="43"/>
      <c r="IY144" s="43"/>
      <c r="IZ144" s="43"/>
      <c r="JA144" s="43"/>
      <c r="JB144" s="43"/>
      <c r="JC144" s="43"/>
      <c r="JD144" s="43"/>
      <c r="JE144" s="43"/>
      <c r="JF144" s="43"/>
      <c r="JG144" s="43"/>
      <c r="JH144" s="43"/>
      <c r="JI144" s="43"/>
      <c r="JJ144" s="43"/>
      <c r="JK144" s="43"/>
      <c r="JL144" s="43"/>
      <c r="JM144" s="43"/>
      <c r="JN144" s="43"/>
      <c r="JO144" s="43"/>
      <c r="JP144" s="43"/>
      <c r="JQ144" s="43"/>
      <c r="JR144" s="43"/>
      <c r="JS144" s="43"/>
      <c r="JT144" s="43"/>
      <c r="JU144" s="43"/>
      <c r="JV144" s="43"/>
      <c r="JW144" s="43"/>
      <c r="JX144" s="43"/>
      <c r="JY144" s="43"/>
      <c r="JZ144" s="43"/>
      <c r="KA144" s="43"/>
      <c r="KB144" s="43"/>
      <c r="KC144" s="43"/>
      <c r="KD144" s="43"/>
      <c r="KE144" s="43"/>
      <c r="KF144" s="43"/>
      <c r="KG144" s="43"/>
      <c r="KH144" s="43"/>
      <c r="KI144" s="43"/>
      <c r="KJ144" s="43"/>
      <c r="KK144" s="43"/>
      <c r="KL144" s="43"/>
      <c r="KM144" s="43"/>
      <c r="KN144" s="43"/>
      <c r="KO144" s="43"/>
      <c r="KP144" s="43"/>
      <c r="KQ144" s="43"/>
      <c r="KR144" s="43"/>
      <c r="KS144" s="43"/>
      <c r="KT144" s="43"/>
      <c r="KU144" s="43"/>
      <c r="KV144" s="43"/>
      <c r="KW144" s="43"/>
      <c r="KX144" s="43"/>
      <c r="KY144" s="43"/>
      <c r="KZ144" s="43"/>
      <c r="LA144" s="43"/>
      <c r="LB144" s="43"/>
      <c r="LC144" s="43"/>
      <c r="LD144" s="43"/>
      <c r="LE144" s="43"/>
      <c r="LF144" s="43"/>
      <c r="LG144" s="43"/>
      <c r="LH144" s="43"/>
      <c r="LI144" s="43"/>
      <c r="LJ144" s="43"/>
      <c r="LK144" s="43"/>
      <c r="LL144" s="43"/>
      <c r="LM144" s="43"/>
      <c r="LN144" s="43"/>
      <c r="LO144" s="43"/>
      <c r="LP144" s="43"/>
      <c r="LQ144" s="43"/>
      <c r="LR144" s="43"/>
      <c r="LS144" s="43"/>
      <c r="LT144" s="43"/>
      <c r="LU144" s="43"/>
      <c r="LV144" s="43"/>
      <c r="LW144" s="43"/>
      <c r="LX144" s="43"/>
      <c r="LY144" s="43"/>
      <c r="LZ144" s="43"/>
      <c r="MA144" s="43"/>
      <c r="MB144" s="43"/>
      <c r="MC144" s="43"/>
      <c r="MD144" s="43"/>
      <c r="ME144" s="43"/>
      <c r="MF144" s="43"/>
      <c r="MG144" s="43"/>
      <c r="MH144" s="43"/>
      <c r="MI144" s="43"/>
      <c r="MJ144" s="43"/>
      <c r="MK144" s="43"/>
      <c r="ML144" s="43"/>
      <c r="MM144" s="43"/>
      <c r="MN144" s="43"/>
      <c r="MO144" s="43"/>
      <c r="MP144" s="43"/>
      <c r="MQ144" s="43"/>
      <c r="MR144" s="43"/>
      <c r="MS144" s="43"/>
      <c r="MT144" s="43"/>
      <c r="MU144" s="43"/>
      <c r="MV144" s="43"/>
      <c r="MW144" s="43"/>
      <c r="MX144" s="43"/>
      <c r="MY144" s="43"/>
      <c r="MZ144" s="43"/>
      <c r="NA144" s="43"/>
      <c r="NB144" s="43"/>
      <c r="NC144" s="43"/>
      <c r="ND144" s="43"/>
      <c r="NE144" s="43"/>
      <c r="NF144" s="43"/>
      <c r="NG144" s="43"/>
      <c r="NH144" s="43"/>
      <c r="NI144" s="43"/>
      <c r="NJ144" s="43"/>
      <c r="NK144" s="43"/>
      <c r="NL144" s="43"/>
      <c r="NM144" s="43"/>
      <c r="NN144" s="43"/>
      <c r="NO144" s="43"/>
      <c r="NP144" s="43"/>
      <c r="NQ144" s="43"/>
      <c r="NR144" s="43"/>
      <c r="NS144" s="43"/>
      <c r="NT144" s="43"/>
      <c r="NU144" s="43"/>
      <c r="NV144" s="43"/>
      <c r="NW144" s="43"/>
      <c r="NX144" s="43"/>
      <c r="NY144" s="43"/>
      <c r="NZ144" s="43"/>
      <c r="OA144" s="43"/>
      <c r="OB144" s="43"/>
      <c r="OC144" s="43"/>
      <c r="OD144" s="43"/>
      <c r="OE144" s="43"/>
      <c r="OF144" s="43"/>
      <c r="OG144" s="43"/>
      <c r="OH144" s="43"/>
      <c r="OI144" s="43"/>
      <c r="OJ144" s="43"/>
      <c r="OK144" s="43"/>
      <c r="OL144" s="43"/>
      <c r="OM144" s="43"/>
      <c r="ON144" s="43"/>
      <c r="OO144" s="43"/>
      <c r="OP144" s="43"/>
      <c r="OQ144" s="43"/>
      <c r="OR144" s="43"/>
      <c r="OS144" s="43"/>
      <c r="OT144" s="43"/>
      <c r="OU144" s="43"/>
      <c r="OV144" s="43"/>
      <c r="OW144" s="43"/>
      <c r="OX144" s="43"/>
      <c r="OY144" s="43"/>
      <c r="OZ144" s="43"/>
      <c r="PA144" s="43"/>
      <c r="PB144" s="43"/>
      <c r="PC144" s="43"/>
      <c r="PD144" s="43"/>
      <c r="PE144" s="43"/>
      <c r="PF144" s="43"/>
      <c r="PG144" s="43"/>
      <c r="PH144" s="43"/>
      <c r="PI144" s="43"/>
      <c r="PJ144" s="43"/>
      <c r="PK144" s="43"/>
      <c r="PL144" s="43"/>
      <c r="PM144" s="43"/>
      <c r="PN144" s="43"/>
      <c r="PO144" s="43"/>
      <c r="PP144" s="43"/>
      <c r="PQ144" s="43"/>
      <c r="PR144" s="43"/>
      <c r="PS144" s="43"/>
      <c r="PT144" s="43"/>
      <c r="PU144" s="43"/>
      <c r="PV144" s="43"/>
      <c r="PW144" s="43"/>
      <c r="PX144" s="43"/>
      <c r="PY144" s="43"/>
      <c r="PZ144" s="43"/>
      <c r="QA144" s="43"/>
      <c r="QB144" s="43"/>
      <c r="QC144" s="43"/>
    </row>
    <row r="145" spans="1:24" s="43" customFormat="1" ht="17.25" customHeight="1" x14ac:dyDescent="0.25">
      <c r="A145" s="47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 t="str">
        <f t="shared" si="11"/>
        <v/>
      </c>
      <c r="U145" s="45" t="str">
        <f t="shared" si="12"/>
        <v/>
      </c>
      <c r="V145" s="68" t="str">
        <f t="shared" si="13"/>
        <v/>
      </c>
      <c r="W145" s="48"/>
      <c r="X145" s="66" t="str">
        <f t="shared" si="15"/>
        <v/>
      </c>
    </row>
    <row r="146" spans="1:24" x14ac:dyDescent="0.3"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 t="str">
        <f t="shared" si="11"/>
        <v/>
      </c>
      <c r="U146" s="45" t="str">
        <f t="shared" si="12"/>
        <v/>
      </c>
      <c r="V146" s="68" t="str">
        <f t="shared" si="13"/>
        <v/>
      </c>
      <c r="W146" s="48"/>
      <c r="X146" s="66" t="str">
        <f t="shared" si="15"/>
        <v/>
      </c>
    </row>
    <row r="147" spans="1:24" x14ac:dyDescent="0.3"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 t="str">
        <f t="shared" si="11"/>
        <v/>
      </c>
      <c r="U147" s="45" t="str">
        <f t="shared" si="12"/>
        <v/>
      </c>
      <c r="V147" s="68" t="str">
        <f t="shared" si="13"/>
        <v/>
      </c>
      <c r="X147" s="66" t="str">
        <f t="shared" si="15"/>
        <v/>
      </c>
    </row>
    <row r="148" spans="1:24" x14ac:dyDescent="0.3"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 t="str">
        <f t="shared" si="11"/>
        <v/>
      </c>
      <c r="U148" s="45" t="str">
        <f t="shared" si="12"/>
        <v/>
      </c>
      <c r="V148" s="68" t="str">
        <f t="shared" si="13"/>
        <v/>
      </c>
      <c r="W148" s="48"/>
      <c r="X148" s="66" t="str">
        <f t="shared" si="15"/>
        <v/>
      </c>
    </row>
    <row r="149" spans="1:24" x14ac:dyDescent="0.3"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 t="str">
        <f t="shared" si="11"/>
        <v/>
      </c>
      <c r="U149" s="45" t="str">
        <f t="shared" si="12"/>
        <v/>
      </c>
      <c r="V149" s="68" t="str">
        <f t="shared" si="13"/>
        <v/>
      </c>
      <c r="W149" s="48"/>
      <c r="X149" s="66" t="str">
        <f t="shared" si="15"/>
        <v/>
      </c>
    </row>
    <row r="150" spans="1:24" x14ac:dyDescent="0.3"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 t="str">
        <f t="shared" si="11"/>
        <v/>
      </c>
      <c r="U150" s="45" t="str">
        <f t="shared" si="12"/>
        <v/>
      </c>
      <c r="V150" s="68" t="str">
        <f t="shared" si="13"/>
        <v/>
      </c>
      <c r="W150" s="48"/>
      <c r="X150" s="66" t="str">
        <f t="shared" si="15"/>
        <v/>
      </c>
    </row>
    <row r="151" spans="1:24" x14ac:dyDescent="0.3">
      <c r="B151" s="45"/>
      <c r="C151" s="45"/>
      <c r="D151" s="45"/>
      <c r="E151" s="45"/>
      <c r="F151" s="45"/>
      <c r="G151" s="45"/>
      <c r="H151" s="45"/>
      <c r="I151" s="45"/>
      <c r="J151" s="51"/>
      <c r="K151" s="51"/>
      <c r="L151" s="45"/>
      <c r="M151" s="45"/>
      <c r="N151" s="45"/>
      <c r="O151" s="45"/>
      <c r="P151" s="45"/>
      <c r="Q151" s="45"/>
      <c r="R151" s="45"/>
      <c r="S151" s="45"/>
      <c r="T151" s="45" t="str">
        <f t="shared" si="11"/>
        <v/>
      </c>
      <c r="U151" s="45" t="str">
        <f t="shared" si="12"/>
        <v/>
      </c>
      <c r="V151" s="68" t="str">
        <f t="shared" si="13"/>
        <v/>
      </c>
      <c r="X151" s="66" t="str">
        <f t="shared" si="15"/>
        <v/>
      </c>
    </row>
    <row r="152" spans="1:24" x14ac:dyDescent="0.3"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 t="str">
        <f t="shared" si="11"/>
        <v/>
      </c>
      <c r="U152" s="45" t="str">
        <f t="shared" si="12"/>
        <v/>
      </c>
      <c r="V152" s="68" t="str">
        <f t="shared" si="13"/>
        <v/>
      </c>
      <c r="W152" s="48"/>
      <c r="X152" s="66" t="str">
        <f t="shared" si="15"/>
        <v/>
      </c>
    </row>
    <row r="153" spans="1:24" x14ac:dyDescent="0.3">
      <c r="B153" s="45"/>
      <c r="C153" s="45"/>
      <c r="D153" s="45"/>
      <c r="E153" s="45"/>
      <c r="F153" s="45"/>
      <c r="G153" s="45"/>
      <c r="H153" s="45"/>
      <c r="I153" s="45"/>
      <c r="J153" s="48"/>
      <c r="K153" s="48"/>
      <c r="L153" s="45"/>
      <c r="M153" s="45"/>
      <c r="N153" s="45"/>
      <c r="O153" s="45"/>
      <c r="P153" s="45"/>
      <c r="Q153" s="45"/>
      <c r="R153" s="45"/>
      <c r="S153" s="45"/>
      <c r="T153" s="45" t="str">
        <f t="shared" si="11"/>
        <v/>
      </c>
      <c r="U153" s="45" t="str">
        <f t="shared" si="12"/>
        <v/>
      </c>
      <c r="V153" s="68" t="str">
        <f t="shared" si="13"/>
        <v/>
      </c>
      <c r="X153" s="66" t="str">
        <f t="shared" si="15"/>
        <v/>
      </c>
    </row>
    <row r="154" spans="1:24" x14ac:dyDescent="0.3"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 t="str">
        <f t="shared" si="11"/>
        <v/>
      </c>
      <c r="U154" s="45" t="str">
        <f t="shared" si="12"/>
        <v/>
      </c>
      <c r="V154" s="68" t="str">
        <f t="shared" si="13"/>
        <v/>
      </c>
      <c r="X154" s="66"/>
    </row>
    <row r="155" spans="1:24" x14ac:dyDescent="0.3"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 t="str">
        <f t="shared" si="11"/>
        <v/>
      </c>
      <c r="U155" s="45" t="str">
        <f t="shared" si="12"/>
        <v/>
      </c>
      <c r="V155" s="68" t="str">
        <f t="shared" si="13"/>
        <v/>
      </c>
      <c r="X155" s="66" t="str">
        <f t="shared" ref="X155:X186" si="16">IF(W155&lt;&gt;"",F155 - (SUM(G155:S155)),"")</f>
        <v/>
      </c>
    </row>
    <row r="156" spans="1:24" x14ac:dyDescent="0.3"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 t="str">
        <f t="shared" si="11"/>
        <v/>
      </c>
      <c r="U156" s="45" t="str">
        <f t="shared" si="12"/>
        <v/>
      </c>
      <c r="V156" s="68" t="str">
        <f t="shared" si="13"/>
        <v/>
      </c>
      <c r="W156" s="48"/>
      <c r="X156" s="66" t="str">
        <f t="shared" si="16"/>
        <v/>
      </c>
    </row>
    <row r="157" spans="1:24" x14ac:dyDescent="0.3"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 t="str">
        <f t="shared" si="11"/>
        <v/>
      </c>
      <c r="U157" s="45" t="str">
        <f t="shared" si="12"/>
        <v/>
      </c>
      <c r="V157" s="68" t="str">
        <f t="shared" si="13"/>
        <v/>
      </c>
      <c r="W157" s="48"/>
      <c r="X157" s="66" t="str">
        <f t="shared" si="16"/>
        <v/>
      </c>
    </row>
    <row r="158" spans="1:24" x14ac:dyDescent="0.3"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 t="str">
        <f t="shared" si="11"/>
        <v/>
      </c>
      <c r="U158" s="45" t="str">
        <f t="shared" si="12"/>
        <v/>
      </c>
      <c r="V158" s="68" t="str">
        <f t="shared" si="13"/>
        <v/>
      </c>
      <c r="W158" s="48"/>
      <c r="X158" s="66" t="str">
        <f t="shared" si="16"/>
        <v/>
      </c>
    </row>
    <row r="159" spans="1:24" x14ac:dyDescent="0.3"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 t="str">
        <f t="shared" si="11"/>
        <v/>
      </c>
      <c r="U159" s="45" t="str">
        <f t="shared" si="12"/>
        <v/>
      </c>
      <c r="V159" s="68" t="str">
        <f t="shared" si="13"/>
        <v/>
      </c>
      <c r="W159" s="48"/>
      <c r="X159" s="66" t="str">
        <f t="shared" si="16"/>
        <v/>
      </c>
    </row>
    <row r="160" spans="1:24" x14ac:dyDescent="0.3"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 t="str">
        <f t="shared" si="11"/>
        <v/>
      </c>
      <c r="U160" s="45" t="str">
        <f t="shared" si="12"/>
        <v/>
      </c>
      <c r="V160" s="68" t="str">
        <f t="shared" si="13"/>
        <v/>
      </c>
      <c r="W160" s="48"/>
      <c r="X160" s="66" t="str">
        <f t="shared" si="16"/>
        <v/>
      </c>
    </row>
    <row r="161" spans="2:24" x14ac:dyDescent="0.3"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 t="str">
        <f t="shared" si="11"/>
        <v/>
      </c>
      <c r="U161" s="45" t="str">
        <f t="shared" si="12"/>
        <v/>
      </c>
      <c r="V161" s="68" t="str">
        <f t="shared" si="13"/>
        <v/>
      </c>
      <c r="W161" s="48"/>
      <c r="X161" s="66" t="str">
        <f t="shared" si="16"/>
        <v/>
      </c>
    </row>
    <row r="162" spans="2:24" x14ac:dyDescent="0.3"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 t="str">
        <f t="shared" si="11"/>
        <v/>
      </c>
      <c r="U162" s="45" t="str">
        <f t="shared" si="12"/>
        <v/>
      </c>
      <c r="V162" s="68" t="str">
        <f t="shared" si="13"/>
        <v/>
      </c>
      <c r="W162" s="48"/>
      <c r="X162" s="66" t="str">
        <f t="shared" si="16"/>
        <v/>
      </c>
    </row>
    <row r="163" spans="2:24" x14ac:dyDescent="0.3"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 t="str">
        <f t="shared" ref="T163:T226" si="17">IF(AND(ISBLANK(E163),ISBLANK(F163),ISBLANK(G163),ISBLANK(H163),ISBLANK(I163),ISBLANK(J163),ISBLANK(K163), ISBLANK(L163), ISBLANK(M163), ISBLANK(N163), ISBLANK(O163), ISBLANK(P163), ISBLANK(Q163), ISBLANK(R163), ISBLANK(S163)),"",SUM(G163:S163))</f>
        <v/>
      </c>
      <c r="U163" s="45" t="str">
        <f t="shared" ref="U163:U226" si="18">IF(W163&lt;&gt;0,0,IF(AND(ISBLANK(F163),ISBLANK(G163),ISBLANK(H163),ISBLANK(I163),ISBLANK(J163),ISBLANK(K163), ISBLANK(L163), ISBLANK(M163), ISBLANK(N163), ISBLANK(O163), ISBLANK(P163), ISBLANK(Q163), ISBLANK(R163), ISBLANK(S163)),"", F163-T163))</f>
        <v/>
      </c>
      <c r="V163" s="68" t="str">
        <f t="shared" ref="V163:V226" si="19">IF(AND(ISBLANK(E163),ISBLANK(F163), ISBLANK(G163), ISBLANK(H163), ISBLANK(I163), ISBLANK(J163), ISBLANK(K163), ISBLANK(L163), ISBLANK(M163),ISBLANK(N163), ISBLANK(O163), ISBLANK(P163), ISBLANK(Q163), ISBLANK(R163), ISBLANK(S163)), "",IFERROR(((F163+E163)-U163)/F163,""))</f>
        <v/>
      </c>
      <c r="W163" s="48"/>
      <c r="X163" s="66" t="str">
        <f t="shared" si="16"/>
        <v/>
      </c>
    </row>
    <row r="164" spans="2:24" x14ac:dyDescent="0.3"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 t="str">
        <f t="shared" si="17"/>
        <v/>
      </c>
      <c r="U164" s="45" t="str">
        <f t="shared" si="18"/>
        <v/>
      </c>
      <c r="V164" s="68" t="str">
        <f t="shared" si="19"/>
        <v/>
      </c>
      <c r="W164" s="48"/>
      <c r="X164" s="66" t="str">
        <f t="shared" si="16"/>
        <v/>
      </c>
    </row>
    <row r="165" spans="2:24" x14ac:dyDescent="0.3"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 t="str">
        <f t="shared" si="17"/>
        <v/>
      </c>
      <c r="U165" s="45" t="str">
        <f t="shared" si="18"/>
        <v/>
      </c>
      <c r="V165" s="68" t="str">
        <f t="shared" si="19"/>
        <v/>
      </c>
      <c r="X165" s="66" t="str">
        <f t="shared" si="16"/>
        <v/>
      </c>
    </row>
    <row r="166" spans="2:24" x14ac:dyDescent="0.3"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 t="str">
        <f t="shared" si="17"/>
        <v/>
      </c>
      <c r="U166" s="45" t="str">
        <f t="shared" si="18"/>
        <v/>
      </c>
      <c r="V166" s="68" t="str">
        <f t="shared" si="19"/>
        <v/>
      </c>
      <c r="W166" s="48"/>
      <c r="X166" s="66" t="str">
        <f t="shared" si="16"/>
        <v/>
      </c>
    </row>
    <row r="167" spans="2:24" x14ac:dyDescent="0.3">
      <c r="B167" s="45"/>
      <c r="C167" s="45"/>
      <c r="D167" s="45"/>
      <c r="E167" s="45"/>
      <c r="F167" s="45"/>
      <c r="G167" s="45"/>
      <c r="H167" s="48"/>
      <c r="I167" s="45"/>
      <c r="J167" s="48"/>
      <c r="K167" s="45"/>
      <c r="L167" s="45"/>
      <c r="M167" s="45"/>
      <c r="N167" s="45"/>
      <c r="O167" s="45"/>
      <c r="P167" s="45"/>
      <c r="Q167" s="45"/>
      <c r="R167" s="45"/>
      <c r="S167" s="45"/>
      <c r="T167" s="45" t="str">
        <f t="shared" si="17"/>
        <v/>
      </c>
      <c r="U167" s="45" t="str">
        <f t="shared" si="18"/>
        <v/>
      </c>
      <c r="V167" s="68" t="str">
        <f t="shared" si="19"/>
        <v/>
      </c>
      <c r="W167" s="48"/>
      <c r="X167" s="66" t="str">
        <f t="shared" si="16"/>
        <v/>
      </c>
    </row>
    <row r="168" spans="2:24" x14ac:dyDescent="0.3"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 t="str">
        <f t="shared" si="17"/>
        <v/>
      </c>
      <c r="U168" s="45" t="str">
        <f t="shared" si="18"/>
        <v/>
      </c>
      <c r="V168" s="68" t="str">
        <f t="shared" si="19"/>
        <v/>
      </c>
      <c r="W168" s="48"/>
      <c r="X168" s="66" t="str">
        <f t="shared" si="16"/>
        <v/>
      </c>
    </row>
    <row r="169" spans="2:24" x14ac:dyDescent="0.3"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 t="str">
        <f t="shared" si="17"/>
        <v/>
      </c>
      <c r="U169" s="45" t="str">
        <f t="shared" si="18"/>
        <v/>
      </c>
      <c r="V169" s="68" t="str">
        <f t="shared" si="19"/>
        <v/>
      </c>
      <c r="X169" s="66" t="str">
        <f t="shared" si="16"/>
        <v/>
      </c>
    </row>
    <row r="170" spans="2:24" x14ac:dyDescent="0.3"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 t="str">
        <f t="shared" si="17"/>
        <v/>
      </c>
      <c r="U170" s="45" t="str">
        <f t="shared" si="18"/>
        <v/>
      </c>
      <c r="V170" s="68" t="str">
        <f t="shared" si="19"/>
        <v/>
      </c>
      <c r="W170" s="48"/>
      <c r="X170" s="66" t="str">
        <f t="shared" si="16"/>
        <v/>
      </c>
    </row>
    <row r="171" spans="2:24" x14ac:dyDescent="0.3"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 t="str">
        <f t="shared" si="17"/>
        <v/>
      </c>
      <c r="U171" s="45" t="str">
        <f t="shared" si="18"/>
        <v/>
      </c>
      <c r="V171" s="68" t="str">
        <f t="shared" si="19"/>
        <v/>
      </c>
      <c r="W171" s="48"/>
      <c r="X171" s="66" t="str">
        <f t="shared" si="16"/>
        <v/>
      </c>
    </row>
    <row r="172" spans="2:24" x14ac:dyDescent="0.3"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 t="str">
        <f t="shared" si="17"/>
        <v/>
      </c>
      <c r="U172" s="45" t="str">
        <f t="shared" si="18"/>
        <v/>
      </c>
      <c r="V172" s="68" t="str">
        <f t="shared" si="19"/>
        <v/>
      </c>
      <c r="W172" s="48"/>
      <c r="X172" s="66" t="str">
        <f t="shared" si="16"/>
        <v/>
      </c>
    </row>
    <row r="173" spans="2:24" x14ac:dyDescent="0.3"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 t="str">
        <f t="shared" si="17"/>
        <v/>
      </c>
      <c r="U173" s="45" t="str">
        <f t="shared" si="18"/>
        <v/>
      </c>
      <c r="V173" s="68" t="str">
        <f t="shared" si="19"/>
        <v/>
      </c>
      <c r="W173" s="48"/>
      <c r="X173" s="66" t="str">
        <f t="shared" si="16"/>
        <v/>
      </c>
    </row>
    <row r="174" spans="2:24" x14ac:dyDescent="0.3"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 t="str">
        <f t="shared" si="17"/>
        <v/>
      </c>
      <c r="U174" s="45" t="str">
        <f t="shared" si="18"/>
        <v/>
      </c>
      <c r="V174" s="68" t="str">
        <f t="shared" si="19"/>
        <v/>
      </c>
      <c r="W174" s="48"/>
      <c r="X174" s="66" t="str">
        <f t="shared" si="16"/>
        <v/>
      </c>
    </row>
    <row r="175" spans="2:24" x14ac:dyDescent="0.3"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 t="str">
        <f t="shared" si="17"/>
        <v/>
      </c>
      <c r="U175" s="45" t="str">
        <f t="shared" si="18"/>
        <v/>
      </c>
      <c r="V175" s="68" t="str">
        <f t="shared" si="19"/>
        <v/>
      </c>
      <c r="X175" s="66" t="str">
        <f t="shared" si="16"/>
        <v/>
      </c>
    </row>
    <row r="176" spans="2:24" x14ac:dyDescent="0.3"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 t="str">
        <f t="shared" si="17"/>
        <v/>
      </c>
      <c r="U176" s="45" t="str">
        <f t="shared" si="18"/>
        <v/>
      </c>
      <c r="V176" s="68" t="str">
        <f t="shared" si="19"/>
        <v/>
      </c>
      <c r="W176" s="48"/>
      <c r="X176" s="66" t="str">
        <f t="shared" si="16"/>
        <v/>
      </c>
    </row>
    <row r="177" spans="1:24" x14ac:dyDescent="0.3"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 t="str">
        <f t="shared" si="17"/>
        <v/>
      </c>
      <c r="U177" s="45" t="str">
        <f t="shared" si="18"/>
        <v/>
      </c>
      <c r="V177" s="68" t="str">
        <f t="shared" si="19"/>
        <v/>
      </c>
      <c r="W177" s="48"/>
      <c r="X177" s="66" t="str">
        <f t="shared" si="16"/>
        <v/>
      </c>
    </row>
    <row r="178" spans="1:24" x14ac:dyDescent="0.3"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 t="str">
        <f t="shared" si="17"/>
        <v/>
      </c>
      <c r="U178" s="45" t="str">
        <f t="shared" si="18"/>
        <v/>
      </c>
      <c r="V178" s="68" t="str">
        <f t="shared" si="19"/>
        <v/>
      </c>
      <c r="X178" s="66" t="str">
        <f t="shared" si="16"/>
        <v/>
      </c>
    </row>
    <row r="179" spans="1:24" x14ac:dyDescent="0.3"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 t="str">
        <f t="shared" si="17"/>
        <v/>
      </c>
      <c r="U179" s="45" t="str">
        <f t="shared" si="18"/>
        <v/>
      </c>
      <c r="V179" s="68" t="str">
        <f t="shared" si="19"/>
        <v/>
      </c>
      <c r="W179" s="48"/>
      <c r="X179" s="66" t="str">
        <f t="shared" si="16"/>
        <v/>
      </c>
    </row>
    <row r="180" spans="1:24" x14ac:dyDescent="0.3"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 t="str">
        <f t="shared" si="17"/>
        <v/>
      </c>
      <c r="U180" s="45" t="str">
        <f t="shared" si="18"/>
        <v/>
      </c>
      <c r="V180" s="68" t="str">
        <f t="shared" si="19"/>
        <v/>
      </c>
      <c r="W180" s="48"/>
      <c r="X180" s="66" t="str">
        <f t="shared" si="16"/>
        <v/>
      </c>
    </row>
    <row r="181" spans="1:24" x14ac:dyDescent="0.3"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 t="str">
        <f t="shared" si="17"/>
        <v/>
      </c>
      <c r="U181" s="45" t="str">
        <f t="shared" si="18"/>
        <v/>
      </c>
      <c r="V181" s="68" t="str">
        <f t="shared" si="19"/>
        <v/>
      </c>
      <c r="W181" s="48"/>
      <c r="X181" s="66" t="str">
        <f t="shared" si="16"/>
        <v/>
      </c>
    </row>
    <row r="182" spans="1:24" x14ac:dyDescent="0.3"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 t="str">
        <f t="shared" si="17"/>
        <v/>
      </c>
      <c r="U182" s="45" t="str">
        <f t="shared" si="18"/>
        <v/>
      </c>
      <c r="V182" s="68" t="str">
        <f t="shared" si="19"/>
        <v/>
      </c>
      <c r="X182" s="66" t="str">
        <f t="shared" si="16"/>
        <v/>
      </c>
    </row>
    <row r="183" spans="1:24" x14ac:dyDescent="0.3"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 t="str">
        <f t="shared" si="17"/>
        <v/>
      </c>
      <c r="U183" s="45" t="str">
        <f t="shared" si="18"/>
        <v/>
      </c>
      <c r="V183" s="68" t="str">
        <f t="shared" si="19"/>
        <v/>
      </c>
      <c r="W183" s="48"/>
      <c r="X183" s="66" t="str">
        <f t="shared" si="16"/>
        <v/>
      </c>
    </row>
    <row r="184" spans="1:24" s="49" customFormat="1" x14ac:dyDescent="0.3">
      <c r="A184" s="47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 t="str">
        <f t="shared" si="17"/>
        <v/>
      </c>
      <c r="U184" s="45" t="str">
        <f t="shared" si="18"/>
        <v/>
      </c>
      <c r="V184" s="68" t="str">
        <f t="shared" si="19"/>
        <v/>
      </c>
      <c r="X184" s="66" t="str">
        <f t="shared" si="16"/>
        <v/>
      </c>
    </row>
    <row r="185" spans="1:24" s="49" customFormat="1" x14ac:dyDescent="0.3">
      <c r="A185" s="47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 t="str">
        <f t="shared" si="17"/>
        <v/>
      </c>
      <c r="U185" s="45" t="str">
        <f t="shared" si="18"/>
        <v/>
      </c>
      <c r="V185" s="68" t="str">
        <f t="shared" si="19"/>
        <v/>
      </c>
      <c r="W185" s="48"/>
      <c r="X185" s="66" t="str">
        <f t="shared" si="16"/>
        <v/>
      </c>
    </row>
    <row r="186" spans="1:24" s="49" customFormat="1" x14ac:dyDescent="0.3">
      <c r="A186" s="47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 t="str">
        <f t="shared" si="17"/>
        <v/>
      </c>
      <c r="U186" s="45" t="str">
        <f t="shared" si="18"/>
        <v/>
      </c>
      <c r="V186" s="68" t="str">
        <f t="shared" si="19"/>
        <v/>
      </c>
      <c r="W186" s="48"/>
      <c r="X186" s="66" t="str">
        <f t="shared" si="16"/>
        <v/>
      </c>
    </row>
    <row r="187" spans="1:24" s="49" customFormat="1" x14ac:dyDescent="0.3">
      <c r="A187" s="47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 t="str">
        <f t="shared" si="17"/>
        <v/>
      </c>
      <c r="U187" s="45" t="str">
        <f t="shared" si="18"/>
        <v/>
      </c>
      <c r="V187" s="68" t="str">
        <f t="shared" si="19"/>
        <v/>
      </c>
      <c r="W187" s="48"/>
      <c r="X187" s="66" t="str">
        <f t="shared" ref="X187:X218" si="20">IF(W187&lt;&gt;"",F187 - (SUM(G187:S187)),"")</f>
        <v/>
      </c>
    </row>
    <row r="188" spans="1:24" s="49" customFormat="1" x14ac:dyDescent="0.3">
      <c r="A188" s="47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 t="str">
        <f t="shared" si="17"/>
        <v/>
      </c>
      <c r="U188" s="45" t="str">
        <f t="shared" si="18"/>
        <v/>
      </c>
      <c r="V188" s="68" t="str">
        <f t="shared" si="19"/>
        <v/>
      </c>
      <c r="W188" s="48"/>
      <c r="X188" s="66" t="str">
        <f t="shared" si="20"/>
        <v/>
      </c>
    </row>
    <row r="189" spans="1:24" s="49" customFormat="1" x14ac:dyDescent="0.3">
      <c r="A189" s="47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 t="str">
        <f t="shared" si="17"/>
        <v/>
      </c>
      <c r="U189" s="45" t="str">
        <f t="shared" si="18"/>
        <v/>
      </c>
      <c r="V189" s="68" t="str">
        <f t="shared" si="19"/>
        <v/>
      </c>
      <c r="W189" s="48"/>
      <c r="X189" s="66" t="str">
        <f t="shared" si="20"/>
        <v/>
      </c>
    </row>
    <row r="190" spans="1:24" s="49" customFormat="1" x14ac:dyDescent="0.3">
      <c r="A190" s="47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 t="str">
        <f t="shared" si="17"/>
        <v/>
      </c>
      <c r="U190" s="45" t="str">
        <f t="shared" si="18"/>
        <v/>
      </c>
      <c r="V190" s="68" t="str">
        <f t="shared" si="19"/>
        <v/>
      </c>
      <c r="X190" s="66" t="str">
        <f t="shared" si="20"/>
        <v/>
      </c>
    </row>
    <row r="191" spans="1:24" s="49" customFormat="1" x14ac:dyDescent="0.3">
      <c r="A191" s="47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 t="str">
        <f t="shared" si="17"/>
        <v/>
      </c>
      <c r="U191" s="45" t="str">
        <f t="shared" si="18"/>
        <v/>
      </c>
      <c r="V191" s="68" t="str">
        <f t="shared" si="19"/>
        <v/>
      </c>
      <c r="X191" s="66" t="str">
        <f t="shared" si="20"/>
        <v/>
      </c>
    </row>
    <row r="192" spans="1:24" x14ac:dyDescent="0.3"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 t="str">
        <f t="shared" si="17"/>
        <v/>
      </c>
      <c r="U192" s="45" t="str">
        <f t="shared" si="18"/>
        <v/>
      </c>
      <c r="V192" s="68" t="str">
        <f t="shared" si="19"/>
        <v/>
      </c>
      <c r="W192" s="48"/>
      <c r="X192" s="66" t="str">
        <f t="shared" si="20"/>
        <v/>
      </c>
    </row>
    <row r="193" spans="2:24" x14ac:dyDescent="0.3"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 t="str">
        <f t="shared" si="17"/>
        <v/>
      </c>
      <c r="U193" s="45" t="str">
        <f t="shared" si="18"/>
        <v/>
      </c>
      <c r="V193" s="68" t="str">
        <f t="shared" si="19"/>
        <v/>
      </c>
      <c r="X193" s="66" t="str">
        <f t="shared" si="20"/>
        <v/>
      </c>
    </row>
    <row r="194" spans="2:24" x14ac:dyDescent="0.3"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 t="str">
        <f t="shared" si="17"/>
        <v/>
      </c>
      <c r="U194" s="45" t="str">
        <f t="shared" si="18"/>
        <v/>
      </c>
      <c r="V194" s="68" t="str">
        <f t="shared" si="19"/>
        <v/>
      </c>
      <c r="X194" s="66" t="str">
        <f t="shared" si="20"/>
        <v/>
      </c>
    </row>
    <row r="195" spans="2:24" x14ac:dyDescent="0.3"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 t="str">
        <f t="shared" si="17"/>
        <v/>
      </c>
      <c r="U195" s="45" t="str">
        <f t="shared" si="18"/>
        <v/>
      </c>
      <c r="V195" s="68" t="str">
        <f t="shared" si="19"/>
        <v/>
      </c>
      <c r="X195" s="66" t="str">
        <f t="shared" si="20"/>
        <v/>
      </c>
    </row>
    <row r="196" spans="2:24" x14ac:dyDescent="0.3"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 t="str">
        <f t="shared" si="17"/>
        <v/>
      </c>
      <c r="U196" s="45" t="str">
        <f t="shared" si="18"/>
        <v/>
      </c>
      <c r="V196" s="68" t="str">
        <f t="shared" si="19"/>
        <v/>
      </c>
      <c r="X196" s="66" t="str">
        <f t="shared" si="20"/>
        <v/>
      </c>
    </row>
    <row r="197" spans="2:24" x14ac:dyDescent="0.3"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 t="str">
        <f t="shared" si="17"/>
        <v/>
      </c>
      <c r="U197" s="45" t="str">
        <f t="shared" si="18"/>
        <v/>
      </c>
      <c r="V197" s="68" t="str">
        <f t="shared" si="19"/>
        <v/>
      </c>
      <c r="X197" s="66" t="str">
        <f t="shared" si="20"/>
        <v/>
      </c>
    </row>
    <row r="198" spans="2:24" x14ac:dyDescent="0.3"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 t="str">
        <f t="shared" si="17"/>
        <v/>
      </c>
      <c r="U198" s="45" t="str">
        <f t="shared" si="18"/>
        <v/>
      </c>
      <c r="V198" s="68" t="str">
        <f t="shared" si="19"/>
        <v/>
      </c>
      <c r="X198" s="66" t="str">
        <f t="shared" si="20"/>
        <v/>
      </c>
    </row>
    <row r="199" spans="2:24" x14ac:dyDescent="0.3"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 t="str">
        <f t="shared" si="17"/>
        <v/>
      </c>
      <c r="U199" s="45" t="str">
        <f t="shared" si="18"/>
        <v/>
      </c>
      <c r="V199" s="68" t="str">
        <f t="shared" si="19"/>
        <v/>
      </c>
      <c r="X199" s="66" t="str">
        <f t="shared" si="20"/>
        <v/>
      </c>
    </row>
    <row r="200" spans="2:24" x14ac:dyDescent="0.3"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 t="str">
        <f t="shared" si="17"/>
        <v/>
      </c>
      <c r="U200" s="45" t="str">
        <f t="shared" si="18"/>
        <v/>
      </c>
      <c r="V200" s="68" t="str">
        <f t="shared" si="19"/>
        <v/>
      </c>
      <c r="X200" s="66" t="str">
        <f t="shared" si="20"/>
        <v/>
      </c>
    </row>
    <row r="201" spans="2:24" x14ac:dyDescent="0.3"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 t="str">
        <f t="shared" si="17"/>
        <v/>
      </c>
      <c r="U201" s="45" t="str">
        <f t="shared" si="18"/>
        <v/>
      </c>
      <c r="V201" s="68" t="str">
        <f t="shared" si="19"/>
        <v/>
      </c>
      <c r="X201" s="66" t="str">
        <f t="shared" si="20"/>
        <v/>
      </c>
    </row>
    <row r="202" spans="2:24" x14ac:dyDescent="0.3">
      <c r="T202" s="45" t="str">
        <f t="shared" si="17"/>
        <v/>
      </c>
      <c r="U202" s="45" t="str">
        <f t="shared" si="18"/>
        <v/>
      </c>
      <c r="V202" s="68" t="str">
        <f t="shared" si="19"/>
        <v/>
      </c>
      <c r="X202" s="66" t="str">
        <f t="shared" si="20"/>
        <v/>
      </c>
    </row>
    <row r="203" spans="2:24" x14ac:dyDescent="0.3">
      <c r="T203" s="45" t="str">
        <f t="shared" si="17"/>
        <v/>
      </c>
      <c r="U203" s="45" t="str">
        <f t="shared" si="18"/>
        <v/>
      </c>
      <c r="V203" s="68" t="str">
        <f t="shared" si="19"/>
        <v/>
      </c>
      <c r="X203" s="66" t="str">
        <f t="shared" si="20"/>
        <v/>
      </c>
    </row>
    <row r="204" spans="2:24" x14ac:dyDescent="0.3">
      <c r="T204" s="45" t="str">
        <f t="shared" si="17"/>
        <v/>
      </c>
      <c r="U204" s="45" t="str">
        <f t="shared" si="18"/>
        <v/>
      </c>
      <c r="V204" s="68" t="str">
        <f t="shared" si="19"/>
        <v/>
      </c>
      <c r="X204" s="66" t="str">
        <f t="shared" si="20"/>
        <v/>
      </c>
    </row>
    <row r="205" spans="2:24" x14ac:dyDescent="0.3">
      <c r="T205" s="45" t="str">
        <f t="shared" si="17"/>
        <v/>
      </c>
      <c r="U205" s="45" t="str">
        <f t="shared" si="18"/>
        <v/>
      </c>
      <c r="V205" s="68" t="str">
        <f t="shared" si="19"/>
        <v/>
      </c>
      <c r="X205" s="66" t="str">
        <f t="shared" si="20"/>
        <v/>
      </c>
    </row>
    <row r="206" spans="2:24" x14ac:dyDescent="0.3">
      <c r="T206" s="45" t="str">
        <f t="shared" si="17"/>
        <v/>
      </c>
      <c r="U206" s="45" t="str">
        <f t="shared" si="18"/>
        <v/>
      </c>
      <c r="V206" s="68" t="str">
        <f t="shared" si="19"/>
        <v/>
      </c>
      <c r="X206" s="66" t="str">
        <f t="shared" si="20"/>
        <v/>
      </c>
    </row>
    <row r="207" spans="2:24" x14ac:dyDescent="0.3">
      <c r="T207" s="45" t="str">
        <f t="shared" si="17"/>
        <v/>
      </c>
      <c r="U207" s="45" t="str">
        <f t="shared" si="18"/>
        <v/>
      </c>
      <c r="V207" s="68" t="str">
        <f t="shared" si="19"/>
        <v/>
      </c>
      <c r="X207" s="66" t="str">
        <f t="shared" si="20"/>
        <v/>
      </c>
    </row>
    <row r="208" spans="2:24" x14ac:dyDescent="0.3">
      <c r="T208" s="45" t="str">
        <f t="shared" si="17"/>
        <v/>
      </c>
      <c r="U208" s="45" t="str">
        <f t="shared" si="18"/>
        <v/>
      </c>
      <c r="V208" s="68" t="str">
        <f t="shared" si="19"/>
        <v/>
      </c>
      <c r="X208" s="66" t="str">
        <f t="shared" si="20"/>
        <v/>
      </c>
    </row>
    <row r="209" spans="20:24" x14ac:dyDescent="0.3">
      <c r="T209" s="45" t="str">
        <f t="shared" si="17"/>
        <v/>
      </c>
      <c r="U209" s="45" t="str">
        <f t="shared" si="18"/>
        <v/>
      </c>
      <c r="V209" s="68" t="str">
        <f t="shared" si="19"/>
        <v/>
      </c>
      <c r="X209" s="66" t="str">
        <f t="shared" si="20"/>
        <v/>
      </c>
    </row>
    <row r="210" spans="20:24" x14ac:dyDescent="0.3">
      <c r="T210" s="45" t="str">
        <f t="shared" si="17"/>
        <v/>
      </c>
      <c r="U210" s="45" t="str">
        <f t="shared" si="18"/>
        <v/>
      </c>
      <c r="V210" s="68" t="str">
        <f t="shared" si="19"/>
        <v/>
      </c>
      <c r="X210" s="66" t="str">
        <f t="shared" si="20"/>
        <v/>
      </c>
    </row>
    <row r="211" spans="20:24" x14ac:dyDescent="0.3">
      <c r="T211" s="45" t="str">
        <f t="shared" si="17"/>
        <v/>
      </c>
      <c r="U211" s="45" t="str">
        <f t="shared" si="18"/>
        <v/>
      </c>
      <c r="V211" s="68" t="str">
        <f t="shared" si="19"/>
        <v/>
      </c>
      <c r="X211" s="66" t="str">
        <f t="shared" si="20"/>
        <v/>
      </c>
    </row>
    <row r="212" spans="20:24" x14ac:dyDescent="0.3">
      <c r="T212" s="45" t="str">
        <f t="shared" si="17"/>
        <v/>
      </c>
      <c r="U212" s="45" t="str">
        <f t="shared" si="18"/>
        <v/>
      </c>
      <c r="V212" s="68" t="str">
        <f t="shared" si="19"/>
        <v/>
      </c>
      <c r="X212" s="66" t="str">
        <f t="shared" si="20"/>
        <v/>
      </c>
    </row>
    <row r="213" spans="20:24" x14ac:dyDescent="0.3">
      <c r="T213" s="45" t="str">
        <f t="shared" si="17"/>
        <v/>
      </c>
      <c r="U213" s="45" t="str">
        <f t="shared" si="18"/>
        <v/>
      </c>
      <c r="V213" s="68" t="str">
        <f t="shared" si="19"/>
        <v/>
      </c>
      <c r="X213" s="66" t="str">
        <f t="shared" si="20"/>
        <v/>
      </c>
    </row>
    <row r="214" spans="20:24" x14ac:dyDescent="0.3">
      <c r="T214" s="45" t="str">
        <f t="shared" si="17"/>
        <v/>
      </c>
      <c r="U214" s="45" t="str">
        <f t="shared" si="18"/>
        <v/>
      </c>
      <c r="V214" s="68" t="str">
        <f t="shared" si="19"/>
        <v/>
      </c>
      <c r="X214" s="66" t="str">
        <f t="shared" si="20"/>
        <v/>
      </c>
    </row>
    <row r="215" spans="20:24" x14ac:dyDescent="0.3">
      <c r="T215" s="45" t="str">
        <f t="shared" si="17"/>
        <v/>
      </c>
      <c r="U215" s="45" t="str">
        <f t="shared" si="18"/>
        <v/>
      </c>
      <c r="V215" s="68" t="str">
        <f t="shared" si="19"/>
        <v/>
      </c>
      <c r="X215" s="66" t="str">
        <f t="shared" si="20"/>
        <v/>
      </c>
    </row>
    <row r="216" spans="20:24" x14ac:dyDescent="0.3">
      <c r="T216" s="45" t="str">
        <f t="shared" si="17"/>
        <v/>
      </c>
      <c r="U216" s="45" t="str">
        <f t="shared" si="18"/>
        <v/>
      </c>
      <c r="V216" s="68" t="str">
        <f t="shared" si="19"/>
        <v/>
      </c>
      <c r="X216" s="66" t="str">
        <f t="shared" si="20"/>
        <v/>
      </c>
    </row>
    <row r="217" spans="20:24" x14ac:dyDescent="0.3">
      <c r="T217" s="45" t="str">
        <f t="shared" si="17"/>
        <v/>
      </c>
      <c r="U217" s="45" t="str">
        <f t="shared" si="18"/>
        <v/>
      </c>
      <c r="V217" s="68" t="str">
        <f t="shared" si="19"/>
        <v/>
      </c>
      <c r="X217" s="66" t="str">
        <f t="shared" si="20"/>
        <v/>
      </c>
    </row>
    <row r="218" spans="20:24" x14ac:dyDescent="0.3">
      <c r="T218" s="45" t="str">
        <f t="shared" si="17"/>
        <v/>
      </c>
      <c r="U218" s="45" t="str">
        <f t="shared" si="18"/>
        <v/>
      </c>
      <c r="V218" s="68" t="str">
        <f t="shared" si="19"/>
        <v/>
      </c>
      <c r="X218" s="66" t="str">
        <f t="shared" si="20"/>
        <v/>
      </c>
    </row>
    <row r="219" spans="20:24" x14ac:dyDescent="0.3">
      <c r="T219" s="45" t="str">
        <f t="shared" si="17"/>
        <v/>
      </c>
      <c r="U219" s="45" t="str">
        <f t="shared" si="18"/>
        <v/>
      </c>
      <c r="V219" s="68" t="str">
        <f t="shared" si="19"/>
        <v/>
      </c>
      <c r="X219" s="66" t="str">
        <f t="shared" ref="X219:X250" si="21">IF(W219&lt;&gt;"",F219 - (SUM(G219:S219)),"")</f>
        <v/>
      </c>
    </row>
    <row r="220" spans="20:24" x14ac:dyDescent="0.3">
      <c r="T220" s="45" t="str">
        <f t="shared" si="17"/>
        <v/>
      </c>
      <c r="U220" s="45" t="str">
        <f t="shared" si="18"/>
        <v/>
      </c>
      <c r="V220" s="68" t="str">
        <f t="shared" si="19"/>
        <v/>
      </c>
      <c r="X220" s="66" t="str">
        <f t="shared" si="21"/>
        <v/>
      </c>
    </row>
    <row r="221" spans="20:24" x14ac:dyDescent="0.3">
      <c r="T221" s="45" t="str">
        <f t="shared" si="17"/>
        <v/>
      </c>
      <c r="U221" s="45" t="str">
        <f t="shared" si="18"/>
        <v/>
      </c>
      <c r="V221" s="68" t="str">
        <f t="shared" si="19"/>
        <v/>
      </c>
      <c r="X221" s="66" t="str">
        <f t="shared" si="21"/>
        <v/>
      </c>
    </row>
    <row r="222" spans="20:24" x14ac:dyDescent="0.3">
      <c r="T222" s="45" t="str">
        <f t="shared" si="17"/>
        <v/>
      </c>
      <c r="U222" s="45" t="str">
        <f t="shared" si="18"/>
        <v/>
      </c>
      <c r="V222" s="68" t="str">
        <f t="shared" si="19"/>
        <v/>
      </c>
      <c r="X222" s="66" t="str">
        <f t="shared" si="21"/>
        <v/>
      </c>
    </row>
    <row r="223" spans="20:24" x14ac:dyDescent="0.3">
      <c r="T223" s="45" t="str">
        <f t="shared" si="17"/>
        <v/>
      </c>
      <c r="U223" s="45" t="str">
        <f t="shared" si="18"/>
        <v/>
      </c>
      <c r="V223" s="68" t="str">
        <f t="shared" si="19"/>
        <v/>
      </c>
      <c r="X223" s="66" t="str">
        <f t="shared" si="21"/>
        <v/>
      </c>
    </row>
    <row r="224" spans="20:24" x14ac:dyDescent="0.3">
      <c r="T224" s="45" t="str">
        <f t="shared" si="17"/>
        <v/>
      </c>
      <c r="U224" s="45" t="str">
        <f t="shared" si="18"/>
        <v/>
      </c>
      <c r="V224" s="68" t="str">
        <f t="shared" si="19"/>
        <v/>
      </c>
      <c r="X224" s="66" t="str">
        <f t="shared" si="21"/>
        <v/>
      </c>
    </row>
    <row r="225" spans="20:24" x14ac:dyDescent="0.3">
      <c r="T225" s="45" t="str">
        <f t="shared" si="17"/>
        <v/>
      </c>
      <c r="U225" s="45" t="str">
        <f t="shared" si="18"/>
        <v/>
      </c>
      <c r="V225" s="68" t="str">
        <f t="shared" si="19"/>
        <v/>
      </c>
      <c r="X225" s="66" t="str">
        <f t="shared" si="21"/>
        <v/>
      </c>
    </row>
    <row r="226" spans="20:24" x14ac:dyDescent="0.3">
      <c r="T226" s="45" t="str">
        <f t="shared" si="17"/>
        <v/>
      </c>
      <c r="U226" s="45" t="str">
        <f t="shared" si="18"/>
        <v/>
      </c>
      <c r="V226" s="68" t="str">
        <f t="shared" si="19"/>
        <v/>
      </c>
      <c r="X226" s="66" t="str">
        <f t="shared" si="21"/>
        <v/>
      </c>
    </row>
    <row r="227" spans="20:24" x14ac:dyDescent="0.3">
      <c r="T227" s="45" t="str">
        <f t="shared" ref="T227:T290" si="22">IF(AND(ISBLANK(E227),ISBLANK(F227),ISBLANK(G227),ISBLANK(H227),ISBLANK(I227),ISBLANK(J227),ISBLANK(K227), ISBLANK(L227), ISBLANK(M227), ISBLANK(N227), ISBLANK(O227), ISBLANK(P227), ISBLANK(Q227), ISBLANK(R227), ISBLANK(S227)),"",SUM(G227:S227))</f>
        <v/>
      </c>
      <c r="U227" s="45" t="str">
        <f t="shared" ref="U227:U290" si="23">IF(W227&lt;&gt;0,0,IF(AND(ISBLANK(F227),ISBLANK(G227),ISBLANK(H227),ISBLANK(I227),ISBLANK(J227),ISBLANK(K227), ISBLANK(L227), ISBLANK(M227), ISBLANK(N227), ISBLANK(O227), ISBLANK(P227), ISBLANK(Q227), ISBLANK(R227), ISBLANK(S227)),"", F227-T227))</f>
        <v/>
      </c>
      <c r="V227" s="68" t="str">
        <f t="shared" ref="V227:V290" si="24">IF(AND(ISBLANK(E227),ISBLANK(F227), ISBLANK(G227), ISBLANK(H227), ISBLANK(I227), ISBLANK(J227), ISBLANK(K227), ISBLANK(L227), ISBLANK(M227),ISBLANK(N227), ISBLANK(O227), ISBLANK(P227), ISBLANK(Q227), ISBLANK(R227), ISBLANK(S227)), "",IFERROR(((F227+E227)-U227)/F227,""))</f>
        <v/>
      </c>
      <c r="X227" s="66" t="str">
        <f t="shared" si="21"/>
        <v/>
      </c>
    </row>
    <row r="228" spans="20:24" x14ac:dyDescent="0.3">
      <c r="T228" s="45" t="str">
        <f t="shared" si="22"/>
        <v/>
      </c>
      <c r="U228" s="45" t="str">
        <f t="shared" si="23"/>
        <v/>
      </c>
      <c r="V228" s="68" t="str">
        <f t="shared" si="24"/>
        <v/>
      </c>
      <c r="X228" s="66" t="str">
        <f t="shared" si="21"/>
        <v/>
      </c>
    </row>
    <row r="229" spans="20:24" x14ac:dyDescent="0.3">
      <c r="T229" s="45" t="str">
        <f t="shared" si="22"/>
        <v/>
      </c>
      <c r="U229" s="45" t="str">
        <f t="shared" si="23"/>
        <v/>
      </c>
      <c r="V229" s="68" t="str">
        <f t="shared" si="24"/>
        <v/>
      </c>
      <c r="X229" s="66" t="str">
        <f t="shared" si="21"/>
        <v/>
      </c>
    </row>
    <row r="230" spans="20:24" x14ac:dyDescent="0.3">
      <c r="T230" s="45" t="str">
        <f t="shared" si="22"/>
        <v/>
      </c>
      <c r="U230" s="45" t="str">
        <f t="shared" si="23"/>
        <v/>
      </c>
      <c r="V230" s="68" t="str">
        <f t="shared" si="24"/>
        <v/>
      </c>
      <c r="X230" s="66" t="str">
        <f t="shared" si="21"/>
        <v/>
      </c>
    </row>
    <row r="231" spans="20:24" x14ac:dyDescent="0.3">
      <c r="T231" s="45" t="str">
        <f t="shared" si="22"/>
        <v/>
      </c>
      <c r="U231" s="45" t="str">
        <f t="shared" si="23"/>
        <v/>
      </c>
      <c r="V231" s="68" t="str">
        <f t="shared" si="24"/>
        <v/>
      </c>
      <c r="X231" s="66" t="str">
        <f t="shared" si="21"/>
        <v/>
      </c>
    </row>
    <row r="232" spans="20:24" x14ac:dyDescent="0.3">
      <c r="T232" s="45" t="str">
        <f t="shared" si="22"/>
        <v/>
      </c>
      <c r="U232" s="45" t="str">
        <f t="shared" si="23"/>
        <v/>
      </c>
      <c r="V232" s="68" t="str">
        <f t="shared" si="24"/>
        <v/>
      </c>
      <c r="X232" s="66" t="str">
        <f t="shared" si="21"/>
        <v/>
      </c>
    </row>
    <row r="233" spans="20:24" x14ac:dyDescent="0.3">
      <c r="T233" s="45" t="str">
        <f t="shared" si="22"/>
        <v/>
      </c>
      <c r="U233" s="45" t="str">
        <f t="shared" si="23"/>
        <v/>
      </c>
      <c r="V233" s="68" t="str">
        <f t="shared" si="24"/>
        <v/>
      </c>
      <c r="X233" s="66" t="str">
        <f t="shared" si="21"/>
        <v/>
      </c>
    </row>
    <row r="234" spans="20:24" x14ac:dyDescent="0.3">
      <c r="T234" s="45" t="str">
        <f t="shared" si="22"/>
        <v/>
      </c>
      <c r="U234" s="45" t="str">
        <f t="shared" si="23"/>
        <v/>
      </c>
      <c r="V234" s="68" t="str">
        <f t="shared" si="24"/>
        <v/>
      </c>
      <c r="X234" s="66" t="str">
        <f t="shared" si="21"/>
        <v/>
      </c>
    </row>
    <row r="235" spans="20:24" x14ac:dyDescent="0.3">
      <c r="T235" s="45" t="str">
        <f t="shared" si="22"/>
        <v/>
      </c>
      <c r="U235" s="45" t="str">
        <f t="shared" si="23"/>
        <v/>
      </c>
      <c r="V235" s="68" t="str">
        <f t="shared" si="24"/>
        <v/>
      </c>
      <c r="X235" s="66" t="str">
        <f t="shared" si="21"/>
        <v/>
      </c>
    </row>
    <row r="236" spans="20:24" x14ac:dyDescent="0.3">
      <c r="T236" s="45" t="str">
        <f t="shared" si="22"/>
        <v/>
      </c>
      <c r="U236" s="45" t="str">
        <f t="shared" si="23"/>
        <v/>
      </c>
      <c r="V236" s="68" t="str">
        <f t="shared" si="24"/>
        <v/>
      </c>
      <c r="X236" s="66" t="str">
        <f t="shared" si="21"/>
        <v/>
      </c>
    </row>
    <row r="237" spans="20:24" x14ac:dyDescent="0.3">
      <c r="T237" s="45" t="str">
        <f t="shared" si="22"/>
        <v/>
      </c>
      <c r="U237" s="45" t="str">
        <f t="shared" si="23"/>
        <v/>
      </c>
      <c r="V237" s="68" t="str">
        <f t="shared" si="24"/>
        <v/>
      </c>
      <c r="X237" s="66" t="str">
        <f t="shared" si="21"/>
        <v/>
      </c>
    </row>
    <row r="238" spans="20:24" x14ac:dyDescent="0.3">
      <c r="T238" s="45" t="str">
        <f t="shared" si="22"/>
        <v/>
      </c>
      <c r="U238" s="45" t="str">
        <f t="shared" si="23"/>
        <v/>
      </c>
      <c r="V238" s="68" t="str">
        <f t="shared" si="24"/>
        <v/>
      </c>
      <c r="X238" s="66" t="str">
        <f t="shared" si="21"/>
        <v/>
      </c>
    </row>
    <row r="239" spans="20:24" x14ac:dyDescent="0.3">
      <c r="T239" s="45" t="str">
        <f t="shared" si="22"/>
        <v/>
      </c>
      <c r="U239" s="45" t="str">
        <f t="shared" si="23"/>
        <v/>
      </c>
      <c r="V239" s="68" t="str">
        <f t="shared" si="24"/>
        <v/>
      </c>
      <c r="X239" s="66" t="str">
        <f t="shared" si="21"/>
        <v/>
      </c>
    </row>
    <row r="240" spans="20:24" x14ac:dyDescent="0.3">
      <c r="T240" s="45" t="str">
        <f t="shared" si="22"/>
        <v/>
      </c>
      <c r="U240" s="45" t="str">
        <f t="shared" si="23"/>
        <v/>
      </c>
      <c r="V240" s="68" t="str">
        <f t="shared" si="24"/>
        <v/>
      </c>
      <c r="X240" s="66" t="str">
        <f t="shared" si="21"/>
        <v/>
      </c>
    </row>
    <row r="241" spans="20:24" x14ac:dyDescent="0.3">
      <c r="T241" s="45" t="str">
        <f t="shared" si="22"/>
        <v/>
      </c>
      <c r="U241" s="45" t="str">
        <f t="shared" si="23"/>
        <v/>
      </c>
      <c r="V241" s="68" t="str">
        <f t="shared" si="24"/>
        <v/>
      </c>
      <c r="X241" s="66" t="str">
        <f t="shared" si="21"/>
        <v/>
      </c>
    </row>
    <row r="242" spans="20:24" x14ac:dyDescent="0.3">
      <c r="T242" s="45" t="str">
        <f t="shared" si="22"/>
        <v/>
      </c>
      <c r="U242" s="45" t="str">
        <f t="shared" si="23"/>
        <v/>
      </c>
      <c r="V242" s="68" t="str">
        <f t="shared" si="24"/>
        <v/>
      </c>
      <c r="X242" s="66" t="str">
        <f t="shared" si="21"/>
        <v/>
      </c>
    </row>
    <row r="243" spans="20:24" x14ac:dyDescent="0.3">
      <c r="T243" s="45" t="str">
        <f t="shared" si="22"/>
        <v/>
      </c>
      <c r="U243" s="45" t="str">
        <f t="shared" si="23"/>
        <v/>
      </c>
      <c r="V243" s="68" t="str">
        <f t="shared" si="24"/>
        <v/>
      </c>
      <c r="X243" s="66" t="str">
        <f t="shared" si="21"/>
        <v/>
      </c>
    </row>
    <row r="244" spans="20:24" x14ac:dyDescent="0.3">
      <c r="T244" s="45" t="str">
        <f t="shared" si="22"/>
        <v/>
      </c>
      <c r="U244" s="45" t="str">
        <f t="shared" si="23"/>
        <v/>
      </c>
      <c r="V244" s="68" t="str">
        <f t="shared" si="24"/>
        <v/>
      </c>
      <c r="X244" s="66" t="str">
        <f t="shared" si="21"/>
        <v/>
      </c>
    </row>
    <row r="245" spans="20:24" x14ac:dyDescent="0.3">
      <c r="T245" s="45" t="str">
        <f t="shared" si="22"/>
        <v/>
      </c>
      <c r="U245" s="45" t="str">
        <f t="shared" si="23"/>
        <v/>
      </c>
      <c r="V245" s="68" t="str">
        <f t="shared" si="24"/>
        <v/>
      </c>
      <c r="X245" s="66" t="str">
        <f t="shared" si="21"/>
        <v/>
      </c>
    </row>
    <row r="246" spans="20:24" x14ac:dyDescent="0.3">
      <c r="T246" s="45" t="str">
        <f t="shared" si="22"/>
        <v/>
      </c>
      <c r="U246" s="45" t="str">
        <f t="shared" si="23"/>
        <v/>
      </c>
      <c r="V246" s="68" t="str">
        <f t="shared" si="24"/>
        <v/>
      </c>
      <c r="X246" s="66" t="str">
        <f t="shared" si="21"/>
        <v/>
      </c>
    </row>
    <row r="247" spans="20:24" x14ac:dyDescent="0.3">
      <c r="T247" s="45" t="str">
        <f t="shared" si="22"/>
        <v/>
      </c>
      <c r="U247" s="45" t="str">
        <f t="shared" si="23"/>
        <v/>
      </c>
      <c r="V247" s="68" t="str">
        <f t="shared" si="24"/>
        <v/>
      </c>
      <c r="X247" s="66" t="str">
        <f t="shared" si="21"/>
        <v/>
      </c>
    </row>
    <row r="248" spans="20:24" x14ac:dyDescent="0.3">
      <c r="T248" s="45" t="str">
        <f t="shared" si="22"/>
        <v/>
      </c>
      <c r="U248" s="45" t="str">
        <f t="shared" si="23"/>
        <v/>
      </c>
      <c r="V248" s="68" t="str">
        <f t="shared" si="24"/>
        <v/>
      </c>
      <c r="X248" s="66" t="str">
        <f t="shared" si="21"/>
        <v/>
      </c>
    </row>
    <row r="249" spans="20:24" x14ac:dyDescent="0.3">
      <c r="T249" s="45" t="str">
        <f t="shared" si="22"/>
        <v/>
      </c>
      <c r="U249" s="45" t="str">
        <f t="shared" si="23"/>
        <v/>
      </c>
      <c r="V249" s="68" t="str">
        <f t="shared" si="24"/>
        <v/>
      </c>
      <c r="X249" s="66" t="str">
        <f t="shared" si="21"/>
        <v/>
      </c>
    </row>
    <row r="250" spans="20:24" x14ac:dyDescent="0.3">
      <c r="T250" s="45" t="str">
        <f t="shared" si="22"/>
        <v/>
      </c>
      <c r="U250" s="45" t="str">
        <f t="shared" si="23"/>
        <v/>
      </c>
      <c r="V250" s="68" t="str">
        <f t="shared" si="24"/>
        <v/>
      </c>
      <c r="X250" s="66" t="str">
        <f t="shared" si="21"/>
        <v/>
      </c>
    </row>
    <row r="251" spans="20:24" x14ac:dyDescent="0.3">
      <c r="T251" s="45" t="str">
        <f t="shared" si="22"/>
        <v/>
      </c>
      <c r="U251" s="45" t="str">
        <f t="shared" si="23"/>
        <v/>
      </c>
      <c r="V251" s="68" t="str">
        <f t="shared" si="24"/>
        <v/>
      </c>
      <c r="X251" s="66" t="str">
        <f t="shared" ref="X251:X282" si="25">IF(W251&lt;&gt;"",F251 - (SUM(G251:S251)),"")</f>
        <v/>
      </c>
    </row>
    <row r="252" spans="20:24" x14ac:dyDescent="0.3">
      <c r="T252" s="45" t="str">
        <f t="shared" si="22"/>
        <v/>
      </c>
      <c r="U252" s="45" t="str">
        <f t="shared" si="23"/>
        <v/>
      </c>
      <c r="V252" s="68" t="str">
        <f t="shared" si="24"/>
        <v/>
      </c>
      <c r="X252" s="66" t="str">
        <f t="shared" si="25"/>
        <v/>
      </c>
    </row>
    <row r="253" spans="20:24" x14ac:dyDescent="0.3">
      <c r="T253" s="45" t="str">
        <f t="shared" si="22"/>
        <v/>
      </c>
      <c r="U253" s="45" t="str">
        <f t="shared" si="23"/>
        <v/>
      </c>
      <c r="V253" s="68" t="str">
        <f t="shared" si="24"/>
        <v/>
      </c>
      <c r="X253" s="66" t="str">
        <f t="shared" si="25"/>
        <v/>
      </c>
    </row>
    <row r="254" spans="20:24" x14ac:dyDescent="0.3">
      <c r="T254" s="45" t="str">
        <f t="shared" si="22"/>
        <v/>
      </c>
      <c r="U254" s="45" t="str">
        <f t="shared" si="23"/>
        <v/>
      </c>
      <c r="V254" s="68" t="str">
        <f t="shared" si="24"/>
        <v/>
      </c>
      <c r="X254" s="66" t="str">
        <f t="shared" si="25"/>
        <v/>
      </c>
    </row>
    <row r="255" spans="20:24" x14ac:dyDescent="0.3">
      <c r="T255" s="45" t="str">
        <f t="shared" si="22"/>
        <v/>
      </c>
      <c r="U255" s="45" t="str">
        <f t="shared" si="23"/>
        <v/>
      </c>
      <c r="V255" s="68" t="str">
        <f t="shared" si="24"/>
        <v/>
      </c>
      <c r="X255" s="66" t="str">
        <f t="shared" si="25"/>
        <v/>
      </c>
    </row>
    <row r="256" spans="20:24" x14ac:dyDescent="0.3">
      <c r="T256" s="45" t="str">
        <f t="shared" si="22"/>
        <v/>
      </c>
      <c r="U256" s="45" t="str">
        <f t="shared" si="23"/>
        <v/>
      </c>
      <c r="V256" s="68" t="str">
        <f t="shared" si="24"/>
        <v/>
      </c>
      <c r="X256" s="66" t="str">
        <f t="shared" si="25"/>
        <v/>
      </c>
    </row>
    <row r="257" spans="20:24" x14ac:dyDescent="0.3">
      <c r="T257" s="45" t="str">
        <f t="shared" si="22"/>
        <v/>
      </c>
      <c r="U257" s="45" t="str">
        <f t="shared" si="23"/>
        <v/>
      </c>
      <c r="V257" s="68" t="str">
        <f t="shared" si="24"/>
        <v/>
      </c>
      <c r="X257" s="66" t="str">
        <f t="shared" si="25"/>
        <v/>
      </c>
    </row>
    <row r="258" spans="20:24" x14ac:dyDescent="0.3">
      <c r="T258" s="45" t="str">
        <f t="shared" si="22"/>
        <v/>
      </c>
      <c r="U258" s="45" t="str">
        <f t="shared" si="23"/>
        <v/>
      </c>
      <c r="V258" s="68" t="str">
        <f t="shared" si="24"/>
        <v/>
      </c>
      <c r="X258" s="66" t="str">
        <f t="shared" si="25"/>
        <v/>
      </c>
    </row>
    <row r="259" spans="20:24" x14ac:dyDescent="0.3">
      <c r="T259" s="45" t="str">
        <f t="shared" si="22"/>
        <v/>
      </c>
      <c r="U259" s="45" t="str">
        <f t="shared" si="23"/>
        <v/>
      </c>
      <c r="V259" s="68" t="str">
        <f t="shared" si="24"/>
        <v/>
      </c>
      <c r="X259" s="66" t="str">
        <f t="shared" si="25"/>
        <v/>
      </c>
    </row>
    <row r="260" spans="20:24" x14ac:dyDescent="0.3">
      <c r="T260" s="45" t="str">
        <f t="shared" si="22"/>
        <v/>
      </c>
      <c r="U260" s="45" t="str">
        <f t="shared" si="23"/>
        <v/>
      </c>
      <c r="V260" s="68" t="str">
        <f t="shared" si="24"/>
        <v/>
      </c>
      <c r="X260" s="66" t="str">
        <f t="shared" si="25"/>
        <v/>
      </c>
    </row>
    <row r="261" spans="20:24" x14ac:dyDescent="0.3">
      <c r="T261" s="45" t="str">
        <f t="shared" si="22"/>
        <v/>
      </c>
      <c r="U261" s="45" t="str">
        <f t="shared" si="23"/>
        <v/>
      </c>
      <c r="V261" s="68" t="str">
        <f t="shared" si="24"/>
        <v/>
      </c>
      <c r="X261" s="66" t="str">
        <f t="shared" si="25"/>
        <v/>
      </c>
    </row>
    <row r="262" spans="20:24" x14ac:dyDescent="0.3">
      <c r="T262" s="45" t="str">
        <f t="shared" si="22"/>
        <v/>
      </c>
      <c r="U262" s="45" t="str">
        <f t="shared" si="23"/>
        <v/>
      </c>
      <c r="V262" s="68" t="str">
        <f t="shared" si="24"/>
        <v/>
      </c>
      <c r="X262" s="66" t="str">
        <f t="shared" si="25"/>
        <v/>
      </c>
    </row>
    <row r="263" spans="20:24" x14ac:dyDescent="0.3">
      <c r="T263" s="45" t="str">
        <f t="shared" si="22"/>
        <v/>
      </c>
      <c r="U263" s="45" t="str">
        <f t="shared" si="23"/>
        <v/>
      </c>
      <c r="V263" s="68" t="str">
        <f t="shared" si="24"/>
        <v/>
      </c>
      <c r="X263" s="66" t="str">
        <f t="shared" si="25"/>
        <v/>
      </c>
    </row>
    <row r="264" spans="20:24" x14ac:dyDescent="0.3">
      <c r="T264" s="45" t="str">
        <f t="shared" si="22"/>
        <v/>
      </c>
      <c r="U264" s="45" t="str">
        <f t="shared" si="23"/>
        <v/>
      </c>
      <c r="V264" s="68" t="str">
        <f t="shared" si="24"/>
        <v/>
      </c>
      <c r="X264" s="66" t="str">
        <f t="shared" si="25"/>
        <v/>
      </c>
    </row>
    <row r="265" spans="20:24" x14ac:dyDescent="0.3">
      <c r="T265" s="45" t="str">
        <f t="shared" si="22"/>
        <v/>
      </c>
      <c r="U265" s="45" t="str">
        <f t="shared" si="23"/>
        <v/>
      </c>
      <c r="V265" s="68" t="str">
        <f t="shared" si="24"/>
        <v/>
      </c>
      <c r="X265" s="66" t="str">
        <f t="shared" si="25"/>
        <v/>
      </c>
    </row>
    <row r="266" spans="20:24" x14ac:dyDescent="0.3">
      <c r="T266" s="45" t="str">
        <f t="shared" si="22"/>
        <v/>
      </c>
      <c r="U266" s="45" t="str">
        <f t="shared" si="23"/>
        <v/>
      </c>
      <c r="V266" s="68" t="str">
        <f t="shared" si="24"/>
        <v/>
      </c>
      <c r="X266" s="66" t="str">
        <f t="shared" si="25"/>
        <v/>
      </c>
    </row>
    <row r="267" spans="20:24" x14ac:dyDescent="0.3">
      <c r="T267" s="45" t="str">
        <f t="shared" si="22"/>
        <v/>
      </c>
      <c r="U267" s="45" t="str">
        <f t="shared" si="23"/>
        <v/>
      </c>
      <c r="V267" s="68" t="str">
        <f t="shared" si="24"/>
        <v/>
      </c>
      <c r="X267" s="66" t="str">
        <f t="shared" si="25"/>
        <v/>
      </c>
    </row>
    <row r="268" spans="20:24" x14ac:dyDescent="0.3">
      <c r="T268" s="45" t="str">
        <f t="shared" si="22"/>
        <v/>
      </c>
      <c r="U268" s="45" t="str">
        <f t="shared" si="23"/>
        <v/>
      </c>
      <c r="V268" s="68" t="str">
        <f t="shared" si="24"/>
        <v/>
      </c>
      <c r="X268" s="66" t="str">
        <f t="shared" si="25"/>
        <v/>
      </c>
    </row>
    <row r="269" spans="20:24" x14ac:dyDescent="0.3">
      <c r="T269" s="45" t="str">
        <f t="shared" si="22"/>
        <v/>
      </c>
      <c r="U269" s="45" t="str">
        <f t="shared" si="23"/>
        <v/>
      </c>
      <c r="V269" s="68" t="str">
        <f t="shared" si="24"/>
        <v/>
      </c>
      <c r="X269" s="66" t="str">
        <f t="shared" si="25"/>
        <v/>
      </c>
    </row>
    <row r="270" spans="20:24" x14ac:dyDescent="0.3">
      <c r="T270" s="45" t="str">
        <f t="shared" si="22"/>
        <v/>
      </c>
      <c r="U270" s="45" t="str">
        <f t="shared" si="23"/>
        <v/>
      </c>
      <c r="V270" s="68" t="str">
        <f t="shared" si="24"/>
        <v/>
      </c>
      <c r="X270" s="66" t="str">
        <f t="shared" si="25"/>
        <v/>
      </c>
    </row>
    <row r="271" spans="20:24" x14ac:dyDescent="0.3">
      <c r="T271" s="45" t="str">
        <f t="shared" si="22"/>
        <v/>
      </c>
      <c r="U271" s="45" t="str">
        <f t="shared" si="23"/>
        <v/>
      </c>
      <c r="V271" s="68" t="str">
        <f t="shared" si="24"/>
        <v/>
      </c>
      <c r="X271" s="66" t="str">
        <f t="shared" si="25"/>
        <v/>
      </c>
    </row>
    <row r="272" spans="20:24" x14ac:dyDescent="0.3">
      <c r="T272" s="45" t="str">
        <f t="shared" si="22"/>
        <v/>
      </c>
      <c r="U272" s="45" t="str">
        <f t="shared" si="23"/>
        <v/>
      </c>
      <c r="V272" s="68" t="str">
        <f t="shared" si="24"/>
        <v/>
      </c>
      <c r="X272" s="66" t="str">
        <f t="shared" si="25"/>
        <v/>
      </c>
    </row>
    <row r="273" spans="20:24" x14ac:dyDescent="0.3">
      <c r="T273" s="45" t="str">
        <f t="shared" si="22"/>
        <v/>
      </c>
      <c r="U273" s="45" t="str">
        <f t="shared" si="23"/>
        <v/>
      </c>
      <c r="V273" s="68" t="str">
        <f t="shared" si="24"/>
        <v/>
      </c>
      <c r="X273" s="66" t="str">
        <f t="shared" si="25"/>
        <v/>
      </c>
    </row>
    <row r="274" spans="20:24" x14ac:dyDescent="0.3">
      <c r="T274" s="45" t="str">
        <f t="shared" si="22"/>
        <v/>
      </c>
      <c r="U274" s="45" t="str">
        <f t="shared" si="23"/>
        <v/>
      </c>
      <c r="V274" s="68" t="str">
        <f t="shared" si="24"/>
        <v/>
      </c>
      <c r="X274" s="66" t="str">
        <f t="shared" si="25"/>
        <v/>
      </c>
    </row>
    <row r="275" spans="20:24" x14ac:dyDescent="0.3">
      <c r="T275" s="45" t="str">
        <f t="shared" si="22"/>
        <v/>
      </c>
      <c r="U275" s="45" t="str">
        <f t="shared" si="23"/>
        <v/>
      </c>
      <c r="V275" s="68" t="str">
        <f t="shared" si="24"/>
        <v/>
      </c>
      <c r="X275" s="66" t="str">
        <f t="shared" si="25"/>
        <v/>
      </c>
    </row>
    <row r="276" spans="20:24" x14ac:dyDescent="0.3">
      <c r="T276" s="45" t="str">
        <f t="shared" si="22"/>
        <v/>
      </c>
      <c r="U276" s="45" t="str">
        <f t="shared" si="23"/>
        <v/>
      </c>
      <c r="V276" s="68" t="str">
        <f t="shared" si="24"/>
        <v/>
      </c>
      <c r="X276" s="66" t="str">
        <f t="shared" si="25"/>
        <v/>
      </c>
    </row>
    <row r="277" spans="20:24" x14ac:dyDescent="0.3">
      <c r="T277" s="45" t="str">
        <f t="shared" si="22"/>
        <v/>
      </c>
      <c r="U277" s="45" t="str">
        <f t="shared" si="23"/>
        <v/>
      </c>
      <c r="V277" s="68" t="str">
        <f t="shared" si="24"/>
        <v/>
      </c>
      <c r="X277" s="66" t="str">
        <f t="shared" si="25"/>
        <v/>
      </c>
    </row>
    <row r="278" spans="20:24" x14ac:dyDescent="0.3">
      <c r="T278" s="45" t="str">
        <f t="shared" si="22"/>
        <v/>
      </c>
      <c r="U278" s="45" t="str">
        <f t="shared" si="23"/>
        <v/>
      </c>
      <c r="V278" s="68" t="str">
        <f t="shared" si="24"/>
        <v/>
      </c>
      <c r="X278" s="66" t="str">
        <f t="shared" si="25"/>
        <v/>
      </c>
    </row>
    <row r="279" spans="20:24" x14ac:dyDescent="0.3">
      <c r="T279" s="45" t="str">
        <f t="shared" si="22"/>
        <v/>
      </c>
      <c r="U279" s="45" t="str">
        <f t="shared" si="23"/>
        <v/>
      </c>
      <c r="V279" s="68" t="str">
        <f t="shared" si="24"/>
        <v/>
      </c>
      <c r="X279" s="66" t="str">
        <f t="shared" si="25"/>
        <v/>
      </c>
    </row>
    <row r="280" spans="20:24" x14ac:dyDescent="0.3">
      <c r="T280" s="45" t="str">
        <f t="shared" si="22"/>
        <v/>
      </c>
      <c r="U280" s="45" t="str">
        <f t="shared" si="23"/>
        <v/>
      </c>
      <c r="V280" s="68" t="str">
        <f t="shared" si="24"/>
        <v/>
      </c>
      <c r="X280" s="66" t="str">
        <f t="shared" si="25"/>
        <v/>
      </c>
    </row>
    <row r="281" spans="20:24" x14ac:dyDescent="0.3">
      <c r="T281" s="45" t="str">
        <f t="shared" si="22"/>
        <v/>
      </c>
      <c r="U281" s="45" t="str">
        <f t="shared" si="23"/>
        <v/>
      </c>
      <c r="V281" s="68" t="str">
        <f t="shared" si="24"/>
        <v/>
      </c>
      <c r="X281" s="66" t="str">
        <f t="shared" si="25"/>
        <v/>
      </c>
    </row>
    <row r="282" spans="20:24" x14ac:dyDescent="0.3">
      <c r="T282" s="45" t="str">
        <f t="shared" si="22"/>
        <v/>
      </c>
      <c r="U282" s="45" t="str">
        <f t="shared" si="23"/>
        <v/>
      </c>
      <c r="V282" s="68" t="str">
        <f t="shared" si="24"/>
        <v/>
      </c>
      <c r="X282" s="66" t="str">
        <f t="shared" si="25"/>
        <v/>
      </c>
    </row>
    <row r="283" spans="20:24" x14ac:dyDescent="0.3">
      <c r="T283" s="45" t="str">
        <f t="shared" si="22"/>
        <v/>
      </c>
      <c r="U283" s="45" t="str">
        <f t="shared" si="23"/>
        <v/>
      </c>
      <c r="V283" s="68" t="str">
        <f t="shared" si="24"/>
        <v/>
      </c>
      <c r="X283" s="66" t="str">
        <f t="shared" ref="X283:X300" si="26">IF(W283&lt;&gt;"",F283 - (SUM(G283:S283)),"")</f>
        <v/>
      </c>
    </row>
    <row r="284" spans="20:24" x14ac:dyDescent="0.3">
      <c r="T284" s="45" t="str">
        <f t="shared" si="22"/>
        <v/>
      </c>
      <c r="U284" s="45" t="str">
        <f t="shared" si="23"/>
        <v/>
      </c>
      <c r="V284" s="68" t="str">
        <f t="shared" si="24"/>
        <v/>
      </c>
      <c r="X284" s="66" t="str">
        <f t="shared" si="26"/>
        <v/>
      </c>
    </row>
    <row r="285" spans="20:24" x14ac:dyDescent="0.3">
      <c r="T285" s="45" t="str">
        <f t="shared" si="22"/>
        <v/>
      </c>
      <c r="U285" s="45" t="str">
        <f t="shared" si="23"/>
        <v/>
      </c>
      <c r="V285" s="68" t="str">
        <f t="shared" si="24"/>
        <v/>
      </c>
      <c r="X285" s="66" t="str">
        <f t="shared" si="26"/>
        <v/>
      </c>
    </row>
    <row r="286" spans="20:24" x14ac:dyDescent="0.3">
      <c r="T286" s="45" t="str">
        <f t="shared" si="22"/>
        <v/>
      </c>
      <c r="U286" s="45" t="str">
        <f t="shared" si="23"/>
        <v/>
      </c>
      <c r="V286" s="68" t="str">
        <f t="shared" si="24"/>
        <v/>
      </c>
      <c r="X286" s="66" t="str">
        <f t="shared" si="26"/>
        <v/>
      </c>
    </row>
    <row r="287" spans="20:24" x14ac:dyDescent="0.3">
      <c r="T287" s="45" t="str">
        <f t="shared" si="22"/>
        <v/>
      </c>
      <c r="U287" s="45" t="str">
        <f t="shared" si="23"/>
        <v/>
      </c>
      <c r="V287" s="68" t="str">
        <f t="shared" si="24"/>
        <v/>
      </c>
      <c r="X287" s="66" t="str">
        <f t="shared" si="26"/>
        <v/>
      </c>
    </row>
    <row r="288" spans="20:24" x14ac:dyDescent="0.3">
      <c r="T288" s="45" t="str">
        <f t="shared" si="22"/>
        <v/>
      </c>
      <c r="U288" s="45" t="str">
        <f t="shared" si="23"/>
        <v/>
      </c>
      <c r="V288" s="68" t="str">
        <f t="shared" si="24"/>
        <v/>
      </c>
      <c r="X288" s="66" t="str">
        <f t="shared" si="26"/>
        <v/>
      </c>
    </row>
    <row r="289" spans="20:24" x14ac:dyDescent="0.3">
      <c r="T289" s="45" t="str">
        <f t="shared" si="22"/>
        <v/>
      </c>
      <c r="U289" s="45" t="str">
        <f t="shared" si="23"/>
        <v/>
      </c>
      <c r="V289" s="68" t="str">
        <f t="shared" si="24"/>
        <v/>
      </c>
      <c r="X289" s="66" t="str">
        <f t="shared" si="26"/>
        <v/>
      </c>
    </row>
    <row r="290" spans="20:24" x14ac:dyDescent="0.3">
      <c r="T290" s="45" t="str">
        <f t="shared" si="22"/>
        <v/>
      </c>
      <c r="U290" s="45" t="str">
        <f t="shared" si="23"/>
        <v/>
      </c>
      <c r="V290" s="68" t="str">
        <f t="shared" si="24"/>
        <v/>
      </c>
      <c r="X290" s="66" t="str">
        <f t="shared" si="26"/>
        <v/>
      </c>
    </row>
    <row r="291" spans="20:24" x14ac:dyDescent="0.3">
      <c r="T291" s="45" t="str">
        <f t="shared" ref="T291:T301" si="27">IF(AND(ISBLANK(E291),ISBLANK(F291),ISBLANK(G291),ISBLANK(H291),ISBLANK(I291),ISBLANK(J291),ISBLANK(K291), ISBLANK(L291), ISBLANK(M291), ISBLANK(N291), ISBLANK(O291), ISBLANK(P291), ISBLANK(Q291), ISBLANK(R291), ISBLANK(S291)),"",SUM(G291:S291))</f>
        <v/>
      </c>
      <c r="U291" s="45" t="str">
        <f t="shared" ref="U291:U300" si="28">IF(W291&lt;&gt;0,0,IF(AND(ISBLANK(F291),ISBLANK(G291),ISBLANK(H291),ISBLANK(I291),ISBLANK(J291),ISBLANK(K291), ISBLANK(L291), ISBLANK(M291), ISBLANK(N291), ISBLANK(O291), ISBLANK(P291), ISBLANK(Q291), ISBLANK(R291), ISBLANK(S291)),"", F291-T291))</f>
        <v/>
      </c>
      <c r="V291" s="68" t="str">
        <f t="shared" ref="V291:V300" si="29">IF(AND(ISBLANK(E291),ISBLANK(F291), ISBLANK(G291), ISBLANK(H291), ISBLANK(I291), ISBLANK(J291), ISBLANK(K291), ISBLANK(L291), ISBLANK(M291),ISBLANK(N291), ISBLANK(O291), ISBLANK(P291), ISBLANK(Q291), ISBLANK(R291), ISBLANK(S291)), "",IFERROR(((F291+E291)-U291)/F291,""))</f>
        <v/>
      </c>
      <c r="X291" s="66" t="str">
        <f t="shared" si="26"/>
        <v/>
      </c>
    </row>
    <row r="292" spans="20:24" x14ac:dyDescent="0.3">
      <c r="T292" s="45" t="str">
        <f t="shared" si="27"/>
        <v/>
      </c>
      <c r="U292" s="45" t="str">
        <f t="shared" si="28"/>
        <v/>
      </c>
      <c r="V292" s="68" t="str">
        <f t="shared" si="29"/>
        <v/>
      </c>
      <c r="X292" s="66" t="str">
        <f t="shared" si="26"/>
        <v/>
      </c>
    </row>
    <row r="293" spans="20:24" x14ac:dyDescent="0.3">
      <c r="T293" s="45" t="str">
        <f t="shared" si="27"/>
        <v/>
      </c>
      <c r="U293" s="45" t="str">
        <f t="shared" si="28"/>
        <v/>
      </c>
      <c r="V293" s="68" t="str">
        <f t="shared" si="29"/>
        <v/>
      </c>
      <c r="X293" s="66" t="str">
        <f t="shared" si="26"/>
        <v/>
      </c>
    </row>
    <row r="294" spans="20:24" x14ac:dyDescent="0.3">
      <c r="T294" s="45" t="str">
        <f t="shared" si="27"/>
        <v/>
      </c>
      <c r="U294" s="45" t="str">
        <f t="shared" si="28"/>
        <v/>
      </c>
      <c r="V294" s="68" t="str">
        <f t="shared" si="29"/>
        <v/>
      </c>
      <c r="X294" s="66" t="str">
        <f t="shared" si="26"/>
        <v/>
      </c>
    </row>
    <row r="295" spans="20:24" x14ac:dyDescent="0.3">
      <c r="T295" s="45" t="str">
        <f t="shared" si="27"/>
        <v/>
      </c>
      <c r="U295" s="45" t="str">
        <f t="shared" si="28"/>
        <v/>
      </c>
      <c r="V295" s="68" t="str">
        <f t="shared" si="29"/>
        <v/>
      </c>
      <c r="X295" s="66" t="str">
        <f t="shared" si="26"/>
        <v/>
      </c>
    </row>
    <row r="296" spans="20:24" x14ac:dyDescent="0.3">
      <c r="T296" s="45" t="str">
        <f t="shared" si="27"/>
        <v/>
      </c>
      <c r="U296" s="45" t="str">
        <f t="shared" si="28"/>
        <v/>
      </c>
      <c r="V296" s="68" t="str">
        <f t="shared" si="29"/>
        <v/>
      </c>
      <c r="X296" s="66" t="str">
        <f t="shared" si="26"/>
        <v/>
      </c>
    </row>
    <row r="297" spans="20:24" x14ac:dyDescent="0.3">
      <c r="T297" s="45" t="str">
        <f t="shared" si="27"/>
        <v/>
      </c>
      <c r="U297" s="45" t="str">
        <f t="shared" si="28"/>
        <v/>
      </c>
      <c r="V297" s="68" t="str">
        <f t="shared" si="29"/>
        <v/>
      </c>
      <c r="X297" s="66" t="str">
        <f t="shared" si="26"/>
        <v/>
      </c>
    </row>
    <row r="298" spans="20:24" x14ac:dyDescent="0.3">
      <c r="T298" s="45" t="str">
        <f t="shared" si="27"/>
        <v/>
      </c>
      <c r="U298" s="45" t="str">
        <f t="shared" si="28"/>
        <v/>
      </c>
      <c r="V298" s="68" t="str">
        <f t="shared" si="29"/>
        <v/>
      </c>
      <c r="X298" s="66" t="str">
        <f t="shared" si="26"/>
        <v/>
      </c>
    </row>
    <row r="299" spans="20:24" x14ac:dyDescent="0.3">
      <c r="T299" s="45" t="str">
        <f t="shared" si="27"/>
        <v/>
      </c>
      <c r="U299" s="45" t="str">
        <f t="shared" si="28"/>
        <v/>
      </c>
      <c r="V299" s="68" t="str">
        <f t="shared" si="29"/>
        <v/>
      </c>
      <c r="X299" s="66" t="str">
        <f t="shared" si="26"/>
        <v/>
      </c>
    </row>
    <row r="300" spans="20:24" x14ac:dyDescent="0.3">
      <c r="T300" s="45" t="str">
        <f t="shared" si="27"/>
        <v/>
      </c>
      <c r="U300" s="45" t="str">
        <f t="shared" si="28"/>
        <v/>
      </c>
      <c r="V300" s="68" t="str">
        <f t="shared" si="29"/>
        <v/>
      </c>
      <c r="X300" s="66" t="str">
        <f t="shared" si="26"/>
        <v/>
      </c>
    </row>
    <row r="301" spans="20:24" x14ac:dyDescent="0.3">
      <c r="T301" s="46" t="str">
        <f t="shared" si="27"/>
        <v/>
      </c>
    </row>
  </sheetData>
  <sheetProtection sheet="1" formatColumns="0" formatRows="0" insertHyperlinks="0" sort="0" autoFilter="0" pivotTables="0"/>
  <protectedRanges>
    <protectedRange sqref="A1:G1048576 H1:I25 H27:I1048576 H26 K31:L31 M1:X1048576 J1:L30 J32:L1048576" name="Περιοχή1"/>
  </protectedRanges>
  <autoFilter ref="A3:X301" xr:uid="{00000000-0009-0000-0000-000001000000}">
    <sortState xmlns:xlrd2="http://schemas.microsoft.com/office/spreadsheetml/2017/richdata2" ref="A4:X301">
      <sortCondition ref="A3:A301"/>
    </sortState>
  </autoFilter>
  <mergeCells count="1">
    <mergeCell ref="A1:X1"/>
  </mergeCells>
  <conditionalFormatting sqref="H4:H24 I4:I25 J4:L30 A4:G1048576 M4:U1048576 H26:H1048576 I27:I1048576 K31:L31 J32:L1048576">
    <cfRule type="expression" dxfId="13" priority="2" stopIfTrue="1">
      <formula>$W4&lt;&gt;""</formula>
    </cfRule>
    <cfRule type="expression" dxfId="12" priority="3" stopIfTrue="1">
      <formula>AND($B4="", $A4&lt;&gt;"")</formula>
    </cfRule>
    <cfRule type="expression" dxfId="11" priority="4" stopIfTrue="1">
      <formula>$U4&lt;0</formula>
    </cfRule>
    <cfRule type="expression" dxfId="10" priority="5">
      <formula>AND($U4&gt;0, $U4&lt;&gt;"")</formula>
    </cfRule>
    <cfRule type="expression" dxfId="9" priority="6">
      <formula>AND($U4=0, $U4&lt;&gt;"")</formula>
    </cfRule>
  </conditionalFormatting>
  <conditionalFormatting sqref="H25">
    <cfRule type="expression" dxfId="8" priority="17" stopIfTrue="1">
      <formula>$W26&lt;&gt;""</formula>
    </cfRule>
    <cfRule type="expression" dxfId="7" priority="18" stopIfTrue="1">
      <formula>AND($B26="", $A26&lt;&gt;"")</formula>
    </cfRule>
    <cfRule type="expression" dxfId="6" priority="19" stopIfTrue="1">
      <formula>$U26&lt;0</formula>
    </cfRule>
    <cfRule type="expression" dxfId="5" priority="20">
      <formula>AND($U26&gt;0, $U26&lt;&gt;"")</formula>
    </cfRule>
    <cfRule type="expression" dxfId="4" priority="21">
      <formula>AND($U26=0, $U26&lt;&gt;"")</formula>
    </cfRule>
  </conditionalFormatting>
  <conditionalFormatting sqref="V2:V1048576">
    <cfRule type="dataBar" priority="1">
      <dataBar>
        <cfvo type="num" val="0"/>
        <cfvo type="num" val="1"/>
        <color rgb="FFF79646"/>
      </dataBar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QA301"/>
  <sheetViews>
    <sheetView zoomScale="90" zoomScaleNormal="90" workbookViewId="0">
      <pane ySplit="3" topLeftCell="A4" activePane="bottomLeft" state="frozen"/>
      <selection activeCell="Q1" sqref="Q1"/>
      <selection pane="bottomLeft" activeCell="Q19" sqref="Q19"/>
    </sheetView>
  </sheetViews>
  <sheetFormatPr defaultColWidth="13" defaultRowHeight="17.25" x14ac:dyDescent="0.3"/>
  <cols>
    <col min="1" max="1" width="41.7109375" style="14" customWidth="1"/>
    <col min="2" max="2" width="11.28515625" style="20" customWidth="1"/>
    <col min="3" max="3" width="10.85546875" style="20" customWidth="1"/>
    <col min="4" max="4" width="11" style="20" customWidth="1"/>
    <col min="5" max="5" width="11.28515625" style="20" bestFit="1" customWidth="1"/>
    <col min="6" max="6" width="8" style="22" customWidth="1"/>
    <col min="7" max="7" width="11.42578125" style="20" bestFit="1" customWidth="1"/>
    <col min="8" max="8" width="11.7109375" style="20" bestFit="1" customWidth="1"/>
    <col min="9" max="9" width="11.28515625" style="20" bestFit="1" customWidth="1"/>
    <col min="10" max="10" width="11" style="20" bestFit="1" customWidth="1"/>
    <col min="11" max="11" width="11.7109375" style="20" bestFit="1" customWidth="1"/>
    <col min="12" max="12" width="12.42578125" style="20" bestFit="1" customWidth="1"/>
    <col min="13" max="14" width="11.42578125" style="20" bestFit="1" customWidth="1"/>
    <col min="15" max="15" width="12.7109375" style="20" bestFit="1" customWidth="1"/>
    <col min="16" max="17" width="7.42578125" style="20" customWidth="1"/>
    <col min="18" max="18" width="11.42578125" style="26" bestFit="1" customWidth="1"/>
    <col min="19" max="19" width="12.42578125" style="27" customWidth="1"/>
    <col min="20" max="20" width="26.42578125" style="28" customWidth="1"/>
    <col min="21" max="21" width="13" style="20"/>
    <col min="22" max="22" width="23.85546875" style="29" bestFit="1" customWidth="1"/>
    <col min="23" max="16384" width="13" style="1"/>
  </cols>
  <sheetData>
    <row r="1" spans="1:443" ht="18.75" x14ac:dyDescent="0.3">
      <c r="A1" s="103" t="s">
        <v>21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5"/>
    </row>
    <row r="2" spans="1:443" s="6" customFormat="1" ht="16.5" customHeight="1" x14ac:dyDescent="0.3">
      <c r="A2" s="2" t="s">
        <v>0</v>
      </c>
      <c r="B2" s="3"/>
      <c r="C2" s="3">
        <f t="shared" ref="C2:R2" si="0">SUM(C4:C1048576)</f>
        <v>515</v>
      </c>
      <c r="D2" s="3">
        <f t="shared" si="0"/>
        <v>30285</v>
      </c>
      <c r="E2" s="3">
        <f t="shared" si="0"/>
        <v>0</v>
      </c>
      <c r="F2" s="3">
        <f t="shared" si="0"/>
        <v>2085</v>
      </c>
      <c r="G2" s="3">
        <f t="shared" si="0"/>
        <v>2930</v>
      </c>
      <c r="H2" s="3">
        <f t="shared" si="0"/>
        <v>2810</v>
      </c>
      <c r="I2" s="3">
        <f t="shared" si="0"/>
        <v>2810</v>
      </c>
      <c r="J2" s="3">
        <f t="shared" si="0"/>
        <v>2810</v>
      </c>
      <c r="K2" s="3">
        <f t="shared" si="0"/>
        <v>2680</v>
      </c>
      <c r="L2" s="3">
        <f t="shared" si="0"/>
        <v>2550</v>
      </c>
      <c r="M2" s="3">
        <f t="shared" si="0"/>
        <v>2605</v>
      </c>
      <c r="N2" s="3">
        <f t="shared" si="0"/>
        <v>2631</v>
      </c>
      <c r="O2" s="3">
        <f t="shared" si="0"/>
        <v>524</v>
      </c>
      <c r="P2" s="3">
        <f t="shared" si="0"/>
        <v>0</v>
      </c>
      <c r="Q2" s="3">
        <f t="shared" si="0"/>
        <v>0</v>
      </c>
      <c r="R2" s="3">
        <f t="shared" si="0"/>
        <v>24435</v>
      </c>
      <c r="S2" s="3">
        <f>SUMIF(S4:S1048576,"&gt;=0")</f>
        <v>195</v>
      </c>
      <c r="T2" s="4">
        <f>IF(AND(ISBLANK(D2), ISBLANK(E2), ISBLANK(F2), ISBLANK(G2), ISBLANK(H2), ISBLANK(I2), ISBLANK(J2), ISBLANK(K2),ISBLANK(L2), ISBLANK(M2), ISBLANK(N2), ISBLANK(O2), ISBLANK(P2), ISBLANK(Q2)), "",IFERROR((D2-S2)/D2,""))</f>
        <v>0.99356116889549284</v>
      </c>
      <c r="U2" s="5">
        <f>COUNTA(U4:U1048576)</f>
        <v>8</v>
      </c>
      <c r="V2" s="6">
        <f>SUM(V4:V300)</f>
        <v>5655</v>
      </c>
    </row>
    <row r="3" spans="1:443" ht="19.5" thickBot="1" x14ac:dyDescent="0.35">
      <c r="A3" s="7" t="s">
        <v>1</v>
      </c>
      <c r="B3" s="8" t="s">
        <v>39</v>
      </c>
      <c r="C3" s="8" t="s">
        <v>46</v>
      </c>
      <c r="D3" s="8" t="s">
        <v>2</v>
      </c>
      <c r="E3" s="8" t="s">
        <v>3</v>
      </c>
      <c r="F3" s="8" t="s">
        <v>4</v>
      </c>
      <c r="G3" s="8" t="s">
        <v>5</v>
      </c>
      <c r="H3" s="8" t="s">
        <v>6</v>
      </c>
      <c r="I3" s="8" t="s">
        <v>7</v>
      </c>
      <c r="J3" s="8" t="s">
        <v>8</v>
      </c>
      <c r="K3" s="8" t="s">
        <v>9</v>
      </c>
      <c r="L3" s="8" t="s">
        <v>10</v>
      </c>
      <c r="M3" s="8" t="s">
        <v>11</v>
      </c>
      <c r="N3" s="8" t="s">
        <v>12</v>
      </c>
      <c r="O3" s="8" t="s">
        <v>13</v>
      </c>
      <c r="P3" s="8" t="s">
        <v>14</v>
      </c>
      <c r="Q3" s="8" t="s">
        <v>15</v>
      </c>
      <c r="R3" s="9" t="s">
        <v>16</v>
      </c>
      <c r="S3" s="9" t="s">
        <v>17</v>
      </c>
      <c r="T3" s="10" t="s">
        <v>18</v>
      </c>
      <c r="U3" s="11" t="s">
        <v>19</v>
      </c>
      <c r="V3" s="12" t="s">
        <v>20</v>
      </c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13"/>
      <c r="MP3" s="13"/>
      <c r="MQ3" s="13"/>
      <c r="MR3" s="13"/>
      <c r="MS3" s="13"/>
      <c r="MT3" s="13"/>
      <c r="MU3" s="13"/>
      <c r="MV3" s="13"/>
      <c r="MW3" s="13"/>
      <c r="MX3" s="13"/>
      <c r="MY3" s="13"/>
      <c r="MZ3" s="13"/>
      <c r="NA3" s="13"/>
      <c r="NB3" s="13"/>
      <c r="NC3" s="13"/>
      <c r="ND3" s="13"/>
      <c r="NE3" s="13"/>
      <c r="NF3" s="13"/>
      <c r="NG3" s="13"/>
      <c r="NH3" s="13"/>
      <c r="NI3" s="13"/>
      <c r="NJ3" s="13"/>
      <c r="NK3" s="13"/>
      <c r="NL3" s="13"/>
      <c r="NM3" s="13"/>
      <c r="NN3" s="13"/>
      <c r="NO3" s="13"/>
      <c r="NP3" s="13"/>
      <c r="NQ3" s="13"/>
      <c r="NR3" s="13"/>
      <c r="NS3" s="13"/>
      <c r="NT3" s="13"/>
      <c r="NU3" s="13"/>
      <c r="NV3" s="13"/>
      <c r="NW3" s="13"/>
      <c r="NX3" s="13"/>
      <c r="NY3" s="13"/>
      <c r="NZ3" s="13"/>
      <c r="OA3" s="13"/>
      <c r="OB3" s="13"/>
      <c r="OC3" s="13"/>
      <c r="OD3" s="13"/>
      <c r="OE3" s="13"/>
      <c r="OF3" s="13"/>
      <c r="OG3" s="13"/>
      <c r="OH3" s="13"/>
      <c r="OI3" s="13"/>
      <c r="OJ3" s="13"/>
      <c r="OK3" s="13"/>
      <c r="OL3" s="13"/>
      <c r="OM3" s="13"/>
      <c r="ON3" s="13"/>
      <c r="OO3" s="13"/>
      <c r="OP3" s="13"/>
      <c r="OQ3" s="13"/>
      <c r="OR3" s="13"/>
      <c r="OS3" s="13"/>
      <c r="OT3" s="13"/>
      <c r="OU3" s="13"/>
      <c r="OV3" s="13"/>
      <c r="OW3" s="13"/>
      <c r="OX3" s="13"/>
      <c r="OY3" s="13"/>
      <c r="OZ3" s="13"/>
      <c r="PA3" s="13"/>
      <c r="PB3" s="13"/>
      <c r="PC3" s="13"/>
      <c r="PD3" s="13"/>
      <c r="PE3" s="13"/>
      <c r="PF3" s="13"/>
      <c r="PG3" s="13"/>
      <c r="PH3" s="13"/>
      <c r="PI3" s="13"/>
      <c r="PJ3" s="13"/>
      <c r="PK3" s="13"/>
      <c r="PL3" s="13"/>
      <c r="PM3" s="13"/>
      <c r="PN3" s="13"/>
      <c r="PO3" s="13"/>
      <c r="PP3" s="13"/>
      <c r="PQ3" s="13"/>
      <c r="PR3" s="13"/>
      <c r="PS3" s="13"/>
      <c r="PT3" s="13"/>
      <c r="PU3" s="13"/>
      <c r="PV3" s="13"/>
      <c r="PW3" s="13"/>
      <c r="PX3" s="13"/>
      <c r="PY3" s="13"/>
      <c r="PZ3" s="13"/>
      <c r="QA3" s="13"/>
    </row>
    <row r="4" spans="1:443" x14ac:dyDescent="0.3">
      <c r="A4" s="14" t="s">
        <v>36</v>
      </c>
      <c r="B4" s="15">
        <v>5</v>
      </c>
      <c r="C4" s="15"/>
      <c r="D4" s="15">
        <v>1260</v>
      </c>
      <c r="E4" s="15"/>
      <c r="F4" s="31"/>
      <c r="G4" s="15">
        <v>140</v>
      </c>
      <c r="H4" s="15">
        <v>140</v>
      </c>
      <c r="I4" s="15">
        <v>140</v>
      </c>
      <c r="J4" s="15">
        <v>140</v>
      </c>
      <c r="K4" s="15">
        <v>140</v>
      </c>
      <c r="L4" s="15">
        <v>140</v>
      </c>
      <c r="M4" s="15">
        <v>140</v>
      </c>
      <c r="N4" s="15">
        <v>140</v>
      </c>
      <c r="O4" s="15">
        <v>140</v>
      </c>
      <c r="P4" s="15"/>
      <c r="Q4" s="16"/>
      <c r="R4" s="17">
        <f t="shared" ref="R4:R67" si="1">IF(AND(ISBLANK(D4),ISBLANK(E4),ISBLANK(F4),ISBLANK(G4),ISBLANK(H4),ISBLANK(I4), ISBLANK(J4), ISBLANK(K4), ISBLANK(L4), ISBLANK(M4), ISBLANK(N4), ISBLANK(O4), ISBLANK(P4), ISBLANK(Q4)),"",SUM(E4:P4))</f>
        <v>1260</v>
      </c>
      <c r="S4" s="17">
        <f t="shared" ref="S4:S67" si="2">IF(U4&lt;&gt;0,0,IF(AND(ISBLANK(D4),ISBLANK(E4),ISBLANK(F4),ISBLANK(G4),ISBLANK(H4),ISBLANK(I4), ISBLANK(J4), ISBLANK(K4), ISBLANK(L4), ISBLANK(M4), ISBLANK(N4), ISBLANK(O4), ISBLANK(P4), ISBLANK(Q4)),"", (D4+E4)-R4))</f>
        <v>0</v>
      </c>
      <c r="T4" s="18">
        <f t="shared" ref="T4:T67" si="3">IF(U4&lt;&gt;0,1,IF(AND(ISBLANK(D4),ISBLANK(E4),ISBLANK(F4),ISBLANK(G4),ISBLANK(H4),ISBLANK(I4),ISBLANK(J4),ISBLANK(K4),ISBLANK(L4),ISBLANK(M4),ISBLANK(N4),ISBLANK(O4),ISBLANK(P4),ISBLANK(Q4)),"",IFERROR((D4-S4)/D4,"")))</f>
        <v>1</v>
      </c>
      <c r="U4" s="21"/>
      <c r="V4" s="19" t="str">
        <f t="shared" ref="V4:V35" si="4">IF(U4&lt;&gt;"",D4 - (SUM(E4:Q4)),"")</f>
        <v/>
      </c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  <c r="JP4" s="13"/>
      <c r="JQ4" s="13"/>
      <c r="JR4" s="13"/>
      <c r="JS4" s="13"/>
      <c r="JT4" s="13"/>
      <c r="JU4" s="13"/>
      <c r="JV4" s="13"/>
      <c r="JW4" s="13"/>
      <c r="JX4" s="13"/>
      <c r="JY4" s="13"/>
      <c r="JZ4" s="13"/>
      <c r="KA4" s="13"/>
      <c r="KB4" s="13"/>
      <c r="KC4" s="13"/>
      <c r="KD4" s="13"/>
      <c r="KE4" s="13"/>
      <c r="KF4" s="13"/>
      <c r="KG4" s="13"/>
      <c r="KH4" s="13"/>
      <c r="KI4" s="13"/>
      <c r="KJ4" s="13"/>
      <c r="KK4" s="13"/>
      <c r="KL4" s="13"/>
      <c r="KM4" s="13"/>
      <c r="KN4" s="13"/>
      <c r="KO4" s="13"/>
      <c r="KP4" s="13"/>
      <c r="KQ4" s="13"/>
      <c r="KR4" s="13"/>
      <c r="KS4" s="13"/>
      <c r="KT4" s="13"/>
      <c r="KU4" s="13"/>
      <c r="KV4" s="13"/>
      <c r="KW4" s="13"/>
      <c r="KX4" s="13"/>
      <c r="KY4" s="13"/>
      <c r="KZ4" s="13"/>
      <c r="LA4" s="13"/>
      <c r="LB4" s="13"/>
      <c r="LC4" s="13"/>
      <c r="LD4" s="13"/>
      <c r="LE4" s="13"/>
      <c r="LF4" s="13"/>
      <c r="LG4" s="13"/>
      <c r="LH4" s="13"/>
      <c r="LI4" s="13"/>
      <c r="LJ4" s="13"/>
      <c r="LK4" s="13"/>
      <c r="LL4" s="13"/>
      <c r="LM4" s="13"/>
      <c r="LN4" s="13"/>
      <c r="LO4" s="13"/>
      <c r="LP4" s="13"/>
      <c r="LQ4" s="13"/>
      <c r="LR4" s="13"/>
      <c r="LS4" s="13"/>
      <c r="LT4" s="13"/>
      <c r="LU4" s="13"/>
      <c r="LV4" s="13"/>
      <c r="LW4" s="13"/>
      <c r="LX4" s="13"/>
      <c r="LY4" s="13"/>
      <c r="LZ4" s="13"/>
      <c r="MA4" s="13"/>
      <c r="MB4" s="13"/>
      <c r="MC4" s="13"/>
      <c r="MD4" s="13"/>
      <c r="ME4" s="13"/>
      <c r="MF4" s="13"/>
      <c r="MG4" s="13"/>
      <c r="MH4" s="13"/>
      <c r="MI4" s="13"/>
      <c r="MJ4" s="13"/>
      <c r="MK4" s="13"/>
      <c r="ML4" s="13"/>
      <c r="MM4" s="13"/>
      <c r="MN4" s="13"/>
      <c r="MO4" s="13"/>
      <c r="MP4" s="13"/>
      <c r="MQ4" s="13"/>
      <c r="MR4" s="13"/>
      <c r="MS4" s="13"/>
      <c r="MT4" s="13"/>
      <c r="MU4" s="13"/>
      <c r="MV4" s="13"/>
      <c r="MW4" s="13"/>
      <c r="MX4" s="13"/>
      <c r="MY4" s="13"/>
      <c r="MZ4" s="13"/>
      <c r="NA4" s="13"/>
      <c r="NB4" s="13"/>
      <c r="NC4" s="13"/>
      <c r="ND4" s="13"/>
      <c r="NE4" s="13"/>
      <c r="NF4" s="13"/>
      <c r="NG4" s="13"/>
      <c r="NH4" s="13"/>
      <c r="NI4" s="13"/>
      <c r="NJ4" s="13"/>
      <c r="NK4" s="13"/>
      <c r="NL4" s="13"/>
      <c r="NM4" s="13"/>
      <c r="NN4" s="13"/>
      <c r="NO4" s="13"/>
      <c r="NP4" s="13"/>
      <c r="NQ4" s="13"/>
      <c r="NR4" s="13"/>
      <c r="NS4" s="13"/>
      <c r="NT4" s="13"/>
      <c r="NU4" s="13"/>
      <c r="NV4" s="13"/>
      <c r="NW4" s="13"/>
      <c r="NX4" s="13"/>
      <c r="NY4" s="13"/>
      <c r="NZ4" s="13"/>
      <c r="OA4" s="13"/>
      <c r="OB4" s="13"/>
      <c r="OC4" s="13"/>
      <c r="OD4" s="13"/>
      <c r="OE4" s="13"/>
      <c r="OF4" s="13"/>
      <c r="OG4" s="13"/>
      <c r="OH4" s="13"/>
      <c r="OI4" s="13"/>
      <c r="OJ4" s="13"/>
      <c r="OK4" s="13"/>
      <c r="OL4" s="13"/>
      <c r="OM4" s="13"/>
      <c r="ON4" s="13"/>
      <c r="OO4" s="13"/>
      <c r="OP4" s="13"/>
      <c r="OQ4" s="13"/>
      <c r="OR4" s="13"/>
      <c r="OS4" s="13"/>
      <c r="OT4" s="13"/>
      <c r="OU4" s="13"/>
      <c r="OV4" s="13"/>
      <c r="OW4" s="13"/>
      <c r="OX4" s="13"/>
      <c r="OY4" s="13"/>
      <c r="OZ4" s="13"/>
      <c r="PA4" s="13"/>
      <c r="PB4" s="13"/>
      <c r="PC4" s="13"/>
      <c r="PD4" s="13"/>
      <c r="PE4" s="13"/>
      <c r="PF4" s="13"/>
      <c r="PG4" s="13"/>
      <c r="PH4" s="13"/>
      <c r="PI4" s="13"/>
      <c r="PJ4" s="13"/>
      <c r="PK4" s="13"/>
      <c r="PL4" s="13"/>
      <c r="PM4" s="13"/>
      <c r="PN4" s="13"/>
      <c r="PO4" s="13"/>
      <c r="PP4" s="13"/>
      <c r="PQ4" s="13"/>
      <c r="PR4" s="13"/>
      <c r="PS4" s="13"/>
      <c r="PT4" s="13"/>
      <c r="PU4" s="13"/>
      <c r="PV4" s="13"/>
      <c r="PW4" s="13"/>
      <c r="PX4" s="13"/>
      <c r="PY4" s="13"/>
      <c r="PZ4" s="13"/>
      <c r="QA4" s="13"/>
    </row>
    <row r="5" spans="1:443" x14ac:dyDescent="0.3">
      <c r="A5" s="14" t="s">
        <v>38</v>
      </c>
      <c r="B5" s="15" t="s">
        <v>44</v>
      </c>
      <c r="C5" s="15"/>
      <c r="D5" s="15">
        <v>1350</v>
      </c>
      <c r="E5" s="15"/>
      <c r="F5" s="15">
        <v>140</v>
      </c>
      <c r="G5" s="15">
        <v>140</v>
      </c>
      <c r="H5" s="15">
        <v>140</v>
      </c>
      <c r="I5" s="15">
        <v>140</v>
      </c>
      <c r="J5" s="15">
        <v>140</v>
      </c>
      <c r="K5" s="20">
        <v>140</v>
      </c>
      <c r="L5" s="15">
        <v>140</v>
      </c>
      <c r="M5" s="20">
        <v>140</v>
      </c>
      <c r="N5" s="15">
        <v>230</v>
      </c>
      <c r="O5" s="15"/>
      <c r="P5" s="15"/>
      <c r="Q5" s="16"/>
      <c r="R5" s="17">
        <f t="shared" si="1"/>
        <v>1350</v>
      </c>
      <c r="S5" s="17">
        <f t="shared" si="2"/>
        <v>0</v>
      </c>
      <c r="T5" s="18">
        <f t="shared" si="3"/>
        <v>1</v>
      </c>
      <c r="U5" s="15"/>
      <c r="V5" s="19" t="str">
        <f t="shared" si="4"/>
        <v/>
      </c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  <c r="JP5" s="13"/>
      <c r="JQ5" s="13"/>
      <c r="JR5" s="13"/>
      <c r="JS5" s="13"/>
      <c r="JT5" s="13"/>
      <c r="JU5" s="13"/>
      <c r="JV5" s="13"/>
      <c r="JW5" s="13"/>
      <c r="JX5" s="13"/>
      <c r="JY5" s="13"/>
      <c r="JZ5" s="13"/>
      <c r="KA5" s="13"/>
      <c r="KB5" s="13"/>
      <c r="KC5" s="13"/>
      <c r="KD5" s="13"/>
      <c r="KE5" s="13"/>
      <c r="KF5" s="13"/>
      <c r="KG5" s="13"/>
      <c r="KH5" s="13"/>
      <c r="KI5" s="13"/>
      <c r="KJ5" s="13"/>
      <c r="KK5" s="13"/>
      <c r="KL5" s="13"/>
      <c r="KM5" s="13"/>
      <c r="KN5" s="13"/>
      <c r="KO5" s="13"/>
      <c r="KP5" s="13"/>
      <c r="KQ5" s="13"/>
      <c r="KR5" s="13"/>
      <c r="KS5" s="13"/>
      <c r="KT5" s="13"/>
      <c r="KU5" s="13"/>
      <c r="KV5" s="13"/>
      <c r="KW5" s="13"/>
      <c r="KX5" s="13"/>
      <c r="KY5" s="13"/>
      <c r="KZ5" s="13"/>
      <c r="LA5" s="13"/>
      <c r="LB5" s="13"/>
      <c r="LC5" s="13"/>
      <c r="LD5" s="13"/>
      <c r="LE5" s="13"/>
      <c r="LF5" s="13"/>
      <c r="LG5" s="13"/>
      <c r="LH5" s="13"/>
      <c r="LI5" s="13"/>
      <c r="LJ5" s="13"/>
      <c r="LK5" s="13"/>
      <c r="LL5" s="13"/>
      <c r="LM5" s="13"/>
      <c r="LN5" s="13"/>
      <c r="LO5" s="13"/>
      <c r="LP5" s="13"/>
      <c r="LQ5" s="13"/>
      <c r="LR5" s="13"/>
      <c r="LS5" s="13"/>
      <c r="LT5" s="13"/>
      <c r="LU5" s="13"/>
      <c r="LV5" s="13"/>
      <c r="LW5" s="13"/>
      <c r="LX5" s="13"/>
      <c r="LY5" s="13"/>
      <c r="LZ5" s="13"/>
      <c r="MA5" s="13"/>
      <c r="MB5" s="13"/>
      <c r="MC5" s="13"/>
      <c r="MD5" s="13"/>
      <c r="ME5" s="13"/>
      <c r="MF5" s="13"/>
      <c r="MG5" s="13"/>
      <c r="MH5" s="13"/>
      <c r="MI5" s="13"/>
      <c r="MJ5" s="13"/>
      <c r="MK5" s="13"/>
      <c r="ML5" s="13"/>
      <c r="MM5" s="13"/>
      <c r="MN5" s="13"/>
      <c r="MO5" s="13"/>
      <c r="MP5" s="13"/>
      <c r="MQ5" s="13"/>
      <c r="MR5" s="13"/>
      <c r="MS5" s="13"/>
      <c r="MT5" s="13"/>
      <c r="MU5" s="13"/>
      <c r="MV5" s="13"/>
      <c r="MW5" s="13"/>
      <c r="MX5" s="13"/>
      <c r="MY5" s="13"/>
      <c r="MZ5" s="13"/>
      <c r="NA5" s="13"/>
      <c r="NB5" s="13"/>
      <c r="NC5" s="13"/>
      <c r="ND5" s="13"/>
      <c r="NE5" s="13"/>
      <c r="NF5" s="13"/>
      <c r="NG5" s="13"/>
      <c r="NH5" s="13"/>
      <c r="NI5" s="13"/>
      <c r="NJ5" s="13"/>
      <c r="NK5" s="13"/>
      <c r="NL5" s="13"/>
      <c r="NM5" s="13"/>
      <c r="NN5" s="13"/>
      <c r="NO5" s="13"/>
      <c r="NP5" s="13"/>
      <c r="NQ5" s="13"/>
      <c r="NR5" s="13"/>
      <c r="NS5" s="13"/>
      <c r="NT5" s="13"/>
      <c r="NU5" s="13"/>
      <c r="NV5" s="13"/>
      <c r="NW5" s="13"/>
      <c r="NX5" s="13"/>
      <c r="NY5" s="13"/>
      <c r="NZ5" s="13"/>
      <c r="OA5" s="13"/>
      <c r="OB5" s="13"/>
      <c r="OC5" s="13"/>
      <c r="OD5" s="13"/>
      <c r="OE5" s="13"/>
      <c r="OF5" s="13"/>
      <c r="OG5" s="13"/>
      <c r="OH5" s="13"/>
      <c r="OI5" s="13"/>
      <c r="OJ5" s="13"/>
      <c r="OK5" s="13"/>
      <c r="OL5" s="13"/>
      <c r="OM5" s="13"/>
      <c r="ON5" s="13"/>
      <c r="OO5" s="13"/>
      <c r="OP5" s="13"/>
      <c r="OQ5" s="13"/>
      <c r="OR5" s="13"/>
      <c r="OS5" s="13"/>
      <c r="OT5" s="13"/>
      <c r="OU5" s="13"/>
      <c r="OV5" s="13"/>
      <c r="OW5" s="13"/>
      <c r="OX5" s="13"/>
      <c r="OY5" s="13"/>
      <c r="OZ5" s="13"/>
      <c r="PA5" s="13"/>
      <c r="PB5" s="13"/>
      <c r="PC5" s="13"/>
      <c r="PD5" s="13"/>
      <c r="PE5" s="13"/>
      <c r="PF5" s="13"/>
      <c r="PG5" s="13"/>
      <c r="PH5" s="13"/>
      <c r="PI5" s="13"/>
      <c r="PJ5" s="13"/>
      <c r="PK5" s="13"/>
      <c r="PL5" s="13"/>
      <c r="PM5" s="13"/>
      <c r="PN5" s="13"/>
      <c r="PO5" s="13"/>
      <c r="PP5" s="13"/>
      <c r="PQ5" s="13"/>
      <c r="PR5" s="13"/>
      <c r="PS5" s="13"/>
      <c r="PT5" s="13"/>
      <c r="PU5" s="13"/>
      <c r="PV5" s="13"/>
      <c r="PW5" s="13"/>
      <c r="PX5" s="13"/>
      <c r="PY5" s="13"/>
      <c r="PZ5" s="13"/>
      <c r="QA5" s="13"/>
    </row>
    <row r="6" spans="1:443" ht="19.5" customHeight="1" x14ac:dyDescent="0.3">
      <c r="A6" s="14" t="s">
        <v>28</v>
      </c>
      <c r="B6" s="15">
        <v>5</v>
      </c>
      <c r="C6" s="15">
        <v>45</v>
      </c>
      <c r="D6" s="15">
        <v>1080</v>
      </c>
      <c r="E6" s="15"/>
      <c r="F6" s="15">
        <v>120</v>
      </c>
      <c r="G6" s="15">
        <v>120</v>
      </c>
      <c r="H6" s="15">
        <v>120</v>
      </c>
      <c r="I6" s="15">
        <v>120</v>
      </c>
      <c r="J6" s="15">
        <v>120</v>
      </c>
      <c r="K6" s="15">
        <v>120</v>
      </c>
      <c r="L6" s="15">
        <v>120</v>
      </c>
      <c r="M6" s="15">
        <v>120</v>
      </c>
      <c r="N6" s="15">
        <v>120</v>
      </c>
      <c r="O6" s="15"/>
      <c r="P6" s="15"/>
      <c r="Q6" s="16"/>
      <c r="R6" s="17">
        <f t="shared" si="1"/>
        <v>1080</v>
      </c>
      <c r="S6" s="17">
        <f t="shared" si="2"/>
        <v>0</v>
      </c>
      <c r="T6" s="18">
        <f t="shared" si="3"/>
        <v>1</v>
      </c>
      <c r="U6" s="15"/>
      <c r="V6" s="19" t="str">
        <f t="shared" si="4"/>
        <v/>
      </c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  <c r="JP6" s="13"/>
      <c r="JQ6" s="13"/>
      <c r="JR6" s="13"/>
      <c r="JS6" s="13"/>
      <c r="JT6" s="13"/>
      <c r="JU6" s="13"/>
      <c r="JV6" s="13"/>
      <c r="JW6" s="13"/>
      <c r="JX6" s="13"/>
      <c r="JY6" s="13"/>
      <c r="JZ6" s="13"/>
      <c r="KA6" s="13"/>
      <c r="KB6" s="13"/>
      <c r="KC6" s="13"/>
      <c r="KD6" s="13"/>
      <c r="KE6" s="13"/>
      <c r="KF6" s="13"/>
      <c r="KG6" s="13"/>
      <c r="KH6" s="13"/>
      <c r="KI6" s="13"/>
      <c r="KJ6" s="13"/>
      <c r="KK6" s="13"/>
      <c r="KL6" s="13"/>
      <c r="KM6" s="13"/>
      <c r="KN6" s="13"/>
      <c r="KO6" s="13"/>
      <c r="KP6" s="13"/>
      <c r="KQ6" s="13"/>
      <c r="KR6" s="13"/>
      <c r="KS6" s="13"/>
      <c r="KT6" s="13"/>
      <c r="KU6" s="13"/>
      <c r="KV6" s="13"/>
      <c r="KW6" s="13"/>
      <c r="KX6" s="13"/>
      <c r="KY6" s="13"/>
      <c r="KZ6" s="13"/>
      <c r="LA6" s="13"/>
      <c r="LB6" s="13"/>
      <c r="LC6" s="13"/>
      <c r="LD6" s="13"/>
      <c r="LE6" s="13"/>
      <c r="LF6" s="13"/>
      <c r="LG6" s="13"/>
      <c r="LH6" s="13"/>
      <c r="LI6" s="13"/>
      <c r="LJ6" s="13"/>
      <c r="LK6" s="13"/>
      <c r="LL6" s="13"/>
      <c r="LM6" s="13"/>
      <c r="LN6" s="13"/>
      <c r="LO6" s="13"/>
      <c r="LP6" s="13"/>
      <c r="LQ6" s="13"/>
      <c r="LR6" s="13"/>
      <c r="LS6" s="13"/>
      <c r="LT6" s="13"/>
      <c r="LU6" s="13"/>
      <c r="LV6" s="13"/>
      <c r="LW6" s="13"/>
      <c r="LX6" s="13"/>
      <c r="LY6" s="13"/>
      <c r="LZ6" s="13"/>
      <c r="MA6" s="13"/>
      <c r="MB6" s="13"/>
      <c r="MC6" s="13"/>
      <c r="MD6" s="13"/>
      <c r="ME6" s="13"/>
      <c r="MF6" s="13"/>
      <c r="MG6" s="13"/>
      <c r="MH6" s="13"/>
      <c r="MI6" s="13"/>
      <c r="MJ6" s="13"/>
      <c r="MK6" s="13"/>
      <c r="ML6" s="13"/>
      <c r="MM6" s="13"/>
      <c r="MN6" s="13"/>
      <c r="MO6" s="13"/>
      <c r="MP6" s="13"/>
      <c r="MQ6" s="13"/>
      <c r="MR6" s="13"/>
      <c r="MS6" s="13"/>
      <c r="MT6" s="13"/>
      <c r="MU6" s="13"/>
      <c r="MV6" s="13"/>
      <c r="MW6" s="13"/>
      <c r="MX6" s="13"/>
      <c r="MY6" s="13"/>
      <c r="MZ6" s="13"/>
      <c r="NA6" s="13"/>
      <c r="NB6" s="13"/>
      <c r="NC6" s="13"/>
      <c r="ND6" s="13"/>
      <c r="NE6" s="13"/>
      <c r="NF6" s="13"/>
      <c r="NG6" s="13"/>
      <c r="NH6" s="13"/>
      <c r="NI6" s="13"/>
      <c r="NJ6" s="13"/>
      <c r="NK6" s="13"/>
      <c r="NL6" s="13"/>
      <c r="NM6" s="13"/>
      <c r="NN6" s="13"/>
      <c r="NO6" s="13"/>
      <c r="NP6" s="13"/>
      <c r="NQ6" s="13"/>
      <c r="NR6" s="13"/>
      <c r="NS6" s="13"/>
      <c r="NT6" s="13"/>
      <c r="NU6" s="13"/>
      <c r="NV6" s="13"/>
      <c r="NW6" s="13"/>
      <c r="NX6" s="13"/>
      <c r="NY6" s="13"/>
      <c r="NZ6" s="13"/>
      <c r="OA6" s="13"/>
      <c r="OB6" s="13"/>
      <c r="OC6" s="13"/>
      <c r="OD6" s="13"/>
      <c r="OE6" s="13"/>
      <c r="OF6" s="13"/>
      <c r="OG6" s="13"/>
      <c r="OH6" s="13"/>
      <c r="OI6" s="13"/>
      <c r="OJ6" s="13"/>
      <c r="OK6" s="13"/>
      <c r="OL6" s="13"/>
      <c r="OM6" s="13"/>
      <c r="ON6" s="13"/>
      <c r="OO6" s="13"/>
      <c r="OP6" s="13"/>
      <c r="OQ6" s="13"/>
      <c r="OR6" s="13"/>
      <c r="OS6" s="13"/>
      <c r="OT6" s="13"/>
      <c r="OU6" s="13"/>
      <c r="OV6" s="13"/>
      <c r="OW6" s="13"/>
      <c r="OX6" s="13"/>
      <c r="OY6" s="13"/>
      <c r="OZ6" s="13"/>
      <c r="PA6" s="13"/>
      <c r="PB6" s="13"/>
      <c r="PC6" s="13"/>
      <c r="PD6" s="13"/>
      <c r="PE6" s="13"/>
      <c r="PF6" s="13"/>
      <c r="PG6" s="13"/>
      <c r="PH6" s="13"/>
      <c r="PI6" s="13"/>
      <c r="PJ6" s="13"/>
      <c r="PK6" s="13"/>
      <c r="PL6" s="13"/>
      <c r="PM6" s="13"/>
      <c r="PN6" s="13"/>
      <c r="PO6" s="13"/>
      <c r="PP6" s="13"/>
      <c r="PQ6" s="13"/>
      <c r="PR6" s="13"/>
      <c r="PS6" s="13"/>
      <c r="PT6" s="13"/>
      <c r="PU6" s="13"/>
      <c r="PV6" s="13"/>
      <c r="PW6" s="13"/>
      <c r="PX6" s="13"/>
      <c r="PY6" s="13"/>
      <c r="PZ6" s="13"/>
      <c r="QA6" s="13"/>
    </row>
    <row r="7" spans="1:443" ht="19.5" customHeight="1" x14ac:dyDescent="0.3">
      <c r="A7" s="14" t="s">
        <v>24</v>
      </c>
      <c r="B7" s="15">
        <v>5</v>
      </c>
      <c r="C7" s="15"/>
      <c r="D7" s="15">
        <v>1260</v>
      </c>
      <c r="E7" s="15"/>
      <c r="F7" s="15">
        <v>140</v>
      </c>
      <c r="G7" s="15">
        <v>140</v>
      </c>
      <c r="H7" s="15">
        <v>140</v>
      </c>
      <c r="I7" s="15">
        <v>140</v>
      </c>
      <c r="J7" s="15">
        <v>140</v>
      </c>
      <c r="K7" s="15">
        <v>140</v>
      </c>
      <c r="L7" s="15">
        <v>140</v>
      </c>
      <c r="M7" s="15">
        <v>140</v>
      </c>
      <c r="N7" s="15">
        <v>140</v>
      </c>
      <c r="O7" s="15"/>
      <c r="P7" s="15"/>
      <c r="Q7" s="16"/>
      <c r="R7" s="17">
        <f t="shared" si="1"/>
        <v>1260</v>
      </c>
      <c r="S7" s="17">
        <f t="shared" si="2"/>
        <v>0</v>
      </c>
      <c r="T7" s="18">
        <f t="shared" si="3"/>
        <v>1</v>
      </c>
      <c r="U7" s="15"/>
      <c r="V7" s="19" t="str">
        <f t="shared" si="4"/>
        <v/>
      </c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</row>
    <row r="8" spans="1:443" x14ac:dyDescent="0.3">
      <c r="A8" s="14" t="s">
        <v>42</v>
      </c>
      <c r="B8" s="15">
        <v>1</v>
      </c>
      <c r="C8" s="15"/>
      <c r="D8" s="15">
        <v>900</v>
      </c>
      <c r="E8" s="15"/>
      <c r="F8" s="15">
        <v>100</v>
      </c>
      <c r="G8" s="15">
        <v>100</v>
      </c>
      <c r="H8" s="15">
        <v>100</v>
      </c>
      <c r="I8" s="15">
        <v>100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/>
      <c r="P8" s="15"/>
      <c r="Q8" s="16"/>
      <c r="R8" s="17">
        <f t="shared" si="1"/>
        <v>900</v>
      </c>
      <c r="S8" s="17">
        <f t="shared" si="2"/>
        <v>0</v>
      </c>
      <c r="T8" s="18">
        <f t="shared" si="3"/>
        <v>1</v>
      </c>
      <c r="U8" s="15"/>
      <c r="V8" s="19" t="str">
        <f t="shared" si="4"/>
        <v/>
      </c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  <c r="JP8" s="13"/>
      <c r="JQ8" s="13"/>
      <c r="JR8" s="13"/>
      <c r="JS8" s="13"/>
      <c r="JT8" s="13"/>
      <c r="JU8" s="13"/>
      <c r="JV8" s="13"/>
      <c r="JW8" s="13"/>
      <c r="JX8" s="13"/>
      <c r="JY8" s="13"/>
      <c r="JZ8" s="13"/>
      <c r="KA8" s="13"/>
      <c r="KB8" s="13"/>
      <c r="KC8" s="13"/>
      <c r="KD8" s="13"/>
      <c r="KE8" s="13"/>
      <c r="KF8" s="13"/>
      <c r="KG8" s="13"/>
      <c r="KH8" s="13"/>
      <c r="KI8" s="13"/>
      <c r="KJ8" s="13"/>
      <c r="KK8" s="13"/>
      <c r="KL8" s="13"/>
      <c r="KM8" s="13"/>
      <c r="KN8" s="13"/>
      <c r="KO8" s="13"/>
      <c r="KP8" s="13"/>
      <c r="KQ8" s="13"/>
      <c r="KR8" s="13"/>
      <c r="KS8" s="13"/>
      <c r="KT8" s="13"/>
      <c r="KU8" s="13"/>
      <c r="KV8" s="13"/>
      <c r="KW8" s="13"/>
      <c r="KX8" s="13"/>
      <c r="KY8" s="13"/>
      <c r="KZ8" s="13"/>
      <c r="LA8" s="13"/>
      <c r="LB8" s="13"/>
      <c r="LC8" s="13"/>
      <c r="LD8" s="13"/>
      <c r="LE8" s="13"/>
      <c r="LF8" s="13"/>
      <c r="LG8" s="13"/>
      <c r="LH8" s="13"/>
      <c r="LI8" s="13"/>
      <c r="LJ8" s="13"/>
      <c r="LK8" s="13"/>
      <c r="LL8" s="13"/>
      <c r="LM8" s="13"/>
      <c r="LN8" s="13"/>
      <c r="LO8" s="13"/>
      <c r="LP8" s="13"/>
      <c r="LQ8" s="13"/>
      <c r="LR8" s="13"/>
      <c r="LS8" s="13"/>
      <c r="LT8" s="13"/>
      <c r="LU8" s="13"/>
      <c r="LV8" s="13"/>
      <c r="LW8" s="13"/>
      <c r="LX8" s="13"/>
      <c r="LY8" s="13"/>
      <c r="LZ8" s="13"/>
      <c r="MA8" s="13"/>
      <c r="MB8" s="13"/>
      <c r="MC8" s="13"/>
      <c r="MD8" s="13"/>
      <c r="ME8" s="13"/>
      <c r="MF8" s="13"/>
      <c r="MG8" s="13"/>
      <c r="MH8" s="13"/>
      <c r="MI8" s="13"/>
      <c r="MJ8" s="13"/>
      <c r="MK8" s="13"/>
      <c r="ML8" s="13"/>
      <c r="MM8" s="13"/>
      <c r="MN8" s="13"/>
      <c r="MO8" s="13"/>
      <c r="MP8" s="13"/>
      <c r="MQ8" s="13"/>
      <c r="MR8" s="13"/>
      <c r="MS8" s="13"/>
      <c r="MT8" s="13"/>
      <c r="MU8" s="13"/>
      <c r="MV8" s="13"/>
      <c r="MW8" s="13"/>
      <c r="MX8" s="13"/>
      <c r="MY8" s="13"/>
      <c r="MZ8" s="13"/>
      <c r="NA8" s="13"/>
      <c r="NB8" s="13"/>
      <c r="NC8" s="13"/>
      <c r="ND8" s="13"/>
      <c r="NE8" s="13"/>
      <c r="NF8" s="13"/>
      <c r="NG8" s="13"/>
      <c r="NH8" s="13"/>
      <c r="NI8" s="13"/>
      <c r="NJ8" s="13"/>
      <c r="NK8" s="13"/>
      <c r="NL8" s="13"/>
      <c r="NM8" s="13"/>
      <c r="NN8" s="13"/>
      <c r="NO8" s="13"/>
      <c r="NP8" s="13"/>
      <c r="NQ8" s="13"/>
      <c r="NR8" s="13"/>
      <c r="NS8" s="13"/>
      <c r="NT8" s="13"/>
      <c r="NU8" s="13"/>
      <c r="NV8" s="13"/>
      <c r="NW8" s="13"/>
      <c r="NX8" s="13"/>
      <c r="NY8" s="13"/>
      <c r="NZ8" s="13"/>
      <c r="OA8" s="13"/>
      <c r="OB8" s="13"/>
      <c r="OC8" s="13"/>
      <c r="OD8" s="13"/>
      <c r="OE8" s="13"/>
      <c r="OF8" s="13"/>
      <c r="OG8" s="13"/>
      <c r="OH8" s="13"/>
      <c r="OI8" s="13"/>
      <c r="OJ8" s="13"/>
      <c r="OK8" s="13"/>
      <c r="OL8" s="13"/>
      <c r="OM8" s="13"/>
      <c r="ON8" s="13"/>
      <c r="OO8" s="13"/>
      <c r="OP8" s="13"/>
      <c r="OQ8" s="13"/>
      <c r="OR8" s="13"/>
      <c r="OS8" s="13"/>
      <c r="OT8" s="13"/>
      <c r="OU8" s="13"/>
      <c r="OV8" s="13"/>
      <c r="OW8" s="13"/>
      <c r="OX8" s="13"/>
      <c r="OY8" s="13"/>
      <c r="OZ8" s="13"/>
      <c r="PA8" s="13"/>
      <c r="PB8" s="13"/>
      <c r="PC8" s="13"/>
      <c r="PD8" s="13"/>
      <c r="PE8" s="13"/>
      <c r="PF8" s="13"/>
      <c r="PG8" s="13"/>
      <c r="PH8" s="13"/>
      <c r="PI8" s="13"/>
      <c r="PJ8" s="13"/>
      <c r="PK8" s="13"/>
      <c r="PL8" s="13"/>
      <c r="PM8" s="13"/>
      <c r="PN8" s="13"/>
      <c r="PO8" s="13"/>
      <c r="PP8" s="13"/>
      <c r="PQ8" s="13"/>
      <c r="PR8" s="13"/>
      <c r="PS8" s="13"/>
      <c r="PT8" s="13"/>
      <c r="PU8" s="13"/>
      <c r="PV8" s="13"/>
      <c r="PW8" s="13"/>
      <c r="PX8" s="13"/>
      <c r="PY8" s="13"/>
      <c r="PZ8" s="13"/>
      <c r="QA8" s="13"/>
    </row>
    <row r="9" spans="1:443" x14ac:dyDescent="0.3">
      <c r="A9" s="14" t="s">
        <v>30</v>
      </c>
      <c r="B9" s="20">
        <v>6</v>
      </c>
      <c r="D9" s="20">
        <v>1170</v>
      </c>
      <c r="F9" s="22">
        <v>65</v>
      </c>
      <c r="G9" s="20">
        <v>130</v>
      </c>
      <c r="H9" s="20">
        <v>130</v>
      </c>
      <c r="I9" s="20">
        <v>130</v>
      </c>
      <c r="J9" s="20">
        <v>130</v>
      </c>
      <c r="K9" s="20">
        <v>130</v>
      </c>
      <c r="L9" s="20">
        <v>130</v>
      </c>
      <c r="M9" s="20">
        <v>130</v>
      </c>
      <c r="N9" s="20">
        <v>130</v>
      </c>
      <c r="O9" s="20">
        <v>65</v>
      </c>
      <c r="Q9" s="21"/>
      <c r="R9" s="17">
        <f t="shared" si="1"/>
        <v>1170</v>
      </c>
      <c r="S9" s="17">
        <f t="shared" si="2"/>
        <v>0</v>
      </c>
      <c r="T9" s="18">
        <f t="shared" si="3"/>
        <v>1</v>
      </c>
      <c r="V9" s="19" t="str">
        <f t="shared" si="4"/>
        <v/>
      </c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  <c r="JP9" s="13"/>
      <c r="JQ9" s="13"/>
      <c r="JR9" s="13"/>
      <c r="JS9" s="13"/>
      <c r="JT9" s="13"/>
      <c r="JU9" s="13"/>
      <c r="JV9" s="13"/>
      <c r="JW9" s="13"/>
      <c r="JX9" s="13"/>
      <c r="JY9" s="13"/>
      <c r="JZ9" s="13"/>
      <c r="KA9" s="13"/>
      <c r="KB9" s="13"/>
      <c r="KC9" s="13"/>
      <c r="KD9" s="13"/>
      <c r="KE9" s="13"/>
      <c r="KF9" s="13"/>
      <c r="KG9" s="13"/>
      <c r="KH9" s="13"/>
      <c r="KI9" s="13"/>
      <c r="KJ9" s="13"/>
      <c r="KK9" s="13"/>
      <c r="KL9" s="13"/>
      <c r="KM9" s="13"/>
      <c r="KN9" s="13"/>
      <c r="KO9" s="13"/>
      <c r="KP9" s="13"/>
      <c r="KQ9" s="13"/>
      <c r="KR9" s="13"/>
      <c r="KS9" s="13"/>
      <c r="KT9" s="13"/>
      <c r="KU9" s="13"/>
      <c r="KV9" s="13"/>
      <c r="KW9" s="13"/>
      <c r="KX9" s="13"/>
      <c r="KY9" s="13"/>
      <c r="KZ9" s="13"/>
      <c r="LA9" s="13"/>
      <c r="LB9" s="13"/>
      <c r="LC9" s="13"/>
      <c r="LD9" s="13"/>
      <c r="LE9" s="13"/>
      <c r="LF9" s="13"/>
      <c r="LG9" s="13"/>
      <c r="LH9" s="13"/>
      <c r="LI9" s="13"/>
      <c r="LJ9" s="13"/>
      <c r="LK9" s="13"/>
      <c r="LL9" s="13"/>
      <c r="LM9" s="13"/>
      <c r="LN9" s="13"/>
      <c r="LO9" s="13"/>
      <c r="LP9" s="13"/>
      <c r="LQ9" s="13"/>
      <c r="LR9" s="13"/>
      <c r="LS9" s="13"/>
      <c r="LT9" s="13"/>
      <c r="LU9" s="13"/>
      <c r="LV9" s="13"/>
      <c r="LW9" s="13"/>
      <c r="LX9" s="13"/>
      <c r="LY9" s="13"/>
      <c r="LZ9" s="13"/>
      <c r="MA9" s="13"/>
      <c r="MB9" s="13"/>
      <c r="MC9" s="13"/>
      <c r="MD9" s="13"/>
      <c r="ME9" s="13"/>
      <c r="MF9" s="13"/>
      <c r="MG9" s="13"/>
      <c r="MH9" s="13"/>
      <c r="MI9" s="13"/>
      <c r="MJ9" s="13"/>
      <c r="MK9" s="13"/>
      <c r="ML9" s="13"/>
      <c r="MM9" s="13"/>
      <c r="MN9" s="13"/>
      <c r="MO9" s="13"/>
      <c r="MP9" s="13"/>
      <c r="MQ9" s="13"/>
      <c r="MR9" s="13"/>
      <c r="MS9" s="13"/>
      <c r="MT9" s="13"/>
      <c r="MU9" s="13"/>
      <c r="MV9" s="13"/>
      <c r="MW9" s="13"/>
      <c r="MX9" s="13"/>
      <c r="MY9" s="13"/>
      <c r="MZ9" s="13"/>
      <c r="NA9" s="13"/>
      <c r="NB9" s="13"/>
      <c r="NC9" s="13"/>
      <c r="ND9" s="13"/>
      <c r="NE9" s="13"/>
      <c r="NF9" s="13"/>
      <c r="NG9" s="13"/>
      <c r="NH9" s="13"/>
      <c r="NI9" s="13"/>
      <c r="NJ9" s="13"/>
      <c r="NK9" s="13"/>
      <c r="NL9" s="13"/>
      <c r="NM9" s="13"/>
      <c r="NN9" s="13"/>
      <c r="NO9" s="13"/>
      <c r="NP9" s="13"/>
      <c r="NQ9" s="13"/>
      <c r="NR9" s="13"/>
      <c r="NS9" s="13"/>
      <c r="NT9" s="13"/>
      <c r="NU9" s="13"/>
      <c r="NV9" s="13"/>
      <c r="NW9" s="13"/>
      <c r="NX9" s="13"/>
      <c r="NY9" s="13"/>
      <c r="NZ9" s="13"/>
      <c r="OA9" s="13"/>
      <c r="OB9" s="13"/>
      <c r="OC9" s="13"/>
      <c r="OD9" s="13"/>
      <c r="OE9" s="13"/>
      <c r="OF9" s="13"/>
      <c r="OG9" s="13"/>
      <c r="OH9" s="13"/>
      <c r="OI9" s="13"/>
      <c r="OJ9" s="13"/>
      <c r="OK9" s="13"/>
      <c r="OL9" s="13"/>
      <c r="OM9" s="13"/>
      <c r="ON9" s="13"/>
      <c r="OO9" s="13"/>
      <c r="OP9" s="13"/>
      <c r="OQ9" s="13"/>
      <c r="OR9" s="13"/>
      <c r="OS9" s="13"/>
      <c r="OT9" s="13"/>
      <c r="OU9" s="13"/>
      <c r="OV9" s="13"/>
      <c r="OW9" s="13"/>
      <c r="OX9" s="13"/>
      <c r="OY9" s="13"/>
      <c r="OZ9" s="13"/>
      <c r="PA9" s="13"/>
      <c r="PB9" s="13"/>
      <c r="PC9" s="13"/>
      <c r="PD9" s="13"/>
      <c r="PE9" s="13"/>
      <c r="PF9" s="13"/>
      <c r="PG9" s="13"/>
      <c r="PH9" s="13"/>
      <c r="PI9" s="13"/>
      <c r="PJ9" s="13"/>
      <c r="PK9" s="13"/>
      <c r="PL9" s="13"/>
      <c r="PM9" s="13"/>
      <c r="PN9" s="13"/>
      <c r="PO9" s="13"/>
      <c r="PP9" s="13"/>
      <c r="PQ9" s="13"/>
      <c r="PR9" s="13"/>
      <c r="PS9" s="13"/>
      <c r="PT9" s="13"/>
      <c r="PU9" s="13"/>
      <c r="PV9" s="13"/>
      <c r="PW9" s="13"/>
      <c r="PX9" s="13"/>
      <c r="PY9" s="13"/>
      <c r="PZ9" s="13"/>
      <c r="QA9" s="13"/>
    </row>
    <row r="10" spans="1:443" x14ac:dyDescent="0.3">
      <c r="A10" s="14" t="s">
        <v>41</v>
      </c>
      <c r="B10" s="15">
        <v>1</v>
      </c>
      <c r="C10" s="15">
        <v>80</v>
      </c>
      <c r="D10" s="15">
        <v>1530</v>
      </c>
      <c r="E10" s="15"/>
      <c r="F10" s="15">
        <v>170</v>
      </c>
      <c r="G10" s="15">
        <v>170</v>
      </c>
      <c r="H10" s="15">
        <v>170</v>
      </c>
      <c r="I10" s="15">
        <v>170</v>
      </c>
      <c r="J10" s="15">
        <v>170</v>
      </c>
      <c r="K10" s="15">
        <v>170</v>
      </c>
      <c r="L10" s="15">
        <v>170</v>
      </c>
      <c r="M10" s="15">
        <v>170</v>
      </c>
      <c r="N10" s="15">
        <v>170</v>
      </c>
      <c r="O10" s="15"/>
      <c r="P10" s="15"/>
      <c r="Q10" s="16"/>
      <c r="R10" s="17">
        <f t="shared" si="1"/>
        <v>1530</v>
      </c>
      <c r="S10" s="17">
        <f t="shared" si="2"/>
        <v>0</v>
      </c>
      <c r="T10" s="18">
        <f t="shared" si="3"/>
        <v>1</v>
      </c>
      <c r="U10" s="15"/>
      <c r="V10" s="19" t="str">
        <f t="shared" si="4"/>
        <v/>
      </c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  <c r="JP10" s="13"/>
      <c r="JQ10" s="13"/>
      <c r="JR10" s="13"/>
      <c r="JS10" s="13"/>
      <c r="JT10" s="13"/>
      <c r="JU10" s="13"/>
      <c r="JV10" s="13"/>
      <c r="JW10" s="13"/>
      <c r="JX10" s="13"/>
      <c r="JY10" s="13"/>
      <c r="JZ10" s="13"/>
      <c r="KA10" s="13"/>
      <c r="KB10" s="13"/>
      <c r="KC10" s="13"/>
      <c r="KD10" s="13"/>
      <c r="KE10" s="13"/>
      <c r="KF10" s="13"/>
      <c r="KG10" s="13"/>
      <c r="KH10" s="13"/>
      <c r="KI10" s="13"/>
      <c r="KJ10" s="13"/>
      <c r="KK10" s="13"/>
      <c r="KL10" s="13"/>
      <c r="KM10" s="13"/>
      <c r="KN10" s="13"/>
      <c r="KO10" s="13"/>
      <c r="KP10" s="13"/>
      <c r="KQ10" s="13"/>
      <c r="KR10" s="13"/>
      <c r="KS10" s="13"/>
      <c r="KT10" s="13"/>
      <c r="KU10" s="13"/>
      <c r="KV10" s="13"/>
      <c r="KW10" s="13"/>
      <c r="KX10" s="13"/>
      <c r="KY10" s="13"/>
      <c r="KZ10" s="13"/>
      <c r="LA10" s="13"/>
      <c r="LB10" s="13"/>
      <c r="LC10" s="13"/>
      <c r="LD10" s="13"/>
      <c r="LE10" s="13"/>
      <c r="LF10" s="13"/>
      <c r="LG10" s="13"/>
      <c r="LH10" s="13"/>
      <c r="LI10" s="13"/>
      <c r="LJ10" s="13"/>
      <c r="LK10" s="13"/>
      <c r="LL10" s="13"/>
      <c r="LM10" s="13"/>
      <c r="LN10" s="13"/>
      <c r="LO10" s="13"/>
      <c r="LP10" s="13"/>
      <c r="LQ10" s="13"/>
      <c r="LR10" s="13"/>
      <c r="LS10" s="13"/>
      <c r="LT10" s="13"/>
      <c r="LU10" s="13"/>
      <c r="LV10" s="13"/>
      <c r="LW10" s="13"/>
      <c r="LX10" s="13"/>
      <c r="LY10" s="13"/>
      <c r="LZ10" s="13"/>
      <c r="MA10" s="13"/>
      <c r="MB10" s="13"/>
      <c r="MC10" s="13"/>
      <c r="MD10" s="13"/>
      <c r="ME10" s="13"/>
      <c r="MF10" s="13"/>
      <c r="MG10" s="13"/>
      <c r="MH10" s="13"/>
      <c r="MI10" s="13"/>
      <c r="MJ10" s="13"/>
      <c r="MK10" s="13"/>
      <c r="ML10" s="13"/>
      <c r="MM10" s="13"/>
      <c r="MN10" s="13"/>
      <c r="MO10" s="13"/>
      <c r="MP10" s="13"/>
      <c r="MQ10" s="13"/>
      <c r="MR10" s="13"/>
      <c r="MS10" s="13"/>
      <c r="MT10" s="13"/>
      <c r="MU10" s="13"/>
      <c r="MV10" s="13"/>
      <c r="MW10" s="13"/>
      <c r="MX10" s="13"/>
      <c r="MY10" s="13"/>
      <c r="MZ10" s="13"/>
      <c r="NA10" s="13"/>
      <c r="NB10" s="13"/>
      <c r="NC10" s="13"/>
      <c r="ND10" s="13"/>
      <c r="NE10" s="13"/>
      <c r="NF10" s="13"/>
      <c r="NG10" s="13"/>
      <c r="NH10" s="13"/>
      <c r="NI10" s="13"/>
      <c r="NJ10" s="13"/>
      <c r="NK10" s="13"/>
      <c r="NL10" s="13"/>
      <c r="NM10" s="13"/>
      <c r="NN10" s="13"/>
      <c r="NO10" s="13"/>
      <c r="NP10" s="13"/>
      <c r="NQ10" s="13"/>
      <c r="NR10" s="13"/>
      <c r="NS10" s="13"/>
      <c r="NT10" s="13"/>
      <c r="NU10" s="13"/>
      <c r="NV10" s="13"/>
      <c r="NW10" s="13"/>
      <c r="NX10" s="13"/>
      <c r="NY10" s="13"/>
      <c r="NZ10" s="13"/>
      <c r="OA10" s="13"/>
      <c r="OB10" s="13"/>
      <c r="OC10" s="13"/>
      <c r="OD10" s="13"/>
      <c r="OE10" s="13"/>
      <c r="OF10" s="13"/>
      <c r="OG10" s="13"/>
      <c r="OH10" s="13"/>
      <c r="OI10" s="13"/>
      <c r="OJ10" s="13"/>
      <c r="OK10" s="13"/>
      <c r="OL10" s="13"/>
      <c r="OM10" s="13"/>
      <c r="ON10" s="13"/>
      <c r="OO10" s="13"/>
      <c r="OP10" s="13"/>
      <c r="OQ10" s="13"/>
      <c r="OR10" s="13"/>
      <c r="OS10" s="13"/>
      <c r="OT10" s="13"/>
      <c r="OU10" s="13"/>
      <c r="OV10" s="13"/>
      <c r="OW10" s="13"/>
      <c r="OX10" s="13"/>
      <c r="OY10" s="13"/>
      <c r="OZ10" s="13"/>
      <c r="PA10" s="13"/>
      <c r="PB10" s="13"/>
      <c r="PC10" s="13"/>
      <c r="PD10" s="13"/>
      <c r="PE10" s="13"/>
      <c r="PF10" s="13"/>
      <c r="PG10" s="13"/>
      <c r="PH10" s="13"/>
      <c r="PI10" s="13"/>
      <c r="PJ10" s="13"/>
      <c r="PK10" s="13"/>
      <c r="PL10" s="13"/>
      <c r="PM10" s="13"/>
      <c r="PN10" s="13"/>
      <c r="PO10" s="13"/>
      <c r="PP10" s="13"/>
      <c r="PQ10" s="13"/>
      <c r="PR10" s="13"/>
      <c r="PS10" s="13"/>
      <c r="PT10" s="13"/>
      <c r="PU10" s="13"/>
      <c r="PV10" s="13"/>
      <c r="PW10" s="13"/>
      <c r="PX10" s="13"/>
      <c r="PY10" s="13"/>
      <c r="PZ10" s="13"/>
      <c r="QA10" s="13"/>
    </row>
    <row r="11" spans="1:443" x14ac:dyDescent="0.3">
      <c r="A11" s="14" t="s">
        <v>40</v>
      </c>
      <c r="B11" s="15">
        <v>5</v>
      </c>
      <c r="C11" s="15">
        <v>80</v>
      </c>
      <c r="D11" s="15">
        <v>1170</v>
      </c>
      <c r="E11" s="15"/>
      <c r="F11" s="15">
        <v>130</v>
      </c>
      <c r="G11" s="15">
        <v>130</v>
      </c>
      <c r="H11" s="15">
        <v>130</v>
      </c>
      <c r="I11" s="15">
        <v>130</v>
      </c>
      <c r="J11" s="15">
        <v>130</v>
      </c>
      <c r="K11" s="15">
        <v>130</v>
      </c>
      <c r="L11" s="15">
        <v>130</v>
      </c>
      <c r="M11" s="15">
        <v>130</v>
      </c>
      <c r="N11" s="15">
        <v>130</v>
      </c>
      <c r="O11" s="15"/>
      <c r="P11" s="15"/>
      <c r="Q11" s="16"/>
      <c r="R11" s="17">
        <f t="shared" si="1"/>
        <v>1170</v>
      </c>
      <c r="S11" s="17">
        <f t="shared" si="2"/>
        <v>0</v>
      </c>
      <c r="T11" s="18">
        <f t="shared" si="3"/>
        <v>1</v>
      </c>
      <c r="U11" s="15"/>
      <c r="V11" s="19" t="str">
        <f t="shared" si="4"/>
        <v/>
      </c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  <c r="JP11" s="13"/>
      <c r="JQ11" s="13"/>
      <c r="JR11" s="13"/>
      <c r="JS11" s="13"/>
      <c r="JT11" s="13"/>
      <c r="JU11" s="13"/>
      <c r="JV11" s="13"/>
      <c r="JW11" s="13"/>
      <c r="JX11" s="13"/>
      <c r="JY11" s="13"/>
      <c r="JZ11" s="13"/>
      <c r="KA11" s="13"/>
      <c r="KB11" s="13"/>
      <c r="KC11" s="13"/>
      <c r="KD11" s="13"/>
      <c r="KE11" s="13"/>
      <c r="KF11" s="13"/>
      <c r="KG11" s="13"/>
      <c r="KH11" s="13"/>
      <c r="KI11" s="13"/>
      <c r="KJ11" s="13"/>
      <c r="KK11" s="13"/>
      <c r="KL11" s="13"/>
      <c r="KM11" s="13"/>
      <c r="KN11" s="13"/>
      <c r="KO11" s="13"/>
      <c r="KP11" s="13"/>
      <c r="KQ11" s="13"/>
      <c r="KR11" s="13"/>
      <c r="KS11" s="13"/>
      <c r="KT11" s="13"/>
      <c r="KU11" s="13"/>
      <c r="KV11" s="13"/>
      <c r="KW11" s="13"/>
      <c r="KX11" s="13"/>
      <c r="KY11" s="13"/>
      <c r="KZ11" s="13"/>
      <c r="LA11" s="13"/>
      <c r="LB11" s="13"/>
      <c r="LC11" s="13"/>
      <c r="LD11" s="13"/>
      <c r="LE11" s="13"/>
      <c r="LF11" s="13"/>
      <c r="LG11" s="13"/>
      <c r="LH11" s="13"/>
      <c r="LI11" s="13"/>
      <c r="LJ11" s="13"/>
      <c r="LK11" s="13"/>
      <c r="LL11" s="13"/>
      <c r="LM11" s="13"/>
      <c r="LN11" s="13"/>
      <c r="LO11" s="13"/>
      <c r="LP11" s="13"/>
      <c r="LQ11" s="13"/>
      <c r="LR11" s="13"/>
      <c r="LS11" s="13"/>
      <c r="LT11" s="13"/>
      <c r="LU11" s="13"/>
      <c r="LV11" s="13"/>
      <c r="LW11" s="13"/>
      <c r="LX11" s="13"/>
      <c r="LY11" s="13"/>
      <c r="LZ11" s="13"/>
      <c r="MA11" s="13"/>
      <c r="MB11" s="13"/>
      <c r="MC11" s="13"/>
      <c r="MD11" s="13"/>
      <c r="ME11" s="13"/>
      <c r="MF11" s="13"/>
      <c r="MG11" s="13"/>
      <c r="MH11" s="13"/>
      <c r="MI11" s="13"/>
      <c r="MJ11" s="13"/>
      <c r="MK11" s="13"/>
      <c r="ML11" s="13"/>
      <c r="MM11" s="13"/>
      <c r="MN11" s="13"/>
      <c r="MO11" s="13"/>
      <c r="MP11" s="13"/>
      <c r="MQ11" s="13"/>
      <c r="MR11" s="13"/>
      <c r="MS11" s="13"/>
      <c r="MT11" s="13"/>
      <c r="MU11" s="13"/>
      <c r="MV11" s="13"/>
      <c r="MW11" s="13"/>
      <c r="MX11" s="13"/>
      <c r="MY11" s="13"/>
      <c r="MZ11" s="13"/>
      <c r="NA11" s="13"/>
      <c r="NB11" s="13"/>
      <c r="NC11" s="13"/>
      <c r="ND11" s="13"/>
      <c r="NE11" s="13"/>
      <c r="NF11" s="13"/>
      <c r="NG11" s="13"/>
      <c r="NH11" s="13"/>
      <c r="NI11" s="13"/>
      <c r="NJ11" s="13"/>
      <c r="NK11" s="13"/>
      <c r="NL11" s="13"/>
      <c r="NM11" s="13"/>
      <c r="NN11" s="13"/>
      <c r="NO11" s="13"/>
      <c r="NP11" s="13"/>
      <c r="NQ11" s="13"/>
      <c r="NR11" s="13"/>
      <c r="NS11" s="13"/>
      <c r="NT11" s="13"/>
      <c r="NU11" s="13"/>
      <c r="NV11" s="13"/>
      <c r="NW11" s="13"/>
      <c r="NX11" s="13"/>
      <c r="NY11" s="13"/>
      <c r="NZ11" s="13"/>
      <c r="OA11" s="13"/>
      <c r="OB11" s="13"/>
      <c r="OC11" s="13"/>
      <c r="OD11" s="13"/>
      <c r="OE11" s="13"/>
      <c r="OF11" s="13"/>
      <c r="OG11" s="13"/>
      <c r="OH11" s="13"/>
      <c r="OI11" s="13"/>
      <c r="OJ11" s="13"/>
      <c r="OK11" s="13"/>
      <c r="OL11" s="13"/>
      <c r="OM11" s="13"/>
      <c r="ON11" s="13"/>
      <c r="OO11" s="13"/>
      <c r="OP11" s="13"/>
      <c r="OQ11" s="13"/>
      <c r="OR11" s="13"/>
      <c r="OS11" s="13"/>
      <c r="OT11" s="13"/>
      <c r="OU11" s="13"/>
      <c r="OV11" s="13"/>
      <c r="OW11" s="13"/>
      <c r="OX11" s="13"/>
      <c r="OY11" s="13"/>
      <c r="OZ11" s="13"/>
      <c r="PA11" s="13"/>
      <c r="PB11" s="13"/>
      <c r="PC11" s="13"/>
      <c r="PD11" s="13"/>
      <c r="PE11" s="13"/>
      <c r="PF11" s="13"/>
      <c r="PG11" s="13"/>
      <c r="PH11" s="13"/>
      <c r="PI11" s="13"/>
      <c r="PJ11" s="13"/>
      <c r="PK11" s="13"/>
      <c r="PL11" s="13"/>
      <c r="PM11" s="13"/>
      <c r="PN11" s="13"/>
      <c r="PO11" s="13"/>
      <c r="PP11" s="13"/>
      <c r="PQ11" s="13"/>
      <c r="PR11" s="13"/>
      <c r="PS11" s="13"/>
      <c r="PT11" s="13"/>
      <c r="PU11" s="13"/>
      <c r="PV11" s="13"/>
      <c r="PW11" s="13"/>
      <c r="PX11" s="13"/>
      <c r="PY11" s="13"/>
      <c r="PZ11" s="13"/>
      <c r="QA11" s="13"/>
    </row>
    <row r="12" spans="1:443" x14ac:dyDescent="0.3">
      <c r="A12" s="14" t="s">
        <v>32</v>
      </c>
      <c r="B12" s="15">
        <v>6</v>
      </c>
      <c r="C12" s="15">
        <v>10</v>
      </c>
      <c r="D12" s="15">
        <v>1170</v>
      </c>
      <c r="E12" s="15"/>
      <c r="F12" s="15">
        <v>65</v>
      </c>
      <c r="G12" s="15">
        <v>130</v>
      </c>
      <c r="H12" s="15">
        <v>130</v>
      </c>
      <c r="I12" s="15">
        <v>130</v>
      </c>
      <c r="J12" s="15">
        <v>130</v>
      </c>
      <c r="K12" s="15">
        <v>130</v>
      </c>
      <c r="L12" s="15">
        <v>130</v>
      </c>
      <c r="M12" s="15">
        <v>130</v>
      </c>
      <c r="N12" s="15">
        <v>130</v>
      </c>
      <c r="O12" s="15">
        <v>65</v>
      </c>
      <c r="P12" s="15"/>
      <c r="Q12" s="16"/>
      <c r="R12" s="17">
        <f t="shared" si="1"/>
        <v>1170</v>
      </c>
      <c r="S12" s="17">
        <f t="shared" si="2"/>
        <v>0</v>
      </c>
      <c r="T12" s="18">
        <f t="shared" si="3"/>
        <v>1</v>
      </c>
      <c r="U12" s="15"/>
      <c r="V12" s="19" t="str">
        <f t="shared" si="4"/>
        <v/>
      </c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  <c r="JP12" s="13"/>
      <c r="JQ12" s="13"/>
      <c r="JR12" s="13"/>
      <c r="JS12" s="13"/>
      <c r="JT12" s="13"/>
      <c r="JU12" s="13"/>
      <c r="JV12" s="13"/>
      <c r="JW12" s="13"/>
      <c r="JX12" s="13"/>
      <c r="JY12" s="13"/>
      <c r="JZ12" s="13"/>
      <c r="KA12" s="13"/>
      <c r="KB12" s="13"/>
      <c r="KC12" s="13"/>
      <c r="KD12" s="13"/>
      <c r="KE12" s="13"/>
      <c r="KF12" s="13"/>
      <c r="KG12" s="13"/>
      <c r="KH12" s="13"/>
      <c r="KI12" s="13"/>
      <c r="KJ12" s="13"/>
      <c r="KK12" s="13"/>
      <c r="KL12" s="13"/>
      <c r="KM12" s="13"/>
      <c r="KN12" s="13"/>
      <c r="KO12" s="13"/>
      <c r="KP12" s="13"/>
      <c r="KQ12" s="13"/>
      <c r="KR12" s="13"/>
      <c r="KS12" s="13"/>
      <c r="KT12" s="13"/>
      <c r="KU12" s="13"/>
      <c r="KV12" s="13"/>
      <c r="KW12" s="13"/>
      <c r="KX12" s="13"/>
      <c r="KY12" s="13"/>
      <c r="KZ12" s="13"/>
      <c r="LA12" s="13"/>
      <c r="LB12" s="13"/>
      <c r="LC12" s="13"/>
      <c r="LD12" s="13"/>
      <c r="LE12" s="13"/>
      <c r="LF12" s="13"/>
      <c r="LG12" s="13"/>
      <c r="LH12" s="13"/>
      <c r="LI12" s="13"/>
      <c r="LJ12" s="13"/>
      <c r="LK12" s="13"/>
      <c r="LL12" s="13"/>
      <c r="LM12" s="13"/>
      <c r="LN12" s="13"/>
      <c r="LO12" s="13"/>
      <c r="LP12" s="13"/>
      <c r="LQ12" s="13"/>
      <c r="LR12" s="13"/>
      <c r="LS12" s="13"/>
      <c r="LT12" s="13"/>
      <c r="LU12" s="13"/>
      <c r="LV12" s="13"/>
      <c r="LW12" s="13"/>
      <c r="LX12" s="13"/>
      <c r="LY12" s="13"/>
      <c r="LZ12" s="13"/>
      <c r="MA12" s="13"/>
      <c r="MB12" s="13"/>
      <c r="MC12" s="13"/>
      <c r="MD12" s="13"/>
      <c r="ME12" s="13"/>
      <c r="MF12" s="13"/>
      <c r="MG12" s="13"/>
      <c r="MH12" s="13"/>
      <c r="MI12" s="13"/>
      <c r="MJ12" s="13"/>
      <c r="MK12" s="13"/>
      <c r="ML12" s="13"/>
      <c r="MM12" s="13"/>
      <c r="MN12" s="13"/>
      <c r="MO12" s="13"/>
      <c r="MP12" s="13"/>
      <c r="MQ12" s="13"/>
      <c r="MR12" s="13"/>
      <c r="MS12" s="13"/>
      <c r="MT12" s="13"/>
      <c r="MU12" s="13"/>
      <c r="MV12" s="13"/>
      <c r="MW12" s="13"/>
      <c r="MX12" s="13"/>
      <c r="MY12" s="13"/>
      <c r="MZ12" s="13"/>
      <c r="NA12" s="13"/>
      <c r="NB12" s="13"/>
      <c r="NC12" s="13"/>
      <c r="ND12" s="13"/>
      <c r="NE12" s="13"/>
      <c r="NF12" s="13"/>
      <c r="NG12" s="13"/>
      <c r="NH12" s="13"/>
      <c r="NI12" s="13"/>
      <c r="NJ12" s="13"/>
      <c r="NK12" s="13"/>
      <c r="NL12" s="13"/>
      <c r="NM12" s="13"/>
      <c r="NN12" s="13"/>
      <c r="NO12" s="13"/>
      <c r="NP12" s="13"/>
      <c r="NQ12" s="13"/>
      <c r="NR12" s="13"/>
      <c r="NS12" s="13"/>
      <c r="NT12" s="13"/>
      <c r="NU12" s="13"/>
      <c r="NV12" s="13"/>
      <c r="NW12" s="13"/>
      <c r="NX12" s="13"/>
      <c r="NY12" s="13"/>
      <c r="NZ12" s="13"/>
      <c r="OA12" s="13"/>
      <c r="OB12" s="13"/>
      <c r="OC12" s="13"/>
      <c r="OD12" s="13"/>
      <c r="OE12" s="13"/>
      <c r="OF12" s="13"/>
      <c r="OG12" s="13"/>
      <c r="OH12" s="13"/>
      <c r="OI12" s="13"/>
      <c r="OJ12" s="13"/>
      <c r="OK12" s="13"/>
      <c r="OL12" s="13"/>
      <c r="OM12" s="13"/>
      <c r="ON12" s="13"/>
      <c r="OO12" s="13"/>
      <c r="OP12" s="13"/>
      <c r="OQ12" s="13"/>
      <c r="OR12" s="13"/>
      <c r="OS12" s="13"/>
      <c r="OT12" s="13"/>
      <c r="OU12" s="13"/>
      <c r="OV12" s="13"/>
      <c r="OW12" s="13"/>
      <c r="OX12" s="13"/>
      <c r="OY12" s="13"/>
      <c r="OZ12" s="13"/>
      <c r="PA12" s="13"/>
      <c r="PB12" s="13"/>
      <c r="PC12" s="13"/>
      <c r="PD12" s="13"/>
      <c r="PE12" s="13"/>
      <c r="PF12" s="13"/>
      <c r="PG12" s="13"/>
      <c r="PH12" s="13"/>
      <c r="PI12" s="13"/>
      <c r="PJ12" s="13"/>
      <c r="PK12" s="13"/>
      <c r="PL12" s="13"/>
      <c r="PM12" s="13"/>
      <c r="PN12" s="13"/>
      <c r="PO12" s="13"/>
      <c r="PP12" s="13"/>
      <c r="PQ12" s="13"/>
      <c r="PR12" s="13"/>
      <c r="PS12" s="13"/>
      <c r="PT12" s="13"/>
      <c r="PU12" s="13"/>
      <c r="PV12" s="13"/>
      <c r="PW12" s="13"/>
      <c r="PX12" s="13"/>
      <c r="PY12" s="13"/>
      <c r="PZ12" s="13"/>
      <c r="QA12" s="13"/>
    </row>
    <row r="13" spans="1:443" x14ac:dyDescent="0.3">
      <c r="A13" s="14" t="s">
        <v>47</v>
      </c>
      <c r="B13" s="15">
        <v>5</v>
      </c>
      <c r="C13" s="15">
        <v>20</v>
      </c>
      <c r="D13" s="15">
        <v>1165</v>
      </c>
      <c r="E13" s="15"/>
      <c r="F13" s="15">
        <v>65</v>
      </c>
      <c r="G13" s="15">
        <v>130</v>
      </c>
      <c r="H13" s="15">
        <v>130</v>
      </c>
      <c r="I13" s="15">
        <v>130</v>
      </c>
      <c r="J13" s="15">
        <v>130</v>
      </c>
      <c r="K13" s="15">
        <v>130</v>
      </c>
      <c r="L13" s="15">
        <v>130</v>
      </c>
      <c r="M13" s="15">
        <v>130</v>
      </c>
      <c r="N13" s="15">
        <v>140</v>
      </c>
      <c r="O13" s="15">
        <v>50</v>
      </c>
      <c r="P13" s="15"/>
      <c r="Q13" s="16"/>
      <c r="R13" s="17">
        <f t="shared" si="1"/>
        <v>1165</v>
      </c>
      <c r="S13" s="17">
        <f t="shared" si="2"/>
        <v>0</v>
      </c>
      <c r="T13" s="18">
        <f t="shared" si="3"/>
        <v>1</v>
      </c>
      <c r="U13" s="15"/>
      <c r="V13" s="19" t="str">
        <f t="shared" si="4"/>
        <v/>
      </c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  <c r="JP13" s="13"/>
      <c r="JQ13" s="13"/>
      <c r="JR13" s="13"/>
      <c r="JS13" s="13"/>
      <c r="JT13" s="13"/>
      <c r="JU13" s="13"/>
      <c r="JV13" s="13"/>
      <c r="JW13" s="13"/>
      <c r="JX13" s="13"/>
      <c r="JY13" s="13"/>
      <c r="JZ13" s="13"/>
      <c r="KA13" s="13"/>
      <c r="KB13" s="13"/>
      <c r="KC13" s="13"/>
      <c r="KD13" s="13"/>
      <c r="KE13" s="13"/>
      <c r="KF13" s="13"/>
      <c r="KG13" s="13"/>
      <c r="KH13" s="13"/>
      <c r="KI13" s="13"/>
      <c r="KJ13" s="13"/>
      <c r="KK13" s="13"/>
      <c r="KL13" s="13"/>
      <c r="KM13" s="13"/>
      <c r="KN13" s="13"/>
      <c r="KO13" s="13"/>
      <c r="KP13" s="13"/>
      <c r="KQ13" s="13"/>
      <c r="KR13" s="13"/>
      <c r="KS13" s="13"/>
      <c r="KT13" s="13"/>
      <c r="KU13" s="13"/>
      <c r="KV13" s="13"/>
      <c r="KW13" s="13"/>
      <c r="KX13" s="13"/>
      <c r="KY13" s="13"/>
      <c r="KZ13" s="13"/>
      <c r="LA13" s="13"/>
      <c r="LB13" s="13"/>
      <c r="LC13" s="13"/>
      <c r="LD13" s="13"/>
      <c r="LE13" s="13"/>
      <c r="LF13" s="13"/>
      <c r="LG13" s="13"/>
      <c r="LH13" s="13"/>
      <c r="LI13" s="13"/>
      <c r="LJ13" s="13"/>
      <c r="LK13" s="13"/>
      <c r="LL13" s="13"/>
      <c r="LM13" s="13"/>
      <c r="LN13" s="13"/>
      <c r="LO13" s="13"/>
      <c r="LP13" s="13"/>
      <c r="LQ13" s="13"/>
      <c r="LR13" s="13"/>
      <c r="LS13" s="13"/>
      <c r="LT13" s="13"/>
      <c r="LU13" s="13"/>
      <c r="LV13" s="13"/>
      <c r="LW13" s="13"/>
      <c r="LX13" s="13"/>
      <c r="LY13" s="13"/>
      <c r="LZ13" s="13"/>
      <c r="MA13" s="13"/>
      <c r="MB13" s="13"/>
      <c r="MC13" s="13"/>
      <c r="MD13" s="13"/>
      <c r="ME13" s="13"/>
      <c r="MF13" s="13"/>
      <c r="MG13" s="13"/>
      <c r="MH13" s="13"/>
      <c r="MI13" s="13"/>
      <c r="MJ13" s="13"/>
      <c r="MK13" s="13"/>
      <c r="ML13" s="13"/>
      <c r="MM13" s="13"/>
      <c r="MN13" s="13"/>
      <c r="MO13" s="13"/>
      <c r="MP13" s="13"/>
      <c r="MQ13" s="13"/>
      <c r="MR13" s="13"/>
      <c r="MS13" s="13"/>
      <c r="MT13" s="13"/>
      <c r="MU13" s="13"/>
      <c r="MV13" s="13"/>
      <c r="MW13" s="13"/>
      <c r="MX13" s="13"/>
      <c r="MY13" s="13"/>
      <c r="MZ13" s="13"/>
      <c r="NA13" s="13"/>
      <c r="NB13" s="13"/>
      <c r="NC13" s="13"/>
      <c r="ND13" s="13"/>
      <c r="NE13" s="13"/>
      <c r="NF13" s="13"/>
      <c r="NG13" s="13"/>
      <c r="NH13" s="13"/>
      <c r="NI13" s="13"/>
      <c r="NJ13" s="13"/>
      <c r="NK13" s="13"/>
      <c r="NL13" s="13"/>
      <c r="NM13" s="13"/>
      <c r="NN13" s="13"/>
      <c r="NO13" s="13"/>
      <c r="NP13" s="13"/>
      <c r="NQ13" s="13"/>
      <c r="NR13" s="13"/>
      <c r="NS13" s="13"/>
      <c r="NT13" s="13"/>
      <c r="NU13" s="13"/>
      <c r="NV13" s="13"/>
      <c r="NW13" s="13"/>
      <c r="NX13" s="13"/>
      <c r="NY13" s="13"/>
      <c r="NZ13" s="13"/>
      <c r="OA13" s="13"/>
      <c r="OB13" s="13"/>
      <c r="OC13" s="13"/>
      <c r="OD13" s="13"/>
      <c r="OE13" s="13"/>
      <c r="OF13" s="13"/>
      <c r="OG13" s="13"/>
      <c r="OH13" s="13"/>
      <c r="OI13" s="13"/>
      <c r="OJ13" s="13"/>
      <c r="OK13" s="13"/>
      <c r="OL13" s="13"/>
      <c r="OM13" s="13"/>
      <c r="ON13" s="13"/>
      <c r="OO13" s="13"/>
      <c r="OP13" s="13"/>
      <c r="OQ13" s="13"/>
      <c r="OR13" s="13"/>
      <c r="OS13" s="13"/>
      <c r="OT13" s="13"/>
      <c r="OU13" s="13"/>
      <c r="OV13" s="13"/>
      <c r="OW13" s="13"/>
      <c r="OX13" s="13"/>
      <c r="OY13" s="13"/>
      <c r="OZ13" s="13"/>
      <c r="PA13" s="13"/>
      <c r="PB13" s="13"/>
      <c r="PC13" s="13"/>
      <c r="PD13" s="13"/>
      <c r="PE13" s="13"/>
      <c r="PF13" s="13"/>
      <c r="PG13" s="13"/>
      <c r="PH13" s="13"/>
      <c r="PI13" s="13"/>
      <c r="PJ13" s="13"/>
      <c r="PK13" s="13"/>
      <c r="PL13" s="13"/>
      <c r="PM13" s="13"/>
      <c r="PN13" s="13"/>
      <c r="PO13" s="13"/>
      <c r="PP13" s="13"/>
      <c r="PQ13" s="13"/>
      <c r="PR13" s="13"/>
      <c r="PS13" s="13"/>
      <c r="PT13" s="13"/>
      <c r="PU13" s="13"/>
      <c r="PV13" s="13"/>
      <c r="PW13" s="13"/>
      <c r="PX13" s="13"/>
      <c r="PY13" s="13"/>
      <c r="PZ13" s="13"/>
      <c r="QA13" s="13"/>
    </row>
    <row r="14" spans="1:443" x14ac:dyDescent="0.3">
      <c r="A14" s="14" t="s">
        <v>29</v>
      </c>
      <c r="B14" s="15">
        <v>6</v>
      </c>
      <c r="C14" s="15"/>
      <c r="D14" s="15">
        <v>1170</v>
      </c>
      <c r="E14" s="15"/>
      <c r="F14" s="15">
        <v>65</v>
      </c>
      <c r="G14" s="15">
        <v>130</v>
      </c>
      <c r="H14" s="15"/>
      <c r="I14" s="15">
        <v>130</v>
      </c>
      <c r="J14" s="15">
        <v>130</v>
      </c>
      <c r="K14" s="15">
        <v>130</v>
      </c>
      <c r="L14" s="15">
        <v>130</v>
      </c>
      <c r="M14" s="20">
        <v>130</v>
      </c>
      <c r="N14" s="15">
        <v>130</v>
      </c>
      <c r="O14" s="15"/>
      <c r="P14" s="15"/>
      <c r="Q14" s="16"/>
      <c r="R14" s="17">
        <f>IF(AND(ISBLANK(D14),ISBLANK(E14),ISBLANK(F14),ISBLANK(G14),ISBLANK(H14),ISBLANK(I14), ISBLANK(J14), ISBLANK(K14), ISBLANK(#REF!), ISBLANK(L14), ISBLANK(N14), ISBLANK(O14), ISBLANK(P14), ISBLANK(Q14)),"",SUM(E14:P14))</f>
        <v>975</v>
      </c>
      <c r="S14" s="17">
        <f>IF(U14&lt;&gt;0,0,IF(AND(ISBLANK(D14),ISBLANK(E14),ISBLANK(F14),ISBLANK(G14),ISBLANK(H14),ISBLANK(I14), ISBLANK(J14), ISBLANK(K14), ISBLANK(#REF!), ISBLANK(L14), ISBLANK(N14), ISBLANK(O14), ISBLANK(P14), ISBLANK(Q14)),"", (D14+E14)-R14))</f>
        <v>195</v>
      </c>
      <c r="T14" s="18">
        <f>IF(U14&lt;&gt;0,1,IF(AND(ISBLANK(D14),ISBLANK(E14),ISBLANK(F14),ISBLANK(G14),ISBLANK(H14),ISBLANK(I14),ISBLANK(J14),ISBLANK(K14),ISBLANK(#REF!),ISBLANK(L14),ISBLANK(N14),ISBLANK(O14),ISBLANK(P14),ISBLANK(Q14)),"",IFERROR((D14-S14)/D14,"")))</f>
        <v>0.83333333333333337</v>
      </c>
      <c r="U14" s="15"/>
      <c r="V14" s="19" t="str">
        <f t="shared" si="4"/>
        <v/>
      </c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  <c r="JP14" s="13"/>
      <c r="JQ14" s="13"/>
      <c r="JR14" s="13"/>
      <c r="JS14" s="13"/>
      <c r="JT14" s="13"/>
      <c r="JU14" s="13"/>
      <c r="JV14" s="13"/>
      <c r="JW14" s="13"/>
      <c r="JX14" s="13"/>
      <c r="JY14" s="13"/>
      <c r="JZ14" s="13"/>
      <c r="KA14" s="13"/>
      <c r="KB14" s="13"/>
      <c r="KC14" s="13"/>
      <c r="KD14" s="13"/>
      <c r="KE14" s="13"/>
      <c r="KF14" s="13"/>
      <c r="KG14" s="13"/>
      <c r="KH14" s="13"/>
      <c r="KI14" s="13"/>
      <c r="KJ14" s="13"/>
      <c r="KK14" s="13"/>
      <c r="KL14" s="13"/>
      <c r="KM14" s="13"/>
      <c r="KN14" s="13"/>
      <c r="KO14" s="13"/>
      <c r="KP14" s="13"/>
      <c r="KQ14" s="13"/>
      <c r="KR14" s="13"/>
      <c r="KS14" s="13"/>
      <c r="KT14" s="13"/>
      <c r="KU14" s="13"/>
      <c r="KV14" s="13"/>
      <c r="KW14" s="13"/>
      <c r="KX14" s="13"/>
      <c r="KY14" s="13"/>
      <c r="KZ14" s="13"/>
      <c r="LA14" s="13"/>
      <c r="LB14" s="13"/>
      <c r="LC14" s="13"/>
      <c r="LD14" s="13"/>
      <c r="LE14" s="13"/>
      <c r="LF14" s="13"/>
      <c r="LG14" s="13"/>
      <c r="LH14" s="13"/>
      <c r="LI14" s="13"/>
      <c r="LJ14" s="13"/>
      <c r="LK14" s="13"/>
      <c r="LL14" s="13"/>
      <c r="LM14" s="13"/>
      <c r="LN14" s="13"/>
      <c r="LO14" s="13"/>
      <c r="LP14" s="13"/>
      <c r="LQ14" s="13"/>
      <c r="LR14" s="13"/>
      <c r="LS14" s="13"/>
      <c r="LT14" s="13"/>
      <c r="LU14" s="13"/>
      <c r="LV14" s="13"/>
      <c r="LW14" s="13"/>
      <c r="LX14" s="13"/>
      <c r="LY14" s="13"/>
      <c r="LZ14" s="13"/>
      <c r="MA14" s="13"/>
      <c r="MB14" s="13"/>
      <c r="MC14" s="13"/>
      <c r="MD14" s="13"/>
      <c r="ME14" s="13"/>
      <c r="MF14" s="13"/>
      <c r="MG14" s="13"/>
      <c r="MH14" s="13"/>
      <c r="MI14" s="13"/>
      <c r="MJ14" s="13"/>
      <c r="MK14" s="13"/>
      <c r="ML14" s="13"/>
      <c r="MM14" s="13"/>
      <c r="MN14" s="13"/>
      <c r="MO14" s="13"/>
      <c r="MP14" s="13"/>
      <c r="MQ14" s="13"/>
      <c r="MR14" s="13"/>
      <c r="MS14" s="13"/>
      <c r="MT14" s="13"/>
      <c r="MU14" s="13"/>
      <c r="MV14" s="13"/>
      <c r="MW14" s="13"/>
      <c r="MX14" s="13"/>
      <c r="MY14" s="13"/>
      <c r="MZ14" s="13"/>
      <c r="NA14" s="13"/>
      <c r="NB14" s="13"/>
      <c r="NC14" s="13"/>
      <c r="ND14" s="13"/>
      <c r="NE14" s="13"/>
      <c r="NF14" s="13"/>
      <c r="NG14" s="13"/>
      <c r="NH14" s="13"/>
      <c r="NI14" s="13"/>
      <c r="NJ14" s="13"/>
      <c r="NK14" s="13"/>
      <c r="NL14" s="13"/>
      <c r="NM14" s="13"/>
      <c r="NN14" s="13"/>
      <c r="NO14" s="13"/>
      <c r="NP14" s="13"/>
      <c r="NQ14" s="13"/>
      <c r="NR14" s="13"/>
      <c r="NS14" s="13"/>
      <c r="NT14" s="13"/>
      <c r="NU14" s="13"/>
      <c r="NV14" s="13"/>
      <c r="NW14" s="13"/>
      <c r="NX14" s="13"/>
      <c r="NY14" s="13"/>
      <c r="NZ14" s="13"/>
      <c r="OA14" s="13"/>
      <c r="OB14" s="13"/>
      <c r="OC14" s="13"/>
      <c r="OD14" s="13"/>
      <c r="OE14" s="13"/>
      <c r="OF14" s="13"/>
      <c r="OG14" s="13"/>
      <c r="OH14" s="13"/>
      <c r="OI14" s="13"/>
      <c r="OJ14" s="13"/>
      <c r="OK14" s="13"/>
      <c r="OL14" s="13"/>
      <c r="OM14" s="13"/>
      <c r="ON14" s="13"/>
      <c r="OO14" s="13"/>
      <c r="OP14" s="13"/>
      <c r="OQ14" s="13"/>
      <c r="OR14" s="13"/>
      <c r="OS14" s="13"/>
      <c r="OT14" s="13"/>
      <c r="OU14" s="13"/>
      <c r="OV14" s="13"/>
      <c r="OW14" s="13"/>
      <c r="OX14" s="13"/>
      <c r="OY14" s="13"/>
      <c r="OZ14" s="13"/>
      <c r="PA14" s="13"/>
      <c r="PB14" s="13"/>
      <c r="PC14" s="13"/>
      <c r="PD14" s="13"/>
      <c r="PE14" s="13"/>
      <c r="PF14" s="13"/>
      <c r="PG14" s="13"/>
      <c r="PH14" s="13"/>
      <c r="PI14" s="13"/>
      <c r="PJ14" s="13"/>
      <c r="PK14" s="13"/>
      <c r="PL14" s="13"/>
      <c r="PM14" s="13"/>
      <c r="PN14" s="13"/>
      <c r="PO14" s="13"/>
      <c r="PP14" s="13"/>
      <c r="PQ14" s="13"/>
      <c r="PR14" s="13"/>
      <c r="PS14" s="13"/>
      <c r="PT14" s="13"/>
      <c r="PU14" s="13"/>
      <c r="PV14" s="13"/>
      <c r="PW14" s="13"/>
      <c r="PX14" s="13"/>
      <c r="PY14" s="13"/>
      <c r="PZ14" s="13"/>
      <c r="QA14" s="13"/>
    </row>
    <row r="15" spans="1:443" x14ac:dyDescent="0.3">
      <c r="A15" s="14" t="s">
        <v>48</v>
      </c>
      <c r="B15" s="15">
        <v>5</v>
      </c>
      <c r="C15" s="15">
        <v>20</v>
      </c>
      <c r="D15" s="15">
        <v>1105</v>
      </c>
      <c r="E15" s="15"/>
      <c r="F15" s="15">
        <v>65</v>
      </c>
      <c r="G15" s="15">
        <v>130</v>
      </c>
      <c r="H15" s="15">
        <v>130</v>
      </c>
      <c r="I15" s="15">
        <v>130</v>
      </c>
      <c r="J15" s="15">
        <v>130</v>
      </c>
      <c r="K15" s="15">
        <v>130</v>
      </c>
      <c r="L15" s="15">
        <v>130</v>
      </c>
      <c r="M15" s="15">
        <v>130</v>
      </c>
      <c r="N15" s="15">
        <v>130</v>
      </c>
      <c r="O15" s="15"/>
      <c r="P15" s="15"/>
      <c r="Q15" s="16"/>
      <c r="R15" s="17">
        <f t="shared" si="1"/>
        <v>1105</v>
      </c>
      <c r="S15" s="17">
        <f t="shared" si="2"/>
        <v>0</v>
      </c>
      <c r="T15" s="18">
        <f t="shared" si="3"/>
        <v>1</v>
      </c>
      <c r="U15" s="15"/>
      <c r="V15" s="19" t="str">
        <f t="shared" si="4"/>
        <v/>
      </c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  <c r="JP15" s="13"/>
      <c r="JQ15" s="13"/>
      <c r="JR15" s="13"/>
      <c r="JS15" s="13"/>
      <c r="JT15" s="13"/>
      <c r="JU15" s="13"/>
      <c r="JV15" s="13"/>
      <c r="JW15" s="13"/>
      <c r="JX15" s="13"/>
      <c r="JY15" s="13"/>
      <c r="JZ15" s="13"/>
      <c r="KA15" s="13"/>
      <c r="KB15" s="13"/>
      <c r="KC15" s="13"/>
      <c r="KD15" s="13"/>
      <c r="KE15" s="13"/>
      <c r="KF15" s="13"/>
      <c r="KG15" s="13"/>
      <c r="KH15" s="13"/>
      <c r="KI15" s="13"/>
      <c r="KJ15" s="13"/>
      <c r="KK15" s="13"/>
      <c r="KL15" s="13"/>
      <c r="KM15" s="13"/>
      <c r="KN15" s="13"/>
      <c r="KO15" s="13"/>
      <c r="KP15" s="13"/>
      <c r="KQ15" s="13"/>
      <c r="KR15" s="13"/>
      <c r="KS15" s="13"/>
      <c r="KT15" s="13"/>
      <c r="KU15" s="13"/>
      <c r="KV15" s="13"/>
      <c r="KW15" s="13"/>
      <c r="KX15" s="13"/>
      <c r="KY15" s="13"/>
      <c r="KZ15" s="13"/>
      <c r="LA15" s="13"/>
      <c r="LB15" s="13"/>
      <c r="LC15" s="13"/>
      <c r="LD15" s="13"/>
      <c r="LE15" s="13"/>
      <c r="LF15" s="13"/>
      <c r="LG15" s="13"/>
      <c r="LH15" s="13"/>
      <c r="LI15" s="13"/>
      <c r="LJ15" s="13"/>
      <c r="LK15" s="13"/>
      <c r="LL15" s="13"/>
      <c r="LM15" s="13"/>
      <c r="LN15" s="13"/>
      <c r="LO15" s="13"/>
      <c r="LP15" s="13"/>
      <c r="LQ15" s="13"/>
      <c r="LR15" s="13"/>
      <c r="LS15" s="13"/>
      <c r="LT15" s="13"/>
      <c r="LU15" s="13"/>
      <c r="LV15" s="13"/>
      <c r="LW15" s="13"/>
      <c r="LX15" s="13"/>
      <c r="LY15" s="13"/>
      <c r="LZ15" s="13"/>
      <c r="MA15" s="13"/>
      <c r="MB15" s="13"/>
      <c r="MC15" s="13"/>
      <c r="MD15" s="13"/>
      <c r="ME15" s="13"/>
      <c r="MF15" s="13"/>
      <c r="MG15" s="13"/>
      <c r="MH15" s="13"/>
      <c r="MI15" s="13"/>
      <c r="MJ15" s="13"/>
      <c r="MK15" s="13"/>
      <c r="ML15" s="13"/>
      <c r="MM15" s="13"/>
      <c r="MN15" s="13"/>
      <c r="MO15" s="13"/>
      <c r="MP15" s="13"/>
      <c r="MQ15" s="13"/>
      <c r="MR15" s="13"/>
      <c r="MS15" s="13"/>
      <c r="MT15" s="13"/>
      <c r="MU15" s="13"/>
      <c r="MV15" s="13"/>
      <c r="MW15" s="13"/>
      <c r="MX15" s="13"/>
      <c r="MY15" s="13"/>
      <c r="MZ15" s="13"/>
      <c r="NA15" s="13"/>
      <c r="NB15" s="13"/>
      <c r="NC15" s="13"/>
      <c r="ND15" s="13"/>
      <c r="NE15" s="13"/>
      <c r="NF15" s="13"/>
      <c r="NG15" s="13"/>
      <c r="NH15" s="13"/>
      <c r="NI15" s="13"/>
      <c r="NJ15" s="13"/>
      <c r="NK15" s="13"/>
      <c r="NL15" s="13"/>
      <c r="NM15" s="13"/>
      <c r="NN15" s="13"/>
      <c r="NO15" s="13"/>
      <c r="NP15" s="13"/>
      <c r="NQ15" s="13"/>
      <c r="NR15" s="13"/>
      <c r="NS15" s="13"/>
      <c r="NT15" s="13"/>
      <c r="NU15" s="13"/>
      <c r="NV15" s="13"/>
      <c r="NW15" s="13"/>
      <c r="NX15" s="13"/>
      <c r="NY15" s="13"/>
      <c r="NZ15" s="13"/>
      <c r="OA15" s="13"/>
      <c r="OB15" s="13"/>
      <c r="OC15" s="13"/>
      <c r="OD15" s="13"/>
      <c r="OE15" s="13"/>
      <c r="OF15" s="13"/>
      <c r="OG15" s="13"/>
      <c r="OH15" s="13"/>
      <c r="OI15" s="13"/>
      <c r="OJ15" s="13"/>
      <c r="OK15" s="13"/>
      <c r="OL15" s="13"/>
      <c r="OM15" s="13"/>
      <c r="ON15" s="13"/>
      <c r="OO15" s="13"/>
      <c r="OP15" s="13"/>
      <c r="OQ15" s="13"/>
      <c r="OR15" s="13"/>
      <c r="OS15" s="13"/>
      <c r="OT15" s="13"/>
      <c r="OU15" s="13"/>
      <c r="OV15" s="13"/>
      <c r="OW15" s="13"/>
      <c r="OX15" s="13"/>
      <c r="OY15" s="13"/>
      <c r="OZ15" s="13"/>
      <c r="PA15" s="13"/>
      <c r="PB15" s="13"/>
      <c r="PC15" s="13"/>
      <c r="PD15" s="13"/>
      <c r="PE15" s="13"/>
      <c r="PF15" s="13"/>
      <c r="PG15" s="13"/>
      <c r="PH15" s="13"/>
      <c r="PI15" s="13"/>
      <c r="PJ15" s="13"/>
      <c r="PK15" s="13"/>
      <c r="PL15" s="13"/>
      <c r="PM15" s="13"/>
      <c r="PN15" s="13"/>
      <c r="PO15" s="13"/>
      <c r="PP15" s="13"/>
      <c r="PQ15" s="13"/>
      <c r="PR15" s="13"/>
      <c r="PS15" s="13"/>
      <c r="PT15" s="13"/>
      <c r="PU15" s="13"/>
      <c r="PV15" s="13"/>
      <c r="PW15" s="13"/>
      <c r="PX15" s="13"/>
      <c r="PY15" s="13"/>
      <c r="PZ15" s="13"/>
      <c r="QA15" s="13"/>
    </row>
    <row r="16" spans="1:443" x14ac:dyDescent="0.3">
      <c r="A16" s="14" t="s">
        <v>25</v>
      </c>
      <c r="B16" s="15">
        <v>6</v>
      </c>
      <c r="C16" s="15">
        <v>20</v>
      </c>
      <c r="D16" s="15">
        <v>765</v>
      </c>
      <c r="E16" s="15"/>
      <c r="F16" s="15"/>
      <c r="G16" s="15">
        <v>90</v>
      </c>
      <c r="H16" s="15">
        <v>90</v>
      </c>
      <c r="I16" s="15" t="s">
        <v>53</v>
      </c>
      <c r="J16" s="15"/>
      <c r="K16" s="15"/>
      <c r="L16" s="15"/>
      <c r="M16" s="15"/>
      <c r="N16" s="15"/>
      <c r="O16" s="15"/>
      <c r="P16" s="15"/>
      <c r="Q16" s="16"/>
      <c r="R16" s="17">
        <f t="shared" si="1"/>
        <v>180</v>
      </c>
      <c r="S16" s="17">
        <f t="shared" si="2"/>
        <v>0</v>
      </c>
      <c r="T16" s="18">
        <f t="shared" si="3"/>
        <v>1</v>
      </c>
      <c r="U16" s="15" t="s">
        <v>50</v>
      </c>
      <c r="V16" s="19">
        <f t="shared" si="4"/>
        <v>585</v>
      </c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  <c r="JP16" s="13"/>
      <c r="JQ16" s="13"/>
      <c r="JR16" s="13"/>
      <c r="JS16" s="13"/>
      <c r="JT16" s="13"/>
      <c r="JU16" s="13"/>
      <c r="JV16" s="13"/>
      <c r="JW16" s="13"/>
      <c r="JX16" s="13"/>
      <c r="JY16" s="13"/>
      <c r="JZ16" s="13"/>
      <c r="KA16" s="13"/>
      <c r="KB16" s="13"/>
      <c r="KC16" s="13"/>
      <c r="KD16" s="13"/>
      <c r="KE16" s="13"/>
      <c r="KF16" s="13"/>
      <c r="KG16" s="13"/>
      <c r="KH16" s="13"/>
      <c r="KI16" s="13"/>
      <c r="KJ16" s="13"/>
      <c r="KK16" s="13"/>
      <c r="KL16" s="13"/>
      <c r="KM16" s="13"/>
      <c r="KN16" s="13"/>
      <c r="KO16" s="13"/>
      <c r="KP16" s="13"/>
      <c r="KQ16" s="13"/>
      <c r="KR16" s="13"/>
      <c r="KS16" s="13"/>
      <c r="KT16" s="13"/>
      <c r="KU16" s="13"/>
      <c r="KV16" s="13"/>
      <c r="KW16" s="13"/>
      <c r="KX16" s="13"/>
      <c r="KY16" s="13"/>
      <c r="KZ16" s="13"/>
      <c r="LA16" s="13"/>
      <c r="LB16" s="13"/>
      <c r="LC16" s="13"/>
      <c r="LD16" s="13"/>
      <c r="LE16" s="13"/>
      <c r="LF16" s="13"/>
      <c r="LG16" s="13"/>
      <c r="LH16" s="13"/>
      <c r="LI16" s="13"/>
      <c r="LJ16" s="13"/>
      <c r="LK16" s="13"/>
      <c r="LL16" s="13"/>
      <c r="LM16" s="13"/>
      <c r="LN16" s="13"/>
      <c r="LO16" s="13"/>
      <c r="LP16" s="13"/>
      <c r="LQ16" s="13"/>
      <c r="LR16" s="13"/>
      <c r="LS16" s="13"/>
      <c r="LT16" s="13"/>
      <c r="LU16" s="13"/>
      <c r="LV16" s="13"/>
      <c r="LW16" s="13"/>
      <c r="LX16" s="13"/>
      <c r="LY16" s="13"/>
      <c r="LZ16" s="13"/>
      <c r="MA16" s="13"/>
      <c r="MB16" s="13"/>
      <c r="MC16" s="13"/>
      <c r="MD16" s="13"/>
      <c r="ME16" s="13"/>
      <c r="MF16" s="13"/>
      <c r="MG16" s="13"/>
      <c r="MH16" s="13"/>
      <c r="MI16" s="13"/>
      <c r="MJ16" s="13"/>
      <c r="MK16" s="13"/>
      <c r="ML16" s="13"/>
      <c r="MM16" s="13"/>
      <c r="MN16" s="13"/>
      <c r="MO16" s="13"/>
      <c r="MP16" s="13"/>
      <c r="MQ16" s="13"/>
      <c r="MR16" s="13"/>
      <c r="MS16" s="13"/>
      <c r="MT16" s="13"/>
      <c r="MU16" s="13"/>
      <c r="MV16" s="13"/>
      <c r="MW16" s="13"/>
      <c r="MX16" s="13"/>
      <c r="MY16" s="13"/>
      <c r="MZ16" s="13"/>
      <c r="NA16" s="13"/>
      <c r="NB16" s="13"/>
      <c r="NC16" s="13"/>
      <c r="ND16" s="13"/>
      <c r="NE16" s="13"/>
      <c r="NF16" s="13"/>
      <c r="NG16" s="13"/>
      <c r="NH16" s="13"/>
      <c r="NI16" s="13"/>
      <c r="NJ16" s="13"/>
      <c r="NK16" s="13"/>
      <c r="NL16" s="13"/>
      <c r="NM16" s="13"/>
      <c r="NN16" s="13"/>
      <c r="NO16" s="13"/>
      <c r="NP16" s="13"/>
      <c r="NQ16" s="13"/>
      <c r="NR16" s="13"/>
      <c r="NS16" s="13"/>
      <c r="NT16" s="13"/>
      <c r="NU16" s="13"/>
      <c r="NV16" s="13"/>
      <c r="NW16" s="13"/>
      <c r="NX16" s="13"/>
      <c r="NY16" s="13"/>
      <c r="NZ16" s="13"/>
      <c r="OA16" s="13"/>
      <c r="OB16" s="13"/>
      <c r="OC16" s="13"/>
      <c r="OD16" s="13"/>
      <c r="OE16" s="13"/>
      <c r="OF16" s="13"/>
      <c r="OG16" s="13"/>
      <c r="OH16" s="13"/>
      <c r="OI16" s="13"/>
      <c r="OJ16" s="13"/>
      <c r="OK16" s="13"/>
      <c r="OL16" s="13"/>
      <c r="OM16" s="13"/>
      <c r="ON16" s="13"/>
      <c r="OO16" s="13"/>
      <c r="OP16" s="13"/>
      <c r="OQ16" s="13"/>
      <c r="OR16" s="13"/>
      <c r="OS16" s="13"/>
      <c r="OT16" s="13"/>
      <c r="OU16" s="13"/>
      <c r="OV16" s="13"/>
      <c r="OW16" s="13"/>
      <c r="OX16" s="13"/>
      <c r="OY16" s="13"/>
      <c r="OZ16" s="13"/>
      <c r="PA16" s="13"/>
      <c r="PB16" s="13"/>
      <c r="PC16" s="13"/>
      <c r="PD16" s="13"/>
      <c r="PE16" s="13"/>
      <c r="PF16" s="13"/>
      <c r="PG16" s="13"/>
      <c r="PH16" s="13"/>
      <c r="PI16" s="13"/>
      <c r="PJ16" s="13"/>
      <c r="PK16" s="13"/>
      <c r="PL16" s="13"/>
      <c r="PM16" s="13"/>
      <c r="PN16" s="13"/>
      <c r="PO16" s="13"/>
      <c r="PP16" s="13"/>
      <c r="PQ16" s="13"/>
      <c r="PR16" s="13"/>
      <c r="PS16" s="13"/>
      <c r="PT16" s="13"/>
      <c r="PU16" s="13"/>
      <c r="PV16" s="13"/>
      <c r="PW16" s="13"/>
      <c r="PX16" s="13"/>
      <c r="PY16" s="13"/>
      <c r="PZ16" s="13"/>
      <c r="QA16" s="13"/>
    </row>
    <row r="17" spans="1:443" x14ac:dyDescent="0.3">
      <c r="A17" s="14" t="s">
        <v>37</v>
      </c>
      <c r="B17" s="15">
        <v>5</v>
      </c>
      <c r="C17" s="15">
        <v>0</v>
      </c>
      <c r="D17" s="15">
        <v>1260</v>
      </c>
      <c r="E17" s="15"/>
      <c r="F17" s="15">
        <v>140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6"/>
      <c r="R17" s="17">
        <f t="shared" si="1"/>
        <v>140</v>
      </c>
      <c r="S17" s="17">
        <f t="shared" si="2"/>
        <v>0</v>
      </c>
      <c r="T17" s="18">
        <f t="shared" si="3"/>
        <v>1</v>
      </c>
      <c r="U17" s="15" t="s">
        <v>50</v>
      </c>
      <c r="V17" s="19">
        <f t="shared" si="4"/>
        <v>1120</v>
      </c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  <c r="JP17" s="13"/>
      <c r="JQ17" s="13"/>
      <c r="JR17" s="13"/>
      <c r="JS17" s="13"/>
      <c r="JT17" s="13"/>
      <c r="JU17" s="13"/>
      <c r="JV17" s="13"/>
      <c r="JW17" s="13"/>
      <c r="JX17" s="13"/>
      <c r="JY17" s="13"/>
      <c r="JZ17" s="13"/>
      <c r="KA17" s="13"/>
      <c r="KB17" s="13"/>
      <c r="KC17" s="13"/>
      <c r="KD17" s="13"/>
      <c r="KE17" s="13"/>
      <c r="KF17" s="13"/>
      <c r="KG17" s="13"/>
      <c r="KH17" s="13"/>
      <c r="KI17" s="13"/>
      <c r="KJ17" s="13"/>
      <c r="KK17" s="13"/>
      <c r="KL17" s="13"/>
      <c r="KM17" s="13"/>
      <c r="KN17" s="13"/>
      <c r="KO17" s="13"/>
      <c r="KP17" s="13"/>
      <c r="KQ17" s="13"/>
      <c r="KR17" s="13"/>
      <c r="KS17" s="13"/>
      <c r="KT17" s="13"/>
      <c r="KU17" s="13"/>
      <c r="KV17" s="13"/>
      <c r="KW17" s="13"/>
      <c r="KX17" s="13"/>
      <c r="KY17" s="13"/>
      <c r="KZ17" s="13"/>
      <c r="LA17" s="13"/>
      <c r="LB17" s="13"/>
      <c r="LC17" s="13"/>
      <c r="LD17" s="13"/>
      <c r="LE17" s="13"/>
      <c r="LF17" s="13"/>
      <c r="LG17" s="13"/>
      <c r="LH17" s="13"/>
      <c r="LI17" s="13"/>
      <c r="LJ17" s="13"/>
      <c r="LK17" s="13"/>
      <c r="LL17" s="13"/>
      <c r="LM17" s="13"/>
      <c r="LN17" s="13"/>
      <c r="LO17" s="13"/>
      <c r="LP17" s="13"/>
      <c r="LQ17" s="13"/>
      <c r="LR17" s="13"/>
      <c r="LS17" s="13"/>
      <c r="LT17" s="13"/>
      <c r="LU17" s="13"/>
      <c r="LV17" s="13"/>
      <c r="LW17" s="13"/>
      <c r="LX17" s="13"/>
      <c r="LY17" s="13"/>
      <c r="LZ17" s="13"/>
      <c r="MA17" s="13"/>
      <c r="MB17" s="13"/>
      <c r="MC17" s="13"/>
      <c r="MD17" s="13"/>
      <c r="ME17" s="13"/>
      <c r="MF17" s="13"/>
      <c r="MG17" s="13"/>
      <c r="MH17" s="13"/>
      <c r="MI17" s="13"/>
      <c r="MJ17" s="13"/>
      <c r="MK17" s="13"/>
      <c r="ML17" s="13"/>
      <c r="MM17" s="13"/>
      <c r="MN17" s="13"/>
      <c r="MO17" s="13"/>
      <c r="MP17" s="13"/>
      <c r="MQ17" s="13"/>
      <c r="MR17" s="13"/>
      <c r="MS17" s="13"/>
      <c r="MT17" s="13"/>
      <c r="MU17" s="13"/>
      <c r="MV17" s="13"/>
      <c r="MW17" s="13"/>
      <c r="MX17" s="13"/>
      <c r="MY17" s="13"/>
      <c r="MZ17" s="13"/>
      <c r="NA17" s="13"/>
      <c r="NB17" s="13"/>
      <c r="NC17" s="13"/>
      <c r="ND17" s="13"/>
      <c r="NE17" s="13"/>
      <c r="NF17" s="13"/>
      <c r="NG17" s="13"/>
      <c r="NH17" s="13"/>
      <c r="NI17" s="13"/>
      <c r="NJ17" s="13"/>
      <c r="NK17" s="13"/>
      <c r="NL17" s="13"/>
      <c r="NM17" s="13"/>
      <c r="NN17" s="13"/>
      <c r="NO17" s="13"/>
      <c r="NP17" s="13"/>
      <c r="NQ17" s="13"/>
      <c r="NR17" s="13"/>
      <c r="NS17" s="13"/>
      <c r="NT17" s="13"/>
      <c r="NU17" s="13"/>
      <c r="NV17" s="13"/>
      <c r="NW17" s="13"/>
      <c r="NX17" s="13"/>
      <c r="NY17" s="13"/>
      <c r="NZ17" s="13"/>
      <c r="OA17" s="13"/>
      <c r="OB17" s="13"/>
      <c r="OC17" s="13"/>
      <c r="OD17" s="13"/>
      <c r="OE17" s="13"/>
      <c r="OF17" s="13"/>
      <c r="OG17" s="13"/>
      <c r="OH17" s="13"/>
      <c r="OI17" s="13"/>
      <c r="OJ17" s="13"/>
      <c r="OK17" s="13"/>
      <c r="OL17" s="13"/>
      <c r="OM17" s="13"/>
      <c r="ON17" s="13"/>
      <c r="OO17" s="13"/>
      <c r="OP17" s="13"/>
      <c r="OQ17" s="13"/>
      <c r="OR17" s="13"/>
      <c r="OS17" s="13"/>
      <c r="OT17" s="13"/>
      <c r="OU17" s="13"/>
      <c r="OV17" s="13"/>
      <c r="OW17" s="13"/>
      <c r="OX17" s="13"/>
      <c r="OY17" s="13"/>
      <c r="OZ17" s="13"/>
      <c r="PA17" s="13"/>
      <c r="PB17" s="13"/>
      <c r="PC17" s="13"/>
      <c r="PD17" s="13"/>
      <c r="PE17" s="13"/>
      <c r="PF17" s="13"/>
      <c r="PG17" s="13"/>
      <c r="PH17" s="13"/>
      <c r="PI17" s="13"/>
      <c r="PJ17" s="13"/>
      <c r="PK17" s="13"/>
      <c r="PL17" s="13"/>
      <c r="PM17" s="13"/>
      <c r="PN17" s="13"/>
      <c r="PO17" s="13"/>
      <c r="PP17" s="13"/>
      <c r="PQ17" s="13"/>
      <c r="PR17" s="13"/>
      <c r="PS17" s="13"/>
      <c r="PT17" s="13"/>
      <c r="PU17" s="13"/>
      <c r="PV17" s="13"/>
      <c r="PW17" s="13"/>
      <c r="PX17" s="13"/>
      <c r="PY17" s="13"/>
      <c r="PZ17" s="13"/>
      <c r="QA17" s="13"/>
    </row>
    <row r="18" spans="1:443" x14ac:dyDescent="0.3">
      <c r="A18" s="14" t="s">
        <v>26</v>
      </c>
      <c r="B18" s="15">
        <v>1</v>
      </c>
      <c r="C18" s="15">
        <v>30</v>
      </c>
      <c r="D18" s="15">
        <v>990</v>
      </c>
      <c r="E18" s="15"/>
      <c r="F18" s="15">
        <v>110</v>
      </c>
      <c r="G18" s="15">
        <v>110</v>
      </c>
      <c r="H18" s="15">
        <v>110</v>
      </c>
      <c r="I18" s="15">
        <v>110</v>
      </c>
      <c r="J18" s="15">
        <v>110</v>
      </c>
      <c r="K18" s="15">
        <v>110</v>
      </c>
      <c r="L18" s="15">
        <v>110</v>
      </c>
      <c r="M18" s="15">
        <v>110</v>
      </c>
      <c r="N18" s="15">
        <v>110</v>
      </c>
      <c r="O18" s="15"/>
      <c r="P18" s="15"/>
      <c r="Q18" s="16"/>
      <c r="R18" s="17">
        <f t="shared" si="1"/>
        <v>990</v>
      </c>
      <c r="S18" s="17">
        <f t="shared" si="2"/>
        <v>0</v>
      </c>
      <c r="T18" s="18">
        <f t="shared" si="3"/>
        <v>1</v>
      </c>
      <c r="U18" s="15"/>
      <c r="V18" s="19" t="str">
        <f t="shared" si="4"/>
        <v/>
      </c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  <c r="JP18" s="13"/>
      <c r="JQ18" s="13"/>
      <c r="JR18" s="13"/>
      <c r="JS18" s="13"/>
      <c r="JT18" s="13"/>
      <c r="JU18" s="13"/>
      <c r="JV18" s="13"/>
      <c r="JW18" s="13"/>
      <c r="JX18" s="13"/>
      <c r="JY18" s="13"/>
      <c r="JZ18" s="13"/>
      <c r="KA18" s="13"/>
      <c r="KB18" s="13"/>
      <c r="KC18" s="13"/>
      <c r="KD18" s="13"/>
      <c r="KE18" s="13"/>
      <c r="KF18" s="13"/>
      <c r="KG18" s="13"/>
      <c r="KH18" s="13"/>
      <c r="KI18" s="13"/>
      <c r="KJ18" s="13"/>
      <c r="KK18" s="13"/>
      <c r="KL18" s="13"/>
      <c r="KM18" s="13"/>
      <c r="KN18" s="13"/>
      <c r="KO18" s="13"/>
      <c r="KP18" s="13"/>
      <c r="KQ18" s="13"/>
      <c r="KR18" s="13"/>
      <c r="KS18" s="13"/>
      <c r="KT18" s="13"/>
      <c r="KU18" s="13"/>
      <c r="KV18" s="13"/>
      <c r="KW18" s="13"/>
      <c r="KX18" s="13"/>
      <c r="KY18" s="13"/>
      <c r="KZ18" s="13"/>
      <c r="LA18" s="13"/>
      <c r="LB18" s="13"/>
      <c r="LC18" s="13"/>
      <c r="LD18" s="13"/>
      <c r="LE18" s="13"/>
      <c r="LF18" s="13"/>
      <c r="LG18" s="13"/>
      <c r="LH18" s="13"/>
      <c r="LI18" s="13"/>
      <c r="LJ18" s="13"/>
      <c r="LK18" s="13"/>
      <c r="LL18" s="13"/>
      <c r="LM18" s="13"/>
      <c r="LN18" s="13"/>
      <c r="LO18" s="13"/>
      <c r="LP18" s="13"/>
      <c r="LQ18" s="13"/>
      <c r="LR18" s="13"/>
      <c r="LS18" s="13"/>
      <c r="LT18" s="13"/>
      <c r="LU18" s="13"/>
      <c r="LV18" s="13"/>
      <c r="LW18" s="13"/>
      <c r="LX18" s="13"/>
      <c r="LY18" s="13"/>
      <c r="LZ18" s="13"/>
      <c r="MA18" s="13"/>
      <c r="MB18" s="13"/>
      <c r="MC18" s="13"/>
      <c r="MD18" s="13"/>
      <c r="ME18" s="13"/>
      <c r="MF18" s="13"/>
      <c r="MG18" s="13"/>
      <c r="MH18" s="13"/>
      <c r="MI18" s="13"/>
      <c r="MJ18" s="13"/>
      <c r="MK18" s="13"/>
      <c r="ML18" s="13"/>
      <c r="MM18" s="13"/>
      <c r="MN18" s="13"/>
      <c r="MO18" s="13"/>
      <c r="MP18" s="13"/>
      <c r="MQ18" s="13"/>
      <c r="MR18" s="13"/>
      <c r="MS18" s="13"/>
      <c r="MT18" s="13"/>
      <c r="MU18" s="13"/>
      <c r="MV18" s="13"/>
      <c r="MW18" s="13"/>
      <c r="MX18" s="13"/>
      <c r="MY18" s="13"/>
      <c r="MZ18" s="13"/>
      <c r="NA18" s="13"/>
      <c r="NB18" s="13"/>
      <c r="NC18" s="13"/>
      <c r="ND18" s="13"/>
      <c r="NE18" s="13"/>
      <c r="NF18" s="13"/>
      <c r="NG18" s="13"/>
      <c r="NH18" s="13"/>
      <c r="NI18" s="13"/>
      <c r="NJ18" s="13"/>
      <c r="NK18" s="13"/>
      <c r="NL18" s="13"/>
      <c r="NM18" s="13"/>
      <c r="NN18" s="13"/>
      <c r="NO18" s="13"/>
      <c r="NP18" s="13"/>
      <c r="NQ18" s="13"/>
      <c r="NR18" s="13"/>
      <c r="NS18" s="13"/>
      <c r="NT18" s="13"/>
      <c r="NU18" s="13"/>
      <c r="NV18" s="13"/>
      <c r="NW18" s="13"/>
      <c r="NX18" s="13"/>
      <c r="NY18" s="13"/>
      <c r="NZ18" s="13"/>
      <c r="OA18" s="13"/>
      <c r="OB18" s="13"/>
      <c r="OC18" s="13"/>
      <c r="OD18" s="13"/>
      <c r="OE18" s="13"/>
      <c r="OF18" s="13"/>
      <c r="OG18" s="13"/>
      <c r="OH18" s="13"/>
      <c r="OI18" s="13"/>
      <c r="OJ18" s="13"/>
      <c r="OK18" s="13"/>
      <c r="OL18" s="13"/>
      <c r="OM18" s="13"/>
      <c r="ON18" s="13"/>
      <c r="OO18" s="13"/>
      <c r="OP18" s="13"/>
      <c r="OQ18" s="13"/>
      <c r="OR18" s="13"/>
      <c r="OS18" s="13"/>
      <c r="OT18" s="13"/>
      <c r="OU18" s="13"/>
      <c r="OV18" s="13"/>
      <c r="OW18" s="13"/>
      <c r="OX18" s="13"/>
      <c r="OY18" s="13"/>
      <c r="OZ18" s="13"/>
      <c r="PA18" s="13"/>
      <c r="PB18" s="13"/>
      <c r="PC18" s="13"/>
      <c r="PD18" s="13"/>
      <c r="PE18" s="13"/>
      <c r="PF18" s="13"/>
      <c r="PG18" s="13"/>
      <c r="PH18" s="13"/>
      <c r="PI18" s="13"/>
      <c r="PJ18" s="13"/>
      <c r="PK18" s="13"/>
      <c r="PL18" s="13"/>
      <c r="PM18" s="13"/>
      <c r="PN18" s="13"/>
      <c r="PO18" s="13"/>
      <c r="PP18" s="13"/>
      <c r="PQ18" s="13"/>
      <c r="PR18" s="13"/>
      <c r="PS18" s="13"/>
      <c r="PT18" s="13"/>
      <c r="PU18" s="13"/>
      <c r="PV18" s="13"/>
      <c r="PW18" s="13"/>
      <c r="PX18" s="13"/>
      <c r="PY18" s="13"/>
      <c r="PZ18" s="13"/>
      <c r="QA18" s="13"/>
    </row>
    <row r="19" spans="1:443" x14ac:dyDescent="0.3">
      <c r="A19" s="14" t="s">
        <v>49</v>
      </c>
      <c r="B19" s="15">
        <v>5</v>
      </c>
      <c r="C19" s="15">
        <v>20</v>
      </c>
      <c r="D19" s="15">
        <v>1105</v>
      </c>
      <c r="E19" s="15"/>
      <c r="F19" s="15">
        <v>65</v>
      </c>
      <c r="G19" s="15">
        <v>130</v>
      </c>
      <c r="H19" s="15">
        <v>130</v>
      </c>
      <c r="I19" s="15">
        <v>130</v>
      </c>
      <c r="J19" s="15">
        <v>130</v>
      </c>
      <c r="K19" s="15">
        <v>130</v>
      </c>
      <c r="L19" s="15">
        <v>130</v>
      </c>
      <c r="M19" s="15">
        <v>130</v>
      </c>
      <c r="N19" s="15">
        <v>130</v>
      </c>
      <c r="O19" s="15"/>
      <c r="P19" s="15"/>
      <c r="Q19" s="16"/>
      <c r="R19" s="17">
        <f t="shared" si="1"/>
        <v>1105</v>
      </c>
      <c r="S19" s="17">
        <f t="shared" si="2"/>
        <v>0</v>
      </c>
      <c r="T19" s="18">
        <f t="shared" si="3"/>
        <v>1</v>
      </c>
      <c r="U19" s="15"/>
      <c r="V19" s="19" t="str">
        <f t="shared" si="4"/>
        <v/>
      </c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  <c r="JP19" s="13"/>
      <c r="JQ19" s="13"/>
      <c r="JR19" s="13"/>
      <c r="JS19" s="13"/>
      <c r="JT19" s="13"/>
      <c r="JU19" s="13"/>
      <c r="JV19" s="13"/>
      <c r="JW19" s="13"/>
      <c r="JX19" s="13"/>
      <c r="JY19" s="13"/>
      <c r="JZ19" s="13"/>
      <c r="KA19" s="13"/>
      <c r="KB19" s="13"/>
      <c r="KC19" s="13"/>
      <c r="KD19" s="13"/>
      <c r="KE19" s="13"/>
      <c r="KF19" s="13"/>
      <c r="KG19" s="13"/>
      <c r="KH19" s="13"/>
      <c r="KI19" s="13"/>
      <c r="KJ19" s="13"/>
      <c r="KK19" s="13"/>
      <c r="KL19" s="13"/>
      <c r="KM19" s="13"/>
      <c r="KN19" s="13"/>
      <c r="KO19" s="13"/>
      <c r="KP19" s="13"/>
      <c r="KQ19" s="13"/>
      <c r="KR19" s="13"/>
      <c r="KS19" s="13"/>
      <c r="KT19" s="13"/>
      <c r="KU19" s="13"/>
      <c r="KV19" s="13"/>
      <c r="KW19" s="13"/>
      <c r="KX19" s="13"/>
      <c r="KY19" s="13"/>
      <c r="KZ19" s="13"/>
      <c r="LA19" s="13"/>
      <c r="LB19" s="13"/>
      <c r="LC19" s="13"/>
      <c r="LD19" s="13"/>
      <c r="LE19" s="13"/>
      <c r="LF19" s="13"/>
      <c r="LG19" s="13"/>
      <c r="LH19" s="13"/>
      <c r="LI19" s="13"/>
      <c r="LJ19" s="13"/>
      <c r="LK19" s="13"/>
      <c r="LL19" s="13"/>
      <c r="LM19" s="13"/>
      <c r="LN19" s="13"/>
      <c r="LO19" s="13"/>
      <c r="LP19" s="13"/>
      <c r="LQ19" s="13"/>
      <c r="LR19" s="13"/>
      <c r="LS19" s="13"/>
      <c r="LT19" s="13"/>
      <c r="LU19" s="13"/>
      <c r="LV19" s="13"/>
      <c r="LW19" s="13"/>
      <c r="LX19" s="13"/>
      <c r="LY19" s="13"/>
      <c r="LZ19" s="13"/>
      <c r="MA19" s="13"/>
      <c r="MB19" s="13"/>
      <c r="MC19" s="13"/>
      <c r="MD19" s="13"/>
      <c r="ME19" s="13"/>
      <c r="MF19" s="13"/>
      <c r="MG19" s="13"/>
      <c r="MH19" s="13"/>
      <c r="MI19" s="13"/>
      <c r="MJ19" s="13"/>
      <c r="MK19" s="13"/>
      <c r="ML19" s="13"/>
      <c r="MM19" s="13"/>
      <c r="MN19" s="13"/>
      <c r="MO19" s="13"/>
      <c r="MP19" s="13"/>
      <c r="MQ19" s="13"/>
      <c r="MR19" s="13"/>
      <c r="MS19" s="13"/>
      <c r="MT19" s="13"/>
      <c r="MU19" s="13"/>
      <c r="MV19" s="13"/>
      <c r="MW19" s="13"/>
      <c r="MX19" s="13"/>
      <c r="MY19" s="13"/>
      <c r="MZ19" s="13"/>
      <c r="NA19" s="13"/>
      <c r="NB19" s="13"/>
      <c r="NC19" s="13"/>
      <c r="ND19" s="13"/>
      <c r="NE19" s="13"/>
      <c r="NF19" s="13"/>
      <c r="NG19" s="13"/>
      <c r="NH19" s="13"/>
      <c r="NI19" s="13"/>
      <c r="NJ19" s="13"/>
      <c r="NK19" s="13"/>
      <c r="NL19" s="13"/>
      <c r="NM19" s="13"/>
      <c r="NN19" s="13"/>
      <c r="NO19" s="13"/>
      <c r="NP19" s="13"/>
      <c r="NQ19" s="13"/>
      <c r="NR19" s="13"/>
      <c r="NS19" s="13"/>
      <c r="NT19" s="13"/>
      <c r="NU19" s="13"/>
      <c r="NV19" s="13"/>
      <c r="NW19" s="13"/>
      <c r="NX19" s="13"/>
      <c r="NY19" s="13"/>
      <c r="NZ19" s="13"/>
      <c r="OA19" s="13"/>
      <c r="OB19" s="13"/>
      <c r="OC19" s="13"/>
      <c r="OD19" s="13"/>
      <c r="OE19" s="13"/>
      <c r="OF19" s="13"/>
      <c r="OG19" s="13"/>
      <c r="OH19" s="13"/>
      <c r="OI19" s="13"/>
      <c r="OJ19" s="13"/>
      <c r="OK19" s="13"/>
      <c r="OL19" s="13"/>
      <c r="OM19" s="13"/>
      <c r="ON19" s="13"/>
      <c r="OO19" s="13"/>
      <c r="OP19" s="13"/>
      <c r="OQ19" s="13"/>
      <c r="OR19" s="13"/>
      <c r="OS19" s="13"/>
      <c r="OT19" s="13"/>
      <c r="OU19" s="13"/>
      <c r="OV19" s="13"/>
      <c r="OW19" s="13"/>
      <c r="OX19" s="13"/>
      <c r="OY19" s="13"/>
      <c r="OZ19" s="13"/>
      <c r="PA19" s="13"/>
      <c r="PB19" s="13"/>
      <c r="PC19" s="13"/>
      <c r="PD19" s="13"/>
      <c r="PE19" s="13"/>
      <c r="PF19" s="13"/>
      <c r="PG19" s="13"/>
      <c r="PH19" s="13"/>
      <c r="PI19" s="13"/>
      <c r="PJ19" s="13"/>
      <c r="PK19" s="13"/>
      <c r="PL19" s="13"/>
      <c r="PM19" s="13"/>
      <c r="PN19" s="13"/>
      <c r="PO19" s="13"/>
      <c r="PP19" s="13"/>
      <c r="PQ19" s="13"/>
      <c r="PR19" s="13"/>
      <c r="PS19" s="13"/>
      <c r="PT19" s="13"/>
      <c r="PU19" s="13"/>
      <c r="PV19" s="13"/>
      <c r="PW19" s="13"/>
      <c r="PX19" s="13"/>
      <c r="PY19" s="13"/>
      <c r="PZ19" s="13"/>
      <c r="QA19" s="13"/>
    </row>
    <row r="20" spans="1:443" x14ac:dyDescent="0.3">
      <c r="A20" s="14" t="s">
        <v>43</v>
      </c>
      <c r="B20" s="15">
        <v>5</v>
      </c>
      <c r="C20" s="15"/>
      <c r="D20" s="15">
        <v>1260</v>
      </c>
      <c r="E20" s="15"/>
      <c r="F20" s="15">
        <v>140</v>
      </c>
      <c r="G20" s="15">
        <v>140</v>
      </c>
      <c r="H20" s="15">
        <v>140</v>
      </c>
      <c r="I20" s="15">
        <v>140</v>
      </c>
      <c r="J20" s="15">
        <v>140</v>
      </c>
      <c r="K20" s="15">
        <v>140</v>
      </c>
      <c r="L20" s="15">
        <v>140</v>
      </c>
      <c r="M20" s="15">
        <v>130</v>
      </c>
      <c r="N20" s="15"/>
      <c r="O20" s="15"/>
      <c r="P20" s="15"/>
      <c r="Q20" s="16"/>
      <c r="R20" s="17">
        <f t="shared" si="1"/>
        <v>1110</v>
      </c>
      <c r="S20" s="17">
        <f t="shared" si="2"/>
        <v>0</v>
      </c>
      <c r="T20" s="18">
        <f t="shared" si="3"/>
        <v>1</v>
      </c>
      <c r="U20" s="15" t="s">
        <v>56</v>
      </c>
      <c r="V20" s="19">
        <f t="shared" si="4"/>
        <v>150</v>
      </c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  <c r="JP20" s="13"/>
      <c r="JQ20" s="13"/>
      <c r="JR20" s="13"/>
      <c r="JS20" s="13"/>
      <c r="JT20" s="13"/>
      <c r="JU20" s="13"/>
      <c r="JV20" s="13"/>
      <c r="JW20" s="13"/>
      <c r="JX20" s="13"/>
      <c r="JY20" s="13"/>
      <c r="JZ20" s="13"/>
      <c r="KA20" s="13"/>
      <c r="KB20" s="13"/>
      <c r="KC20" s="13"/>
      <c r="KD20" s="13"/>
      <c r="KE20" s="13"/>
      <c r="KF20" s="13"/>
      <c r="KG20" s="13"/>
      <c r="KH20" s="13"/>
      <c r="KI20" s="13"/>
      <c r="KJ20" s="13"/>
      <c r="KK20" s="13"/>
      <c r="KL20" s="13"/>
      <c r="KM20" s="13"/>
      <c r="KN20" s="13"/>
      <c r="KO20" s="13"/>
      <c r="KP20" s="13"/>
      <c r="KQ20" s="13"/>
      <c r="KR20" s="13"/>
      <c r="KS20" s="13"/>
      <c r="KT20" s="13"/>
      <c r="KU20" s="13"/>
      <c r="KV20" s="13"/>
      <c r="KW20" s="13"/>
      <c r="KX20" s="13"/>
      <c r="KY20" s="13"/>
      <c r="KZ20" s="13"/>
      <c r="LA20" s="13"/>
      <c r="LB20" s="13"/>
      <c r="LC20" s="13"/>
      <c r="LD20" s="13"/>
      <c r="LE20" s="13"/>
      <c r="LF20" s="13"/>
      <c r="LG20" s="13"/>
      <c r="LH20" s="13"/>
      <c r="LI20" s="13"/>
      <c r="LJ20" s="13"/>
      <c r="LK20" s="13"/>
      <c r="LL20" s="13"/>
      <c r="LM20" s="13"/>
      <c r="LN20" s="13"/>
      <c r="LO20" s="13"/>
      <c r="LP20" s="13"/>
      <c r="LQ20" s="13"/>
      <c r="LR20" s="13"/>
      <c r="LS20" s="13"/>
      <c r="LT20" s="13"/>
      <c r="LU20" s="13"/>
      <c r="LV20" s="13"/>
      <c r="LW20" s="13"/>
      <c r="LX20" s="13"/>
      <c r="LY20" s="13"/>
      <c r="LZ20" s="13"/>
      <c r="MA20" s="13"/>
      <c r="MB20" s="13"/>
      <c r="MC20" s="13"/>
      <c r="MD20" s="13"/>
      <c r="ME20" s="13"/>
      <c r="MF20" s="13"/>
      <c r="MG20" s="13"/>
      <c r="MH20" s="13"/>
      <c r="MI20" s="13"/>
      <c r="MJ20" s="13"/>
      <c r="MK20" s="13"/>
      <c r="ML20" s="13"/>
      <c r="MM20" s="13"/>
      <c r="MN20" s="13"/>
      <c r="MO20" s="13"/>
      <c r="MP20" s="13"/>
      <c r="MQ20" s="13"/>
      <c r="MR20" s="13"/>
      <c r="MS20" s="13"/>
      <c r="MT20" s="13"/>
      <c r="MU20" s="13"/>
      <c r="MV20" s="13"/>
      <c r="MW20" s="13"/>
      <c r="MX20" s="13"/>
      <c r="MY20" s="13"/>
      <c r="MZ20" s="13"/>
      <c r="NA20" s="13"/>
      <c r="NB20" s="13"/>
      <c r="NC20" s="13"/>
      <c r="ND20" s="13"/>
      <c r="NE20" s="13"/>
      <c r="NF20" s="13"/>
      <c r="NG20" s="13"/>
      <c r="NH20" s="13"/>
      <c r="NI20" s="13"/>
      <c r="NJ20" s="13"/>
      <c r="NK20" s="13"/>
      <c r="NL20" s="13"/>
      <c r="NM20" s="13"/>
      <c r="NN20" s="13"/>
      <c r="NO20" s="13"/>
      <c r="NP20" s="13"/>
      <c r="NQ20" s="13"/>
      <c r="NR20" s="13"/>
      <c r="NS20" s="13"/>
      <c r="NT20" s="13"/>
      <c r="NU20" s="13"/>
      <c r="NV20" s="13"/>
      <c r="NW20" s="13"/>
      <c r="NX20" s="13"/>
      <c r="NY20" s="13"/>
      <c r="NZ20" s="13"/>
      <c r="OA20" s="13"/>
      <c r="OB20" s="13"/>
      <c r="OC20" s="13"/>
      <c r="OD20" s="13"/>
      <c r="OE20" s="13"/>
      <c r="OF20" s="13"/>
      <c r="OG20" s="13"/>
      <c r="OH20" s="13"/>
      <c r="OI20" s="13"/>
      <c r="OJ20" s="13"/>
      <c r="OK20" s="13"/>
      <c r="OL20" s="13"/>
      <c r="OM20" s="13"/>
      <c r="ON20" s="13"/>
      <c r="OO20" s="13"/>
      <c r="OP20" s="13"/>
      <c r="OQ20" s="13"/>
      <c r="OR20" s="13"/>
      <c r="OS20" s="13"/>
      <c r="OT20" s="13"/>
      <c r="OU20" s="13"/>
      <c r="OV20" s="13"/>
      <c r="OW20" s="13"/>
      <c r="OX20" s="13"/>
      <c r="OY20" s="13"/>
      <c r="OZ20" s="13"/>
      <c r="PA20" s="13"/>
      <c r="PB20" s="13"/>
      <c r="PC20" s="13"/>
      <c r="PD20" s="13"/>
      <c r="PE20" s="13"/>
      <c r="PF20" s="13"/>
      <c r="PG20" s="13"/>
      <c r="PH20" s="13"/>
      <c r="PI20" s="13"/>
      <c r="PJ20" s="13"/>
      <c r="PK20" s="13"/>
      <c r="PL20" s="13"/>
      <c r="PM20" s="13"/>
      <c r="PN20" s="13"/>
      <c r="PO20" s="13"/>
      <c r="PP20" s="13"/>
      <c r="PQ20" s="13"/>
      <c r="PR20" s="13"/>
      <c r="PS20" s="13"/>
      <c r="PT20" s="13"/>
      <c r="PU20" s="13"/>
      <c r="PV20" s="13"/>
      <c r="PW20" s="13"/>
      <c r="PX20" s="13"/>
      <c r="PY20" s="13"/>
      <c r="PZ20" s="13"/>
      <c r="QA20" s="13"/>
    </row>
    <row r="21" spans="1:443" x14ac:dyDescent="0.3">
      <c r="A21" s="14" t="s">
        <v>35</v>
      </c>
      <c r="B21" s="15">
        <v>3</v>
      </c>
      <c r="C21" s="15">
        <v>50</v>
      </c>
      <c r="D21" s="15">
        <v>1080</v>
      </c>
      <c r="E21" s="15"/>
      <c r="F21" s="15">
        <v>60</v>
      </c>
      <c r="G21" s="15">
        <v>120</v>
      </c>
      <c r="H21" s="15">
        <v>120</v>
      </c>
      <c r="I21" s="15">
        <v>120</v>
      </c>
      <c r="J21" s="15">
        <v>120</v>
      </c>
      <c r="K21" s="15">
        <v>120</v>
      </c>
      <c r="L21" s="15">
        <v>120</v>
      </c>
      <c r="M21" s="15">
        <v>120</v>
      </c>
      <c r="N21" s="15">
        <v>120</v>
      </c>
      <c r="O21" s="15">
        <v>60</v>
      </c>
      <c r="P21" s="15"/>
      <c r="Q21" s="16"/>
      <c r="R21" s="17">
        <f t="shared" si="1"/>
        <v>1080</v>
      </c>
      <c r="S21" s="17">
        <f t="shared" si="2"/>
        <v>0</v>
      </c>
      <c r="T21" s="18">
        <f t="shared" si="3"/>
        <v>1</v>
      </c>
      <c r="U21" s="15"/>
      <c r="V21" s="19" t="str">
        <f t="shared" si="4"/>
        <v/>
      </c>
    </row>
    <row r="22" spans="1:443" x14ac:dyDescent="0.3">
      <c r="A22" s="14" t="s">
        <v>45</v>
      </c>
      <c r="B22" s="15">
        <v>2</v>
      </c>
      <c r="C22" s="15"/>
      <c r="D22" s="15">
        <v>990</v>
      </c>
      <c r="E22" s="15"/>
      <c r="F22" s="15">
        <v>55</v>
      </c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6"/>
      <c r="R22" s="17">
        <f t="shared" si="1"/>
        <v>55</v>
      </c>
      <c r="S22" s="17">
        <f t="shared" si="2"/>
        <v>0</v>
      </c>
      <c r="T22" s="18">
        <f t="shared" si="3"/>
        <v>1</v>
      </c>
      <c r="U22" s="15" t="s">
        <v>50</v>
      </c>
      <c r="V22" s="19">
        <f t="shared" si="4"/>
        <v>935</v>
      </c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  <c r="JP22" s="13"/>
      <c r="JQ22" s="13"/>
      <c r="JR22" s="13"/>
      <c r="JS22" s="13"/>
      <c r="JT22" s="13"/>
      <c r="JU22" s="13"/>
      <c r="JV22" s="13"/>
      <c r="JW22" s="13"/>
      <c r="JX22" s="13"/>
      <c r="JY22" s="13"/>
      <c r="JZ22" s="13"/>
      <c r="KA22" s="13"/>
      <c r="KB22" s="13"/>
      <c r="KC22" s="13"/>
      <c r="KD22" s="13"/>
      <c r="KE22" s="13"/>
      <c r="KF22" s="13"/>
      <c r="KG22" s="13"/>
      <c r="KH22" s="13"/>
      <c r="KI22" s="13"/>
      <c r="KJ22" s="13"/>
      <c r="KK22" s="13"/>
      <c r="KL22" s="13"/>
      <c r="KM22" s="13"/>
      <c r="KN22" s="13"/>
      <c r="KO22" s="13"/>
      <c r="KP22" s="13"/>
      <c r="KQ22" s="13"/>
      <c r="KR22" s="13"/>
      <c r="KS22" s="13"/>
      <c r="KT22" s="13"/>
      <c r="KU22" s="13"/>
      <c r="KV22" s="13"/>
      <c r="KW22" s="13"/>
      <c r="KX22" s="13"/>
      <c r="KY22" s="13"/>
      <c r="KZ22" s="13"/>
      <c r="LA22" s="13"/>
      <c r="LB22" s="13"/>
      <c r="LC22" s="13"/>
      <c r="LD22" s="13"/>
      <c r="LE22" s="13"/>
      <c r="LF22" s="13"/>
      <c r="LG22" s="13"/>
      <c r="LH22" s="13"/>
      <c r="LI22" s="13"/>
      <c r="LJ22" s="13"/>
      <c r="LK22" s="13"/>
      <c r="LL22" s="13"/>
      <c r="LM22" s="13"/>
      <c r="LN22" s="13"/>
      <c r="LO22" s="13"/>
      <c r="LP22" s="13"/>
      <c r="LQ22" s="13"/>
      <c r="LR22" s="13"/>
      <c r="LS22" s="13"/>
      <c r="LT22" s="13"/>
      <c r="LU22" s="13"/>
      <c r="LV22" s="13"/>
      <c r="LW22" s="13"/>
      <c r="LX22" s="13"/>
      <c r="LY22" s="13"/>
      <c r="LZ22" s="13"/>
      <c r="MA22" s="13"/>
      <c r="MB22" s="13"/>
      <c r="MC22" s="13"/>
      <c r="MD22" s="13"/>
      <c r="ME22" s="13"/>
      <c r="MF22" s="13"/>
      <c r="MG22" s="13"/>
      <c r="MH22" s="13"/>
      <c r="MI22" s="13"/>
      <c r="MJ22" s="13"/>
      <c r="MK22" s="13"/>
      <c r="ML22" s="13"/>
      <c r="MM22" s="13"/>
      <c r="MN22" s="13"/>
      <c r="MO22" s="13"/>
      <c r="MP22" s="13"/>
      <c r="MQ22" s="13"/>
      <c r="MR22" s="13"/>
      <c r="MS22" s="13"/>
      <c r="MT22" s="13"/>
      <c r="MU22" s="13"/>
      <c r="MV22" s="13"/>
      <c r="MW22" s="13"/>
      <c r="MX22" s="13"/>
      <c r="MY22" s="13"/>
      <c r="MZ22" s="13"/>
      <c r="NA22" s="13"/>
      <c r="NB22" s="13"/>
      <c r="NC22" s="13"/>
      <c r="ND22" s="13"/>
      <c r="NE22" s="13"/>
      <c r="NF22" s="13"/>
      <c r="NG22" s="13"/>
      <c r="NH22" s="13"/>
      <c r="NI22" s="13"/>
      <c r="NJ22" s="13"/>
      <c r="NK22" s="13"/>
      <c r="NL22" s="13"/>
      <c r="NM22" s="13"/>
      <c r="NN22" s="13"/>
      <c r="NO22" s="13"/>
      <c r="NP22" s="13"/>
      <c r="NQ22" s="13"/>
      <c r="NR22" s="13"/>
      <c r="NS22" s="13"/>
      <c r="NT22" s="13"/>
      <c r="NU22" s="13"/>
      <c r="NV22" s="13"/>
      <c r="NW22" s="13"/>
      <c r="NX22" s="13"/>
      <c r="NY22" s="13"/>
      <c r="NZ22" s="13"/>
      <c r="OA22" s="13"/>
      <c r="OB22" s="13"/>
      <c r="OC22" s="13"/>
      <c r="OD22" s="13"/>
      <c r="OE22" s="13"/>
      <c r="OF22" s="13"/>
      <c r="OG22" s="13"/>
      <c r="OH22" s="13"/>
      <c r="OI22" s="13"/>
      <c r="OJ22" s="13"/>
      <c r="OK22" s="13"/>
      <c r="OL22" s="13"/>
      <c r="OM22" s="13"/>
      <c r="ON22" s="13"/>
      <c r="OO22" s="13"/>
      <c r="OP22" s="13"/>
      <c r="OQ22" s="13"/>
      <c r="OR22" s="13"/>
      <c r="OS22" s="13"/>
      <c r="OT22" s="13"/>
      <c r="OU22" s="13"/>
      <c r="OV22" s="13"/>
      <c r="OW22" s="13"/>
      <c r="OX22" s="13"/>
      <c r="OY22" s="13"/>
      <c r="OZ22" s="13"/>
      <c r="PA22" s="13"/>
      <c r="PB22" s="13"/>
      <c r="PC22" s="13"/>
      <c r="PD22" s="13"/>
      <c r="PE22" s="13"/>
      <c r="PF22" s="13"/>
      <c r="PG22" s="13"/>
      <c r="PH22" s="13"/>
      <c r="PI22" s="13"/>
      <c r="PJ22" s="13"/>
      <c r="PK22" s="13"/>
      <c r="PL22" s="13"/>
      <c r="PM22" s="13"/>
      <c r="PN22" s="13"/>
      <c r="PO22" s="13"/>
      <c r="PP22" s="13"/>
      <c r="PQ22" s="13"/>
      <c r="PR22" s="13"/>
      <c r="PS22" s="13"/>
      <c r="PT22" s="13"/>
      <c r="PU22" s="13"/>
      <c r="PV22" s="13"/>
      <c r="PW22" s="13"/>
      <c r="PX22" s="13"/>
      <c r="PY22" s="13"/>
      <c r="PZ22" s="13"/>
      <c r="QA22" s="13"/>
    </row>
    <row r="23" spans="1:443" s="23" customFormat="1" x14ac:dyDescent="0.3">
      <c r="A23" s="14" t="s">
        <v>31</v>
      </c>
      <c r="B23" s="15">
        <v>6</v>
      </c>
      <c r="C23" s="15"/>
      <c r="D23" s="15">
        <v>1170</v>
      </c>
      <c r="E23" s="15"/>
      <c r="F23" s="15">
        <v>65</v>
      </c>
      <c r="G23" s="15">
        <v>130</v>
      </c>
      <c r="H23" s="15">
        <v>130</v>
      </c>
      <c r="I23" s="15">
        <v>130</v>
      </c>
      <c r="J23" s="15">
        <v>130</v>
      </c>
      <c r="K23" s="15">
        <v>120</v>
      </c>
      <c r="L23" s="15">
        <v>120</v>
      </c>
      <c r="M23" s="15">
        <v>130</v>
      </c>
      <c r="N23" s="15">
        <v>131</v>
      </c>
      <c r="O23" s="15">
        <v>84</v>
      </c>
      <c r="P23" s="15"/>
      <c r="Q23" s="16"/>
      <c r="R23" s="17">
        <f t="shared" si="1"/>
        <v>1170</v>
      </c>
      <c r="S23" s="17">
        <f t="shared" si="2"/>
        <v>0</v>
      </c>
      <c r="T23" s="18">
        <f t="shared" si="3"/>
        <v>1</v>
      </c>
      <c r="U23" s="15"/>
      <c r="V23" s="19" t="str">
        <f t="shared" si="4"/>
        <v/>
      </c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  <c r="JP23" s="13"/>
      <c r="JQ23" s="13"/>
      <c r="JR23" s="13"/>
      <c r="JS23" s="13"/>
      <c r="JT23" s="13"/>
      <c r="JU23" s="13"/>
      <c r="JV23" s="13"/>
      <c r="JW23" s="13"/>
      <c r="JX23" s="13"/>
      <c r="JY23" s="13"/>
      <c r="JZ23" s="13"/>
      <c r="KA23" s="13"/>
      <c r="KB23" s="13"/>
      <c r="KC23" s="13"/>
      <c r="KD23" s="13"/>
      <c r="KE23" s="13"/>
      <c r="KF23" s="13"/>
      <c r="KG23" s="13"/>
      <c r="KH23" s="13"/>
      <c r="KI23" s="13"/>
      <c r="KJ23" s="13"/>
      <c r="KK23" s="13"/>
      <c r="KL23" s="13"/>
      <c r="KM23" s="13"/>
      <c r="KN23" s="13"/>
      <c r="KO23" s="13"/>
      <c r="KP23" s="13"/>
      <c r="KQ23" s="13"/>
      <c r="KR23" s="13"/>
      <c r="KS23" s="13"/>
      <c r="KT23" s="13"/>
      <c r="KU23" s="13"/>
      <c r="KV23" s="13"/>
      <c r="KW23" s="13"/>
      <c r="KX23" s="13"/>
      <c r="KY23" s="13"/>
      <c r="KZ23" s="13"/>
      <c r="LA23" s="13"/>
      <c r="LB23" s="13"/>
      <c r="LC23" s="13"/>
      <c r="LD23" s="13"/>
      <c r="LE23" s="13"/>
      <c r="LF23" s="13"/>
      <c r="LG23" s="13"/>
      <c r="LH23" s="13"/>
      <c r="LI23" s="13"/>
      <c r="LJ23" s="13"/>
      <c r="LK23" s="13"/>
      <c r="LL23" s="13"/>
      <c r="LM23" s="13"/>
      <c r="LN23" s="13"/>
      <c r="LO23" s="13"/>
      <c r="LP23" s="13"/>
      <c r="LQ23" s="13"/>
      <c r="LR23" s="13"/>
      <c r="LS23" s="13"/>
      <c r="LT23" s="13"/>
      <c r="LU23" s="13"/>
      <c r="LV23" s="13"/>
      <c r="LW23" s="13"/>
      <c r="LX23" s="13"/>
      <c r="LY23" s="13"/>
      <c r="LZ23" s="13"/>
      <c r="MA23" s="13"/>
      <c r="MB23" s="13"/>
      <c r="MC23" s="13"/>
      <c r="MD23" s="13"/>
      <c r="ME23" s="13"/>
      <c r="MF23" s="13"/>
      <c r="MG23" s="13"/>
      <c r="MH23" s="13"/>
      <c r="MI23" s="13"/>
      <c r="MJ23" s="13"/>
      <c r="MK23" s="13"/>
      <c r="ML23" s="13"/>
      <c r="MM23" s="13"/>
      <c r="MN23" s="13"/>
      <c r="MO23" s="13"/>
      <c r="MP23" s="13"/>
      <c r="MQ23" s="13"/>
      <c r="MR23" s="13"/>
      <c r="MS23" s="13"/>
      <c r="MT23" s="13"/>
      <c r="MU23" s="13"/>
      <c r="MV23" s="13"/>
      <c r="MW23" s="13"/>
      <c r="MX23" s="13"/>
      <c r="MY23" s="13"/>
      <c r="MZ23" s="13"/>
      <c r="NA23" s="13"/>
      <c r="NB23" s="13"/>
      <c r="NC23" s="13"/>
      <c r="ND23" s="13"/>
      <c r="NE23" s="13"/>
      <c r="NF23" s="13"/>
      <c r="NG23" s="13"/>
      <c r="NH23" s="13"/>
      <c r="NI23" s="13"/>
      <c r="NJ23" s="13"/>
      <c r="NK23" s="13"/>
      <c r="NL23" s="13"/>
      <c r="NM23" s="13"/>
      <c r="NN23" s="13"/>
      <c r="NO23" s="13"/>
      <c r="NP23" s="13"/>
      <c r="NQ23" s="13"/>
      <c r="NR23" s="13"/>
      <c r="NS23" s="13"/>
      <c r="NT23" s="13"/>
      <c r="NU23" s="13"/>
      <c r="NV23" s="13"/>
      <c r="NW23" s="13"/>
      <c r="NX23" s="13"/>
      <c r="NY23" s="13"/>
      <c r="NZ23" s="13"/>
      <c r="OA23" s="13"/>
      <c r="OB23" s="13"/>
      <c r="OC23" s="13"/>
      <c r="OD23" s="13"/>
      <c r="OE23" s="13"/>
      <c r="OF23" s="13"/>
      <c r="OG23" s="13"/>
      <c r="OH23" s="13"/>
      <c r="OI23" s="13"/>
      <c r="OJ23" s="13"/>
      <c r="OK23" s="13"/>
      <c r="OL23" s="13"/>
      <c r="OM23" s="13"/>
      <c r="ON23" s="13"/>
      <c r="OO23" s="13"/>
      <c r="OP23" s="13"/>
      <c r="OQ23" s="13"/>
      <c r="OR23" s="13"/>
      <c r="OS23" s="13"/>
      <c r="OT23" s="13"/>
      <c r="OU23" s="13"/>
      <c r="OV23" s="13"/>
      <c r="OW23" s="13"/>
      <c r="OX23" s="13"/>
      <c r="OY23" s="13"/>
      <c r="OZ23" s="13"/>
      <c r="PA23" s="13"/>
      <c r="PB23" s="13"/>
      <c r="PC23" s="13"/>
      <c r="PD23" s="13"/>
      <c r="PE23" s="13"/>
      <c r="PF23" s="13"/>
      <c r="PG23" s="13"/>
      <c r="PH23" s="13"/>
      <c r="PI23" s="13"/>
      <c r="PJ23" s="13"/>
      <c r="PK23" s="13"/>
      <c r="PL23" s="13"/>
      <c r="PM23" s="13"/>
      <c r="PN23" s="13"/>
      <c r="PO23" s="13"/>
      <c r="PP23" s="13"/>
      <c r="PQ23" s="13"/>
      <c r="PR23" s="13"/>
      <c r="PS23" s="13"/>
      <c r="PT23" s="13"/>
      <c r="PU23" s="13"/>
      <c r="PV23" s="13"/>
      <c r="PW23" s="13"/>
      <c r="PX23" s="13"/>
      <c r="PY23" s="13"/>
      <c r="PZ23" s="13"/>
      <c r="QA23" s="13"/>
    </row>
    <row r="24" spans="1:443" s="23" customFormat="1" x14ac:dyDescent="0.3">
      <c r="A24" s="14" t="s">
        <v>22</v>
      </c>
      <c r="B24" s="15">
        <v>5</v>
      </c>
      <c r="C24" s="15">
        <v>20</v>
      </c>
      <c r="D24" s="15">
        <v>1260</v>
      </c>
      <c r="E24" s="15"/>
      <c r="F24" s="15">
        <v>140</v>
      </c>
      <c r="G24" s="15">
        <v>140</v>
      </c>
      <c r="H24" s="15">
        <v>150</v>
      </c>
      <c r="I24" s="15"/>
      <c r="J24" s="15"/>
      <c r="K24" s="15"/>
      <c r="L24" s="15"/>
      <c r="M24" s="15"/>
      <c r="N24" s="15"/>
      <c r="O24" s="15"/>
      <c r="P24" s="15"/>
      <c r="Q24" s="16"/>
      <c r="R24" s="17">
        <f t="shared" si="1"/>
        <v>430</v>
      </c>
      <c r="S24" s="17">
        <f t="shared" si="2"/>
        <v>0</v>
      </c>
      <c r="T24" s="18">
        <f t="shared" si="3"/>
        <v>1</v>
      </c>
      <c r="U24" s="15" t="s">
        <v>50</v>
      </c>
      <c r="V24" s="19">
        <f t="shared" si="4"/>
        <v>830</v>
      </c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  <c r="JP24" s="13"/>
      <c r="JQ24" s="13"/>
      <c r="JR24" s="13"/>
      <c r="JS24" s="13"/>
      <c r="JT24" s="13"/>
      <c r="JU24" s="13"/>
      <c r="JV24" s="13"/>
      <c r="JW24" s="13"/>
      <c r="JX24" s="13"/>
      <c r="JY24" s="13"/>
      <c r="JZ24" s="13"/>
      <c r="KA24" s="13"/>
      <c r="KB24" s="13"/>
      <c r="KC24" s="13"/>
      <c r="KD24" s="13"/>
      <c r="KE24" s="13"/>
      <c r="KF24" s="13"/>
      <c r="KG24" s="13"/>
      <c r="KH24" s="13"/>
      <c r="KI24" s="13"/>
      <c r="KJ24" s="13"/>
      <c r="KK24" s="13"/>
      <c r="KL24" s="13"/>
      <c r="KM24" s="13"/>
      <c r="KN24" s="13"/>
      <c r="KO24" s="13"/>
      <c r="KP24" s="13"/>
      <c r="KQ24" s="13"/>
      <c r="KR24" s="13"/>
      <c r="KS24" s="13"/>
      <c r="KT24" s="13"/>
      <c r="KU24" s="13"/>
      <c r="KV24" s="13"/>
      <c r="KW24" s="13"/>
      <c r="KX24" s="13"/>
      <c r="KY24" s="13"/>
      <c r="KZ24" s="13"/>
      <c r="LA24" s="13"/>
      <c r="LB24" s="13"/>
      <c r="LC24" s="13"/>
      <c r="LD24" s="13"/>
      <c r="LE24" s="13"/>
      <c r="LF24" s="13"/>
      <c r="LG24" s="13"/>
      <c r="LH24" s="13"/>
      <c r="LI24" s="13"/>
      <c r="LJ24" s="13"/>
      <c r="LK24" s="13"/>
      <c r="LL24" s="13"/>
      <c r="LM24" s="13"/>
      <c r="LN24" s="13"/>
      <c r="LO24" s="13"/>
      <c r="LP24" s="13"/>
      <c r="LQ24" s="13"/>
      <c r="LR24" s="13"/>
      <c r="LS24" s="13"/>
      <c r="LT24" s="13"/>
      <c r="LU24" s="13"/>
      <c r="LV24" s="13"/>
      <c r="LW24" s="13"/>
      <c r="LX24" s="13"/>
      <c r="LY24" s="13"/>
      <c r="LZ24" s="13"/>
      <c r="MA24" s="13"/>
      <c r="MB24" s="13"/>
      <c r="MC24" s="13"/>
      <c r="MD24" s="13"/>
      <c r="ME24" s="13"/>
      <c r="MF24" s="13"/>
      <c r="MG24" s="13"/>
      <c r="MH24" s="13"/>
      <c r="MI24" s="13"/>
      <c r="MJ24" s="13"/>
      <c r="MK24" s="13"/>
      <c r="ML24" s="13"/>
      <c r="MM24" s="13"/>
      <c r="MN24" s="13"/>
      <c r="MO24" s="13"/>
      <c r="MP24" s="13"/>
      <c r="MQ24" s="13"/>
      <c r="MR24" s="13"/>
      <c r="MS24" s="13"/>
      <c r="MT24" s="13"/>
      <c r="MU24" s="13"/>
      <c r="MV24" s="13"/>
      <c r="MW24" s="13"/>
      <c r="MX24" s="13"/>
      <c r="MY24" s="13"/>
      <c r="MZ24" s="13"/>
      <c r="NA24" s="13"/>
      <c r="NB24" s="13"/>
      <c r="NC24" s="13"/>
      <c r="ND24" s="13"/>
      <c r="NE24" s="13"/>
      <c r="NF24" s="13"/>
      <c r="NG24" s="13"/>
      <c r="NH24" s="13"/>
      <c r="NI24" s="13"/>
      <c r="NJ24" s="13"/>
      <c r="NK24" s="13"/>
      <c r="NL24" s="13"/>
      <c r="NM24" s="13"/>
      <c r="NN24" s="13"/>
      <c r="NO24" s="13"/>
      <c r="NP24" s="13"/>
      <c r="NQ24" s="13"/>
      <c r="NR24" s="13"/>
      <c r="NS24" s="13"/>
      <c r="NT24" s="13"/>
      <c r="NU24" s="13"/>
      <c r="NV24" s="13"/>
      <c r="NW24" s="13"/>
      <c r="NX24" s="13"/>
      <c r="NY24" s="13"/>
      <c r="NZ24" s="13"/>
      <c r="OA24" s="13"/>
      <c r="OB24" s="13"/>
      <c r="OC24" s="13"/>
      <c r="OD24" s="13"/>
      <c r="OE24" s="13"/>
      <c r="OF24" s="13"/>
      <c r="OG24" s="13"/>
      <c r="OH24" s="13"/>
      <c r="OI24" s="13"/>
      <c r="OJ24" s="13"/>
      <c r="OK24" s="13"/>
      <c r="OL24" s="13"/>
      <c r="OM24" s="13"/>
      <c r="ON24" s="13"/>
      <c r="OO24" s="13"/>
      <c r="OP24" s="13"/>
      <c r="OQ24" s="13"/>
      <c r="OR24" s="13"/>
      <c r="OS24" s="13"/>
      <c r="OT24" s="13"/>
      <c r="OU24" s="13"/>
      <c r="OV24" s="13"/>
      <c r="OW24" s="13"/>
      <c r="OX24" s="13"/>
      <c r="OY24" s="13"/>
      <c r="OZ24" s="13"/>
      <c r="PA24" s="13"/>
      <c r="PB24" s="13"/>
      <c r="PC24" s="13"/>
      <c r="PD24" s="13"/>
      <c r="PE24" s="13"/>
      <c r="PF24" s="13"/>
      <c r="PG24" s="13"/>
      <c r="PH24" s="13"/>
      <c r="PI24" s="13"/>
      <c r="PJ24" s="13"/>
      <c r="PK24" s="13"/>
      <c r="PL24" s="13"/>
      <c r="PM24" s="13"/>
      <c r="PN24" s="13"/>
      <c r="PO24" s="13"/>
      <c r="PP24" s="13"/>
      <c r="PQ24" s="13"/>
      <c r="PR24" s="13"/>
      <c r="PS24" s="13"/>
      <c r="PT24" s="13"/>
      <c r="PU24" s="13"/>
      <c r="PV24" s="13"/>
      <c r="PW24" s="13"/>
      <c r="PX24" s="13"/>
      <c r="PY24" s="13"/>
      <c r="PZ24" s="13"/>
      <c r="QA24" s="13"/>
    </row>
    <row r="25" spans="1:443" s="23" customFormat="1" x14ac:dyDescent="0.3">
      <c r="A25" s="14" t="s">
        <v>23</v>
      </c>
      <c r="B25" s="15">
        <v>5</v>
      </c>
      <c r="C25" s="15"/>
      <c r="D25" s="15">
        <v>1170</v>
      </c>
      <c r="E25" s="15"/>
      <c r="F25" s="15">
        <v>65</v>
      </c>
      <c r="G25" s="15">
        <v>65</v>
      </c>
      <c r="H25" s="15"/>
      <c r="I25" s="15"/>
      <c r="J25" s="15"/>
      <c r="K25" s="15"/>
      <c r="L25" s="15"/>
      <c r="M25" s="15"/>
      <c r="N25" s="15"/>
      <c r="O25" s="15"/>
      <c r="P25" s="15"/>
      <c r="Q25" s="16"/>
      <c r="R25" s="17">
        <f t="shared" si="1"/>
        <v>130</v>
      </c>
      <c r="S25" s="17">
        <f t="shared" si="2"/>
        <v>0</v>
      </c>
      <c r="T25" s="18">
        <f t="shared" si="3"/>
        <v>1</v>
      </c>
      <c r="U25" s="15" t="s">
        <v>50</v>
      </c>
      <c r="V25" s="19">
        <f t="shared" si="4"/>
        <v>1040</v>
      </c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  <c r="JP25" s="13"/>
      <c r="JQ25" s="13"/>
      <c r="JR25" s="13"/>
      <c r="JS25" s="13"/>
      <c r="JT25" s="13"/>
      <c r="JU25" s="13"/>
      <c r="JV25" s="13"/>
      <c r="JW25" s="13"/>
      <c r="JX25" s="13"/>
      <c r="JY25" s="13"/>
      <c r="JZ25" s="13"/>
      <c r="KA25" s="13"/>
      <c r="KB25" s="13"/>
      <c r="KC25" s="13"/>
      <c r="KD25" s="13"/>
      <c r="KE25" s="13"/>
      <c r="KF25" s="13"/>
      <c r="KG25" s="13"/>
      <c r="KH25" s="13"/>
      <c r="KI25" s="13"/>
      <c r="KJ25" s="13"/>
      <c r="KK25" s="13"/>
      <c r="KL25" s="13"/>
      <c r="KM25" s="13"/>
      <c r="KN25" s="13"/>
      <c r="KO25" s="13"/>
      <c r="KP25" s="13"/>
      <c r="KQ25" s="13"/>
      <c r="KR25" s="13"/>
      <c r="KS25" s="13"/>
      <c r="KT25" s="13"/>
      <c r="KU25" s="13"/>
      <c r="KV25" s="13"/>
      <c r="KW25" s="13"/>
      <c r="KX25" s="13"/>
      <c r="KY25" s="13"/>
      <c r="KZ25" s="13"/>
      <c r="LA25" s="13"/>
      <c r="LB25" s="13"/>
      <c r="LC25" s="13"/>
      <c r="LD25" s="13"/>
      <c r="LE25" s="13"/>
      <c r="LF25" s="13"/>
      <c r="LG25" s="13"/>
      <c r="LH25" s="13"/>
      <c r="LI25" s="13"/>
      <c r="LJ25" s="13"/>
      <c r="LK25" s="13"/>
      <c r="LL25" s="13"/>
      <c r="LM25" s="13"/>
      <c r="LN25" s="13"/>
      <c r="LO25" s="13"/>
      <c r="LP25" s="13"/>
      <c r="LQ25" s="13"/>
      <c r="LR25" s="13"/>
      <c r="LS25" s="13"/>
      <c r="LT25" s="13"/>
      <c r="LU25" s="13"/>
      <c r="LV25" s="13"/>
      <c r="LW25" s="13"/>
      <c r="LX25" s="13"/>
      <c r="LY25" s="13"/>
      <c r="LZ25" s="13"/>
      <c r="MA25" s="13"/>
      <c r="MB25" s="13"/>
      <c r="MC25" s="13"/>
      <c r="MD25" s="13"/>
      <c r="ME25" s="13"/>
      <c r="MF25" s="13"/>
      <c r="MG25" s="13"/>
      <c r="MH25" s="13"/>
      <c r="MI25" s="13"/>
      <c r="MJ25" s="13"/>
      <c r="MK25" s="13"/>
      <c r="ML25" s="13"/>
      <c r="MM25" s="13"/>
      <c r="MN25" s="13"/>
      <c r="MO25" s="13"/>
      <c r="MP25" s="13"/>
      <c r="MQ25" s="13"/>
      <c r="MR25" s="13"/>
      <c r="MS25" s="13"/>
      <c r="MT25" s="13"/>
      <c r="MU25" s="13"/>
      <c r="MV25" s="13"/>
      <c r="MW25" s="13"/>
      <c r="MX25" s="13"/>
      <c r="MY25" s="13"/>
      <c r="MZ25" s="13"/>
      <c r="NA25" s="13"/>
      <c r="NB25" s="13"/>
      <c r="NC25" s="13"/>
      <c r="ND25" s="13"/>
      <c r="NE25" s="13"/>
      <c r="NF25" s="13"/>
      <c r="NG25" s="13"/>
      <c r="NH25" s="13"/>
      <c r="NI25" s="13"/>
      <c r="NJ25" s="13"/>
      <c r="NK25" s="13"/>
      <c r="NL25" s="13"/>
      <c r="NM25" s="13"/>
      <c r="NN25" s="13"/>
      <c r="NO25" s="13"/>
      <c r="NP25" s="13"/>
      <c r="NQ25" s="13"/>
      <c r="NR25" s="13"/>
      <c r="NS25" s="13"/>
      <c r="NT25" s="13"/>
      <c r="NU25" s="13"/>
      <c r="NV25" s="13"/>
      <c r="NW25" s="13"/>
      <c r="NX25" s="13"/>
      <c r="NY25" s="13"/>
      <c r="NZ25" s="13"/>
      <c r="OA25" s="13"/>
      <c r="OB25" s="13"/>
      <c r="OC25" s="13"/>
      <c r="OD25" s="13"/>
      <c r="OE25" s="13"/>
      <c r="OF25" s="13"/>
      <c r="OG25" s="13"/>
      <c r="OH25" s="13"/>
      <c r="OI25" s="13"/>
      <c r="OJ25" s="13"/>
      <c r="OK25" s="13"/>
      <c r="OL25" s="13"/>
      <c r="OM25" s="13"/>
      <c r="ON25" s="13"/>
      <c r="OO25" s="13"/>
      <c r="OP25" s="13"/>
      <c r="OQ25" s="13"/>
      <c r="OR25" s="13"/>
      <c r="OS25" s="13"/>
      <c r="OT25" s="13"/>
      <c r="OU25" s="13"/>
      <c r="OV25" s="13"/>
      <c r="OW25" s="13"/>
      <c r="OX25" s="13"/>
      <c r="OY25" s="13"/>
      <c r="OZ25" s="13"/>
      <c r="PA25" s="13"/>
      <c r="PB25" s="13"/>
      <c r="PC25" s="13"/>
      <c r="PD25" s="13"/>
      <c r="PE25" s="13"/>
      <c r="PF25" s="13"/>
      <c r="PG25" s="13"/>
      <c r="PH25" s="13"/>
      <c r="PI25" s="13"/>
      <c r="PJ25" s="13"/>
      <c r="PK25" s="13"/>
      <c r="PL25" s="13"/>
      <c r="PM25" s="13"/>
      <c r="PN25" s="13"/>
      <c r="PO25" s="13"/>
      <c r="PP25" s="13"/>
      <c r="PQ25" s="13"/>
      <c r="PR25" s="13"/>
      <c r="PS25" s="13"/>
      <c r="PT25" s="13"/>
      <c r="PU25" s="13"/>
      <c r="PV25" s="13"/>
      <c r="PW25" s="13"/>
      <c r="PX25" s="13"/>
      <c r="PY25" s="13"/>
      <c r="PZ25" s="13"/>
      <c r="QA25" s="13"/>
    </row>
    <row r="26" spans="1:443" s="23" customFormat="1" x14ac:dyDescent="0.3">
      <c r="A26" s="14" t="s">
        <v>27</v>
      </c>
      <c r="B26" s="15">
        <v>4</v>
      </c>
      <c r="C26" s="15"/>
      <c r="D26" s="15">
        <v>1080</v>
      </c>
      <c r="E26" s="15"/>
      <c r="F26" s="15">
        <v>60</v>
      </c>
      <c r="G26" s="15">
        <v>120</v>
      </c>
      <c r="H26" s="15">
        <v>120</v>
      </c>
      <c r="I26" s="15">
        <v>120</v>
      </c>
      <c r="J26" s="15">
        <v>120</v>
      </c>
      <c r="K26" s="15">
        <v>120</v>
      </c>
      <c r="L26" s="15">
        <v>120</v>
      </c>
      <c r="M26" s="15">
        <v>120</v>
      </c>
      <c r="N26" s="15">
        <v>120</v>
      </c>
      <c r="O26" s="15">
        <v>60</v>
      </c>
      <c r="P26" s="15"/>
      <c r="Q26" s="16"/>
      <c r="R26" s="17">
        <f t="shared" si="1"/>
        <v>1080</v>
      </c>
      <c r="S26" s="17">
        <f t="shared" si="2"/>
        <v>0</v>
      </c>
      <c r="T26" s="18">
        <f t="shared" si="3"/>
        <v>1</v>
      </c>
      <c r="U26" s="15"/>
      <c r="V26" s="19" t="str">
        <f t="shared" si="4"/>
        <v/>
      </c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  <c r="JP26" s="13"/>
      <c r="JQ26" s="13"/>
      <c r="JR26" s="13"/>
      <c r="JS26" s="13"/>
      <c r="JT26" s="13"/>
      <c r="JU26" s="13"/>
      <c r="JV26" s="13"/>
      <c r="JW26" s="13"/>
      <c r="JX26" s="13"/>
      <c r="JY26" s="13"/>
      <c r="JZ26" s="13"/>
      <c r="KA26" s="13"/>
      <c r="KB26" s="13"/>
      <c r="KC26" s="13"/>
      <c r="KD26" s="13"/>
      <c r="KE26" s="13"/>
      <c r="KF26" s="13"/>
      <c r="KG26" s="13"/>
      <c r="KH26" s="13"/>
      <c r="KI26" s="13"/>
      <c r="KJ26" s="13"/>
      <c r="KK26" s="13"/>
      <c r="KL26" s="13"/>
      <c r="KM26" s="13"/>
      <c r="KN26" s="13"/>
      <c r="KO26" s="13"/>
      <c r="KP26" s="13"/>
      <c r="KQ26" s="13"/>
      <c r="KR26" s="13"/>
      <c r="KS26" s="13"/>
      <c r="KT26" s="13"/>
      <c r="KU26" s="13"/>
      <c r="KV26" s="13"/>
      <c r="KW26" s="13"/>
      <c r="KX26" s="13"/>
      <c r="KY26" s="13"/>
      <c r="KZ26" s="13"/>
      <c r="LA26" s="13"/>
      <c r="LB26" s="13"/>
      <c r="LC26" s="13"/>
      <c r="LD26" s="13"/>
      <c r="LE26" s="13"/>
      <c r="LF26" s="13"/>
      <c r="LG26" s="13"/>
      <c r="LH26" s="13"/>
      <c r="LI26" s="13"/>
      <c r="LJ26" s="13"/>
      <c r="LK26" s="13"/>
      <c r="LL26" s="13"/>
      <c r="LM26" s="13"/>
      <c r="LN26" s="13"/>
      <c r="LO26" s="13"/>
      <c r="LP26" s="13"/>
      <c r="LQ26" s="13"/>
      <c r="LR26" s="13"/>
      <c r="LS26" s="13"/>
      <c r="LT26" s="13"/>
      <c r="LU26" s="13"/>
      <c r="LV26" s="13"/>
      <c r="LW26" s="13"/>
      <c r="LX26" s="13"/>
      <c r="LY26" s="13"/>
      <c r="LZ26" s="13"/>
      <c r="MA26" s="13"/>
      <c r="MB26" s="13"/>
      <c r="MC26" s="13"/>
      <c r="MD26" s="13"/>
      <c r="ME26" s="13"/>
      <c r="MF26" s="13"/>
      <c r="MG26" s="13"/>
      <c r="MH26" s="13"/>
      <c r="MI26" s="13"/>
      <c r="MJ26" s="13"/>
      <c r="MK26" s="13"/>
      <c r="ML26" s="13"/>
      <c r="MM26" s="13"/>
      <c r="MN26" s="13"/>
      <c r="MO26" s="13"/>
      <c r="MP26" s="13"/>
      <c r="MQ26" s="13"/>
      <c r="MR26" s="13"/>
      <c r="MS26" s="13"/>
      <c r="MT26" s="13"/>
      <c r="MU26" s="13"/>
      <c r="MV26" s="13"/>
      <c r="MW26" s="13"/>
      <c r="MX26" s="13"/>
      <c r="MY26" s="13"/>
      <c r="MZ26" s="13"/>
      <c r="NA26" s="13"/>
      <c r="NB26" s="13"/>
      <c r="NC26" s="13"/>
      <c r="ND26" s="13"/>
      <c r="NE26" s="13"/>
      <c r="NF26" s="13"/>
      <c r="NG26" s="13"/>
      <c r="NH26" s="13"/>
      <c r="NI26" s="13"/>
      <c r="NJ26" s="13"/>
      <c r="NK26" s="13"/>
      <c r="NL26" s="13"/>
      <c r="NM26" s="13"/>
      <c r="NN26" s="13"/>
      <c r="NO26" s="13"/>
      <c r="NP26" s="13"/>
      <c r="NQ26" s="13"/>
      <c r="NR26" s="13"/>
      <c r="NS26" s="13"/>
      <c r="NT26" s="13"/>
      <c r="NU26" s="13"/>
      <c r="NV26" s="13"/>
      <c r="NW26" s="13"/>
      <c r="NX26" s="13"/>
      <c r="NY26" s="13"/>
      <c r="NZ26" s="13"/>
      <c r="OA26" s="13"/>
      <c r="OB26" s="13"/>
      <c r="OC26" s="13"/>
      <c r="OD26" s="13"/>
      <c r="OE26" s="13"/>
      <c r="OF26" s="13"/>
      <c r="OG26" s="13"/>
      <c r="OH26" s="13"/>
      <c r="OI26" s="13"/>
      <c r="OJ26" s="13"/>
      <c r="OK26" s="13"/>
      <c r="OL26" s="13"/>
      <c r="OM26" s="13"/>
      <c r="ON26" s="13"/>
      <c r="OO26" s="13"/>
      <c r="OP26" s="13"/>
      <c r="OQ26" s="13"/>
      <c r="OR26" s="13"/>
      <c r="OS26" s="13"/>
      <c r="OT26" s="13"/>
      <c r="OU26" s="13"/>
      <c r="OV26" s="13"/>
      <c r="OW26" s="13"/>
      <c r="OX26" s="13"/>
      <c r="OY26" s="13"/>
      <c r="OZ26" s="13"/>
      <c r="PA26" s="13"/>
      <c r="PB26" s="13"/>
      <c r="PC26" s="13"/>
      <c r="PD26" s="13"/>
      <c r="PE26" s="13"/>
      <c r="PF26" s="13"/>
      <c r="PG26" s="13"/>
      <c r="PH26" s="13"/>
      <c r="PI26" s="13"/>
      <c r="PJ26" s="13"/>
      <c r="PK26" s="13"/>
      <c r="PL26" s="13"/>
      <c r="PM26" s="13"/>
      <c r="PN26" s="13"/>
      <c r="PO26" s="13"/>
      <c r="PP26" s="13"/>
      <c r="PQ26" s="13"/>
      <c r="PR26" s="13"/>
      <c r="PS26" s="13"/>
      <c r="PT26" s="13"/>
      <c r="PU26" s="13"/>
      <c r="PV26" s="13"/>
      <c r="PW26" s="13"/>
      <c r="PX26" s="13"/>
      <c r="PY26" s="13"/>
      <c r="PZ26" s="13"/>
      <c r="QA26" s="13"/>
    </row>
    <row r="27" spans="1:443" s="23" customFormat="1" x14ac:dyDescent="0.3">
      <c r="A27" s="14" t="s">
        <v>34</v>
      </c>
      <c r="B27" s="15">
        <v>2</v>
      </c>
      <c r="C27" s="15">
        <v>30</v>
      </c>
      <c r="D27" s="15">
        <v>880</v>
      </c>
      <c r="E27" s="15"/>
      <c r="F27" s="15"/>
      <c r="G27" s="15">
        <v>110</v>
      </c>
      <c r="H27" s="15">
        <v>110</v>
      </c>
      <c r="I27" s="15">
        <v>110</v>
      </c>
      <c r="J27" s="15">
        <v>110</v>
      </c>
      <c r="K27" s="15">
        <v>110</v>
      </c>
      <c r="L27" s="15">
        <v>110</v>
      </c>
      <c r="M27" s="15">
        <v>110</v>
      </c>
      <c r="N27" s="15">
        <v>110</v>
      </c>
      <c r="O27" s="15"/>
      <c r="P27" s="15"/>
      <c r="Q27" s="16"/>
      <c r="R27" s="17">
        <f t="shared" si="1"/>
        <v>880</v>
      </c>
      <c r="S27" s="17">
        <f t="shared" si="2"/>
        <v>0</v>
      </c>
      <c r="T27" s="18">
        <f t="shared" si="3"/>
        <v>1</v>
      </c>
      <c r="U27" s="15"/>
      <c r="V27" s="19" t="str">
        <f t="shared" si="4"/>
        <v/>
      </c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  <c r="JP27" s="13"/>
      <c r="JQ27" s="13"/>
      <c r="JR27" s="13"/>
      <c r="JS27" s="13"/>
      <c r="JT27" s="13"/>
      <c r="JU27" s="13"/>
      <c r="JV27" s="13"/>
      <c r="JW27" s="13"/>
      <c r="JX27" s="13"/>
      <c r="JY27" s="13"/>
      <c r="JZ27" s="13"/>
      <c r="KA27" s="13"/>
      <c r="KB27" s="13"/>
      <c r="KC27" s="13"/>
      <c r="KD27" s="13"/>
      <c r="KE27" s="13"/>
      <c r="KF27" s="13"/>
      <c r="KG27" s="13"/>
      <c r="KH27" s="13"/>
      <c r="KI27" s="13"/>
      <c r="KJ27" s="13"/>
      <c r="KK27" s="13"/>
      <c r="KL27" s="13"/>
      <c r="KM27" s="13"/>
      <c r="KN27" s="13"/>
      <c r="KO27" s="13"/>
      <c r="KP27" s="13"/>
      <c r="KQ27" s="13"/>
      <c r="KR27" s="13"/>
      <c r="KS27" s="13"/>
      <c r="KT27" s="13"/>
      <c r="KU27" s="13"/>
      <c r="KV27" s="13"/>
      <c r="KW27" s="13"/>
      <c r="KX27" s="13"/>
      <c r="KY27" s="13"/>
      <c r="KZ27" s="13"/>
      <c r="LA27" s="13"/>
      <c r="LB27" s="13"/>
      <c r="LC27" s="13"/>
      <c r="LD27" s="13"/>
      <c r="LE27" s="13"/>
      <c r="LF27" s="13"/>
      <c r="LG27" s="13"/>
      <c r="LH27" s="13"/>
      <c r="LI27" s="13"/>
      <c r="LJ27" s="13"/>
      <c r="LK27" s="13"/>
      <c r="LL27" s="13"/>
      <c r="LM27" s="13"/>
      <c r="LN27" s="13"/>
      <c r="LO27" s="13"/>
      <c r="LP27" s="13"/>
      <c r="LQ27" s="13"/>
      <c r="LR27" s="13"/>
      <c r="LS27" s="13"/>
      <c r="LT27" s="13"/>
      <c r="LU27" s="13"/>
      <c r="LV27" s="13"/>
      <c r="LW27" s="13"/>
      <c r="LX27" s="13"/>
      <c r="LY27" s="13"/>
      <c r="LZ27" s="13"/>
      <c r="MA27" s="13"/>
      <c r="MB27" s="13"/>
      <c r="MC27" s="13"/>
      <c r="MD27" s="13"/>
      <c r="ME27" s="13"/>
      <c r="MF27" s="13"/>
      <c r="MG27" s="13"/>
      <c r="MH27" s="13"/>
      <c r="MI27" s="13"/>
      <c r="MJ27" s="13"/>
      <c r="MK27" s="13"/>
      <c r="ML27" s="13"/>
      <c r="MM27" s="13"/>
      <c r="MN27" s="13"/>
      <c r="MO27" s="13"/>
      <c r="MP27" s="13"/>
      <c r="MQ27" s="13"/>
      <c r="MR27" s="13"/>
      <c r="MS27" s="13"/>
      <c r="MT27" s="13"/>
      <c r="MU27" s="13"/>
      <c r="MV27" s="13"/>
      <c r="MW27" s="13"/>
      <c r="MX27" s="13"/>
      <c r="MY27" s="13"/>
      <c r="MZ27" s="13"/>
      <c r="NA27" s="13"/>
      <c r="NB27" s="13"/>
      <c r="NC27" s="13"/>
      <c r="ND27" s="13"/>
      <c r="NE27" s="13"/>
      <c r="NF27" s="13"/>
      <c r="NG27" s="13"/>
      <c r="NH27" s="13"/>
      <c r="NI27" s="13"/>
      <c r="NJ27" s="13"/>
      <c r="NK27" s="13"/>
      <c r="NL27" s="13"/>
      <c r="NM27" s="13"/>
      <c r="NN27" s="13"/>
      <c r="NO27" s="13"/>
      <c r="NP27" s="13"/>
      <c r="NQ27" s="13"/>
      <c r="NR27" s="13"/>
      <c r="NS27" s="13"/>
      <c r="NT27" s="13"/>
      <c r="NU27" s="13"/>
      <c r="NV27" s="13"/>
      <c r="NW27" s="13"/>
      <c r="NX27" s="13"/>
      <c r="NY27" s="13"/>
      <c r="NZ27" s="13"/>
      <c r="OA27" s="13"/>
      <c r="OB27" s="13"/>
      <c r="OC27" s="13"/>
      <c r="OD27" s="13"/>
      <c r="OE27" s="13"/>
      <c r="OF27" s="13"/>
      <c r="OG27" s="13"/>
      <c r="OH27" s="13"/>
      <c r="OI27" s="13"/>
      <c r="OJ27" s="13"/>
      <c r="OK27" s="13"/>
      <c r="OL27" s="13"/>
      <c r="OM27" s="13"/>
      <c r="ON27" s="13"/>
      <c r="OO27" s="13"/>
      <c r="OP27" s="13"/>
      <c r="OQ27" s="13"/>
      <c r="OR27" s="13"/>
      <c r="OS27" s="13"/>
      <c r="OT27" s="13"/>
      <c r="OU27" s="13"/>
      <c r="OV27" s="13"/>
      <c r="OW27" s="13"/>
      <c r="OX27" s="13"/>
      <c r="OY27" s="13"/>
      <c r="OZ27" s="13"/>
      <c r="PA27" s="13"/>
      <c r="PB27" s="13"/>
      <c r="PC27" s="13"/>
      <c r="PD27" s="13"/>
      <c r="PE27" s="13"/>
      <c r="PF27" s="13"/>
      <c r="PG27" s="13"/>
      <c r="PH27" s="13"/>
      <c r="PI27" s="13"/>
      <c r="PJ27" s="13"/>
      <c r="PK27" s="13"/>
      <c r="PL27" s="13"/>
      <c r="PM27" s="13"/>
      <c r="PN27" s="13"/>
      <c r="PO27" s="13"/>
      <c r="PP27" s="13"/>
      <c r="PQ27" s="13"/>
      <c r="PR27" s="13"/>
      <c r="PS27" s="13"/>
      <c r="PT27" s="13"/>
      <c r="PU27" s="13"/>
      <c r="PV27" s="13"/>
      <c r="PW27" s="13"/>
      <c r="PX27" s="13"/>
      <c r="PY27" s="13"/>
      <c r="PZ27" s="13"/>
      <c r="QA27" s="13"/>
    </row>
    <row r="28" spans="1:443" s="23" customFormat="1" x14ac:dyDescent="0.3">
      <c r="A28" s="14" t="s">
        <v>33</v>
      </c>
      <c r="B28" s="15">
        <v>3</v>
      </c>
      <c r="C28" s="15">
        <v>30</v>
      </c>
      <c r="D28" s="15">
        <v>1080</v>
      </c>
      <c r="E28" s="15"/>
      <c r="F28" s="31">
        <v>60</v>
      </c>
      <c r="G28" s="15">
        <v>120</v>
      </c>
      <c r="H28" s="15">
        <v>120</v>
      </c>
      <c r="I28" s="15">
        <v>120</v>
      </c>
      <c r="J28" s="15">
        <v>120</v>
      </c>
      <c r="K28" s="15"/>
      <c r="L28" s="15"/>
      <c r="M28" s="15"/>
      <c r="N28" s="15"/>
      <c r="O28" s="15"/>
      <c r="P28" s="15"/>
      <c r="Q28" s="16"/>
      <c r="R28" s="17">
        <f t="shared" si="1"/>
        <v>540</v>
      </c>
      <c r="S28" s="17">
        <f t="shared" si="2"/>
        <v>0</v>
      </c>
      <c r="T28" s="18">
        <f t="shared" si="3"/>
        <v>1</v>
      </c>
      <c r="U28" s="20" t="s">
        <v>54</v>
      </c>
      <c r="V28" s="19">
        <f t="shared" si="4"/>
        <v>540</v>
      </c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  <c r="JP28" s="13"/>
      <c r="JQ28" s="13"/>
      <c r="JR28" s="13"/>
      <c r="JS28" s="13"/>
      <c r="JT28" s="13"/>
      <c r="JU28" s="13"/>
      <c r="JV28" s="13"/>
      <c r="JW28" s="13"/>
      <c r="JX28" s="13"/>
      <c r="JY28" s="13"/>
      <c r="JZ28" s="13"/>
      <c r="KA28" s="13"/>
      <c r="KB28" s="13"/>
      <c r="KC28" s="13"/>
      <c r="KD28" s="13"/>
      <c r="KE28" s="13"/>
      <c r="KF28" s="13"/>
      <c r="KG28" s="13"/>
      <c r="KH28" s="13"/>
      <c r="KI28" s="13"/>
      <c r="KJ28" s="13"/>
      <c r="KK28" s="13"/>
      <c r="KL28" s="13"/>
      <c r="KM28" s="13"/>
      <c r="KN28" s="13"/>
      <c r="KO28" s="13"/>
      <c r="KP28" s="13"/>
      <c r="KQ28" s="13"/>
      <c r="KR28" s="13"/>
      <c r="KS28" s="13"/>
      <c r="KT28" s="13"/>
      <c r="KU28" s="13"/>
      <c r="KV28" s="13"/>
      <c r="KW28" s="13"/>
      <c r="KX28" s="13"/>
      <c r="KY28" s="13"/>
      <c r="KZ28" s="13"/>
      <c r="LA28" s="13"/>
      <c r="LB28" s="13"/>
      <c r="LC28" s="13"/>
      <c r="LD28" s="13"/>
      <c r="LE28" s="13"/>
      <c r="LF28" s="13"/>
      <c r="LG28" s="13"/>
      <c r="LH28" s="13"/>
      <c r="LI28" s="13"/>
      <c r="LJ28" s="13"/>
      <c r="LK28" s="13"/>
      <c r="LL28" s="13"/>
      <c r="LM28" s="13"/>
      <c r="LN28" s="13"/>
      <c r="LO28" s="13"/>
      <c r="LP28" s="13"/>
      <c r="LQ28" s="13"/>
      <c r="LR28" s="13"/>
      <c r="LS28" s="13"/>
      <c r="LT28" s="13"/>
      <c r="LU28" s="13"/>
      <c r="LV28" s="13"/>
      <c r="LW28" s="13"/>
      <c r="LX28" s="13"/>
      <c r="LY28" s="13"/>
      <c r="LZ28" s="13"/>
      <c r="MA28" s="13"/>
      <c r="MB28" s="13"/>
      <c r="MC28" s="13"/>
      <c r="MD28" s="13"/>
      <c r="ME28" s="13"/>
      <c r="MF28" s="13"/>
      <c r="MG28" s="13"/>
      <c r="MH28" s="13"/>
      <c r="MI28" s="13"/>
      <c r="MJ28" s="13"/>
      <c r="MK28" s="13"/>
      <c r="ML28" s="13"/>
      <c r="MM28" s="13"/>
      <c r="MN28" s="13"/>
      <c r="MO28" s="13"/>
      <c r="MP28" s="13"/>
      <c r="MQ28" s="13"/>
      <c r="MR28" s="13"/>
      <c r="MS28" s="13"/>
      <c r="MT28" s="13"/>
      <c r="MU28" s="13"/>
      <c r="MV28" s="13"/>
      <c r="MW28" s="13"/>
      <c r="MX28" s="13"/>
      <c r="MY28" s="13"/>
      <c r="MZ28" s="13"/>
      <c r="NA28" s="13"/>
      <c r="NB28" s="13"/>
      <c r="NC28" s="13"/>
      <c r="ND28" s="13"/>
      <c r="NE28" s="13"/>
      <c r="NF28" s="13"/>
      <c r="NG28" s="13"/>
      <c r="NH28" s="13"/>
      <c r="NI28" s="13"/>
      <c r="NJ28" s="13"/>
      <c r="NK28" s="13"/>
      <c r="NL28" s="13"/>
      <c r="NM28" s="13"/>
      <c r="NN28" s="13"/>
      <c r="NO28" s="13"/>
      <c r="NP28" s="13"/>
      <c r="NQ28" s="13"/>
      <c r="NR28" s="13"/>
      <c r="NS28" s="13"/>
      <c r="NT28" s="13"/>
      <c r="NU28" s="13"/>
      <c r="NV28" s="13"/>
      <c r="NW28" s="13"/>
      <c r="NX28" s="13"/>
      <c r="NY28" s="13"/>
      <c r="NZ28" s="13"/>
      <c r="OA28" s="13"/>
      <c r="OB28" s="13"/>
      <c r="OC28" s="13"/>
      <c r="OD28" s="13"/>
      <c r="OE28" s="13"/>
      <c r="OF28" s="13"/>
      <c r="OG28" s="13"/>
      <c r="OH28" s="13"/>
      <c r="OI28" s="13"/>
      <c r="OJ28" s="13"/>
      <c r="OK28" s="13"/>
      <c r="OL28" s="13"/>
      <c r="OM28" s="13"/>
      <c r="ON28" s="13"/>
      <c r="OO28" s="13"/>
      <c r="OP28" s="13"/>
      <c r="OQ28" s="13"/>
      <c r="OR28" s="13"/>
      <c r="OS28" s="13"/>
      <c r="OT28" s="13"/>
      <c r="OU28" s="13"/>
      <c r="OV28" s="13"/>
      <c r="OW28" s="13"/>
      <c r="OX28" s="13"/>
      <c r="OY28" s="13"/>
      <c r="OZ28" s="13"/>
      <c r="PA28" s="13"/>
      <c r="PB28" s="13"/>
      <c r="PC28" s="13"/>
      <c r="PD28" s="13"/>
      <c r="PE28" s="13"/>
      <c r="PF28" s="13"/>
      <c r="PG28" s="13"/>
      <c r="PH28" s="13"/>
      <c r="PI28" s="13"/>
      <c r="PJ28" s="13"/>
      <c r="PK28" s="13"/>
      <c r="PL28" s="13"/>
      <c r="PM28" s="13"/>
      <c r="PN28" s="13"/>
      <c r="PO28" s="13"/>
      <c r="PP28" s="13"/>
      <c r="PQ28" s="13"/>
      <c r="PR28" s="13"/>
      <c r="PS28" s="13"/>
      <c r="PT28" s="13"/>
      <c r="PU28" s="13"/>
      <c r="PV28" s="13"/>
      <c r="PW28" s="13"/>
      <c r="PX28" s="13"/>
      <c r="PY28" s="13"/>
      <c r="PZ28" s="13"/>
      <c r="QA28" s="13"/>
    </row>
    <row r="29" spans="1:443" s="23" customFormat="1" x14ac:dyDescent="0.3">
      <c r="A29" s="14" t="s">
        <v>51</v>
      </c>
      <c r="B29" s="15">
        <v>5</v>
      </c>
      <c r="C29" s="15">
        <v>20</v>
      </c>
      <c r="D29" s="15">
        <v>1040</v>
      </c>
      <c r="E29" s="15"/>
      <c r="F29" s="15"/>
      <c r="G29" s="15">
        <v>65</v>
      </c>
      <c r="H29" s="15">
        <v>130</v>
      </c>
      <c r="I29" s="15">
        <v>130</v>
      </c>
      <c r="J29" s="15">
        <v>130</v>
      </c>
      <c r="K29" s="15">
        <v>130</v>
      </c>
      <c r="L29" s="15"/>
      <c r="M29" s="32"/>
      <c r="N29" s="15"/>
      <c r="O29" s="15"/>
      <c r="P29" s="15"/>
      <c r="Q29" s="16"/>
      <c r="R29" s="17">
        <f t="shared" si="1"/>
        <v>585</v>
      </c>
      <c r="S29" s="17">
        <f t="shared" si="2"/>
        <v>0</v>
      </c>
      <c r="T29" s="18">
        <f t="shared" si="3"/>
        <v>1</v>
      </c>
      <c r="U29" s="15" t="s">
        <v>54</v>
      </c>
      <c r="V29" s="19">
        <f t="shared" si="4"/>
        <v>455</v>
      </c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  <c r="JP29" s="13"/>
      <c r="JQ29" s="13"/>
      <c r="JR29" s="13"/>
      <c r="JS29" s="13"/>
      <c r="JT29" s="13"/>
      <c r="JU29" s="13"/>
      <c r="JV29" s="13"/>
      <c r="JW29" s="13"/>
      <c r="JX29" s="13"/>
      <c r="JY29" s="13"/>
      <c r="JZ29" s="13"/>
      <c r="KA29" s="13"/>
      <c r="KB29" s="13"/>
      <c r="KC29" s="13"/>
      <c r="KD29" s="13"/>
      <c r="KE29" s="13"/>
      <c r="KF29" s="13"/>
      <c r="KG29" s="13"/>
      <c r="KH29" s="13"/>
      <c r="KI29" s="13"/>
      <c r="KJ29" s="13"/>
      <c r="KK29" s="13"/>
      <c r="KL29" s="13"/>
      <c r="KM29" s="13"/>
      <c r="KN29" s="13"/>
      <c r="KO29" s="13"/>
      <c r="KP29" s="13"/>
      <c r="KQ29" s="13"/>
      <c r="KR29" s="13"/>
      <c r="KS29" s="13"/>
      <c r="KT29" s="13"/>
      <c r="KU29" s="13"/>
      <c r="KV29" s="13"/>
      <c r="KW29" s="13"/>
      <c r="KX29" s="13"/>
      <c r="KY29" s="13"/>
      <c r="KZ29" s="13"/>
      <c r="LA29" s="13"/>
      <c r="LB29" s="13"/>
      <c r="LC29" s="13"/>
      <c r="LD29" s="13"/>
      <c r="LE29" s="13"/>
      <c r="LF29" s="13"/>
      <c r="LG29" s="13"/>
      <c r="LH29" s="13"/>
      <c r="LI29" s="13"/>
      <c r="LJ29" s="13"/>
      <c r="LK29" s="13"/>
      <c r="LL29" s="13"/>
      <c r="LM29" s="13"/>
      <c r="LN29" s="13"/>
      <c r="LO29" s="13"/>
      <c r="LP29" s="13"/>
      <c r="LQ29" s="13"/>
      <c r="LR29" s="13"/>
      <c r="LS29" s="13"/>
      <c r="LT29" s="13"/>
      <c r="LU29" s="13"/>
      <c r="LV29" s="13"/>
      <c r="LW29" s="13"/>
      <c r="LX29" s="13"/>
      <c r="LY29" s="13"/>
      <c r="LZ29" s="13"/>
      <c r="MA29" s="13"/>
      <c r="MB29" s="13"/>
      <c r="MC29" s="13"/>
      <c r="MD29" s="13"/>
      <c r="ME29" s="13"/>
      <c r="MF29" s="13"/>
      <c r="MG29" s="13"/>
      <c r="MH29" s="13"/>
      <c r="MI29" s="13"/>
      <c r="MJ29" s="13"/>
      <c r="MK29" s="13"/>
      <c r="ML29" s="13"/>
      <c r="MM29" s="13"/>
      <c r="MN29" s="13"/>
      <c r="MO29" s="13"/>
      <c r="MP29" s="13"/>
      <c r="MQ29" s="13"/>
      <c r="MR29" s="13"/>
      <c r="MS29" s="13"/>
      <c r="MT29" s="13"/>
      <c r="MU29" s="13"/>
      <c r="MV29" s="13"/>
      <c r="MW29" s="13"/>
      <c r="MX29" s="13"/>
      <c r="MY29" s="13"/>
      <c r="MZ29" s="13"/>
      <c r="NA29" s="13"/>
      <c r="NB29" s="13"/>
      <c r="NC29" s="13"/>
      <c r="ND29" s="13"/>
      <c r="NE29" s="13"/>
      <c r="NF29" s="13"/>
      <c r="NG29" s="13"/>
      <c r="NH29" s="13"/>
      <c r="NI29" s="13"/>
      <c r="NJ29" s="13"/>
      <c r="NK29" s="13"/>
      <c r="NL29" s="13"/>
      <c r="NM29" s="13"/>
      <c r="NN29" s="13"/>
      <c r="NO29" s="13"/>
      <c r="NP29" s="13"/>
      <c r="NQ29" s="13"/>
      <c r="NR29" s="13"/>
      <c r="NS29" s="13"/>
      <c r="NT29" s="13"/>
      <c r="NU29" s="13"/>
      <c r="NV29" s="13"/>
      <c r="NW29" s="13"/>
      <c r="NX29" s="13"/>
      <c r="NY29" s="13"/>
      <c r="NZ29" s="13"/>
      <c r="OA29" s="13"/>
      <c r="OB29" s="13"/>
      <c r="OC29" s="13"/>
      <c r="OD29" s="13"/>
      <c r="OE29" s="13"/>
      <c r="OF29" s="13"/>
      <c r="OG29" s="13"/>
      <c r="OH29" s="13"/>
      <c r="OI29" s="13"/>
      <c r="OJ29" s="13"/>
      <c r="OK29" s="13"/>
      <c r="OL29" s="13"/>
      <c r="OM29" s="13"/>
      <c r="ON29" s="13"/>
      <c r="OO29" s="13"/>
      <c r="OP29" s="13"/>
      <c r="OQ29" s="13"/>
      <c r="OR29" s="13"/>
      <c r="OS29" s="13"/>
      <c r="OT29" s="13"/>
      <c r="OU29" s="13"/>
      <c r="OV29" s="13"/>
      <c r="OW29" s="13"/>
      <c r="OX29" s="13"/>
      <c r="OY29" s="13"/>
      <c r="OZ29" s="13"/>
      <c r="PA29" s="13"/>
      <c r="PB29" s="13"/>
      <c r="PC29" s="13"/>
      <c r="PD29" s="13"/>
      <c r="PE29" s="13"/>
      <c r="PF29" s="13"/>
      <c r="PG29" s="13"/>
      <c r="PH29" s="13"/>
      <c r="PI29" s="13"/>
      <c r="PJ29" s="13"/>
      <c r="PK29" s="13"/>
      <c r="PL29" s="13"/>
      <c r="PM29" s="13"/>
      <c r="PN29" s="13"/>
      <c r="PO29" s="13"/>
      <c r="PP29" s="13"/>
      <c r="PQ29" s="13"/>
      <c r="PR29" s="13"/>
      <c r="PS29" s="13"/>
      <c r="PT29" s="13"/>
      <c r="PU29" s="13"/>
      <c r="PV29" s="13"/>
      <c r="PW29" s="13"/>
      <c r="PX29" s="13"/>
      <c r="PY29" s="13"/>
      <c r="PZ29" s="13"/>
      <c r="QA29" s="13"/>
    </row>
    <row r="30" spans="1:443" s="23" customFormat="1" x14ac:dyDescent="0.3">
      <c r="A30" s="14" t="s">
        <v>52</v>
      </c>
      <c r="B30" s="15">
        <v>3</v>
      </c>
      <c r="C30" s="15">
        <v>40</v>
      </c>
      <c r="D30" s="15">
        <v>660</v>
      </c>
      <c r="E30" s="15"/>
      <c r="F30" s="15"/>
      <c r="G30" s="15"/>
      <c r="H30" s="15"/>
      <c r="I30" s="15">
        <v>110</v>
      </c>
      <c r="J30" s="15">
        <v>110</v>
      </c>
      <c r="K30" s="15">
        <v>110</v>
      </c>
      <c r="L30" s="15">
        <v>110</v>
      </c>
      <c r="M30" s="15">
        <v>110</v>
      </c>
      <c r="N30" s="15">
        <v>110</v>
      </c>
      <c r="O30" s="15"/>
      <c r="P30" s="15"/>
      <c r="Q30" s="16"/>
      <c r="R30" s="17">
        <f t="shared" si="1"/>
        <v>660</v>
      </c>
      <c r="S30" s="17">
        <f t="shared" si="2"/>
        <v>0</v>
      </c>
      <c r="T30" s="18">
        <f t="shared" si="3"/>
        <v>1</v>
      </c>
      <c r="U30" s="15"/>
      <c r="V30" s="19" t="str">
        <f t="shared" si="4"/>
        <v/>
      </c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  <c r="JP30" s="13"/>
      <c r="JQ30" s="13"/>
      <c r="JR30" s="13"/>
      <c r="JS30" s="13"/>
      <c r="JT30" s="13"/>
      <c r="JU30" s="13"/>
      <c r="JV30" s="13"/>
      <c r="JW30" s="13"/>
      <c r="JX30" s="13"/>
      <c r="JY30" s="13"/>
      <c r="JZ30" s="13"/>
      <c r="KA30" s="13"/>
      <c r="KB30" s="13"/>
      <c r="KC30" s="13"/>
      <c r="KD30" s="13"/>
      <c r="KE30" s="13"/>
      <c r="KF30" s="13"/>
      <c r="KG30" s="13"/>
      <c r="KH30" s="13"/>
      <c r="KI30" s="13"/>
      <c r="KJ30" s="13"/>
      <c r="KK30" s="13"/>
      <c r="KL30" s="13"/>
      <c r="KM30" s="13"/>
      <c r="KN30" s="13"/>
      <c r="KO30" s="13"/>
      <c r="KP30" s="13"/>
      <c r="KQ30" s="13"/>
      <c r="KR30" s="13"/>
      <c r="KS30" s="13"/>
      <c r="KT30" s="13"/>
      <c r="KU30" s="13"/>
      <c r="KV30" s="13"/>
      <c r="KW30" s="13"/>
      <c r="KX30" s="13"/>
      <c r="KY30" s="13"/>
      <c r="KZ30" s="13"/>
      <c r="LA30" s="13"/>
      <c r="LB30" s="13"/>
      <c r="LC30" s="13"/>
      <c r="LD30" s="13"/>
      <c r="LE30" s="13"/>
      <c r="LF30" s="13"/>
      <c r="LG30" s="13"/>
      <c r="LH30" s="13"/>
      <c r="LI30" s="13"/>
      <c r="LJ30" s="13"/>
      <c r="LK30" s="13"/>
      <c r="LL30" s="13"/>
      <c r="LM30" s="13"/>
      <c r="LN30" s="13"/>
      <c r="LO30" s="13"/>
      <c r="LP30" s="13"/>
      <c r="LQ30" s="13"/>
      <c r="LR30" s="13"/>
      <c r="LS30" s="13"/>
      <c r="LT30" s="13"/>
      <c r="LU30" s="13"/>
      <c r="LV30" s="13"/>
      <c r="LW30" s="13"/>
      <c r="LX30" s="13"/>
      <c r="LY30" s="13"/>
      <c r="LZ30" s="13"/>
      <c r="MA30" s="13"/>
      <c r="MB30" s="13"/>
      <c r="MC30" s="13"/>
      <c r="MD30" s="13"/>
      <c r="ME30" s="13"/>
      <c r="MF30" s="13"/>
      <c r="MG30" s="13"/>
      <c r="MH30" s="13"/>
      <c r="MI30" s="13"/>
      <c r="MJ30" s="13"/>
      <c r="MK30" s="13"/>
      <c r="ML30" s="13"/>
      <c r="MM30" s="13"/>
      <c r="MN30" s="13"/>
      <c r="MO30" s="13"/>
      <c r="MP30" s="13"/>
      <c r="MQ30" s="13"/>
      <c r="MR30" s="13"/>
      <c r="MS30" s="13"/>
      <c r="MT30" s="13"/>
      <c r="MU30" s="13"/>
      <c r="MV30" s="13"/>
      <c r="MW30" s="13"/>
      <c r="MX30" s="13"/>
      <c r="MY30" s="13"/>
      <c r="MZ30" s="13"/>
      <c r="NA30" s="13"/>
      <c r="NB30" s="13"/>
      <c r="NC30" s="13"/>
      <c r="ND30" s="13"/>
      <c r="NE30" s="13"/>
      <c r="NF30" s="13"/>
      <c r="NG30" s="13"/>
      <c r="NH30" s="13"/>
      <c r="NI30" s="13"/>
      <c r="NJ30" s="13"/>
      <c r="NK30" s="13"/>
      <c r="NL30" s="13"/>
      <c r="NM30" s="13"/>
      <c r="NN30" s="13"/>
      <c r="NO30" s="13"/>
      <c r="NP30" s="13"/>
      <c r="NQ30" s="13"/>
      <c r="NR30" s="13"/>
      <c r="NS30" s="13"/>
      <c r="NT30" s="13"/>
      <c r="NU30" s="13"/>
      <c r="NV30" s="13"/>
      <c r="NW30" s="13"/>
      <c r="NX30" s="13"/>
      <c r="NY30" s="13"/>
      <c r="NZ30" s="13"/>
      <c r="OA30" s="13"/>
      <c r="OB30" s="13"/>
      <c r="OC30" s="13"/>
      <c r="OD30" s="13"/>
      <c r="OE30" s="13"/>
      <c r="OF30" s="13"/>
      <c r="OG30" s="13"/>
      <c r="OH30" s="13"/>
      <c r="OI30" s="13"/>
      <c r="OJ30" s="13"/>
      <c r="OK30" s="13"/>
      <c r="OL30" s="13"/>
      <c r="OM30" s="13"/>
      <c r="ON30" s="13"/>
      <c r="OO30" s="13"/>
      <c r="OP30" s="13"/>
      <c r="OQ30" s="13"/>
      <c r="OR30" s="13"/>
      <c r="OS30" s="13"/>
      <c r="OT30" s="13"/>
      <c r="OU30" s="13"/>
      <c r="OV30" s="13"/>
      <c r="OW30" s="13"/>
      <c r="OX30" s="13"/>
      <c r="OY30" s="13"/>
      <c r="OZ30" s="13"/>
      <c r="PA30" s="13"/>
      <c r="PB30" s="13"/>
      <c r="PC30" s="13"/>
      <c r="PD30" s="13"/>
      <c r="PE30" s="13"/>
      <c r="PF30" s="13"/>
      <c r="PG30" s="13"/>
      <c r="PH30" s="13"/>
      <c r="PI30" s="13"/>
      <c r="PJ30" s="13"/>
      <c r="PK30" s="13"/>
      <c r="PL30" s="13"/>
      <c r="PM30" s="13"/>
      <c r="PN30" s="13"/>
      <c r="PO30" s="13"/>
      <c r="PP30" s="13"/>
      <c r="PQ30" s="13"/>
      <c r="PR30" s="13"/>
      <c r="PS30" s="13"/>
      <c r="PT30" s="13"/>
      <c r="PU30" s="13"/>
      <c r="PV30" s="13"/>
      <c r="PW30" s="13"/>
      <c r="PX30" s="13"/>
      <c r="PY30" s="13"/>
      <c r="PZ30" s="13"/>
      <c r="QA30" s="13"/>
    </row>
    <row r="31" spans="1:443" s="23" customFormat="1" x14ac:dyDescent="0.3">
      <c r="A31" s="14" t="s">
        <v>55</v>
      </c>
      <c r="B31" s="15">
        <v>1</v>
      </c>
      <c r="C31" s="15"/>
      <c r="D31" s="15">
        <v>165</v>
      </c>
      <c r="E31" s="15"/>
      <c r="F31" s="31"/>
      <c r="G31" s="15"/>
      <c r="H31" s="15"/>
      <c r="I31" s="15"/>
      <c r="J31" s="15"/>
      <c r="K31" s="15"/>
      <c r="L31" s="15"/>
      <c r="M31" s="15">
        <v>55</v>
      </c>
      <c r="N31" s="15">
        <v>110</v>
      </c>
      <c r="O31" s="15"/>
      <c r="P31" s="15"/>
      <c r="Q31" s="16"/>
      <c r="R31" s="17">
        <f t="shared" si="1"/>
        <v>165</v>
      </c>
      <c r="S31" s="17">
        <f t="shared" si="2"/>
        <v>0</v>
      </c>
      <c r="T31" s="18">
        <f t="shared" si="3"/>
        <v>1</v>
      </c>
      <c r="U31" s="20"/>
      <c r="V31" s="19" t="str">
        <f t="shared" si="4"/>
        <v/>
      </c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  <c r="JP31" s="13"/>
      <c r="JQ31" s="13"/>
      <c r="JR31" s="13"/>
      <c r="JS31" s="13"/>
      <c r="JT31" s="13"/>
      <c r="JU31" s="13"/>
      <c r="JV31" s="13"/>
      <c r="JW31" s="13"/>
      <c r="JX31" s="13"/>
      <c r="JY31" s="13"/>
      <c r="JZ31" s="13"/>
      <c r="KA31" s="13"/>
      <c r="KB31" s="13"/>
      <c r="KC31" s="13"/>
      <c r="KD31" s="13"/>
      <c r="KE31" s="13"/>
      <c r="KF31" s="13"/>
      <c r="KG31" s="13"/>
      <c r="KH31" s="13"/>
      <c r="KI31" s="13"/>
      <c r="KJ31" s="13"/>
      <c r="KK31" s="13"/>
      <c r="KL31" s="13"/>
      <c r="KM31" s="13"/>
      <c r="KN31" s="13"/>
      <c r="KO31" s="13"/>
      <c r="KP31" s="13"/>
      <c r="KQ31" s="13"/>
      <c r="KR31" s="13"/>
      <c r="KS31" s="13"/>
      <c r="KT31" s="13"/>
      <c r="KU31" s="13"/>
      <c r="KV31" s="13"/>
      <c r="KW31" s="13"/>
      <c r="KX31" s="13"/>
      <c r="KY31" s="13"/>
      <c r="KZ31" s="13"/>
      <c r="LA31" s="13"/>
      <c r="LB31" s="13"/>
      <c r="LC31" s="13"/>
      <c r="LD31" s="13"/>
      <c r="LE31" s="13"/>
      <c r="LF31" s="13"/>
      <c r="LG31" s="13"/>
      <c r="LH31" s="13"/>
      <c r="LI31" s="13"/>
      <c r="LJ31" s="13"/>
      <c r="LK31" s="13"/>
      <c r="LL31" s="13"/>
      <c r="LM31" s="13"/>
      <c r="LN31" s="13"/>
      <c r="LO31" s="13"/>
      <c r="LP31" s="13"/>
      <c r="LQ31" s="13"/>
      <c r="LR31" s="13"/>
      <c r="LS31" s="13"/>
      <c r="LT31" s="13"/>
      <c r="LU31" s="13"/>
      <c r="LV31" s="13"/>
      <c r="LW31" s="13"/>
      <c r="LX31" s="13"/>
      <c r="LY31" s="13"/>
      <c r="LZ31" s="13"/>
      <c r="MA31" s="13"/>
      <c r="MB31" s="13"/>
      <c r="MC31" s="13"/>
      <c r="MD31" s="13"/>
      <c r="ME31" s="13"/>
      <c r="MF31" s="13"/>
      <c r="MG31" s="13"/>
      <c r="MH31" s="13"/>
      <c r="MI31" s="13"/>
      <c r="MJ31" s="13"/>
      <c r="MK31" s="13"/>
      <c r="ML31" s="13"/>
      <c r="MM31" s="13"/>
      <c r="MN31" s="13"/>
      <c r="MO31" s="13"/>
      <c r="MP31" s="13"/>
      <c r="MQ31" s="13"/>
      <c r="MR31" s="13"/>
      <c r="MS31" s="13"/>
      <c r="MT31" s="13"/>
      <c r="MU31" s="13"/>
      <c r="MV31" s="13"/>
      <c r="MW31" s="13"/>
      <c r="MX31" s="13"/>
      <c r="MY31" s="13"/>
      <c r="MZ31" s="13"/>
      <c r="NA31" s="13"/>
      <c r="NB31" s="13"/>
      <c r="NC31" s="13"/>
      <c r="ND31" s="13"/>
      <c r="NE31" s="13"/>
      <c r="NF31" s="13"/>
      <c r="NG31" s="13"/>
      <c r="NH31" s="13"/>
      <c r="NI31" s="13"/>
      <c r="NJ31" s="13"/>
      <c r="NK31" s="13"/>
      <c r="NL31" s="13"/>
      <c r="NM31" s="13"/>
      <c r="NN31" s="13"/>
      <c r="NO31" s="13"/>
      <c r="NP31" s="13"/>
      <c r="NQ31" s="13"/>
      <c r="NR31" s="13"/>
      <c r="NS31" s="13"/>
      <c r="NT31" s="13"/>
      <c r="NU31" s="13"/>
      <c r="NV31" s="13"/>
      <c r="NW31" s="13"/>
      <c r="NX31" s="13"/>
      <c r="NY31" s="13"/>
      <c r="NZ31" s="13"/>
      <c r="OA31" s="13"/>
      <c r="OB31" s="13"/>
      <c r="OC31" s="13"/>
      <c r="OD31" s="13"/>
      <c r="OE31" s="13"/>
      <c r="OF31" s="13"/>
      <c r="OG31" s="13"/>
      <c r="OH31" s="13"/>
      <c r="OI31" s="13"/>
      <c r="OJ31" s="13"/>
      <c r="OK31" s="13"/>
      <c r="OL31" s="13"/>
      <c r="OM31" s="13"/>
      <c r="ON31" s="13"/>
      <c r="OO31" s="13"/>
      <c r="OP31" s="13"/>
      <c r="OQ31" s="13"/>
      <c r="OR31" s="13"/>
      <c r="OS31" s="13"/>
      <c r="OT31" s="13"/>
      <c r="OU31" s="13"/>
      <c r="OV31" s="13"/>
      <c r="OW31" s="13"/>
      <c r="OX31" s="13"/>
      <c r="OY31" s="13"/>
      <c r="OZ31" s="13"/>
      <c r="PA31" s="13"/>
      <c r="PB31" s="13"/>
      <c r="PC31" s="13"/>
      <c r="PD31" s="13"/>
      <c r="PE31" s="13"/>
      <c r="PF31" s="13"/>
      <c r="PG31" s="13"/>
      <c r="PH31" s="13"/>
      <c r="PI31" s="13"/>
      <c r="PJ31" s="13"/>
      <c r="PK31" s="13"/>
      <c r="PL31" s="13"/>
      <c r="PM31" s="13"/>
      <c r="PN31" s="13"/>
      <c r="PO31" s="13"/>
      <c r="PP31" s="13"/>
      <c r="PQ31" s="13"/>
      <c r="PR31" s="13"/>
      <c r="PS31" s="13"/>
      <c r="PT31" s="13"/>
      <c r="PU31" s="13"/>
      <c r="PV31" s="13"/>
      <c r="PW31" s="13"/>
      <c r="PX31" s="13"/>
      <c r="PY31" s="13"/>
      <c r="PZ31" s="13"/>
      <c r="QA31" s="13"/>
    </row>
    <row r="32" spans="1:443" s="23" customFormat="1" x14ac:dyDescent="0.3">
      <c r="A32" s="14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6"/>
      <c r="R32" s="17" t="str">
        <f t="shared" si="1"/>
        <v/>
      </c>
      <c r="S32" s="17" t="str">
        <f t="shared" si="2"/>
        <v/>
      </c>
      <c r="T32" s="18" t="str">
        <f t="shared" si="3"/>
        <v/>
      </c>
      <c r="U32" s="20"/>
      <c r="V32" s="19" t="str">
        <f t="shared" si="4"/>
        <v/>
      </c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  <c r="JP32" s="13"/>
      <c r="JQ32" s="13"/>
      <c r="JR32" s="13"/>
      <c r="JS32" s="13"/>
      <c r="JT32" s="13"/>
      <c r="JU32" s="13"/>
      <c r="JV32" s="13"/>
      <c r="JW32" s="13"/>
      <c r="JX32" s="13"/>
      <c r="JY32" s="13"/>
      <c r="JZ32" s="13"/>
      <c r="KA32" s="13"/>
      <c r="KB32" s="13"/>
      <c r="KC32" s="13"/>
      <c r="KD32" s="13"/>
      <c r="KE32" s="13"/>
      <c r="KF32" s="13"/>
      <c r="KG32" s="13"/>
      <c r="KH32" s="13"/>
      <c r="KI32" s="13"/>
      <c r="KJ32" s="13"/>
      <c r="KK32" s="13"/>
      <c r="KL32" s="13"/>
      <c r="KM32" s="13"/>
      <c r="KN32" s="13"/>
      <c r="KO32" s="13"/>
      <c r="KP32" s="13"/>
      <c r="KQ32" s="13"/>
      <c r="KR32" s="13"/>
      <c r="KS32" s="13"/>
      <c r="KT32" s="13"/>
      <c r="KU32" s="13"/>
      <c r="KV32" s="13"/>
      <c r="KW32" s="13"/>
      <c r="KX32" s="13"/>
      <c r="KY32" s="13"/>
      <c r="KZ32" s="13"/>
      <c r="LA32" s="13"/>
      <c r="LB32" s="13"/>
      <c r="LC32" s="13"/>
      <c r="LD32" s="13"/>
      <c r="LE32" s="13"/>
      <c r="LF32" s="13"/>
      <c r="LG32" s="13"/>
      <c r="LH32" s="13"/>
      <c r="LI32" s="13"/>
      <c r="LJ32" s="13"/>
      <c r="LK32" s="13"/>
      <c r="LL32" s="13"/>
      <c r="LM32" s="13"/>
      <c r="LN32" s="13"/>
      <c r="LO32" s="13"/>
      <c r="LP32" s="13"/>
      <c r="LQ32" s="13"/>
      <c r="LR32" s="13"/>
      <c r="LS32" s="13"/>
      <c r="LT32" s="13"/>
      <c r="LU32" s="13"/>
      <c r="LV32" s="13"/>
      <c r="LW32" s="13"/>
      <c r="LX32" s="13"/>
      <c r="LY32" s="13"/>
      <c r="LZ32" s="13"/>
      <c r="MA32" s="13"/>
      <c r="MB32" s="13"/>
      <c r="MC32" s="13"/>
      <c r="MD32" s="13"/>
      <c r="ME32" s="13"/>
      <c r="MF32" s="13"/>
      <c r="MG32" s="13"/>
      <c r="MH32" s="13"/>
      <c r="MI32" s="13"/>
      <c r="MJ32" s="13"/>
      <c r="MK32" s="13"/>
      <c r="ML32" s="13"/>
      <c r="MM32" s="13"/>
      <c r="MN32" s="13"/>
      <c r="MO32" s="13"/>
      <c r="MP32" s="13"/>
      <c r="MQ32" s="13"/>
      <c r="MR32" s="13"/>
      <c r="MS32" s="13"/>
      <c r="MT32" s="13"/>
      <c r="MU32" s="13"/>
      <c r="MV32" s="13"/>
      <c r="MW32" s="13"/>
      <c r="MX32" s="13"/>
      <c r="MY32" s="13"/>
      <c r="MZ32" s="13"/>
      <c r="NA32" s="13"/>
      <c r="NB32" s="13"/>
      <c r="NC32" s="13"/>
      <c r="ND32" s="13"/>
      <c r="NE32" s="13"/>
      <c r="NF32" s="13"/>
      <c r="NG32" s="13"/>
      <c r="NH32" s="13"/>
      <c r="NI32" s="13"/>
      <c r="NJ32" s="13"/>
      <c r="NK32" s="13"/>
      <c r="NL32" s="13"/>
      <c r="NM32" s="13"/>
      <c r="NN32" s="13"/>
      <c r="NO32" s="13"/>
      <c r="NP32" s="13"/>
      <c r="NQ32" s="13"/>
      <c r="NR32" s="13"/>
      <c r="NS32" s="13"/>
      <c r="NT32" s="13"/>
      <c r="NU32" s="13"/>
      <c r="NV32" s="13"/>
      <c r="NW32" s="13"/>
      <c r="NX32" s="13"/>
      <c r="NY32" s="13"/>
      <c r="NZ32" s="13"/>
      <c r="OA32" s="13"/>
      <c r="OB32" s="13"/>
      <c r="OC32" s="13"/>
      <c r="OD32" s="13"/>
      <c r="OE32" s="13"/>
      <c r="OF32" s="13"/>
      <c r="OG32" s="13"/>
      <c r="OH32" s="13"/>
      <c r="OI32" s="13"/>
      <c r="OJ32" s="13"/>
      <c r="OK32" s="13"/>
      <c r="OL32" s="13"/>
      <c r="OM32" s="13"/>
      <c r="ON32" s="13"/>
      <c r="OO32" s="13"/>
      <c r="OP32" s="13"/>
      <c r="OQ32" s="13"/>
      <c r="OR32" s="13"/>
      <c r="OS32" s="13"/>
      <c r="OT32" s="13"/>
      <c r="OU32" s="13"/>
      <c r="OV32" s="13"/>
      <c r="OW32" s="13"/>
      <c r="OX32" s="13"/>
      <c r="OY32" s="13"/>
      <c r="OZ32" s="13"/>
      <c r="PA32" s="13"/>
      <c r="PB32" s="13"/>
      <c r="PC32" s="13"/>
      <c r="PD32" s="13"/>
      <c r="PE32" s="13"/>
      <c r="PF32" s="13"/>
      <c r="PG32" s="13"/>
      <c r="PH32" s="13"/>
      <c r="PI32" s="13"/>
      <c r="PJ32" s="13"/>
      <c r="PK32" s="13"/>
      <c r="PL32" s="13"/>
      <c r="PM32" s="13"/>
      <c r="PN32" s="13"/>
      <c r="PO32" s="13"/>
      <c r="PP32" s="13"/>
      <c r="PQ32" s="13"/>
      <c r="PR32" s="13"/>
      <c r="PS32" s="13"/>
      <c r="PT32" s="13"/>
      <c r="PU32" s="13"/>
      <c r="PV32" s="13"/>
      <c r="PW32" s="13"/>
      <c r="PX32" s="13"/>
      <c r="PY32" s="13"/>
      <c r="PZ32" s="13"/>
      <c r="QA32" s="13"/>
    </row>
    <row r="33" spans="1:443" s="23" customFormat="1" x14ac:dyDescent="0.3">
      <c r="A33" s="14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6"/>
      <c r="R33" s="17" t="str">
        <f t="shared" si="1"/>
        <v/>
      </c>
      <c r="S33" s="17" t="str">
        <f t="shared" si="2"/>
        <v/>
      </c>
      <c r="T33" s="18" t="str">
        <f t="shared" si="3"/>
        <v/>
      </c>
      <c r="U33" s="15"/>
      <c r="V33" s="19" t="str">
        <f t="shared" si="4"/>
        <v/>
      </c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  <c r="JP33" s="13"/>
      <c r="JQ33" s="13"/>
      <c r="JR33" s="13"/>
      <c r="JS33" s="13"/>
      <c r="JT33" s="13"/>
      <c r="JU33" s="13"/>
      <c r="JV33" s="13"/>
      <c r="JW33" s="13"/>
      <c r="JX33" s="13"/>
      <c r="JY33" s="13"/>
      <c r="JZ33" s="13"/>
      <c r="KA33" s="13"/>
      <c r="KB33" s="13"/>
      <c r="KC33" s="13"/>
      <c r="KD33" s="13"/>
      <c r="KE33" s="13"/>
      <c r="KF33" s="13"/>
      <c r="KG33" s="13"/>
      <c r="KH33" s="13"/>
      <c r="KI33" s="13"/>
      <c r="KJ33" s="13"/>
      <c r="KK33" s="13"/>
      <c r="KL33" s="13"/>
      <c r="KM33" s="13"/>
      <c r="KN33" s="13"/>
      <c r="KO33" s="13"/>
      <c r="KP33" s="13"/>
      <c r="KQ33" s="13"/>
      <c r="KR33" s="13"/>
      <c r="KS33" s="13"/>
      <c r="KT33" s="13"/>
      <c r="KU33" s="13"/>
      <c r="KV33" s="13"/>
      <c r="KW33" s="13"/>
      <c r="KX33" s="13"/>
      <c r="KY33" s="13"/>
      <c r="KZ33" s="13"/>
      <c r="LA33" s="13"/>
      <c r="LB33" s="13"/>
      <c r="LC33" s="13"/>
      <c r="LD33" s="13"/>
      <c r="LE33" s="13"/>
      <c r="LF33" s="13"/>
      <c r="LG33" s="13"/>
      <c r="LH33" s="13"/>
      <c r="LI33" s="13"/>
      <c r="LJ33" s="13"/>
      <c r="LK33" s="13"/>
      <c r="LL33" s="13"/>
      <c r="LM33" s="13"/>
      <c r="LN33" s="13"/>
      <c r="LO33" s="13"/>
      <c r="LP33" s="13"/>
      <c r="LQ33" s="13"/>
      <c r="LR33" s="13"/>
      <c r="LS33" s="13"/>
      <c r="LT33" s="13"/>
      <c r="LU33" s="13"/>
      <c r="LV33" s="13"/>
      <c r="LW33" s="13"/>
      <c r="LX33" s="13"/>
      <c r="LY33" s="13"/>
      <c r="LZ33" s="13"/>
      <c r="MA33" s="13"/>
      <c r="MB33" s="13"/>
      <c r="MC33" s="13"/>
      <c r="MD33" s="13"/>
      <c r="ME33" s="13"/>
      <c r="MF33" s="13"/>
      <c r="MG33" s="13"/>
      <c r="MH33" s="13"/>
      <c r="MI33" s="13"/>
      <c r="MJ33" s="13"/>
      <c r="MK33" s="13"/>
      <c r="ML33" s="13"/>
      <c r="MM33" s="13"/>
      <c r="MN33" s="13"/>
      <c r="MO33" s="13"/>
      <c r="MP33" s="13"/>
      <c r="MQ33" s="13"/>
      <c r="MR33" s="13"/>
      <c r="MS33" s="13"/>
      <c r="MT33" s="13"/>
      <c r="MU33" s="13"/>
      <c r="MV33" s="13"/>
      <c r="MW33" s="13"/>
      <c r="MX33" s="13"/>
      <c r="MY33" s="13"/>
      <c r="MZ33" s="13"/>
      <c r="NA33" s="13"/>
      <c r="NB33" s="13"/>
      <c r="NC33" s="13"/>
      <c r="ND33" s="13"/>
      <c r="NE33" s="13"/>
      <c r="NF33" s="13"/>
      <c r="NG33" s="13"/>
      <c r="NH33" s="13"/>
      <c r="NI33" s="13"/>
      <c r="NJ33" s="13"/>
      <c r="NK33" s="13"/>
      <c r="NL33" s="13"/>
      <c r="NM33" s="13"/>
      <c r="NN33" s="13"/>
      <c r="NO33" s="13"/>
      <c r="NP33" s="13"/>
      <c r="NQ33" s="13"/>
      <c r="NR33" s="13"/>
      <c r="NS33" s="13"/>
      <c r="NT33" s="13"/>
      <c r="NU33" s="13"/>
      <c r="NV33" s="13"/>
      <c r="NW33" s="13"/>
      <c r="NX33" s="13"/>
      <c r="NY33" s="13"/>
      <c r="NZ33" s="13"/>
      <c r="OA33" s="13"/>
      <c r="OB33" s="13"/>
      <c r="OC33" s="13"/>
      <c r="OD33" s="13"/>
      <c r="OE33" s="13"/>
      <c r="OF33" s="13"/>
      <c r="OG33" s="13"/>
      <c r="OH33" s="13"/>
      <c r="OI33" s="13"/>
      <c r="OJ33" s="13"/>
      <c r="OK33" s="13"/>
      <c r="OL33" s="13"/>
      <c r="OM33" s="13"/>
      <c r="ON33" s="13"/>
      <c r="OO33" s="13"/>
      <c r="OP33" s="13"/>
      <c r="OQ33" s="13"/>
      <c r="OR33" s="13"/>
      <c r="OS33" s="13"/>
      <c r="OT33" s="13"/>
      <c r="OU33" s="13"/>
      <c r="OV33" s="13"/>
      <c r="OW33" s="13"/>
      <c r="OX33" s="13"/>
      <c r="OY33" s="13"/>
      <c r="OZ33" s="13"/>
      <c r="PA33" s="13"/>
      <c r="PB33" s="13"/>
      <c r="PC33" s="13"/>
      <c r="PD33" s="13"/>
      <c r="PE33" s="13"/>
      <c r="PF33" s="13"/>
      <c r="PG33" s="13"/>
      <c r="PH33" s="13"/>
      <c r="PI33" s="13"/>
      <c r="PJ33" s="13"/>
      <c r="PK33" s="13"/>
      <c r="PL33" s="13"/>
      <c r="PM33" s="13"/>
      <c r="PN33" s="13"/>
      <c r="PO33" s="13"/>
      <c r="PP33" s="13"/>
      <c r="PQ33" s="13"/>
      <c r="PR33" s="13"/>
      <c r="PS33" s="13"/>
      <c r="PT33" s="13"/>
      <c r="PU33" s="13"/>
      <c r="PV33" s="13"/>
      <c r="PW33" s="13"/>
      <c r="PX33" s="13"/>
      <c r="PY33" s="13"/>
      <c r="PZ33" s="13"/>
      <c r="QA33" s="13"/>
    </row>
    <row r="34" spans="1:443" s="23" customFormat="1" x14ac:dyDescent="0.3">
      <c r="A34" s="14"/>
      <c r="B34" s="15"/>
      <c r="C34" s="15"/>
      <c r="D34" s="15"/>
      <c r="E34" s="15"/>
      <c r="F34" s="33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6"/>
      <c r="R34" s="17" t="str">
        <f t="shared" si="1"/>
        <v/>
      </c>
      <c r="S34" s="17" t="str">
        <f t="shared" si="2"/>
        <v/>
      </c>
      <c r="T34" s="18" t="str">
        <f t="shared" si="3"/>
        <v/>
      </c>
      <c r="U34" s="15"/>
      <c r="V34" s="19" t="str">
        <f t="shared" si="4"/>
        <v/>
      </c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  <c r="JP34" s="13"/>
      <c r="JQ34" s="13"/>
      <c r="JR34" s="13"/>
      <c r="JS34" s="13"/>
      <c r="JT34" s="13"/>
      <c r="JU34" s="13"/>
      <c r="JV34" s="13"/>
      <c r="JW34" s="13"/>
      <c r="JX34" s="13"/>
      <c r="JY34" s="13"/>
      <c r="JZ34" s="13"/>
      <c r="KA34" s="13"/>
      <c r="KB34" s="13"/>
      <c r="KC34" s="13"/>
      <c r="KD34" s="13"/>
      <c r="KE34" s="13"/>
      <c r="KF34" s="13"/>
      <c r="KG34" s="13"/>
      <c r="KH34" s="13"/>
      <c r="KI34" s="13"/>
      <c r="KJ34" s="13"/>
      <c r="KK34" s="13"/>
      <c r="KL34" s="13"/>
      <c r="KM34" s="13"/>
      <c r="KN34" s="13"/>
      <c r="KO34" s="13"/>
      <c r="KP34" s="13"/>
      <c r="KQ34" s="13"/>
      <c r="KR34" s="13"/>
      <c r="KS34" s="13"/>
      <c r="KT34" s="13"/>
      <c r="KU34" s="13"/>
      <c r="KV34" s="13"/>
      <c r="KW34" s="13"/>
      <c r="KX34" s="13"/>
      <c r="KY34" s="13"/>
      <c r="KZ34" s="13"/>
      <c r="LA34" s="13"/>
      <c r="LB34" s="13"/>
      <c r="LC34" s="13"/>
      <c r="LD34" s="13"/>
      <c r="LE34" s="13"/>
      <c r="LF34" s="13"/>
      <c r="LG34" s="13"/>
      <c r="LH34" s="13"/>
      <c r="LI34" s="13"/>
      <c r="LJ34" s="13"/>
      <c r="LK34" s="13"/>
      <c r="LL34" s="13"/>
      <c r="LM34" s="13"/>
      <c r="LN34" s="13"/>
      <c r="LO34" s="13"/>
      <c r="LP34" s="13"/>
      <c r="LQ34" s="13"/>
      <c r="LR34" s="13"/>
      <c r="LS34" s="13"/>
      <c r="LT34" s="13"/>
      <c r="LU34" s="13"/>
      <c r="LV34" s="13"/>
      <c r="LW34" s="13"/>
      <c r="LX34" s="13"/>
      <c r="LY34" s="13"/>
      <c r="LZ34" s="13"/>
      <c r="MA34" s="13"/>
      <c r="MB34" s="13"/>
      <c r="MC34" s="13"/>
      <c r="MD34" s="13"/>
      <c r="ME34" s="13"/>
      <c r="MF34" s="13"/>
      <c r="MG34" s="13"/>
      <c r="MH34" s="13"/>
      <c r="MI34" s="13"/>
      <c r="MJ34" s="13"/>
      <c r="MK34" s="13"/>
      <c r="ML34" s="13"/>
      <c r="MM34" s="13"/>
      <c r="MN34" s="13"/>
      <c r="MO34" s="13"/>
      <c r="MP34" s="13"/>
      <c r="MQ34" s="13"/>
      <c r="MR34" s="13"/>
      <c r="MS34" s="13"/>
      <c r="MT34" s="13"/>
      <c r="MU34" s="13"/>
      <c r="MV34" s="13"/>
      <c r="MW34" s="13"/>
      <c r="MX34" s="13"/>
      <c r="MY34" s="13"/>
      <c r="MZ34" s="13"/>
      <c r="NA34" s="13"/>
      <c r="NB34" s="13"/>
      <c r="NC34" s="13"/>
      <c r="ND34" s="13"/>
      <c r="NE34" s="13"/>
      <c r="NF34" s="13"/>
      <c r="NG34" s="13"/>
      <c r="NH34" s="13"/>
      <c r="NI34" s="13"/>
      <c r="NJ34" s="13"/>
      <c r="NK34" s="13"/>
      <c r="NL34" s="13"/>
      <c r="NM34" s="13"/>
      <c r="NN34" s="13"/>
      <c r="NO34" s="13"/>
      <c r="NP34" s="13"/>
      <c r="NQ34" s="13"/>
      <c r="NR34" s="13"/>
      <c r="NS34" s="13"/>
      <c r="NT34" s="13"/>
      <c r="NU34" s="13"/>
      <c r="NV34" s="13"/>
      <c r="NW34" s="13"/>
      <c r="NX34" s="13"/>
      <c r="NY34" s="13"/>
      <c r="NZ34" s="13"/>
      <c r="OA34" s="13"/>
      <c r="OB34" s="13"/>
      <c r="OC34" s="13"/>
      <c r="OD34" s="13"/>
      <c r="OE34" s="13"/>
      <c r="OF34" s="13"/>
      <c r="OG34" s="13"/>
      <c r="OH34" s="13"/>
      <c r="OI34" s="13"/>
      <c r="OJ34" s="13"/>
      <c r="OK34" s="13"/>
      <c r="OL34" s="13"/>
      <c r="OM34" s="13"/>
      <c r="ON34" s="13"/>
      <c r="OO34" s="13"/>
      <c r="OP34" s="13"/>
      <c r="OQ34" s="13"/>
      <c r="OR34" s="13"/>
      <c r="OS34" s="13"/>
      <c r="OT34" s="13"/>
      <c r="OU34" s="13"/>
      <c r="OV34" s="13"/>
      <c r="OW34" s="13"/>
      <c r="OX34" s="13"/>
      <c r="OY34" s="13"/>
      <c r="OZ34" s="13"/>
      <c r="PA34" s="13"/>
      <c r="PB34" s="13"/>
      <c r="PC34" s="13"/>
      <c r="PD34" s="13"/>
      <c r="PE34" s="13"/>
      <c r="PF34" s="13"/>
      <c r="PG34" s="13"/>
      <c r="PH34" s="13"/>
      <c r="PI34" s="13"/>
      <c r="PJ34" s="13"/>
      <c r="PK34" s="13"/>
      <c r="PL34" s="13"/>
      <c r="PM34" s="13"/>
      <c r="PN34" s="13"/>
      <c r="PO34" s="13"/>
      <c r="PP34" s="13"/>
      <c r="PQ34" s="13"/>
      <c r="PR34" s="13"/>
      <c r="PS34" s="13"/>
      <c r="PT34" s="13"/>
      <c r="PU34" s="13"/>
      <c r="PV34" s="13"/>
      <c r="PW34" s="13"/>
      <c r="PX34" s="13"/>
      <c r="PY34" s="13"/>
      <c r="PZ34" s="13"/>
      <c r="QA34" s="13"/>
    </row>
    <row r="35" spans="1:443" s="23" customFormat="1" x14ac:dyDescent="0.3">
      <c r="A35" s="14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6"/>
      <c r="R35" s="17" t="str">
        <f t="shared" si="1"/>
        <v/>
      </c>
      <c r="S35" s="17" t="str">
        <f t="shared" si="2"/>
        <v/>
      </c>
      <c r="T35" s="18" t="str">
        <f t="shared" si="3"/>
        <v/>
      </c>
      <c r="U35" s="15"/>
      <c r="V35" s="19" t="str">
        <f t="shared" si="4"/>
        <v/>
      </c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  <c r="JP35" s="13"/>
      <c r="JQ35" s="13"/>
      <c r="JR35" s="13"/>
      <c r="JS35" s="13"/>
      <c r="JT35" s="13"/>
      <c r="JU35" s="13"/>
      <c r="JV35" s="13"/>
      <c r="JW35" s="13"/>
      <c r="JX35" s="13"/>
      <c r="JY35" s="13"/>
      <c r="JZ35" s="13"/>
      <c r="KA35" s="13"/>
      <c r="KB35" s="13"/>
      <c r="KC35" s="13"/>
      <c r="KD35" s="13"/>
      <c r="KE35" s="13"/>
      <c r="KF35" s="13"/>
      <c r="KG35" s="13"/>
      <c r="KH35" s="13"/>
      <c r="KI35" s="13"/>
      <c r="KJ35" s="13"/>
      <c r="KK35" s="13"/>
      <c r="KL35" s="13"/>
      <c r="KM35" s="13"/>
      <c r="KN35" s="13"/>
      <c r="KO35" s="13"/>
      <c r="KP35" s="13"/>
      <c r="KQ35" s="13"/>
      <c r="KR35" s="13"/>
      <c r="KS35" s="13"/>
      <c r="KT35" s="13"/>
      <c r="KU35" s="13"/>
      <c r="KV35" s="13"/>
      <c r="KW35" s="13"/>
      <c r="KX35" s="13"/>
      <c r="KY35" s="13"/>
      <c r="KZ35" s="13"/>
      <c r="LA35" s="13"/>
      <c r="LB35" s="13"/>
      <c r="LC35" s="13"/>
      <c r="LD35" s="13"/>
      <c r="LE35" s="13"/>
      <c r="LF35" s="13"/>
      <c r="LG35" s="13"/>
      <c r="LH35" s="13"/>
      <c r="LI35" s="13"/>
      <c r="LJ35" s="13"/>
      <c r="LK35" s="13"/>
      <c r="LL35" s="13"/>
      <c r="LM35" s="13"/>
      <c r="LN35" s="13"/>
      <c r="LO35" s="13"/>
      <c r="LP35" s="13"/>
      <c r="LQ35" s="13"/>
      <c r="LR35" s="13"/>
      <c r="LS35" s="13"/>
      <c r="LT35" s="13"/>
      <c r="LU35" s="13"/>
      <c r="LV35" s="13"/>
      <c r="LW35" s="13"/>
      <c r="LX35" s="13"/>
      <c r="LY35" s="13"/>
      <c r="LZ35" s="13"/>
      <c r="MA35" s="13"/>
      <c r="MB35" s="13"/>
      <c r="MC35" s="13"/>
      <c r="MD35" s="13"/>
      <c r="ME35" s="13"/>
      <c r="MF35" s="13"/>
      <c r="MG35" s="13"/>
      <c r="MH35" s="13"/>
      <c r="MI35" s="13"/>
      <c r="MJ35" s="13"/>
      <c r="MK35" s="13"/>
      <c r="ML35" s="13"/>
      <c r="MM35" s="13"/>
      <c r="MN35" s="13"/>
      <c r="MO35" s="13"/>
      <c r="MP35" s="13"/>
      <c r="MQ35" s="13"/>
      <c r="MR35" s="13"/>
      <c r="MS35" s="13"/>
      <c r="MT35" s="13"/>
      <c r="MU35" s="13"/>
      <c r="MV35" s="13"/>
      <c r="MW35" s="13"/>
      <c r="MX35" s="13"/>
      <c r="MY35" s="13"/>
      <c r="MZ35" s="13"/>
      <c r="NA35" s="13"/>
      <c r="NB35" s="13"/>
      <c r="NC35" s="13"/>
      <c r="ND35" s="13"/>
      <c r="NE35" s="13"/>
      <c r="NF35" s="13"/>
      <c r="NG35" s="13"/>
      <c r="NH35" s="13"/>
      <c r="NI35" s="13"/>
      <c r="NJ35" s="13"/>
      <c r="NK35" s="13"/>
      <c r="NL35" s="13"/>
      <c r="NM35" s="13"/>
      <c r="NN35" s="13"/>
      <c r="NO35" s="13"/>
      <c r="NP35" s="13"/>
      <c r="NQ35" s="13"/>
      <c r="NR35" s="13"/>
      <c r="NS35" s="13"/>
      <c r="NT35" s="13"/>
      <c r="NU35" s="13"/>
      <c r="NV35" s="13"/>
      <c r="NW35" s="13"/>
      <c r="NX35" s="13"/>
      <c r="NY35" s="13"/>
      <c r="NZ35" s="13"/>
      <c r="OA35" s="13"/>
      <c r="OB35" s="13"/>
      <c r="OC35" s="13"/>
      <c r="OD35" s="13"/>
      <c r="OE35" s="13"/>
      <c r="OF35" s="13"/>
      <c r="OG35" s="13"/>
      <c r="OH35" s="13"/>
      <c r="OI35" s="13"/>
      <c r="OJ35" s="13"/>
      <c r="OK35" s="13"/>
      <c r="OL35" s="13"/>
      <c r="OM35" s="13"/>
      <c r="ON35" s="13"/>
      <c r="OO35" s="13"/>
      <c r="OP35" s="13"/>
      <c r="OQ35" s="13"/>
      <c r="OR35" s="13"/>
      <c r="OS35" s="13"/>
      <c r="OT35" s="13"/>
      <c r="OU35" s="13"/>
      <c r="OV35" s="13"/>
      <c r="OW35" s="13"/>
      <c r="OX35" s="13"/>
      <c r="OY35" s="13"/>
      <c r="OZ35" s="13"/>
      <c r="PA35" s="13"/>
      <c r="PB35" s="13"/>
      <c r="PC35" s="13"/>
      <c r="PD35" s="13"/>
      <c r="PE35" s="13"/>
      <c r="PF35" s="13"/>
      <c r="PG35" s="13"/>
      <c r="PH35" s="13"/>
      <c r="PI35" s="13"/>
      <c r="PJ35" s="13"/>
      <c r="PK35" s="13"/>
      <c r="PL35" s="13"/>
      <c r="PM35" s="13"/>
      <c r="PN35" s="13"/>
      <c r="PO35" s="13"/>
      <c r="PP35" s="13"/>
      <c r="PQ35" s="13"/>
      <c r="PR35" s="13"/>
      <c r="PS35" s="13"/>
      <c r="PT35" s="13"/>
      <c r="PU35" s="13"/>
      <c r="PV35" s="13"/>
      <c r="PW35" s="13"/>
      <c r="PX35" s="13"/>
      <c r="PY35" s="13"/>
      <c r="PZ35" s="13"/>
      <c r="QA35" s="13"/>
    </row>
    <row r="36" spans="1:443" s="23" customFormat="1" x14ac:dyDescent="0.3">
      <c r="A36" s="14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6"/>
      <c r="R36" s="17" t="str">
        <f t="shared" si="1"/>
        <v/>
      </c>
      <c r="S36" s="17" t="str">
        <f t="shared" si="2"/>
        <v/>
      </c>
      <c r="T36" s="18" t="str">
        <f t="shared" si="3"/>
        <v/>
      </c>
      <c r="U36" s="15"/>
      <c r="V36" s="19" t="str">
        <f t="shared" ref="V36:V67" si="5">IF(U36&lt;&gt;"",D36 - (SUM(E36:Q36)),"")</f>
        <v/>
      </c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  <c r="JP36" s="13"/>
      <c r="JQ36" s="13"/>
      <c r="JR36" s="13"/>
      <c r="JS36" s="13"/>
      <c r="JT36" s="13"/>
      <c r="JU36" s="13"/>
      <c r="JV36" s="13"/>
      <c r="JW36" s="13"/>
      <c r="JX36" s="13"/>
      <c r="JY36" s="13"/>
      <c r="JZ36" s="13"/>
      <c r="KA36" s="13"/>
      <c r="KB36" s="13"/>
      <c r="KC36" s="13"/>
      <c r="KD36" s="13"/>
      <c r="KE36" s="13"/>
      <c r="KF36" s="13"/>
      <c r="KG36" s="13"/>
      <c r="KH36" s="13"/>
      <c r="KI36" s="13"/>
      <c r="KJ36" s="13"/>
      <c r="KK36" s="13"/>
      <c r="KL36" s="13"/>
      <c r="KM36" s="13"/>
      <c r="KN36" s="13"/>
      <c r="KO36" s="13"/>
      <c r="KP36" s="13"/>
      <c r="KQ36" s="13"/>
      <c r="KR36" s="13"/>
      <c r="KS36" s="13"/>
      <c r="KT36" s="13"/>
      <c r="KU36" s="13"/>
      <c r="KV36" s="13"/>
      <c r="KW36" s="13"/>
      <c r="KX36" s="13"/>
      <c r="KY36" s="13"/>
      <c r="KZ36" s="13"/>
      <c r="LA36" s="13"/>
      <c r="LB36" s="13"/>
      <c r="LC36" s="13"/>
      <c r="LD36" s="13"/>
      <c r="LE36" s="13"/>
      <c r="LF36" s="13"/>
      <c r="LG36" s="13"/>
      <c r="LH36" s="13"/>
      <c r="LI36" s="13"/>
      <c r="LJ36" s="13"/>
      <c r="LK36" s="13"/>
      <c r="LL36" s="13"/>
      <c r="LM36" s="13"/>
      <c r="LN36" s="13"/>
      <c r="LO36" s="13"/>
      <c r="LP36" s="13"/>
      <c r="LQ36" s="13"/>
      <c r="LR36" s="13"/>
      <c r="LS36" s="13"/>
      <c r="LT36" s="13"/>
      <c r="LU36" s="13"/>
      <c r="LV36" s="13"/>
      <c r="LW36" s="13"/>
      <c r="LX36" s="13"/>
      <c r="LY36" s="13"/>
      <c r="LZ36" s="13"/>
      <c r="MA36" s="13"/>
      <c r="MB36" s="13"/>
      <c r="MC36" s="13"/>
      <c r="MD36" s="13"/>
      <c r="ME36" s="13"/>
      <c r="MF36" s="13"/>
      <c r="MG36" s="13"/>
      <c r="MH36" s="13"/>
      <c r="MI36" s="13"/>
      <c r="MJ36" s="13"/>
      <c r="MK36" s="13"/>
      <c r="ML36" s="13"/>
      <c r="MM36" s="13"/>
      <c r="MN36" s="13"/>
      <c r="MO36" s="13"/>
      <c r="MP36" s="13"/>
      <c r="MQ36" s="13"/>
      <c r="MR36" s="13"/>
      <c r="MS36" s="13"/>
      <c r="MT36" s="13"/>
      <c r="MU36" s="13"/>
      <c r="MV36" s="13"/>
      <c r="MW36" s="13"/>
      <c r="MX36" s="13"/>
      <c r="MY36" s="13"/>
      <c r="MZ36" s="13"/>
      <c r="NA36" s="13"/>
      <c r="NB36" s="13"/>
      <c r="NC36" s="13"/>
      <c r="ND36" s="13"/>
      <c r="NE36" s="13"/>
      <c r="NF36" s="13"/>
      <c r="NG36" s="13"/>
      <c r="NH36" s="13"/>
      <c r="NI36" s="13"/>
      <c r="NJ36" s="13"/>
      <c r="NK36" s="13"/>
      <c r="NL36" s="13"/>
      <c r="NM36" s="13"/>
      <c r="NN36" s="13"/>
      <c r="NO36" s="13"/>
      <c r="NP36" s="13"/>
      <c r="NQ36" s="13"/>
      <c r="NR36" s="13"/>
      <c r="NS36" s="13"/>
      <c r="NT36" s="13"/>
      <c r="NU36" s="13"/>
      <c r="NV36" s="13"/>
      <c r="NW36" s="13"/>
      <c r="NX36" s="13"/>
      <c r="NY36" s="13"/>
      <c r="NZ36" s="13"/>
      <c r="OA36" s="13"/>
      <c r="OB36" s="13"/>
      <c r="OC36" s="13"/>
      <c r="OD36" s="13"/>
      <c r="OE36" s="13"/>
      <c r="OF36" s="13"/>
      <c r="OG36" s="13"/>
      <c r="OH36" s="13"/>
      <c r="OI36" s="13"/>
      <c r="OJ36" s="13"/>
      <c r="OK36" s="13"/>
      <c r="OL36" s="13"/>
      <c r="OM36" s="13"/>
      <c r="ON36" s="13"/>
      <c r="OO36" s="13"/>
      <c r="OP36" s="13"/>
      <c r="OQ36" s="13"/>
      <c r="OR36" s="13"/>
      <c r="OS36" s="13"/>
      <c r="OT36" s="13"/>
      <c r="OU36" s="13"/>
      <c r="OV36" s="13"/>
      <c r="OW36" s="13"/>
      <c r="OX36" s="13"/>
      <c r="OY36" s="13"/>
      <c r="OZ36" s="13"/>
      <c r="PA36" s="13"/>
      <c r="PB36" s="13"/>
      <c r="PC36" s="13"/>
      <c r="PD36" s="13"/>
      <c r="PE36" s="13"/>
      <c r="PF36" s="13"/>
      <c r="PG36" s="13"/>
      <c r="PH36" s="13"/>
      <c r="PI36" s="13"/>
      <c r="PJ36" s="13"/>
      <c r="PK36" s="13"/>
      <c r="PL36" s="13"/>
      <c r="PM36" s="13"/>
      <c r="PN36" s="13"/>
      <c r="PO36" s="13"/>
      <c r="PP36" s="13"/>
      <c r="PQ36" s="13"/>
      <c r="PR36" s="13"/>
      <c r="PS36" s="13"/>
      <c r="PT36" s="13"/>
      <c r="PU36" s="13"/>
      <c r="PV36" s="13"/>
      <c r="PW36" s="13"/>
      <c r="PX36" s="13"/>
      <c r="PY36" s="13"/>
      <c r="PZ36" s="13"/>
      <c r="QA36" s="13"/>
    </row>
    <row r="37" spans="1:443" s="23" customFormat="1" x14ac:dyDescent="0.3">
      <c r="A37" s="14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6"/>
      <c r="R37" s="17" t="str">
        <f t="shared" si="1"/>
        <v/>
      </c>
      <c r="S37" s="17" t="str">
        <f t="shared" si="2"/>
        <v/>
      </c>
      <c r="T37" s="18" t="str">
        <f t="shared" si="3"/>
        <v/>
      </c>
      <c r="U37" s="15"/>
      <c r="V37" s="19" t="str">
        <f t="shared" si="5"/>
        <v/>
      </c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  <c r="JP37" s="13"/>
      <c r="JQ37" s="13"/>
      <c r="JR37" s="13"/>
      <c r="JS37" s="13"/>
      <c r="JT37" s="13"/>
      <c r="JU37" s="13"/>
      <c r="JV37" s="13"/>
      <c r="JW37" s="13"/>
      <c r="JX37" s="13"/>
      <c r="JY37" s="13"/>
      <c r="JZ37" s="13"/>
      <c r="KA37" s="13"/>
      <c r="KB37" s="13"/>
      <c r="KC37" s="13"/>
      <c r="KD37" s="13"/>
      <c r="KE37" s="13"/>
      <c r="KF37" s="13"/>
      <c r="KG37" s="13"/>
      <c r="KH37" s="13"/>
      <c r="KI37" s="13"/>
      <c r="KJ37" s="13"/>
      <c r="KK37" s="13"/>
      <c r="KL37" s="13"/>
      <c r="KM37" s="13"/>
      <c r="KN37" s="13"/>
      <c r="KO37" s="13"/>
      <c r="KP37" s="13"/>
      <c r="KQ37" s="13"/>
      <c r="KR37" s="13"/>
      <c r="KS37" s="13"/>
      <c r="KT37" s="13"/>
      <c r="KU37" s="13"/>
      <c r="KV37" s="13"/>
      <c r="KW37" s="13"/>
      <c r="KX37" s="13"/>
      <c r="KY37" s="13"/>
      <c r="KZ37" s="13"/>
      <c r="LA37" s="13"/>
      <c r="LB37" s="13"/>
      <c r="LC37" s="13"/>
      <c r="LD37" s="13"/>
      <c r="LE37" s="13"/>
      <c r="LF37" s="13"/>
      <c r="LG37" s="13"/>
      <c r="LH37" s="13"/>
      <c r="LI37" s="13"/>
      <c r="LJ37" s="13"/>
      <c r="LK37" s="13"/>
      <c r="LL37" s="13"/>
      <c r="LM37" s="13"/>
      <c r="LN37" s="13"/>
      <c r="LO37" s="13"/>
      <c r="LP37" s="13"/>
      <c r="LQ37" s="13"/>
      <c r="LR37" s="13"/>
      <c r="LS37" s="13"/>
      <c r="LT37" s="13"/>
      <c r="LU37" s="13"/>
      <c r="LV37" s="13"/>
      <c r="LW37" s="13"/>
      <c r="LX37" s="13"/>
      <c r="LY37" s="13"/>
      <c r="LZ37" s="13"/>
      <c r="MA37" s="13"/>
      <c r="MB37" s="13"/>
      <c r="MC37" s="13"/>
      <c r="MD37" s="13"/>
      <c r="ME37" s="13"/>
      <c r="MF37" s="13"/>
      <c r="MG37" s="13"/>
      <c r="MH37" s="13"/>
      <c r="MI37" s="13"/>
      <c r="MJ37" s="13"/>
      <c r="MK37" s="13"/>
      <c r="ML37" s="13"/>
      <c r="MM37" s="13"/>
      <c r="MN37" s="13"/>
      <c r="MO37" s="13"/>
      <c r="MP37" s="13"/>
      <c r="MQ37" s="13"/>
      <c r="MR37" s="13"/>
      <c r="MS37" s="13"/>
      <c r="MT37" s="13"/>
      <c r="MU37" s="13"/>
      <c r="MV37" s="13"/>
      <c r="MW37" s="13"/>
      <c r="MX37" s="13"/>
      <c r="MY37" s="13"/>
      <c r="MZ37" s="13"/>
      <c r="NA37" s="13"/>
      <c r="NB37" s="13"/>
      <c r="NC37" s="13"/>
      <c r="ND37" s="13"/>
      <c r="NE37" s="13"/>
      <c r="NF37" s="13"/>
      <c r="NG37" s="13"/>
      <c r="NH37" s="13"/>
      <c r="NI37" s="13"/>
      <c r="NJ37" s="13"/>
      <c r="NK37" s="13"/>
      <c r="NL37" s="13"/>
      <c r="NM37" s="13"/>
      <c r="NN37" s="13"/>
      <c r="NO37" s="13"/>
      <c r="NP37" s="13"/>
      <c r="NQ37" s="13"/>
      <c r="NR37" s="13"/>
      <c r="NS37" s="13"/>
      <c r="NT37" s="13"/>
      <c r="NU37" s="13"/>
      <c r="NV37" s="13"/>
      <c r="NW37" s="13"/>
      <c r="NX37" s="13"/>
      <c r="NY37" s="13"/>
      <c r="NZ37" s="13"/>
      <c r="OA37" s="13"/>
      <c r="OB37" s="13"/>
      <c r="OC37" s="13"/>
      <c r="OD37" s="13"/>
      <c r="OE37" s="13"/>
      <c r="OF37" s="13"/>
      <c r="OG37" s="13"/>
      <c r="OH37" s="13"/>
      <c r="OI37" s="13"/>
      <c r="OJ37" s="13"/>
      <c r="OK37" s="13"/>
      <c r="OL37" s="13"/>
      <c r="OM37" s="13"/>
      <c r="ON37" s="13"/>
      <c r="OO37" s="13"/>
      <c r="OP37" s="13"/>
      <c r="OQ37" s="13"/>
      <c r="OR37" s="13"/>
      <c r="OS37" s="13"/>
      <c r="OT37" s="13"/>
      <c r="OU37" s="13"/>
      <c r="OV37" s="13"/>
      <c r="OW37" s="13"/>
      <c r="OX37" s="13"/>
      <c r="OY37" s="13"/>
      <c r="OZ37" s="13"/>
      <c r="PA37" s="13"/>
      <c r="PB37" s="13"/>
      <c r="PC37" s="13"/>
      <c r="PD37" s="13"/>
      <c r="PE37" s="13"/>
      <c r="PF37" s="13"/>
      <c r="PG37" s="13"/>
      <c r="PH37" s="13"/>
      <c r="PI37" s="13"/>
      <c r="PJ37" s="13"/>
      <c r="PK37" s="13"/>
      <c r="PL37" s="13"/>
      <c r="PM37" s="13"/>
      <c r="PN37" s="13"/>
      <c r="PO37" s="13"/>
      <c r="PP37" s="13"/>
      <c r="PQ37" s="13"/>
      <c r="PR37" s="13"/>
      <c r="PS37" s="13"/>
      <c r="PT37" s="13"/>
      <c r="PU37" s="13"/>
      <c r="PV37" s="13"/>
      <c r="PW37" s="13"/>
      <c r="PX37" s="13"/>
      <c r="PY37" s="13"/>
      <c r="PZ37" s="13"/>
      <c r="QA37" s="13"/>
    </row>
    <row r="38" spans="1:443" s="23" customFormat="1" x14ac:dyDescent="0.3">
      <c r="A38" s="14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6"/>
      <c r="R38" s="17" t="str">
        <f t="shared" si="1"/>
        <v/>
      </c>
      <c r="S38" s="17" t="str">
        <f t="shared" si="2"/>
        <v/>
      </c>
      <c r="T38" s="18" t="str">
        <f t="shared" si="3"/>
        <v/>
      </c>
      <c r="U38" s="15"/>
      <c r="V38" s="19" t="str">
        <f t="shared" si="5"/>
        <v/>
      </c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  <c r="JP38" s="13"/>
      <c r="JQ38" s="13"/>
      <c r="JR38" s="13"/>
      <c r="JS38" s="13"/>
      <c r="JT38" s="13"/>
      <c r="JU38" s="13"/>
      <c r="JV38" s="13"/>
      <c r="JW38" s="13"/>
      <c r="JX38" s="13"/>
      <c r="JY38" s="13"/>
      <c r="JZ38" s="13"/>
      <c r="KA38" s="13"/>
      <c r="KB38" s="13"/>
      <c r="KC38" s="13"/>
      <c r="KD38" s="13"/>
      <c r="KE38" s="13"/>
      <c r="KF38" s="13"/>
      <c r="KG38" s="13"/>
      <c r="KH38" s="13"/>
      <c r="KI38" s="13"/>
      <c r="KJ38" s="13"/>
      <c r="KK38" s="13"/>
      <c r="KL38" s="13"/>
      <c r="KM38" s="13"/>
      <c r="KN38" s="13"/>
      <c r="KO38" s="13"/>
      <c r="KP38" s="13"/>
      <c r="KQ38" s="13"/>
      <c r="KR38" s="13"/>
      <c r="KS38" s="13"/>
      <c r="KT38" s="13"/>
      <c r="KU38" s="13"/>
      <c r="KV38" s="13"/>
      <c r="KW38" s="13"/>
      <c r="KX38" s="13"/>
      <c r="KY38" s="13"/>
      <c r="KZ38" s="13"/>
      <c r="LA38" s="13"/>
      <c r="LB38" s="13"/>
      <c r="LC38" s="13"/>
      <c r="LD38" s="13"/>
      <c r="LE38" s="13"/>
      <c r="LF38" s="13"/>
      <c r="LG38" s="13"/>
      <c r="LH38" s="13"/>
      <c r="LI38" s="13"/>
      <c r="LJ38" s="13"/>
      <c r="LK38" s="13"/>
      <c r="LL38" s="13"/>
      <c r="LM38" s="13"/>
      <c r="LN38" s="13"/>
      <c r="LO38" s="13"/>
      <c r="LP38" s="13"/>
      <c r="LQ38" s="13"/>
      <c r="LR38" s="13"/>
      <c r="LS38" s="13"/>
      <c r="LT38" s="13"/>
      <c r="LU38" s="13"/>
      <c r="LV38" s="13"/>
      <c r="LW38" s="13"/>
      <c r="LX38" s="13"/>
      <c r="LY38" s="13"/>
      <c r="LZ38" s="13"/>
      <c r="MA38" s="13"/>
      <c r="MB38" s="13"/>
      <c r="MC38" s="13"/>
      <c r="MD38" s="13"/>
      <c r="ME38" s="13"/>
      <c r="MF38" s="13"/>
      <c r="MG38" s="13"/>
      <c r="MH38" s="13"/>
      <c r="MI38" s="13"/>
      <c r="MJ38" s="13"/>
      <c r="MK38" s="13"/>
      <c r="ML38" s="13"/>
      <c r="MM38" s="13"/>
      <c r="MN38" s="13"/>
      <c r="MO38" s="13"/>
      <c r="MP38" s="13"/>
      <c r="MQ38" s="13"/>
      <c r="MR38" s="13"/>
      <c r="MS38" s="13"/>
      <c r="MT38" s="13"/>
      <c r="MU38" s="13"/>
      <c r="MV38" s="13"/>
      <c r="MW38" s="13"/>
      <c r="MX38" s="13"/>
      <c r="MY38" s="13"/>
      <c r="MZ38" s="13"/>
      <c r="NA38" s="13"/>
      <c r="NB38" s="13"/>
      <c r="NC38" s="13"/>
      <c r="ND38" s="13"/>
      <c r="NE38" s="13"/>
      <c r="NF38" s="13"/>
      <c r="NG38" s="13"/>
      <c r="NH38" s="13"/>
      <c r="NI38" s="13"/>
      <c r="NJ38" s="13"/>
      <c r="NK38" s="13"/>
      <c r="NL38" s="13"/>
      <c r="NM38" s="13"/>
      <c r="NN38" s="13"/>
      <c r="NO38" s="13"/>
      <c r="NP38" s="13"/>
      <c r="NQ38" s="13"/>
      <c r="NR38" s="13"/>
      <c r="NS38" s="13"/>
      <c r="NT38" s="13"/>
      <c r="NU38" s="13"/>
      <c r="NV38" s="13"/>
      <c r="NW38" s="13"/>
      <c r="NX38" s="13"/>
      <c r="NY38" s="13"/>
      <c r="NZ38" s="13"/>
      <c r="OA38" s="13"/>
      <c r="OB38" s="13"/>
      <c r="OC38" s="13"/>
      <c r="OD38" s="13"/>
      <c r="OE38" s="13"/>
      <c r="OF38" s="13"/>
      <c r="OG38" s="13"/>
      <c r="OH38" s="13"/>
      <c r="OI38" s="13"/>
      <c r="OJ38" s="13"/>
      <c r="OK38" s="13"/>
      <c r="OL38" s="13"/>
      <c r="OM38" s="13"/>
      <c r="ON38" s="13"/>
      <c r="OO38" s="13"/>
      <c r="OP38" s="13"/>
      <c r="OQ38" s="13"/>
      <c r="OR38" s="13"/>
      <c r="OS38" s="13"/>
      <c r="OT38" s="13"/>
      <c r="OU38" s="13"/>
      <c r="OV38" s="13"/>
      <c r="OW38" s="13"/>
      <c r="OX38" s="13"/>
      <c r="OY38" s="13"/>
      <c r="OZ38" s="13"/>
      <c r="PA38" s="13"/>
      <c r="PB38" s="13"/>
      <c r="PC38" s="13"/>
      <c r="PD38" s="13"/>
      <c r="PE38" s="13"/>
      <c r="PF38" s="13"/>
      <c r="PG38" s="13"/>
      <c r="PH38" s="13"/>
      <c r="PI38" s="13"/>
      <c r="PJ38" s="13"/>
      <c r="PK38" s="13"/>
      <c r="PL38" s="13"/>
      <c r="PM38" s="13"/>
      <c r="PN38" s="13"/>
      <c r="PO38" s="13"/>
      <c r="PP38" s="13"/>
      <c r="PQ38" s="13"/>
      <c r="PR38" s="13"/>
      <c r="PS38" s="13"/>
      <c r="PT38" s="13"/>
      <c r="PU38" s="13"/>
      <c r="PV38" s="13"/>
      <c r="PW38" s="13"/>
      <c r="PX38" s="13"/>
      <c r="PY38" s="13"/>
      <c r="PZ38" s="13"/>
      <c r="QA38" s="13"/>
    </row>
    <row r="39" spans="1:443" s="23" customFormat="1" x14ac:dyDescent="0.3">
      <c r="A39" s="14"/>
      <c r="B39" s="15"/>
      <c r="C39" s="15"/>
      <c r="D39" s="15"/>
      <c r="E39" s="15"/>
      <c r="F39" s="31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6"/>
      <c r="R39" s="17" t="str">
        <f t="shared" si="1"/>
        <v/>
      </c>
      <c r="S39" s="17" t="str">
        <f t="shared" si="2"/>
        <v/>
      </c>
      <c r="T39" s="18" t="str">
        <f t="shared" si="3"/>
        <v/>
      </c>
      <c r="U39" s="15"/>
      <c r="V39" s="19" t="str">
        <f t="shared" si="5"/>
        <v/>
      </c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  <c r="JP39" s="13"/>
      <c r="JQ39" s="13"/>
      <c r="JR39" s="13"/>
      <c r="JS39" s="13"/>
      <c r="JT39" s="13"/>
      <c r="JU39" s="13"/>
      <c r="JV39" s="13"/>
      <c r="JW39" s="13"/>
      <c r="JX39" s="13"/>
      <c r="JY39" s="13"/>
      <c r="JZ39" s="13"/>
      <c r="KA39" s="13"/>
      <c r="KB39" s="13"/>
      <c r="KC39" s="13"/>
      <c r="KD39" s="13"/>
      <c r="KE39" s="13"/>
      <c r="KF39" s="13"/>
      <c r="KG39" s="13"/>
      <c r="KH39" s="13"/>
      <c r="KI39" s="13"/>
      <c r="KJ39" s="13"/>
      <c r="KK39" s="13"/>
      <c r="KL39" s="13"/>
      <c r="KM39" s="13"/>
      <c r="KN39" s="13"/>
      <c r="KO39" s="13"/>
      <c r="KP39" s="13"/>
      <c r="KQ39" s="13"/>
      <c r="KR39" s="13"/>
      <c r="KS39" s="13"/>
      <c r="KT39" s="13"/>
      <c r="KU39" s="13"/>
      <c r="KV39" s="13"/>
      <c r="KW39" s="13"/>
      <c r="KX39" s="13"/>
      <c r="KY39" s="13"/>
      <c r="KZ39" s="13"/>
      <c r="LA39" s="13"/>
      <c r="LB39" s="13"/>
      <c r="LC39" s="13"/>
      <c r="LD39" s="13"/>
      <c r="LE39" s="13"/>
      <c r="LF39" s="13"/>
      <c r="LG39" s="13"/>
      <c r="LH39" s="13"/>
      <c r="LI39" s="13"/>
      <c r="LJ39" s="13"/>
      <c r="LK39" s="13"/>
      <c r="LL39" s="13"/>
      <c r="LM39" s="13"/>
      <c r="LN39" s="13"/>
      <c r="LO39" s="13"/>
      <c r="LP39" s="13"/>
      <c r="LQ39" s="13"/>
      <c r="LR39" s="13"/>
      <c r="LS39" s="13"/>
      <c r="LT39" s="13"/>
      <c r="LU39" s="13"/>
      <c r="LV39" s="13"/>
      <c r="LW39" s="13"/>
      <c r="LX39" s="13"/>
      <c r="LY39" s="13"/>
      <c r="LZ39" s="13"/>
      <c r="MA39" s="13"/>
      <c r="MB39" s="13"/>
      <c r="MC39" s="13"/>
      <c r="MD39" s="13"/>
      <c r="ME39" s="13"/>
      <c r="MF39" s="13"/>
      <c r="MG39" s="13"/>
      <c r="MH39" s="13"/>
      <c r="MI39" s="13"/>
      <c r="MJ39" s="13"/>
      <c r="MK39" s="13"/>
      <c r="ML39" s="13"/>
      <c r="MM39" s="13"/>
      <c r="MN39" s="13"/>
      <c r="MO39" s="13"/>
      <c r="MP39" s="13"/>
      <c r="MQ39" s="13"/>
      <c r="MR39" s="13"/>
      <c r="MS39" s="13"/>
      <c r="MT39" s="13"/>
      <c r="MU39" s="13"/>
      <c r="MV39" s="13"/>
      <c r="MW39" s="13"/>
      <c r="MX39" s="13"/>
      <c r="MY39" s="13"/>
      <c r="MZ39" s="13"/>
      <c r="NA39" s="13"/>
      <c r="NB39" s="13"/>
      <c r="NC39" s="13"/>
      <c r="ND39" s="13"/>
      <c r="NE39" s="13"/>
      <c r="NF39" s="13"/>
      <c r="NG39" s="13"/>
      <c r="NH39" s="13"/>
      <c r="NI39" s="13"/>
      <c r="NJ39" s="13"/>
      <c r="NK39" s="13"/>
      <c r="NL39" s="13"/>
      <c r="NM39" s="13"/>
      <c r="NN39" s="13"/>
      <c r="NO39" s="13"/>
      <c r="NP39" s="13"/>
      <c r="NQ39" s="13"/>
      <c r="NR39" s="13"/>
      <c r="NS39" s="13"/>
      <c r="NT39" s="13"/>
      <c r="NU39" s="13"/>
      <c r="NV39" s="13"/>
      <c r="NW39" s="13"/>
      <c r="NX39" s="13"/>
      <c r="NY39" s="13"/>
      <c r="NZ39" s="13"/>
      <c r="OA39" s="13"/>
      <c r="OB39" s="13"/>
      <c r="OC39" s="13"/>
      <c r="OD39" s="13"/>
      <c r="OE39" s="13"/>
      <c r="OF39" s="13"/>
      <c r="OG39" s="13"/>
      <c r="OH39" s="13"/>
      <c r="OI39" s="13"/>
      <c r="OJ39" s="13"/>
      <c r="OK39" s="13"/>
      <c r="OL39" s="13"/>
      <c r="OM39" s="13"/>
      <c r="ON39" s="13"/>
      <c r="OO39" s="13"/>
      <c r="OP39" s="13"/>
      <c r="OQ39" s="13"/>
      <c r="OR39" s="13"/>
      <c r="OS39" s="13"/>
      <c r="OT39" s="13"/>
      <c r="OU39" s="13"/>
      <c r="OV39" s="13"/>
      <c r="OW39" s="13"/>
      <c r="OX39" s="13"/>
      <c r="OY39" s="13"/>
      <c r="OZ39" s="13"/>
      <c r="PA39" s="13"/>
      <c r="PB39" s="13"/>
      <c r="PC39" s="13"/>
      <c r="PD39" s="13"/>
      <c r="PE39" s="13"/>
      <c r="PF39" s="13"/>
      <c r="PG39" s="13"/>
      <c r="PH39" s="13"/>
      <c r="PI39" s="13"/>
      <c r="PJ39" s="13"/>
      <c r="PK39" s="13"/>
      <c r="PL39" s="13"/>
      <c r="PM39" s="13"/>
      <c r="PN39" s="13"/>
      <c r="PO39" s="13"/>
      <c r="PP39" s="13"/>
      <c r="PQ39" s="13"/>
      <c r="PR39" s="13"/>
      <c r="PS39" s="13"/>
      <c r="PT39" s="13"/>
      <c r="PU39" s="13"/>
      <c r="PV39" s="13"/>
      <c r="PW39" s="13"/>
      <c r="PX39" s="13"/>
      <c r="PY39" s="13"/>
      <c r="PZ39" s="13"/>
      <c r="QA39" s="13"/>
    </row>
    <row r="40" spans="1:443" s="23" customFormat="1" x14ac:dyDescent="0.3">
      <c r="A40" s="14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6"/>
      <c r="R40" s="17" t="str">
        <f t="shared" si="1"/>
        <v/>
      </c>
      <c r="S40" s="17" t="str">
        <f t="shared" si="2"/>
        <v/>
      </c>
      <c r="T40" s="18" t="str">
        <f t="shared" si="3"/>
        <v/>
      </c>
      <c r="U40" s="15"/>
      <c r="V40" s="19" t="str">
        <f t="shared" si="5"/>
        <v/>
      </c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  <c r="JP40" s="13"/>
      <c r="JQ40" s="13"/>
      <c r="JR40" s="13"/>
      <c r="JS40" s="13"/>
      <c r="JT40" s="13"/>
      <c r="JU40" s="13"/>
      <c r="JV40" s="13"/>
      <c r="JW40" s="13"/>
      <c r="JX40" s="13"/>
      <c r="JY40" s="13"/>
      <c r="JZ40" s="13"/>
      <c r="KA40" s="13"/>
      <c r="KB40" s="13"/>
      <c r="KC40" s="13"/>
      <c r="KD40" s="13"/>
      <c r="KE40" s="13"/>
      <c r="KF40" s="13"/>
      <c r="KG40" s="13"/>
      <c r="KH40" s="13"/>
      <c r="KI40" s="13"/>
      <c r="KJ40" s="13"/>
      <c r="KK40" s="13"/>
      <c r="KL40" s="13"/>
      <c r="KM40" s="13"/>
      <c r="KN40" s="13"/>
      <c r="KO40" s="13"/>
      <c r="KP40" s="13"/>
      <c r="KQ40" s="13"/>
      <c r="KR40" s="13"/>
      <c r="KS40" s="13"/>
      <c r="KT40" s="13"/>
      <c r="KU40" s="13"/>
      <c r="KV40" s="13"/>
      <c r="KW40" s="13"/>
      <c r="KX40" s="13"/>
      <c r="KY40" s="13"/>
      <c r="KZ40" s="13"/>
      <c r="LA40" s="13"/>
      <c r="LB40" s="13"/>
      <c r="LC40" s="13"/>
      <c r="LD40" s="13"/>
      <c r="LE40" s="13"/>
      <c r="LF40" s="13"/>
      <c r="LG40" s="13"/>
      <c r="LH40" s="13"/>
      <c r="LI40" s="13"/>
      <c r="LJ40" s="13"/>
      <c r="LK40" s="13"/>
      <c r="LL40" s="13"/>
      <c r="LM40" s="13"/>
      <c r="LN40" s="13"/>
      <c r="LO40" s="13"/>
      <c r="LP40" s="13"/>
      <c r="LQ40" s="13"/>
      <c r="LR40" s="13"/>
      <c r="LS40" s="13"/>
      <c r="LT40" s="13"/>
      <c r="LU40" s="13"/>
      <c r="LV40" s="13"/>
      <c r="LW40" s="13"/>
      <c r="LX40" s="13"/>
      <c r="LY40" s="13"/>
      <c r="LZ40" s="13"/>
      <c r="MA40" s="13"/>
      <c r="MB40" s="13"/>
      <c r="MC40" s="13"/>
      <c r="MD40" s="13"/>
      <c r="ME40" s="13"/>
      <c r="MF40" s="13"/>
      <c r="MG40" s="13"/>
      <c r="MH40" s="13"/>
      <c r="MI40" s="13"/>
      <c r="MJ40" s="13"/>
      <c r="MK40" s="13"/>
      <c r="ML40" s="13"/>
      <c r="MM40" s="13"/>
      <c r="MN40" s="13"/>
      <c r="MO40" s="13"/>
      <c r="MP40" s="13"/>
      <c r="MQ40" s="13"/>
      <c r="MR40" s="13"/>
      <c r="MS40" s="13"/>
      <c r="MT40" s="13"/>
      <c r="MU40" s="13"/>
      <c r="MV40" s="13"/>
      <c r="MW40" s="13"/>
      <c r="MX40" s="13"/>
      <c r="MY40" s="13"/>
      <c r="MZ40" s="13"/>
      <c r="NA40" s="13"/>
      <c r="NB40" s="13"/>
      <c r="NC40" s="13"/>
      <c r="ND40" s="13"/>
      <c r="NE40" s="13"/>
      <c r="NF40" s="13"/>
      <c r="NG40" s="13"/>
      <c r="NH40" s="13"/>
      <c r="NI40" s="13"/>
      <c r="NJ40" s="13"/>
      <c r="NK40" s="13"/>
      <c r="NL40" s="13"/>
      <c r="NM40" s="13"/>
      <c r="NN40" s="13"/>
      <c r="NO40" s="13"/>
      <c r="NP40" s="13"/>
      <c r="NQ40" s="13"/>
      <c r="NR40" s="13"/>
      <c r="NS40" s="13"/>
      <c r="NT40" s="13"/>
      <c r="NU40" s="13"/>
      <c r="NV40" s="13"/>
      <c r="NW40" s="13"/>
      <c r="NX40" s="13"/>
      <c r="NY40" s="13"/>
      <c r="NZ40" s="13"/>
      <c r="OA40" s="13"/>
      <c r="OB40" s="13"/>
      <c r="OC40" s="13"/>
      <c r="OD40" s="13"/>
      <c r="OE40" s="13"/>
      <c r="OF40" s="13"/>
      <c r="OG40" s="13"/>
      <c r="OH40" s="13"/>
      <c r="OI40" s="13"/>
      <c r="OJ40" s="13"/>
      <c r="OK40" s="13"/>
      <c r="OL40" s="13"/>
      <c r="OM40" s="13"/>
      <c r="ON40" s="13"/>
      <c r="OO40" s="13"/>
      <c r="OP40" s="13"/>
      <c r="OQ40" s="13"/>
      <c r="OR40" s="13"/>
      <c r="OS40" s="13"/>
      <c r="OT40" s="13"/>
      <c r="OU40" s="13"/>
      <c r="OV40" s="13"/>
      <c r="OW40" s="13"/>
      <c r="OX40" s="13"/>
      <c r="OY40" s="13"/>
      <c r="OZ40" s="13"/>
      <c r="PA40" s="13"/>
      <c r="PB40" s="13"/>
      <c r="PC40" s="13"/>
      <c r="PD40" s="13"/>
      <c r="PE40" s="13"/>
      <c r="PF40" s="13"/>
      <c r="PG40" s="13"/>
      <c r="PH40" s="13"/>
      <c r="PI40" s="13"/>
      <c r="PJ40" s="13"/>
      <c r="PK40" s="13"/>
      <c r="PL40" s="13"/>
      <c r="PM40" s="13"/>
      <c r="PN40" s="13"/>
      <c r="PO40" s="13"/>
      <c r="PP40" s="13"/>
      <c r="PQ40" s="13"/>
      <c r="PR40" s="13"/>
      <c r="PS40" s="13"/>
      <c r="PT40" s="13"/>
      <c r="PU40" s="13"/>
      <c r="PV40" s="13"/>
      <c r="PW40" s="13"/>
      <c r="PX40" s="13"/>
      <c r="PY40" s="13"/>
      <c r="PZ40" s="13"/>
      <c r="QA40" s="13"/>
    </row>
    <row r="41" spans="1:443" x14ac:dyDescent="0.3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6"/>
      <c r="R41" s="17" t="str">
        <f t="shared" si="1"/>
        <v/>
      </c>
      <c r="S41" s="17" t="str">
        <f t="shared" si="2"/>
        <v/>
      </c>
      <c r="T41" s="18" t="str">
        <f t="shared" si="3"/>
        <v/>
      </c>
      <c r="U41" s="15"/>
      <c r="V41" s="19" t="str">
        <f t="shared" si="5"/>
        <v/>
      </c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  <c r="JP41" s="13"/>
      <c r="JQ41" s="13"/>
      <c r="JR41" s="13"/>
      <c r="JS41" s="13"/>
      <c r="JT41" s="13"/>
      <c r="JU41" s="13"/>
      <c r="JV41" s="13"/>
      <c r="JW41" s="13"/>
      <c r="JX41" s="13"/>
      <c r="JY41" s="13"/>
      <c r="JZ41" s="13"/>
      <c r="KA41" s="13"/>
      <c r="KB41" s="13"/>
      <c r="KC41" s="13"/>
      <c r="KD41" s="13"/>
      <c r="KE41" s="13"/>
      <c r="KF41" s="13"/>
      <c r="KG41" s="13"/>
      <c r="KH41" s="13"/>
      <c r="KI41" s="13"/>
      <c r="KJ41" s="13"/>
      <c r="KK41" s="13"/>
      <c r="KL41" s="13"/>
      <c r="KM41" s="13"/>
      <c r="KN41" s="13"/>
      <c r="KO41" s="13"/>
      <c r="KP41" s="13"/>
      <c r="KQ41" s="13"/>
      <c r="KR41" s="13"/>
      <c r="KS41" s="13"/>
      <c r="KT41" s="13"/>
      <c r="KU41" s="13"/>
      <c r="KV41" s="13"/>
      <c r="KW41" s="13"/>
      <c r="KX41" s="13"/>
      <c r="KY41" s="13"/>
      <c r="KZ41" s="13"/>
      <c r="LA41" s="13"/>
      <c r="LB41" s="13"/>
      <c r="LC41" s="13"/>
      <c r="LD41" s="13"/>
      <c r="LE41" s="13"/>
      <c r="LF41" s="13"/>
      <c r="LG41" s="13"/>
      <c r="LH41" s="13"/>
      <c r="LI41" s="13"/>
      <c r="LJ41" s="13"/>
      <c r="LK41" s="13"/>
      <c r="LL41" s="13"/>
      <c r="LM41" s="13"/>
      <c r="LN41" s="13"/>
      <c r="LO41" s="13"/>
      <c r="LP41" s="13"/>
      <c r="LQ41" s="13"/>
      <c r="LR41" s="13"/>
      <c r="LS41" s="13"/>
      <c r="LT41" s="13"/>
      <c r="LU41" s="13"/>
      <c r="LV41" s="13"/>
      <c r="LW41" s="13"/>
      <c r="LX41" s="13"/>
      <c r="LY41" s="13"/>
      <c r="LZ41" s="13"/>
      <c r="MA41" s="13"/>
      <c r="MB41" s="13"/>
      <c r="MC41" s="13"/>
      <c r="MD41" s="13"/>
      <c r="ME41" s="13"/>
      <c r="MF41" s="13"/>
      <c r="MG41" s="13"/>
      <c r="MH41" s="13"/>
      <c r="MI41" s="13"/>
      <c r="MJ41" s="13"/>
      <c r="MK41" s="13"/>
      <c r="ML41" s="13"/>
      <c r="MM41" s="13"/>
      <c r="MN41" s="13"/>
      <c r="MO41" s="13"/>
      <c r="MP41" s="13"/>
      <c r="MQ41" s="13"/>
      <c r="MR41" s="13"/>
      <c r="MS41" s="13"/>
      <c r="MT41" s="13"/>
      <c r="MU41" s="13"/>
      <c r="MV41" s="13"/>
      <c r="MW41" s="13"/>
      <c r="MX41" s="13"/>
      <c r="MY41" s="13"/>
      <c r="MZ41" s="13"/>
      <c r="NA41" s="13"/>
      <c r="NB41" s="13"/>
      <c r="NC41" s="13"/>
      <c r="ND41" s="13"/>
      <c r="NE41" s="13"/>
      <c r="NF41" s="13"/>
      <c r="NG41" s="13"/>
      <c r="NH41" s="13"/>
      <c r="NI41" s="13"/>
      <c r="NJ41" s="13"/>
      <c r="NK41" s="13"/>
      <c r="NL41" s="13"/>
      <c r="NM41" s="13"/>
      <c r="NN41" s="13"/>
      <c r="NO41" s="13"/>
      <c r="NP41" s="13"/>
      <c r="NQ41" s="13"/>
      <c r="NR41" s="13"/>
      <c r="NS41" s="13"/>
      <c r="NT41" s="13"/>
      <c r="NU41" s="13"/>
      <c r="NV41" s="13"/>
      <c r="NW41" s="13"/>
      <c r="NX41" s="13"/>
      <c r="NY41" s="13"/>
      <c r="NZ41" s="13"/>
      <c r="OA41" s="13"/>
      <c r="OB41" s="13"/>
      <c r="OC41" s="13"/>
      <c r="OD41" s="13"/>
      <c r="OE41" s="13"/>
      <c r="OF41" s="13"/>
      <c r="OG41" s="13"/>
      <c r="OH41" s="13"/>
      <c r="OI41" s="13"/>
      <c r="OJ41" s="13"/>
      <c r="OK41" s="13"/>
      <c r="OL41" s="13"/>
      <c r="OM41" s="13"/>
      <c r="ON41" s="13"/>
      <c r="OO41" s="13"/>
      <c r="OP41" s="13"/>
      <c r="OQ41" s="13"/>
      <c r="OR41" s="13"/>
      <c r="OS41" s="13"/>
      <c r="OT41" s="13"/>
      <c r="OU41" s="13"/>
      <c r="OV41" s="13"/>
      <c r="OW41" s="13"/>
      <c r="OX41" s="13"/>
      <c r="OY41" s="13"/>
      <c r="OZ41" s="13"/>
      <c r="PA41" s="13"/>
      <c r="PB41" s="13"/>
      <c r="PC41" s="13"/>
      <c r="PD41" s="13"/>
      <c r="PE41" s="13"/>
      <c r="PF41" s="13"/>
      <c r="PG41" s="13"/>
      <c r="PH41" s="13"/>
      <c r="PI41" s="13"/>
      <c r="PJ41" s="13"/>
      <c r="PK41" s="13"/>
      <c r="PL41" s="13"/>
      <c r="PM41" s="13"/>
      <c r="PN41" s="13"/>
      <c r="PO41" s="13"/>
      <c r="PP41" s="13"/>
      <c r="PQ41" s="13"/>
      <c r="PR41" s="13"/>
      <c r="PS41" s="13"/>
      <c r="PT41" s="13"/>
      <c r="PU41" s="13"/>
      <c r="PV41" s="13"/>
      <c r="PW41" s="13"/>
      <c r="PX41" s="13"/>
      <c r="PY41" s="13"/>
      <c r="PZ41" s="13"/>
      <c r="QA41" s="13"/>
    </row>
    <row r="42" spans="1:443" x14ac:dyDescent="0.3">
      <c r="B42" s="15"/>
      <c r="C42" s="15"/>
      <c r="D42" s="15"/>
      <c r="E42" s="15"/>
      <c r="F42" s="31"/>
      <c r="G42" s="31"/>
      <c r="H42" s="15"/>
      <c r="I42" s="15"/>
      <c r="J42" s="15"/>
      <c r="K42" s="15"/>
      <c r="M42" s="15"/>
      <c r="N42" s="15"/>
      <c r="O42" s="15"/>
      <c r="P42" s="15"/>
      <c r="Q42" s="16"/>
      <c r="R42" s="17" t="str">
        <f t="shared" si="1"/>
        <v/>
      </c>
      <c r="S42" s="17" t="str">
        <f t="shared" si="2"/>
        <v/>
      </c>
      <c r="T42" s="18" t="str">
        <f t="shared" si="3"/>
        <v/>
      </c>
      <c r="V42" s="19" t="str">
        <f t="shared" si="5"/>
        <v/>
      </c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  <c r="JP42" s="13"/>
      <c r="JQ42" s="13"/>
      <c r="JR42" s="13"/>
      <c r="JS42" s="13"/>
      <c r="JT42" s="13"/>
      <c r="JU42" s="13"/>
      <c r="JV42" s="13"/>
      <c r="JW42" s="13"/>
      <c r="JX42" s="13"/>
      <c r="JY42" s="13"/>
      <c r="JZ42" s="13"/>
      <c r="KA42" s="13"/>
      <c r="KB42" s="13"/>
      <c r="KC42" s="13"/>
      <c r="KD42" s="13"/>
      <c r="KE42" s="13"/>
      <c r="KF42" s="13"/>
      <c r="KG42" s="13"/>
      <c r="KH42" s="13"/>
      <c r="KI42" s="13"/>
      <c r="KJ42" s="13"/>
      <c r="KK42" s="13"/>
      <c r="KL42" s="13"/>
      <c r="KM42" s="13"/>
      <c r="KN42" s="13"/>
      <c r="KO42" s="13"/>
      <c r="KP42" s="13"/>
      <c r="KQ42" s="13"/>
      <c r="KR42" s="13"/>
      <c r="KS42" s="13"/>
      <c r="KT42" s="13"/>
      <c r="KU42" s="13"/>
      <c r="KV42" s="13"/>
      <c r="KW42" s="13"/>
      <c r="KX42" s="13"/>
      <c r="KY42" s="13"/>
      <c r="KZ42" s="13"/>
      <c r="LA42" s="13"/>
      <c r="LB42" s="13"/>
      <c r="LC42" s="13"/>
      <c r="LD42" s="13"/>
      <c r="LE42" s="13"/>
      <c r="LF42" s="13"/>
      <c r="LG42" s="13"/>
      <c r="LH42" s="13"/>
      <c r="LI42" s="13"/>
      <c r="LJ42" s="13"/>
      <c r="LK42" s="13"/>
      <c r="LL42" s="13"/>
      <c r="LM42" s="13"/>
      <c r="LN42" s="13"/>
      <c r="LO42" s="13"/>
      <c r="LP42" s="13"/>
      <c r="LQ42" s="13"/>
      <c r="LR42" s="13"/>
      <c r="LS42" s="13"/>
      <c r="LT42" s="13"/>
      <c r="LU42" s="13"/>
      <c r="LV42" s="13"/>
      <c r="LW42" s="13"/>
      <c r="LX42" s="13"/>
      <c r="LY42" s="13"/>
      <c r="LZ42" s="13"/>
      <c r="MA42" s="13"/>
      <c r="MB42" s="13"/>
      <c r="MC42" s="13"/>
      <c r="MD42" s="13"/>
      <c r="ME42" s="13"/>
      <c r="MF42" s="13"/>
      <c r="MG42" s="13"/>
      <c r="MH42" s="13"/>
      <c r="MI42" s="13"/>
      <c r="MJ42" s="13"/>
      <c r="MK42" s="13"/>
      <c r="ML42" s="13"/>
      <c r="MM42" s="13"/>
      <c r="MN42" s="13"/>
      <c r="MO42" s="13"/>
      <c r="MP42" s="13"/>
      <c r="MQ42" s="13"/>
      <c r="MR42" s="13"/>
      <c r="MS42" s="13"/>
      <c r="MT42" s="13"/>
      <c r="MU42" s="13"/>
      <c r="MV42" s="13"/>
      <c r="MW42" s="13"/>
      <c r="MX42" s="13"/>
      <c r="MY42" s="13"/>
      <c r="MZ42" s="13"/>
      <c r="NA42" s="13"/>
      <c r="NB42" s="13"/>
      <c r="NC42" s="13"/>
      <c r="ND42" s="13"/>
      <c r="NE42" s="13"/>
      <c r="NF42" s="13"/>
      <c r="NG42" s="13"/>
      <c r="NH42" s="13"/>
      <c r="NI42" s="13"/>
      <c r="NJ42" s="13"/>
      <c r="NK42" s="13"/>
      <c r="NL42" s="13"/>
      <c r="NM42" s="13"/>
      <c r="NN42" s="13"/>
      <c r="NO42" s="13"/>
      <c r="NP42" s="13"/>
      <c r="NQ42" s="13"/>
      <c r="NR42" s="13"/>
      <c r="NS42" s="13"/>
      <c r="NT42" s="13"/>
      <c r="NU42" s="13"/>
      <c r="NV42" s="13"/>
      <c r="NW42" s="13"/>
      <c r="NX42" s="13"/>
      <c r="NY42" s="13"/>
      <c r="NZ42" s="13"/>
      <c r="OA42" s="13"/>
      <c r="OB42" s="13"/>
      <c r="OC42" s="13"/>
      <c r="OD42" s="13"/>
      <c r="OE42" s="13"/>
      <c r="OF42" s="13"/>
      <c r="OG42" s="13"/>
      <c r="OH42" s="13"/>
      <c r="OI42" s="13"/>
      <c r="OJ42" s="13"/>
      <c r="OK42" s="13"/>
      <c r="OL42" s="13"/>
      <c r="OM42" s="13"/>
      <c r="ON42" s="13"/>
      <c r="OO42" s="13"/>
      <c r="OP42" s="13"/>
      <c r="OQ42" s="13"/>
      <c r="OR42" s="13"/>
      <c r="OS42" s="13"/>
      <c r="OT42" s="13"/>
      <c r="OU42" s="13"/>
      <c r="OV42" s="13"/>
      <c r="OW42" s="13"/>
      <c r="OX42" s="13"/>
      <c r="OY42" s="13"/>
      <c r="OZ42" s="13"/>
      <c r="PA42" s="13"/>
      <c r="PB42" s="13"/>
      <c r="PC42" s="13"/>
      <c r="PD42" s="13"/>
      <c r="PE42" s="13"/>
      <c r="PF42" s="13"/>
      <c r="PG42" s="13"/>
      <c r="PH42" s="13"/>
      <c r="PI42" s="13"/>
      <c r="PJ42" s="13"/>
      <c r="PK42" s="13"/>
      <c r="PL42" s="13"/>
      <c r="PM42" s="13"/>
      <c r="PN42" s="13"/>
      <c r="PO42" s="13"/>
      <c r="PP42" s="13"/>
      <c r="PQ42" s="13"/>
      <c r="PR42" s="13"/>
      <c r="PS42" s="13"/>
      <c r="PT42" s="13"/>
      <c r="PU42" s="13"/>
      <c r="PV42" s="13"/>
      <c r="PW42" s="13"/>
      <c r="PX42" s="13"/>
      <c r="PY42" s="13"/>
      <c r="PZ42" s="13"/>
      <c r="QA42" s="13"/>
    </row>
    <row r="43" spans="1:443" x14ac:dyDescent="0.3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6"/>
      <c r="R43" s="17" t="str">
        <f t="shared" si="1"/>
        <v/>
      </c>
      <c r="S43" s="17" t="str">
        <f t="shared" si="2"/>
        <v/>
      </c>
      <c r="T43" s="18" t="str">
        <f t="shared" si="3"/>
        <v/>
      </c>
      <c r="U43" s="15"/>
      <c r="V43" s="19" t="str">
        <f t="shared" si="5"/>
        <v/>
      </c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  <c r="JP43" s="13"/>
      <c r="JQ43" s="13"/>
      <c r="JR43" s="13"/>
      <c r="JS43" s="13"/>
      <c r="JT43" s="13"/>
      <c r="JU43" s="13"/>
      <c r="JV43" s="13"/>
      <c r="JW43" s="13"/>
      <c r="JX43" s="13"/>
      <c r="JY43" s="13"/>
      <c r="JZ43" s="13"/>
      <c r="KA43" s="13"/>
      <c r="KB43" s="13"/>
      <c r="KC43" s="13"/>
      <c r="KD43" s="13"/>
      <c r="KE43" s="13"/>
      <c r="KF43" s="13"/>
      <c r="KG43" s="13"/>
      <c r="KH43" s="13"/>
      <c r="KI43" s="13"/>
      <c r="KJ43" s="13"/>
      <c r="KK43" s="13"/>
      <c r="KL43" s="13"/>
      <c r="KM43" s="13"/>
      <c r="KN43" s="13"/>
      <c r="KO43" s="13"/>
      <c r="KP43" s="13"/>
      <c r="KQ43" s="13"/>
      <c r="KR43" s="13"/>
      <c r="KS43" s="13"/>
      <c r="KT43" s="13"/>
      <c r="KU43" s="13"/>
      <c r="KV43" s="13"/>
      <c r="KW43" s="13"/>
      <c r="KX43" s="13"/>
      <c r="KY43" s="13"/>
      <c r="KZ43" s="13"/>
      <c r="LA43" s="13"/>
      <c r="LB43" s="13"/>
      <c r="LC43" s="13"/>
      <c r="LD43" s="13"/>
      <c r="LE43" s="13"/>
      <c r="LF43" s="13"/>
      <c r="LG43" s="13"/>
      <c r="LH43" s="13"/>
      <c r="LI43" s="13"/>
      <c r="LJ43" s="13"/>
      <c r="LK43" s="13"/>
      <c r="LL43" s="13"/>
      <c r="LM43" s="13"/>
      <c r="LN43" s="13"/>
      <c r="LO43" s="13"/>
      <c r="LP43" s="13"/>
      <c r="LQ43" s="13"/>
      <c r="LR43" s="13"/>
      <c r="LS43" s="13"/>
      <c r="LT43" s="13"/>
      <c r="LU43" s="13"/>
      <c r="LV43" s="13"/>
      <c r="LW43" s="13"/>
      <c r="LX43" s="13"/>
      <c r="LY43" s="13"/>
      <c r="LZ43" s="13"/>
      <c r="MA43" s="13"/>
      <c r="MB43" s="13"/>
      <c r="MC43" s="13"/>
      <c r="MD43" s="13"/>
      <c r="ME43" s="13"/>
      <c r="MF43" s="13"/>
      <c r="MG43" s="13"/>
      <c r="MH43" s="13"/>
      <c r="MI43" s="13"/>
      <c r="MJ43" s="13"/>
      <c r="MK43" s="13"/>
      <c r="ML43" s="13"/>
      <c r="MM43" s="13"/>
      <c r="MN43" s="13"/>
      <c r="MO43" s="13"/>
      <c r="MP43" s="13"/>
      <c r="MQ43" s="13"/>
      <c r="MR43" s="13"/>
      <c r="MS43" s="13"/>
      <c r="MT43" s="13"/>
      <c r="MU43" s="13"/>
      <c r="MV43" s="13"/>
      <c r="MW43" s="13"/>
      <c r="MX43" s="13"/>
      <c r="MY43" s="13"/>
      <c r="MZ43" s="13"/>
      <c r="NA43" s="13"/>
      <c r="NB43" s="13"/>
      <c r="NC43" s="13"/>
      <c r="ND43" s="13"/>
      <c r="NE43" s="13"/>
      <c r="NF43" s="13"/>
      <c r="NG43" s="13"/>
      <c r="NH43" s="13"/>
      <c r="NI43" s="13"/>
      <c r="NJ43" s="13"/>
      <c r="NK43" s="13"/>
      <c r="NL43" s="13"/>
      <c r="NM43" s="13"/>
      <c r="NN43" s="13"/>
      <c r="NO43" s="13"/>
      <c r="NP43" s="13"/>
      <c r="NQ43" s="13"/>
      <c r="NR43" s="13"/>
      <c r="NS43" s="13"/>
      <c r="NT43" s="13"/>
      <c r="NU43" s="13"/>
      <c r="NV43" s="13"/>
      <c r="NW43" s="13"/>
      <c r="NX43" s="13"/>
      <c r="NY43" s="13"/>
      <c r="NZ43" s="13"/>
      <c r="OA43" s="13"/>
      <c r="OB43" s="13"/>
      <c r="OC43" s="13"/>
      <c r="OD43" s="13"/>
      <c r="OE43" s="13"/>
      <c r="OF43" s="13"/>
      <c r="OG43" s="13"/>
      <c r="OH43" s="13"/>
      <c r="OI43" s="13"/>
      <c r="OJ43" s="13"/>
      <c r="OK43" s="13"/>
      <c r="OL43" s="13"/>
      <c r="OM43" s="13"/>
      <c r="ON43" s="13"/>
      <c r="OO43" s="13"/>
      <c r="OP43" s="13"/>
      <c r="OQ43" s="13"/>
      <c r="OR43" s="13"/>
      <c r="OS43" s="13"/>
      <c r="OT43" s="13"/>
      <c r="OU43" s="13"/>
      <c r="OV43" s="13"/>
      <c r="OW43" s="13"/>
      <c r="OX43" s="13"/>
      <c r="OY43" s="13"/>
      <c r="OZ43" s="13"/>
      <c r="PA43" s="13"/>
      <c r="PB43" s="13"/>
      <c r="PC43" s="13"/>
      <c r="PD43" s="13"/>
      <c r="PE43" s="13"/>
      <c r="PF43" s="13"/>
      <c r="PG43" s="13"/>
      <c r="PH43" s="13"/>
      <c r="PI43" s="13"/>
      <c r="PJ43" s="13"/>
      <c r="PK43" s="13"/>
      <c r="PL43" s="13"/>
      <c r="PM43" s="13"/>
      <c r="PN43" s="13"/>
      <c r="PO43" s="13"/>
      <c r="PP43" s="13"/>
      <c r="PQ43" s="13"/>
      <c r="PR43" s="13"/>
      <c r="PS43" s="13"/>
      <c r="PT43" s="13"/>
      <c r="PU43" s="13"/>
      <c r="PV43" s="13"/>
      <c r="PW43" s="13"/>
      <c r="PX43" s="13"/>
      <c r="PY43" s="13"/>
      <c r="PZ43" s="13"/>
      <c r="QA43" s="13"/>
    </row>
    <row r="44" spans="1:443" x14ac:dyDescent="0.3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6"/>
      <c r="R44" s="17" t="str">
        <f t="shared" si="1"/>
        <v/>
      </c>
      <c r="S44" s="17" t="str">
        <f t="shared" si="2"/>
        <v/>
      </c>
      <c r="T44" s="18" t="str">
        <f t="shared" si="3"/>
        <v/>
      </c>
      <c r="U44" s="15"/>
      <c r="V44" s="19" t="str">
        <f t="shared" si="5"/>
        <v/>
      </c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  <c r="JP44" s="13"/>
      <c r="JQ44" s="13"/>
      <c r="JR44" s="13"/>
      <c r="JS44" s="13"/>
      <c r="JT44" s="13"/>
      <c r="JU44" s="13"/>
      <c r="JV44" s="13"/>
      <c r="JW44" s="13"/>
      <c r="JX44" s="13"/>
      <c r="JY44" s="13"/>
      <c r="JZ44" s="13"/>
      <c r="KA44" s="13"/>
      <c r="KB44" s="13"/>
      <c r="KC44" s="13"/>
      <c r="KD44" s="13"/>
      <c r="KE44" s="13"/>
      <c r="KF44" s="13"/>
      <c r="KG44" s="13"/>
      <c r="KH44" s="13"/>
      <c r="KI44" s="13"/>
      <c r="KJ44" s="13"/>
      <c r="KK44" s="13"/>
      <c r="KL44" s="13"/>
      <c r="KM44" s="13"/>
      <c r="KN44" s="13"/>
      <c r="KO44" s="13"/>
      <c r="KP44" s="13"/>
      <c r="KQ44" s="13"/>
      <c r="KR44" s="13"/>
      <c r="KS44" s="13"/>
      <c r="KT44" s="13"/>
      <c r="KU44" s="13"/>
      <c r="KV44" s="13"/>
      <c r="KW44" s="13"/>
      <c r="KX44" s="13"/>
      <c r="KY44" s="13"/>
      <c r="KZ44" s="13"/>
      <c r="LA44" s="13"/>
      <c r="LB44" s="13"/>
      <c r="LC44" s="13"/>
      <c r="LD44" s="13"/>
      <c r="LE44" s="13"/>
      <c r="LF44" s="13"/>
      <c r="LG44" s="13"/>
      <c r="LH44" s="13"/>
      <c r="LI44" s="13"/>
      <c r="LJ44" s="13"/>
      <c r="LK44" s="13"/>
      <c r="LL44" s="13"/>
      <c r="LM44" s="13"/>
      <c r="LN44" s="13"/>
      <c r="LO44" s="13"/>
      <c r="LP44" s="13"/>
      <c r="LQ44" s="13"/>
      <c r="LR44" s="13"/>
      <c r="LS44" s="13"/>
      <c r="LT44" s="13"/>
      <c r="LU44" s="13"/>
      <c r="LV44" s="13"/>
      <c r="LW44" s="13"/>
      <c r="LX44" s="13"/>
      <c r="LY44" s="13"/>
      <c r="LZ44" s="13"/>
      <c r="MA44" s="13"/>
      <c r="MB44" s="13"/>
      <c r="MC44" s="13"/>
      <c r="MD44" s="13"/>
      <c r="ME44" s="13"/>
      <c r="MF44" s="13"/>
      <c r="MG44" s="13"/>
      <c r="MH44" s="13"/>
      <c r="MI44" s="13"/>
      <c r="MJ44" s="13"/>
      <c r="MK44" s="13"/>
      <c r="ML44" s="13"/>
      <c r="MM44" s="13"/>
      <c r="MN44" s="13"/>
      <c r="MO44" s="13"/>
      <c r="MP44" s="13"/>
      <c r="MQ44" s="13"/>
      <c r="MR44" s="13"/>
      <c r="MS44" s="13"/>
      <c r="MT44" s="13"/>
      <c r="MU44" s="13"/>
      <c r="MV44" s="13"/>
      <c r="MW44" s="13"/>
      <c r="MX44" s="13"/>
      <c r="MY44" s="13"/>
      <c r="MZ44" s="13"/>
      <c r="NA44" s="13"/>
      <c r="NB44" s="13"/>
      <c r="NC44" s="13"/>
      <c r="ND44" s="13"/>
      <c r="NE44" s="13"/>
      <c r="NF44" s="13"/>
      <c r="NG44" s="13"/>
      <c r="NH44" s="13"/>
      <c r="NI44" s="13"/>
      <c r="NJ44" s="13"/>
      <c r="NK44" s="13"/>
      <c r="NL44" s="13"/>
      <c r="NM44" s="13"/>
      <c r="NN44" s="13"/>
      <c r="NO44" s="13"/>
      <c r="NP44" s="13"/>
      <c r="NQ44" s="13"/>
      <c r="NR44" s="13"/>
      <c r="NS44" s="13"/>
      <c r="NT44" s="13"/>
      <c r="NU44" s="13"/>
      <c r="NV44" s="13"/>
      <c r="NW44" s="13"/>
      <c r="NX44" s="13"/>
      <c r="NY44" s="13"/>
      <c r="NZ44" s="13"/>
      <c r="OA44" s="13"/>
      <c r="OB44" s="13"/>
      <c r="OC44" s="13"/>
      <c r="OD44" s="13"/>
      <c r="OE44" s="13"/>
      <c r="OF44" s="13"/>
      <c r="OG44" s="13"/>
      <c r="OH44" s="13"/>
      <c r="OI44" s="13"/>
      <c r="OJ44" s="13"/>
      <c r="OK44" s="13"/>
      <c r="OL44" s="13"/>
      <c r="OM44" s="13"/>
      <c r="ON44" s="13"/>
      <c r="OO44" s="13"/>
      <c r="OP44" s="13"/>
      <c r="OQ44" s="13"/>
      <c r="OR44" s="13"/>
      <c r="OS44" s="13"/>
      <c r="OT44" s="13"/>
      <c r="OU44" s="13"/>
      <c r="OV44" s="13"/>
      <c r="OW44" s="13"/>
      <c r="OX44" s="13"/>
      <c r="OY44" s="13"/>
      <c r="OZ44" s="13"/>
      <c r="PA44" s="13"/>
      <c r="PB44" s="13"/>
      <c r="PC44" s="13"/>
      <c r="PD44" s="13"/>
      <c r="PE44" s="13"/>
      <c r="PF44" s="13"/>
      <c r="PG44" s="13"/>
      <c r="PH44" s="13"/>
      <c r="PI44" s="13"/>
      <c r="PJ44" s="13"/>
      <c r="PK44" s="13"/>
      <c r="PL44" s="13"/>
      <c r="PM44" s="13"/>
      <c r="PN44" s="13"/>
      <c r="PO44" s="13"/>
      <c r="PP44" s="13"/>
      <c r="PQ44" s="13"/>
      <c r="PR44" s="13"/>
      <c r="PS44" s="13"/>
      <c r="PT44" s="13"/>
      <c r="PU44" s="13"/>
      <c r="PV44" s="13"/>
      <c r="PW44" s="13"/>
      <c r="PX44" s="13"/>
      <c r="PY44" s="13"/>
      <c r="PZ44" s="13"/>
      <c r="QA44" s="13"/>
    </row>
    <row r="45" spans="1:443" x14ac:dyDescent="0.3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6"/>
      <c r="R45" s="17" t="str">
        <f t="shared" si="1"/>
        <v/>
      </c>
      <c r="S45" s="17" t="str">
        <f t="shared" si="2"/>
        <v/>
      </c>
      <c r="T45" s="18" t="str">
        <f t="shared" si="3"/>
        <v/>
      </c>
      <c r="U45" s="15"/>
      <c r="V45" s="19" t="str">
        <f t="shared" si="5"/>
        <v/>
      </c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  <c r="JP45" s="13"/>
      <c r="JQ45" s="13"/>
      <c r="JR45" s="13"/>
      <c r="JS45" s="13"/>
      <c r="JT45" s="13"/>
      <c r="JU45" s="13"/>
      <c r="JV45" s="13"/>
      <c r="JW45" s="13"/>
      <c r="JX45" s="13"/>
      <c r="JY45" s="13"/>
      <c r="JZ45" s="13"/>
      <c r="KA45" s="13"/>
      <c r="KB45" s="13"/>
      <c r="KC45" s="13"/>
      <c r="KD45" s="13"/>
      <c r="KE45" s="13"/>
      <c r="KF45" s="13"/>
      <c r="KG45" s="13"/>
      <c r="KH45" s="13"/>
      <c r="KI45" s="13"/>
      <c r="KJ45" s="13"/>
      <c r="KK45" s="13"/>
      <c r="KL45" s="13"/>
      <c r="KM45" s="13"/>
      <c r="KN45" s="13"/>
      <c r="KO45" s="13"/>
      <c r="KP45" s="13"/>
      <c r="KQ45" s="13"/>
      <c r="KR45" s="13"/>
      <c r="KS45" s="13"/>
      <c r="KT45" s="13"/>
      <c r="KU45" s="13"/>
      <c r="KV45" s="13"/>
      <c r="KW45" s="13"/>
      <c r="KX45" s="13"/>
      <c r="KY45" s="13"/>
      <c r="KZ45" s="13"/>
      <c r="LA45" s="13"/>
      <c r="LB45" s="13"/>
      <c r="LC45" s="13"/>
      <c r="LD45" s="13"/>
      <c r="LE45" s="13"/>
      <c r="LF45" s="13"/>
      <c r="LG45" s="13"/>
      <c r="LH45" s="13"/>
      <c r="LI45" s="13"/>
      <c r="LJ45" s="13"/>
      <c r="LK45" s="13"/>
      <c r="LL45" s="13"/>
      <c r="LM45" s="13"/>
      <c r="LN45" s="13"/>
      <c r="LO45" s="13"/>
      <c r="LP45" s="13"/>
      <c r="LQ45" s="13"/>
      <c r="LR45" s="13"/>
      <c r="LS45" s="13"/>
      <c r="LT45" s="13"/>
      <c r="LU45" s="13"/>
      <c r="LV45" s="13"/>
      <c r="LW45" s="13"/>
      <c r="LX45" s="13"/>
      <c r="LY45" s="13"/>
      <c r="LZ45" s="13"/>
      <c r="MA45" s="13"/>
      <c r="MB45" s="13"/>
      <c r="MC45" s="13"/>
      <c r="MD45" s="13"/>
      <c r="ME45" s="13"/>
      <c r="MF45" s="13"/>
      <c r="MG45" s="13"/>
      <c r="MH45" s="13"/>
      <c r="MI45" s="13"/>
      <c r="MJ45" s="13"/>
      <c r="MK45" s="13"/>
      <c r="ML45" s="13"/>
      <c r="MM45" s="13"/>
      <c r="MN45" s="13"/>
      <c r="MO45" s="13"/>
      <c r="MP45" s="13"/>
      <c r="MQ45" s="13"/>
      <c r="MR45" s="13"/>
      <c r="MS45" s="13"/>
      <c r="MT45" s="13"/>
      <c r="MU45" s="13"/>
      <c r="MV45" s="13"/>
      <c r="MW45" s="13"/>
      <c r="MX45" s="13"/>
      <c r="MY45" s="13"/>
      <c r="MZ45" s="13"/>
      <c r="NA45" s="13"/>
      <c r="NB45" s="13"/>
      <c r="NC45" s="13"/>
      <c r="ND45" s="13"/>
      <c r="NE45" s="13"/>
      <c r="NF45" s="13"/>
      <c r="NG45" s="13"/>
      <c r="NH45" s="13"/>
      <c r="NI45" s="13"/>
      <c r="NJ45" s="13"/>
      <c r="NK45" s="13"/>
      <c r="NL45" s="13"/>
      <c r="NM45" s="13"/>
      <c r="NN45" s="13"/>
      <c r="NO45" s="13"/>
      <c r="NP45" s="13"/>
      <c r="NQ45" s="13"/>
      <c r="NR45" s="13"/>
      <c r="NS45" s="13"/>
      <c r="NT45" s="13"/>
      <c r="NU45" s="13"/>
      <c r="NV45" s="13"/>
      <c r="NW45" s="13"/>
      <c r="NX45" s="13"/>
      <c r="NY45" s="13"/>
      <c r="NZ45" s="13"/>
      <c r="OA45" s="13"/>
      <c r="OB45" s="13"/>
      <c r="OC45" s="13"/>
      <c r="OD45" s="13"/>
      <c r="OE45" s="13"/>
      <c r="OF45" s="13"/>
      <c r="OG45" s="13"/>
      <c r="OH45" s="13"/>
      <c r="OI45" s="13"/>
      <c r="OJ45" s="13"/>
      <c r="OK45" s="13"/>
      <c r="OL45" s="13"/>
      <c r="OM45" s="13"/>
      <c r="ON45" s="13"/>
      <c r="OO45" s="13"/>
      <c r="OP45" s="13"/>
      <c r="OQ45" s="13"/>
      <c r="OR45" s="13"/>
      <c r="OS45" s="13"/>
      <c r="OT45" s="13"/>
      <c r="OU45" s="13"/>
      <c r="OV45" s="13"/>
      <c r="OW45" s="13"/>
      <c r="OX45" s="13"/>
      <c r="OY45" s="13"/>
      <c r="OZ45" s="13"/>
      <c r="PA45" s="13"/>
      <c r="PB45" s="13"/>
      <c r="PC45" s="13"/>
      <c r="PD45" s="13"/>
      <c r="PE45" s="13"/>
      <c r="PF45" s="13"/>
      <c r="PG45" s="13"/>
      <c r="PH45" s="13"/>
      <c r="PI45" s="13"/>
      <c r="PJ45" s="13"/>
      <c r="PK45" s="13"/>
      <c r="PL45" s="13"/>
      <c r="PM45" s="13"/>
      <c r="PN45" s="13"/>
      <c r="PO45" s="13"/>
      <c r="PP45" s="13"/>
      <c r="PQ45" s="13"/>
      <c r="PR45" s="13"/>
      <c r="PS45" s="13"/>
      <c r="PT45" s="13"/>
      <c r="PU45" s="13"/>
      <c r="PV45" s="13"/>
      <c r="PW45" s="13"/>
      <c r="PX45" s="13"/>
      <c r="PY45" s="13"/>
      <c r="PZ45" s="13"/>
      <c r="QA45" s="13"/>
    </row>
    <row r="46" spans="1:443" x14ac:dyDescent="0.3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6"/>
      <c r="R46" s="17" t="str">
        <f t="shared" si="1"/>
        <v/>
      </c>
      <c r="S46" s="17" t="str">
        <f t="shared" si="2"/>
        <v/>
      </c>
      <c r="T46" s="18" t="str">
        <f t="shared" si="3"/>
        <v/>
      </c>
      <c r="U46" s="15"/>
      <c r="V46" s="19" t="str">
        <f t="shared" si="5"/>
        <v/>
      </c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  <c r="JP46" s="13"/>
      <c r="JQ46" s="13"/>
      <c r="JR46" s="13"/>
      <c r="JS46" s="13"/>
      <c r="JT46" s="13"/>
      <c r="JU46" s="13"/>
      <c r="JV46" s="13"/>
      <c r="JW46" s="13"/>
      <c r="JX46" s="13"/>
      <c r="JY46" s="13"/>
      <c r="JZ46" s="13"/>
      <c r="KA46" s="13"/>
      <c r="KB46" s="13"/>
      <c r="KC46" s="13"/>
      <c r="KD46" s="13"/>
      <c r="KE46" s="13"/>
      <c r="KF46" s="13"/>
      <c r="KG46" s="13"/>
      <c r="KH46" s="13"/>
      <c r="KI46" s="13"/>
      <c r="KJ46" s="13"/>
      <c r="KK46" s="13"/>
      <c r="KL46" s="13"/>
      <c r="KM46" s="13"/>
      <c r="KN46" s="13"/>
      <c r="KO46" s="13"/>
      <c r="KP46" s="13"/>
      <c r="KQ46" s="13"/>
      <c r="KR46" s="13"/>
      <c r="KS46" s="13"/>
      <c r="KT46" s="13"/>
      <c r="KU46" s="13"/>
      <c r="KV46" s="13"/>
      <c r="KW46" s="13"/>
      <c r="KX46" s="13"/>
      <c r="KY46" s="13"/>
      <c r="KZ46" s="13"/>
      <c r="LA46" s="13"/>
      <c r="LB46" s="13"/>
      <c r="LC46" s="13"/>
      <c r="LD46" s="13"/>
      <c r="LE46" s="13"/>
      <c r="LF46" s="13"/>
      <c r="LG46" s="13"/>
      <c r="LH46" s="13"/>
      <c r="LI46" s="13"/>
      <c r="LJ46" s="13"/>
      <c r="LK46" s="13"/>
      <c r="LL46" s="13"/>
      <c r="LM46" s="13"/>
      <c r="LN46" s="13"/>
      <c r="LO46" s="13"/>
      <c r="LP46" s="13"/>
      <c r="LQ46" s="13"/>
      <c r="LR46" s="13"/>
      <c r="LS46" s="13"/>
      <c r="LT46" s="13"/>
      <c r="LU46" s="13"/>
      <c r="LV46" s="13"/>
      <c r="LW46" s="13"/>
      <c r="LX46" s="13"/>
      <c r="LY46" s="13"/>
      <c r="LZ46" s="13"/>
      <c r="MA46" s="13"/>
      <c r="MB46" s="13"/>
      <c r="MC46" s="13"/>
      <c r="MD46" s="13"/>
      <c r="ME46" s="13"/>
      <c r="MF46" s="13"/>
      <c r="MG46" s="13"/>
      <c r="MH46" s="13"/>
      <c r="MI46" s="13"/>
      <c r="MJ46" s="13"/>
      <c r="MK46" s="13"/>
      <c r="ML46" s="13"/>
      <c r="MM46" s="13"/>
      <c r="MN46" s="13"/>
      <c r="MO46" s="13"/>
      <c r="MP46" s="13"/>
      <c r="MQ46" s="13"/>
      <c r="MR46" s="13"/>
      <c r="MS46" s="13"/>
      <c r="MT46" s="13"/>
      <c r="MU46" s="13"/>
      <c r="MV46" s="13"/>
      <c r="MW46" s="13"/>
      <c r="MX46" s="13"/>
      <c r="MY46" s="13"/>
      <c r="MZ46" s="13"/>
      <c r="NA46" s="13"/>
      <c r="NB46" s="13"/>
      <c r="NC46" s="13"/>
      <c r="ND46" s="13"/>
      <c r="NE46" s="13"/>
      <c r="NF46" s="13"/>
      <c r="NG46" s="13"/>
      <c r="NH46" s="13"/>
      <c r="NI46" s="13"/>
      <c r="NJ46" s="13"/>
      <c r="NK46" s="13"/>
      <c r="NL46" s="13"/>
      <c r="NM46" s="13"/>
      <c r="NN46" s="13"/>
      <c r="NO46" s="13"/>
      <c r="NP46" s="13"/>
      <c r="NQ46" s="13"/>
      <c r="NR46" s="13"/>
      <c r="NS46" s="13"/>
      <c r="NT46" s="13"/>
      <c r="NU46" s="13"/>
      <c r="NV46" s="13"/>
      <c r="NW46" s="13"/>
      <c r="NX46" s="13"/>
      <c r="NY46" s="13"/>
      <c r="NZ46" s="13"/>
      <c r="OA46" s="13"/>
      <c r="OB46" s="13"/>
      <c r="OC46" s="13"/>
      <c r="OD46" s="13"/>
      <c r="OE46" s="13"/>
      <c r="OF46" s="13"/>
      <c r="OG46" s="13"/>
      <c r="OH46" s="13"/>
      <c r="OI46" s="13"/>
      <c r="OJ46" s="13"/>
      <c r="OK46" s="13"/>
      <c r="OL46" s="13"/>
      <c r="OM46" s="13"/>
      <c r="ON46" s="13"/>
      <c r="OO46" s="13"/>
      <c r="OP46" s="13"/>
      <c r="OQ46" s="13"/>
      <c r="OR46" s="13"/>
      <c r="OS46" s="13"/>
      <c r="OT46" s="13"/>
      <c r="OU46" s="13"/>
      <c r="OV46" s="13"/>
      <c r="OW46" s="13"/>
      <c r="OX46" s="13"/>
      <c r="OY46" s="13"/>
      <c r="OZ46" s="13"/>
      <c r="PA46" s="13"/>
      <c r="PB46" s="13"/>
      <c r="PC46" s="13"/>
      <c r="PD46" s="13"/>
      <c r="PE46" s="13"/>
      <c r="PF46" s="13"/>
      <c r="PG46" s="13"/>
      <c r="PH46" s="13"/>
      <c r="PI46" s="13"/>
      <c r="PJ46" s="13"/>
      <c r="PK46" s="13"/>
      <c r="PL46" s="13"/>
      <c r="PM46" s="13"/>
      <c r="PN46" s="13"/>
      <c r="PO46" s="13"/>
      <c r="PP46" s="13"/>
      <c r="PQ46" s="13"/>
      <c r="PR46" s="13"/>
      <c r="PS46" s="13"/>
      <c r="PT46" s="13"/>
      <c r="PU46" s="13"/>
      <c r="PV46" s="13"/>
      <c r="PW46" s="13"/>
      <c r="PX46" s="13"/>
      <c r="PY46" s="13"/>
      <c r="PZ46" s="13"/>
      <c r="QA46" s="13"/>
    </row>
    <row r="47" spans="1:443" x14ac:dyDescent="0.3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6"/>
      <c r="R47" s="17" t="str">
        <f t="shared" si="1"/>
        <v/>
      </c>
      <c r="S47" s="17" t="str">
        <f t="shared" si="2"/>
        <v/>
      </c>
      <c r="T47" s="18" t="str">
        <f t="shared" si="3"/>
        <v/>
      </c>
      <c r="U47" s="15"/>
      <c r="V47" s="19" t="str">
        <f t="shared" si="5"/>
        <v/>
      </c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  <c r="JP47" s="13"/>
      <c r="JQ47" s="13"/>
      <c r="JR47" s="13"/>
      <c r="JS47" s="13"/>
      <c r="JT47" s="13"/>
      <c r="JU47" s="13"/>
      <c r="JV47" s="13"/>
      <c r="JW47" s="13"/>
      <c r="JX47" s="13"/>
      <c r="JY47" s="13"/>
      <c r="JZ47" s="13"/>
      <c r="KA47" s="13"/>
      <c r="KB47" s="13"/>
      <c r="KC47" s="13"/>
      <c r="KD47" s="13"/>
      <c r="KE47" s="13"/>
      <c r="KF47" s="13"/>
      <c r="KG47" s="13"/>
      <c r="KH47" s="13"/>
      <c r="KI47" s="13"/>
      <c r="KJ47" s="13"/>
      <c r="KK47" s="13"/>
      <c r="KL47" s="13"/>
      <c r="KM47" s="13"/>
      <c r="KN47" s="13"/>
      <c r="KO47" s="13"/>
      <c r="KP47" s="13"/>
      <c r="KQ47" s="13"/>
      <c r="KR47" s="13"/>
      <c r="KS47" s="13"/>
      <c r="KT47" s="13"/>
      <c r="KU47" s="13"/>
      <c r="KV47" s="13"/>
      <c r="KW47" s="13"/>
      <c r="KX47" s="13"/>
      <c r="KY47" s="13"/>
      <c r="KZ47" s="13"/>
      <c r="LA47" s="13"/>
      <c r="LB47" s="13"/>
      <c r="LC47" s="13"/>
      <c r="LD47" s="13"/>
      <c r="LE47" s="13"/>
      <c r="LF47" s="13"/>
      <c r="LG47" s="13"/>
      <c r="LH47" s="13"/>
      <c r="LI47" s="13"/>
      <c r="LJ47" s="13"/>
      <c r="LK47" s="13"/>
      <c r="LL47" s="13"/>
      <c r="LM47" s="13"/>
      <c r="LN47" s="13"/>
      <c r="LO47" s="13"/>
      <c r="LP47" s="13"/>
      <c r="LQ47" s="13"/>
      <c r="LR47" s="13"/>
      <c r="LS47" s="13"/>
      <c r="LT47" s="13"/>
      <c r="LU47" s="13"/>
      <c r="LV47" s="13"/>
      <c r="LW47" s="13"/>
      <c r="LX47" s="13"/>
      <c r="LY47" s="13"/>
      <c r="LZ47" s="13"/>
      <c r="MA47" s="13"/>
      <c r="MB47" s="13"/>
      <c r="MC47" s="13"/>
      <c r="MD47" s="13"/>
      <c r="ME47" s="13"/>
      <c r="MF47" s="13"/>
      <c r="MG47" s="13"/>
      <c r="MH47" s="13"/>
      <c r="MI47" s="13"/>
      <c r="MJ47" s="13"/>
      <c r="MK47" s="13"/>
      <c r="ML47" s="13"/>
      <c r="MM47" s="13"/>
      <c r="MN47" s="13"/>
      <c r="MO47" s="13"/>
      <c r="MP47" s="13"/>
      <c r="MQ47" s="13"/>
      <c r="MR47" s="13"/>
      <c r="MS47" s="13"/>
      <c r="MT47" s="13"/>
      <c r="MU47" s="13"/>
      <c r="MV47" s="13"/>
      <c r="MW47" s="13"/>
      <c r="MX47" s="13"/>
      <c r="MY47" s="13"/>
      <c r="MZ47" s="13"/>
      <c r="NA47" s="13"/>
      <c r="NB47" s="13"/>
      <c r="NC47" s="13"/>
      <c r="ND47" s="13"/>
      <c r="NE47" s="13"/>
      <c r="NF47" s="13"/>
      <c r="NG47" s="13"/>
      <c r="NH47" s="13"/>
      <c r="NI47" s="13"/>
      <c r="NJ47" s="13"/>
      <c r="NK47" s="13"/>
      <c r="NL47" s="13"/>
      <c r="NM47" s="13"/>
      <c r="NN47" s="13"/>
      <c r="NO47" s="13"/>
      <c r="NP47" s="13"/>
      <c r="NQ47" s="13"/>
      <c r="NR47" s="13"/>
      <c r="NS47" s="13"/>
      <c r="NT47" s="13"/>
      <c r="NU47" s="13"/>
      <c r="NV47" s="13"/>
      <c r="NW47" s="13"/>
      <c r="NX47" s="13"/>
      <c r="NY47" s="13"/>
      <c r="NZ47" s="13"/>
      <c r="OA47" s="13"/>
      <c r="OB47" s="13"/>
      <c r="OC47" s="13"/>
      <c r="OD47" s="13"/>
      <c r="OE47" s="13"/>
      <c r="OF47" s="13"/>
      <c r="OG47" s="13"/>
      <c r="OH47" s="13"/>
      <c r="OI47" s="13"/>
      <c r="OJ47" s="13"/>
      <c r="OK47" s="13"/>
      <c r="OL47" s="13"/>
      <c r="OM47" s="13"/>
      <c r="ON47" s="13"/>
      <c r="OO47" s="13"/>
      <c r="OP47" s="13"/>
      <c r="OQ47" s="13"/>
      <c r="OR47" s="13"/>
      <c r="OS47" s="13"/>
      <c r="OT47" s="13"/>
      <c r="OU47" s="13"/>
      <c r="OV47" s="13"/>
      <c r="OW47" s="13"/>
      <c r="OX47" s="13"/>
      <c r="OY47" s="13"/>
      <c r="OZ47" s="13"/>
      <c r="PA47" s="13"/>
      <c r="PB47" s="13"/>
      <c r="PC47" s="13"/>
      <c r="PD47" s="13"/>
      <c r="PE47" s="13"/>
      <c r="PF47" s="13"/>
      <c r="PG47" s="13"/>
      <c r="PH47" s="13"/>
      <c r="PI47" s="13"/>
      <c r="PJ47" s="13"/>
      <c r="PK47" s="13"/>
      <c r="PL47" s="13"/>
      <c r="PM47" s="13"/>
      <c r="PN47" s="13"/>
      <c r="PO47" s="13"/>
      <c r="PP47" s="13"/>
      <c r="PQ47" s="13"/>
      <c r="PR47" s="13"/>
      <c r="PS47" s="13"/>
      <c r="PT47" s="13"/>
      <c r="PU47" s="13"/>
      <c r="PV47" s="13"/>
      <c r="PW47" s="13"/>
      <c r="PX47" s="13"/>
      <c r="PY47" s="13"/>
      <c r="PZ47" s="13"/>
      <c r="QA47" s="13"/>
    </row>
    <row r="48" spans="1:443" x14ac:dyDescent="0.3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6"/>
      <c r="R48" s="17" t="str">
        <f t="shared" si="1"/>
        <v/>
      </c>
      <c r="S48" s="17" t="str">
        <f t="shared" si="2"/>
        <v/>
      </c>
      <c r="T48" s="18" t="str">
        <f t="shared" si="3"/>
        <v/>
      </c>
      <c r="U48" s="15"/>
      <c r="V48" s="19" t="str">
        <f t="shared" si="5"/>
        <v/>
      </c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  <c r="JP48" s="13"/>
      <c r="JQ48" s="13"/>
      <c r="JR48" s="13"/>
      <c r="JS48" s="13"/>
      <c r="JT48" s="13"/>
      <c r="JU48" s="13"/>
      <c r="JV48" s="13"/>
      <c r="JW48" s="13"/>
      <c r="JX48" s="13"/>
      <c r="JY48" s="13"/>
      <c r="JZ48" s="13"/>
      <c r="KA48" s="13"/>
      <c r="KB48" s="13"/>
      <c r="KC48" s="13"/>
      <c r="KD48" s="13"/>
      <c r="KE48" s="13"/>
      <c r="KF48" s="13"/>
      <c r="KG48" s="13"/>
      <c r="KH48" s="13"/>
      <c r="KI48" s="13"/>
      <c r="KJ48" s="13"/>
      <c r="KK48" s="13"/>
      <c r="KL48" s="13"/>
      <c r="KM48" s="13"/>
      <c r="KN48" s="13"/>
      <c r="KO48" s="13"/>
      <c r="KP48" s="13"/>
      <c r="KQ48" s="13"/>
      <c r="KR48" s="13"/>
      <c r="KS48" s="13"/>
      <c r="KT48" s="13"/>
      <c r="KU48" s="13"/>
      <c r="KV48" s="13"/>
      <c r="KW48" s="13"/>
      <c r="KX48" s="13"/>
      <c r="KY48" s="13"/>
      <c r="KZ48" s="13"/>
      <c r="LA48" s="13"/>
      <c r="LB48" s="13"/>
      <c r="LC48" s="13"/>
      <c r="LD48" s="13"/>
      <c r="LE48" s="13"/>
      <c r="LF48" s="13"/>
      <c r="LG48" s="13"/>
      <c r="LH48" s="13"/>
      <c r="LI48" s="13"/>
      <c r="LJ48" s="13"/>
      <c r="LK48" s="13"/>
      <c r="LL48" s="13"/>
      <c r="LM48" s="13"/>
      <c r="LN48" s="13"/>
      <c r="LO48" s="13"/>
      <c r="LP48" s="13"/>
      <c r="LQ48" s="13"/>
      <c r="LR48" s="13"/>
      <c r="LS48" s="13"/>
      <c r="LT48" s="13"/>
      <c r="LU48" s="13"/>
      <c r="LV48" s="13"/>
      <c r="LW48" s="13"/>
      <c r="LX48" s="13"/>
      <c r="LY48" s="13"/>
      <c r="LZ48" s="13"/>
      <c r="MA48" s="13"/>
      <c r="MB48" s="13"/>
      <c r="MC48" s="13"/>
      <c r="MD48" s="13"/>
      <c r="ME48" s="13"/>
      <c r="MF48" s="13"/>
      <c r="MG48" s="13"/>
      <c r="MH48" s="13"/>
      <c r="MI48" s="13"/>
      <c r="MJ48" s="13"/>
      <c r="MK48" s="13"/>
      <c r="ML48" s="13"/>
      <c r="MM48" s="13"/>
      <c r="MN48" s="13"/>
      <c r="MO48" s="13"/>
      <c r="MP48" s="13"/>
      <c r="MQ48" s="13"/>
      <c r="MR48" s="13"/>
      <c r="MS48" s="13"/>
      <c r="MT48" s="13"/>
      <c r="MU48" s="13"/>
      <c r="MV48" s="13"/>
      <c r="MW48" s="13"/>
      <c r="MX48" s="13"/>
      <c r="MY48" s="13"/>
      <c r="MZ48" s="13"/>
      <c r="NA48" s="13"/>
      <c r="NB48" s="13"/>
      <c r="NC48" s="13"/>
      <c r="ND48" s="13"/>
      <c r="NE48" s="13"/>
      <c r="NF48" s="13"/>
      <c r="NG48" s="13"/>
      <c r="NH48" s="13"/>
      <c r="NI48" s="13"/>
      <c r="NJ48" s="13"/>
      <c r="NK48" s="13"/>
      <c r="NL48" s="13"/>
      <c r="NM48" s="13"/>
      <c r="NN48" s="13"/>
      <c r="NO48" s="13"/>
      <c r="NP48" s="13"/>
      <c r="NQ48" s="13"/>
      <c r="NR48" s="13"/>
      <c r="NS48" s="13"/>
      <c r="NT48" s="13"/>
      <c r="NU48" s="13"/>
      <c r="NV48" s="13"/>
      <c r="NW48" s="13"/>
      <c r="NX48" s="13"/>
      <c r="NY48" s="13"/>
      <c r="NZ48" s="13"/>
      <c r="OA48" s="13"/>
      <c r="OB48" s="13"/>
      <c r="OC48" s="13"/>
      <c r="OD48" s="13"/>
      <c r="OE48" s="13"/>
      <c r="OF48" s="13"/>
      <c r="OG48" s="13"/>
      <c r="OH48" s="13"/>
      <c r="OI48" s="13"/>
      <c r="OJ48" s="13"/>
      <c r="OK48" s="13"/>
      <c r="OL48" s="13"/>
      <c r="OM48" s="13"/>
      <c r="ON48" s="13"/>
      <c r="OO48" s="13"/>
      <c r="OP48" s="13"/>
      <c r="OQ48" s="13"/>
      <c r="OR48" s="13"/>
      <c r="OS48" s="13"/>
      <c r="OT48" s="13"/>
      <c r="OU48" s="13"/>
      <c r="OV48" s="13"/>
      <c r="OW48" s="13"/>
      <c r="OX48" s="13"/>
      <c r="OY48" s="13"/>
      <c r="OZ48" s="13"/>
      <c r="PA48" s="13"/>
      <c r="PB48" s="13"/>
      <c r="PC48" s="13"/>
      <c r="PD48" s="13"/>
      <c r="PE48" s="13"/>
      <c r="PF48" s="13"/>
      <c r="PG48" s="13"/>
      <c r="PH48" s="13"/>
      <c r="PI48" s="13"/>
      <c r="PJ48" s="13"/>
      <c r="PK48" s="13"/>
      <c r="PL48" s="13"/>
      <c r="PM48" s="13"/>
      <c r="PN48" s="13"/>
      <c r="PO48" s="13"/>
      <c r="PP48" s="13"/>
      <c r="PQ48" s="13"/>
      <c r="PR48" s="13"/>
      <c r="PS48" s="13"/>
      <c r="PT48" s="13"/>
      <c r="PU48" s="13"/>
      <c r="PV48" s="13"/>
      <c r="PW48" s="13"/>
      <c r="PX48" s="13"/>
      <c r="PY48" s="13"/>
      <c r="PZ48" s="13"/>
      <c r="QA48" s="13"/>
    </row>
    <row r="49" spans="2:443" x14ac:dyDescent="0.3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6"/>
      <c r="R49" s="17" t="str">
        <f t="shared" si="1"/>
        <v/>
      </c>
      <c r="S49" s="17" t="str">
        <f t="shared" si="2"/>
        <v/>
      </c>
      <c r="T49" s="18" t="str">
        <f t="shared" si="3"/>
        <v/>
      </c>
      <c r="U49" s="15"/>
      <c r="V49" s="19" t="str">
        <f t="shared" si="5"/>
        <v/>
      </c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  <c r="JP49" s="13"/>
      <c r="JQ49" s="13"/>
      <c r="JR49" s="13"/>
      <c r="JS49" s="13"/>
      <c r="JT49" s="13"/>
      <c r="JU49" s="13"/>
      <c r="JV49" s="13"/>
      <c r="JW49" s="13"/>
      <c r="JX49" s="13"/>
      <c r="JY49" s="13"/>
      <c r="JZ49" s="13"/>
      <c r="KA49" s="13"/>
      <c r="KB49" s="13"/>
      <c r="KC49" s="13"/>
      <c r="KD49" s="13"/>
      <c r="KE49" s="13"/>
      <c r="KF49" s="13"/>
      <c r="KG49" s="13"/>
      <c r="KH49" s="13"/>
      <c r="KI49" s="13"/>
      <c r="KJ49" s="13"/>
      <c r="KK49" s="13"/>
      <c r="KL49" s="13"/>
      <c r="KM49" s="13"/>
      <c r="KN49" s="13"/>
      <c r="KO49" s="13"/>
      <c r="KP49" s="13"/>
      <c r="KQ49" s="13"/>
      <c r="KR49" s="13"/>
      <c r="KS49" s="13"/>
      <c r="KT49" s="13"/>
      <c r="KU49" s="13"/>
      <c r="KV49" s="13"/>
      <c r="KW49" s="13"/>
      <c r="KX49" s="13"/>
      <c r="KY49" s="13"/>
      <c r="KZ49" s="13"/>
      <c r="LA49" s="13"/>
      <c r="LB49" s="13"/>
      <c r="LC49" s="13"/>
      <c r="LD49" s="13"/>
      <c r="LE49" s="13"/>
      <c r="LF49" s="13"/>
      <c r="LG49" s="13"/>
      <c r="LH49" s="13"/>
      <c r="LI49" s="13"/>
      <c r="LJ49" s="13"/>
      <c r="LK49" s="13"/>
      <c r="LL49" s="13"/>
      <c r="LM49" s="13"/>
      <c r="LN49" s="13"/>
      <c r="LO49" s="13"/>
      <c r="LP49" s="13"/>
      <c r="LQ49" s="13"/>
      <c r="LR49" s="13"/>
      <c r="LS49" s="13"/>
      <c r="LT49" s="13"/>
      <c r="LU49" s="13"/>
      <c r="LV49" s="13"/>
      <c r="LW49" s="13"/>
      <c r="LX49" s="13"/>
      <c r="LY49" s="13"/>
      <c r="LZ49" s="13"/>
      <c r="MA49" s="13"/>
      <c r="MB49" s="13"/>
      <c r="MC49" s="13"/>
      <c r="MD49" s="13"/>
      <c r="ME49" s="13"/>
      <c r="MF49" s="13"/>
      <c r="MG49" s="13"/>
      <c r="MH49" s="13"/>
      <c r="MI49" s="13"/>
      <c r="MJ49" s="13"/>
      <c r="MK49" s="13"/>
      <c r="ML49" s="13"/>
      <c r="MM49" s="13"/>
      <c r="MN49" s="13"/>
      <c r="MO49" s="13"/>
      <c r="MP49" s="13"/>
      <c r="MQ49" s="13"/>
      <c r="MR49" s="13"/>
      <c r="MS49" s="13"/>
      <c r="MT49" s="13"/>
      <c r="MU49" s="13"/>
      <c r="MV49" s="13"/>
      <c r="MW49" s="13"/>
      <c r="MX49" s="13"/>
      <c r="MY49" s="13"/>
      <c r="MZ49" s="13"/>
      <c r="NA49" s="13"/>
      <c r="NB49" s="13"/>
      <c r="NC49" s="13"/>
      <c r="ND49" s="13"/>
      <c r="NE49" s="13"/>
      <c r="NF49" s="13"/>
      <c r="NG49" s="13"/>
      <c r="NH49" s="13"/>
      <c r="NI49" s="13"/>
      <c r="NJ49" s="13"/>
      <c r="NK49" s="13"/>
      <c r="NL49" s="13"/>
      <c r="NM49" s="13"/>
      <c r="NN49" s="13"/>
      <c r="NO49" s="13"/>
      <c r="NP49" s="13"/>
      <c r="NQ49" s="13"/>
      <c r="NR49" s="13"/>
      <c r="NS49" s="13"/>
      <c r="NT49" s="13"/>
      <c r="NU49" s="13"/>
      <c r="NV49" s="13"/>
      <c r="NW49" s="13"/>
      <c r="NX49" s="13"/>
      <c r="NY49" s="13"/>
      <c r="NZ49" s="13"/>
      <c r="OA49" s="13"/>
      <c r="OB49" s="13"/>
      <c r="OC49" s="13"/>
      <c r="OD49" s="13"/>
      <c r="OE49" s="13"/>
      <c r="OF49" s="13"/>
      <c r="OG49" s="13"/>
      <c r="OH49" s="13"/>
      <c r="OI49" s="13"/>
      <c r="OJ49" s="13"/>
      <c r="OK49" s="13"/>
      <c r="OL49" s="13"/>
      <c r="OM49" s="13"/>
      <c r="ON49" s="13"/>
      <c r="OO49" s="13"/>
      <c r="OP49" s="13"/>
      <c r="OQ49" s="13"/>
      <c r="OR49" s="13"/>
      <c r="OS49" s="13"/>
      <c r="OT49" s="13"/>
      <c r="OU49" s="13"/>
      <c r="OV49" s="13"/>
      <c r="OW49" s="13"/>
      <c r="OX49" s="13"/>
      <c r="OY49" s="13"/>
      <c r="OZ49" s="13"/>
      <c r="PA49" s="13"/>
      <c r="PB49" s="13"/>
      <c r="PC49" s="13"/>
      <c r="PD49" s="13"/>
      <c r="PE49" s="13"/>
      <c r="PF49" s="13"/>
      <c r="PG49" s="13"/>
      <c r="PH49" s="13"/>
      <c r="PI49" s="13"/>
      <c r="PJ49" s="13"/>
      <c r="PK49" s="13"/>
      <c r="PL49" s="13"/>
      <c r="PM49" s="13"/>
      <c r="PN49" s="13"/>
      <c r="PO49" s="13"/>
      <c r="PP49" s="13"/>
      <c r="PQ49" s="13"/>
      <c r="PR49" s="13"/>
      <c r="PS49" s="13"/>
      <c r="PT49" s="13"/>
      <c r="PU49" s="13"/>
      <c r="PV49" s="13"/>
      <c r="PW49" s="13"/>
      <c r="PX49" s="13"/>
      <c r="PY49" s="13"/>
      <c r="PZ49" s="13"/>
      <c r="QA49" s="13"/>
    </row>
    <row r="50" spans="2:443" x14ac:dyDescent="0.3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6"/>
      <c r="R50" s="17" t="str">
        <f t="shared" si="1"/>
        <v/>
      </c>
      <c r="S50" s="17" t="str">
        <f t="shared" si="2"/>
        <v/>
      </c>
      <c r="T50" s="18" t="str">
        <f t="shared" si="3"/>
        <v/>
      </c>
      <c r="U50" s="15"/>
      <c r="V50" s="19" t="str">
        <f t="shared" si="5"/>
        <v/>
      </c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  <c r="JP50" s="13"/>
      <c r="JQ50" s="13"/>
      <c r="JR50" s="13"/>
      <c r="JS50" s="13"/>
      <c r="JT50" s="13"/>
      <c r="JU50" s="13"/>
      <c r="JV50" s="13"/>
      <c r="JW50" s="13"/>
      <c r="JX50" s="13"/>
      <c r="JY50" s="13"/>
      <c r="JZ50" s="13"/>
      <c r="KA50" s="13"/>
      <c r="KB50" s="13"/>
      <c r="KC50" s="13"/>
      <c r="KD50" s="13"/>
      <c r="KE50" s="13"/>
      <c r="KF50" s="13"/>
      <c r="KG50" s="13"/>
      <c r="KH50" s="13"/>
      <c r="KI50" s="13"/>
      <c r="KJ50" s="13"/>
      <c r="KK50" s="13"/>
      <c r="KL50" s="13"/>
      <c r="KM50" s="13"/>
      <c r="KN50" s="13"/>
      <c r="KO50" s="13"/>
      <c r="KP50" s="13"/>
      <c r="KQ50" s="13"/>
      <c r="KR50" s="13"/>
      <c r="KS50" s="13"/>
      <c r="KT50" s="13"/>
      <c r="KU50" s="13"/>
      <c r="KV50" s="13"/>
      <c r="KW50" s="13"/>
      <c r="KX50" s="13"/>
      <c r="KY50" s="13"/>
      <c r="KZ50" s="13"/>
      <c r="LA50" s="13"/>
      <c r="LB50" s="13"/>
      <c r="LC50" s="13"/>
      <c r="LD50" s="13"/>
      <c r="LE50" s="13"/>
      <c r="LF50" s="13"/>
      <c r="LG50" s="13"/>
      <c r="LH50" s="13"/>
      <c r="LI50" s="13"/>
      <c r="LJ50" s="13"/>
      <c r="LK50" s="13"/>
      <c r="LL50" s="13"/>
      <c r="LM50" s="13"/>
      <c r="LN50" s="13"/>
      <c r="LO50" s="13"/>
      <c r="LP50" s="13"/>
      <c r="LQ50" s="13"/>
      <c r="LR50" s="13"/>
      <c r="LS50" s="13"/>
      <c r="LT50" s="13"/>
      <c r="LU50" s="13"/>
      <c r="LV50" s="13"/>
      <c r="LW50" s="13"/>
      <c r="LX50" s="13"/>
      <c r="LY50" s="13"/>
      <c r="LZ50" s="13"/>
      <c r="MA50" s="13"/>
      <c r="MB50" s="13"/>
      <c r="MC50" s="13"/>
      <c r="MD50" s="13"/>
      <c r="ME50" s="13"/>
      <c r="MF50" s="13"/>
      <c r="MG50" s="13"/>
      <c r="MH50" s="13"/>
      <c r="MI50" s="13"/>
      <c r="MJ50" s="13"/>
      <c r="MK50" s="13"/>
      <c r="ML50" s="13"/>
      <c r="MM50" s="13"/>
      <c r="MN50" s="13"/>
      <c r="MO50" s="13"/>
      <c r="MP50" s="13"/>
      <c r="MQ50" s="13"/>
      <c r="MR50" s="13"/>
      <c r="MS50" s="13"/>
      <c r="MT50" s="13"/>
      <c r="MU50" s="13"/>
      <c r="MV50" s="13"/>
      <c r="MW50" s="13"/>
      <c r="MX50" s="13"/>
      <c r="MY50" s="13"/>
      <c r="MZ50" s="13"/>
      <c r="NA50" s="13"/>
      <c r="NB50" s="13"/>
      <c r="NC50" s="13"/>
      <c r="ND50" s="13"/>
      <c r="NE50" s="13"/>
      <c r="NF50" s="13"/>
      <c r="NG50" s="13"/>
      <c r="NH50" s="13"/>
      <c r="NI50" s="13"/>
      <c r="NJ50" s="13"/>
      <c r="NK50" s="13"/>
      <c r="NL50" s="13"/>
      <c r="NM50" s="13"/>
      <c r="NN50" s="13"/>
      <c r="NO50" s="13"/>
      <c r="NP50" s="13"/>
      <c r="NQ50" s="13"/>
      <c r="NR50" s="13"/>
      <c r="NS50" s="13"/>
      <c r="NT50" s="13"/>
      <c r="NU50" s="13"/>
      <c r="NV50" s="13"/>
      <c r="NW50" s="13"/>
      <c r="NX50" s="13"/>
      <c r="NY50" s="13"/>
      <c r="NZ50" s="13"/>
      <c r="OA50" s="13"/>
      <c r="OB50" s="13"/>
      <c r="OC50" s="13"/>
      <c r="OD50" s="13"/>
      <c r="OE50" s="13"/>
      <c r="OF50" s="13"/>
      <c r="OG50" s="13"/>
      <c r="OH50" s="13"/>
      <c r="OI50" s="13"/>
      <c r="OJ50" s="13"/>
      <c r="OK50" s="13"/>
      <c r="OL50" s="13"/>
      <c r="OM50" s="13"/>
      <c r="ON50" s="13"/>
      <c r="OO50" s="13"/>
      <c r="OP50" s="13"/>
      <c r="OQ50" s="13"/>
      <c r="OR50" s="13"/>
      <c r="OS50" s="13"/>
      <c r="OT50" s="13"/>
      <c r="OU50" s="13"/>
      <c r="OV50" s="13"/>
      <c r="OW50" s="13"/>
      <c r="OX50" s="13"/>
      <c r="OY50" s="13"/>
      <c r="OZ50" s="13"/>
      <c r="PA50" s="13"/>
      <c r="PB50" s="13"/>
      <c r="PC50" s="13"/>
      <c r="PD50" s="13"/>
      <c r="PE50" s="13"/>
      <c r="PF50" s="13"/>
      <c r="PG50" s="13"/>
      <c r="PH50" s="13"/>
      <c r="PI50" s="13"/>
      <c r="PJ50" s="13"/>
      <c r="PK50" s="13"/>
      <c r="PL50" s="13"/>
      <c r="PM50" s="13"/>
      <c r="PN50" s="13"/>
      <c r="PO50" s="13"/>
      <c r="PP50" s="13"/>
      <c r="PQ50" s="13"/>
      <c r="PR50" s="13"/>
      <c r="PS50" s="13"/>
      <c r="PT50" s="13"/>
      <c r="PU50" s="13"/>
      <c r="PV50" s="13"/>
      <c r="PW50" s="13"/>
      <c r="PX50" s="13"/>
      <c r="PY50" s="13"/>
      <c r="PZ50" s="13"/>
      <c r="QA50" s="13"/>
    </row>
    <row r="51" spans="2:443" x14ac:dyDescent="0.3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6"/>
      <c r="R51" s="17" t="str">
        <f t="shared" si="1"/>
        <v/>
      </c>
      <c r="S51" s="17" t="str">
        <f t="shared" si="2"/>
        <v/>
      </c>
      <c r="T51" s="18" t="str">
        <f t="shared" si="3"/>
        <v/>
      </c>
      <c r="U51" s="15"/>
      <c r="V51" s="19" t="str">
        <f t="shared" si="5"/>
        <v/>
      </c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  <c r="JP51" s="13"/>
      <c r="JQ51" s="13"/>
      <c r="JR51" s="13"/>
      <c r="JS51" s="13"/>
      <c r="JT51" s="13"/>
      <c r="JU51" s="13"/>
      <c r="JV51" s="13"/>
      <c r="JW51" s="13"/>
      <c r="JX51" s="13"/>
      <c r="JY51" s="13"/>
      <c r="JZ51" s="13"/>
      <c r="KA51" s="13"/>
      <c r="KB51" s="13"/>
      <c r="KC51" s="13"/>
      <c r="KD51" s="13"/>
      <c r="KE51" s="13"/>
      <c r="KF51" s="13"/>
      <c r="KG51" s="13"/>
      <c r="KH51" s="13"/>
      <c r="KI51" s="13"/>
      <c r="KJ51" s="13"/>
      <c r="KK51" s="13"/>
      <c r="KL51" s="13"/>
      <c r="KM51" s="13"/>
      <c r="KN51" s="13"/>
      <c r="KO51" s="13"/>
      <c r="KP51" s="13"/>
      <c r="KQ51" s="13"/>
      <c r="KR51" s="13"/>
      <c r="KS51" s="13"/>
      <c r="KT51" s="13"/>
      <c r="KU51" s="13"/>
      <c r="KV51" s="13"/>
      <c r="KW51" s="13"/>
      <c r="KX51" s="13"/>
      <c r="KY51" s="13"/>
      <c r="KZ51" s="13"/>
      <c r="LA51" s="13"/>
      <c r="LB51" s="13"/>
      <c r="LC51" s="13"/>
      <c r="LD51" s="13"/>
      <c r="LE51" s="13"/>
      <c r="LF51" s="13"/>
      <c r="LG51" s="13"/>
      <c r="LH51" s="13"/>
      <c r="LI51" s="13"/>
      <c r="LJ51" s="13"/>
      <c r="LK51" s="13"/>
      <c r="LL51" s="13"/>
      <c r="LM51" s="13"/>
      <c r="LN51" s="13"/>
      <c r="LO51" s="13"/>
      <c r="LP51" s="13"/>
      <c r="LQ51" s="13"/>
      <c r="LR51" s="13"/>
      <c r="LS51" s="13"/>
      <c r="LT51" s="13"/>
      <c r="LU51" s="13"/>
      <c r="LV51" s="13"/>
      <c r="LW51" s="13"/>
      <c r="LX51" s="13"/>
      <c r="LY51" s="13"/>
      <c r="LZ51" s="13"/>
      <c r="MA51" s="13"/>
      <c r="MB51" s="13"/>
      <c r="MC51" s="13"/>
      <c r="MD51" s="13"/>
      <c r="ME51" s="13"/>
      <c r="MF51" s="13"/>
      <c r="MG51" s="13"/>
      <c r="MH51" s="13"/>
      <c r="MI51" s="13"/>
      <c r="MJ51" s="13"/>
      <c r="MK51" s="13"/>
      <c r="ML51" s="13"/>
      <c r="MM51" s="13"/>
      <c r="MN51" s="13"/>
      <c r="MO51" s="13"/>
      <c r="MP51" s="13"/>
      <c r="MQ51" s="13"/>
      <c r="MR51" s="13"/>
      <c r="MS51" s="13"/>
      <c r="MT51" s="13"/>
      <c r="MU51" s="13"/>
      <c r="MV51" s="13"/>
      <c r="MW51" s="13"/>
      <c r="MX51" s="13"/>
      <c r="MY51" s="13"/>
      <c r="MZ51" s="13"/>
      <c r="NA51" s="13"/>
      <c r="NB51" s="13"/>
      <c r="NC51" s="13"/>
      <c r="ND51" s="13"/>
      <c r="NE51" s="13"/>
      <c r="NF51" s="13"/>
      <c r="NG51" s="13"/>
      <c r="NH51" s="13"/>
      <c r="NI51" s="13"/>
      <c r="NJ51" s="13"/>
      <c r="NK51" s="13"/>
      <c r="NL51" s="13"/>
      <c r="NM51" s="13"/>
      <c r="NN51" s="13"/>
      <c r="NO51" s="13"/>
      <c r="NP51" s="13"/>
      <c r="NQ51" s="13"/>
      <c r="NR51" s="13"/>
      <c r="NS51" s="13"/>
      <c r="NT51" s="13"/>
      <c r="NU51" s="13"/>
      <c r="NV51" s="13"/>
      <c r="NW51" s="13"/>
      <c r="NX51" s="13"/>
      <c r="NY51" s="13"/>
      <c r="NZ51" s="13"/>
      <c r="OA51" s="13"/>
      <c r="OB51" s="13"/>
      <c r="OC51" s="13"/>
      <c r="OD51" s="13"/>
      <c r="OE51" s="13"/>
      <c r="OF51" s="13"/>
      <c r="OG51" s="13"/>
      <c r="OH51" s="13"/>
      <c r="OI51" s="13"/>
      <c r="OJ51" s="13"/>
      <c r="OK51" s="13"/>
      <c r="OL51" s="13"/>
      <c r="OM51" s="13"/>
      <c r="ON51" s="13"/>
      <c r="OO51" s="13"/>
      <c r="OP51" s="13"/>
      <c r="OQ51" s="13"/>
      <c r="OR51" s="13"/>
      <c r="OS51" s="13"/>
      <c r="OT51" s="13"/>
      <c r="OU51" s="13"/>
      <c r="OV51" s="13"/>
      <c r="OW51" s="13"/>
      <c r="OX51" s="13"/>
      <c r="OY51" s="13"/>
      <c r="OZ51" s="13"/>
      <c r="PA51" s="13"/>
      <c r="PB51" s="13"/>
      <c r="PC51" s="13"/>
      <c r="PD51" s="13"/>
      <c r="PE51" s="13"/>
      <c r="PF51" s="13"/>
      <c r="PG51" s="13"/>
      <c r="PH51" s="13"/>
      <c r="PI51" s="13"/>
      <c r="PJ51" s="13"/>
      <c r="PK51" s="13"/>
      <c r="PL51" s="13"/>
      <c r="PM51" s="13"/>
      <c r="PN51" s="13"/>
      <c r="PO51" s="13"/>
      <c r="PP51" s="13"/>
      <c r="PQ51" s="13"/>
      <c r="PR51" s="13"/>
      <c r="PS51" s="13"/>
      <c r="PT51" s="13"/>
      <c r="PU51" s="13"/>
      <c r="PV51" s="13"/>
      <c r="PW51" s="13"/>
      <c r="PX51" s="13"/>
      <c r="PY51" s="13"/>
      <c r="PZ51" s="13"/>
      <c r="QA51" s="13"/>
    </row>
    <row r="52" spans="2:443" x14ac:dyDescent="0.3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6"/>
      <c r="R52" s="17" t="str">
        <f t="shared" si="1"/>
        <v/>
      </c>
      <c r="S52" s="17" t="str">
        <f t="shared" si="2"/>
        <v/>
      </c>
      <c r="T52" s="18" t="str">
        <f t="shared" si="3"/>
        <v/>
      </c>
      <c r="U52" s="15"/>
      <c r="V52" s="19" t="str">
        <f t="shared" si="5"/>
        <v/>
      </c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  <c r="JP52" s="13"/>
      <c r="JQ52" s="13"/>
      <c r="JR52" s="13"/>
      <c r="JS52" s="13"/>
      <c r="JT52" s="13"/>
      <c r="JU52" s="13"/>
      <c r="JV52" s="13"/>
      <c r="JW52" s="13"/>
      <c r="JX52" s="13"/>
      <c r="JY52" s="13"/>
      <c r="JZ52" s="13"/>
      <c r="KA52" s="13"/>
      <c r="KB52" s="13"/>
      <c r="KC52" s="13"/>
      <c r="KD52" s="13"/>
      <c r="KE52" s="13"/>
      <c r="KF52" s="13"/>
      <c r="KG52" s="13"/>
      <c r="KH52" s="13"/>
      <c r="KI52" s="13"/>
      <c r="KJ52" s="13"/>
      <c r="KK52" s="13"/>
      <c r="KL52" s="13"/>
      <c r="KM52" s="13"/>
      <c r="KN52" s="13"/>
      <c r="KO52" s="13"/>
      <c r="KP52" s="13"/>
      <c r="KQ52" s="13"/>
      <c r="KR52" s="13"/>
      <c r="KS52" s="13"/>
      <c r="KT52" s="13"/>
      <c r="KU52" s="13"/>
      <c r="KV52" s="13"/>
      <c r="KW52" s="13"/>
      <c r="KX52" s="13"/>
      <c r="KY52" s="13"/>
      <c r="KZ52" s="13"/>
      <c r="LA52" s="13"/>
      <c r="LB52" s="13"/>
      <c r="LC52" s="13"/>
      <c r="LD52" s="13"/>
      <c r="LE52" s="13"/>
      <c r="LF52" s="13"/>
      <c r="LG52" s="13"/>
      <c r="LH52" s="13"/>
      <c r="LI52" s="13"/>
      <c r="LJ52" s="13"/>
      <c r="LK52" s="13"/>
      <c r="LL52" s="13"/>
      <c r="LM52" s="13"/>
      <c r="LN52" s="13"/>
      <c r="LO52" s="13"/>
      <c r="LP52" s="13"/>
      <c r="LQ52" s="13"/>
      <c r="LR52" s="13"/>
      <c r="LS52" s="13"/>
      <c r="LT52" s="13"/>
      <c r="LU52" s="13"/>
      <c r="LV52" s="13"/>
      <c r="LW52" s="13"/>
      <c r="LX52" s="13"/>
      <c r="LY52" s="13"/>
      <c r="LZ52" s="13"/>
      <c r="MA52" s="13"/>
      <c r="MB52" s="13"/>
      <c r="MC52" s="13"/>
      <c r="MD52" s="13"/>
      <c r="ME52" s="13"/>
      <c r="MF52" s="13"/>
      <c r="MG52" s="13"/>
      <c r="MH52" s="13"/>
      <c r="MI52" s="13"/>
      <c r="MJ52" s="13"/>
      <c r="MK52" s="13"/>
      <c r="ML52" s="13"/>
      <c r="MM52" s="13"/>
      <c r="MN52" s="13"/>
      <c r="MO52" s="13"/>
      <c r="MP52" s="13"/>
      <c r="MQ52" s="13"/>
      <c r="MR52" s="13"/>
      <c r="MS52" s="13"/>
      <c r="MT52" s="13"/>
      <c r="MU52" s="13"/>
      <c r="MV52" s="13"/>
      <c r="MW52" s="13"/>
      <c r="MX52" s="13"/>
      <c r="MY52" s="13"/>
      <c r="MZ52" s="13"/>
      <c r="NA52" s="13"/>
      <c r="NB52" s="13"/>
      <c r="NC52" s="13"/>
      <c r="ND52" s="13"/>
      <c r="NE52" s="13"/>
      <c r="NF52" s="13"/>
      <c r="NG52" s="13"/>
      <c r="NH52" s="13"/>
      <c r="NI52" s="13"/>
      <c r="NJ52" s="13"/>
      <c r="NK52" s="13"/>
      <c r="NL52" s="13"/>
      <c r="NM52" s="13"/>
      <c r="NN52" s="13"/>
      <c r="NO52" s="13"/>
      <c r="NP52" s="13"/>
      <c r="NQ52" s="13"/>
      <c r="NR52" s="13"/>
      <c r="NS52" s="13"/>
      <c r="NT52" s="13"/>
      <c r="NU52" s="13"/>
      <c r="NV52" s="13"/>
      <c r="NW52" s="13"/>
      <c r="NX52" s="13"/>
      <c r="NY52" s="13"/>
      <c r="NZ52" s="13"/>
      <c r="OA52" s="13"/>
      <c r="OB52" s="13"/>
      <c r="OC52" s="13"/>
      <c r="OD52" s="13"/>
      <c r="OE52" s="13"/>
      <c r="OF52" s="13"/>
      <c r="OG52" s="13"/>
      <c r="OH52" s="13"/>
      <c r="OI52" s="13"/>
      <c r="OJ52" s="13"/>
      <c r="OK52" s="13"/>
      <c r="OL52" s="13"/>
      <c r="OM52" s="13"/>
      <c r="ON52" s="13"/>
      <c r="OO52" s="13"/>
      <c r="OP52" s="13"/>
      <c r="OQ52" s="13"/>
      <c r="OR52" s="13"/>
      <c r="OS52" s="13"/>
      <c r="OT52" s="13"/>
      <c r="OU52" s="13"/>
      <c r="OV52" s="13"/>
      <c r="OW52" s="13"/>
      <c r="OX52" s="13"/>
      <c r="OY52" s="13"/>
      <c r="OZ52" s="13"/>
      <c r="PA52" s="13"/>
      <c r="PB52" s="13"/>
      <c r="PC52" s="13"/>
      <c r="PD52" s="13"/>
      <c r="PE52" s="13"/>
      <c r="PF52" s="13"/>
      <c r="PG52" s="13"/>
      <c r="PH52" s="13"/>
      <c r="PI52" s="13"/>
      <c r="PJ52" s="13"/>
      <c r="PK52" s="13"/>
      <c r="PL52" s="13"/>
      <c r="PM52" s="13"/>
      <c r="PN52" s="13"/>
      <c r="PO52" s="13"/>
      <c r="PP52" s="13"/>
      <c r="PQ52" s="13"/>
      <c r="PR52" s="13"/>
      <c r="PS52" s="13"/>
      <c r="PT52" s="13"/>
      <c r="PU52" s="13"/>
      <c r="PV52" s="13"/>
      <c r="PW52" s="13"/>
      <c r="PX52" s="13"/>
      <c r="PY52" s="13"/>
      <c r="PZ52" s="13"/>
      <c r="QA52" s="13"/>
    </row>
    <row r="53" spans="2:443" ht="18" customHeight="1" x14ac:dyDescent="0.3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6"/>
      <c r="R53" s="17" t="str">
        <f t="shared" si="1"/>
        <v/>
      </c>
      <c r="S53" s="17" t="str">
        <f t="shared" si="2"/>
        <v/>
      </c>
      <c r="T53" s="18" t="str">
        <f t="shared" si="3"/>
        <v/>
      </c>
      <c r="U53" s="15"/>
      <c r="V53" s="19" t="str">
        <f t="shared" si="5"/>
        <v/>
      </c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  <c r="JP53" s="13"/>
      <c r="JQ53" s="13"/>
      <c r="JR53" s="13"/>
      <c r="JS53" s="13"/>
      <c r="JT53" s="13"/>
      <c r="JU53" s="13"/>
      <c r="JV53" s="13"/>
      <c r="JW53" s="13"/>
      <c r="JX53" s="13"/>
      <c r="JY53" s="13"/>
      <c r="JZ53" s="13"/>
      <c r="KA53" s="13"/>
      <c r="KB53" s="13"/>
      <c r="KC53" s="13"/>
      <c r="KD53" s="13"/>
      <c r="KE53" s="13"/>
      <c r="KF53" s="13"/>
      <c r="KG53" s="13"/>
      <c r="KH53" s="13"/>
      <c r="KI53" s="13"/>
      <c r="KJ53" s="13"/>
      <c r="KK53" s="13"/>
      <c r="KL53" s="13"/>
      <c r="KM53" s="13"/>
      <c r="KN53" s="13"/>
      <c r="KO53" s="13"/>
      <c r="KP53" s="13"/>
      <c r="KQ53" s="13"/>
      <c r="KR53" s="13"/>
      <c r="KS53" s="13"/>
      <c r="KT53" s="13"/>
      <c r="KU53" s="13"/>
      <c r="KV53" s="13"/>
      <c r="KW53" s="13"/>
      <c r="KX53" s="13"/>
      <c r="KY53" s="13"/>
      <c r="KZ53" s="13"/>
      <c r="LA53" s="13"/>
      <c r="LB53" s="13"/>
      <c r="LC53" s="13"/>
      <c r="LD53" s="13"/>
      <c r="LE53" s="13"/>
      <c r="LF53" s="13"/>
      <c r="LG53" s="13"/>
      <c r="LH53" s="13"/>
      <c r="LI53" s="13"/>
      <c r="LJ53" s="13"/>
      <c r="LK53" s="13"/>
      <c r="LL53" s="13"/>
      <c r="LM53" s="13"/>
      <c r="LN53" s="13"/>
      <c r="LO53" s="13"/>
      <c r="LP53" s="13"/>
      <c r="LQ53" s="13"/>
      <c r="LR53" s="13"/>
      <c r="LS53" s="13"/>
      <c r="LT53" s="13"/>
      <c r="LU53" s="13"/>
      <c r="LV53" s="13"/>
      <c r="LW53" s="13"/>
      <c r="LX53" s="13"/>
      <c r="LY53" s="13"/>
      <c r="LZ53" s="13"/>
      <c r="MA53" s="13"/>
      <c r="MB53" s="13"/>
      <c r="MC53" s="13"/>
      <c r="MD53" s="13"/>
      <c r="ME53" s="13"/>
      <c r="MF53" s="13"/>
      <c r="MG53" s="13"/>
      <c r="MH53" s="13"/>
      <c r="MI53" s="13"/>
      <c r="MJ53" s="13"/>
      <c r="MK53" s="13"/>
      <c r="ML53" s="13"/>
      <c r="MM53" s="13"/>
      <c r="MN53" s="13"/>
      <c r="MO53" s="13"/>
      <c r="MP53" s="13"/>
      <c r="MQ53" s="13"/>
      <c r="MR53" s="13"/>
      <c r="MS53" s="13"/>
      <c r="MT53" s="13"/>
      <c r="MU53" s="13"/>
      <c r="MV53" s="13"/>
      <c r="MW53" s="13"/>
      <c r="MX53" s="13"/>
      <c r="MY53" s="13"/>
      <c r="MZ53" s="13"/>
      <c r="NA53" s="13"/>
      <c r="NB53" s="13"/>
      <c r="NC53" s="13"/>
      <c r="ND53" s="13"/>
      <c r="NE53" s="13"/>
      <c r="NF53" s="13"/>
      <c r="NG53" s="13"/>
      <c r="NH53" s="13"/>
      <c r="NI53" s="13"/>
      <c r="NJ53" s="13"/>
      <c r="NK53" s="13"/>
      <c r="NL53" s="13"/>
      <c r="NM53" s="13"/>
      <c r="NN53" s="13"/>
      <c r="NO53" s="13"/>
      <c r="NP53" s="13"/>
      <c r="NQ53" s="13"/>
      <c r="NR53" s="13"/>
      <c r="NS53" s="13"/>
      <c r="NT53" s="13"/>
      <c r="NU53" s="13"/>
      <c r="NV53" s="13"/>
      <c r="NW53" s="13"/>
      <c r="NX53" s="13"/>
      <c r="NY53" s="13"/>
      <c r="NZ53" s="13"/>
      <c r="OA53" s="13"/>
      <c r="OB53" s="13"/>
      <c r="OC53" s="13"/>
      <c r="OD53" s="13"/>
      <c r="OE53" s="13"/>
      <c r="OF53" s="13"/>
      <c r="OG53" s="13"/>
      <c r="OH53" s="13"/>
      <c r="OI53" s="13"/>
      <c r="OJ53" s="13"/>
      <c r="OK53" s="13"/>
      <c r="OL53" s="13"/>
      <c r="OM53" s="13"/>
      <c r="ON53" s="13"/>
      <c r="OO53" s="13"/>
      <c r="OP53" s="13"/>
      <c r="OQ53" s="13"/>
      <c r="OR53" s="13"/>
      <c r="OS53" s="13"/>
      <c r="OT53" s="13"/>
      <c r="OU53" s="13"/>
      <c r="OV53" s="13"/>
      <c r="OW53" s="13"/>
      <c r="OX53" s="13"/>
      <c r="OY53" s="13"/>
      <c r="OZ53" s="13"/>
      <c r="PA53" s="13"/>
      <c r="PB53" s="13"/>
      <c r="PC53" s="13"/>
      <c r="PD53" s="13"/>
      <c r="PE53" s="13"/>
      <c r="PF53" s="13"/>
      <c r="PG53" s="13"/>
      <c r="PH53" s="13"/>
      <c r="PI53" s="13"/>
      <c r="PJ53" s="13"/>
      <c r="PK53" s="13"/>
      <c r="PL53" s="13"/>
      <c r="PM53" s="13"/>
      <c r="PN53" s="13"/>
      <c r="PO53" s="13"/>
      <c r="PP53" s="13"/>
      <c r="PQ53" s="13"/>
      <c r="PR53" s="13"/>
      <c r="PS53" s="13"/>
      <c r="PT53" s="13"/>
      <c r="PU53" s="13"/>
      <c r="PV53" s="13"/>
      <c r="PW53" s="13"/>
      <c r="PX53" s="13"/>
      <c r="PY53" s="13"/>
      <c r="PZ53" s="13"/>
      <c r="QA53" s="13"/>
    </row>
    <row r="54" spans="2:443" x14ac:dyDescent="0.3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6"/>
      <c r="R54" s="17" t="str">
        <f t="shared" si="1"/>
        <v/>
      </c>
      <c r="S54" s="17" t="str">
        <f t="shared" si="2"/>
        <v/>
      </c>
      <c r="T54" s="18" t="str">
        <f t="shared" si="3"/>
        <v/>
      </c>
      <c r="U54" s="15"/>
      <c r="V54" s="19" t="str">
        <f t="shared" si="5"/>
        <v/>
      </c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  <c r="JP54" s="13"/>
      <c r="JQ54" s="13"/>
      <c r="JR54" s="13"/>
      <c r="JS54" s="13"/>
      <c r="JT54" s="13"/>
      <c r="JU54" s="13"/>
      <c r="JV54" s="13"/>
      <c r="JW54" s="13"/>
      <c r="JX54" s="13"/>
      <c r="JY54" s="13"/>
      <c r="JZ54" s="13"/>
      <c r="KA54" s="13"/>
      <c r="KB54" s="13"/>
      <c r="KC54" s="13"/>
      <c r="KD54" s="13"/>
      <c r="KE54" s="13"/>
      <c r="KF54" s="13"/>
      <c r="KG54" s="13"/>
      <c r="KH54" s="13"/>
      <c r="KI54" s="13"/>
      <c r="KJ54" s="13"/>
      <c r="KK54" s="13"/>
      <c r="KL54" s="13"/>
      <c r="KM54" s="13"/>
      <c r="KN54" s="13"/>
      <c r="KO54" s="13"/>
      <c r="KP54" s="13"/>
      <c r="KQ54" s="13"/>
      <c r="KR54" s="13"/>
      <c r="KS54" s="13"/>
      <c r="KT54" s="13"/>
      <c r="KU54" s="13"/>
      <c r="KV54" s="13"/>
      <c r="KW54" s="13"/>
      <c r="KX54" s="13"/>
      <c r="KY54" s="13"/>
      <c r="KZ54" s="13"/>
      <c r="LA54" s="13"/>
      <c r="LB54" s="13"/>
      <c r="LC54" s="13"/>
      <c r="LD54" s="13"/>
      <c r="LE54" s="13"/>
      <c r="LF54" s="13"/>
      <c r="LG54" s="13"/>
      <c r="LH54" s="13"/>
      <c r="LI54" s="13"/>
      <c r="LJ54" s="13"/>
      <c r="LK54" s="13"/>
      <c r="LL54" s="13"/>
      <c r="LM54" s="13"/>
      <c r="LN54" s="13"/>
      <c r="LO54" s="13"/>
      <c r="LP54" s="13"/>
      <c r="LQ54" s="13"/>
      <c r="LR54" s="13"/>
      <c r="LS54" s="13"/>
      <c r="LT54" s="13"/>
      <c r="LU54" s="13"/>
      <c r="LV54" s="13"/>
      <c r="LW54" s="13"/>
      <c r="LX54" s="13"/>
      <c r="LY54" s="13"/>
      <c r="LZ54" s="13"/>
      <c r="MA54" s="13"/>
      <c r="MB54" s="13"/>
      <c r="MC54" s="13"/>
      <c r="MD54" s="13"/>
      <c r="ME54" s="13"/>
      <c r="MF54" s="13"/>
      <c r="MG54" s="13"/>
      <c r="MH54" s="13"/>
      <c r="MI54" s="13"/>
      <c r="MJ54" s="13"/>
      <c r="MK54" s="13"/>
      <c r="ML54" s="13"/>
      <c r="MM54" s="13"/>
      <c r="MN54" s="13"/>
      <c r="MO54" s="13"/>
      <c r="MP54" s="13"/>
      <c r="MQ54" s="13"/>
      <c r="MR54" s="13"/>
      <c r="MS54" s="13"/>
      <c r="MT54" s="13"/>
      <c r="MU54" s="13"/>
      <c r="MV54" s="13"/>
      <c r="MW54" s="13"/>
      <c r="MX54" s="13"/>
      <c r="MY54" s="13"/>
      <c r="MZ54" s="13"/>
      <c r="NA54" s="13"/>
      <c r="NB54" s="13"/>
      <c r="NC54" s="13"/>
      <c r="ND54" s="13"/>
      <c r="NE54" s="13"/>
      <c r="NF54" s="13"/>
      <c r="NG54" s="13"/>
      <c r="NH54" s="13"/>
      <c r="NI54" s="13"/>
      <c r="NJ54" s="13"/>
      <c r="NK54" s="13"/>
      <c r="NL54" s="13"/>
      <c r="NM54" s="13"/>
      <c r="NN54" s="13"/>
      <c r="NO54" s="13"/>
      <c r="NP54" s="13"/>
      <c r="NQ54" s="13"/>
      <c r="NR54" s="13"/>
      <c r="NS54" s="13"/>
      <c r="NT54" s="13"/>
      <c r="NU54" s="13"/>
      <c r="NV54" s="13"/>
      <c r="NW54" s="13"/>
      <c r="NX54" s="13"/>
      <c r="NY54" s="13"/>
      <c r="NZ54" s="13"/>
      <c r="OA54" s="13"/>
      <c r="OB54" s="13"/>
      <c r="OC54" s="13"/>
      <c r="OD54" s="13"/>
      <c r="OE54" s="13"/>
      <c r="OF54" s="13"/>
      <c r="OG54" s="13"/>
      <c r="OH54" s="13"/>
      <c r="OI54" s="13"/>
      <c r="OJ54" s="13"/>
      <c r="OK54" s="13"/>
      <c r="OL54" s="13"/>
      <c r="OM54" s="13"/>
      <c r="ON54" s="13"/>
      <c r="OO54" s="13"/>
      <c r="OP54" s="13"/>
      <c r="OQ54" s="13"/>
      <c r="OR54" s="13"/>
      <c r="OS54" s="13"/>
      <c r="OT54" s="13"/>
      <c r="OU54" s="13"/>
      <c r="OV54" s="13"/>
      <c r="OW54" s="13"/>
      <c r="OX54" s="13"/>
      <c r="OY54" s="13"/>
      <c r="OZ54" s="13"/>
      <c r="PA54" s="13"/>
      <c r="PB54" s="13"/>
      <c r="PC54" s="13"/>
      <c r="PD54" s="13"/>
      <c r="PE54" s="13"/>
      <c r="PF54" s="13"/>
      <c r="PG54" s="13"/>
      <c r="PH54" s="13"/>
      <c r="PI54" s="13"/>
      <c r="PJ54" s="13"/>
      <c r="PK54" s="13"/>
      <c r="PL54" s="13"/>
      <c r="PM54" s="13"/>
      <c r="PN54" s="13"/>
      <c r="PO54" s="13"/>
      <c r="PP54" s="13"/>
      <c r="PQ54" s="13"/>
      <c r="PR54" s="13"/>
      <c r="PS54" s="13"/>
      <c r="PT54" s="13"/>
      <c r="PU54" s="13"/>
      <c r="PV54" s="13"/>
      <c r="PW54" s="13"/>
      <c r="PX54" s="13"/>
      <c r="PY54" s="13"/>
      <c r="PZ54" s="13"/>
      <c r="QA54" s="13"/>
    </row>
    <row r="55" spans="2:443" x14ac:dyDescent="0.3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6"/>
      <c r="R55" s="17" t="str">
        <f t="shared" si="1"/>
        <v/>
      </c>
      <c r="S55" s="17" t="str">
        <f t="shared" si="2"/>
        <v/>
      </c>
      <c r="T55" s="18" t="str">
        <f t="shared" si="3"/>
        <v/>
      </c>
      <c r="U55" s="15"/>
      <c r="V55" s="19" t="str">
        <f t="shared" si="5"/>
        <v/>
      </c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  <c r="JP55" s="13"/>
      <c r="JQ55" s="13"/>
      <c r="JR55" s="13"/>
      <c r="JS55" s="13"/>
      <c r="JT55" s="13"/>
      <c r="JU55" s="13"/>
      <c r="JV55" s="13"/>
      <c r="JW55" s="13"/>
      <c r="JX55" s="13"/>
      <c r="JY55" s="13"/>
      <c r="JZ55" s="13"/>
      <c r="KA55" s="13"/>
      <c r="KB55" s="13"/>
      <c r="KC55" s="13"/>
      <c r="KD55" s="13"/>
      <c r="KE55" s="13"/>
      <c r="KF55" s="13"/>
      <c r="KG55" s="13"/>
      <c r="KH55" s="13"/>
      <c r="KI55" s="13"/>
      <c r="KJ55" s="13"/>
      <c r="KK55" s="13"/>
      <c r="KL55" s="13"/>
      <c r="KM55" s="13"/>
      <c r="KN55" s="13"/>
      <c r="KO55" s="13"/>
      <c r="KP55" s="13"/>
      <c r="KQ55" s="13"/>
      <c r="KR55" s="13"/>
      <c r="KS55" s="13"/>
      <c r="KT55" s="13"/>
      <c r="KU55" s="13"/>
      <c r="KV55" s="13"/>
      <c r="KW55" s="13"/>
      <c r="KX55" s="13"/>
      <c r="KY55" s="13"/>
      <c r="KZ55" s="13"/>
      <c r="LA55" s="13"/>
      <c r="LB55" s="13"/>
      <c r="LC55" s="13"/>
      <c r="LD55" s="13"/>
      <c r="LE55" s="13"/>
      <c r="LF55" s="13"/>
      <c r="LG55" s="13"/>
      <c r="LH55" s="13"/>
      <c r="LI55" s="13"/>
      <c r="LJ55" s="13"/>
      <c r="LK55" s="13"/>
      <c r="LL55" s="13"/>
      <c r="LM55" s="13"/>
      <c r="LN55" s="13"/>
      <c r="LO55" s="13"/>
      <c r="LP55" s="13"/>
      <c r="LQ55" s="13"/>
      <c r="LR55" s="13"/>
      <c r="LS55" s="13"/>
      <c r="LT55" s="13"/>
      <c r="LU55" s="13"/>
      <c r="LV55" s="13"/>
      <c r="LW55" s="13"/>
      <c r="LX55" s="13"/>
      <c r="LY55" s="13"/>
      <c r="LZ55" s="13"/>
      <c r="MA55" s="13"/>
      <c r="MB55" s="13"/>
      <c r="MC55" s="13"/>
      <c r="MD55" s="13"/>
      <c r="ME55" s="13"/>
      <c r="MF55" s="13"/>
      <c r="MG55" s="13"/>
      <c r="MH55" s="13"/>
      <c r="MI55" s="13"/>
      <c r="MJ55" s="13"/>
      <c r="MK55" s="13"/>
      <c r="ML55" s="13"/>
      <c r="MM55" s="13"/>
      <c r="MN55" s="13"/>
      <c r="MO55" s="13"/>
      <c r="MP55" s="13"/>
      <c r="MQ55" s="13"/>
      <c r="MR55" s="13"/>
      <c r="MS55" s="13"/>
      <c r="MT55" s="13"/>
      <c r="MU55" s="13"/>
      <c r="MV55" s="13"/>
      <c r="MW55" s="13"/>
      <c r="MX55" s="13"/>
      <c r="MY55" s="13"/>
      <c r="MZ55" s="13"/>
      <c r="NA55" s="13"/>
      <c r="NB55" s="13"/>
      <c r="NC55" s="13"/>
      <c r="ND55" s="13"/>
      <c r="NE55" s="13"/>
      <c r="NF55" s="13"/>
      <c r="NG55" s="13"/>
      <c r="NH55" s="13"/>
      <c r="NI55" s="13"/>
      <c r="NJ55" s="13"/>
      <c r="NK55" s="13"/>
      <c r="NL55" s="13"/>
      <c r="NM55" s="13"/>
      <c r="NN55" s="13"/>
      <c r="NO55" s="13"/>
      <c r="NP55" s="13"/>
      <c r="NQ55" s="13"/>
      <c r="NR55" s="13"/>
      <c r="NS55" s="13"/>
      <c r="NT55" s="13"/>
      <c r="NU55" s="13"/>
      <c r="NV55" s="13"/>
      <c r="NW55" s="13"/>
      <c r="NX55" s="13"/>
      <c r="NY55" s="13"/>
      <c r="NZ55" s="13"/>
      <c r="OA55" s="13"/>
      <c r="OB55" s="13"/>
      <c r="OC55" s="13"/>
      <c r="OD55" s="13"/>
      <c r="OE55" s="13"/>
      <c r="OF55" s="13"/>
      <c r="OG55" s="13"/>
      <c r="OH55" s="13"/>
      <c r="OI55" s="13"/>
      <c r="OJ55" s="13"/>
      <c r="OK55" s="13"/>
      <c r="OL55" s="13"/>
      <c r="OM55" s="13"/>
      <c r="ON55" s="13"/>
      <c r="OO55" s="13"/>
      <c r="OP55" s="13"/>
      <c r="OQ55" s="13"/>
      <c r="OR55" s="13"/>
      <c r="OS55" s="13"/>
      <c r="OT55" s="13"/>
      <c r="OU55" s="13"/>
      <c r="OV55" s="13"/>
      <c r="OW55" s="13"/>
      <c r="OX55" s="13"/>
      <c r="OY55" s="13"/>
      <c r="OZ55" s="13"/>
      <c r="PA55" s="13"/>
      <c r="PB55" s="13"/>
      <c r="PC55" s="13"/>
      <c r="PD55" s="13"/>
      <c r="PE55" s="13"/>
      <c r="PF55" s="13"/>
      <c r="PG55" s="13"/>
      <c r="PH55" s="13"/>
      <c r="PI55" s="13"/>
      <c r="PJ55" s="13"/>
      <c r="PK55" s="13"/>
      <c r="PL55" s="13"/>
      <c r="PM55" s="13"/>
      <c r="PN55" s="13"/>
      <c r="PO55" s="13"/>
      <c r="PP55" s="13"/>
      <c r="PQ55" s="13"/>
      <c r="PR55" s="13"/>
      <c r="PS55" s="13"/>
      <c r="PT55" s="13"/>
      <c r="PU55" s="13"/>
      <c r="PV55" s="13"/>
      <c r="PW55" s="13"/>
      <c r="PX55" s="13"/>
      <c r="PY55" s="13"/>
      <c r="PZ55" s="13"/>
      <c r="QA55" s="13"/>
    </row>
    <row r="56" spans="2:443" x14ac:dyDescent="0.3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6"/>
      <c r="R56" s="17" t="str">
        <f t="shared" si="1"/>
        <v/>
      </c>
      <c r="S56" s="17" t="str">
        <f t="shared" si="2"/>
        <v/>
      </c>
      <c r="T56" s="18" t="str">
        <f t="shared" si="3"/>
        <v/>
      </c>
      <c r="U56" s="15"/>
      <c r="V56" s="19" t="str">
        <f t="shared" si="5"/>
        <v/>
      </c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  <c r="JP56" s="13"/>
      <c r="JQ56" s="13"/>
      <c r="JR56" s="13"/>
      <c r="JS56" s="13"/>
      <c r="JT56" s="13"/>
      <c r="JU56" s="13"/>
      <c r="JV56" s="13"/>
      <c r="JW56" s="13"/>
      <c r="JX56" s="13"/>
      <c r="JY56" s="13"/>
      <c r="JZ56" s="13"/>
      <c r="KA56" s="13"/>
      <c r="KB56" s="13"/>
      <c r="KC56" s="13"/>
      <c r="KD56" s="13"/>
      <c r="KE56" s="13"/>
      <c r="KF56" s="13"/>
      <c r="KG56" s="13"/>
      <c r="KH56" s="13"/>
      <c r="KI56" s="13"/>
      <c r="KJ56" s="13"/>
      <c r="KK56" s="13"/>
      <c r="KL56" s="13"/>
      <c r="KM56" s="13"/>
      <c r="KN56" s="13"/>
      <c r="KO56" s="13"/>
      <c r="KP56" s="13"/>
      <c r="KQ56" s="13"/>
      <c r="KR56" s="13"/>
      <c r="KS56" s="13"/>
      <c r="KT56" s="13"/>
      <c r="KU56" s="13"/>
      <c r="KV56" s="13"/>
      <c r="KW56" s="13"/>
      <c r="KX56" s="13"/>
      <c r="KY56" s="13"/>
      <c r="KZ56" s="13"/>
      <c r="LA56" s="13"/>
      <c r="LB56" s="13"/>
      <c r="LC56" s="13"/>
      <c r="LD56" s="13"/>
      <c r="LE56" s="13"/>
      <c r="LF56" s="13"/>
      <c r="LG56" s="13"/>
      <c r="LH56" s="13"/>
      <c r="LI56" s="13"/>
      <c r="LJ56" s="13"/>
      <c r="LK56" s="13"/>
      <c r="LL56" s="13"/>
      <c r="LM56" s="13"/>
      <c r="LN56" s="13"/>
      <c r="LO56" s="13"/>
      <c r="LP56" s="13"/>
      <c r="LQ56" s="13"/>
      <c r="LR56" s="13"/>
      <c r="LS56" s="13"/>
      <c r="LT56" s="13"/>
      <c r="LU56" s="13"/>
      <c r="LV56" s="13"/>
      <c r="LW56" s="13"/>
      <c r="LX56" s="13"/>
      <c r="LY56" s="13"/>
      <c r="LZ56" s="13"/>
      <c r="MA56" s="13"/>
      <c r="MB56" s="13"/>
      <c r="MC56" s="13"/>
      <c r="MD56" s="13"/>
      <c r="ME56" s="13"/>
      <c r="MF56" s="13"/>
      <c r="MG56" s="13"/>
      <c r="MH56" s="13"/>
      <c r="MI56" s="13"/>
      <c r="MJ56" s="13"/>
      <c r="MK56" s="13"/>
      <c r="ML56" s="13"/>
      <c r="MM56" s="13"/>
      <c r="MN56" s="13"/>
      <c r="MO56" s="13"/>
      <c r="MP56" s="13"/>
      <c r="MQ56" s="13"/>
      <c r="MR56" s="13"/>
      <c r="MS56" s="13"/>
      <c r="MT56" s="13"/>
      <c r="MU56" s="13"/>
      <c r="MV56" s="13"/>
      <c r="MW56" s="13"/>
      <c r="MX56" s="13"/>
      <c r="MY56" s="13"/>
      <c r="MZ56" s="13"/>
      <c r="NA56" s="13"/>
      <c r="NB56" s="13"/>
      <c r="NC56" s="13"/>
      <c r="ND56" s="13"/>
      <c r="NE56" s="13"/>
      <c r="NF56" s="13"/>
      <c r="NG56" s="13"/>
      <c r="NH56" s="13"/>
      <c r="NI56" s="13"/>
      <c r="NJ56" s="13"/>
      <c r="NK56" s="13"/>
      <c r="NL56" s="13"/>
      <c r="NM56" s="13"/>
      <c r="NN56" s="13"/>
      <c r="NO56" s="13"/>
      <c r="NP56" s="13"/>
      <c r="NQ56" s="13"/>
      <c r="NR56" s="13"/>
      <c r="NS56" s="13"/>
      <c r="NT56" s="13"/>
      <c r="NU56" s="13"/>
      <c r="NV56" s="13"/>
      <c r="NW56" s="13"/>
      <c r="NX56" s="13"/>
      <c r="NY56" s="13"/>
      <c r="NZ56" s="13"/>
      <c r="OA56" s="13"/>
      <c r="OB56" s="13"/>
      <c r="OC56" s="13"/>
      <c r="OD56" s="13"/>
      <c r="OE56" s="13"/>
      <c r="OF56" s="13"/>
      <c r="OG56" s="13"/>
      <c r="OH56" s="13"/>
      <c r="OI56" s="13"/>
      <c r="OJ56" s="13"/>
      <c r="OK56" s="13"/>
      <c r="OL56" s="13"/>
      <c r="OM56" s="13"/>
      <c r="ON56" s="13"/>
      <c r="OO56" s="13"/>
      <c r="OP56" s="13"/>
      <c r="OQ56" s="13"/>
      <c r="OR56" s="13"/>
      <c r="OS56" s="13"/>
      <c r="OT56" s="13"/>
      <c r="OU56" s="13"/>
      <c r="OV56" s="13"/>
      <c r="OW56" s="13"/>
      <c r="OX56" s="13"/>
      <c r="OY56" s="13"/>
      <c r="OZ56" s="13"/>
      <c r="PA56" s="13"/>
      <c r="PB56" s="13"/>
      <c r="PC56" s="13"/>
      <c r="PD56" s="13"/>
      <c r="PE56" s="13"/>
      <c r="PF56" s="13"/>
      <c r="PG56" s="13"/>
      <c r="PH56" s="13"/>
      <c r="PI56" s="13"/>
      <c r="PJ56" s="13"/>
      <c r="PK56" s="13"/>
      <c r="PL56" s="13"/>
      <c r="PM56" s="13"/>
      <c r="PN56" s="13"/>
      <c r="PO56" s="13"/>
      <c r="PP56" s="13"/>
      <c r="PQ56" s="13"/>
      <c r="PR56" s="13"/>
      <c r="PS56" s="13"/>
      <c r="PT56" s="13"/>
      <c r="PU56" s="13"/>
      <c r="PV56" s="13"/>
      <c r="PW56" s="13"/>
      <c r="PX56" s="13"/>
      <c r="PY56" s="13"/>
      <c r="PZ56" s="13"/>
      <c r="QA56" s="13"/>
    </row>
    <row r="57" spans="2:443" x14ac:dyDescent="0.3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6"/>
      <c r="R57" s="17" t="str">
        <f t="shared" si="1"/>
        <v/>
      </c>
      <c r="S57" s="17" t="str">
        <f t="shared" si="2"/>
        <v/>
      </c>
      <c r="T57" s="18" t="str">
        <f t="shared" si="3"/>
        <v/>
      </c>
      <c r="U57" s="15"/>
      <c r="V57" s="19" t="str">
        <f t="shared" si="5"/>
        <v/>
      </c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  <c r="JP57" s="13"/>
      <c r="JQ57" s="13"/>
      <c r="JR57" s="13"/>
      <c r="JS57" s="13"/>
      <c r="JT57" s="13"/>
      <c r="JU57" s="13"/>
      <c r="JV57" s="13"/>
      <c r="JW57" s="13"/>
      <c r="JX57" s="13"/>
      <c r="JY57" s="13"/>
      <c r="JZ57" s="13"/>
      <c r="KA57" s="13"/>
      <c r="KB57" s="13"/>
      <c r="KC57" s="13"/>
      <c r="KD57" s="13"/>
      <c r="KE57" s="13"/>
      <c r="KF57" s="13"/>
      <c r="KG57" s="13"/>
      <c r="KH57" s="13"/>
      <c r="KI57" s="13"/>
      <c r="KJ57" s="13"/>
      <c r="KK57" s="13"/>
      <c r="KL57" s="13"/>
      <c r="KM57" s="13"/>
      <c r="KN57" s="13"/>
      <c r="KO57" s="13"/>
      <c r="KP57" s="13"/>
      <c r="KQ57" s="13"/>
      <c r="KR57" s="13"/>
      <c r="KS57" s="13"/>
      <c r="KT57" s="13"/>
      <c r="KU57" s="13"/>
      <c r="KV57" s="13"/>
      <c r="KW57" s="13"/>
      <c r="KX57" s="13"/>
      <c r="KY57" s="13"/>
      <c r="KZ57" s="13"/>
      <c r="LA57" s="13"/>
      <c r="LB57" s="13"/>
      <c r="LC57" s="13"/>
      <c r="LD57" s="13"/>
      <c r="LE57" s="13"/>
      <c r="LF57" s="13"/>
      <c r="LG57" s="13"/>
      <c r="LH57" s="13"/>
      <c r="LI57" s="13"/>
      <c r="LJ57" s="13"/>
      <c r="LK57" s="13"/>
      <c r="LL57" s="13"/>
      <c r="LM57" s="13"/>
      <c r="LN57" s="13"/>
      <c r="LO57" s="13"/>
      <c r="LP57" s="13"/>
      <c r="LQ57" s="13"/>
      <c r="LR57" s="13"/>
      <c r="LS57" s="13"/>
      <c r="LT57" s="13"/>
      <c r="LU57" s="13"/>
      <c r="LV57" s="13"/>
      <c r="LW57" s="13"/>
      <c r="LX57" s="13"/>
      <c r="LY57" s="13"/>
      <c r="LZ57" s="13"/>
      <c r="MA57" s="13"/>
      <c r="MB57" s="13"/>
      <c r="MC57" s="13"/>
      <c r="MD57" s="13"/>
      <c r="ME57" s="13"/>
      <c r="MF57" s="13"/>
      <c r="MG57" s="13"/>
      <c r="MH57" s="13"/>
      <c r="MI57" s="13"/>
      <c r="MJ57" s="13"/>
      <c r="MK57" s="13"/>
      <c r="ML57" s="13"/>
      <c r="MM57" s="13"/>
      <c r="MN57" s="13"/>
      <c r="MO57" s="13"/>
      <c r="MP57" s="13"/>
      <c r="MQ57" s="13"/>
      <c r="MR57" s="13"/>
      <c r="MS57" s="13"/>
      <c r="MT57" s="13"/>
      <c r="MU57" s="13"/>
      <c r="MV57" s="13"/>
      <c r="MW57" s="13"/>
      <c r="MX57" s="13"/>
      <c r="MY57" s="13"/>
      <c r="MZ57" s="13"/>
      <c r="NA57" s="13"/>
      <c r="NB57" s="13"/>
      <c r="NC57" s="13"/>
      <c r="ND57" s="13"/>
      <c r="NE57" s="13"/>
      <c r="NF57" s="13"/>
      <c r="NG57" s="13"/>
      <c r="NH57" s="13"/>
      <c r="NI57" s="13"/>
      <c r="NJ57" s="13"/>
      <c r="NK57" s="13"/>
      <c r="NL57" s="13"/>
      <c r="NM57" s="13"/>
      <c r="NN57" s="13"/>
      <c r="NO57" s="13"/>
      <c r="NP57" s="13"/>
      <c r="NQ57" s="13"/>
      <c r="NR57" s="13"/>
      <c r="NS57" s="13"/>
      <c r="NT57" s="13"/>
      <c r="NU57" s="13"/>
      <c r="NV57" s="13"/>
      <c r="NW57" s="13"/>
      <c r="NX57" s="13"/>
      <c r="NY57" s="13"/>
      <c r="NZ57" s="13"/>
      <c r="OA57" s="13"/>
      <c r="OB57" s="13"/>
      <c r="OC57" s="13"/>
      <c r="OD57" s="13"/>
      <c r="OE57" s="13"/>
      <c r="OF57" s="13"/>
      <c r="OG57" s="13"/>
      <c r="OH57" s="13"/>
      <c r="OI57" s="13"/>
      <c r="OJ57" s="13"/>
      <c r="OK57" s="13"/>
      <c r="OL57" s="13"/>
      <c r="OM57" s="13"/>
      <c r="ON57" s="13"/>
      <c r="OO57" s="13"/>
      <c r="OP57" s="13"/>
      <c r="OQ57" s="13"/>
      <c r="OR57" s="13"/>
      <c r="OS57" s="13"/>
      <c r="OT57" s="13"/>
      <c r="OU57" s="13"/>
      <c r="OV57" s="13"/>
      <c r="OW57" s="13"/>
      <c r="OX57" s="13"/>
      <c r="OY57" s="13"/>
      <c r="OZ57" s="13"/>
      <c r="PA57" s="13"/>
      <c r="PB57" s="13"/>
      <c r="PC57" s="13"/>
      <c r="PD57" s="13"/>
      <c r="PE57" s="13"/>
      <c r="PF57" s="13"/>
      <c r="PG57" s="13"/>
      <c r="PH57" s="13"/>
      <c r="PI57" s="13"/>
      <c r="PJ57" s="13"/>
      <c r="PK57" s="13"/>
      <c r="PL57" s="13"/>
      <c r="PM57" s="13"/>
      <c r="PN57" s="13"/>
      <c r="PO57" s="13"/>
      <c r="PP57" s="13"/>
      <c r="PQ57" s="13"/>
      <c r="PR57" s="13"/>
      <c r="PS57" s="13"/>
      <c r="PT57" s="13"/>
      <c r="PU57" s="13"/>
      <c r="PV57" s="13"/>
      <c r="PW57" s="13"/>
      <c r="PX57" s="13"/>
      <c r="PY57" s="13"/>
      <c r="PZ57" s="13"/>
      <c r="QA57" s="13"/>
    </row>
    <row r="58" spans="2:443" x14ac:dyDescent="0.3">
      <c r="B58" s="15"/>
      <c r="C58" s="15"/>
      <c r="D58" s="15"/>
      <c r="E58" s="15"/>
      <c r="F58" s="31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6"/>
      <c r="R58" s="17" t="str">
        <f t="shared" si="1"/>
        <v/>
      </c>
      <c r="S58" s="17" t="str">
        <f t="shared" si="2"/>
        <v/>
      </c>
      <c r="T58" s="18" t="str">
        <f t="shared" si="3"/>
        <v/>
      </c>
      <c r="V58" s="19" t="str">
        <f t="shared" si="5"/>
        <v/>
      </c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  <c r="JP58" s="13"/>
      <c r="JQ58" s="13"/>
      <c r="JR58" s="13"/>
      <c r="JS58" s="13"/>
      <c r="JT58" s="13"/>
      <c r="JU58" s="13"/>
      <c r="JV58" s="13"/>
      <c r="JW58" s="13"/>
      <c r="JX58" s="13"/>
      <c r="JY58" s="13"/>
      <c r="JZ58" s="13"/>
      <c r="KA58" s="13"/>
      <c r="KB58" s="13"/>
      <c r="KC58" s="13"/>
      <c r="KD58" s="13"/>
      <c r="KE58" s="13"/>
      <c r="KF58" s="13"/>
      <c r="KG58" s="13"/>
      <c r="KH58" s="13"/>
      <c r="KI58" s="13"/>
      <c r="KJ58" s="13"/>
      <c r="KK58" s="13"/>
      <c r="KL58" s="13"/>
      <c r="KM58" s="13"/>
      <c r="KN58" s="13"/>
      <c r="KO58" s="13"/>
      <c r="KP58" s="13"/>
      <c r="KQ58" s="13"/>
      <c r="KR58" s="13"/>
      <c r="KS58" s="13"/>
      <c r="KT58" s="13"/>
      <c r="KU58" s="13"/>
      <c r="KV58" s="13"/>
      <c r="KW58" s="13"/>
      <c r="KX58" s="13"/>
      <c r="KY58" s="13"/>
      <c r="KZ58" s="13"/>
      <c r="LA58" s="13"/>
      <c r="LB58" s="13"/>
      <c r="LC58" s="13"/>
      <c r="LD58" s="13"/>
      <c r="LE58" s="13"/>
      <c r="LF58" s="13"/>
      <c r="LG58" s="13"/>
      <c r="LH58" s="13"/>
      <c r="LI58" s="13"/>
      <c r="LJ58" s="13"/>
      <c r="LK58" s="13"/>
      <c r="LL58" s="13"/>
      <c r="LM58" s="13"/>
      <c r="LN58" s="13"/>
      <c r="LO58" s="13"/>
      <c r="LP58" s="13"/>
      <c r="LQ58" s="13"/>
      <c r="LR58" s="13"/>
      <c r="LS58" s="13"/>
      <c r="LT58" s="13"/>
      <c r="LU58" s="13"/>
      <c r="LV58" s="13"/>
      <c r="LW58" s="13"/>
      <c r="LX58" s="13"/>
      <c r="LY58" s="13"/>
      <c r="LZ58" s="13"/>
      <c r="MA58" s="13"/>
      <c r="MB58" s="13"/>
      <c r="MC58" s="13"/>
      <c r="MD58" s="13"/>
      <c r="ME58" s="13"/>
      <c r="MF58" s="13"/>
      <c r="MG58" s="13"/>
      <c r="MH58" s="13"/>
      <c r="MI58" s="13"/>
      <c r="MJ58" s="13"/>
      <c r="MK58" s="13"/>
      <c r="ML58" s="13"/>
      <c r="MM58" s="13"/>
      <c r="MN58" s="13"/>
      <c r="MO58" s="13"/>
      <c r="MP58" s="13"/>
      <c r="MQ58" s="13"/>
      <c r="MR58" s="13"/>
      <c r="MS58" s="13"/>
      <c r="MT58" s="13"/>
      <c r="MU58" s="13"/>
      <c r="MV58" s="13"/>
      <c r="MW58" s="13"/>
      <c r="MX58" s="13"/>
      <c r="MY58" s="13"/>
      <c r="MZ58" s="13"/>
      <c r="NA58" s="13"/>
      <c r="NB58" s="13"/>
      <c r="NC58" s="13"/>
      <c r="ND58" s="13"/>
      <c r="NE58" s="13"/>
      <c r="NF58" s="13"/>
      <c r="NG58" s="13"/>
      <c r="NH58" s="13"/>
      <c r="NI58" s="13"/>
      <c r="NJ58" s="13"/>
      <c r="NK58" s="13"/>
      <c r="NL58" s="13"/>
      <c r="NM58" s="13"/>
      <c r="NN58" s="13"/>
      <c r="NO58" s="13"/>
      <c r="NP58" s="13"/>
      <c r="NQ58" s="13"/>
      <c r="NR58" s="13"/>
      <c r="NS58" s="13"/>
      <c r="NT58" s="13"/>
      <c r="NU58" s="13"/>
      <c r="NV58" s="13"/>
      <c r="NW58" s="13"/>
      <c r="NX58" s="13"/>
      <c r="NY58" s="13"/>
      <c r="NZ58" s="13"/>
      <c r="OA58" s="13"/>
      <c r="OB58" s="13"/>
      <c r="OC58" s="13"/>
      <c r="OD58" s="13"/>
      <c r="OE58" s="13"/>
      <c r="OF58" s="13"/>
      <c r="OG58" s="13"/>
      <c r="OH58" s="13"/>
      <c r="OI58" s="13"/>
      <c r="OJ58" s="13"/>
      <c r="OK58" s="13"/>
      <c r="OL58" s="13"/>
      <c r="OM58" s="13"/>
      <c r="ON58" s="13"/>
      <c r="OO58" s="13"/>
      <c r="OP58" s="13"/>
      <c r="OQ58" s="13"/>
      <c r="OR58" s="13"/>
      <c r="OS58" s="13"/>
      <c r="OT58" s="13"/>
      <c r="OU58" s="13"/>
      <c r="OV58" s="13"/>
      <c r="OW58" s="13"/>
      <c r="OX58" s="13"/>
      <c r="OY58" s="13"/>
      <c r="OZ58" s="13"/>
      <c r="PA58" s="13"/>
      <c r="PB58" s="13"/>
      <c r="PC58" s="13"/>
      <c r="PD58" s="13"/>
      <c r="PE58" s="13"/>
      <c r="PF58" s="13"/>
      <c r="PG58" s="13"/>
      <c r="PH58" s="13"/>
      <c r="PI58" s="13"/>
      <c r="PJ58" s="13"/>
      <c r="PK58" s="13"/>
      <c r="PL58" s="13"/>
      <c r="PM58" s="13"/>
      <c r="PN58" s="13"/>
      <c r="PO58" s="13"/>
      <c r="PP58" s="13"/>
      <c r="PQ58" s="13"/>
      <c r="PR58" s="13"/>
      <c r="PS58" s="13"/>
      <c r="PT58" s="13"/>
      <c r="PU58" s="13"/>
      <c r="PV58" s="13"/>
      <c r="PW58" s="13"/>
      <c r="PX58" s="13"/>
      <c r="PY58" s="13"/>
      <c r="PZ58" s="13"/>
      <c r="QA58" s="13"/>
    </row>
    <row r="59" spans="2:443" ht="18" customHeight="1" x14ac:dyDescent="0.3">
      <c r="B59" s="15"/>
      <c r="C59" s="15"/>
      <c r="D59" s="15"/>
      <c r="E59" s="15"/>
      <c r="F59" s="31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6"/>
      <c r="R59" s="17" t="str">
        <f t="shared" si="1"/>
        <v/>
      </c>
      <c r="S59" s="17" t="str">
        <f t="shared" si="2"/>
        <v/>
      </c>
      <c r="T59" s="18" t="str">
        <f t="shared" si="3"/>
        <v/>
      </c>
      <c r="V59" s="19" t="str">
        <f t="shared" si="5"/>
        <v/>
      </c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  <c r="JP59" s="13"/>
      <c r="JQ59" s="13"/>
      <c r="JR59" s="13"/>
      <c r="JS59" s="13"/>
      <c r="JT59" s="13"/>
      <c r="JU59" s="13"/>
      <c r="JV59" s="13"/>
      <c r="JW59" s="13"/>
      <c r="JX59" s="13"/>
      <c r="JY59" s="13"/>
      <c r="JZ59" s="13"/>
      <c r="KA59" s="13"/>
      <c r="KB59" s="13"/>
      <c r="KC59" s="13"/>
      <c r="KD59" s="13"/>
      <c r="KE59" s="13"/>
      <c r="KF59" s="13"/>
      <c r="KG59" s="13"/>
      <c r="KH59" s="13"/>
      <c r="KI59" s="13"/>
      <c r="KJ59" s="13"/>
      <c r="KK59" s="13"/>
      <c r="KL59" s="13"/>
      <c r="KM59" s="13"/>
      <c r="KN59" s="13"/>
      <c r="KO59" s="13"/>
      <c r="KP59" s="13"/>
      <c r="KQ59" s="13"/>
      <c r="KR59" s="13"/>
      <c r="KS59" s="13"/>
      <c r="KT59" s="13"/>
      <c r="KU59" s="13"/>
      <c r="KV59" s="13"/>
      <c r="KW59" s="13"/>
      <c r="KX59" s="13"/>
      <c r="KY59" s="13"/>
      <c r="KZ59" s="13"/>
      <c r="LA59" s="13"/>
      <c r="LB59" s="13"/>
      <c r="LC59" s="13"/>
      <c r="LD59" s="13"/>
      <c r="LE59" s="13"/>
      <c r="LF59" s="13"/>
      <c r="LG59" s="13"/>
      <c r="LH59" s="13"/>
      <c r="LI59" s="13"/>
      <c r="LJ59" s="13"/>
      <c r="LK59" s="13"/>
      <c r="LL59" s="13"/>
      <c r="LM59" s="13"/>
      <c r="LN59" s="13"/>
      <c r="LO59" s="13"/>
      <c r="LP59" s="13"/>
      <c r="LQ59" s="13"/>
      <c r="LR59" s="13"/>
      <c r="LS59" s="13"/>
      <c r="LT59" s="13"/>
      <c r="LU59" s="13"/>
      <c r="LV59" s="13"/>
      <c r="LW59" s="13"/>
      <c r="LX59" s="13"/>
      <c r="LY59" s="13"/>
      <c r="LZ59" s="13"/>
      <c r="MA59" s="13"/>
      <c r="MB59" s="13"/>
      <c r="MC59" s="13"/>
      <c r="MD59" s="13"/>
      <c r="ME59" s="13"/>
      <c r="MF59" s="13"/>
      <c r="MG59" s="13"/>
      <c r="MH59" s="13"/>
      <c r="MI59" s="13"/>
      <c r="MJ59" s="13"/>
      <c r="MK59" s="13"/>
      <c r="ML59" s="13"/>
      <c r="MM59" s="13"/>
      <c r="MN59" s="13"/>
      <c r="MO59" s="13"/>
      <c r="MP59" s="13"/>
      <c r="MQ59" s="13"/>
      <c r="MR59" s="13"/>
      <c r="MS59" s="13"/>
      <c r="MT59" s="13"/>
      <c r="MU59" s="13"/>
      <c r="MV59" s="13"/>
      <c r="MW59" s="13"/>
      <c r="MX59" s="13"/>
      <c r="MY59" s="13"/>
      <c r="MZ59" s="13"/>
      <c r="NA59" s="13"/>
      <c r="NB59" s="13"/>
      <c r="NC59" s="13"/>
      <c r="ND59" s="13"/>
      <c r="NE59" s="13"/>
      <c r="NF59" s="13"/>
      <c r="NG59" s="13"/>
      <c r="NH59" s="13"/>
      <c r="NI59" s="13"/>
      <c r="NJ59" s="13"/>
      <c r="NK59" s="13"/>
      <c r="NL59" s="13"/>
      <c r="NM59" s="13"/>
      <c r="NN59" s="13"/>
      <c r="NO59" s="13"/>
      <c r="NP59" s="13"/>
      <c r="NQ59" s="13"/>
      <c r="NR59" s="13"/>
      <c r="NS59" s="13"/>
      <c r="NT59" s="13"/>
      <c r="NU59" s="13"/>
      <c r="NV59" s="13"/>
      <c r="NW59" s="13"/>
      <c r="NX59" s="13"/>
      <c r="NY59" s="13"/>
      <c r="NZ59" s="13"/>
      <c r="OA59" s="13"/>
      <c r="OB59" s="13"/>
      <c r="OC59" s="13"/>
      <c r="OD59" s="13"/>
      <c r="OE59" s="13"/>
      <c r="OF59" s="13"/>
      <c r="OG59" s="13"/>
      <c r="OH59" s="13"/>
      <c r="OI59" s="13"/>
      <c r="OJ59" s="13"/>
      <c r="OK59" s="13"/>
      <c r="OL59" s="13"/>
      <c r="OM59" s="13"/>
      <c r="ON59" s="13"/>
      <c r="OO59" s="13"/>
      <c r="OP59" s="13"/>
      <c r="OQ59" s="13"/>
      <c r="OR59" s="13"/>
      <c r="OS59" s="13"/>
      <c r="OT59" s="13"/>
      <c r="OU59" s="13"/>
      <c r="OV59" s="13"/>
      <c r="OW59" s="13"/>
      <c r="OX59" s="13"/>
      <c r="OY59" s="13"/>
      <c r="OZ59" s="13"/>
      <c r="PA59" s="13"/>
      <c r="PB59" s="13"/>
      <c r="PC59" s="13"/>
      <c r="PD59" s="13"/>
      <c r="PE59" s="13"/>
      <c r="PF59" s="13"/>
      <c r="PG59" s="13"/>
      <c r="PH59" s="13"/>
      <c r="PI59" s="13"/>
      <c r="PJ59" s="13"/>
      <c r="PK59" s="13"/>
      <c r="PL59" s="13"/>
      <c r="PM59" s="13"/>
      <c r="PN59" s="13"/>
      <c r="PO59" s="13"/>
      <c r="PP59" s="13"/>
      <c r="PQ59" s="13"/>
      <c r="PR59" s="13"/>
      <c r="PS59" s="13"/>
      <c r="PT59" s="13"/>
      <c r="PU59" s="13"/>
      <c r="PV59" s="13"/>
      <c r="PW59" s="13"/>
      <c r="PX59" s="13"/>
      <c r="PY59" s="13"/>
      <c r="PZ59" s="13"/>
      <c r="QA59" s="13"/>
    </row>
    <row r="60" spans="2:443" x14ac:dyDescent="0.3">
      <c r="B60" s="15"/>
      <c r="C60" s="15"/>
      <c r="D60" s="15"/>
      <c r="E60" s="15"/>
      <c r="F60" s="31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6"/>
      <c r="R60" s="17" t="str">
        <f t="shared" si="1"/>
        <v/>
      </c>
      <c r="S60" s="17" t="str">
        <f t="shared" si="2"/>
        <v/>
      </c>
      <c r="T60" s="18" t="str">
        <f t="shared" si="3"/>
        <v/>
      </c>
      <c r="V60" s="19" t="str">
        <f t="shared" si="5"/>
        <v/>
      </c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  <c r="JP60" s="13"/>
      <c r="JQ60" s="13"/>
      <c r="JR60" s="13"/>
      <c r="JS60" s="13"/>
      <c r="JT60" s="13"/>
      <c r="JU60" s="13"/>
      <c r="JV60" s="13"/>
      <c r="JW60" s="13"/>
      <c r="JX60" s="13"/>
      <c r="JY60" s="13"/>
      <c r="JZ60" s="13"/>
      <c r="KA60" s="13"/>
      <c r="KB60" s="13"/>
      <c r="KC60" s="13"/>
      <c r="KD60" s="13"/>
      <c r="KE60" s="13"/>
      <c r="KF60" s="13"/>
      <c r="KG60" s="13"/>
      <c r="KH60" s="13"/>
      <c r="KI60" s="13"/>
      <c r="KJ60" s="13"/>
      <c r="KK60" s="13"/>
      <c r="KL60" s="13"/>
      <c r="KM60" s="13"/>
      <c r="KN60" s="13"/>
      <c r="KO60" s="13"/>
      <c r="KP60" s="13"/>
      <c r="KQ60" s="13"/>
      <c r="KR60" s="13"/>
      <c r="KS60" s="13"/>
      <c r="KT60" s="13"/>
      <c r="KU60" s="13"/>
      <c r="KV60" s="13"/>
      <c r="KW60" s="13"/>
      <c r="KX60" s="13"/>
      <c r="KY60" s="13"/>
      <c r="KZ60" s="13"/>
      <c r="LA60" s="13"/>
      <c r="LB60" s="13"/>
      <c r="LC60" s="13"/>
      <c r="LD60" s="13"/>
      <c r="LE60" s="13"/>
      <c r="LF60" s="13"/>
      <c r="LG60" s="13"/>
      <c r="LH60" s="13"/>
      <c r="LI60" s="13"/>
      <c r="LJ60" s="13"/>
      <c r="LK60" s="13"/>
      <c r="LL60" s="13"/>
      <c r="LM60" s="13"/>
      <c r="LN60" s="13"/>
      <c r="LO60" s="13"/>
      <c r="LP60" s="13"/>
      <c r="LQ60" s="13"/>
      <c r="LR60" s="13"/>
      <c r="LS60" s="13"/>
      <c r="LT60" s="13"/>
      <c r="LU60" s="13"/>
      <c r="LV60" s="13"/>
      <c r="LW60" s="13"/>
      <c r="LX60" s="13"/>
      <c r="LY60" s="13"/>
      <c r="LZ60" s="13"/>
      <c r="MA60" s="13"/>
      <c r="MB60" s="13"/>
      <c r="MC60" s="13"/>
      <c r="MD60" s="13"/>
      <c r="ME60" s="13"/>
      <c r="MF60" s="13"/>
      <c r="MG60" s="13"/>
      <c r="MH60" s="13"/>
      <c r="MI60" s="13"/>
      <c r="MJ60" s="13"/>
      <c r="MK60" s="13"/>
      <c r="ML60" s="13"/>
      <c r="MM60" s="13"/>
      <c r="MN60" s="13"/>
      <c r="MO60" s="13"/>
      <c r="MP60" s="13"/>
      <c r="MQ60" s="13"/>
      <c r="MR60" s="13"/>
      <c r="MS60" s="13"/>
      <c r="MT60" s="13"/>
      <c r="MU60" s="13"/>
      <c r="MV60" s="13"/>
      <c r="MW60" s="13"/>
      <c r="MX60" s="13"/>
      <c r="MY60" s="13"/>
      <c r="MZ60" s="13"/>
      <c r="NA60" s="13"/>
      <c r="NB60" s="13"/>
      <c r="NC60" s="13"/>
      <c r="ND60" s="13"/>
      <c r="NE60" s="13"/>
      <c r="NF60" s="13"/>
      <c r="NG60" s="13"/>
      <c r="NH60" s="13"/>
      <c r="NI60" s="13"/>
      <c r="NJ60" s="13"/>
      <c r="NK60" s="13"/>
      <c r="NL60" s="13"/>
      <c r="NM60" s="13"/>
      <c r="NN60" s="13"/>
      <c r="NO60" s="13"/>
      <c r="NP60" s="13"/>
      <c r="NQ60" s="13"/>
      <c r="NR60" s="13"/>
      <c r="NS60" s="13"/>
      <c r="NT60" s="13"/>
      <c r="NU60" s="13"/>
      <c r="NV60" s="13"/>
      <c r="NW60" s="13"/>
      <c r="NX60" s="13"/>
      <c r="NY60" s="13"/>
      <c r="NZ60" s="13"/>
      <c r="OA60" s="13"/>
      <c r="OB60" s="13"/>
      <c r="OC60" s="13"/>
      <c r="OD60" s="13"/>
      <c r="OE60" s="13"/>
      <c r="OF60" s="13"/>
      <c r="OG60" s="13"/>
      <c r="OH60" s="13"/>
      <c r="OI60" s="13"/>
      <c r="OJ60" s="13"/>
      <c r="OK60" s="13"/>
      <c r="OL60" s="13"/>
      <c r="OM60" s="13"/>
      <c r="ON60" s="13"/>
      <c r="OO60" s="13"/>
      <c r="OP60" s="13"/>
      <c r="OQ60" s="13"/>
      <c r="OR60" s="13"/>
      <c r="OS60" s="13"/>
      <c r="OT60" s="13"/>
      <c r="OU60" s="13"/>
      <c r="OV60" s="13"/>
      <c r="OW60" s="13"/>
      <c r="OX60" s="13"/>
      <c r="OY60" s="13"/>
      <c r="OZ60" s="13"/>
      <c r="PA60" s="13"/>
      <c r="PB60" s="13"/>
      <c r="PC60" s="13"/>
      <c r="PD60" s="13"/>
      <c r="PE60" s="13"/>
      <c r="PF60" s="13"/>
      <c r="PG60" s="13"/>
      <c r="PH60" s="13"/>
      <c r="PI60" s="13"/>
      <c r="PJ60" s="13"/>
      <c r="PK60" s="13"/>
      <c r="PL60" s="13"/>
      <c r="PM60" s="13"/>
      <c r="PN60" s="13"/>
      <c r="PO60" s="13"/>
      <c r="PP60" s="13"/>
      <c r="PQ60" s="13"/>
      <c r="PR60" s="13"/>
      <c r="PS60" s="13"/>
      <c r="PT60" s="13"/>
      <c r="PU60" s="13"/>
      <c r="PV60" s="13"/>
      <c r="PW60" s="13"/>
      <c r="PX60" s="13"/>
      <c r="PY60" s="13"/>
      <c r="PZ60" s="13"/>
      <c r="QA60" s="13"/>
    </row>
    <row r="61" spans="2:443" x14ac:dyDescent="0.3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6"/>
      <c r="R61" s="17" t="str">
        <f t="shared" si="1"/>
        <v/>
      </c>
      <c r="S61" s="17" t="str">
        <f t="shared" si="2"/>
        <v/>
      </c>
      <c r="T61" s="18" t="str">
        <f t="shared" si="3"/>
        <v/>
      </c>
      <c r="U61" s="15"/>
      <c r="V61" s="19" t="str">
        <f t="shared" si="5"/>
        <v/>
      </c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  <c r="JP61" s="13"/>
      <c r="JQ61" s="13"/>
      <c r="JR61" s="13"/>
      <c r="JS61" s="13"/>
      <c r="JT61" s="13"/>
      <c r="JU61" s="13"/>
      <c r="JV61" s="13"/>
      <c r="JW61" s="13"/>
      <c r="JX61" s="13"/>
      <c r="JY61" s="13"/>
      <c r="JZ61" s="13"/>
      <c r="KA61" s="13"/>
      <c r="KB61" s="13"/>
      <c r="KC61" s="13"/>
      <c r="KD61" s="13"/>
      <c r="KE61" s="13"/>
      <c r="KF61" s="13"/>
      <c r="KG61" s="13"/>
      <c r="KH61" s="13"/>
      <c r="KI61" s="13"/>
      <c r="KJ61" s="13"/>
      <c r="KK61" s="13"/>
      <c r="KL61" s="13"/>
      <c r="KM61" s="13"/>
      <c r="KN61" s="13"/>
      <c r="KO61" s="13"/>
      <c r="KP61" s="13"/>
      <c r="KQ61" s="13"/>
      <c r="KR61" s="13"/>
      <c r="KS61" s="13"/>
      <c r="KT61" s="13"/>
      <c r="KU61" s="13"/>
      <c r="KV61" s="13"/>
      <c r="KW61" s="13"/>
      <c r="KX61" s="13"/>
      <c r="KY61" s="13"/>
      <c r="KZ61" s="13"/>
      <c r="LA61" s="13"/>
      <c r="LB61" s="13"/>
      <c r="LC61" s="13"/>
      <c r="LD61" s="13"/>
      <c r="LE61" s="13"/>
      <c r="LF61" s="13"/>
      <c r="LG61" s="13"/>
      <c r="LH61" s="13"/>
      <c r="LI61" s="13"/>
      <c r="LJ61" s="13"/>
      <c r="LK61" s="13"/>
      <c r="LL61" s="13"/>
      <c r="LM61" s="13"/>
      <c r="LN61" s="13"/>
      <c r="LO61" s="13"/>
      <c r="LP61" s="13"/>
      <c r="LQ61" s="13"/>
      <c r="LR61" s="13"/>
      <c r="LS61" s="13"/>
      <c r="LT61" s="13"/>
      <c r="LU61" s="13"/>
      <c r="LV61" s="13"/>
      <c r="LW61" s="13"/>
      <c r="LX61" s="13"/>
      <c r="LY61" s="13"/>
      <c r="LZ61" s="13"/>
      <c r="MA61" s="13"/>
      <c r="MB61" s="13"/>
      <c r="MC61" s="13"/>
      <c r="MD61" s="13"/>
      <c r="ME61" s="13"/>
      <c r="MF61" s="13"/>
      <c r="MG61" s="13"/>
      <c r="MH61" s="13"/>
      <c r="MI61" s="13"/>
      <c r="MJ61" s="13"/>
      <c r="MK61" s="13"/>
      <c r="ML61" s="13"/>
      <c r="MM61" s="13"/>
      <c r="MN61" s="13"/>
      <c r="MO61" s="13"/>
      <c r="MP61" s="13"/>
      <c r="MQ61" s="13"/>
      <c r="MR61" s="13"/>
      <c r="MS61" s="13"/>
      <c r="MT61" s="13"/>
      <c r="MU61" s="13"/>
      <c r="MV61" s="13"/>
      <c r="MW61" s="13"/>
      <c r="MX61" s="13"/>
      <c r="MY61" s="13"/>
      <c r="MZ61" s="13"/>
      <c r="NA61" s="13"/>
      <c r="NB61" s="13"/>
      <c r="NC61" s="13"/>
      <c r="ND61" s="13"/>
      <c r="NE61" s="13"/>
      <c r="NF61" s="13"/>
      <c r="NG61" s="13"/>
      <c r="NH61" s="13"/>
      <c r="NI61" s="13"/>
      <c r="NJ61" s="13"/>
      <c r="NK61" s="13"/>
      <c r="NL61" s="13"/>
      <c r="NM61" s="13"/>
      <c r="NN61" s="13"/>
      <c r="NO61" s="13"/>
      <c r="NP61" s="13"/>
      <c r="NQ61" s="13"/>
      <c r="NR61" s="13"/>
      <c r="NS61" s="13"/>
      <c r="NT61" s="13"/>
      <c r="NU61" s="13"/>
      <c r="NV61" s="13"/>
      <c r="NW61" s="13"/>
      <c r="NX61" s="13"/>
      <c r="NY61" s="13"/>
      <c r="NZ61" s="13"/>
      <c r="OA61" s="13"/>
      <c r="OB61" s="13"/>
      <c r="OC61" s="13"/>
      <c r="OD61" s="13"/>
      <c r="OE61" s="13"/>
      <c r="OF61" s="13"/>
      <c r="OG61" s="13"/>
      <c r="OH61" s="13"/>
      <c r="OI61" s="13"/>
      <c r="OJ61" s="13"/>
      <c r="OK61" s="13"/>
      <c r="OL61" s="13"/>
      <c r="OM61" s="13"/>
      <c r="ON61" s="13"/>
      <c r="OO61" s="13"/>
      <c r="OP61" s="13"/>
      <c r="OQ61" s="13"/>
      <c r="OR61" s="13"/>
      <c r="OS61" s="13"/>
      <c r="OT61" s="13"/>
      <c r="OU61" s="13"/>
      <c r="OV61" s="13"/>
      <c r="OW61" s="13"/>
      <c r="OX61" s="13"/>
      <c r="OY61" s="13"/>
      <c r="OZ61" s="13"/>
      <c r="PA61" s="13"/>
      <c r="PB61" s="13"/>
      <c r="PC61" s="13"/>
      <c r="PD61" s="13"/>
      <c r="PE61" s="13"/>
      <c r="PF61" s="13"/>
      <c r="PG61" s="13"/>
      <c r="PH61" s="13"/>
      <c r="PI61" s="13"/>
      <c r="PJ61" s="13"/>
      <c r="PK61" s="13"/>
      <c r="PL61" s="13"/>
      <c r="PM61" s="13"/>
      <c r="PN61" s="13"/>
      <c r="PO61" s="13"/>
      <c r="PP61" s="13"/>
      <c r="PQ61" s="13"/>
      <c r="PR61" s="13"/>
      <c r="PS61" s="13"/>
      <c r="PT61" s="13"/>
      <c r="PU61" s="13"/>
      <c r="PV61" s="13"/>
      <c r="PW61" s="13"/>
      <c r="PX61" s="13"/>
      <c r="PY61" s="13"/>
      <c r="PZ61" s="13"/>
      <c r="QA61" s="13"/>
    </row>
    <row r="62" spans="2:443" x14ac:dyDescent="0.3">
      <c r="B62" s="15"/>
      <c r="C62" s="15"/>
      <c r="D62" s="15"/>
      <c r="E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6"/>
      <c r="R62" s="17" t="str">
        <f t="shared" si="1"/>
        <v/>
      </c>
      <c r="S62" s="17" t="str">
        <f t="shared" si="2"/>
        <v/>
      </c>
      <c r="T62" s="18" t="str">
        <f t="shared" si="3"/>
        <v/>
      </c>
      <c r="U62" s="15"/>
      <c r="V62" s="19" t="str">
        <f t="shared" si="5"/>
        <v/>
      </c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  <c r="JP62" s="13"/>
      <c r="JQ62" s="13"/>
      <c r="JR62" s="13"/>
      <c r="JS62" s="13"/>
      <c r="JT62" s="13"/>
      <c r="JU62" s="13"/>
      <c r="JV62" s="13"/>
      <c r="JW62" s="13"/>
      <c r="JX62" s="13"/>
      <c r="JY62" s="13"/>
      <c r="JZ62" s="13"/>
      <c r="KA62" s="13"/>
      <c r="KB62" s="13"/>
      <c r="KC62" s="13"/>
      <c r="KD62" s="13"/>
      <c r="KE62" s="13"/>
      <c r="KF62" s="13"/>
      <c r="KG62" s="13"/>
      <c r="KH62" s="13"/>
      <c r="KI62" s="13"/>
      <c r="KJ62" s="13"/>
      <c r="KK62" s="13"/>
      <c r="KL62" s="13"/>
      <c r="KM62" s="13"/>
      <c r="KN62" s="13"/>
      <c r="KO62" s="13"/>
      <c r="KP62" s="13"/>
      <c r="KQ62" s="13"/>
      <c r="KR62" s="13"/>
      <c r="KS62" s="13"/>
      <c r="KT62" s="13"/>
      <c r="KU62" s="13"/>
      <c r="KV62" s="13"/>
      <c r="KW62" s="13"/>
      <c r="KX62" s="13"/>
      <c r="KY62" s="13"/>
      <c r="KZ62" s="13"/>
      <c r="LA62" s="13"/>
      <c r="LB62" s="13"/>
      <c r="LC62" s="13"/>
      <c r="LD62" s="13"/>
      <c r="LE62" s="13"/>
      <c r="LF62" s="13"/>
      <c r="LG62" s="13"/>
      <c r="LH62" s="13"/>
      <c r="LI62" s="13"/>
      <c r="LJ62" s="13"/>
      <c r="LK62" s="13"/>
      <c r="LL62" s="13"/>
      <c r="LM62" s="13"/>
      <c r="LN62" s="13"/>
      <c r="LO62" s="13"/>
      <c r="LP62" s="13"/>
      <c r="LQ62" s="13"/>
      <c r="LR62" s="13"/>
      <c r="LS62" s="13"/>
      <c r="LT62" s="13"/>
      <c r="LU62" s="13"/>
      <c r="LV62" s="13"/>
      <c r="LW62" s="13"/>
      <c r="LX62" s="13"/>
      <c r="LY62" s="13"/>
      <c r="LZ62" s="13"/>
      <c r="MA62" s="13"/>
      <c r="MB62" s="13"/>
      <c r="MC62" s="13"/>
      <c r="MD62" s="13"/>
      <c r="ME62" s="13"/>
      <c r="MF62" s="13"/>
      <c r="MG62" s="13"/>
      <c r="MH62" s="13"/>
      <c r="MI62" s="13"/>
      <c r="MJ62" s="13"/>
      <c r="MK62" s="13"/>
      <c r="ML62" s="13"/>
      <c r="MM62" s="13"/>
      <c r="MN62" s="13"/>
      <c r="MO62" s="13"/>
      <c r="MP62" s="13"/>
      <c r="MQ62" s="13"/>
      <c r="MR62" s="13"/>
      <c r="MS62" s="13"/>
      <c r="MT62" s="13"/>
      <c r="MU62" s="13"/>
      <c r="MV62" s="13"/>
      <c r="MW62" s="13"/>
      <c r="MX62" s="13"/>
      <c r="MY62" s="13"/>
      <c r="MZ62" s="13"/>
      <c r="NA62" s="13"/>
      <c r="NB62" s="13"/>
      <c r="NC62" s="13"/>
      <c r="ND62" s="13"/>
      <c r="NE62" s="13"/>
      <c r="NF62" s="13"/>
      <c r="NG62" s="13"/>
      <c r="NH62" s="13"/>
      <c r="NI62" s="13"/>
      <c r="NJ62" s="13"/>
      <c r="NK62" s="13"/>
      <c r="NL62" s="13"/>
      <c r="NM62" s="13"/>
      <c r="NN62" s="13"/>
      <c r="NO62" s="13"/>
      <c r="NP62" s="13"/>
      <c r="NQ62" s="13"/>
      <c r="NR62" s="13"/>
      <c r="NS62" s="13"/>
      <c r="NT62" s="13"/>
      <c r="NU62" s="13"/>
      <c r="NV62" s="13"/>
      <c r="NW62" s="13"/>
      <c r="NX62" s="13"/>
      <c r="NY62" s="13"/>
      <c r="NZ62" s="13"/>
      <c r="OA62" s="13"/>
      <c r="OB62" s="13"/>
      <c r="OC62" s="13"/>
      <c r="OD62" s="13"/>
      <c r="OE62" s="13"/>
      <c r="OF62" s="13"/>
      <c r="OG62" s="13"/>
      <c r="OH62" s="13"/>
      <c r="OI62" s="13"/>
      <c r="OJ62" s="13"/>
      <c r="OK62" s="13"/>
      <c r="OL62" s="13"/>
      <c r="OM62" s="13"/>
      <c r="ON62" s="13"/>
      <c r="OO62" s="13"/>
      <c r="OP62" s="13"/>
      <c r="OQ62" s="13"/>
      <c r="OR62" s="13"/>
      <c r="OS62" s="13"/>
      <c r="OT62" s="13"/>
      <c r="OU62" s="13"/>
      <c r="OV62" s="13"/>
      <c r="OW62" s="13"/>
      <c r="OX62" s="13"/>
      <c r="OY62" s="13"/>
      <c r="OZ62" s="13"/>
      <c r="PA62" s="13"/>
      <c r="PB62" s="13"/>
      <c r="PC62" s="13"/>
      <c r="PD62" s="13"/>
      <c r="PE62" s="13"/>
      <c r="PF62" s="13"/>
      <c r="PG62" s="13"/>
      <c r="PH62" s="13"/>
      <c r="PI62" s="13"/>
      <c r="PJ62" s="13"/>
      <c r="PK62" s="13"/>
      <c r="PL62" s="13"/>
      <c r="PM62" s="13"/>
      <c r="PN62" s="13"/>
      <c r="PO62" s="13"/>
      <c r="PP62" s="13"/>
      <c r="PQ62" s="13"/>
      <c r="PR62" s="13"/>
      <c r="PS62" s="13"/>
      <c r="PT62" s="13"/>
      <c r="PU62" s="13"/>
      <c r="PV62" s="13"/>
      <c r="PW62" s="13"/>
      <c r="PX62" s="13"/>
      <c r="PY62" s="13"/>
      <c r="PZ62" s="13"/>
      <c r="QA62" s="13"/>
    </row>
    <row r="63" spans="2:443" x14ac:dyDescent="0.3">
      <c r="B63" s="15"/>
      <c r="C63" s="15"/>
      <c r="D63" s="15"/>
      <c r="E63" s="15"/>
      <c r="F63" s="31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6"/>
      <c r="R63" s="17" t="str">
        <f t="shared" si="1"/>
        <v/>
      </c>
      <c r="S63" s="17" t="str">
        <f t="shared" si="2"/>
        <v/>
      </c>
      <c r="T63" s="18" t="str">
        <f t="shared" si="3"/>
        <v/>
      </c>
      <c r="V63" s="19" t="str">
        <f t="shared" si="5"/>
        <v/>
      </c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  <c r="JP63" s="13"/>
      <c r="JQ63" s="13"/>
      <c r="JR63" s="13"/>
      <c r="JS63" s="13"/>
      <c r="JT63" s="13"/>
      <c r="JU63" s="13"/>
      <c r="JV63" s="13"/>
      <c r="JW63" s="13"/>
      <c r="JX63" s="13"/>
      <c r="JY63" s="13"/>
      <c r="JZ63" s="13"/>
      <c r="KA63" s="13"/>
      <c r="KB63" s="13"/>
      <c r="KC63" s="13"/>
      <c r="KD63" s="13"/>
      <c r="KE63" s="13"/>
      <c r="KF63" s="13"/>
      <c r="KG63" s="13"/>
      <c r="KH63" s="13"/>
      <c r="KI63" s="13"/>
      <c r="KJ63" s="13"/>
      <c r="KK63" s="13"/>
      <c r="KL63" s="13"/>
      <c r="KM63" s="13"/>
      <c r="KN63" s="13"/>
      <c r="KO63" s="13"/>
      <c r="KP63" s="13"/>
      <c r="KQ63" s="13"/>
      <c r="KR63" s="13"/>
      <c r="KS63" s="13"/>
      <c r="KT63" s="13"/>
      <c r="KU63" s="13"/>
      <c r="KV63" s="13"/>
      <c r="KW63" s="13"/>
      <c r="KX63" s="13"/>
      <c r="KY63" s="13"/>
      <c r="KZ63" s="13"/>
      <c r="LA63" s="13"/>
      <c r="LB63" s="13"/>
      <c r="LC63" s="13"/>
      <c r="LD63" s="13"/>
      <c r="LE63" s="13"/>
      <c r="LF63" s="13"/>
      <c r="LG63" s="13"/>
      <c r="LH63" s="13"/>
      <c r="LI63" s="13"/>
      <c r="LJ63" s="13"/>
      <c r="LK63" s="13"/>
      <c r="LL63" s="13"/>
      <c r="LM63" s="13"/>
      <c r="LN63" s="13"/>
      <c r="LO63" s="13"/>
      <c r="LP63" s="13"/>
      <c r="LQ63" s="13"/>
      <c r="LR63" s="13"/>
      <c r="LS63" s="13"/>
      <c r="LT63" s="13"/>
      <c r="LU63" s="13"/>
      <c r="LV63" s="13"/>
      <c r="LW63" s="13"/>
      <c r="LX63" s="13"/>
      <c r="LY63" s="13"/>
      <c r="LZ63" s="13"/>
      <c r="MA63" s="13"/>
      <c r="MB63" s="13"/>
      <c r="MC63" s="13"/>
      <c r="MD63" s="13"/>
      <c r="ME63" s="13"/>
      <c r="MF63" s="13"/>
      <c r="MG63" s="13"/>
      <c r="MH63" s="13"/>
      <c r="MI63" s="13"/>
      <c r="MJ63" s="13"/>
      <c r="MK63" s="13"/>
      <c r="ML63" s="13"/>
      <c r="MM63" s="13"/>
      <c r="MN63" s="13"/>
      <c r="MO63" s="13"/>
      <c r="MP63" s="13"/>
      <c r="MQ63" s="13"/>
      <c r="MR63" s="13"/>
      <c r="MS63" s="13"/>
      <c r="MT63" s="13"/>
      <c r="MU63" s="13"/>
      <c r="MV63" s="13"/>
      <c r="MW63" s="13"/>
      <c r="MX63" s="13"/>
      <c r="MY63" s="13"/>
      <c r="MZ63" s="13"/>
      <c r="NA63" s="13"/>
      <c r="NB63" s="13"/>
      <c r="NC63" s="13"/>
      <c r="ND63" s="13"/>
      <c r="NE63" s="13"/>
      <c r="NF63" s="13"/>
      <c r="NG63" s="13"/>
      <c r="NH63" s="13"/>
      <c r="NI63" s="13"/>
      <c r="NJ63" s="13"/>
      <c r="NK63" s="13"/>
      <c r="NL63" s="13"/>
      <c r="NM63" s="13"/>
      <c r="NN63" s="13"/>
      <c r="NO63" s="13"/>
      <c r="NP63" s="13"/>
      <c r="NQ63" s="13"/>
      <c r="NR63" s="13"/>
      <c r="NS63" s="13"/>
      <c r="NT63" s="13"/>
      <c r="NU63" s="13"/>
      <c r="NV63" s="13"/>
      <c r="NW63" s="13"/>
      <c r="NX63" s="13"/>
      <c r="NY63" s="13"/>
      <c r="NZ63" s="13"/>
      <c r="OA63" s="13"/>
      <c r="OB63" s="13"/>
      <c r="OC63" s="13"/>
      <c r="OD63" s="13"/>
      <c r="OE63" s="13"/>
      <c r="OF63" s="13"/>
      <c r="OG63" s="13"/>
      <c r="OH63" s="13"/>
      <c r="OI63" s="13"/>
      <c r="OJ63" s="13"/>
      <c r="OK63" s="13"/>
      <c r="OL63" s="13"/>
      <c r="OM63" s="13"/>
      <c r="ON63" s="13"/>
      <c r="OO63" s="13"/>
      <c r="OP63" s="13"/>
      <c r="OQ63" s="13"/>
      <c r="OR63" s="13"/>
      <c r="OS63" s="13"/>
      <c r="OT63" s="13"/>
      <c r="OU63" s="13"/>
      <c r="OV63" s="13"/>
      <c r="OW63" s="13"/>
      <c r="OX63" s="13"/>
      <c r="OY63" s="13"/>
      <c r="OZ63" s="13"/>
      <c r="PA63" s="13"/>
      <c r="PB63" s="13"/>
      <c r="PC63" s="13"/>
      <c r="PD63" s="13"/>
      <c r="PE63" s="13"/>
      <c r="PF63" s="13"/>
      <c r="PG63" s="13"/>
      <c r="PH63" s="13"/>
      <c r="PI63" s="13"/>
      <c r="PJ63" s="13"/>
      <c r="PK63" s="13"/>
      <c r="PL63" s="13"/>
      <c r="PM63" s="13"/>
      <c r="PN63" s="13"/>
      <c r="PO63" s="13"/>
      <c r="PP63" s="13"/>
      <c r="PQ63" s="13"/>
      <c r="PR63" s="13"/>
      <c r="PS63" s="13"/>
      <c r="PT63" s="13"/>
      <c r="PU63" s="13"/>
      <c r="PV63" s="13"/>
      <c r="PW63" s="13"/>
      <c r="PX63" s="13"/>
      <c r="PY63" s="13"/>
      <c r="PZ63" s="13"/>
      <c r="QA63" s="13"/>
    </row>
    <row r="64" spans="2:443" x14ac:dyDescent="0.3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6"/>
      <c r="R64" s="17" t="str">
        <f t="shared" si="1"/>
        <v/>
      </c>
      <c r="S64" s="17" t="str">
        <f t="shared" si="2"/>
        <v/>
      </c>
      <c r="T64" s="18" t="str">
        <f t="shared" si="3"/>
        <v/>
      </c>
      <c r="U64" s="15"/>
      <c r="V64" s="19" t="str">
        <f t="shared" si="5"/>
        <v/>
      </c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  <c r="JP64" s="13"/>
      <c r="JQ64" s="13"/>
      <c r="JR64" s="13"/>
      <c r="JS64" s="13"/>
      <c r="JT64" s="13"/>
      <c r="JU64" s="13"/>
      <c r="JV64" s="13"/>
      <c r="JW64" s="13"/>
      <c r="JX64" s="13"/>
      <c r="JY64" s="13"/>
      <c r="JZ64" s="13"/>
      <c r="KA64" s="13"/>
      <c r="KB64" s="13"/>
      <c r="KC64" s="13"/>
      <c r="KD64" s="13"/>
      <c r="KE64" s="13"/>
      <c r="KF64" s="13"/>
      <c r="KG64" s="13"/>
      <c r="KH64" s="13"/>
      <c r="KI64" s="13"/>
      <c r="KJ64" s="13"/>
      <c r="KK64" s="13"/>
      <c r="KL64" s="13"/>
      <c r="KM64" s="13"/>
      <c r="KN64" s="13"/>
      <c r="KO64" s="13"/>
      <c r="KP64" s="13"/>
      <c r="KQ64" s="13"/>
      <c r="KR64" s="13"/>
      <c r="KS64" s="13"/>
      <c r="KT64" s="13"/>
      <c r="KU64" s="13"/>
      <c r="KV64" s="13"/>
      <c r="KW64" s="13"/>
      <c r="KX64" s="13"/>
      <c r="KY64" s="13"/>
      <c r="KZ64" s="13"/>
      <c r="LA64" s="13"/>
      <c r="LB64" s="13"/>
      <c r="LC64" s="13"/>
      <c r="LD64" s="13"/>
      <c r="LE64" s="13"/>
      <c r="LF64" s="13"/>
      <c r="LG64" s="13"/>
      <c r="LH64" s="13"/>
      <c r="LI64" s="13"/>
      <c r="LJ64" s="13"/>
      <c r="LK64" s="13"/>
      <c r="LL64" s="13"/>
      <c r="LM64" s="13"/>
      <c r="LN64" s="13"/>
      <c r="LO64" s="13"/>
      <c r="LP64" s="13"/>
      <c r="LQ64" s="13"/>
      <c r="LR64" s="13"/>
      <c r="LS64" s="13"/>
      <c r="LT64" s="13"/>
      <c r="LU64" s="13"/>
      <c r="LV64" s="13"/>
      <c r="LW64" s="13"/>
      <c r="LX64" s="13"/>
      <c r="LY64" s="13"/>
      <c r="LZ64" s="13"/>
      <c r="MA64" s="13"/>
      <c r="MB64" s="13"/>
      <c r="MC64" s="13"/>
      <c r="MD64" s="13"/>
      <c r="ME64" s="13"/>
      <c r="MF64" s="13"/>
      <c r="MG64" s="13"/>
      <c r="MH64" s="13"/>
      <c r="MI64" s="13"/>
      <c r="MJ64" s="13"/>
      <c r="MK64" s="13"/>
      <c r="ML64" s="13"/>
      <c r="MM64" s="13"/>
      <c r="MN64" s="13"/>
      <c r="MO64" s="13"/>
      <c r="MP64" s="13"/>
      <c r="MQ64" s="13"/>
      <c r="MR64" s="13"/>
      <c r="MS64" s="13"/>
      <c r="MT64" s="13"/>
      <c r="MU64" s="13"/>
      <c r="MV64" s="13"/>
      <c r="MW64" s="13"/>
      <c r="MX64" s="13"/>
      <c r="MY64" s="13"/>
      <c r="MZ64" s="13"/>
      <c r="NA64" s="13"/>
      <c r="NB64" s="13"/>
      <c r="NC64" s="13"/>
      <c r="ND64" s="13"/>
      <c r="NE64" s="13"/>
      <c r="NF64" s="13"/>
      <c r="NG64" s="13"/>
      <c r="NH64" s="13"/>
      <c r="NI64" s="13"/>
      <c r="NJ64" s="13"/>
      <c r="NK64" s="13"/>
      <c r="NL64" s="13"/>
      <c r="NM64" s="13"/>
      <c r="NN64" s="13"/>
      <c r="NO64" s="13"/>
      <c r="NP64" s="13"/>
      <c r="NQ64" s="13"/>
      <c r="NR64" s="13"/>
      <c r="NS64" s="13"/>
      <c r="NT64" s="13"/>
      <c r="NU64" s="13"/>
      <c r="NV64" s="13"/>
      <c r="NW64" s="13"/>
      <c r="NX64" s="13"/>
      <c r="NY64" s="13"/>
      <c r="NZ64" s="13"/>
      <c r="OA64" s="13"/>
      <c r="OB64" s="13"/>
      <c r="OC64" s="13"/>
      <c r="OD64" s="13"/>
      <c r="OE64" s="13"/>
      <c r="OF64" s="13"/>
      <c r="OG64" s="13"/>
      <c r="OH64" s="13"/>
      <c r="OI64" s="13"/>
      <c r="OJ64" s="13"/>
      <c r="OK64" s="13"/>
      <c r="OL64" s="13"/>
      <c r="OM64" s="13"/>
      <c r="ON64" s="13"/>
      <c r="OO64" s="13"/>
      <c r="OP64" s="13"/>
      <c r="OQ64" s="13"/>
      <c r="OR64" s="13"/>
      <c r="OS64" s="13"/>
      <c r="OT64" s="13"/>
      <c r="OU64" s="13"/>
      <c r="OV64" s="13"/>
      <c r="OW64" s="13"/>
      <c r="OX64" s="13"/>
      <c r="OY64" s="13"/>
      <c r="OZ64" s="13"/>
      <c r="PA64" s="13"/>
      <c r="PB64" s="13"/>
      <c r="PC64" s="13"/>
      <c r="PD64" s="13"/>
      <c r="PE64" s="13"/>
      <c r="PF64" s="13"/>
      <c r="PG64" s="13"/>
      <c r="PH64" s="13"/>
      <c r="PI64" s="13"/>
      <c r="PJ64" s="13"/>
      <c r="PK64" s="13"/>
      <c r="PL64" s="13"/>
      <c r="PM64" s="13"/>
      <c r="PN64" s="13"/>
      <c r="PO64" s="13"/>
      <c r="PP64" s="13"/>
      <c r="PQ64" s="13"/>
      <c r="PR64" s="13"/>
      <c r="PS64" s="13"/>
      <c r="PT64" s="13"/>
      <c r="PU64" s="13"/>
      <c r="PV64" s="13"/>
      <c r="PW64" s="13"/>
      <c r="PX64" s="13"/>
      <c r="PY64" s="13"/>
      <c r="PZ64" s="13"/>
      <c r="QA64" s="13"/>
    </row>
    <row r="65" spans="1:443" x14ac:dyDescent="0.3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6"/>
      <c r="R65" s="17" t="str">
        <f t="shared" si="1"/>
        <v/>
      </c>
      <c r="S65" s="17" t="str">
        <f t="shared" si="2"/>
        <v/>
      </c>
      <c r="T65" s="18" t="str">
        <f t="shared" si="3"/>
        <v/>
      </c>
      <c r="U65" s="15"/>
      <c r="V65" s="19" t="str">
        <f t="shared" si="5"/>
        <v/>
      </c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  <c r="JP65" s="13"/>
      <c r="JQ65" s="13"/>
      <c r="JR65" s="13"/>
      <c r="JS65" s="13"/>
      <c r="JT65" s="13"/>
      <c r="JU65" s="13"/>
      <c r="JV65" s="13"/>
      <c r="JW65" s="13"/>
      <c r="JX65" s="13"/>
      <c r="JY65" s="13"/>
      <c r="JZ65" s="13"/>
      <c r="KA65" s="13"/>
      <c r="KB65" s="13"/>
      <c r="KC65" s="13"/>
      <c r="KD65" s="13"/>
      <c r="KE65" s="13"/>
      <c r="KF65" s="13"/>
      <c r="KG65" s="13"/>
      <c r="KH65" s="13"/>
      <c r="KI65" s="13"/>
      <c r="KJ65" s="13"/>
      <c r="KK65" s="13"/>
      <c r="KL65" s="13"/>
      <c r="KM65" s="13"/>
      <c r="KN65" s="13"/>
      <c r="KO65" s="13"/>
      <c r="KP65" s="13"/>
      <c r="KQ65" s="13"/>
      <c r="KR65" s="13"/>
      <c r="KS65" s="13"/>
      <c r="KT65" s="13"/>
      <c r="KU65" s="13"/>
      <c r="KV65" s="13"/>
      <c r="KW65" s="13"/>
      <c r="KX65" s="13"/>
      <c r="KY65" s="13"/>
      <c r="KZ65" s="13"/>
      <c r="LA65" s="13"/>
      <c r="LB65" s="13"/>
      <c r="LC65" s="13"/>
      <c r="LD65" s="13"/>
      <c r="LE65" s="13"/>
      <c r="LF65" s="13"/>
      <c r="LG65" s="13"/>
      <c r="LH65" s="13"/>
      <c r="LI65" s="13"/>
      <c r="LJ65" s="13"/>
      <c r="LK65" s="13"/>
      <c r="LL65" s="13"/>
      <c r="LM65" s="13"/>
      <c r="LN65" s="13"/>
      <c r="LO65" s="13"/>
      <c r="LP65" s="13"/>
      <c r="LQ65" s="13"/>
      <c r="LR65" s="13"/>
      <c r="LS65" s="13"/>
      <c r="LT65" s="13"/>
      <c r="LU65" s="13"/>
      <c r="LV65" s="13"/>
      <c r="LW65" s="13"/>
      <c r="LX65" s="13"/>
      <c r="LY65" s="13"/>
      <c r="LZ65" s="13"/>
      <c r="MA65" s="13"/>
      <c r="MB65" s="13"/>
      <c r="MC65" s="13"/>
      <c r="MD65" s="13"/>
      <c r="ME65" s="13"/>
      <c r="MF65" s="13"/>
      <c r="MG65" s="13"/>
      <c r="MH65" s="13"/>
      <c r="MI65" s="13"/>
      <c r="MJ65" s="13"/>
      <c r="MK65" s="13"/>
      <c r="ML65" s="13"/>
      <c r="MM65" s="13"/>
      <c r="MN65" s="13"/>
      <c r="MO65" s="13"/>
      <c r="MP65" s="13"/>
      <c r="MQ65" s="13"/>
      <c r="MR65" s="13"/>
      <c r="MS65" s="13"/>
      <c r="MT65" s="13"/>
      <c r="MU65" s="13"/>
      <c r="MV65" s="13"/>
      <c r="MW65" s="13"/>
      <c r="MX65" s="13"/>
      <c r="MY65" s="13"/>
      <c r="MZ65" s="13"/>
      <c r="NA65" s="13"/>
      <c r="NB65" s="13"/>
      <c r="NC65" s="13"/>
      <c r="ND65" s="13"/>
      <c r="NE65" s="13"/>
      <c r="NF65" s="13"/>
      <c r="NG65" s="13"/>
      <c r="NH65" s="13"/>
      <c r="NI65" s="13"/>
      <c r="NJ65" s="13"/>
      <c r="NK65" s="13"/>
      <c r="NL65" s="13"/>
      <c r="NM65" s="13"/>
      <c r="NN65" s="13"/>
      <c r="NO65" s="13"/>
      <c r="NP65" s="13"/>
      <c r="NQ65" s="13"/>
      <c r="NR65" s="13"/>
      <c r="NS65" s="13"/>
      <c r="NT65" s="13"/>
      <c r="NU65" s="13"/>
      <c r="NV65" s="13"/>
      <c r="NW65" s="13"/>
      <c r="NX65" s="13"/>
      <c r="NY65" s="13"/>
      <c r="NZ65" s="13"/>
      <c r="OA65" s="13"/>
      <c r="OB65" s="13"/>
      <c r="OC65" s="13"/>
      <c r="OD65" s="13"/>
      <c r="OE65" s="13"/>
      <c r="OF65" s="13"/>
      <c r="OG65" s="13"/>
      <c r="OH65" s="13"/>
      <c r="OI65" s="13"/>
      <c r="OJ65" s="13"/>
      <c r="OK65" s="13"/>
      <c r="OL65" s="13"/>
      <c r="OM65" s="13"/>
      <c r="ON65" s="13"/>
      <c r="OO65" s="13"/>
      <c r="OP65" s="13"/>
      <c r="OQ65" s="13"/>
      <c r="OR65" s="13"/>
      <c r="OS65" s="13"/>
      <c r="OT65" s="13"/>
      <c r="OU65" s="13"/>
      <c r="OV65" s="13"/>
      <c r="OW65" s="13"/>
      <c r="OX65" s="13"/>
      <c r="OY65" s="13"/>
      <c r="OZ65" s="13"/>
      <c r="PA65" s="13"/>
      <c r="PB65" s="13"/>
      <c r="PC65" s="13"/>
      <c r="PD65" s="13"/>
      <c r="PE65" s="13"/>
      <c r="PF65" s="13"/>
      <c r="PG65" s="13"/>
      <c r="PH65" s="13"/>
      <c r="PI65" s="13"/>
      <c r="PJ65" s="13"/>
      <c r="PK65" s="13"/>
      <c r="PL65" s="13"/>
      <c r="PM65" s="13"/>
      <c r="PN65" s="13"/>
      <c r="PO65" s="13"/>
      <c r="PP65" s="13"/>
      <c r="PQ65" s="13"/>
      <c r="PR65" s="13"/>
      <c r="PS65" s="13"/>
      <c r="PT65" s="13"/>
      <c r="PU65" s="13"/>
      <c r="PV65" s="13"/>
      <c r="PW65" s="13"/>
      <c r="PX65" s="13"/>
      <c r="PY65" s="13"/>
      <c r="PZ65" s="13"/>
      <c r="QA65" s="13"/>
    </row>
    <row r="66" spans="1:443" x14ac:dyDescent="0.3">
      <c r="B66" s="15"/>
      <c r="C66" s="15"/>
      <c r="D66" s="15"/>
      <c r="E66" s="15"/>
      <c r="F66" s="31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6"/>
      <c r="R66" s="17" t="str">
        <f t="shared" si="1"/>
        <v/>
      </c>
      <c r="S66" s="17" t="str">
        <f t="shared" si="2"/>
        <v/>
      </c>
      <c r="T66" s="18" t="str">
        <f t="shared" si="3"/>
        <v/>
      </c>
      <c r="V66" s="19" t="str">
        <f t="shared" si="5"/>
        <v/>
      </c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  <c r="JP66" s="13"/>
      <c r="JQ66" s="13"/>
      <c r="JR66" s="13"/>
      <c r="JS66" s="13"/>
      <c r="JT66" s="13"/>
      <c r="JU66" s="13"/>
      <c r="JV66" s="13"/>
      <c r="JW66" s="13"/>
      <c r="JX66" s="13"/>
      <c r="JY66" s="13"/>
      <c r="JZ66" s="13"/>
      <c r="KA66" s="13"/>
      <c r="KB66" s="13"/>
      <c r="KC66" s="13"/>
      <c r="KD66" s="13"/>
      <c r="KE66" s="13"/>
      <c r="KF66" s="13"/>
      <c r="KG66" s="13"/>
      <c r="KH66" s="13"/>
      <c r="KI66" s="13"/>
      <c r="KJ66" s="13"/>
      <c r="KK66" s="13"/>
      <c r="KL66" s="13"/>
      <c r="KM66" s="13"/>
      <c r="KN66" s="13"/>
      <c r="KO66" s="13"/>
      <c r="KP66" s="13"/>
      <c r="KQ66" s="13"/>
      <c r="KR66" s="13"/>
      <c r="KS66" s="13"/>
      <c r="KT66" s="13"/>
      <c r="KU66" s="13"/>
      <c r="KV66" s="13"/>
      <c r="KW66" s="13"/>
      <c r="KX66" s="13"/>
      <c r="KY66" s="13"/>
      <c r="KZ66" s="13"/>
      <c r="LA66" s="13"/>
      <c r="LB66" s="13"/>
      <c r="LC66" s="13"/>
      <c r="LD66" s="13"/>
      <c r="LE66" s="13"/>
      <c r="LF66" s="13"/>
      <c r="LG66" s="13"/>
      <c r="LH66" s="13"/>
      <c r="LI66" s="13"/>
      <c r="LJ66" s="13"/>
      <c r="LK66" s="13"/>
      <c r="LL66" s="13"/>
      <c r="LM66" s="13"/>
      <c r="LN66" s="13"/>
      <c r="LO66" s="13"/>
      <c r="LP66" s="13"/>
      <c r="LQ66" s="13"/>
      <c r="LR66" s="13"/>
      <c r="LS66" s="13"/>
      <c r="LT66" s="13"/>
      <c r="LU66" s="13"/>
      <c r="LV66" s="13"/>
      <c r="LW66" s="13"/>
      <c r="LX66" s="13"/>
      <c r="LY66" s="13"/>
      <c r="LZ66" s="13"/>
      <c r="MA66" s="13"/>
      <c r="MB66" s="13"/>
      <c r="MC66" s="13"/>
      <c r="MD66" s="13"/>
      <c r="ME66" s="13"/>
      <c r="MF66" s="13"/>
      <c r="MG66" s="13"/>
      <c r="MH66" s="13"/>
      <c r="MI66" s="13"/>
      <c r="MJ66" s="13"/>
      <c r="MK66" s="13"/>
      <c r="ML66" s="13"/>
      <c r="MM66" s="13"/>
      <c r="MN66" s="13"/>
      <c r="MO66" s="13"/>
      <c r="MP66" s="13"/>
      <c r="MQ66" s="13"/>
      <c r="MR66" s="13"/>
      <c r="MS66" s="13"/>
      <c r="MT66" s="13"/>
      <c r="MU66" s="13"/>
      <c r="MV66" s="13"/>
      <c r="MW66" s="13"/>
      <c r="MX66" s="13"/>
      <c r="MY66" s="13"/>
      <c r="MZ66" s="13"/>
      <c r="NA66" s="13"/>
      <c r="NB66" s="13"/>
      <c r="NC66" s="13"/>
      <c r="ND66" s="13"/>
      <c r="NE66" s="13"/>
      <c r="NF66" s="13"/>
      <c r="NG66" s="13"/>
      <c r="NH66" s="13"/>
      <c r="NI66" s="13"/>
      <c r="NJ66" s="13"/>
      <c r="NK66" s="13"/>
      <c r="NL66" s="13"/>
      <c r="NM66" s="13"/>
      <c r="NN66" s="13"/>
      <c r="NO66" s="13"/>
      <c r="NP66" s="13"/>
      <c r="NQ66" s="13"/>
      <c r="NR66" s="13"/>
      <c r="NS66" s="13"/>
      <c r="NT66" s="13"/>
      <c r="NU66" s="13"/>
      <c r="NV66" s="13"/>
      <c r="NW66" s="13"/>
      <c r="NX66" s="13"/>
      <c r="NY66" s="13"/>
      <c r="NZ66" s="13"/>
      <c r="OA66" s="13"/>
      <c r="OB66" s="13"/>
      <c r="OC66" s="13"/>
      <c r="OD66" s="13"/>
      <c r="OE66" s="13"/>
      <c r="OF66" s="13"/>
      <c r="OG66" s="13"/>
      <c r="OH66" s="13"/>
      <c r="OI66" s="13"/>
      <c r="OJ66" s="13"/>
      <c r="OK66" s="13"/>
      <c r="OL66" s="13"/>
      <c r="OM66" s="13"/>
      <c r="ON66" s="13"/>
      <c r="OO66" s="13"/>
      <c r="OP66" s="13"/>
      <c r="OQ66" s="13"/>
      <c r="OR66" s="13"/>
      <c r="OS66" s="13"/>
      <c r="OT66" s="13"/>
      <c r="OU66" s="13"/>
      <c r="OV66" s="13"/>
      <c r="OW66" s="13"/>
      <c r="OX66" s="13"/>
      <c r="OY66" s="13"/>
      <c r="OZ66" s="13"/>
      <c r="PA66" s="13"/>
      <c r="PB66" s="13"/>
      <c r="PC66" s="13"/>
      <c r="PD66" s="13"/>
      <c r="PE66" s="13"/>
      <c r="PF66" s="13"/>
      <c r="PG66" s="13"/>
      <c r="PH66" s="13"/>
      <c r="PI66" s="13"/>
      <c r="PJ66" s="13"/>
      <c r="PK66" s="13"/>
      <c r="PL66" s="13"/>
      <c r="PM66" s="13"/>
      <c r="PN66" s="13"/>
      <c r="PO66" s="13"/>
      <c r="PP66" s="13"/>
      <c r="PQ66" s="13"/>
      <c r="PR66" s="13"/>
      <c r="PS66" s="13"/>
      <c r="PT66" s="13"/>
      <c r="PU66" s="13"/>
      <c r="PV66" s="13"/>
      <c r="PW66" s="13"/>
      <c r="PX66" s="13"/>
      <c r="PY66" s="13"/>
      <c r="PZ66" s="13"/>
      <c r="QA66" s="13"/>
    </row>
    <row r="67" spans="1:443" x14ac:dyDescent="0.3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6"/>
      <c r="R67" s="17" t="str">
        <f t="shared" si="1"/>
        <v/>
      </c>
      <c r="S67" s="17" t="str">
        <f t="shared" si="2"/>
        <v/>
      </c>
      <c r="T67" s="18" t="str">
        <f t="shared" si="3"/>
        <v/>
      </c>
      <c r="U67" s="15"/>
      <c r="V67" s="19" t="str">
        <f t="shared" si="5"/>
        <v/>
      </c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  <c r="JP67" s="13"/>
      <c r="JQ67" s="13"/>
      <c r="JR67" s="13"/>
      <c r="JS67" s="13"/>
      <c r="JT67" s="13"/>
      <c r="JU67" s="13"/>
      <c r="JV67" s="13"/>
      <c r="JW67" s="13"/>
      <c r="JX67" s="13"/>
      <c r="JY67" s="13"/>
      <c r="JZ67" s="13"/>
      <c r="KA67" s="13"/>
      <c r="KB67" s="13"/>
      <c r="KC67" s="13"/>
      <c r="KD67" s="13"/>
      <c r="KE67" s="13"/>
      <c r="KF67" s="13"/>
      <c r="KG67" s="13"/>
      <c r="KH67" s="13"/>
      <c r="KI67" s="13"/>
      <c r="KJ67" s="13"/>
      <c r="KK67" s="13"/>
      <c r="KL67" s="13"/>
      <c r="KM67" s="13"/>
      <c r="KN67" s="13"/>
      <c r="KO67" s="13"/>
      <c r="KP67" s="13"/>
      <c r="KQ67" s="13"/>
      <c r="KR67" s="13"/>
      <c r="KS67" s="13"/>
      <c r="KT67" s="13"/>
      <c r="KU67" s="13"/>
      <c r="KV67" s="13"/>
      <c r="KW67" s="13"/>
      <c r="KX67" s="13"/>
      <c r="KY67" s="13"/>
      <c r="KZ67" s="13"/>
      <c r="LA67" s="13"/>
      <c r="LB67" s="13"/>
      <c r="LC67" s="13"/>
      <c r="LD67" s="13"/>
      <c r="LE67" s="13"/>
      <c r="LF67" s="13"/>
      <c r="LG67" s="13"/>
      <c r="LH67" s="13"/>
      <c r="LI67" s="13"/>
      <c r="LJ67" s="13"/>
      <c r="LK67" s="13"/>
      <c r="LL67" s="13"/>
      <c r="LM67" s="13"/>
      <c r="LN67" s="13"/>
      <c r="LO67" s="13"/>
      <c r="LP67" s="13"/>
      <c r="LQ67" s="13"/>
      <c r="LR67" s="13"/>
      <c r="LS67" s="13"/>
      <c r="LT67" s="13"/>
      <c r="LU67" s="13"/>
      <c r="LV67" s="13"/>
      <c r="LW67" s="13"/>
      <c r="LX67" s="13"/>
      <c r="LY67" s="13"/>
      <c r="LZ67" s="13"/>
      <c r="MA67" s="13"/>
      <c r="MB67" s="13"/>
      <c r="MC67" s="13"/>
      <c r="MD67" s="13"/>
      <c r="ME67" s="13"/>
      <c r="MF67" s="13"/>
      <c r="MG67" s="13"/>
      <c r="MH67" s="13"/>
      <c r="MI67" s="13"/>
      <c r="MJ67" s="13"/>
      <c r="MK67" s="13"/>
      <c r="ML67" s="13"/>
      <c r="MM67" s="13"/>
      <c r="MN67" s="13"/>
      <c r="MO67" s="13"/>
      <c r="MP67" s="13"/>
      <c r="MQ67" s="13"/>
      <c r="MR67" s="13"/>
      <c r="MS67" s="13"/>
      <c r="MT67" s="13"/>
      <c r="MU67" s="13"/>
      <c r="MV67" s="13"/>
      <c r="MW67" s="13"/>
      <c r="MX67" s="13"/>
      <c r="MY67" s="13"/>
      <c r="MZ67" s="13"/>
      <c r="NA67" s="13"/>
      <c r="NB67" s="13"/>
      <c r="NC67" s="13"/>
      <c r="ND67" s="13"/>
      <c r="NE67" s="13"/>
      <c r="NF67" s="13"/>
      <c r="NG67" s="13"/>
      <c r="NH67" s="13"/>
      <c r="NI67" s="13"/>
      <c r="NJ67" s="13"/>
      <c r="NK67" s="13"/>
      <c r="NL67" s="13"/>
      <c r="NM67" s="13"/>
      <c r="NN67" s="13"/>
      <c r="NO67" s="13"/>
      <c r="NP67" s="13"/>
      <c r="NQ67" s="13"/>
      <c r="NR67" s="13"/>
      <c r="NS67" s="13"/>
      <c r="NT67" s="13"/>
      <c r="NU67" s="13"/>
      <c r="NV67" s="13"/>
      <c r="NW67" s="13"/>
      <c r="NX67" s="13"/>
      <c r="NY67" s="13"/>
      <c r="NZ67" s="13"/>
      <c r="OA67" s="13"/>
      <c r="OB67" s="13"/>
      <c r="OC67" s="13"/>
      <c r="OD67" s="13"/>
      <c r="OE67" s="13"/>
      <c r="OF67" s="13"/>
      <c r="OG67" s="13"/>
      <c r="OH67" s="13"/>
      <c r="OI67" s="13"/>
      <c r="OJ67" s="13"/>
      <c r="OK67" s="13"/>
      <c r="OL67" s="13"/>
      <c r="OM67" s="13"/>
      <c r="ON67" s="13"/>
      <c r="OO67" s="13"/>
      <c r="OP67" s="13"/>
      <c r="OQ67" s="13"/>
      <c r="OR67" s="13"/>
      <c r="OS67" s="13"/>
      <c r="OT67" s="13"/>
      <c r="OU67" s="13"/>
      <c r="OV67" s="13"/>
      <c r="OW67" s="13"/>
      <c r="OX67" s="13"/>
      <c r="OY67" s="13"/>
      <c r="OZ67" s="13"/>
      <c r="PA67" s="13"/>
      <c r="PB67" s="13"/>
      <c r="PC67" s="13"/>
      <c r="PD67" s="13"/>
      <c r="PE67" s="13"/>
      <c r="PF67" s="13"/>
      <c r="PG67" s="13"/>
      <c r="PH67" s="13"/>
      <c r="PI67" s="13"/>
      <c r="PJ67" s="13"/>
      <c r="PK67" s="13"/>
      <c r="PL67" s="13"/>
      <c r="PM67" s="13"/>
      <c r="PN67" s="13"/>
      <c r="PO67" s="13"/>
      <c r="PP67" s="13"/>
      <c r="PQ67" s="13"/>
      <c r="PR67" s="13"/>
      <c r="PS67" s="13"/>
      <c r="PT67" s="13"/>
      <c r="PU67" s="13"/>
      <c r="PV67" s="13"/>
      <c r="PW67" s="13"/>
      <c r="PX67" s="13"/>
      <c r="PY67" s="13"/>
      <c r="PZ67" s="13"/>
      <c r="QA67" s="13"/>
    </row>
    <row r="68" spans="1:443" x14ac:dyDescent="0.3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6"/>
      <c r="R68" s="17" t="str">
        <f t="shared" ref="R68:R131" si="6">IF(AND(ISBLANK(D68),ISBLANK(E68),ISBLANK(F68),ISBLANK(G68),ISBLANK(H68),ISBLANK(I68), ISBLANK(J68), ISBLANK(K68), ISBLANK(L68), ISBLANK(M68), ISBLANK(N68), ISBLANK(O68), ISBLANK(P68), ISBLANK(Q68)),"",SUM(E68:P68))</f>
        <v/>
      </c>
      <c r="S68" s="17" t="str">
        <f t="shared" ref="S68:S131" si="7">IF(U68&lt;&gt;0,0,IF(AND(ISBLANK(D68),ISBLANK(E68),ISBLANK(F68),ISBLANK(G68),ISBLANK(H68),ISBLANK(I68), ISBLANK(J68), ISBLANK(K68), ISBLANK(L68), ISBLANK(M68), ISBLANK(N68), ISBLANK(O68), ISBLANK(P68), ISBLANK(Q68)),"", (D68+E68)-R68))</f>
        <v/>
      </c>
      <c r="T68" s="18" t="str">
        <f t="shared" ref="T68:T131" si="8">IF(U68&lt;&gt;0,1,IF(AND(ISBLANK(D68),ISBLANK(E68),ISBLANK(F68),ISBLANK(G68),ISBLANK(H68),ISBLANK(I68),ISBLANK(J68),ISBLANK(K68),ISBLANK(L68),ISBLANK(M68),ISBLANK(N68),ISBLANK(O68),ISBLANK(P68),ISBLANK(Q68)),"",IFERROR((D68-S68)/D68,"")))</f>
        <v/>
      </c>
      <c r="U68" s="15"/>
      <c r="V68" s="19" t="str">
        <f t="shared" ref="V68:V99" si="9">IF(U68&lt;&gt;"",D68 - (SUM(E68:Q68)),"")</f>
        <v/>
      </c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  <c r="JP68" s="13"/>
      <c r="JQ68" s="13"/>
      <c r="JR68" s="13"/>
      <c r="JS68" s="13"/>
      <c r="JT68" s="13"/>
      <c r="JU68" s="13"/>
      <c r="JV68" s="13"/>
      <c r="JW68" s="13"/>
      <c r="JX68" s="13"/>
      <c r="JY68" s="13"/>
      <c r="JZ68" s="13"/>
      <c r="KA68" s="13"/>
      <c r="KB68" s="13"/>
      <c r="KC68" s="13"/>
      <c r="KD68" s="13"/>
      <c r="KE68" s="13"/>
      <c r="KF68" s="13"/>
      <c r="KG68" s="13"/>
      <c r="KH68" s="13"/>
      <c r="KI68" s="13"/>
      <c r="KJ68" s="13"/>
      <c r="KK68" s="13"/>
      <c r="KL68" s="13"/>
      <c r="KM68" s="13"/>
      <c r="KN68" s="13"/>
      <c r="KO68" s="13"/>
      <c r="KP68" s="13"/>
      <c r="KQ68" s="13"/>
      <c r="KR68" s="13"/>
      <c r="KS68" s="13"/>
      <c r="KT68" s="13"/>
      <c r="KU68" s="13"/>
      <c r="KV68" s="13"/>
      <c r="KW68" s="13"/>
      <c r="KX68" s="13"/>
      <c r="KY68" s="13"/>
      <c r="KZ68" s="13"/>
      <c r="LA68" s="13"/>
      <c r="LB68" s="13"/>
      <c r="LC68" s="13"/>
      <c r="LD68" s="13"/>
      <c r="LE68" s="13"/>
      <c r="LF68" s="13"/>
      <c r="LG68" s="13"/>
      <c r="LH68" s="13"/>
      <c r="LI68" s="13"/>
      <c r="LJ68" s="13"/>
      <c r="LK68" s="13"/>
      <c r="LL68" s="13"/>
      <c r="LM68" s="13"/>
      <c r="LN68" s="13"/>
      <c r="LO68" s="13"/>
      <c r="LP68" s="13"/>
      <c r="LQ68" s="13"/>
      <c r="LR68" s="13"/>
      <c r="LS68" s="13"/>
      <c r="LT68" s="13"/>
      <c r="LU68" s="13"/>
      <c r="LV68" s="13"/>
      <c r="LW68" s="13"/>
      <c r="LX68" s="13"/>
      <c r="LY68" s="13"/>
      <c r="LZ68" s="13"/>
      <c r="MA68" s="13"/>
      <c r="MB68" s="13"/>
      <c r="MC68" s="13"/>
      <c r="MD68" s="13"/>
      <c r="ME68" s="13"/>
      <c r="MF68" s="13"/>
      <c r="MG68" s="13"/>
      <c r="MH68" s="13"/>
      <c r="MI68" s="13"/>
      <c r="MJ68" s="13"/>
      <c r="MK68" s="13"/>
      <c r="ML68" s="13"/>
      <c r="MM68" s="13"/>
      <c r="MN68" s="13"/>
      <c r="MO68" s="13"/>
      <c r="MP68" s="13"/>
      <c r="MQ68" s="13"/>
      <c r="MR68" s="13"/>
      <c r="MS68" s="13"/>
      <c r="MT68" s="13"/>
      <c r="MU68" s="13"/>
      <c r="MV68" s="13"/>
      <c r="MW68" s="13"/>
      <c r="MX68" s="13"/>
      <c r="MY68" s="13"/>
      <c r="MZ68" s="13"/>
      <c r="NA68" s="13"/>
      <c r="NB68" s="13"/>
      <c r="NC68" s="13"/>
      <c r="ND68" s="13"/>
      <c r="NE68" s="13"/>
      <c r="NF68" s="13"/>
      <c r="NG68" s="13"/>
      <c r="NH68" s="13"/>
      <c r="NI68" s="13"/>
      <c r="NJ68" s="13"/>
      <c r="NK68" s="13"/>
      <c r="NL68" s="13"/>
      <c r="NM68" s="13"/>
      <c r="NN68" s="13"/>
      <c r="NO68" s="13"/>
      <c r="NP68" s="13"/>
      <c r="NQ68" s="13"/>
      <c r="NR68" s="13"/>
      <c r="NS68" s="13"/>
      <c r="NT68" s="13"/>
      <c r="NU68" s="13"/>
      <c r="NV68" s="13"/>
      <c r="NW68" s="13"/>
      <c r="NX68" s="13"/>
      <c r="NY68" s="13"/>
      <c r="NZ68" s="13"/>
      <c r="OA68" s="13"/>
      <c r="OB68" s="13"/>
      <c r="OC68" s="13"/>
      <c r="OD68" s="13"/>
      <c r="OE68" s="13"/>
      <c r="OF68" s="13"/>
      <c r="OG68" s="13"/>
      <c r="OH68" s="13"/>
      <c r="OI68" s="13"/>
      <c r="OJ68" s="13"/>
      <c r="OK68" s="13"/>
      <c r="OL68" s="13"/>
      <c r="OM68" s="13"/>
      <c r="ON68" s="13"/>
      <c r="OO68" s="13"/>
      <c r="OP68" s="13"/>
      <c r="OQ68" s="13"/>
      <c r="OR68" s="13"/>
      <c r="OS68" s="13"/>
      <c r="OT68" s="13"/>
      <c r="OU68" s="13"/>
      <c r="OV68" s="13"/>
      <c r="OW68" s="13"/>
      <c r="OX68" s="13"/>
      <c r="OY68" s="13"/>
      <c r="OZ68" s="13"/>
      <c r="PA68" s="13"/>
      <c r="PB68" s="13"/>
      <c r="PC68" s="13"/>
      <c r="PD68" s="13"/>
      <c r="PE68" s="13"/>
      <c r="PF68" s="13"/>
      <c r="PG68" s="13"/>
      <c r="PH68" s="13"/>
      <c r="PI68" s="13"/>
      <c r="PJ68" s="13"/>
      <c r="PK68" s="13"/>
      <c r="PL68" s="13"/>
      <c r="PM68" s="13"/>
      <c r="PN68" s="13"/>
      <c r="PO68" s="13"/>
      <c r="PP68" s="13"/>
      <c r="PQ68" s="13"/>
      <c r="PR68" s="13"/>
      <c r="PS68" s="13"/>
      <c r="PT68" s="13"/>
      <c r="PU68" s="13"/>
      <c r="PV68" s="13"/>
      <c r="PW68" s="13"/>
      <c r="PX68" s="13"/>
      <c r="PY68" s="13"/>
      <c r="PZ68" s="13"/>
      <c r="QA68" s="13"/>
    </row>
    <row r="69" spans="1:443" x14ac:dyDescent="0.3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6"/>
      <c r="R69" s="17" t="str">
        <f t="shared" si="6"/>
        <v/>
      </c>
      <c r="S69" s="17" t="str">
        <f t="shared" si="7"/>
        <v/>
      </c>
      <c r="T69" s="18" t="str">
        <f t="shared" si="8"/>
        <v/>
      </c>
      <c r="U69" s="15"/>
      <c r="V69" s="19" t="str">
        <f t="shared" si="9"/>
        <v/>
      </c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  <c r="JP69" s="13"/>
      <c r="JQ69" s="13"/>
      <c r="JR69" s="13"/>
      <c r="JS69" s="13"/>
      <c r="JT69" s="13"/>
      <c r="JU69" s="13"/>
      <c r="JV69" s="13"/>
      <c r="JW69" s="13"/>
      <c r="JX69" s="13"/>
      <c r="JY69" s="13"/>
      <c r="JZ69" s="13"/>
      <c r="KA69" s="13"/>
      <c r="KB69" s="13"/>
      <c r="KC69" s="13"/>
      <c r="KD69" s="13"/>
      <c r="KE69" s="13"/>
      <c r="KF69" s="13"/>
      <c r="KG69" s="13"/>
      <c r="KH69" s="13"/>
      <c r="KI69" s="13"/>
      <c r="KJ69" s="13"/>
      <c r="KK69" s="13"/>
      <c r="KL69" s="13"/>
      <c r="KM69" s="13"/>
      <c r="KN69" s="13"/>
      <c r="KO69" s="13"/>
      <c r="KP69" s="13"/>
      <c r="KQ69" s="13"/>
      <c r="KR69" s="13"/>
      <c r="KS69" s="13"/>
      <c r="KT69" s="13"/>
      <c r="KU69" s="13"/>
      <c r="KV69" s="13"/>
      <c r="KW69" s="13"/>
      <c r="KX69" s="13"/>
      <c r="KY69" s="13"/>
      <c r="KZ69" s="13"/>
      <c r="LA69" s="13"/>
      <c r="LB69" s="13"/>
      <c r="LC69" s="13"/>
      <c r="LD69" s="13"/>
      <c r="LE69" s="13"/>
      <c r="LF69" s="13"/>
      <c r="LG69" s="13"/>
      <c r="LH69" s="13"/>
      <c r="LI69" s="13"/>
      <c r="LJ69" s="13"/>
      <c r="LK69" s="13"/>
      <c r="LL69" s="13"/>
      <c r="LM69" s="13"/>
      <c r="LN69" s="13"/>
      <c r="LO69" s="13"/>
      <c r="LP69" s="13"/>
      <c r="LQ69" s="13"/>
      <c r="LR69" s="13"/>
      <c r="LS69" s="13"/>
      <c r="LT69" s="13"/>
      <c r="LU69" s="13"/>
      <c r="LV69" s="13"/>
      <c r="LW69" s="13"/>
      <c r="LX69" s="13"/>
      <c r="LY69" s="13"/>
      <c r="LZ69" s="13"/>
      <c r="MA69" s="13"/>
      <c r="MB69" s="13"/>
      <c r="MC69" s="13"/>
      <c r="MD69" s="13"/>
      <c r="ME69" s="13"/>
      <c r="MF69" s="13"/>
      <c r="MG69" s="13"/>
      <c r="MH69" s="13"/>
      <c r="MI69" s="13"/>
      <c r="MJ69" s="13"/>
      <c r="MK69" s="13"/>
      <c r="ML69" s="13"/>
      <c r="MM69" s="13"/>
      <c r="MN69" s="13"/>
      <c r="MO69" s="13"/>
      <c r="MP69" s="13"/>
      <c r="MQ69" s="13"/>
      <c r="MR69" s="13"/>
      <c r="MS69" s="13"/>
      <c r="MT69" s="13"/>
      <c r="MU69" s="13"/>
      <c r="MV69" s="13"/>
      <c r="MW69" s="13"/>
      <c r="MX69" s="13"/>
      <c r="MY69" s="13"/>
      <c r="MZ69" s="13"/>
      <c r="NA69" s="13"/>
      <c r="NB69" s="13"/>
      <c r="NC69" s="13"/>
      <c r="ND69" s="13"/>
      <c r="NE69" s="13"/>
      <c r="NF69" s="13"/>
      <c r="NG69" s="13"/>
      <c r="NH69" s="13"/>
      <c r="NI69" s="13"/>
      <c r="NJ69" s="13"/>
      <c r="NK69" s="13"/>
      <c r="NL69" s="13"/>
      <c r="NM69" s="13"/>
      <c r="NN69" s="13"/>
      <c r="NO69" s="13"/>
      <c r="NP69" s="13"/>
      <c r="NQ69" s="13"/>
      <c r="NR69" s="13"/>
      <c r="NS69" s="13"/>
      <c r="NT69" s="13"/>
      <c r="NU69" s="13"/>
      <c r="NV69" s="13"/>
      <c r="NW69" s="13"/>
      <c r="NX69" s="13"/>
      <c r="NY69" s="13"/>
      <c r="NZ69" s="13"/>
      <c r="OA69" s="13"/>
      <c r="OB69" s="13"/>
      <c r="OC69" s="13"/>
      <c r="OD69" s="13"/>
      <c r="OE69" s="13"/>
      <c r="OF69" s="13"/>
      <c r="OG69" s="13"/>
      <c r="OH69" s="13"/>
      <c r="OI69" s="13"/>
      <c r="OJ69" s="13"/>
      <c r="OK69" s="13"/>
      <c r="OL69" s="13"/>
      <c r="OM69" s="13"/>
      <c r="ON69" s="13"/>
      <c r="OO69" s="13"/>
      <c r="OP69" s="13"/>
      <c r="OQ69" s="13"/>
      <c r="OR69" s="13"/>
      <c r="OS69" s="13"/>
      <c r="OT69" s="13"/>
      <c r="OU69" s="13"/>
      <c r="OV69" s="13"/>
      <c r="OW69" s="13"/>
      <c r="OX69" s="13"/>
      <c r="OY69" s="13"/>
      <c r="OZ69" s="13"/>
      <c r="PA69" s="13"/>
      <c r="PB69" s="13"/>
      <c r="PC69" s="13"/>
      <c r="PD69" s="13"/>
      <c r="PE69" s="13"/>
      <c r="PF69" s="13"/>
      <c r="PG69" s="13"/>
      <c r="PH69" s="13"/>
      <c r="PI69" s="13"/>
      <c r="PJ69" s="13"/>
      <c r="PK69" s="13"/>
      <c r="PL69" s="13"/>
      <c r="PM69" s="13"/>
      <c r="PN69" s="13"/>
      <c r="PO69" s="13"/>
      <c r="PP69" s="13"/>
      <c r="PQ69" s="13"/>
      <c r="PR69" s="13"/>
      <c r="PS69" s="13"/>
      <c r="PT69" s="13"/>
      <c r="PU69" s="13"/>
      <c r="PV69" s="13"/>
      <c r="PW69" s="13"/>
      <c r="PX69" s="13"/>
      <c r="PY69" s="13"/>
      <c r="PZ69" s="13"/>
      <c r="QA69" s="13"/>
    </row>
    <row r="70" spans="1:443" x14ac:dyDescent="0.3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6"/>
      <c r="R70" s="17" t="str">
        <f t="shared" si="6"/>
        <v/>
      </c>
      <c r="S70" s="17" t="str">
        <f t="shared" si="7"/>
        <v/>
      </c>
      <c r="T70" s="18" t="str">
        <f t="shared" si="8"/>
        <v/>
      </c>
      <c r="U70" s="15"/>
      <c r="V70" s="19" t="str">
        <f t="shared" si="9"/>
        <v/>
      </c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  <c r="JP70" s="13"/>
      <c r="JQ70" s="13"/>
      <c r="JR70" s="13"/>
      <c r="JS70" s="13"/>
      <c r="JT70" s="13"/>
      <c r="JU70" s="13"/>
      <c r="JV70" s="13"/>
      <c r="JW70" s="13"/>
      <c r="JX70" s="13"/>
      <c r="JY70" s="13"/>
      <c r="JZ70" s="13"/>
      <c r="KA70" s="13"/>
      <c r="KB70" s="13"/>
      <c r="KC70" s="13"/>
      <c r="KD70" s="13"/>
      <c r="KE70" s="13"/>
      <c r="KF70" s="13"/>
      <c r="KG70" s="13"/>
      <c r="KH70" s="13"/>
      <c r="KI70" s="13"/>
      <c r="KJ70" s="13"/>
      <c r="KK70" s="13"/>
      <c r="KL70" s="13"/>
      <c r="KM70" s="13"/>
      <c r="KN70" s="13"/>
      <c r="KO70" s="13"/>
      <c r="KP70" s="13"/>
      <c r="KQ70" s="13"/>
      <c r="KR70" s="13"/>
      <c r="KS70" s="13"/>
      <c r="KT70" s="13"/>
      <c r="KU70" s="13"/>
      <c r="KV70" s="13"/>
      <c r="KW70" s="13"/>
      <c r="KX70" s="13"/>
      <c r="KY70" s="13"/>
      <c r="KZ70" s="13"/>
      <c r="LA70" s="13"/>
      <c r="LB70" s="13"/>
      <c r="LC70" s="13"/>
      <c r="LD70" s="13"/>
      <c r="LE70" s="13"/>
      <c r="LF70" s="13"/>
      <c r="LG70" s="13"/>
      <c r="LH70" s="13"/>
      <c r="LI70" s="13"/>
      <c r="LJ70" s="13"/>
      <c r="LK70" s="13"/>
      <c r="LL70" s="13"/>
      <c r="LM70" s="13"/>
      <c r="LN70" s="13"/>
      <c r="LO70" s="13"/>
      <c r="LP70" s="13"/>
      <c r="LQ70" s="13"/>
      <c r="LR70" s="13"/>
      <c r="LS70" s="13"/>
      <c r="LT70" s="13"/>
      <c r="LU70" s="13"/>
      <c r="LV70" s="13"/>
      <c r="LW70" s="13"/>
      <c r="LX70" s="13"/>
      <c r="LY70" s="13"/>
      <c r="LZ70" s="13"/>
      <c r="MA70" s="13"/>
      <c r="MB70" s="13"/>
      <c r="MC70" s="13"/>
      <c r="MD70" s="13"/>
      <c r="ME70" s="13"/>
      <c r="MF70" s="13"/>
      <c r="MG70" s="13"/>
      <c r="MH70" s="13"/>
      <c r="MI70" s="13"/>
      <c r="MJ70" s="13"/>
      <c r="MK70" s="13"/>
      <c r="ML70" s="13"/>
      <c r="MM70" s="13"/>
      <c r="MN70" s="13"/>
      <c r="MO70" s="13"/>
      <c r="MP70" s="13"/>
      <c r="MQ70" s="13"/>
      <c r="MR70" s="13"/>
      <c r="MS70" s="13"/>
      <c r="MT70" s="13"/>
      <c r="MU70" s="13"/>
      <c r="MV70" s="13"/>
      <c r="MW70" s="13"/>
      <c r="MX70" s="13"/>
      <c r="MY70" s="13"/>
      <c r="MZ70" s="13"/>
      <c r="NA70" s="13"/>
      <c r="NB70" s="13"/>
      <c r="NC70" s="13"/>
      <c r="ND70" s="13"/>
      <c r="NE70" s="13"/>
      <c r="NF70" s="13"/>
      <c r="NG70" s="13"/>
      <c r="NH70" s="13"/>
      <c r="NI70" s="13"/>
      <c r="NJ70" s="13"/>
      <c r="NK70" s="13"/>
      <c r="NL70" s="13"/>
      <c r="NM70" s="13"/>
      <c r="NN70" s="13"/>
      <c r="NO70" s="13"/>
      <c r="NP70" s="13"/>
      <c r="NQ70" s="13"/>
      <c r="NR70" s="13"/>
      <c r="NS70" s="13"/>
      <c r="NT70" s="13"/>
      <c r="NU70" s="13"/>
      <c r="NV70" s="13"/>
      <c r="NW70" s="13"/>
      <c r="NX70" s="13"/>
      <c r="NY70" s="13"/>
      <c r="NZ70" s="13"/>
      <c r="OA70" s="13"/>
      <c r="OB70" s="13"/>
      <c r="OC70" s="13"/>
      <c r="OD70" s="13"/>
      <c r="OE70" s="13"/>
      <c r="OF70" s="13"/>
      <c r="OG70" s="13"/>
      <c r="OH70" s="13"/>
      <c r="OI70" s="13"/>
      <c r="OJ70" s="13"/>
      <c r="OK70" s="13"/>
      <c r="OL70" s="13"/>
      <c r="OM70" s="13"/>
      <c r="ON70" s="13"/>
      <c r="OO70" s="13"/>
      <c r="OP70" s="13"/>
      <c r="OQ70" s="13"/>
      <c r="OR70" s="13"/>
      <c r="OS70" s="13"/>
      <c r="OT70" s="13"/>
      <c r="OU70" s="13"/>
      <c r="OV70" s="13"/>
      <c r="OW70" s="13"/>
      <c r="OX70" s="13"/>
      <c r="OY70" s="13"/>
      <c r="OZ70" s="13"/>
      <c r="PA70" s="13"/>
      <c r="PB70" s="13"/>
      <c r="PC70" s="13"/>
      <c r="PD70" s="13"/>
      <c r="PE70" s="13"/>
      <c r="PF70" s="13"/>
      <c r="PG70" s="13"/>
      <c r="PH70" s="13"/>
      <c r="PI70" s="13"/>
      <c r="PJ70" s="13"/>
      <c r="PK70" s="13"/>
      <c r="PL70" s="13"/>
      <c r="PM70" s="13"/>
      <c r="PN70" s="13"/>
      <c r="PO70" s="13"/>
      <c r="PP70" s="13"/>
      <c r="PQ70" s="13"/>
      <c r="PR70" s="13"/>
      <c r="PS70" s="13"/>
      <c r="PT70" s="13"/>
      <c r="PU70" s="13"/>
      <c r="PV70" s="13"/>
      <c r="PW70" s="13"/>
      <c r="PX70" s="13"/>
      <c r="PY70" s="13"/>
      <c r="PZ70" s="13"/>
      <c r="QA70" s="13"/>
    </row>
    <row r="71" spans="1:443" x14ac:dyDescent="0.3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6"/>
      <c r="R71" s="17" t="str">
        <f t="shared" si="6"/>
        <v/>
      </c>
      <c r="S71" s="17" t="str">
        <f t="shared" si="7"/>
        <v/>
      </c>
      <c r="T71" s="18" t="str">
        <f t="shared" si="8"/>
        <v/>
      </c>
      <c r="U71" s="15"/>
      <c r="V71" s="19" t="str">
        <f t="shared" si="9"/>
        <v/>
      </c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  <c r="JP71" s="13"/>
      <c r="JQ71" s="13"/>
      <c r="JR71" s="13"/>
      <c r="JS71" s="13"/>
      <c r="JT71" s="13"/>
      <c r="JU71" s="13"/>
      <c r="JV71" s="13"/>
      <c r="JW71" s="13"/>
      <c r="JX71" s="13"/>
      <c r="JY71" s="13"/>
      <c r="JZ71" s="13"/>
      <c r="KA71" s="13"/>
      <c r="KB71" s="13"/>
      <c r="KC71" s="13"/>
      <c r="KD71" s="13"/>
      <c r="KE71" s="13"/>
      <c r="KF71" s="13"/>
      <c r="KG71" s="13"/>
      <c r="KH71" s="13"/>
      <c r="KI71" s="13"/>
      <c r="KJ71" s="13"/>
      <c r="KK71" s="13"/>
      <c r="KL71" s="13"/>
      <c r="KM71" s="13"/>
      <c r="KN71" s="13"/>
      <c r="KO71" s="13"/>
      <c r="KP71" s="13"/>
      <c r="KQ71" s="13"/>
      <c r="KR71" s="13"/>
      <c r="KS71" s="13"/>
      <c r="KT71" s="13"/>
      <c r="KU71" s="13"/>
      <c r="KV71" s="13"/>
      <c r="KW71" s="13"/>
      <c r="KX71" s="13"/>
      <c r="KY71" s="13"/>
      <c r="KZ71" s="13"/>
      <c r="LA71" s="13"/>
      <c r="LB71" s="13"/>
      <c r="LC71" s="13"/>
      <c r="LD71" s="13"/>
      <c r="LE71" s="13"/>
      <c r="LF71" s="13"/>
      <c r="LG71" s="13"/>
      <c r="LH71" s="13"/>
      <c r="LI71" s="13"/>
      <c r="LJ71" s="13"/>
      <c r="LK71" s="13"/>
      <c r="LL71" s="13"/>
      <c r="LM71" s="13"/>
      <c r="LN71" s="13"/>
      <c r="LO71" s="13"/>
      <c r="LP71" s="13"/>
      <c r="LQ71" s="13"/>
      <c r="LR71" s="13"/>
      <c r="LS71" s="13"/>
      <c r="LT71" s="13"/>
      <c r="LU71" s="13"/>
      <c r="LV71" s="13"/>
      <c r="LW71" s="13"/>
      <c r="LX71" s="13"/>
      <c r="LY71" s="13"/>
      <c r="LZ71" s="13"/>
      <c r="MA71" s="13"/>
      <c r="MB71" s="13"/>
      <c r="MC71" s="13"/>
      <c r="MD71" s="13"/>
      <c r="ME71" s="13"/>
      <c r="MF71" s="13"/>
      <c r="MG71" s="13"/>
      <c r="MH71" s="13"/>
      <c r="MI71" s="13"/>
      <c r="MJ71" s="13"/>
      <c r="MK71" s="13"/>
      <c r="ML71" s="13"/>
      <c r="MM71" s="13"/>
      <c r="MN71" s="13"/>
      <c r="MO71" s="13"/>
      <c r="MP71" s="13"/>
      <c r="MQ71" s="13"/>
      <c r="MR71" s="13"/>
      <c r="MS71" s="13"/>
      <c r="MT71" s="13"/>
      <c r="MU71" s="13"/>
      <c r="MV71" s="13"/>
      <c r="MW71" s="13"/>
      <c r="MX71" s="13"/>
      <c r="MY71" s="13"/>
      <c r="MZ71" s="13"/>
      <c r="NA71" s="13"/>
      <c r="NB71" s="13"/>
      <c r="NC71" s="13"/>
      <c r="ND71" s="13"/>
      <c r="NE71" s="13"/>
      <c r="NF71" s="13"/>
      <c r="NG71" s="13"/>
      <c r="NH71" s="13"/>
      <c r="NI71" s="13"/>
      <c r="NJ71" s="13"/>
      <c r="NK71" s="13"/>
      <c r="NL71" s="13"/>
      <c r="NM71" s="13"/>
      <c r="NN71" s="13"/>
      <c r="NO71" s="13"/>
      <c r="NP71" s="13"/>
      <c r="NQ71" s="13"/>
      <c r="NR71" s="13"/>
      <c r="NS71" s="13"/>
      <c r="NT71" s="13"/>
      <c r="NU71" s="13"/>
      <c r="NV71" s="13"/>
      <c r="NW71" s="13"/>
      <c r="NX71" s="13"/>
      <c r="NY71" s="13"/>
      <c r="NZ71" s="13"/>
      <c r="OA71" s="13"/>
      <c r="OB71" s="13"/>
      <c r="OC71" s="13"/>
      <c r="OD71" s="13"/>
      <c r="OE71" s="13"/>
      <c r="OF71" s="13"/>
      <c r="OG71" s="13"/>
      <c r="OH71" s="13"/>
      <c r="OI71" s="13"/>
      <c r="OJ71" s="13"/>
      <c r="OK71" s="13"/>
      <c r="OL71" s="13"/>
      <c r="OM71" s="13"/>
      <c r="ON71" s="13"/>
      <c r="OO71" s="13"/>
      <c r="OP71" s="13"/>
      <c r="OQ71" s="13"/>
      <c r="OR71" s="13"/>
      <c r="OS71" s="13"/>
      <c r="OT71" s="13"/>
      <c r="OU71" s="13"/>
      <c r="OV71" s="13"/>
      <c r="OW71" s="13"/>
      <c r="OX71" s="13"/>
      <c r="OY71" s="13"/>
      <c r="OZ71" s="13"/>
      <c r="PA71" s="13"/>
      <c r="PB71" s="13"/>
      <c r="PC71" s="13"/>
      <c r="PD71" s="13"/>
      <c r="PE71" s="13"/>
      <c r="PF71" s="13"/>
      <c r="PG71" s="13"/>
      <c r="PH71" s="13"/>
      <c r="PI71" s="13"/>
      <c r="PJ71" s="13"/>
      <c r="PK71" s="13"/>
      <c r="PL71" s="13"/>
      <c r="PM71" s="13"/>
      <c r="PN71" s="13"/>
      <c r="PO71" s="13"/>
      <c r="PP71" s="13"/>
      <c r="PQ71" s="13"/>
      <c r="PR71" s="13"/>
      <c r="PS71" s="13"/>
      <c r="PT71" s="13"/>
      <c r="PU71" s="13"/>
      <c r="PV71" s="13"/>
      <c r="PW71" s="13"/>
      <c r="PX71" s="13"/>
      <c r="PY71" s="13"/>
      <c r="PZ71" s="13"/>
      <c r="QA71" s="13"/>
    </row>
    <row r="72" spans="1:443" x14ac:dyDescent="0.3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6"/>
      <c r="R72" s="17" t="str">
        <f t="shared" si="6"/>
        <v/>
      </c>
      <c r="S72" s="17" t="str">
        <f t="shared" si="7"/>
        <v/>
      </c>
      <c r="T72" s="18" t="str">
        <f t="shared" si="8"/>
        <v/>
      </c>
      <c r="U72" s="15"/>
      <c r="V72" s="19" t="str">
        <f t="shared" si="9"/>
        <v/>
      </c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  <c r="JP72" s="13"/>
      <c r="JQ72" s="13"/>
      <c r="JR72" s="13"/>
      <c r="JS72" s="13"/>
      <c r="JT72" s="13"/>
      <c r="JU72" s="13"/>
      <c r="JV72" s="13"/>
      <c r="JW72" s="13"/>
      <c r="JX72" s="13"/>
      <c r="JY72" s="13"/>
      <c r="JZ72" s="13"/>
      <c r="KA72" s="13"/>
      <c r="KB72" s="13"/>
      <c r="KC72" s="13"/>
      <c r="KD72" s="13"/>
      <c r="KE72" s="13"/>
      <c r="KF72" s="13"/>
      <c r="KG72" s="13"/>
      <c r="KH72" s="13"/>
      <c r="KI72" s="13"/>
      <c r="KJ72" s="13"/>
      <c r="KK72" s="13"/>
      <c r="KL72" s="13"/>
      <c r="KM72" s="13"/>
      <c r="KN72" s="13"/>
      <c r="KO72" s="13"/>
      <c r="KP72" s="13"/>
      <c r="KQ72" s="13"/>
      <c r="KR72" s="13"/>
      <c r="KS72" s="13"/>
      <c r="KT72" s="13"/>
      <c r="KU72" s="13"/>
      <c r="KV72" s="13"/>
      <c r="KW72" s="13"/>
      <c r="KX72" s="13"/>
      <c r="KY72" s="13"/>
      <c r="KZ72" s="13"/>
      <c r="LA72" s="13"/>
      <c r="LB72" s="13"/>
      <c r="LC72" s="13"/>
      <c r="LD72" s="13"/>
      <c r="LE72" s="13"/>
      <c r="LF72" s="13"/>
      <c r="LG72" s="13"/>
      <c r="LH72" s="13"/>
      <c r="LI72" s="13"/>
      <c r="LJ72" s="13"/>
      <c r="LK72" s="13"/>
      <c r="LL72" s="13"/>
      <c r="LM72" s="13"/>
      <c r="LN72" s="13"/>
      <c r="LO72" s="13"/>
      <c r="LP72" s="13"/>
      <c r="LQ72" s="13"/>
      <c r="LR72" s="13"/>
      <c r="LS72" s="13"/>
      <c r="LT72" s="13"/>
      <c r="LU72" s="13"/>
      <c r="LV72" s="13"/>
      <c r="LW72" s="13"/>
      <c r="LX72" s="13"/>
      <c r="LY72" s="13"/>
      <c r="LZ72" s="13"/>
      <c r="MA72" s="13"/>
      <c r="MB72" s="13"/>
      <c r="MC72" s="13"/>
      <c r="MD72" s="13"/>
      <c r="ME72" s="13"/>
      <c r="MF72" s="13"/>
      <c r="MG72" s="13"/>
      <c r="MH72" s="13"/>
      <c r="MI72" s="13"/>
      <c r="MJ72" s="13"/>
      <c r="MK72" s="13"/>
      <c r="ML72" s="13"/>
      <c r="MM72" s="13"/>
      <c r="MN72" s="13"/>
      <c r="MO72" s="13"/>
      <c r="MP72" s="13"/>
      <c r="MQ72" s="13"/>
      <c r="MR72" s="13"/>
      <c r="MS72" s="13"/>
      <c r="MT72" s="13"/>
      <c r="MU72" s="13"/>
      <c r="MV72" s="13"/>
      <c r="MW72" s="13"/>
      <c r="MX72" s="13"/>
      <c r="MY72" s="13"/>
      <c r="MZ72" s="13"/>
      <c r="NA72" s="13"/>
      <c r="NB72" s="13"/>
      <c r="NC72" s="13"/>
      <c r="ND72" s="13"/>
      <c r="NE72" s="13"/>
      <c r="NF72" s="13"/>
      <c r="NG72" s="13"/>
      <c r="NH72" s="13"/>
      <c r="NI72" s="13"/>
      <c r="NJ72" s="13"/>
      <c r="NK72" s="13"/>
      <c r="NL72" s="13"/>
      <c r="NM72" s="13"/>
      <c r="NN72" s="13"/>
      <c r="NO72" s="13"/>
      <c r="NP72" s="13"/>
      <c r="NQ72" s="13"/>
      <c r="NR72" s="13"/>
      <c r="NS72" s="13"/>
      <c r="NT72" s="13"/>
      <c r="NU72" s="13"/>
      <c r="NV72" s="13"/>
      <c r="NW72" s="13"/>
      <c r="NX72" s="13"/>
      <c r="NY72" s="13"/>
      <c r="NZ72" s="13"/>
      <c r="OA72" s="13"/>
      <c r="OB72" s="13"/>
      <c r="OC72" s="13"/>
      <c r="OD72" s="13"/>
      <c r="OE72" s="13"/>
      <c r="OF72" s="13"/>
      <c r="OG72" s="13"/>
      <c r="OH72" s="13"/>
      <c r="OI72" s="13"/>
      <c r="OJ72" s="13"/>
      <c r="OK72" s="13"/>
      <c r="OL72" s="13"/>
      <c r="OM72" s="13"/>
      <c r="ON72" s="13"/>
      <c r="OO72" s="13"/>
      <c r="OP72" s="13"/>
      <c r="OQ72" s="13"/>
      <c r="OR72" s="13"/>
      <c r="OS72" s="13"/>
      <c r="OT72" s="13"/>
      <c r="OU72" s="13"/>
      <c r="OV72" s="13"/>
      <c r="OW72" s="13"/>
      <c r="OX72" s="13"/>
      <c r="OY72" s="13"/>
      <c r="OZ72" s="13"/>
      <c r="PA72" s="13"/>
      <c r="PB72" s="13"/>
      <c r="PC72" s="13"/>
      <c r="PD72" s="13"/>
      <c r="PE72" s="13"/>
      <c r="PF72" s="13"/>
      <c r="PG72" s="13"/>
      <c r="PH72" s="13"/>
      <c r="PI72" s="13"/>
      <c r="PJ72" s="13"/>
      <c r="PK72" s="13"/>
      <c r="PL72" s="13"/>
      <c r="PM72" s="13"/>
      <c r="PN72" s="13"/>
      <c r="PO72" s="13"/>
      <c r="PP72" s="13"/>
      <c r="PQ72" s="13"/>
      <c r="PR72" s="13"/>
      <c r="PS72" s="13"/>
      <c r="PT72" s="13"/>
      <c r="PU72" s="13"/>
      <c r="PV72" s="13"/>
      <c r="PW72" s="13"/>
      <c r="PX72" s="13"/>
      <c r="PY72" s="13"/>
      <c r="PZ72" s="13"/>
      <c r="QA72" s="13"/>
    </row>
    <row r="73" spans="1:443" s="24" customFormat="1" x14ac:dyDescent="0.3">
      <c r="A73" s="14"/>
      <c r="B73" s="15"/>
      <c r="C73" s="15"/>
      <c r="D73" s="15"/>
      <c r="E73" s="15"/>
      <c r="F73" s="31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6"/>
      <c r="R73" s="17" t="str">
        <f t="shared" si="6"/>
        <v/>
      </c>
      <c r="S73" s="17" t="str">
        <f t="shared" si="7"/>
        <v/>
      </c>
      <c r="T73" s="18" t="str">
        <f t="shared" si="8"/>
        <v/>
      </c>
      <c r="U73" s="20"/>
      <c r="V73" s="19" t="str">
        <f t="shared" si="9"/>
        <v/>
      </c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  <c r="JP73" s="13"/>
      <c r="JQ73" s="13"/>
      <c r="JR73" s="13"/>
      <c r="JS73" s="13"/>
      <c r="JT73" s="13"/>
      <c r="JU73" s="13"/>
      <c r="JV73" s="13"/>
      <c r="JW73" s="13"/>
      <c r="JX73" s="13"/>
      <c r="JY73" s="13"/>
      <c r="JZ73" s="13"/>
      <c r="KA73" s="13"/>
      <c r="KB73" s="13"/>
      <c r="KC73" s="13"/>
      <c r="KD73" s="13"/>
      <c r="KE73" s="13"/>
      <c r="KF73" s="13"/>
      <c r="KG73" s="13"/>
      <c r="KH73" s="13"/>
      <c r="KI73" s="13"/>
      <c r="KJ73" s="13"/>
      <c r="KK73" s="13"/>
      <c r="KL73" s="13"/>
      <c r="KM73" s="13"/>
      <c r="KN73" s="13"/>
      <c r="KO73" s="13"/>
      <c r="KP73" s="13"/>
      <c r="KQ73" s="13"/>
      <c r="KR73" s="13"/>
      <c r="KS73" s="13"/>
      <c r="KT73" s="13"/>
      <c r="KU73" s="13"/>
      <c r="KV73" s="13"/>
      <c r="KW73" s="13"/>
      <c r="KX73" s="13"/>
      <c r="KY73" s="13"/>
      <c r="KZ73" s="13"/>
      <c r="LA73" s="13"/>
      <c r="LB73" s="13"/>
      <c r="LC73" s="13"/>
      <c r="LD73" s="13"/>
      <c r="LE73" s="13"/>
      <c r="LF73" s="13"/>
      <c r="LG73" s="13"/>
      <c r="LH73" s="13"/>
      <c r="LI73" s="13"/>
      <c r="LJ73" s="13"/>
      <c r="LK73" s="13"/>
      <c r="LL73" s="13"/>
      <c r="LM73" s="13"/>
      <c r="LN73" s="13"/>
      <c r="LO73" s="13"/>
      <c r="LP73" s="13"/>
      <c r="LQ73" s="13"/>
      <c r="LR73" s="13"/>
      <c r="LS73" s="13"/>
      <c r="LT73" s="13"/>
      <c r="LU73" s="13"/>
      <c r="LV73" s="13"/>
      <c r="LW73" s="13"/>
      <c r="LX73" s="13"/>
      <c r="LY73" s="13"/>
      <c r="LZ73" s="13"/>
      <c r="MA73" s="13"/>
      <c r="MB73" s="13"/>
      <c r="MC73" s="13"/>
      <c r="MD73" s="13"/>
      <c r="ME73" s="13"/>
      <c r="MF73" s="13"/>
      <c r="MG73" s="13"/>
      <c r="MH73" s="13"/>
      <c r="MI73" s="13"/>
      <c r="MJ73" s="13"/>
      <c r="MK73" s="13"/>
      <c r="ML73" s="13"/>
      <c r="MM73" s="13"/>
      <c r="MN73" s="13"/>
      <c r="MO73" s="13"/>
      <c r="MP73" s="13"/>
      <c r="MQ73" s="13"/>
      <c r="MR73" s="13"/>
      <c r="MS73" s="13"/>
      <c r="MT73" s="13"/>
      <c r="MU73" s="13"/>
      <c r="MV73" s="13"/>
      <c r="MW73" s="13"/>
      <c r="MX73" s="13"/>
      <c r="MY73" s="13"/>
      <c r="MZ73" s="13"/>
      <c r="NA73" s="13"/>
      <c r="NB73" s="13"/>
      <c r="NC73" s="13"/>
      <c r="ND73" s="13"/>
      <c r="NE73" s="13"/>
      <c r="NF73" s="13"/>
      <c r="NG73" s="13"/>
      <c r="NH73" s="13"/>
      <c r="NI73" s="13"/>
      <c r="NJ73" s="13"/>
      <c r="NK73" s="13"/>
      <c r="NL73" s="13"/>
      <c r="NM73" s="13"/>
      <c r="NN73" s="13"/>
      <c r="NO73" s="13"/>
      <c r="NP73" s="13"/>
      <c r="NQ73" s="13"/>
      <c r="NR73" s="13"/>
      <c r="NS73" s="13"/>
      <c r="NT73" s="13"/>
      <c r="NU73" s="13"/>
      <c r="NV73" s="13"/>
      <c r="NW73" s="13"/>
      <c r="NX73" s="13"/>
      <c r="NY73" s="13"/>
      <c r="NZ73" s="13"/>
      <c r="OA73" s="13"/>
      <c r="OB73" s="13"/>
      <c r="OC73" s="13"/>
      <c r="OD73" s="13"/>
      <c r="OE73" s="13"/>
      <c r="OF73" s="13"/>
      <c r="OG73" s="13"/>
      <c r="OH73" s="13"/>
      <c r="OI73" s="13"/>
      <c r="OJ73" s="13"/>
      <c r="OK73" s="13"/>
      <c r="OL73" s="13"/>
      <c r="OM73" s="13"/>
      <c r="ON73" s="13"/>
      <c r="OO73" s="13"/>
      <c r="OP73" s="13"/>
      <c r="OQ73" s="13"/>
      <c r="OR73" s="13"/>
      <c r="OS73" s="13"/>
      <c r="OT73" s="13"/>
      <c r="OU73" s="13"/>
      <c r="OV73" s="13"/>
      <c r="OW73" s="13"/>
      <c r="OX73" s="13"/>
      <c r="OY73" s="13"/>
      <c r="OZ73" s="13"/>
      <c r="PA73" s="13"/>
      <c r="PB73" s="13"/>
      <c r="PC73" s="13"/>
      <c r="PD73" s="13"/>
      <c r="PE73" s="13"/>
      <c r="PF73" s="13"/>
      <c r="PG73" s="13"/>
      <c r="PH73" s="13"/>
      <c r="PI73" s="13"/>
      <c r="PJ73" s="13"/>
      <c r="PK73" s="13"/>
      <c r="PL73" s="13"/>
      <c r="PM73" s="13"/>
      <c r="PN73" s="13"/>
      <c r="PO73" s="13"/>
      <c r="PP73" s="13"/>
      <c r="PQ73" s="13"/>
      <c r="PR73" s="13"/>
      <c r="PS73" s="13"/>
      <c r="PT73" s="13"/>
      <c r="PU73" s="13"/>
      <c r="PV73" s="13"/>
      <c r="PW73" s="13"/>
      <c r="PX73" s="13"/>
      <c r="PY73" s="13"/>
      <c r="PZ73" s="13"/>
      <c r="QA73" s="13"/>
    </row>
    <row r="74" spans="1:443" x14ac:dyDescent="0.3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6"/>
      <c r="R74" s="17" t="str">
        <f t="shared" si="6"/>
        <v/>
      </c>
      <c r="S74" s="17" t="str">
        <f t="shared" si="7"/>
        <v/>
      </c>
      <c r="T74" s="18" t="str">
        <f t="shared" si="8"/>
        <v/>
      </c>
      <c r="U74" s="15"/>
      <c r="V74" s="19" t="str">
        <f t="shared" si="9"/>
        <v/>
      </c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  <c r="JP74" s="13"/>
      <c r="JQ74" s="13"/>
      <c r="JR74" s="13"/>
      <c r="JS74" s="13"/>
      <c r="JT74" s="13"/>
      <c r="JU74" s="13"/>
      <c r="JV74" s="13"/>
      <c r="JW74" s="13"/>
      <c r="JX74" s="13"/>
      <c r="JY74" s="13"/>
      <c r="JZ74" s="13"/>
      <c r="KA74" s="13"/>
      <c r="KB74" s="13"/>
      <c r="KC74" s="13"/>
      <c r="KD74" s="13"/>
      <c r="KE74" s="13"/>
      <c r="KF74" s="13"/>
      <c r="KG74" s="13"/>
      <c r="KH74" s="13"/>
      <c r="KI74" s="13"/>
      <c r="KJ74" s="13"/>
      <c r="KK74" s="13"/>
      <c r="KL74" s="13"/>
      <c r="KM74" s="13"/>
      <c r="KN74" s="13"/>
      <c r="KO74" s="13"/>
      <c r="KP74" s="13"/>
      <c r="KQ74" s="13"/>
      <c r="KR74" s="13"/>
      <c r="KS74" s="13"/>
      <c r="KT74" s="13"/>
      <c r="KU74" s="13"/>
      <c r="KV74" s="13"/>
      <c r="KW74" s="13"/>
      <c r="KX74" s="13"/>
      <c r="KY74" s="13"/>
      <c r="KZ74" s="13"/>
      <c r="LA74" s="13"/>
      <c r="LB74" s="13"/>
      <c r="LC74" s="13"/>
      <c r="LD74" s="13"/>
      <c r="LE74" s="13"/>
      <c r="LF74" s="13"/>
      <c r="LG74" s="13"/>
      <c r="LH74" s="13"/>
      <c r="LI74" s="13"/>
      <c r="LJ74" s="13"/>
      <c r="LK74" s="13"/>
      <c r="LL74" s="13"/>
      <c r="LM74" s="13"/>
      <c r="LN74" s="13"/>
      <c r="LO74" s="13"/>
      <c r="LP74" s="13"/>
      <c r="LQ74" s="13"/>
      <c r="LR74" s="13"/>
      <c r="LS74" s="13"/>
      <c r="LT74" s="13"/>
      <c r="LU74" s="13"/>
      <c r="LV74" s="13"/>
      <c r="LW74" s="13"/>
      <c r="LX74" s="13"/>
      <c r="LY74" s="13"/>
      <c r="LZ74" s="13"/>
      <c r="MA74" s="13"/>
      <c r="MB74" s="13"/>
      <c r="MC74" s="13"/>
      <c r="MD74" s="13"/>
      <c r="ME74" s="13"/>
      <c r="MF74" s="13"/>
      <c r="MG74" s="13"/>
      <c r="MH74" s="13"/>
      <c r="MI74" s="13"/>
      <c r="MJ74" s="13"/>
      <c r="MK74" s="13"/>
      <c r="ML74" s="13"/>
      <c r="MM74" s="13"/>
      <c r="MN74" s="13"/>
      <c r="MO74" s="13"/>
      <c r="MP74" s="13"/>
      <c r="MQ74" s="13"/>
      <c r="MR74" s="13"/>
      <c r="MS74" s="13"/>
      <c r="MT74" s="13"/>
      <c r="MU74" s="13"/>
      <c r="MV74" s="13"/>
      <c r="MW74" s="13"/>
      <c r="MX74" s="13"/>
      <c r="MY74" s="13"/>
      <c r="MZ74" s="13"/>
      <c r="NA74" s="13"/>
      <c r="NB74" s="13"/>
      <c r="NC74" s="13"/>
      <c r="ND74" s="13"/>
      <c r="NE74" s="13"/>
      <c r="NF74" s="13"/>
      <c r="NG74" s="13"/>
      <c r="NH74" s="13"/>
      <c r="NI74" s="13"/>
      <c r="NJ74" s="13"/>
      <c r="NK74" s="13"/>
      <c r="NL74" s="13"/>
      <c r="NM74" s="13"/>
      <c r="NN74" s="13"/>
      <c r="NO74" s="13"/>
      <c r="NP74" s="13"/>
      <c r="NQ74" s="13"/>
      <c r="NR74" s="13"/>
      <c r="NS74" s="13"/>
      <c r="NT74" s="13"/>
      <c r="NU74" s="13"/>
      <c r="NV74" s="13"/>
      <c r="NW74" s="13"/>
      <c r="NX74" s="13"/>
      <c r="NY74" s="13"/>
      <c r="NZ74" s="13"/>
      <c r="OA74" s="13"/>
      <c r="OB74" s="13"/>
      <c r="OC74" s="13"/>
      <c r="OD74" s="13"/>
      <c r="OE74" s="13"/>
      <c r="OF74" s="13"/>
      <c r="OG74" s="13"/>
      <c r="OH74" s="13"/>
      <c r="OI74" s="13"/>
      <c r="OJ74" s="13"/>
      <c r="OK74" s="13"/>
      <c r="OL74" s="13"/>
      <c r="OM74" s="13"/>
      <c r="ON74" s="13"/>
      <c r="OO74" s="13"/>
      <c r="OP74" s="13"/>
      <c r="OQ74" s="13"/>
      <c r="OR74" s="13"/>
      <c r="OS74" s="13"/>
      <c r="OT74" s="13"/>
      <c r="OU74" s="13"/>
      <c r="OV74" s="13"/>
      <c r="OW74" s="13"/>
      <c r="OX74" s="13"/>
      <c r="OY74" s="13"/>
      <c r="OZ74" s="13"/>
      <c r="PA74" s="13"/>
      <c r="PB74" s="13"/>
      <c r="PC74" s="13"/>
      <c r="PD74" s="13"/>
      <c r="PE74" s="13"/>
      <c r="PF74" s="13"/>
      <c r="PG74" s="13"/>
      <c r="PH74" s="13"/>
      <c r="PI74" s="13"/>
      <c r="PJ74" s="13"/>
      <c r="PK74" s="13"/>
      <c r="PL74" s="13"/>
      <c r="PM74" s="13"/>
      <c r="PN74" s="13"/>
      <c r="PO74" s="13"/>
      <c r="PP74" s="13"/>
      <c r="PQ74" s="13"/>
      <c r="PR74" s="13"/>
      <c r="PS74" s="13"/>
      <c r="PT74" s="13"/>
      <c r="PU74" s="13"/>
      <c r="PV74" s="13"/>
      <c r="PW74" s="13"/>
      <c r="PX74" s="13"/>
      <c r="PY74" s="13"/>
      <c r="PZ74" s="13"/>
      <c r="QA74" s="13"/>
    </row>
    <row r="75" spans="1:443" x14ac:dyDescent="0.3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6"/>
      <c r="R75" s="17" t="str">
        <f t="shared" si="6"/>
        <v/>
      </c>
      <c r="S75" s="17" t="str">
        <f t="shared" si="7"/>
        <v/>
      </c>
      <c r="T75" s="18" t="str">
        <f t="shared" si="8"/>
        <v/>
      </c>
      <c r="U75" s="15"/>
      <c r="V75" s="19" t="str">
        <f t="shared" si="9"/>
        <v/>
      </c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  <c r="JP75" s="13"/>
      <c r="JQ75" s="13"/>
      <c r="JR75" s="13"/>
      <c r="JS75" s="13"/>
      <c r="JT75" s="13"/>
      <c r="JU75" s="13"/>
      <c r="JV75" s="13"/>
      <c r="JW75" s="13"/>
      <c r="JX75" s="13"/>
      <c r="JY75" s="13"/>
      <c r="JZ75" s="13"/>
      <c r="KA75" s="13"/>
      <c r="KB75" s="13"/>
      <c r="KC75" s="13"/>
      <c r="KD75" s="13"/>
      <c r="KE75" s="13"/>
      <c r="KF75" s="13"/>
      <c r="KG75" s="13"/>
      <c r="KH75" s="13"/>
      <c r="KI75" s="13"/>
      <c r="KJ75" s="13"/>
      <c r="KK75" s="13"/>
      <c r="KL75" s="13"/>
      <c r="KM75" s="13"/>
      <c r="KN75" s="13"/>
      <c r="KO75" s="13"/>
      <c r="KP75" s="13"/>
      <c r="KQ75" s="13"/>
      <c r="KR75" s="13"/>
      <c r="KS75" s="13"/>
      <c r="KT75" s="13"/>
      <c r="KU75" s="13"/>
      <c r="KV75" s="13"/>
      <c r="KW75" s="13"/>
      <c r="KX75" s="13"/>
      <c r="KY75" s="13"/>
      <c r="KZ75" s="13"/>
      <c r="LA75" s="13"/>
      <c r="LB75" s="13"/>
      <c r="LC75" s="13"/>
      <c r="LD75" s="13"/>
      <c r="LE75" s="13"/>
      <c r="LF75" s="13"/>
      <c r="LG75" s="13"/>
      <c r="LH75" s="13"/>
      <c r="LI75" s="13"/>
      <c r="LJ75" s="13"/>
      <c r="LK75" s="13"/>
      <c r="LL75" s="13"/>
      <c r="LM75" s="13"/>
      <c r="LN75" s="13"/>
      <c r="LO75" s="13"/>
      <c r="LP75" s="13"/>
      <c r="LQ75" s="13"/>
      <c r="LR75" s="13"/>
      <c r="LS75" s="13"/>
      <c r="LT75" s="13"/>
      <c r="LU75" s="13"/>
      <c r="LV75" s="13"/>
      <c r="LW75" s="13"/>
      <c r="LX75" s="13"/>
      <c r="LY75" s="13"/>
      <c r="LZ75" s="13"/>
      <c r="MA75" s="13"/>
      <c r="MB75" s="13"/>
      <c r="MC75" s="13"/>
      <c r="MD75" s="13"/>
      <c r="ME75" s="13"/>
      <c r="MF75" s="13"/>
      <c r="MG75" s="13"/>
      <c r="MH75" s="13"/>
      <c r="MI75" s="13"/>
      <c r="MJ75" s="13"/>
      <c r="MK75" s="13"/>
      <c r="ML75" s="13"/>
      <c r="MM75" s="13"/>
      <c r="MN75" s="13"/>
      <c r="MO75" s="13"/>
      <c r="MP75" s="13"/>
      <c r="MQ75" s="13"/>
      <c r="MR75" s="13"/>
      <c r="MS75" s="13"/>
      <c r="MT75" s="13"/>
      <c r="MU75" s="13"/>
      <c r="MV75" s="13"/>
      <c r="MW75" s="13"/>
      <c r="MX75" s="13"/>
      <c r="MY75" s="13"/>
      <c r="MZ75" s="13"/>
      <c r="NA75" s="13"/>
      <c r="NB75" s="13"/>
      <c r="NC75" s="13"/>
      <c r="ND75" s="13"/>
      <c r="NE75" s="13"/>
      <c r="NF75" s="13"/>
      <c r="NG75" s="13"/>
      <c r="NH75" s="13"/>
      <c r="NI75" s="13"/>
      <c r="NJ75" s="13"/>
      <c r="NK75" s="13"/>
      <c r="NL75" s="13"/>
      <c r="NM75" s="13"/>
      <c r="NN75" s="13"/>
      <c r="NO75" s="13"/>
      <c r="NP75" s="13"/>
      <c r="NQ75" s="13"/>
      <c r="NR75" s="13"/>
      <c r="NS75" s="13"/>
      <c r="NT75" s="13"/>
      <c r="NU75" s="13"/>
      <c r="NV75" s="13"/>
      <c r="NW75" s="13"/>
      <c r="NX75" s="13"/>
      <c r="NY75" s="13"/>
      <c r="NZ75" s="13"/>
      <c r="OA75" s="13"/>
      <c r="OB75" s="13"/>
      <c r="OC75" s="13"/>
      <c r="OD75" s="13"/>
      <c r="OE75" s="13"/>
      <c r="OF75" s="13"/>
      <c r="OG75" s="13"/>
      <c r="OH75" s="13"/>
      <c r="OI75" s="13"/>
      <c r="OJ75" s="13"/>
      <c r="OK75" s="13"/>
      <c r="OL75" s="13"/>
      <c r="OM75" s="13"/>
      <c r="ON75" s="13"/>
      <c r="OO75" s="13"/>
      <c r="OP75" s="13"/>
      <c r="OQ75" s="13"/>
      <c r="OR75" s="13"/>
      <c r="OS75" s="13"/>
      <c r="OT75" s="13"/>
      <c r="OU75" s="13"/>
      <c r="OV75" s="13"/>
      <c r="OW75" s="13"/>
      <c r="OX75" s="13"/>
      <c r="OY75" s="13"/>
      <c r="OZ75" s="13"/>
      <c r="PA75" s="13"/>
      <c r="PB75" s="13"/>
      <c r="PC75" s="13"/>
      <c r="PD75" s="13"/>
      <c r="PE75" s="13"/>
      <c r="PF75" s="13"/>
      <c r="PG75" s="13"/>
      <c r="PH75" s="13"/>
      <c r="PI75" s="13"/>
      <c r="PJ75" s="13"/>
      <c r="PK75" s="13"/>
      <c r="PL75" s="13"/>
      <c r="PM75" s="13"/>
      <c r="PN75" s="13"/>
      <c r="PO75" s="13"/>
      <c r="PP75" s="13"/>
      <c r="PQ75" s="13"/>
      <c r="PR75" s="13"/>
      <c r="PS75" s="13"/>
      <c r="PT75" s="13"/>
      <c r="PU75" s="13"/>
      <c r="PV75" s="13"/>
      <c r="PW75" s="13"/>
      <c r="PX75" s="13"/>
      <c r="PY75" s="13"/>
      <c r="PZ75" s="13"/>
      <c r="QA75" s="13"/>
    </row>
    <row r="76" spans="1:443" x14ac:dyDescent="0.3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6"/>
      <c r="R76" s="17" t="str">
        <f t="shared" si="6"/>
        <v/>
      </c>
      <c r="S76" s="17" t="str">
        <f t="shared" si="7"/>
        <v/>
      </c>
      <c r="T76" s="18" t="str">
        <f t="shared" si="8"/>
        <v/>
      </c>
      <c r="U76" s="15"/>
      <c r="V76" s="19" t="str">
        <f t="shared" si="9"/>
        <v/>
      </c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  <c r="JP76" s="13"/>
      <c r="JQ76" s="13"/>
      <c r="JR76" s="13"/>
      <c r="JS76" s="13"/>
      <c r="JT76" s="13"/>
      <c r="JU76" s="13"/>
      <c r="JV76" s="13"/>
      <c r="JW76" s="13"/>
      <c r="JX76" s="13"/>
      <c r="JY76" s="13"/>
      <c r="JZ76" s="13"/>
      <c r="KA76" s="13"/>
      <c r="KB76" s="13"/>
      <c r="KC76" s="13"/>
      <c r="KD76" s="13"/>
      <c r="KE76" s="13"/>
      <c r="KF76" s="13"/>
      <c r="KG76" s="13"/>
      <c r="KH76" s="13"/>
      <c r="KI76" s="13"/>
      <c r="KJ76" s="13"/>
      <c r="KK76" s="13"/>
      <c r="KL76" s="13"/>
      <c r="KM76" s="13"/>
      <c r="KN76" s="13"/>
      <c r="KO76" s="13"/>
      <c r="KP76" s="13"/>
      <c r="KQ76" s="13"/>
      <c r="KR76" s="13"/>
      <c r="KS76" s="13"/>
      <c r="KT76" s="13"/>
      <c r="KU76" s="13"/>
      <c r="KV76" s="13"/>
      <c r="KW76" s="13"/>
      <c r="KX76" s="13"/>
      <c r="KY76" s="13"/>
      <c r="KZ76" s="13"/>
      <c r="LA76" s="13"/>
      <c r="LB76" s="13"/>
      <c r="LC76" s="13"/>
      <c r="LD76" s="13"/>
      <c r="LE76" s="13"/>
      <c r="LF76" s="13"/>
      <c r="LG76" s="13"/>
      <c r="LH76" s="13"/>
      <c r="LI76" s="13"/>
      <c r="LJ76" s="13"/>
      <c r="LK76" s="13"/>
      <c r="LL76" s="13"/>
      <c r="LM76" s="13"/>
      <c r="LN76" s="13"/>
      <c r="LO76" s="13"/>
      <c r="LP76" s="13"/>
      <c r="LQ76" s="13"/>
      <c r="LR76" s="13"/>
      <c r="LS76" s="13"/>
      <c r="LT76" s="13"/>
      <c r="LU76" s="13"/>
      <c r="LV76" s="13"/>
      <c r="LW76" s="13"/>
      <c r="LX76" s="13"/>
      <c r="LY76" s="13"/>
      <c r="LZ76" s="13"/>
      <c r="MA76" s="13"/>
      <c r="MB76" s="13"/>
      <c r="MC76" s="13"/>
      <c r="MD76" s="13"/>
      <c r="ME76" s="13"/>
      <c r="MF76" s="13"/>
      <c r="MG76" s="13"/>
      <c r="MH76" s="13"/>
      <c r="MI76" s="13"/>
      <c r="MJ76" s="13"/>
      <c r="MK76" s="13"/>
      <c r="ML76" s="13"/>
      <c r="MM76" s="13"/>
      <c r="MN76" s="13"/>
      <c r="MO76" s="13"/>
      <c r="MP76" s="13"/>
      <c r="MQ76" s="13"/>
      <c r="MR76" s="13"/>
      <c r="MS76" s="13"/>
      <c r="MT76" s="13"/>
      <c r="MU76" s="13"/>
      <c r="MV76" s="13"/>
      <c r="MW76" s="13"/>
      <c r="MX76" s="13"/>
      <c r="MY76" s="13"/>
      <c r="MZ76" s="13"/>
      <c r="NA76" s="13"/>
      <c r="NB76" s="13"/>
      <c r="NC76" s="13"/>
      <c r="ND76" s="13"/>
      <c r="NE76" s="13"/>
      <c r="NF76" s="13"/>
      <c r="NG76" s="13"/>
      <c r="NH76" s="13"/>
      <c r="NI76" s="13"/>
      <c r="NJ76" s="13"/>
      <c r="NK76" s="13"/>
      <c r="NL76" s="13"/>
      <c r="NM76" s="13"/>
      <c r="NN76" s="13"/>
      <c r="NO76" s="13"/>
      <c r="NP76" s="13"/>
      <c r="NQ76" s="13"/>
      <c r="NR76" s="13"/>
      <c r="NS76" s="13"/>
      <c r="NT76" s="13"/>
      <c r="NU76" s="13"/>
      <c r="NV76" s="13"/>
      <c r="NW76" s="13"/>
      <c r="NX76" s="13"/>
      <c r="NY76" s="13"/>
      <c r="NZ76" s="13"/>
      <c r="OA76" s="13"/>
      <c r="OB76" s="13"/>
      <c r="OC76" s="13"/>
      <c r="OD76" s="13"/>
      <c r="OE76" s="13"/>
      <c r="OF76" s="13"/>
      <c r="OG76" s="13"/>
      <c r="OH76" s="13"/>
      <c r="OI76" s="13"/>
      <c r="OJ76" s="13"/>
      <c r="OK76" s="13"/>
      <c r="OL76" s="13"/>
      <c r="OM76" s="13"/>
      <c r="ON76" s="13"/>
      <c r="OO76" s="13"/>
      <c r="OP76" s="13"/>
      <c r="OQ76" s="13"/>
      <c r="OR76" s="13"/>
      <c r="OS76" s="13"/>
      <c r="OT76" s="13"/>
      <c r="OU76" s="13"/>
      <c r="OV76" s="13"/>
      <c r="OW76" s="13"/>
      <c r="OX76" s="13"/>
      <c r="OY76" s="13"/>
      <c r="OZ76" s="13"/>
      <c r="PA76" s="13"/>
      <c r="PB76" s="13"/>
      <c r="PC76" s="13"/>
      <c r="PD76" s="13"/>
      <c r="PE76" s="13"/>
      <c r="PF76" s="13"/>
      <c r="PG76" s="13"/>
      <c r="PH76" s="13"/>
      <c r="PI76" s="13"/>
      <c r="PJ76" s="13"/>
      <c r="PK76" s="13"/>
      <c r="PL76" s="13"/>
      <c r="PM76" s="13"/>
      <c r="PN76" s="13"/>
      <c r="PO76" s="13"/>
      <c r="PP76" s="13"/>
      <c r="PQ76" s="13"/>
      <c r="PR76" s="13"/>
      <c r="PS76" s="13"/>
      <c r="PT76" s="13"/>
      <c r="PU76" s="13"/>
      <c r="PV76" s="13"/>
      <c r="PW76" s="13"/>
      <c r="PX76" s="13"/>
      <c r="PY76" s="13"/>
      <c r="PZ76" s="13"/>
      <c r="QA76" s="13"/>
    </row>
    <row r="77" spans="1:443" x14ac:dyDescent="0.3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6"/>
      <c r="R77" s="17" t="str">
        <f t="shared" si="6"/>
        <v/>
      </c>
      <c r="S77" s="17" t="str">
        <f t="shared" si="7"/>
        <v/>
      </c>
      <c r="T77" s="18" t="str">
        <f t="shared" si="8"/>
        <v/>
      </c>
      <c r="U77" s="15"/>
      <c r="V77" s="19" t="str">
        <f t="shared" si="9"/>
        <v/>
      </c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  <c r="JP77" s="13"/>
      <c r="JQ77" s="13"/>
      <c r="JR77" s="13"/>
      <c r="JS77" s="13"/>
      <c r="JT77" s="13"/>
      <c r="JU77" s="13"/>
      <c r="JV77" s="13"/>
      <c r="JW77" s="13"/>
      <c r="JX77" s="13"/>
      <c r="JY77" s="13"/>
      <c r="JZ77" s="13"/>
      <c r="KA77" s="13"/>
      <c r="KB77" s="13"/>
      <c r="KC77" s="13"/>
      <c r="KD77" s="13"/>
      <c r="KE77" s="13"/>
      <c r="KF77" s="13"/>
      <c r="KG77" s="13"/>
      <c r="KH77" s="13"/>
      <c r="KI77" s="13"/>
      <c r="KJ77" s="13"/>
      <c r="KK77" s="13"/>
      <c r="KL77" s="13"/>
      <c r="KM77" s="13"/>
      <c r="KN77" s="13"/>
      <c r="KO77" s="13"/>
      <c r="KP77" s="13"/>
      <c r="KQ77" s="13"/>
      <c r="KR77" s="13"/>
      <c r="KS77" s="13"/>
      <c r="KT77" s="13"/>
      <c r="KU77" s="13"/>
      <c r="KV77" s="13"/>
      <c r="KW77" s="13"/>
      <c r="KX77" s="13"/>
      <c r="KY77" s="13"/>
      <c r="KZ77" s="13"/>
      <c r="LA77" s="13"/>
      <c r="LB77" s="13"/>
      <c r="LC77" s="13"/>
      <c r="LD77" s="13"/>
      <c r="LE77" s="13"/>
      <c r="LF77" s="13"/>
      <c r="LG77" s="13"/>
      <c r="LH77" s="13"/>
      <c r="LI77" s="13"/>
      <c r="LJ77" s="13"/>
      <c r="LK77" s="13"/>
      <c r="LL77" s="13"/>
      <c r="LM77" s="13"/>
      <c r="LN77" s="13"/>
      <c r="LO77" s="13"/>
      <c r="LP77" s="13"/>
      <c r="LQ77" s="13"/>
      <c r="LR77" s="13"/>
      <c r="LS77" s="13"/>
      <c r="LT77" s="13"/>
      <c r="LU77" s="13"/>
      <c r="LV77" s="13"/>
      <c r="LW77" s="13"/>
      <c r="LX77" s="13"/>
      <c r="LY77" s="13"/>
      <c r="LZ77" s="13"/>
      <c r="MA77" s="13"/>
      <c r="MB77" s="13"/>
      <c r="MC77" s="13"/>
      <c r="MD77" s="13"/>
      <c r="ME77" s="13"/>
      <c r="MF77" s="13"/>
      <c r="MG77" s="13"/>
      <c r="MH77" s="13"/>
      <c r="MI77" s="13"/>
      <c r="MJ77" s="13"/>
      <c r="MK77" s="13"/>
      <c r="ML77" s="13"/>
      <c r="MM77" s="13"/>
      <c r="MN77" s="13"/>
      <c r="MO77" s="13"/>
      <c r="MP77" s="13"/>
      <c r="MQ77" s="13"/>
      <c r="MR77" s="13"/>
      <c r="MS77" s="13"/>
      <c r="MT77" s="13"/>
      <c r="MU77" s="13"/>
      <c r="MV77" s="13"/>
      <c r="MW77" s="13"/>
      <c r="MX77" s="13"/>
      <c r="MY77" s="13"/>
      <c r="MZ77" s="13"/>
      <c r="NA77" s="13"/>
      <c r="NB77" s="13"/>
      <c r="NC77" s="13"/>
      <c r="ND77" s="13"/>
      <c r="NE77" s="13"/>
      <c r="NF77" s="13"/>
      <c r="NG77" s="13"/>
      <c r="NH77" s="13"/>
      <c r="NI77" s="13"/>
      <c r="NJ77" s="13"/>
      <c r="NK77" s="13"/>
      <c r="NL77" s="13"/>
      <c r="NM77" s="13"/>
      <c r="NN77" s="13"/>
      <c r="NO77" s="13"/>
      <c r="NP77" s="13"/>
      <c r="NQ77" s="13"/>
      <c r="NR77" s="13"/>
      <c r="NS77" s="13"/>
      <c r="NT77" s="13"/>
      <c r="NU77" s="13"/>
      <c r="NV77" s="13"/>
      <c r="NW77" s="13"/>
      <c r="NX77" s="13"/>
      <c r="NY77" s="13"/>
      <c r="NZ77" s="13"/>
      <c r="OA77" s="13"/>
      <c r="OB77" s="13"/>
      <c r="OC77" s="13"/>
      <c r="OD77" s="13"/>
      <c r="OE77" s="13"/>
      <c r="OF77" s="13"/>
      <c r="OG77" s="13"/>
      <c r="OH77" s="13"/>
      <c r="OI77" s="13"/>
      <c r="OJ77" s="13"/>
      <c r="OK77" s="13"/>
      <c r="OL77" s="13"/>
      <c r="OM77" s="13"/>
      <c r="ON77" s="13"/>
      <c r="OO77" s="13"/>
      <c r="OP77" s="13"/>
      <c r="OQ77" s="13"/>
      <c r="OR77" s="13"/>
      <c r="OS77" s="13"/>
      <c r="OT77" s="13"/>
      <c r="OU77" s="13"/>
      <c r="OV77" s="13"/>
      <c r="OW77" s="13"/>
      <c r="OX77" s="13"/>
      <c r="OY77" s="13"/>
      <c r="OZ77" s="13"/>
      <c r="PA77" s="13"/>
      <c r="PB77" s="13"/>
      <c r="PC77" s="13"/>
      <c r="PD77" s="13"/>
      <c r="PE77" s="13"/>
      <c r="PF77" s="13"/>
      <c r="PG77" s="13"/>
      <c r="PH77" s="13"/>
      <c r="PI77" s="13"/>
      <c r="PJ77" s="13"/>
      <c r="PK77" s="13"/>
      <c r="PL77" s="13"/>
      <c r="PM77" s="13"/>
      <c r="PN77" s="13"/>
      <c r="PO77" s="13"/>
      <c r="PP77" s="13"/>
      <c r="PQ77" s="13"/>
      <c r="PR77" s="13"/>
      <c r="PS77" s="13"/>
      <c r="PT77" s="13"/>
      <c r="PU77" s="13"/>
      <c r="PV77" s="13"/>
      <c r="PW77" s="13"/>
      <c r="PX77" s="13"/>
      <c r="PY77" s="13"/>
      <c r="PZ77" s="13"/>
      <c r="QA77" s="13"/>
    </row>
    <row r="78" spans="1:443" x14ac:dyDescent="0.3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6"/>
      <c r="R78" s="17" t="str">
        <f t="shared" si="6"/>
        <v/>
      </c>
      <c r="S78" s="17" t="str">
        <f t="shared" si="7"/>
        <v/>
      </c>
      <c r="T78" s="18" t="str">
        <f t="shared" si="8"/>
        <v/>
      </c>
      <c r="U78" s="15"/>
      <c r="V78" s="19" t="str">
        <f t="shared" si="9"/>
        <v/>
      </c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  <c r="JP78" s="13"/>
      <c r="JQ78" s="13"/>
      <c r="JR78" s="13"/>
      <c r="JS78" s="13"/>
      <c r="JT78" s="13"/>
      <c r="JU78" s="13"/>
      <c r="JV78" s="13"/>
      <c r="JW78" s="13"/>
      <c r="JX78" s="13"/>
      <c r="JY78" s="13"/>
      <c r="JZ78" s="13"/>
      <c r="KA78" s="13"/>
      <c r="KB78" s="13"/>
      <c r="KC78" s="13"/>
      <c r="KD78" s="13"/>
      <c r="KE78" s="13"/>
      <c r="KF78" s="13"/>
      <c r="KG78" s="13"/>
      <c r="KH78" s="13"/>
      <c r="KI78" s="13"/>
      <c r="KJ78" s="13"/>
      <c r="KK78" s="13"/>
      <c r="KL78" s="13"/>
      <c r="KM78" s="13"/>
      <c r="KN78" s="13"/>
      <c r="KO78" s="13"/>
      <c r="KP78" s="13"/>
      <c r="KQ78" s="13"/>
      <c r="KR78" s="13"/>
      <c r="KS78" s="13"/>
      <c r="KT78" s="13"/>
      <c r="KU78" s="13"/>
      <c r="KV78" s="13"/>
      <c r="KW78" s="13"/>
      <c r="KX78" s="13"/>
      <c r="KY78" s="13"/>
      <c r="KZ78" s="13"/>
      <c r="LA78" s="13"/>
      <c r="LB78" s="13"/>
      <c r="LC78" s="13"/>
      <c r="LD78" s="13"/>
      <c r="LE78" s="13"/>
      <c r="LF78" s="13"/>
      <c r="LG78" s="13"/>
      <c r="LH78" s="13"/>
      <c r="LI78" s="13"/>
      <c r="LJ78" s="13"/>
      <c r="LK78" s="13"/>
      <c r="LL78" s="13"/>
      <c r="LM78" s="13"/>
      <c r="LN78" s="13"/>
      <c r="LO78" s="13"/>
      <c r="LP78" s="13"/>
      <c r="LQ78" s="13"/>
      <c r="LR78" s="13"/>
      <c r="LS78" s="13"/>
      <c r="LT78" s="13"/>
      <c r="LU78" s="13"/>
      <c r="LV78" s="13"/>
      <c r="LW78" s="13"/>
      <c r="LX78" s="13"/>
      <c r="LY78" s="13"/>
      <c r="LZ78" s="13"/>
      <c r="MA78" s="13"/>
      <c r="MB78" s="13"/>
      <c r="MC78" s="13"/>
      <c r="MD78" s="13"/>
      <c r="ME78" s="13"/>
      <c r="MF78" s="13"/>
      <c r="MG78" s="13"/>
      <c r="MH78" s="13"/>
      <c r="MI78" s="13"/>
      <c r="MJ78" s="13"/>
      <c r="MK78" s="13"/>
      <c r="ML78" s="13"/>
      <c r="MM78" s="13"/>
      <c r="MN78" s="13"/>
      <c r="MO78" s="13"/>
      <c r="MP78" s="13"/>
      <c r="MQ78" s="13"/>
      <c r="MR78" s="13"/>
      <c r="MS78" s="13"/>
      <c r="MT78" s="13"/>
      <c r="MU78" s="13"/>
      <c r="MV78" s="13"/>
      <c r="MW78" s="13"/>
      <c r="MX78" s="13"/>
      <c r="MY78" s="13"/>
      <c r="MZ78" s="13"/>
      <c r="NA78" s="13"/>
      <c r="NB78" s="13"/>
      <c r="NC78" s="13"/>
      <c r="ND78" s="13"/>
      <c r="NE78" s="13"/>
      <c r="NF78" s="13"/>
      <c r="NG78" s="13"/>
      <c r="NH78" s="13"/>
      <c r="NI78" s="13"/>
      <c r="NJ78" s="13"/>
      <c r="NK78" s="13"/>
      <c r="NL78" s="13"/>
      <c r="NM78" s="13"/>
      <c r="NN78" s="13"/>
      <c r="NO78" s="13"/>
      <c r="NP78" s="13"/>
      <c r="NQ78" s="13"/>
      <c r="NR78" s="13"/>
      <c r="NS78" s="13"/>
      <c r="NT78" s="13"/>
      <c r="NU78" s="13"/>
      <c r="NV78" s="13"/>
      <c r="NW78" s="13"/>
      <c r="NX78" s="13"/>
      <c r="NY78" s="13"/>
      <c r="NZ78" s="13"/>
      <c r="OA78" s="13"/>
      <c r="OB78" s="13"/>
      <c r="OC78" s="13"/>
      <c r="OD78" s="13"/>
      <c r="OE78" s="13"/>
      <c r="OF78" s="13"/>
      <c r="OG78" s="13"/>
      <c r="OH78" s="13"/>
      <c r="OI78" s="13"/>
      <c r="OJ78" s="13"/>
      <c r="OK78" s="13"/>
      <c r="OL78" s="13"/>
      <c r="OM78" s="13"/>
      <c r="ON78" s="13"/>
      <c r="OO78" s="13"/>
      <c r="OP78" s="13"/>
      <c r="OQ78" s="13"/>
      <c r="OR78" s="13"/>
      <c r="OS78" s="13"/>
      <c r="OT78" s="13"/>
      <c r="OU78" s="13"/>
      <c r="OV78" s="13"/>
      <c r="OW78" s="13"/>
      <c r="OX78" s="13"/>
      <c r="OY78" s="13"/>
      <c r="OZ78" s="13"/>
      <c r="PA78" s="13"/>
      <c r="PB78" s="13"/>
      <c r="PC78" s="13"/>
      <c r="PD78" s="13"/>
      <c r="PE78" s="13"/>
      <c r="PF78" s="13"/>
      <c r="PG78" s="13"/>
      <c r="PH78" s="13"/>
      <c r="PI78" s="13"/>
      <c r="PJ78" s="13"/>
      <c r="PK78" s="13"/>
      <c r="PL78" s="13"/>
      <c r="PM78" s="13"/>
      <c r="PN78" s="13"/>
      <c r="PO78" s="13"/>
      <c r="PP78" s="13"/>
      <c r="PQ78" s="13"/>
      <c r="PR78" s="13"/>
      <c r="PS78" s="13"/>
      <c r="PT78" s="13"/>
      <c r="PU78" s="13"/>
      <c r="PV78" s="13"/>
      <c r="PW78" s="13"/>
      <c r="PX78" s="13"/>
      <c r="PY78" s="13"/>
      <c r="PZ78" s="13"/>
      <c r="QA78" s="13"/>
    </row>
    <row r="79" spans="1:443" x14ac:dyDescent="0.3">
      <c r="B79" s="15"/>
      <c r="C79" s="15"/>
      <c r="D79" s="15"/>
      <c r="E79" s="15"/>
      <c r="F79" s="31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6"/>
      <c r="R79" s="17" t="str">
        <f t="shared" si="6"/>
        <v/>
      </c>
      <c r="S79" s="17" t="str">
        <f t="shared" si="7"/>
        <v/>
      </c>
      <c r="T79" s="18" t="str">
        <f t="shared" si="8"/>
        <v/>
      </c>
      <c r="V79" s="19" t="str">
        <f t="shared" si="9"/>
        <v/>
      </c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  <c r="JP79" s="13"/>
      <c r="JQ79" s="13"/>
      <c r="JR79" s="13"/>
      <c r="JS79" s="13"/>
      <c r="JT79" s="13"/>
      <c r="JU79" s="13"/>
      <c r="JV79" s="13"/>
      <c r="JW79" s="13"/>
      <c r="JX79" s="13"/>
      <c r="JY79" s="13"/>
      <c r="JZ79" s="13"/>
      <c r="KA79" s="13"/>
      <c r="KB79" s="13"/>
      <c r="KC79" s="13"/>
      <c r="KD79" s="13"/>
      <c r="KE79" s="13"/>
      <c r="KF79" s="13"/>
      <c r="KG79" s="13"/>
      <c r="KH79" s="13"/>
      <c r="KI79" s="13"/>
      <c r="KJ79" s="13"/>
      <c r="KK79" s="13"/>
      <c r="KL79" s="13"/>
      <c r="KM79" s="13"/>
      <c r="KN79" s="13"/>
      <c r="KO79" s="13"/>
      <c r="KP79" s="13"/>
      <c r="KQ79" s="13"/>
      <c r="KR79" s="13"/>
      <c r="KS79" s="13"/>
      <c r="KT79" s="13"/>
      <c r="KU79" s="13"/>
      <c r="KV79" s="13"/>
      <c r="KW79" s="13"/>
      <c r="KX79" s="13"/>
      <c r="KY79" s="13"/>
      <c r="KZ79" s="13"/>
      <c r="LA79" s="13"/>
      <c r="LB79" s="13"/>
      <c r="LC79" s="13"/>
      <c r="LD79" s="13"/>
      <c r="LE79" s="13"/>
      <c r="LF79" s="13"/>
      <c r="LG79" s="13"/>
      <c r="LH79" s="13"/>
      <c r="LI79" s="13"/>
      <c r="LJ79" s="13"/>
      <c r="LK79" s="13"/>
      <c r="LL79" s="13"/>
      <c r="LM79" s="13"/>
      <c r="LN79" s="13"/>
      <c r="LO79" s="13"/>
      <c r="LP79" s="13"/>
      <c r="LQ79" s="13"/>
      <c r="LR79" s="13"/>
      <c r="LS79" s="13"/>
      <c r="LT79" s="13"/>
      <c r="LU79" s="13"/>
      <c r="LV79" s="13"/>
      <c r="LW79" s="13"/>
      <c r="LX79" s="13"/>
      <c r="LY79" s="13"/>
      <c r="LZ79" s="13"/>
      <c r="MA79" s="13"/>
      <c r="MB79" s="13"/>
      <c r="MC79" s="13"/>
      <c r="MD79" s="13"/>
      <c r="ME79" s="13"/>
      <c r="MF79" s="13"/>
      <c r="MG79" s="13"/>
      <c r="MH79" s="13"/>
      <c r="MI79" s="13"/>
      <c r="MJ79" s="13"/>
      <c r="MK79" s="13"/>
      <c r="ML79" s="13"/>
      <c r="MM79" s="13"/>
      <c r="MN79" s="13"/>
      <c r="MO79" s="13"/>
      <c r="MP79" s="13"/>
      <c r="MQ79" s="13"/>
      <c r="MR79" s="13"/>
      <c r="MS79" s="13"/>
      <c r="MT79" s="13"/>
      <c r="MU79" s="13"/>
      <c r="MV79" s="13"/>
      <c r="MW79" s="13"/>
      <c r="MX79" s="13"/>
      <c r="MY79" s="13"/>
      <c r="MZ79" s="13"/>
      <c r="NA79" s="13"/>
      <c r="NB79" s="13"/>
      <c r="NC79" s="13"/>
      <c r="ND79" s="13"/>
      <c r="NE79" s="13"/>
      <c r="NF79" s="13"/>
      <c r="NG79" s="13"/>
      <c r="NH79" s="13"/>
      <c r="NI79" s="13"/>
      <c r="NJ79" s="13"/>
      <c r="NK79" s="13"/>
      <c r="NL79" s="13"/>
      <c r="NM79" s="13"/>
      <c r="NN79" s="13"/>
      <c r="NO79" s="13"/>
      <c r="NP79" s="13"/>
      <c r="NQ79" s="13"/>
      <c r="NR79" s="13"/>
      <c r="NS79" s="13"/>
      <c r="NT79" s="13"/>
      <c r="NU79" s="13"/>
      <c r="NV79" s="13"/>
      <c r="NW79" s="13"/>
      <c r="NX79" s="13"/>
      <c r="NY79" s="13"/>
      <c r="NZ79" s="13"/>
      <c r="OA79" s="13"/>
      <c r="OB79" s="13"/>
      <c r="OC79" s="13"/>
      <c r="OD79" s="13"/>
      <c r="OE79" s="13"/>
      <c r="OF79" s="13"/>
      <c r="OG79" s="13"/>
      <c r="OH79" s="13"/>
      <c r="OI79" s="13"/>
      <c r="OJ79" s="13"/>
      <c r="OK79" s="13"/>
      <c r="OL79" s="13"/>
      <c r="OM79" s="13"/>
      <c r="ON79" s="13"/>
      <c r="OO79" s="13"/>
      <c r="OP79" s="13"/>
      <c r="OQ79" s="13"/>
      <c r="OR79" s="13"/>
      <c r="OS79" s="13"/>
      <c r="OT79" s="13"/>
      <c r="OU79" s="13"/>
      <c r="OV79" s="13"/>
      <c r="OW79" s="13"/>
      <c r="OX79" s="13"/>
      <c r="OY79" s="13"/>
      <c r="OZ79" s="13"/>
      <c r="PA79" s="13"/>
      <c r="PB79" s="13"/>
      <c r="PC79" s="13"/>
      <c r="PD79" s="13"/>
      <c r="PE79" s="13"/>
      <c r="PF79" s="13"/>
      <c r="PG79" s="13"/>
      <c r="PH79" s="13"/>
      <c r="PI79" s="13"/>
      <c r="PJ79" s="13"/>
      <c r="PK79" s="13"/>
      <c r="PL79" s="13"/>
      <c r="PM79" s="13"/>
      <c r="PN79" s="13"/>
      <c r="PO79" s="13"/>
      <c r="PP79" s="13"/>
      <c r="PQ79" s="13"/>
      <c r="PR79" s="13"/>
      <c r="PS79" s="13"/>
      <c r="PT79" s="13"/>
      <c r="PU79" s="13"/>
      <c r="PV79" s="13"/>
      <c r="PW79" s="13"/>
      <c r="PX79" s="13"/>
      <c r="PY79" s="13"/>
      <c r="PZ79" s="13"/>
      <c r="QA79" s="13"/>
    </row>
    <row r="80" spans="1:443" x14ac:dyDescent="0.3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6"/>
      <c r="R80" s="17" t="str">
        <f t="shared" si="6"/>
        <v/>
      </c>
      <c r="S80" s="17" t="str">
        <f t="shared" si="7"/>
        <v/>
      </c>
      <c r="T80" s="18" t="str">
        <f t="shared" si="8"/>
        <v/>
      </c>
      <c r="U80" s="15"/>
      <c r="V80" s="19" t="str">
        <f t="shared" si="9"/>
        <v/>
      </c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  <c r="JP80" s="13"/>
      <c r="JQ80" s="13"/>
      <c r="JR80" s="13"/>
      <c r="JS80" s="13"/>
      <c r="JT80" s="13"/>
      <c r="JU80" s="13"/>
      <c r="JV80" s="13"/>
      <c r="JW80" s="13"/>
      <c r="JX80" s="13"/>
      <c r="JY80" s="13"/>
      <c r="JZ80" s="13"/>
      <c r="KA80" s="13"/>
      <c r="KB80" s="13"/>
      <c r="KC80" s="13"/>
      <c r="KD80" s="13"/>
      <c r="KE80" s="13"/>
      <c r="KF80" s="13"/>
      <c r="KG80" s="13"/>
      <c r="KH80" s="13"/>
      <c r="KI80" s="13"/>
      <c r="KJ80" s="13"/>
      <c r="KK80" s="13"/>
      <c r="KL80" s="13"/>
      <c r="KM80" s="13"/>
      <c r="KN80" s="13"/>
      <c r="KO80" s="13"/>
      <c r="KP80" s="13"/>
      <c r="KQ80" s="13"/>
      <c r="KR80" s="13"/>
      <c r="KS80" s="13"/>
      <c r="KT80" s="13"/>
      <c r="KU80" s="13"/>
      <c r="KV80" s="13"/>
      <c r="KW80" s="13"/>
      <c r="KX80" s="13"/>
      <c r="KY80" s="13"/>
      <c r="KZ80" s="13"/>
      <c r="LA80" s="13"/>
      <c r="LB80" s="13"/>
      <c r="LC80" s="13"/>
      <c r="LD80" s="13"/>
      <c r="LE80" s="13"/>
      <c r="LF80" s="13"/>
      <c r="LG80" s="13"/>
      <c r="LH80" s="13"/>
      <c r="LI80" s="13"/>
      <c r="LJ80" s="13"/>
      <c r="LK80" s="13"/>
      <c r="LL80" s="13"/>
      <c r="LM80" s="13"/>
      <c r="LN80" s="13"/>
      <c r="LO80" s="13"/>
      <c r="LP80" s="13"/>
      <c r="LQ80" s="13"/>
      <c r="LR80" s="13"/>
      <c r="LS80" s="13"/>
      <c r="LT80" s="13"/>
      <c r="LU80" s="13"/>
      <c r="LV80" s="13"/>
      <c r="LW80" s="13"/>
      <c r="LX80" s="13"/>
      <c r="LY80" s="13"/>
      <c r="LZ80" s="13"/>
      <c r="MA80" s="13"/>
      <c r="MB80" s="13"/>
      <c r="MC80" s="13"/>
      <c r="MD80" s="13"/>
      <c r="ME80" s="13"/>
      <c r="MF80" s="13"/>
      <c r="MG80" s="13"/>
      <c r="MH80" s="13"/>
      <c r="MI80" s="13"/>
      <c r="MJ80" s="13"/>
      <c r="MK80" s="13"/>
      <c r="ML80" s="13"/>
      <c r="MM80" s="13"/>
      <c r="MN80" s="13"/>
      <c r="MO80" s="13"/>
      <c r="MP80" s="13"/>
      <c r="MQ80" s="13"/>
      <c r="MR80" s="13"/>
      <c r="MS80" s="13"/>
      <c r="MT80" s="13"/>
      <c r="MU80" s="13"/>
      <c r="MV80" s="13"/>
      <c r="MW80" s="13"/>
      <c r="MX80" s="13"/>
      <c r="MY80" s="13"/>
      <c r="MZ80" s="13"/>
      <c r="NA80" s="13"/>
      <c r="NB80" s="13"/>
      <c r="NC80" s="13"/>
      <c r="ND80" s="13"/>
      <c r="NE80" s="13"/>
      <c r="NF80" s="13"/>
      <c r="NG80" s="13"/>
      <c r="NH80" s="13"/>
      <c r="NI80" s="13"/>
      <c r="NJ80" s="13"/>
      <c r="NK80" s="13"/>
      <c r="NL80" s="13"/>
      <c r="NM80" s="13"/>
      <c r="NN80" s="13"/>
      <c r="NO80" s="13"/>
      <c r="NP80" s="13"/>
      <c r="NQ80" s="13"/>
      <c r="NR80" s="13"/>
      <c r="NS80" s="13"/>
      <c r="NT80" s="13"/>
      <c r="NU80" s="13"/>
      <c r="NV80" s="13"/>
      <c r="NW80" s="13"/>
      <c r="NX80" s="13"/>
      <c r="NY80" s="13"/>
      <c r="NZ80" s="13"/>
      <c r="OA80" s="13"/>
      <c r="OB80" s="13"/>
      <c r="OC80" s="13"/>
      <c r="OD80" s="13"/>
      <c r="OE80" s="13"/>
      <c r="OF80" s="13"/>
      <c r="OG80" s="13"/>
      <c r="OH80" s="13"/>
      <c r="OI80" s="13"/>
      <c r="OJ80" s="13"/>
      <c r="OK80" s="13"/>
      <c r="OL80" s="13"/>
      <c r="OM80" s="13"/>
      <c r="ON80" s="13"/>
      <c r="OO80" s="13"/>
      <c r="OP80" s="13"/>
      <c r="OQ80" s="13"/>
      <c r="OR80" s="13"/>
      <c r="OS80" s="13"/>
      <c r="OT80" s="13"/>
      <c r="OU80" s="13"/>
      <c r="OV80" s="13"/>
      <c r="OW80" s="13"/>
      <c r="OX80" s="13"/>
      <c r="OY80" s="13"/>
      <c r="OZ80" s="13"/>
      <c r="PA80" s="13"/>
      <c r="PB80" s="13"/>
      <c r="PC80" s="13"/>
      <c r="PD80" s="13"/>
      <c r="PE80" s="13"/>
      <c r="PF80" s="13"/>
      <c r="PG80" s="13"/>
      <c r="PH80" s="13"/>
      <c r="PI80" s="13"/>
      <c r="PJ80" s="13"/>
      <c r="PK80" s="13"/>
      <c r="PL80" s="13"/>
      <c r="PM80" s="13"/>
      <c r="PN80" s="13"/>
      <c r="PO80" s="13"/>
      <c r="PP80" s="13"/>
      <c r="PQ80" s="13"/>
      <c r="PR80" s="13"/>
      <c r="PS80" s="13"/>
      <c r="PT80" s="13"/>
      <c r="PU80" s="13"/>
      <c r="PV80" s="13"/>
      <c r="PW80" s="13"/>
      <c r="PX80" s="13"/>
      <c r="PY80" s="13"/>
      <c r="PZ80" s="13"/>
      <c r="QA80" s="13"/>
    </row>
    <row r="81" spans="1:443" x14ac:dyDescent="0.3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6"/>
      <c r="R81" s="17" t="str">
        <f t="shared" si="6"/>
        <v/>
      </c>
      <c r="S81" s="17" t="str">
        <f t="shared" si="7"/>
        <v/>
      </c>
      <c r="T81" s="18" t="str">
        <f t="shared" si="8"/>
        <v/>
      </c>
      <c r="U81" s="15"/>
      <c r="V81" s="19" t="str">
        <f t="shared" si="9"/>
        <v/>
      </c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  <c r="JP81" s="13"/>
      <c r="JQ81" s="13"/>
      <c r="JR81" s="13"/>
      <c r="JS81" s="13"/>
      <c r="JT81" s="13"/>
      <c r="JU81" s="13"/>
      <c r="JV81" s="13"/>
      <c r="JW81" s="13"/>
      <c r="JX81" s="13"/>
      <c r="JY81" s="13"/>
      <c r="JZ81" s="13"/>
      <c r="KA81" s="13"/>
      <c r="KB81" s="13"/>
      <c r="KC81" s="13"/>
      <c r="KD81" s="13"/>
      <c r="KE81" s="13"/>
      <c r="KF81" s="13"/>
      <c r="KG81" s="13"/>
      <c r="KH81" s="13"/>
      <c r="KI81" s="13"/>
      <c r="KJ81" s="13"/>
      <c r="KK81" s="13"/>
      <c r="KL81" s="13"/>
      <c r="KM81" s="13"/>
      <c r="KN81" s="13"/>
      <c r="KO81" s="13"/>
      <c r="KP81" s="13"/>
      <c r="KQ81" s="13"/>
      <c r="KR81" s="13"/>
      <c r="KS81" s="13"/>
      <c r="KT81" s="13"/>
      <c r="KU81" s="13"/>
      <c r="KV81" s="13"/>
      <c r="KW81" s="13"/>
      <c r="KX81" s="13"/>
      <c r="KY81" s="13"/>
      <c r="KZ81" s="13"/>
      <c r="LA81" s="13"/>
      <c r="LB81" s="13"/>
      <c r="LC81" s="13"/>
      <c r="LD81" s="13"/>
      <c r="LE81" s="13"/>
      <c r="LF81" s="13"/>
      <c r="LG81" s="13"/>
      <c r="LH81" s="13"/>
      <c r="LI81" s="13"/>
      <c r="LJ81" s="13"/>
      <c r="LK81" s="13"/>
      <c r="LL81" s="13"/>
      <c r="LM81" s="13"/>
      <c r="LN81" s="13"/>
      <c r="LO81" s="13"/>
      <c r="LP81" s="13"/>
      <c r="LQ81" s="13"/>
      <c r="LR81" s="13"/>
      <c r="LS81" s="13"/>
      <c r="LT81" s="13"/>
      <c r="LU81" s="13"/>
      <c r="LV81" s="13"/>
      <c r="LW81" s="13"/>
      <c r="LX81" s="13"/>
      <c r="LY81" s="13"/>
      <c r="LZ81" s="13"/>
      <c r="MA81" s="13"/>
      <c r="MB81" s="13"/>
      <c r="MC81" s="13"/>
      <c r="MD81" s="13"/>
      <c r="ME81" s="13"/>
      <c r="MF81" s="13"/>
      <c r="MG81" s="13"/>
      <c r="MH81" s="13"/>
      <c r="MI81" s="13"/>
      <c r="MJ81" s="13"/>
      <c r="MK81" s="13"/>
      <c r="ML81" s="13"/>
      <c r="MM81" s="13"/>
      <c r="MN81" s="13"/>
      <c r="MO81" s="13"/>
      <c r="MP81" s="13"/>
      <c r="MQ81" s="13"/>
      <c r="MR81" s="13"/>
      <c r="MS81" s="13"/>
      <c r="MT81" s="13"/>
      <c r="MU81" s="13"/>
      <c r="MV81" s="13"/>
      <c r="MW81" s="13"/>
      <c r="MX81" s="13"/>
      <c r="MY81" s="13"/>
      <c r="MZ81" s="13"/>
      <c r="NA81" s="13"/>
      <c r="NB81" s="13"/>
      <c r="NC81" s="13"/>
      <c r="ND81" s="13"/>
      <c r="NE81" s="13"/>
      <c r="NF81" s="13"/>
      <c r="NG81" s="13"/>
      <c r="NH81" s="13"/>
      <c r="NI81" s="13"/>
      <c r="NJ81" s="13"/>
      <c r="NK81" s="13"/>
      <c r="NL81" s="13"/>
      <c r="NM81" s="13"/>
      <c r="NN81" s="13"/>
      <c r="NO81" s="13"/>
      <c r="NP81" s="13"/>
      <c r="NQ81" s="13"/>
      <c r="NR81" s="13"/>
      <c r="NS81" s="13"/>
      <c r="NT81" s="13"/>
      <c r="NU81" s="13"/>
      <c r="NV81" s="13"/>
      <c r="NW81" s="13"/>
      <c r="NX81" s="13"/>
      <c r="NY81" s="13"/>
      <c r="NZ81" s="13"/>
      <c r="OA81" s="13"/>
      <c r="OB81" s="13"/>
      <c r="OC81" s="13"/>
      <c r="OD81" s="13"/>
      <c r="OE81" s="13"/>
      <c r="OF81" s="13"/>
      <c r="OG81" s="13"/>
      <c r="OH81" s="13"/>
      <c r="OI81" s="13"/>
      <c r="OJ81" s="13"/>
      <c r="OK81" s="13"/>
      <c r="OL81" s="13"/>
      <c r="OM81" s="13"/>
      <c r="ON81" s="13"/>
      <c r="OO81" s="13"/>
      <c r="OP81" s="13"/>
      <c r="OQ81" s="13"/>
      <c r="OR81" s="13"/>
      <c r="OS81" s="13"/>
      <c r="OT81" s="13"/>
      <c r="OU81" s="13"/>
      <c r="OV81" s="13"/>
      <c r="OW81" s="13"/>
      <c r="OX81" s="13"/>
      <c r="OY81" s="13"/>
      <c r="OZ81" s="13"/>
      <c r="PA81" s="13"/>
      <c r="PB81" s="13"/>
      <c r="PC81" s="13"/>
      <c r="PD81" s="13"/>
      <c r="PE81" s="13"/>
      <c r="PF81" s="13"/>
      <c r="PG81" s="13"/>
      <c r="PH81" s="13"/>
      <c r="PI81" s="13"/>
      <c r="PJ81" s="13"/>
      <c r="PK81" s="13"/>
      <c r="PL81" s="13"/>
      <c r="PM81" s="13"/>
      <c r="PN81" s="13"/>
      <c r="PO81" s="13"/>
      <c r="PP81" s="13"/>
      <c r="PQ81" s="13"/>
      <c r="PR81" s="13"/>
      <c r="PS81" s="13"/>
      <c r="PT81" s="13"/>
      <c r="PU81" s="13"/>
      <c r="PV81" s="13"/>
      <c r="PW81" s="13"/>
      <c r="PX81" s="13"/>
      <c r="PY81" s="13"/>
      <c r="PZ81" s="13"/>
      <c r="QA81" s="13"/>
    </row>
    <row r="82" spans="1:443" x14ac:dyDescent="0.3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6"/>
      <c r="R82" s="17" t="str">
        <f t="shared" si="6"/>
        <v/>
      </c>
      <c r="S82" s="17" t="str">
        <f t="shared" si="7"/>
        <v/>
      </c>
      <c r="T82" s="18" t="str">
        <f t="shared" si="8"/>
        <v/>
      </c>
      <c r="U82" s="15"/>
      <c r="V82" s="19" t="str">
        <f t="shared" si="9"/>
        <v/>
      </c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  <c r="JP82" s="13"/>
      <c r="JQ82" s="13"/>
      <c r="JR82" s="13"/>
      <c r="JS82" s="13"/>
      <c r="JT82" s="13"/>
      <c r="JU82" s="13"/>
      <c r="JV82" s="13"/>
      <c r="JW82" s="13"/>
      <c r="JX82" s="13"/>
      <c r="JY82" s="13"/>
      <c r="JZ82" s="13"/>
      <c r="KA82" s="13"/>
      <c r="KB82" s="13"/>
      <c r="KC82" s="13"/>
      <c r="KD82" s="13"/>
      <c r="KE82" s="13"/>
      <c r="KF82" s="13"/>
      <c r="KG82" s="13"/>
      <c r="KH82" s="13"/>
      <c r="KI82" s="13"/>
      <c r="KJ82" s="13"/>
      <c r="KK82" s="13"/>
      <c r="KL82" s="13"/>
      <c r="KM82" s="13"/>
      <c r="KN82" s="13"/>
      <c r="KO82" s="13"/>
      <c r="KP82" s="13"/>
      <c r="KQ82" s="13"/>
      <c r="KR82" s="13"/>
      <c r="KS82" s="13"/>
      <c r="KT82" s="13"/>
      <c r="KU82" s="13"/>
      <c r="KV82" s="13"/>
      <c r="KW82" s="13"/>
      <c r="KX82" s="13"/>
      <c r="KY82" s="13"/>
      <c r="KZ82" s="13"/>
      <c r="LA82" s="13"/>
      <c r="LB82" s="13"/>
      <c r="LC82" s="13"/>
      <c r="LD82" s="13"/>
      <c r="LE82" s="13"/>
      <c r="LF82" s="13"/>
      <c r="LG82" s="13"/>
      <c r="LH82" s="13"/>
      <c r="LI82" s="13"/>
      <c r="LJ82" s="13"/>
      <c r="LK82" s="13"/>
      <c r="LL82" s="13"/>
      <c r="LM82" s="13"/>
      <c r="LN82" s="13"/>
      <c r="LO82" s="13"/>
      <c r="LP82" s="13"/>
      <c r="LQ82" s="13"/>
      <c r="LR82" s="13"/>
      <c r="LS82" s="13"/>
      <c r="LT82" s="13"/>
      <c r="LU82" s="13"/>
      <c r="LV82" s="13"/>
      <c r="LW82" s="13"/>
      <c r="LX82" s="13"/>
      <c r="LY82" s="13"/>
      <c r="LZ82" s="13"/>
      <c r="MA82" s="13"/>
      <c r="MB82" s="13"/>
      <c r="MC82" s="13"/>
      <c r="MD82" s="13"/>
      <c r="ME82" s="13"/>
      <c r="MF82" s="13"/>
      <c r="MG82" s="13"/>
      <c r="MH82" s="13"/>
      <c r="MI82" s="13"/>
      <c r="MJ82" s="13"/>
      <c r="MK82" s="13"/>
      <c r="ML82" s="13"/>
      <c r="MM82" s="13"/>
      <c r="MN82" s="13"/>
      <c r="MO82" s="13"/>
      <c r="MP82" s="13"/>
      <c r="MQ82" s="13"/>
      <c r="MR82" s="13"/>
      <c r="MS82" s="13"/>
      <c r="MT82" s="13"/>
      <c r="MU82" s="13"/>
      <c r="MV82" s="13"/>
      <c r="MW82" s="13"/>
      <c r="MX82" s="13"/>
      <c r="MY82" s="13"/>
      <c r="MZ82" s="13"/>
      <c r="NA82" s="13"/>
      <c r="NB82" s="13"/>
      <c r="NC82" s="13"/>
      <c r="ND82" s="13"/>
      <c r="NE82" s="13"/>
      <c r="NF82" s="13"/>
      <c r="NG82" s="13"/>
      <c r="NH82" s="13"/>
      <c r="NI82" s="13"/>
      <c r="NJ82" s="13"/>
      <c r="NK82" s="13"/>
      <c r="NL82" s="13"/>
      <c r="NM82" s="13"/>
      <c r="NN82" s="13"/>
      <c r="NO82" s="13"/>
      <c r="NP82" s="13"/>
      <c r="NQ82" s="13"/>
      <c r="NR82" s="13"/>
      <c r="NS82" s="13"/>
      <c r="NT82" s="13"/>
      <c r="NU82" s="13"/>
      <c r="NV82" s="13"/>
      <c r="NW82" s="13"/>
      <c r="NX82" s="13"/>
      <c r="NY82" s="13"/>
      <c r="NZ82" s="13"/>
      <c r="OA82" s="13"/>
      <c r="OB82" s="13"/>
      <c r="OC82" s="13"/>
      <c r="OD82" s="13"/>
      <c r="OE82" s="13"/>
      <c r="OF82" s="13"/>
      <c r="OG82" s="13"/>
      <c r="OH82" s="13"/>
      <c r="OI82" s="13"/>
      <c r="OJ82" s="13"/>
      <c r="OK82" s="13"/>
      <c r="OL82" s="13"/>
      <c r="OM82" s="13"/>
      <c r="ON82" s="13"/>
      <c r="OO82" s="13"/>
      <c r="OP82" s="13"/>
      <c r="OQ82" s="13"/>
      <c r="OR82" s="13"/>
      <c r="OS82" s="13"/>
      <c r="OT82" s="13"/>
      <c r="OU82" s="13"/>
      <c r="OV82" s="13"/>
      <c r="OW82" s="13"/>
      <c r="OX82" s="13"/>
      <c r="OY82" s="13"/>
      <c r="OZ82" s="13"/>
      <c r="PA82" s="13"/>
      <c r="PB82" s="13"/>
      <c r="PC82" s="13"/>
      <c r="PD82" s="13"/>
      <c r="PE82" s="13"/>
      <c r="PF82" s="13"/>
      <c r="PG82" s="13"/>
      <c r="PH82" s="13"/>
      <c r="PI82" s="13"/>
      <c r="PJ82" s="13"/>
      <c r="PK82" s="13"/>
      <c r="PL82" s="13"/>
      <c r="PM82" s="13"/>
      <c r="PN82" s="13"/>
      <c r="PO82" s="13"/>
      <c r="PP82" s="13"/>
      <c r="PQ82" s="13"/>
      <c r="PR82" s="13"/>
      <c r="PS82" s="13"/>
      <c r="PT82" s="13"/>
      <c r="PU82" s="13"/>
      <c r="PV82" s="13"/>
      <c r="PW82" s="13"/>
      <c r="PX82" s="13"/>
      <c r="PY82" s="13"/>
      <c r="PZ82" s="13"/>
      <c r="QA82" s="13"/>
    </row>
    <row r="83" spans="1:443" x14ac:dyDescent="0.3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6"/>
      <c r="R83" s="17" t="str">
        <f t="shared" si="6"/>
        <v/>
      </c>
      <c r="S83" s="17" t="str">
        <f t="shared" si="7"/>
        <v/>
      </c>
      <c r="T83" s="18" t="str">
        <f t="shared" si="8"/>
        <v/>
      </c>
      <c r="U83" s="15"/>
      <c r="V83" s="19" t="str">
        <f t="shared" si="9"/>
        <v/>
      </c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  <c r="JP83" s="13"/>
      <c r="JQ83" s="13"/>
      <c r="JR83" s="13"/>
      <c r="JS83" s="13"/>
      <c r="JT83" s="13"/>
      <c r="JU83" s="13"/>
      <c r="JV83" s="13"/>
      <c r="JW83" s="13"/>
      <c r="JX83" s="13"/>
      <c r="JY83" s="13"/>
      <c r="JZ83" s="13"/>
      <c r="KA83" s="13"/>
      <c r="KB83" s="13"/>
      <c r="KC83" s="13"/>
      <c r="KD83" s="13"/>
      <c r="KE83" s="13"/>
      <c r="KF83" s="13"/>
      <c r="KG83" s="13"/>
      <c r="KH83" s="13"/>
      <c r="KI83" s="13"/>
      <c r="KJ83" s="13"/>
      <c r="KK83" s="13"/>
      <c r="KL83" s="13"/>
      <c r="KM83" s="13"/>
      <c r="KN83" s="13"/>
      <c r="KO83" s="13"/>
      <c r="KP83" s="13"/>
      <c r="KQ83" s="13"/>
      <c r="KR83" s="13"/>
      <c r="KS83" s="13"/>
      <c r="KT83" s="13"/>
      <c r="KU83" s="13"/>
      <c r="KV83" s="13"/>
      <c r="KW83" s="13"/>
      <c r="KX83" s="13"/>
      <c r="KY83" s="13"/>
      <c r="KZ83" s="13"/>
      <c r="LA83" s="13"/>
      <c r="LB83" s="13"/>
      <c r="LC83" s="13"/>
      <c r="LD83" s="13"/>
      <c r="LE83" s="13"/>
      <c r="LF83" s="13"/>
      <c r="LG83" s="13"/>
      <c r="LH83" s="13"/>
      <c r="LI83" s="13"/>
      <c r="LJ83" s="13"/>
      <c r="LK83" s="13"/>
      <c r="LL83" s="13"/>
      <c r="LM83" s="13"/>
      <c r="LN83" s="13"/>
      <c r="LO83" s="13"/>
      <c r="LP83" s="13"/>
      <c r="LQ83" s="13"/>
      <c r="LR83" s="13"/>
      <c r="LS83" s="13"/>
      <c r="LT83" s="13"/>
      <c r="LU83" s="13"/>
      <c r="LV83" s="13"/>
      <c r="LW83" s="13"/>
      <c r="LX83" s="13"/>
      <c r="LY83" s="13"/>
      <c r="LZ83" s="13"/>
      <c r="MA83" s="13"/>
      <c r="MB83" s="13"/>
      <c r="MC83" s="13"/>
      <c r="MD83" s="13"/>
      <c r="ME83" s="13"/>
      <c r="MF83" s="13"/>
      <c r="MG83" s="13"/>
      <c r="MH83" s="13"/>
      <c r="MI83" s="13"/>
      <c r="MJ83" s="13"/>
      <c r="MK83" s="13"/>
      <c r="ML83" s="13"/>
      <c r="MM83" s="13"/>
      <c r="MN83" s="13"/>
      <c r="MO83" s="13"/>
      <c r="MP83" s="13"/>
      <c r="MQ83" s="13"/>
      <c r="MR83" s="13"/>
      <c r="MS83" s="13"/>
      <c r="MT83" s="13"/>
      <c r="MU83" s="13"/>
      <c r="MV83" s="13"/>
      <c r="MW83" s="13"/>
      <c r="MX83" s="13"/>
      <c r="MY83" s="13"/>
      <c r="MZ83" s="13"/>
      <c r="NA83" s="13"/>
      <c r="NB83" s="13"/>
      <c r="NC83" s="13"/>
      <c r="ND83" s="13"/>
      <c r="NE83" s="13"/>
      <c r="NF83" s="13"/>
      <c r="NG83" s="13"/>
      <c r="NH83" s="13"/>
      <c r="NI83" s="13"/>
      <c r="NJ83" s="13"/>
      <c r="NK83" s="13"/>
      <c r="NL83" s="13"/>
      <c r="NM83" s="13"/>
      <c r="NN83" s="13"/>
      <c r="NO83" s="13"/>
      <c r="NP83" s="13"/>
      <c r="NQ83" s="13"/>
      <c r="NR83" s="13"/>
      <c r="NS83" s="13"/>
      <c r="NT83" s="13"/>
      <c r="NU83" s="13"/>
      <c r="NV83" s="13"/>
      <c r="NW83" s="13"/>
      <c r="NX83" s="13"/>
      <c r="NY83" s="13"/>
      <c r="NZ83" s="13"/>
      <c r="OA83" s="13"/>
      <c r="OB83" s="13"/>
      <c r="OC83" s="13"/>
      <c r="OD83" s="13"/>
      <c r="OE83" s="13"/>
      <c r="OF83" s="13"/>
      <c r="OG83" s="13"/>
      <c r="OH83" s="13"/>
      <c r="OI83" s="13"/>
      <c r="OJ83" s="13"/>
      <c r="OK83" s="13"/>
      <c r="OL83" s="13"/>
      <c r="OM83" s="13"/>
      <c r="ON83" s="13"/>
      <c r="OO83" s="13"/>
      <c r="OP83" s="13"/>
      <c r="OQ83" s="13"/>
      <c r="OR83" s="13"/>
      <c r="OS83" s="13"/>
      <c r="OT83" s="13"/>
      <c r="OU83" s="13"/>
      <c r="OV83" s="13"/>
      <c r="OW83" s="13"/>
      <c r="OX83" s="13"/>
      <c r="OY83" s="13"/>
      <c r="OZ83" s="13"/>
      <c r="PA83" s="13"/>
      <c r="PB83" s="13"/>
      <c r="PC83" s="13"/>
      <c r="PD83" s="13"/>
      <c r="PE83" s="13"/>
      <c r="PF83" s="13"/>
      <c r="PG83" s="13"/>
      <c r="PH83" s="13"/>
      <c r="PI83" s="13"/>
      <c r="PJ83" s="13"/>
      <c r="PK83" s="13"/>
      <c r="PL83" s="13"/>
      <c r="PM83" s="13"/>
      <c r="PN83" s="13"/>
      <c r="PO83" s="13"/>
      <c r="PP83" s="13"/>
      <c r="PQ83" s="13"/>
      <c r="PR83" s="13"/>
      <c r="PS83" s="13"/>
      <c r="PT83" s="13"/>
      <c r="PU83" s="13"/>
      <c r="PV83" s="13"/>
      <c r="PW83" s="13"/>
      <c r="PX83" s="13"/>
      <c r="PY83" s="13"/>
      <c r="PZ83" s="13"/>
      <c r="QA83" s="13"/>
    </row>
    <row r="84" spans="1:443" x14ac:dyDescent="0.3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6"/>
      <c r="R84" s="17" t="str">
        <f t="shared" si="6"/>
        <v/>
      </c>
      <c r="S84" s="17" t="str">
        <f t="shared" si="7"/>
        <v/>
      </c>
      <c r="T84" s="18" t="str">
        <f t="shared" si="8"/>
        <v/>
      </c>
      <c r="U84" s="15"/>
      <c r="V84" s="19" t="str">
        <f t="shared" si="9"/>
        <v/>
      </c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  <c r="JP84" s="13"/>
      <c r="JQ84" s="13"/>
      <c r="JR84" s="13"/>
      <c r="JS84" s="13"/>
      <c r="JT84" s="13"/>
      <c r="JU84" s="13"/>
      <c r="JV84" s="13"/>
      <c r="JW84" s="13"/>
      <c r="JX84" s="13"/>
      <c r="JY84" s="13"/>
      <c r="JZ84" s="13"/>
      <c r="KA84" s="13"/>
      <c r="KB84" s="13"/>
      <c r="KC84" s="13"/>
      <c r="KD84" s="13"/>
      <c r="KE84" s="13"/>
      <c r="KF84" s="13"/>
      <c r="KG84" s="13"/>
      <c r="KH84" s="13"/>
      <c r="KI84" s="13"/>
      <c r="KJ84" s="13"/>
      <c r="KK84" s="13"/>
      <c r="KL84" s="13"/>
      <c r="KM84" s="13"/>
      <c r="KN84" s="13"/>
      <c r="KO84" s="13"/>
      <c r="KP84" s="13"/>
      <c r="KQ84" s="13"/>
      <c r="KR84" s="13"/>
      <c r="KS84" s="13"/>
      <c r="KT84" s="13"/>
      <c r="KU84" s="13"/>
      <c r="KV84" s="13"/>
      <c r="KW84" s="13"/>
      <c r="KX84" s="13"/>
      <c r="KY84" s="13"/>
      <c r="KZ84" s="13"/>
      <c r="LA84" s="13"/>
      <c r="LB84" s="13"/>
      <c r="LC84" s="13"/>
      <c r="LD84" s="13"/>
      <c r="LE84" s="13"/>
      <c r="LF84" s="13"/>
      <c r="LG84" s="13"/>
      <c r="LH84" s="13"/>
      <c r="LI84" s="13"/>
      <c r="LJ84" s="13"/>
      <c r="LK84" s="13"/>
      <c r="LL84" s="13"/>
      <c r="LM84" s="13"/>
      <c r="LN84" s="13"/>
      <c r="LO84" s="13"/>
      <c r="LP84" s="13"/>
      <c r="LQ84" s="13"/>
      <c r="LR84" s="13"/>
      <c r="LS84" s="13"/>
      <c r="LT84" s="13"/>
      <c r="LU84" s="13"/>
      <c r="LV84" s="13"/>
      <c r="LW84" s="13"/>
      <c r="LX84" s="13"/>
      <c r="LY84" s="13"/>
      <c r="LZ84" s="13"/>
      <c r="MA84" s="13"/>
      <c r="MB84" s="13"/>
      <c r="MC84" s="13"/>
      <c r="MD84" s="13"/>
      <c r="ME84" s="13"/>
      <c r="MF84" s="13"/>
      <c r="MG84" s="13"/>
      <c r="MH84" s="13"/>
      <c r="MI84" s="13"/>
      <c r="MJ84" s="13"/>
      <c r="MK84" s="13"/>
      <c r="ML84" s="13"/>
      <c r="MM84" s="13"/>
      <c r="MN84" s="13"/>
      <c r="MO84" s="13"/>
      <c r="MP84" s="13"/>
      <c r="MQ84" s="13"/>
      <c r="MR84" s="13"/>
      <c r="MS84" s="13"/>
      <c r="MT84" s="13"/>
      <c r="MU84" s="13"/>
      <c r="MV84" s="13"/>
      <c r="MW84" s="13"/>
      <c r="MX84" s="13"/>
      <c r="MY84" s="13"/>
      <c r="MZ84" s="13"/>
      <c r="NA84" s="13"/>
      <c r="NB84" s="13"/>
      <c r="NC84" s="13"/>
      <c r="ND84" s="13"/>
      <c r="NE84" s="13"/>
      <c r="NF84" s="13"/>
      <c r="NG84" s="13"/>
      <c r="NH84" s="13"/>
      <c r="NI84" s="13"/>
      <c r="NJ84" s="13"/>
      <c r="NK84" s="13"/>
      <c r="NL84" s="13"/>
      <c r="NM84" s="13"/>
      <c r="NN84" s="13"/>
      <c r="NO84" s="13"/>
      <c r="NP84" s="13"/>
      <c r="NQ84" s="13"/>
      <c r="NR84" s="13"/>
      <c r="NS84" s="13"/>
      <c r="NT84" s="13"/>
      <c r="NU84" s="13"/>
      <c r="NV84" s="13"/>
      <c r="NW84" s="13"/>
      <c r="NX84" s="13"/>
      <c r="NY84" s="13"/>
      <c r="NZ84" s="13"/>
      <c r="OA84" s="13"/>
      <c r="OB84" s="13"/>
      <c r="OC84" s="13"/>
      <c r="OD84" s="13"/>
      <c r="OE84" s="13"/>
      <c r="OF84" s="13"/>
      <c r="OG84" s="13"/>
      <c r="OH84" s="13"/>
      <c r="OI84" s="13"/>
      <c r="OJ84" s="13"/>
      <c r="OK84" s="13"/>
      <c r="OL84" s="13"/>
      <c r="OM84" s="13"/>
      <c r="ON84" s="13"/>
      <c r="OO84" s="13"/>
      <c r="OP84" s="13"/>
      <c r="OQ84" s="13"/>
      <c r="OR84" s="13"/>
      <c r="OS84" s="13"/>
      <c r="OT84" s="13"/>
      <c r="OU84" s="13"/>
      <c r="OV84" s="13"/>
      <c r="OW84" s="13"/>
      <c r="OX84" s="13"/>
      <c r="OY84" s="13"/>
      <c r="OZ84" s="13"/>
      <c r="PA84" s="13"/>
      <c r="PB84" s="13"/>
      <c r="PC84" s="13"/>
      <c r="PD84" s="13"/>
      <c r="PE84" s="13"/>
      <c r="PF84" s="13"/>
      <c r="PG84" s="13"/>
      <c r="PH84" s="13"/>
      <c r="PI84" s="13"/>
      <c r="PJ84" s="13"/>
      <c r="PK84" s="13"/>
      <c r="PL84" s="13"/>
      <c r="PM84" s="13"/>
      <c r="PN84" s="13"/>
      <c r="PO84" s="13"/>
      <c r="PP84" s="13"/>
      <c r="PQ84" s="13"/>
      <c r="PR84" s="13"/>
      <c r="PS84" s="13"/>
      <c r="PT84" s="13"/>
      <c r="PU84" s="13"/>
      <c r="PV84" s="13"/>
      <c r="PW84" s="13"/>
      <c r="PX84" s="13"/>
      <c r="PY84" s="13"/>
      <c r="PZ84" s="13"/>
      <c r="QA84" s="13"/>
    </row>
    <row r="85" spans="1:443" s="25" customFormat="1" ht="17.45" customHeight="1" x14ac:dyDescent="0.3">
      <c r="A85" s="14"/>
      <c r="B85" s="15"/>
      <c r="C85" s="15"/>
      <c r="D85" s="15"/>
      <c r="E85" s="15"/>
      <c r="F85" s="31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6"/>
      <c r="R85" s="17" t="str">
        <f t="shared" si="6"/>
        <v/>
      </c>
      <c r="S85" s="17" t="str">
        <f t="shared" si="7"/>
        <v/>
      </c>
      <c r="T85" s="18" t="str">
        <f t="shared" si="8"/>
        <v/>
      </c>
      <c r="U85" s="20"/>
      <c r="V85" s="19" t="str">
        <f t="shared" si="9"/>
        <v/>
      </c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  <c r="JP85" s="13"/>
      <c r="JQ85" s="13"/>
      <c r="JR85" s="13"/>
      <c r="JS85" s="13"/>
      <c r="JT85" s="13"/>
      <c r="JU85" s="13"/>
      <c r="JV85" s="13"/>
      <c r="JW85" s="13"/>
      <c r="JX85" s="13"/>
      <c r="JY85" s="13"/>
      <c r="JZ85" s="13"/>
      <c r="KA85" s="13"/>
      <c r="KB85" s="13"/>
      <c r="KC85" s="13"/>
      <c r="KD85" s="13"/>
      <c r="KE85" s="13"/>
      <c r="KF85" s="13"/>
      <c r="KG85" s="13"/>
      <c r="KH85" s="13"/>
      <c r="KI85" s="13"/>
      <c r="KJ85" s="13"/>
      <c r="KK85" s="13"/>
      <c r="KL85" s="13"/>
      <c r="KM85" s="13"/>
      <c r="KN85" s="13"/>
      <c r="KO85" s="13"/>
      <c r="KP85" s="13"/>
      <c r="KQ85" s="13"/>
      <c r="KR85" s="13"/>
      <c r="KS85" s="13"/>
      <c r="KT85" s="13"/>
      <c r="KU85" s="13"/>
      <c r="KV85" s="13"/>
      <c r="KW85" s="13"/>
      <c r="KX85" s="13"/>
      <c r="KY85" s="13"/>
      <c r="KZ85" s="13"/>
      <c r="LA85" s="13"/>
      <c r="LB85" s="13"/>
      <c r="LC85" s="13"/>
      <c r="LD85" s="13"/>
      <c r="LE85" s="13"/>
      <c r="LF85" s="13"/>
      <c r="LG85" s="13"/>
      <c r="LH85" s="13"/>
      <c r="LI85" s="13"/>
      <c r="LJ85" s="13"/>
      <c r="LK85" s="13"/>
      <c r="LL85" s="13"/>
      <c r="LM85" s="13"/>
      <c r="LN85" s="13"/>
      <c r="LO85" s="13"/>
      <c r="LP85" s="13"/>
      <c r="LQ85" s="13"/>
      <c r="LR85" s="13"/>
      <c r="LS85" s="13"/>
      <c r="LT85" s="13"/>
      <c r="LU85" s="13"/>
      <c r="LV85" s="13"/>
      <c r="LW85" s="13"/>
      <c r="LX85" s="13"/>
      <c r="LY85" s="13"/>
      <c r="LZ85" s="13"/>
      <c r="MA85" s="13"/>
      <c r="MB85" s="13"/>
      <c r="MC85" s="13"/>
      <c r="MD85" s="13"/>
      <c r="ME85" s="13"/>
      <c r="MF85" s="13"/>
      <c r="MG85" s="13"/>
      <c r="MH85" s="13"/>
      <c r="MI85" s="13"/>
      <c r="MJ85" s="13"/>
      <c r="MK85" s="13"/>
      <c r="ML85" s="13"/>
      <c r="MM85" s="13"/>
      <c r="MN85" s="13"/>
      <c r="MO85" s="13"/>
      <c r="MP85" s="13"/>
      <c r="MQ85" s="13"/>
      <c r="MR85" s="13"/>
      <c r="MS85" s="13"/>
      <c r="MT85" s="13"/>
      <c r="MU85" s="13"/>
      <c r="MV85" s="13"/>
      <c r="MW85" s="13"/>
      <c r="MX85" s="13"/>
      <c r="MY85" s="13"/>
      <c r="MZ85" s="13"/>
      <c r="NA85" s="13"/>
      <c r="NB85" s="13"/>
      <c r="NC85" s="13"/>
      <c r="ND85" s="13"/>
      <c r="NE85" s="13"/>
      <c r="NF85" s="13"/>
      <c r="NG85" s="13"/>
      <c r="NH85" s="13"/>
      <c r="NI85" s="13"/>
      <c r="NJ85" s="13"/>
      <c r="NK85" s="13"/>
      <c r="NL85" s="13"/>
      <c r="NM85" s="13"/>
      <c r="NN85" s="13"/>
      <c r="NO85" s="13"/>
      <c r="NP85" s="13"/>
      <c r="NQ85" s="13"/>
      <c r="NR85" s="13"/>
      <c r="NS85" s="13"/>
      <c r="NT85" s="13"/>
      <c r="NU85" s="13"/>
      <c r="NV85" s="13"/>
      <c r="NW85" s="13"/>
      <c r="NX85" s="13"/>
      <c r="NY85" s="13"/>
      <c r="NZ85" s="13"/>
      <c r="OA85" s="13"/>
      <c r="OB85" s="13"/>
      <c r="OC85" s="13"/>
      <c r="OD85" s="13"/>
      <c r="OE85" s="13"/>
      <c r="OF85" s="13"/>
      <c r="OG85" s="13"/>
      <c r="OH85" s="13"/>
      <c r="OI85" s="13"/>
      <c r="OJ85" s="13"/>
      <c r="OK85" s="13"/>
      <c r="OL85" s="13"/>
      <c r="OM85" s="13"/>
      <c r="ON85" s="13"/>
      <c r="OO85" s="13"/>
      <c r="OP85" s="13"/>
      <c r="OQ85" s="13"/>
      <c r="OR85" s="13"/>
      <c r="OS85" s="13"/>
      <c r="OT85" s="13"/>
      <c r="OU85" s="13"/>
      <c r="OV85" s="13"/>
      <c r="OW85" s="13"/>
      <c r="OX85" s="13"/>
      <c r="OY85" s="13"/>
      <c r="OZ85" s="13"/>
      <c r="PA85" s="13"/>
      <c r="PB85" s="13"/>
      <c r="PC85" s="13"/>
      <c r="PD85" s="13"/>
      <c r="PE85" s="13"/>
      <c r="PF85" s="13"/>
      <c r="PG85" s="13"/>
      <c r="PH85" s="13"/>
      <c r="PI85" s="13"/>
      <c r="PJ85" s="13"/>
      <c r="PK85" s="13"/>
      <c r="PL85" s="13"/>
      <c r="PM85" s="13"/>
      <c r="PN85" s="13"/>
      <c r="PO85" s="13"/>
      <c r="PP85" s="13"/>
      <c r="PQ85" s="13"/>
      <c r="PR85" s="13"/>
      <c r="PS85" s="13"/>
      <c r="PT85" s="13"/>
      <c r="PU85" s="13"/>
      <c r="PV85" s="13"/>
      <c r="PW85" s="13"/>
      <c r="PX85" s="13"/>
      <c r="PY85" s="13"/>
      <c r="PZ85" s="13"/>
      <c r="QA85" s="13"/>
    </row>
    <row r="86" spans="1:443" x14ac:dyDescent="0.3">
      <c r="B86" s="15"/>
      <c r="C86" s="15"/>
      <c r="D86" s="15"/>
      <c r="E86" s="15"/>
      <c r="F86" s="31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6"/>
      <c r="R86" s="17" t="str">
        <f t="shared" si="6"/>
        <v/>
      </c>
      <c r="S86" s="17" t="str">
        <f t="shared" si="7"/>
        <v/>
      </c>
      <c r="T86" s="18" t="str">
        <f t="shared" si="8"/>
        <v/>
      </c>
      <c r="V86" s="19" t="str">
        <f t="shared" si="9"/>
        <v/>
      </c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  <c r="JP86" s="13"/>
      <c r="JQ86" s="13"/>
      <c r="JR86" s="13"/>
      <c r="JS86" s="13"/>
      <c r="JT86" s="13"/>
      <c r="JU86" s="13"/>
      <c r="JV86" s="13"/>
      <c r="JW86" s="13"/>
      <c r="JX86" s="13"/>
      <c r="JY86" s="13"/>
      <c r="JZ86" s="13"/>
      <c r="KA86" s="13"/>
      <c r="KB86" s="13"/>
      <c r="KC86" s="13"/>
      <c r="KD86" s="13"/>
      <c r="KE86" s="13"/>
      <c r="KF86" s="13"/>
      <c r="KG86" s="13"/>
      <c r="KH86" s="13"/>
      <c r="KI86" s="13"/>
      <c r="KJ86" s="13"/>
      <c r="KK86" s="13"/>
      <c r="KL86" s="13"/>
      <c r="KM86" s="13"/>
      <c r="KN86" s="13"/>
      <c r="KO86" s="13"/>
      <c r="KP86" s="13"/>
      <c r="KQ86" s="13"/>
      <c r="KR86" s="13"/>
      <c r="KS86" s="13"/>
      <c r="KT86" s="13"/>
      <c r="KU86" s="13"/>
      <c r="KV86" s="13"/>
      <c r="KW86" s="13"/>
      <c r="KX86" s="13"/>
      <c r="KY86" s="13"/>
      <c r="KZ86" s="13"/>
      <c r="LA86" s="13"/>
      <c r="LB86" s="13"/>
      <c r="LC86" s="13"/>
      <c r="LD86" s="13"/>
      <c r="LE86" s="13"/>
      <c r="LF86" s="13"/>
      <c r="LG86" s="13"/>
      <c r="LH86" s="13"/>
      <c r="LI86" s="13"/>
      <c r="LJ86" s="13"/>
      <c r="LK86" s="13"/>
      <c r="LL86" s="13"/>
      <c r="LM86" s="13"/>
      <c r="LN86" s="13"/>
      <c r="LO86" s="13"/>
      <c r="LP86" s="13"/>
      <c r="LQ86" s="13"/>
      <c r="LR86" s="13"/>
      <c r="LS86" s="13"/>
      <c r="LT86" s="13"/>
      <c r="LU86" s="13"/>
      <c r="LV86" s="13"/>
      <c r="LW86" s="13"/>
      <c r="LX86" s="13"/>
      <c r="LY86" s="13"/>
      <c r="LZ86" s="13"/>
      <c r="MA86" s="13"/>
      <c r="MB86" s="13"/>
      <c r="MC86" s="13"/>
      <c r="MD86" s="13"/>
      <c r="ME86" s="13"/>
      <c r="MF86" s="13"/>
      <c r="MG86" s="13"/>
      <c r="MH86" s="13"/>
      <c r="MI86" s="13"/>
      <c r="MJ86" s="13"/>
      <c r="MK86" s="13"/>
      <c r="ML86" s="13"/>
      <c r="MM86" s="13"/>
      <c r="MN86" s="13"/>
      <c r="MO86" s="13"/>
      <c r="MP86" s="13"/>
      <c r="MQ86" s="13"/>
      <c r="MR86" s="13"/>
      <c r="MS86" s="13"/>
      <c r="MT86" s="13"/>
      <c r="MU86" s="13"/>
      <c r="MV86" s="13"/>
      <c r="MW86" s="13"/>
      <c r="MX86" s="13"/>
      <c r="MY86" s="13"/>
      <c r="MZ86" s="13"/>
      <c r="NA86" s="13"/>
      <c r="NB86" s="13"/>
      <c r="NC86" s="13"/>
      <c r="ND86" s="13"/>
      <c r="NE86" s="13"/>
      <c r="NF86" s="13"/>
      <c r="NG86" s="13"/>
      <c r="NH86" s="13"/>
      <c r="NI86" s="13"/>
      <c r="NJ86" s="13"/>
      <c r="NK86" s="13"/>
      <c r="NL86" s="13"/>
      <c r="NM86" s="13"/>
      <c r="NN86" s="13"/>
      <c r="NO86" s="13"/>
      <c r="NP86" s="13"/>
      <c r="NQ86" s="13"/>
      <c r="NR86" s="13"/>
      <c r="NS86" s="13"/>
      <c r="NT86" s="13"/>
      <c r="NU86" s="13"/>
      <c r="NV86" s="13"/>
      <c r="NW86" s="13"/>
      <c r="NX86" s="13"/>
      <c r="NY86" s="13"/>
      <c r="NZ86" s="13"/>
      <c r="OA86" s="13"/>
      <c r="OB86" s="13"/>
      <c r="OC86" s="13"/>
      <c r="OD86" s="13"/>
      <c r="OE86" s="13"/>
      <c r="OF86" s="13"/>
      <c r="OG86" s="13"/>
      <c r="OH86" s="13"/>
      <c r="OI86" s="13"/>
      <c r="OJ86" s="13"/>
      <c r="OK86" s="13"/>
      <c r="OL86" s="13"/>
      <c r="OM86" s="13"/>
      <c r="ON86" s="13"/>
      <c r="OO86" s="13"/>
      <c r="OP86" s="13"/>
      <c r="OQ86" s="13"/>
      <c r="OR86" s="13"/>
      <c r="OS86" s="13"/>
      <c r="OT86" s="13"/>
      <c r="OU86" s="13"/>
      <c r="OV86" s="13"/>
      <c r="OW86" s="13"/>
      <c r="OX86" s="13"/>
      <c r="OY86" s="13"/>
      <c r="OZ86" s="13"/>
      <c r="PA86" s="13"/>
      <c r="PB86" s="13"/>
      <c r="PC86" s="13"/>
      <c r="PD86" s="13"/>
      <c r="PE86" s="13"/>
      <c r="PF86" s="13"/>
      <c r="PG86" s="13"/>
      <c r="PH86" s="13"/>
      <c r="PI86" s="13"/>
      <c r="PJ86" s="13"/>
      <c r="PK86" s="13"/>
      <c r="PL86" s="13"/>
      <c r="PM86" s="13"/>
      <c r="PN86" s="13"/>
      <c r="PO86" s="13"/>
      <c r="PP86" s="13"/>
      <c r="PQ86" s="13"/>
      <c r="PR86" s="13"/>
      <c r="PS86" s="13"/>
      <c r="PT86" s="13"/>
      <c r="PU86" s="13"/>
      <c r="PV86" s="13"/>
      <c r="PW86" s="13"/>
      <c r="PX86" s="13"/>
      <c r="PY86" s="13"/>
      <c r="PZ86" s="13"/>
      <c r="QA86" s="13"/>
    </row>
    <row r="87" spans="1:443" x14ac:dyDescent="0.3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6"/>
      <c r="R87" s="17" t="str">
        <f t="shared" si="6"/>
        <v/>
      </c>
      <c r="S87" s="17" t="str">
        <f t="shared" si="7"/>
        <v/>
      </c>
      <c r="T87" s="18" t="str">
        <f t="shared" si="8"/>
        <v/>
      </c>
      <c r="U87" s="15"/>
      <c r="V87" s="19" t="str">
        <f t="shared" si="9"/>
        <v/>
      </c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  <c r="JP87" s="13"/>
      <c r="JQ87" s="13"/>
      <c r="JR87" s="13"/>
      <c r="JS87" s="13"/>
      <c r="JT87" s="13"/>
      <c r="JU87" s="13"/>
      <c r="JV87" s="13"/>
      <c r="JW87" s="13"/>
      <c r="JX87" s="13"/>
      <c r="JY87" s="13"/>
      <c r="JZ87" s="13"/>
      <c r="KA87" s="13"/>
      <c r="KB87" s="13"/>
      <c r="KC87" s="13"/>
      <c r="KD87" s="13"/>
      <c r="KE87" s="13"/>
      <c r="KF87" s="13"/>
      <c r="KG87" s="13"/>
      <c r="KH87" s="13"/>
      <c r="KI87" s="13"/>
      <c r="KJ87" s="13"/>
      <c r="KK87" s="13"/>
      <c r="KL87" s="13"/>
      <c r="KM87" s="13"/>
      <c r="KN87" s="13"/>
      <c r="KO87" s="13"/>
      <c r="KP87" s="13"/>
      <c r="KQ87" s="13"/>
      <c r="KR87" s="13"/>
      <c r="KS87" s="13"/>
      <c r="KT87" s="13"/>
      <c r="KU87" s="13"/>
      <c r="KV87" s="13"/>
      <c r="KW87" s="13"/>
      <c r="KX87" s="13"/>
      <c r="KY87" s="13"/>
      <c r="KZ87" s="13"/>
      <c r="LA87" s="13"/>
      <c r="LB87" s="13"/>
      <c r="LC87" s="13"/>
      <c r="LD87" s="13"/>
      <c r="LE87" s="13"/>
      <c r="LF87" s="13"/>
      <c r="LG87" s="13"/>
      <c r="LH87" s="13"/>
      <c r="LI87" s="13"/>
      <c r="LJ87" s="13"/>
      <c r="LK87" s="13"/>
      <c r="LL87" s="13"/>
      <c r="LM87" s="13"/>
      <c r="LN87" s="13"/>
      <c r="LO87" s="13"/>
      <c r="LP87" s="13"/>
      <c r="LQ87" s="13"/>
      <c r="LR87" s="13"/>
      <c r="LS87" s="13"/>
      <c r="LT87" s="13"/>
      <c r="LU87" s="13"/>
      <c r="LV87" s="13"/>
      <c r="LW87" s="13"/>
      <c r="LX87" s="13"/>
      <c r="LY87" s="13"/>
      <c r="LZ87" s="13"/>
      <c r="MA87" s="13"/>
      <c r="MB87" s="13"/>
      <c r="MC87" s="13"/>
      <c r="MD87" s="13"/>
      <c r="ME87" s="13"/>
      <c r="MF87" s="13"/>
      <c r="MG87" s="13"/>
      <c r="MH87" s="13"/>
      <c r="MI87" s="13"/>
      <c r="MJ87" s="13"/>
      <c r="MK87" s="13"/>
      <c r="ML87" s="13"/>
      <c r="MM87" s="13"/>
      <c r="MN87" s="13"/>
      <c r="MO87" s="13"/>
      <c r="MP87" s="13"/>
      <c r="MQ87" s="13"/>
      <c r="MR87" s="13"/>
      <c r="MS87" s="13"/>
      <c r="MT87" s="13"/>
      <c r="MU87" s="13"/>
      <c r="MV87" s="13"/>
      <c r="MW87" s="13"/>
      <c r="MX87" s="13"/>
      <c r="MY87" s="13"/>
      <c r="MZ87" s="13"/>
      <c r="NA87" s="13"/>
      <c r="NB87" s="13"/>
      <c r="NC87" s="13"/>
      <c r="ND87" s="13"/>
      <c r="NE87" s="13"/>
      <c r="NF87" s="13"/>
      <c r="NG87" s="13"/>
      <c r="NH87" s="13"/>
      <c r="NI87" s="13"/>
      <c r="NJ87" s="13"/>
      <c r="NK87" s="13"/>
      <c r="NL87" s="13"/>
      <c r="NM87" s="13"/>
      <c r="NN87" s="13"/>
      <c r="NO87" s="13"/>
      <c r="NP87" s="13"/>
      <c r="NQ87" s="13"/>
      <c r="NR87" s="13"/>
      <c r="NS87" s="13"/>
      <c r="NT87" s="13"/>
      <c r="NU87" s="13"/>
      <c r="NV87" s="13"/>
      <c r="NW87" s="13"/>
      <c r="NX87" s="13"/>
      <c r="NY87" s="13"/>
      <c r="NZ87" s="13"/>
      <c r="OA87" s="13"/>
      <c r="OB87" s="13"/>
      <c r="OC87" s="13"/>
      <c r="OD87" s="13"/>
      <c r="OE87" s="13"/>
      <c r="OF87" s="13"/>
      <c r="OG87" s="13"/>
      <c r="OH87" s="13"/>
      <c r="OI87" s="13"/>
      <c r="OJ87" s="13"/>
      <c r="OK87" s="13"/>
      <c r="OL87" s="13"/>
      <c r="OM87" s="13"/>
      <c r="ON87" s="13"/>
      <c r="OO87" s="13"/>
      <c r="OP87" s="13"/>
      <c r="OQ87" s="13"/>
      <c r="OR87" s="13"/>
      <c r="OS87" s="13"/>
      <c r="OT87" s="13"/>
      <c r="OU87" s="13"/>
      <c r="OV87" s="13"/>
      <c r="OW87" s="13"/>
      <c r="OX87" s="13"/>
      <c r="OY87" s="13"/>
      <c r="OZ87" s="13"/>
      <c r="PA87" s="13"/>
      <c r="PB87" s="13"/>
      <c r="PC87" s="13"/>
      <c r="PD87" s="13"/>
      <c r="PE87" s="13"/>
      <c r="PF87" s="13"/>
      <c r="PG87" s="13"/>
      <c r="PH87" s="13"/>
      <c r="PI87" s="13"/>
      <c r="PJ87" s="13"/>
      <c r="PK87" s="13"/>
      <c r="PL87" s="13"/>
      <c r="PM87" s="13"/>
      <c r="PN87" s="13"/>
      <c r="PO87" s="13"/>
      <c r="PP87" s="13"/>
      <c r="PQ87" s="13"/>
      <c r="PR87" s="13"/>
      <c r="PS87" s="13"/>
      <c r="PT87" s="13"/>
      <c r="PU87" s="13"/>
      <c r="PV87" s="13"/>
      <c r="PW87" s="13"/>
      <c r="PX87" s="13"/>
      <c r="PY87" s="13"/>
      <c r="PZ87" s="13"/>
      <c r="QA87" s="13"/>
    </row>
    <row r="88" spans="1:443" x14ac:dyDescent="0.3"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6"/>
      <c r="R88" s="17" t="str">
        <f t="shared" si="6"/>
        <v/>
      </c>
      <c r="S88" s="17" t="str">
        <f t="shared" si="7"/>
        <v/>
      </c>
      <c r="T88" s="18" t="str">
        <f t="shared" si="8"/>
        <v/>
      </c>
      <c r="U88" s="15"/>
      <c r="V88" s="19" t="str">
        <f t="shared" si="9"/>
        <v/>
      </c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  <c r="JP88" s="13"/>
      <c r="JQ88" s="13"/>
      <c r="JR88" s="13"/>
      <c r="JS88" s="13"/>
      <c r="JT88" s="13"/>
      <c r="JU88" s="13"/>
      <c r="JV88" s="13"/>
      <c r="JW88" s="13"/>
      <c r="JX88" s="13"/>
      <c r="JY88" s="13"/>
      <c r="JZ88" s="13"/>
      <c r="KA88" s="13"/>
      <c r="KB88" s="13"/>
      <c r="KC88" s="13"/>
      <c r="KD88" s="13"/>
      <c r="KE88" s="13"/>
      <c r="KF88" s="13"/>
      <c r="KG88" s="13"/>
      <c r="KH88" s="13"/>
      <c r="KI88" s="13"/>
      <c r="KJ88" s="13"/>
      <c r="KK88" s="13"/>
      <c r="KL88" s="13"/>
      <c r="KM88" s="13"/>
      <c r="KN88" s="13"/>
      <c r="KO88" s="13"/>
      <c r="KP88" s="13"/>
      <c r="KQ88" s="13"/>
      <c r="KR88" s="13"/>
      <c r="KS88" s="13"/>
      <c r="KT88" s="13"/>
      <c r="KU88" s="13"/>
      <c r="KV88" s="13"/>
      <c r="KW88" s="13"/>
      <c r="KX88" s="13"/>
      <c r="KY88" s="13"/>
      <c r="KZ88" s="13"/>
      <c r="LA88" s="13"/>
      <c r="LB88" s="13"/>
      <c r="LC88" s="13"/>
      <c r="LD88" s="13"/>
      <c r="LE88" s="13"/>
      <c r="LF88" s="13"/>
      <c r="LG88" s="13"/>
      <c r="LH88" s="13"/>
      <c r="LI88" s="13"/>
      <c r="LJ88" s="13"/>
      <c r="LK88" s="13"/>
      <c r="LL88" s="13"/>
      <c r="LM88" s="13"/>
      <c r="LN88" s="13"/>
      <c r="LO88" s="13"/>
      <c r="LP88" s="13"/>
      <c r="LQ88" s="13"/>
      <c r="LR88" s="13"/>
      <c r="LS88" s="13"/>
      <c r="LT88" s="13"/>
      <c r="LU88" s="13"/>
      <c r="LV88" s="13"/>
      <c r="LW88" s="13"/>
      <c r="LX88" s="13"/>
      <c r="LY88" s="13"/>
      <c r="LZ88" s="13"/>
      <c r="MA88" s="13"/>
      <c r="MB88" s="13"/>
      <c r="MC88" s="13"/>
      <c r="MD88" s="13"/>
      <c r="ME88" s="13"/>
      <c r="MF88" s="13"/>
      <c r="MG88" s="13"/>
      <c r="MH88" s="13"/>
      <c r="MI88" s="13"/>
      <c r="MJ88" s="13"/>
      <c r="MK88" s="13"/>
      <c r="ML88" s="13"/>
      <c r="MM88" s="13"/>
      <c r="MN88" s="13"/>
      <c r="MO88" s="13"/>
      <c r="MP88" s="13"/>
      <c r="MQ88" s="13"/>
      <c r="MR88" s="13"/>
      <c r="MS88" s="13"/>
      <c r="MT88" s="13"/>
      <c r="MU88" s="13"/>
      <c r="MV88" s="13"/>
      <c r="MW88" s="13"/>
      <c r="MX88" s="13"/>
      <c r="MY88" s="13"/>
      <c r="MZ88" s="13"/>
      <c r="NA88" s="13"/>
      <c r="NB88" s="13"/>
      <c r="NC88" s="13"/>
      <c r="ND88" s="13"/>
      <c r="NE88" s="13"/>
      <c r="NF88" s="13"/>
      <c r="NG88" s="13"/>
      <c r="NH88" s="13"/>
      <c r="NI88" s="13"/>
      <c r="NJ88" s="13"/>
      <c r="NK88" s="13"/>
      <c r="NL88" s="13"/>
      <c r="NM88" s="13"/>
      <c r="NN88" s="13"/>
      <c r="NO88" s="13"/>
      <c r="NP88" s="13"/>
      <c r="NQ88" s="13"/>
      <c r="NR88" s="13"/>
      <c r="NS88" s="13"/>
      <c r="NT88" s="13"/>
      <c r="NU88" s="13"/>
      <c r="NV88" s="13"/>
      <c r="NW88" s="13"/>
      <c r="NX88" s="13"/>
      <c r="NY88" s="13"/>
      <c r="NZ88" s="13"/>
      <c r="OA88" s="13"/>
      <c r="OB88" s="13"/>
      <c r="OC88" s="13"/>
      <c r="OD88" s="13"/>
      <c r="OE88" s="13"/>
      <c r="OF88" s="13"/>
      <c r="OG88" s="13"/>
      <c r="OH88" s="13"/>
      <c r="OI88" s="13"/>
      <c r="OJ88" s="13"/>
      <c r="OK88" s="13"/>
      <c r="OL88" s="13"/>
      <c r="OM88" s="13"/>
      <c r="ON88" s="13"/>
      <c r="OO88" s="13"/>
      <c r="OP88" s="13"/>
      <c r="OQ88" s="13"/>
      <c r="OR88" s="13"/>
      <c r="OS88" s="13"/>
      <c r="OT88" s="13"/>
      <c r="OU88" s="13"/>
      <c r="OV88" s="13"/>
      <c r="OW88" s="13"/>
      <c r="OX88" s="13"/>
      <c r="OY88" s="13"/>
      <c r="OZ88" s="13"/>
      <c r="PA88" s="13"/>
      <c r="PB88" s="13"/>
      <c r="PC88" s="13"/>
      <c r="PD88" s="13"/>
      <c r="PE88" s="13"/>
      <c r="PF88" s="13"/>
      <c r="PG88" s="13"/>
      <c r="PH88" s="13"/>
      <c r="PI88" s="13"/>
      <c r="PJ88" s="13"/>
      <c r="PK88" s="13"/>
      <c r="PL88" s="13"/>
      <c r="PM88" s="13"/>
      <c r="PN88" s="13"/>
      <c r="PO88" s="13"/>
      <c r="PP88" s="13"/>
      <c r="PQ88" s="13"/>
      <c r="PR88" s="13"/>
      <c r="PS88" s="13"/>
      <c r="PT88" s="13"/>
      <c r="PU88" s="13"/>
      <c r="PV88" s="13"/>
      <c r="PW88" s="13"/>
      <c r="PX88" s="13"/>
      <c r="PY88" s="13"/>
      <c r="PZ88" s="13"/>
      <c r="QA88" s="13"/>
    </row>
    <row r="89" spans="1:443" x14ac:dyDescent="0.3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6"/>
      <c r="R89" s="17" t="str">
        <f t="shared" si="6"/>
        <v/>
      </c>
      <c r="S89" s="17" t="str">
        <f t="shared" si="7"/>
        <v/>
      </c>
      <c r="T89" s="18" t="str">
        <f t="shared" si="8"/>
        <v/>
      </c>
      <c r="U89" s="15"/>
      <c r="V89" s="19" t="str">
        <f t="shared" si="9"/>
        <v/>
      </c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  <c r="JP89" s="13"/>
      <c r="JQ89" s="13"/>
      <c r="JR89" s="13"/>
      <c r="JS89" s="13"/>
      <c r="JT89" s="13"/>
      <c r="JU89" s="13"/>
      <c r="JV89" s="13"/>
      <c r="JW89" s="13"/>
      <c r="JX89" s="13"/>
      <c r="JY89" s="13"/>
      <c r="JZ89" s="13"/>
      <c r="KA89" s="13"/>
      <c r="KB89" s="13"/>
      <c r="KC89" s="13"/>
      <c r="KD89" s="13"/>
      <c r="KE89" s="13"/>
      <c r="KF89" s="13"/>
      <c r="KG89" s="13"/>
      <c r="KH89" s="13"/>
      <c r="KI89" s="13"/>
      <c r="KJ89" s="13"/>
      <c r="KK89" s="13"/>
      <c r="KL89" s="13"/>
      <c r="KM89" s="13"/>
      <c r="KN89" s="13"/>
      <c r="KO89" s="13"/>
      <c r="KP89" s="13"/>
      <c r="KQ89" s="13"/>
      <c r="KR89" s="13"/>
      <c r="KS89" s="13"/>
      <c r="KT89" s="13"/>
      <c r="KU89" s="13"/>
      <c r="KV89" s="13"/>
      <c r="KW89" s="13"/>
      <c r="KX89" s="13"/>
      <c r="KY89" s="13"/>
      <c r="KZ89" s="13"/>
      <c r="LA89" s="13"/>
      <c r="LB89" s="13"/>
      <c r="LC89" s="13"/>
      <c r="LD89" s="13"/>
      <c r="LE89" s="13"/>
      <c r="LF89" s="13"/>
      <c r="LG89" s="13"/>
      <c r="LH89" s="13"/>
      <c r="LI89" s="13"/>
      <c r="LJ89" s="13"/>
      <c r="LK89" s="13"/>
      <c r="LL89" s="13"/>
      <c r="LM89" s="13"/>
      <c r="LN89" s="13"/>
      <c r="LO89" s="13"/>
      <c r="LP89" s="13"/>
      <c r="LQ89" s="13"/>
      <c r="LR89" s="13"/>
      <c r="LS89" s="13"/>
      <c r="LT89" s="13"/>
      <c r="LU89" s="13"/>
      <c r="LV89" s="13"/>
      <c r="LW89" s="13"/>
      <c r="LX89" s="13"/>
      <c r="LY89" s="13"/>
      <c r="LZ89" s="13"/>
      <c r="MA89" s="13"/>
      <c r="MB89" s="13"/>
      <c r="MC89" s="13"/>
      <c r="MD89" s="13"/>
      <c r="ME89" s="13"/>
      <c r="MF89" s="13"/>
      <c r="MG89" s="13"/>
      <c r="MH89" s="13"/>
      <c r="MI89" s="13"/>
      <c r="MJ89" s="13"/>
      <c r="MK89" s="13"/>
      <c r="ML89" s="13"/>
      <c r="MM89" s="13"/>
      <c r="MN89" s="13"/>
      <c r="MO89" s="13"/>
      <c r="MP89" s="13"/>
      <c r="MQ89" s="13"/>
      <c r="MR89" s="13"/>
      <c r="MS89" s="13"/>
      <c r="MT89" s="13"/>
      <c r="MU89" s="13"/>
      <c r="MV89" s="13"/>
      <c r="MW89" s="13"/>
      <c r="MX89" s="13"/>
      <c r="MY89" s="13"/>
      <c r="MZ89" s="13"/>
      <c r="NA89" s="13"/>
      <c r="NB89" s="13"/>
      <c r="NC89" s="13"/>
      <c r="ND89" s="13"/>
      <c r="NE89" s="13"/>
      <c r="NF89" s="13"/>
      <c r="NG89" s="13"/>
      <c r="NH89" s="13"/>
      <c r="NI89" s="13"/>
      <c r="NJ89" s="13"/>
      <c r="NK89" s="13"/>
      <c r="NL89" s="13"/>
      <c r="NM89" s="13"/>
      <c r="NN89" s="13"/>
      <c r="NO89" s="13"/>
      <c r="NP89" s="13"/>
      <c r="NQ89" s="13"/>
      <c r="NR89" s="13"/>
      <c r="NS89" s="13"/>
      <c r="NT89" s="13"/>
      <c r="NU89" s="13"/>
      <c r="NV89" s="13"/>
      <c r="NW89" s="13"/>
      <c r="NX89" s="13"/>
      <c r="NY89" s="13"/>
      <c r="NZ89" s="13"/>
      <c r="OA89" s="13"/>
      <c r="OB89" s="13"/>
      <c r="OC89" s="13"/>
      <c r="OD89" s="13"/>
      <c r="OE89" s="13"/>
      <c r="OF89" s="13"/>
      <c r="OG89" s="13"/>
      <c r="OH89" s="13"/>
      <c r="OI89" s="13"/>
      <c r="OJ89" s="13"/>
      <c r="OK89" s="13"/>
      <c r="OL89" s="13"/>
      <c r="OM89" s="13"/>
      <c r="ON89" s="13"/>
      <c r="OO89" s="13"/>
      <c r="OP89" s="13"/>
      <c r="OQ89" s="13"/>
      <c r="OR89" s="13"/>
      <c r="OS89" s="13"/>
      <c r="OT89" s="13"/>
      <c r="OU89" s="13"/>
      <c r="OV89" s="13"/>
      <c r="OW89" s="13"/>
      <c r="OX89" s="13"/>
      <c r="OY89" s="13"/>
      <c r="OZ89" s="13"/>
      <c r="PA89" s="13"/>
      <c r="PB89" s="13"/>
      <c r="PC89" s="13"/>
      <c r="PD89" s="13"/>
      <c r="PE89" s="13"/>
      <c r="PF89" s="13"/>
      <c r="PG89" s="13"/>
      <c r="PH89" s="13"/>
      <c r="PI89" s="13"/>
      <c r="PJ89" s="13"/>
      <c r="PK89" s="13"/>
      <c r="PL89" s="13"/>
      <c r="PM89" s="13"/>
      <c r="PN89" s="13"/>
      <c r="PO89" s="13"/>
      <c r="PP89" s="13"/>
      <c r="PQ89" s="13"/>
      <c r="PR89" s="13"/>
      <c r="PS89" s="13"/>
      <c r="PT89" s="13"/>
      <c r="PU89" s="13"/>
      <c r="PV89" s="13"/>
      <c r="PW89" s="13"/>
      <c r="PX89" s="13"/>
      <c r="PY89" s="13"/>
      <c r="PZ89" s="13"/>
      <c r="QA89" s="13"/>
    </row>
    <row r="90" spans="1:443" x14ac:dyDescent="0.3">
      <c r="B90" s="15"/>
      <c r="C90" s="15"/>
      <c r="D90" s="15"/>
      <c r="E90" s="15"/>
      <c r="F90" s="15"/>
      <c r="G90" s="15"/>
      <c r="H90" s="15"/>
      <c r="I90" s="15"/>
      <c r="J90" s="15"/>
      <c r="L90" s="15"/>
      <c r="M90" s="15"/>
      <c r="N90" s="15"/>
      <c r="O90" s="15"/>
      <c r="P90" s="15"/>
      <c r="Q90" s="16"/>
      <c r="R90" s="17" t="str">
        <f t="shared" si="6"/>
        <v/>
      </c>
      <c r="S90" s="17" t="str">
        <f t="shared" si="7"/>
        <v/>
      </c>
      <c r="T90" s="18" t="str">
        <f t="shared" si="8"/>
        <v/>
      </c>
      <c r="U90" s="15"/>
      <c r="V90" s="19" t="str">
        <f t="shared" si="9"/>
        <v/>
      </c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  <c r="JP90" s="13"/>
      <c r="JQ90" s="13"/>
      <c r="JR90" s="13"/>
      <c r="JS90" s="13"/>
      <c r="JT90" s="13"/>
      <c r="JU90" s="13"/>
      <c r="JV90" s="13"/>
      <c r="JW90" s="13"/>
      <c r="JX90" s="13"/>
      <c r="JY90" s="13"/>
      <c r="JZ90" s="13"/>
      <c r="KA90" s="13"/>
      <c r="KB90" s="13"/>
      <c r="KC90" s="13"/>
      <c r="KD90" s="13"/>
      <c r="KE90" s="13"/>
      <c r="KF90" s="13"/>
      <c r="KG90" s="13"/>
      <c r="KH90" s="13"/>
      <c r="KI90" s="13"/>
      <c r="KJ90" s="13"/>
      <c r="KK90" s="13"/>
      <c r="KL90" s="13"/>
      <c r="KM90" s="13"/>
      <c r="KN90" s="13"/>
      <c r="KO90" s="13"/>
      <c r="KP90" s="13"/>
      <c r="KQ90" s="13"/>
      <c r="KR90" s="13"/>
      <c r="KS90" s="13"/>
      <c r="KT90" s="13"/>
      <c r="KU90" s="13"/>
      <c r="KV90" s="13"/>
      <c r="KW90" s="13"/>
      <c r="KX90" s="13"/>
      <c r="KY90" s="13"/>
      <c r="KZ90" s="13"/>
      <c r="LA90" s="13"/>
      <c r="LB90" s="13"/>
      <c r="LC90" s="13"/>
      <c r="LD90" s="13"/>
      <c r="LE90" s="13"/>
      <c r="LF90" s="13"/>
      <c r="LG90" s="13"/>
      <c r="LH90" s="13"/>
      <c r="LI90" s="13"/>
      <c r="LJ90" s="13"/>
      <c r="LK90" s="13"/>
      <c r="LL90" s="13"/>
      <c r="LM90" s="13"/>
      <c r="LN90" s="13"/>
      <c r="LO90" s="13"/>
      <c r="LP90" s="13"/>
      <c r="LQ90" s="13"/>
      <c r="LR90" s="13"/>
      <c r="LS90" s="13"/>
      <c r="LT90" s="13"/>
      <c r="LU90" s="13"/>
      <c r="LV90" s="13"/>
      <c r="LW90" s="13"/>
      <c r="LX90" s="13"/>
      <c r="LY90" s="13"/>
      <c r="LZ90" s="13"/>
      <c r="MA90" s="13"/>
      <c r="MB90" s="13"/>
      <c r="MC90" s="13"/>
      <c r="MD90" s="13"/>
      <c r="ME90" s="13"/>
      <c r="MF90" s="13"/>
      <c r="MG90" s="13"/>
      <c r="MH90" s="13"/>
      <c r="MI90" s="13"/>
      <c r="MJ90" s="13"/>
      <c r="MK90" s="13"/>
      <c r="ML90" s="13"/>
      <c r="MM90" s="13"/>
      <c r="MN90" s="13"/>
      <c r="MO90" s="13"/>
      <c r="MP90" s="13"/>
      <c r="MQ90" s="13"/>
      <c r="MR90" s="13"/>
      <c r="MS90" s="13"/>
      <c r="MT90" s="13"/>
      <c r="MU90" s="13"/>
      <c r="MV90" s="13"/>
      <c r="MW90" s="13"/>
      <c r="MX90" s="13"/>
      <c r="MY90" s="13"/>
      <c r="MZ90" s="13"/>
      <c r="NA90" s="13"/>
      <c r="NB90" s="13"/>
      <c r="NC90" s="13"/>
      <c r="ND90" s="13"/>
      <c r="NE90" s="13"/>
      <c r="NF90" s="13"/>
      <c r="NG90" s="13"/>
      <c r="NH90" s="13"/>
      <c r="NI90" s="13"/>
      <c r="NJ90" s="13"/>
      <c r="NK90" s="13"/>
      <c r="NL90" s="13"/>
      <c r="NM90" s="13"/>
      <c r="NN90" s="13"/>
      <c r="NO90" s="13"/>
      <c r="NP90" s="13"/>
      <c r="NQ90" s="13"/>
      <c r="NR90" s="13"/>
      <c r="NS90" s="13"/>
      <c r="NT90" s="13"/>
      <c r="NU90" s="13"/>
      <c r="NV90" s="13"/>
      <c r="NW90" s="13"/>
      <c r="NX90" s="13"/>
      <c r="NY90" s="13"/>
      <c r="NZ90" s="13"/>
      <c r="OA90" s="13"/>
      <c r="OB90" s="13"/>
      <c r="OC90" s="13"/>
      <c r="OD90" s="13"/>
      <c r="OE90" s="13"/>
      <c r="OF90" s="13"/>
      <c r="OG90" s="13"/>
      <c r="OH90" s="13"/>
      <c r="OI90" s="13"/>
      <c r="OJ90" s="13"/>
      <c r="OK90" s="13"/>
      <c r="OL90" s="13"/>
      <c r="OM90" s="13"/>
      <c r="ON90" s="13"/>
      <c r="OO90" s="13"/>
      <c r="OP90" s="13"/>
      <c r="OQ90" s="13"/>
      <c r="OR90" s="13"/>
      <c r="OS90" s="13"/>
      <c r="OT90" s="13"/>
      <c r="OU90" s="13"/>
      <c r="OV90" s="13"/>
      <c r="OW90" s="13"/>
      <c r="OX90" s="13"/>
      <c r="OY90" s="13"/>
      <c r="OZ90" s="13"/>
      <c r="PA90" s="13"/>
      <c r="PB90" s="13"/>
      <c r="PC90" s="13"/>
      <c r="PD90" s="13"/>
      <c r="PE90" s="13"/>
      <c r="PF90" s="13"/>
      <c r="PG90" s="13"/>
      <c r="PH90" s="13"/>
      <c r="PI90" s="13"/>
      <c r="PJ90" s="13"/>
      <c r="PK90" s="13"/>
      <c r="PL90" s="13"/>
      <c r="PM90" s="13"/>
      <c r="PN90" s="13"/>
      <c r="PO90" s="13"/>
      <c r="PP90" s="13"/>
      <c r="PQ90" s="13"/>
      <c r="PR90" s="13"/>
      <c r="PS90" s="13"/>
      <c r="PT90" s="13"/>
      <c r="PU90" s="13"/>
      <c r="PV90" s="13"/>
      <c r="PW90" s="13"/>
      <c r="PX90" s="13"/>
      <c r="PY90" s="13"/>
      <c r="PZ90" s="13"/>
      <c r="QA90" s="13"/>
    </row>
    <row r="91" spans="1:443" x14ac:dyDescent="0.3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6"/>
      <c r="R91" s="17" t="str">
        <f t="shared" si="6"/>
        <v/>
      </c>
      <c r="S91" s="17" t="str">
        <f t="shared" si="7"/>
        <v/>
      </c>
      <c r="T91" s="18" t="str">
        <f t="shared" si="8"/>
        <v/>
      </c>
      <c r="U91" s="15"/>
      <c r="V91" s="19" t="str">
        <f t="shared" si="9"/>
        <v/>
      </c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  <c r="JP91" s="13"/>
      <c r="JQ91" s="13"/>
      <c r="JR91" s="13"/>
      <c r="JS91" s="13"/>
      <c r="JT91" s="13"/>
      <c r="JU91" s="13"/>
      <c r="JV91" s="13"/>
      <c r="JW91" s="13"/>
      <c r="JX91" s="13"/>
      <c r="JY91" s="13"/>
      <c r="JZ91" s="13"/>
      <c r="KA91" s="13"/>
      <c r="KB91" s="13"/>
      <c r="KC91" s="13"/>
      <c r="KD91" s="13"/>
      <c r="KE91" s="13"/>
      <c r="KF91" s="13"/>
      <c r="KG91" s="13"/>
      <c r="KH91" s="13"/>
      <c r="KI91" s="13"/>
      <c r="KJ91" s="13"/>
      <c r="KK91" s="13"/>
      <c r="KL91" s="13"/>
      <c r="KM91" s="13"/>
      <c r="KN91" s="13"/>
      <c r="KO91" s="13"/>
      <c r="KP91" s="13"/>
      <c r="KQ91" s="13"/>
      <c r="KR91" s="13"/>
      <c r="KS91" s="13"/>
      <c r="KT91" s="13"/>
      <c r="KU91" s="13"/>
      <c r="KV91" s="13"/>
      <c r="KW91" s="13"/>
      <c r="KX91" s="13"/>
      <c r="KY91" s="13"/>
      <c r="KZ91" s="13"/>
      <c r="LA91" s="13"/>
      <c r="LB91" s="13"/>
      <c r="LC91" s="13"/>
      <c r="LD91" s="13"/>
      <c r="LE91" s="13"/>
      <c r="LF91" s="13"/>
      <c r="LG91" s="13"/>
      <c r="LH91" s="13"/>
      <c r="LI91" s="13"/>
      <c r="LJ91" s="13"/>
      <c r="LK91" s="13"/>
      <c r="LL91" s="13"/>
      <c r="LM91" s="13"/>
      <c r="LN91" s="13"/>
      <c r="LO91" s="13"/>
      <c r="LP91" s="13"/>
      <c r="LQ91" s="13"/>
      <c r="LR91" s="13"/>
      <c r="LS91" s="13"/>
      <c r="LT91" s="13"/>
      <c r="LU91" s="13"/>
      <c r="LV91" s="13"/>
      <c r="LW91" s="13"/>
      <c r="LX91" s="13"/>
      <c r="LY91" s="13"/>
      <c r="LZ91" s="13"/>
      <c r="MA91" s="13"/>
      <c r="MB91" s="13"/>
      <c r="MC91" s="13"/>
      <c r="MD91" s="13"/>
      <c r="ME91" s="13"/>
      <c r="MF91" s="13"/>
      <c r="MG91" s="13"/>
      <c r="MH91" s="13"/>
      <c r="MI91" s="13"/>
      <c r="MJ91" s="13"/>
      <c r="MK91" s="13"/>
      <c r="ML91" s="13"/>
      <c r="MM91" s="13"/>
      <c r="MN91" s="13"/>
      <c r="MO91" s="13"/>
      <c r="MP91" s="13"/>
      <c r="MQ91" s="13"/>
      <c r="MR91" s="13"/>
      <c r="MS91" s="13"/>
      <c r="MT91" s="13"/>
      <c r="MU91" s="13"/>
      <c r="MV91" s="13"/>
      <c r="MW91" s="13"/>
      <c r="MX91" s="13"/>
      <c r="MY91" s="13"/>
      <c r="MZ91" s="13"/>
      <c r="NA91" s="13"/>
      <c r="NB91" s="13"/>
      <c r="NC91" s="13"/>
      <c r="ND91" s="13"/>
      <c r="NE91" s="13"/>
      <c r="NF91" s="13"/>
      <c r="NG91" s="13"/>
      <c r="NH91" s="13"/>
      <c r="NI91" s="13"/>
      <c r="NJ91" s="13"/>
      <c r="NK91" s="13"/>
      <c r="NL91" s="13"/>
      <c r="NM91" s="13"/>
      <c r="NN91" s="13"/>
      <c r="NO91" s="13"/>
      <c r="NP91" s="13"/>
      <c r="NQ91" s="13"/>
      <c r="NR91" s="13"/>
      <c r="NS91" s="13"/>
      <c r="NT91" s="13"/>
      <c r="NU91" s="13"/>
      <c r="NV91" s="13"/>
      <c r="NW91" s="13"/>
      <c r="NX91" s="13"/>
      <c r="NY91" s="13"/>
      <c r="NZ91" s="13"/>
      <c r="OA91" s="13"/>
      <c r="OB91" s="13"/>
      <c r="OC91" s="13"/>
      <c r="OD91" s="13"/>
      <c r="OE91" s="13"/>
      <c r="OF91" s="13"/>
      <c r="OG91" s="13"/>
      <c r="OH91" s="13"/>
      <c r="OI91" s="13"/>
      <c r="OJ91" s="13"/>
      <c r="OK91" s="13"/>
      <c r="OL91" s="13"/>
      <c r="OM91" s="13"/>
      <c r="ON91" s="13"/>
      <c r="OO91" s="13"/>
      <c r="OP91" s="13"/>
      <c r="OQ91" s="13"/>
      <c r="OR91" s="13"/>
      <c r="OS91" s="13"/>
      <c r="OT91" s="13"/>
      <c r="OU91" s="13"/>
      <c r="OV91" s="13"/>
      <c r="OW91" s="13"/>
      <c r="OX91" s="13"/>
      <c r="OY91" s="13"/>
      <c r="OZ91" s="13"/>
      <c r="PA91" s="13"/>
      <c r="PB91" s="13"/>
      <c r="PC91" s="13"/>
      <c r="PD91" s="13"/>
      <c r="PE91" s="13"/>
      <c r="PF91" s="13"/>
      <c r="PG91" s="13"/>
      <c r="PH91" s="13"/>
      <c r="PI91" s="13"/>
      <c r="PJ91" s="13"/>
      <c r="PK91" s="13"/>
      <c r="PL91" s="13"/>
      <c r="PM91" s="13"/>
      <c r="PN91" s="13"/>
      <c r="PO91" s="13"/>
      <c r="PP91" s="13"/>
      <c r="PQ91" s="13"/>
      <c r="PR91" s="13"/>
      <c r="PS91" s="13"/>
      <c r="PT91" s="13"/>
      <c r="PU91" s="13"/>
      <c r="PV91" s="13"/>
      <c r="PW91" s="13"/>
      <c r="PX91" s="13"/>
      <c r="PY91" s="13"/>
      <c r="PZ91" s="13"/>
      <c r="QA91" s="13"/>
    </row>
    <row r="92" spans="1:443" x14ac:dyDescent="0.3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6"/>
      <c r="R92" s="17" t="str">
        <f t="shared" si="6"/>
        <v/>
      </c>
      <c r="S92" s="17" t="str">
        <f t="shared" si="7"/>
        <v/>
      </c>
      <c r="T92" s="18" t="str">
        <f t="shared" si="8"/>
        <v/>
      </c>
      <c r="U92" s="15"/>
      <c r="V92" s="19" t="str">
        <f t="shared" si="9"/>
        <v/>
      </c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  <c r="JP92" s="13"/>
      <c r="JQ92" s="13"/>
      <c r="JR92" s="13"/>
      <c r="JS92" s="13"/>
      <c r="JT92" s="13"/>
      <c r="JU92" s="13"/>
      <c r="JV92" s="13"/>
      <c r="JW92" s="13"/>
      <c r="JX92" s="13"/>
      <c r="JY92" s="13"/>
      <c r="JZ92" s="13"/>
      <c r="KA92" s="13"/>
      <c r="KB92" s="13"/>
      <c r="KC92" s="13"/>
      <c r="KD92" s="13"/>
      <c r="KE92" s="13"/>
      <c r="KF92" s="13"/>
      <c r="KG92" s="13"/>
      <c r="KH92" s="13"/>
      <c r="KI92" s="13"/>
      <c r="KJ92" s="13"/>
      <c r="KK92" s="13"/>
      <c r="KL92" s="13"/>
      <c r="KM92" s="13"/>
      <c r="KN92" s="13"/>
      <c r="KO92" s="13"/>
      <c r="KP92" s="13"/>
      <c r="KQ92" s="13"/>
      <c r="KR92" s="13"/>
      <c r="KS92" s="13"/>
      <c r="KT92" s="13"/>
      <c r="KU92" s="13"/>
      <c r="KV92" s="13"/>
      <c r="KW92" s="13"/>
      <c r="KX92" s="13"/>
      <c r="KY92" s="13"/>
      <c r="KZ92" s="13"/>
      <c r="LA92" s="13"/>
      <c r="LB92" s="13"/>
      <c r="LC92" s="13"/>
      <c r="LD92" s="13"/>
      <c r="LE92" s="13"/>
      <c r="LF92" s="13"/>
      <c r="LG92" s="13"/>
      <c r="LH92" s="13"/>
      <c r="LI92" s="13"/>
      <c r="LJ92" s="13"/>
      <c r="LK92" s="13"/>
      <c r="LL92" s="13"/>
      <c r="LM92" s="13"/>
      <c r="LN92" s="13"/>
      <c r="LO92" s="13"/>
      <c r="LP92" s="13"/>
      <c r="LQ92" s="13"/>
      <c r="LR92" s="13"/>
      <c r="LS92" s="13"/>
      <c r="LT92" s="13"/>
      <c r="LU92" s="13"/>
      <c r="LV92" s="13"/>
      <c r="LW92" s="13"/>
      <c r="LX92" s="13"/>
      <c r="LY92" s="13"/>
      <c r="LZ92" s="13"/>
      <c r="MA92" s="13"/>
      <c r="MB92" s="13"/>
      <c r="MC92" s="13"/>
      <c r="MD92" s="13"/>
      <c r="ME92" s="13"/>
      <c r="MF92" s="13"/>
      <c r="MG92" s="13"/>
      <c r="MH92" s="13"/>
      <c r="MI92" s="13"/>
      <c r="MJ92" s="13"/>
      <c r="MK92" s="13"/>
      <c r="ML92" s="13"/>
      <c r="MM92" s="13"/>
      <c r="MN92" s="13"/>
      <c r="MO92" s="13"/>
      <c r="MP92" s="13"/>
      <c r="MQ92" s="13"/>
      <c r="MR92" s="13"/>
      <c r="MS92" s="13"/>
      <c r="MT92" s="13"/>
      <c r="MU92" s="13"/>
      <c r="MV92" s="13"/>
      <c r="MW92" s="13"/>
      <c r="MX92" s="13"/>
      <c r="MY92" s="13"/>
      <c r="MZ92" s="13"/>
      <c r="NA92" s="13"/>
      <c r="NB92" s="13"/>
      <c r="NC92" s="13"/>
      <c r="ND92" s="13"/>
      <c r="NE92" s="13"/>
      <c r="NF92" s="13"/>
      <c r="NG92" s="13"/>
      <c r="NH92" s="13"/>
      <c r="NI92" s="13"/>
      <c r="NJ92" s="13"/>
      <c r="NK92" s="13"/>
      <c r="NL92" s="13"/>
      <c r="NM92" s="13"/>
      <c r="NN92" s="13"/>
      <c r="NO92" s="13"/>
      <c r="NP92" s="13"/>
      <c r="NQ92" s="13"/>
      <c r="NR92" s="13"/>
      <c r="NS92" s="13"/>
      <c r="NT92" s="13"/>
      <c r="NU92" s="13"/>
      <c r="NV92" s="13"/>
      <c r="NW92" s="13"/>
      <c r="NX92" s="13"/>
      <c r="NY92" s="13"/>
      <c r="NZ92" s="13"/>
      <c r="OA92" s="13"/>
      <c r="OB92" s="13"/>
      <c r="OC92" s="13"/>
      <c r="OD92" s="13"/>
      <c r="OE92" s="13"/>
      <c r="OF92" s="13"/>
      <c r="OG92" s="13"/>
      <c r="OH92" s="13"/>
      <c r="OI92" s="13"/>
      <c r="OJ92" s="13"/>
      <c r="OK92" s="13"/>
      <c r="OL92" s="13"/>
      <c r="OM92" s="13"/>
      <c r="ON92" s="13"/>
      <c r="OO92" s="13"/>
      <c r="OP92" s="13"/>
      <c r="OQ92" s="13"/>
      <c r="OR92" s="13"/>
      <c r="OS92" s="13"/>
      <c r="OT92" s="13"/>
      <c r="OU92" s="13"/>
      <c r="OV92" s="13"/>
      <c r="OW92" s="13"/>
      <c r="OX92" s="13"/>
      <c r="OY92" s="13"/>
      <c r="OZ92" s="13"/>
      <c r="PA92" s="13"/>
      <c r="PB92" s="13"/>
      <c r="PC92" s="13"/>
      <c r="PD92" s="13"/>
      <c r="PE92" s="13"/>
      <c r="PF92" s="13"/>
      <c r="PG92" s="13"/>
      <c r="PH92" s="13"/>
      <c r="PI92" s="13"/>
      <c r="PJ92" s="13"/>
      <c r="PK92" s="13"/>
      <c r="PL92" s="13"/>
      <c r="PM92" s="13"/>
      <c r="PN92" s="13"/>
      <c r="PO92" s="13"/>
      <c r="PP92" s="13"/>
      <c r="PQ92" s="13"/>
      <c r="PR92" s="13"/>
      <c r="PS92" s="13"/>
      <c r="PT92" s="13"/>
      <c r="PU92" s="13"/>
      <c r="PV92" s="13"/>
      <c r="PW92" s="13"/>
      <c r="PX92" s="13"/>
      <c r="PY92" s="13"/>
      <c r="PZ92" s="13"/>
      <c r="QA92" s="13"/>
    </row>
    <row r="93" spans="1:443" x14ac:dyDescent="0.3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6"/>
      <c r="R93" s="17" t="str">
        <f t="shared" si="6"/>
        <v/>
      </c>
      <c r="S93" s="17" t="str">
        <f t="shared" si="7"/>
        <v/>
      </c>
      <c r="T93" s="18" t="str">
        <f t="shared" si="8"/>
        <v/>
      </c>
      <c r="U93" s="15"/>
      <c r="V93" s="19" t="str">
        <f t="shared" si="9"/>
        <v/>
      </c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  <c r="JP93" s="13"/>
      <c r="JQ93" s="13"/>
      <c r="JR93" s="13"/>
      <c r="JS93" s="13"/>
      <c r="JT93" s="13"/>
      <c r="JU93" s="13"/>
      <c r="JV93" s="13"/>
      <c r="JW93" s="13"/>
      <c r="JX93" s="13"/>
      <c r="JY93" s="13"/>
      <c r="JZ93" s="13"/>
      <c r="KA93" s="13"/>
      <c r="KB93" s="13"/>
      <c r="KC93" s="13"/>
      <c r="KD93" s="13"/>
      <c r="KE93" s="13"/>
      <c r="KF93" s="13"/>
      <c r="KG93" s="13"/>
      <c r="KH93" s="13"/>
      <c r="KI93" s="13"/>
      <c r="KJ93" s="13"/>
      <c r="KK93" s="13"/>
      <c r="KL93" s="13"/>
      <c r="KM93" s="13"/>
      <c r="KN93" s="13"/>
      <c r="KO93" s="13"/>
      <c r="KP93" s="13"/>
      <c r="KQ93" s="13"/>
      <c r="KR93" s="13"/>
      <c r="KS93" s="13"/>
      <c r="KT93" s="13"/>
      <c r="KU93" s="13"/>
      <c r="KV93" s="13"/>
      <c r="KW93" s="13"/>
      <c r="KX93" s="13"/>
      <c r="KY93" s="13"/>
      <c r="KZ93" s="13"/>
      <c r="LA93" s="13"/>
      <c r="LB93" s="13"/>
      <c r="LC93" s="13"/>
      <c r="LD93" s="13"/>
      <c r="LE93" s="13"/>
      <c r="LF93" s="13"/>
      <c r="LG93" s="13"/>
      <c r="LH93" s="13"/>
      <c r="LI93" s="13"/>
      <c r="LJ93" s="13"/>
      <c r="LK93" s="13"/>
      <c r="LL93" s="13"/>
      <c r="LM93" s="13"/>
      <c r="LN93" s="13"/>
      <c r="LO93" s="13"/>
      <c r="LP93" s="13"/>
      <c r="LQ93" s="13"/>
      <c r="LR93" s="13"/>
      <c r="LS93" s="13"/>
      <c r="LT93" s="13"/>
      <c r="LU93" s="13"/>
      <c r="LV93" s="13"/>
      <c r="LW93" s="13"/>
      <c r="LX93" s="13"/>
      <c r="LY93" s="13"/>
      <c r="LZ93" s="13"/>
      <c r="MA93" s="13"/>
      <c r="MB93" s="13"/>
      <c r="MC93" s="13"/>
      <c r="MD93" s="13"/>
      <c r="ME93" s="13"/>
      <c r="MF93" s="13"/>
      <c r="MG93" s="13"/>
      <c r="MH93" s="13"/>
      <c r="MI93" s="13"/>
      <c r="MJ93" s="13"/>
      <c r="MK93" s="13"/>
      <c r="ML93" s="13"/>
      <c r="MM93" s="13"/>
      <c r="MN93" s="13"/>
      <c r="MO93" s="13"/>
      <c r="MP93" s="13"/>
      <c r="MQ93" s="13"/>
      <c r="MR93" s="13"/>
      <c r="MS93" s="13"/>
      <c r="MT93" s="13"/>
      <c r="MU93" s="13"/>
      <c r="MV93" s="13"/>
      <c r="MW93" s="13"/>
      <c r="MX93" s="13"/>
      <c r="MY93" s="13"/>
      <c r="MZ93" s="13"/>
      <c r="NA93" s="13"/>
      <c r="NB93" s="13"/>
      <c r="NC93" s="13"/>
      <c r="ND93" s="13"/>
      <c r="NE93" s="13"/>
      <c r="NF93" s="13"/>
      <c r="NG93" s="13"/>
      <c r="NH93" s="13"/>
      <c r="NI93" s="13"/>
      <c r="NJ93" s="13"/>
      <c r="NK93" s="13"/>
      <c r="NL93" s="13"/>
      <c r="NM93" s="13"/>
      <c r="NN93" s="13"/>
      <c r="NO93" s="13"/>
      <c r="NP93" s="13"/>
      <c r="NQ93" s="13"/>
      <c r="NR93" s="13"/>
      <c r="NS93" s="13"/>
      <c r="NT93" s="13"/>
      <c r="NU93" s="13"/>
      <c r="NV93" s="13"/>
      <c r="NW93" s="13"/>
      <c r="NX93" s="13"/>
      <c r="NY93" s="13"/>
      <c r="NZ93" s="13"/>
      <c r="OA93" s="13"/>
      <c r="OB93" s="13"/>
      <c r="OC93" s="13"/>
      <c r="OD93" s="13"/>
      <c r="OE93" s="13"/>
      <c r="OF93" s="13"/>
      <c r="OG93" s="13"/>
      <c r="OH93" s="13"/>
      <c r="OI93" s="13"/>
      <c r="OJ93" s="13"/>
      <c r="OK93" s="13"/>
      <c r="OL93" s="13"/>
      <c r="OM93" s="13"/>
      <c r="ON93" s="13"/>
      <c r="OO93" s="13"/>
      <c r="OP93" s="13"/>
      <c r="OQ93" s="13"/>
      <c r="OR93" s="13"/>
      <c r="OS93" s="13"/>
      <c r="OT93" s="13"/>
      <c r="OU93" s="13"/>
      <c r="OV93" s="13"/>
      <c r="OW93" s="13"/>
      <c r="OX93" s="13"/>
      <c r="OY93" s="13"/>
      <c r="OZ93" s="13"/>
      <c r="PA93" s="13"/>
      <c r="PB93" s="13"/>
      <c r="PC93" s="13"/>
      <c r="PD93" s="13"/>
      <c r="PE93" s="13"/>
      <c r="PF93" s="13"/>
      <c r="PG93" s="13"/>
      <c r="PH93" s="13"/>
      <c r="PI93" s="13"/>
      <c r="PJ93" s="13"/>
      <c r="PK93" s="13"/>
      <c r="PL93" s="13"/>
      <c r="PM93" s="13"/>
      <c r="PN93" s="13"/>
      <c r="PO93" s="13"/>
      <c r="PP93" s="13"/>
      <c r="PQ93" s="13"/>
      <c r="PR93" s="13"/>
      <c r="PS93" s="13"/>
      <c r="PT93" s="13"/>
      <c r="PU93" s="13"/>
      <c r="PV93" s="13"/>
      <c r="PW93" s="13"/>
      <c r="PX93" s="13"/>
      <c r="PY93" s="13"/>
      <c r="PZ93" s="13"/>
      <c r="QA93" s="13"/>
    </row>
    <row r="94" spans="1:443" x14ac:dyDescent="0.3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6"/>
      <c r="R94" s="17" t="str">
        <f t="shared" si="6"/>
        <v/>
      </c>
      <c r="S94" s="17" t="str">
        <f t="shared" si="7"/>
        <v/>
      </c>
      <c r="T94" s="18" t="str">
        <f t="shared" si="8"/>
        <v/>
      </c>
      <c r="U94" s="15"/>
      <c r="V94" s="19" t="str">
        <f t="shared" si="9"/>
        <v/>
      </c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  <c r="JP94" s="13"/>
      <c r="JQ94" s="13"/>
      <c r="JR94" s="13"/>
      <c r="JS94" s="13"/>
      <c r="JT94" s="13"/>
      <c r="JU94" s="13"/>
      <c r="JV94" s="13"/>
      <c r="JW94" s="13"/>
      <c r="JX94" s="13"/>
      <c r="JY94" s="13"/>
      <c r="JZ94" s="13"/>
      <c r="KA94" s="13"/>
      <c r="KB94" s="13"/>
      <c r="KC94" s="13"/>
      <c r="KD94" s="13"/>
      <c r="KE94" s="13"/>
      <c r="KF94" s="13"/>
      <c r="KG94" s="13"/>
      <c r="KH94" s="13"/>
      <c r="KI94" s="13"/>
      <c r="KJ94" s="13"/>
      <c r="KK94" s="13"/>
      <c r="KL94" s="13"/>
      <c r="KM94" s="13"/>
      <c r="KN94" s="13"/>
      <c r="KO94" s="13"/>
      <c r="KP94" s="13"/>
      <c r="KQ94" s="13"/>
      <c r="KR94" s="13"/>
      <c r="KS94" s="13"/>
      <c r="KT94" s="13"/>
      <c r="KU94" s="13"/>
      <c r="KV94" s="13"/>
      <c r="KW94" s="13"/>
      <c r="KX94" s="13"/>
      <c r="KY94" s="13"/>
      <c r="KZ94" s="13"/>
      <c r="LA94" s="13"/>
      <c r="LB94" s="13"/>
      <c r="LC94" s="13"/>
      <c r="LD94" s="13"/>
      <c r="LE94" s="13"/>
      <c r="LF94" s="13"/>
      <c r="LG94" s="13"/>
      <c r="LH94" s="13"/>
      <c r="LI94" s="13"/>
      <c r="LJ94" s="13"/>
      <c r="LK94" s="13"/>
      <c r="LL94" s="13"/>
      <c r="LM94" s="13"/>
      <c r="LN94" s="13"/>
      <c r="LO94" s="13"/>
      <c r="LP94" s="13"/>
      <c r="LQ94" s="13"/>
      <c r="LR94" s="13"/>
      <c r="LS94" s="13"/>
      <c r="LT94" s="13"/>
      <c r="LU94" s="13"/>
      <c r="LV94" s="13"/>
      <c r="LW94" s="13"/>
      <c r="LX94" s="13"/>
      <c r="LY94" s="13"/>
      <c r="LZ94" s="13"/>
      <c r="MA94" s="13"/>
      <c r="MB94" s="13"/>
      <c r="MC94" s="13"/>
      <c r="MD94" s="13"/>
      <c r="ME94" s="13"/>
      <c r="MF94" s="13"/>
      <c r="MG94" s="13"/>
      <c r="MH94" s="13"/>
      <c r="MI94" s="13"/>
      <c r="MJ94" s="13"/>
      <c r="MK94" s="13"/>
      <c r="ML94" s="13"/>
      <c r="MM94" s="13"/>
      <c r="MN94" s="13"/>
      <c r="MO94" s="13"/>
      <c r="MP94" s="13"/>
      <c r="MQ94" s="13"/>
      <c r="MR94" s="13"/>
      <c r="MS94" s="13"/>
      <c r="MT94" s="13"/>
      <c r="MU94" s="13"/>
      <c r="MV94" s="13"/>
      <c r="MW94" s="13"/>
      <c r="MX94" s="13"/>
      <c r="MY94" s="13"/>
      <c r="MZ94" s="13"/>
      <c r="NA94" s="13"/>
      <c r="NB94" s="13"/>
      <c r="NC94" s="13"/>
      <c r="ND94" s="13"/>
      <c r="NE94" s="13"/>
      <c r="NF94" s="13"/>
      <c r="NG94" s="13"/>
      <c r="NH94" s="13"/>
      <c r="NI94" s="13"/>
      <c r="NJ94" s="13"/>
      <c r="NK94" s="13"/>
      <c r="NL94" s="13"/>
      <c r="NM94" s="13"/>
      <c r="NN94" s="13"/>
      <c r="NO94" s="13"/>
      <c r="NP94" s="13"/>
      <c r="NQ94" s="13"/>
      <c r="NR94" s="13"/>
      <c r="NS94" s="13"/>
      <c r="NT94" s="13"/>
      <c r="NU94" s="13"/>
      <c r="NV94" s="13"/>
      <c r="NW94" s="13"/>
      <c r="NX94" s="13"/>
      <c r="NY94" s="13"/>
      <c r="NZ94" s="13"/>
      <c r="OA94" s="13"/>
      <c r="OB94" s="13"/>
      <c r="OC94" s="13"/>
      <c r="OD94" s="13"/>
      <c r="OE94" s="13"/>
      <c r="OF94" s="13"/>
      <c r="OG94" s="13"/>
      <c r="OH94" s="13"/>
      <c r="OI94" s="13"/>
      <c r="OJ94" s="13"/>
      <c r="OK94" s="13"/>
      <c r="OL94" s="13"/>
      <c r="OM94" s="13"/>
      <c r="ON94" s="13"/>
      <c r="OO94" s="13"/>
      <c r="OP94" s="13"/>
      <c r="OQ94" s="13"/>
      <c r="OR94" s="13"/>
      <c r="OS94" s="13"/>
      <c r="OT94" s="13"/>
      <c r="OU94" s="13"/>
      <c r="OV94" s="13"/>
      <c r="OW94" s="13"/>
      <c r="OX94" s="13"/>
      <c r="OY94" s="13"/>
      <c r="OZ94" s="13"/>
      <c r="PA94" s="13"/>
      <c r="PB94" s="13"/>
      <c r="PC94" s="13"/>
      <c r="PD94" s="13"/>
      <c r="PE94" s="13"/>
      <c r="PF94" s="13"/>
      <c r="PG94" s="13"/>
      <c r="PH94" s="13"/>
      <c r="PI94" s="13"/>
      <c r="PJ94" s="13"/>
      <c r="PK94" s="13"/>
      <c r="PL94" s="13"/>
      <c r="PM94" s="13"/>
      <c r="PN94" s="13"/>
      <c r="PO94" s="13"/>
      <c r="PP94" s="13"/>
      <c r="PQ94" s="13"/>
      <c r="PR94" s="13"/>
      <c r="PS94" s="13"/>
      <c r="PT94" s="13"/>
      <c r="PU94" s="13"/>
      <c r="PV94" s="13"/>
      <c r="PW94" s="13"/>
      <c r="PX94" s="13"/>
      <c r="PY94" s="13"/>
      <c r="PZ94" s="13"/>
      <c r="QA94" s="13"/>
    </row>
    <row r="95" spans="1:443" x14ac:dyDescent="0.3">
      <c r="B95" s="15"/>
      <c r="C95" s="15"/>
      <c r="D95" s="15"/>
      <c r="E95" s="15"/>
      <c r="F95" s="31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6"/>
      <c r="R95" s="17" t="str">
        <f t="shared" si="6"/>
        <v/>
      </c>
      <c r="S95" s="17" t="str">
        <f t="shared" si="7"/>
        <v/>
      </c>
      <c r="T95" s="18" t="str">
        <f t="shared" si="8"/>
        <v/>
      </c>
      <c r="V95" s="19" t="str">
        <f t="shared" si="9"/>
        <v/>
      </c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  <c r="JP95" s="13"/>
      <c r="JQ95" s="13"/>
      <c r="JR95" s="13"/>
      <c r="JS95" s="13"/>
      <c r="JT95" s="13"/>
      <c r="JU95" s="13"/>
      <c r="JV95" s="13"/>
      <c r="JW95" s="13"/>
      <c r="JX95" s="13"/>
      <c r="JY95" s="13"/>
      <c r="JZ95" s="13"/>
      <c r="KA95" s="13"/>
      <c r="KB95" s="13"/>
      <c r="KC95" s="13"/>
      <c r="KD95" s="13"/>
      <c r="KE95" s="13"/>
      <c r="KF95" s="13"/>
      <c r="KG95" s="13"/>
      <c r="KH95" s="13"/>
      <c r="KI95" s="13"/>
      <c r="KJ95" s="13"/>
      <c r="KK95" s="13"/>
      <c r="KL95" s="13"/>
      <c r="KM95" s="13"/>
      <c r="KN95" s="13"/>
      <c r="KO95" s="13"/>
      <c r="KP95" s="13"/>
      <c r="KQ95" s="13"/>
      <c r="KR95" s="13"/>
      <c r="KS95" s="13"/>
      <c r="KT95" s="13"/>
      <c r="KU95" s="13"/>
      <c r="KV95" s="13"/>
      <c r="KW95" s="13"/>
      <c r="KX95" s="13"/>
      <c r="KY95" s="13"/>
      <c r="KZ95" s="13"/>
      <c r="LA95" s="13"/>
      <c r="LB95" s="13"/>
      <c r="LC95" s="13"/>
      <c r="LD95" s="13"/>
      <c r="LE95" s="13"/>
      <c r="LF95" s="13"/>
      <c r="LG95" s="13"/>
      <c r="LH95" s="13"/>
      <c r="LI95" s="13"/>
      <c r="LJ95" s="13"/>
      <c r="LK95" s="13"/>
      <c r="LL95" s="13"/>
      <c r="LM95" s="13"/>
      <c r="LN95" s="13"/>
      <c r="LO95" s="13"/>
      <c r="LP95" s="13"/>
      <c r="LQ95" s="13"/>
      <c r="LR95" s="13"/>
      <c r="LS95" s="13"/>
      <c r="LT95" s="13"/>
      <c r="LU95" s="13"/>
      <c r="LV95" s="13"/>
      <c r="LW95" s="13"/>
      <c r="LX95" s="13"/>
      <c r="LY95" s="13"/>
      <c r="LZ95" s="13"/>
      <c r="MA95" s="13"/>
      <c r="MB95" s="13"/>
      <c r="MC95" s="13"/>
      <c r="MD95" s="13"/>
      <c r="ME95" s="13"/>
      <c r="MF95" s="13"/>
      <c r="MG95" s="13"/>
      <c r="MH95" s="13"/>
      <c r="MI95" s="13"/>
      <c r="MJ95" s="13"/>
      <c r="MK95" s="13"/>
      <c r="ML95" s="13"/>
      <c r="MM95" s="13"/>
      <c r="MN95" s="13"/>
      <c r="MO95" s="13"/>
      <c r="MP95" s="13"/>
      <c r="MQ95" s="13"/>
      <c r="MR95" s="13"/>
      <c r="MS95" s="13"/>
      <c r="MT95" s="13"/>
      <c r="MU95" s="13"/>
      <c r="MV95" s="13"/>
      <c r="MW95" s="13"/>
      <c r="MX95" s="13"/>
      <c r="MY95" s="13"/>
      <c r="MZ95" s="13"/>
      <c r="NA95" s="13"/>
      <c r="NB95" s="13"/>
      <c r="NC95" s="13"/>
      <c r="ND95" s="13"/>
      <c r="NE95" s="13"/>
      <c r="NF95" s="13"/>
      <c r="NG95" s="13"/>
      <c r="NH95" s="13"/>
      <c r="NI95" s="13"/>
      <c r="NJ95" s="13"/>
      <c r="NK95" s="13"/>
      <c r="NL95" s="13"/>
      <c r="NM95" s="13"/>
      <c r="NN95" s="13"/>
      <c r="NO95" s="13"/>
      <c r="NP95" s="13"/>
      <c r="NQ95" s="13"/>
      <c r="NR95" s="13"/>
      <c r="NS95" s="13"/>
      <c r="NT95" s="13"/>
      <c r="NU95" s="13"/>
      <c r="NV95" s="13"/>
      <c r="NW95" s="13"/>
      <c r="NX95" s="13"/>
      <c r="NY95" s="13"/>
      <c r="NZ95" s="13"/>
      <c r="OA95" s="13"/>
      <c r="OB95" s="13"/>
      <c r="OC95" s="13"/>
      <c r="OD95" s="13"/>
      <c r="OE95" s="13"/>
      <c r="OF95" s="13"/>
      <c r="OG95" s="13"/>
      <c r="OH95" s="13"/>
      <c r="OI95" s="13"/>
      <c r="OJ95" s="13"/>
      <c r="OK95" s="13"/>
      <c r="OL95" s="13"/>
      <c r="OM95" s="13"/>
      <c r="ON95" s="13"/>
      <c r="OO95" s="13"/>
      <c r="OP95" s="13"/>
      <c r="OQ95" s="13"/>
      <c r="OR95" s="13"/>
      <c r="OS95" s="13"/>
      <c r="OT95" s="13"/>
      <c r="OU95" s="13"/>
      <c r="OV95" s="13"/>
      <c r="OW95" s="13"/>
      <c r="OX95" s="13"/>
      <c r="OY95" s="13"/>
      <c r="OZ95" s="13"/>
      <c r="PA95" s="13"/>
      <c r="PB95" s="13"/>
      <c r="PC95" s="13"/>
      <c r="PD95" s="13"/>
      <c r="PE95" s="13"/>
      <c r="PF95" s="13"/>
      <c r="PG95" s="13"/>
      <c r="PH95" s="13"/>
      <c r="PI95" s="13"/>
      <c r="PJ95" s="13"/>
      <c r="PK95" s="13"/>
      <c r="PL95" s="13"/>
      <c r="PM95" s="13"/>
      <c r="PN95" s="13"/>
      <c r="PO95" s="13"/>
      <c r="PP95" s="13"/>
      <c r="PQ95" s="13"/>
      <c r="PR95" s="13"/>
      <c r="PS95" s="13"/>
      <c r="PT95" s="13"/>
      <c r="PU95" s="13"/>
      <c r="PV95" s="13"/>
      <c r="PW95" s="13"/>
      <c r="PX95" s="13"/>
      <c r="PY95" s="13"/>
      <c r="PZ95" s="13"/>
      <c r="QA95" s="13"/>
    </row>
    <row r="96" spans="1:443" x14ac:dyDescent="0.3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6"/>
      <c r="R96" s="17" t="str">
        <f t="shared" si="6"/>
        <v/>
      </c>
      <c r="S96" s="17" t="str">
        <f t="shared" si="7"/>
        <v/>
      </c>
      <c r="T96" s="18" t="str">
        <f t="shared" si="8"/>
        <v/>
      </c>
      <c r="U96" s="15"/>
      <c r="V96" s="19" t="str">
        <f t="shared" si="9"/>
        <v/>
      </c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  <c r="JP96" s="13"/>
      <c r="JQ96" s="13"/>
      <c r="JR96" s="13"/>
      <c r="JS96" s="13"/>
      <c r="JT96" s="13"/>
      <c r="JU96" s="13"/>
      <c r="JV96" s="13"/>
      <c r="JW96" s="13"/>
      <c r="JX96" s="13"/>
      <c r="JY96" s="13"/>
      <c r="JZ96" s="13"/>
      <c r="KA96" s="13"/>
      <c r="KB96" s="13"/>
      <c r="KC96" s="13"/>
      <c r="KD96" s="13"/>
      <c r="KE96" s="13"/>
      <c r="KF96" s="13"/>
      <c r="KG96" s="13"/>
      <c r="KH96" s="13"/>
      <c r="KI96" s="13"/>
      <c r="KJ96" s="13"/>
      <c r="KK96" s="13"/>
      <c r="KL96" s="13"/>
      <c r="KM96" s="13"/>
      <c r="KN96" s="13"/>
      <c r="KO96" s="13"/>
      <c r="KP96" s="13"/>
      <c r="KQ96" s="13"/>
      <c r="KR96" s="13"/>
      <c r="KS96" s="13"/>
      <c r="KT96" s="13"/>
      <c r="KU96" s="13"/>
      <c r="KV96" s="13"/>
      <c r="KW96" s="13"/>
      <c r="KX96" s="13"/>
      <c r="KY96" s="13"/>
      <c r="KZ96" s="13"/>
      <c r="LA96" s="13"/>
      <c r="LB96" s="13"/>
      <c r="LC96" s="13"/>
      <c r="LD96" s="13"/>
      <c r="LE96" s="13"/>
      <c r="LF96" s="13"/>
      <c r="LG96" s="13"/>
      <c r="LH96" s="13"/>
      <c r="LI96" s="13"/>
      <c r="LJ96" s="13"/>
      <c r="LK96" s="13"/>
      <c r="LL96" s="13"/>
      <c r="LM96" s="13"/>
      <c r="LN96" s="13"/>
      <c r="LO96" s="13"/>
      <c r="LP96" s="13"/>
      <c r="LQ96" s="13"/>
      <c r="LR96" s="13"/>
      <c r="LS96" s="13"/>
      <c r="LT96" s="13"/>
      <c r="LU96" s="13"/>
      <c r="LV96" s="13"/>
      <c r="LW96" s="13"/>
      <c r="LX96" s="13"/>
      <c r="LY96" s="13"/>
      <c r="LZ96" s="13"/>
      <c r="MA96" s="13"/>
      <c r="MB96" s="13"/>
      <c r="MC96" s="13"/>
      <c r="MD96" s="13"/>
      <c r="ME96" s="13"/>
      <c r="MF96" s="13"/>
      <c r="MG96" s="13"/>
      <c r="MH96" s="13"/>
      <c r="MI96" s="13"/>
      <c r="MJ96" s="13"/>
      <c r="MK96" s="13"/>
      <c r="ML96" s="13"/>
      <c r="MM96" s="13"/>
      <c r="MN96" s="13"/>
      <c r="MO96" s="13"/>
      <c r="MP96" s="13"/>
      <c r="MQ96" s="13"/>
      <c r="MR96" s="13"/>
      <c r="MS96" s="13"/>
      <c r="MT96" s="13"/>
      <c r="MU96" s="13"/>
      <c r="MV96" s="13"/>
      <c r="MW96" s="13"/>
      <c r="MX96" s="13"/>
      <c r="MY96" s="13"/>
      <c r="MZ96" s="13"/>
      <c r="NA96" s="13"/>
      <c r="NB96" s="13"/>
      <c r="NC96" s="13"/>
      <c r="ND96" s="13"/>
      <c r="NE96" s="13"/>
      <c r="NF96" s="13"/>
      <c r="NG96" s="13"/>
      <c r="NH96" s="13"/>
      <c r="NI96" s="13"/>
      <c r="NJ96" s="13"/>
      <c r="NK96" s="13"/>
      <c r="NL96" s="13"/>
      <c r="NM96" s="13"/>
      <c r="NN96" s="13"/>
      <c r="NO96" s="13"/>
      <c r="NP96" s="13"/>
      <c r="NQ96" s="13"/>
      <c r="NR96" s="13"/>
      <c r="NS96" s="13"/>
      <c r="NT96" s="13"/>
      <c r="NU96" s="13"/>
      <c r="NV96" s="13"/>
      <c r="NW96" s="13"/>
      <c r="NX96" s="13"/>
      <c r="NY96" s="13"/>
      <c r="NZ96" s="13"/>
      <c r="OA96" s="13"/>
      <c r="OB96" s="13"/>
      <c r="OC96" s="13"/>
      <c r="OD96" s="13"/>
      <c r="OE96" s="13"/>
      <c r="OF96" s="13"/>
      <c r="OG96" s="13"/>
      <c r="OH96" s="13"/>
      <c r="OI96" s="13"/>
      <c r="OJ96" s="13"/>
      <c r="OK96" s="13"/>
      <c r="OL96" s="13"/>
      <c r="OM96" s="13"/>
      <c r="ON96" s="13"/>
      <c r="OO96" s="13"/>
      <c r="OP96" s="13"/>
      <c r="OQ96" s="13"/>
      <c r="OR96" s="13"/>
      <c r="OS96" s="13"/>
      <c r="OT96" s="13"/>
      <c r="OU96" s="13"/>
      <c r="OV96" s="13"/>
      <c r="OW96" s="13"/>
      <c r="OX96" s="13"/>
      <c r="OY96" s="13"/>
      <c r="OZ96" s="13"/>
      <c r="PA96" s="13"/>
      <c r="PB96" s="13"/>
      <c r="PC96" s="13"/>
      <c r="PD96" s="13"/>
      <c r="PE96" s="13"/>
      <c r="PF96" s="13"/>
      <c r="PG96" s="13"/>
      <c r="PH96" s="13"/>
      <c r="PI96" s="13"/>
      <c r="PJ96" s="13"/>
      <c r="PK96" s="13"/>
      <c r="PL96" s="13"/>
      <c r="PM96" s="13"/>
      <c r="PN96" s="13"/>
      <c r="PO96" s="13"/>
      <c r="PP96" s="13"/>
      <c r="PQ96" s="13"/>
      <c r="PR96" s="13"/>
      <c r="PS96" s="13"/>
      <c r="PT96" s="13"/>
      <c r="PU96" s="13"/>
      <c r="PV96" s="13"/>
      <c r="PW96" s="13"/>
      <c r="PX96" s="13"/>
      <c r="PY96" s="13"/>
      <c r="PZ96" s="13"/>
      <c r="QA96" s="13"/>
    </row>
    <row r="97" spans="2:443" x14ac:dyDescent="0.3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6"/>
      <c r="R97" s="17" t="str">
        <f t="shared" si="6"/>
        <v/>
      </c>
      <c r="S97" s="17" t="str">
        <f t="shared" si="7"/>
        <v/>
      </c>
      <c r="T97" s="18" t="str">
        <f t="shared" si="8"/>
        <v/>
      </c>
      <c r="U97" s="15"/>
      <c r="V97" s="19" t="str">
        <f t="shared" si="9"/>
        <v/>
      </c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  <c r="JP97" s="13"/>
      <c r="JQ97" s="13"/>
      <c r="JR97" s="13"/>
      <c r="JS97" s="13"/>
      <c r="JT97" s="13"/>
      <c r="JU97" s="13"/>
      <c r="JV97" s="13"/>
      <c r="JW97" s="13"/>
      <c r="JX97" s="13"/>
      <c r="JY97" s="13"/>
      <c r="JZ97" s="13"/>
      <c r="KA97" s="13"/>
      <c r="KB97" s="13"/>
      <c r="KC97" s="13"/>
      <c r="KD97" s="13"/>
      <c r="KE97" s="13"/>
      <c r="KF97" s="13"/>
      <c r="KG97" s="13"/>
      <c r="KH97" s="13"/>
      <c r="KI97" s="13"/>
      <c r="KJ97" s="13"/>
      <c r="KK97" s="13"/>
      <c r="KL97" s="13"/>
      <c r="KM97" s="13"/>
      <c r="KN97" s="13"/>
      <c r="KO97" s="13"/>
      <c r="KP97" s="13"/>
      <c r="KQ97" s="13"/>
      <c r="KR97" s="13"/>
      <c r="KS97" s="13"/>
      <c r="KT97" s="13"/>
      <c r="KU97" s="13"/>
      <c r="KV97" s="13"/>
      <c r="KW97" s="13"/>
      <c r="KX97" s="13"/>
      <c r="KY97" s="13"/>
      <c r="KZ97" s="13"/>
      <c r="LA97" s="13"/>
      <c r="LB97" s="13"/>
      <c r="LC97" s="13"/>
      <c r="LD97" s="13"/>
      <c r="LE97" s="13"/>
      <c r="LF97" s="13"/>
      <c r="LG97" s="13"/>
      <c r="LH97" s="13"/>
      <c r="LI97" s="13"/>
      <c r="LJ97" s="13"/>
      <c r="LK97" s="13"/>
      <c r="LL97" s="13"/>
      <c r="LM97" s="13"/>
      <c r="LN97" s="13"/>
      <c r="LO97" s="13"/>
      <c r="LP97" s="13"/>
      <c r="LQ97" s="13"/>
      <c r="LR97" s="13"/>
      <c r="LS97" s="13"/>
      <c r="LT97" s="13"/>
      <c r="LU97" s="13"/>
      <c r="LV97" s="13"/>
      <c r="LW97" s="13"/>
      <c r="LX97" s="13"/>
      <c r="LY97" s="13"/>
      <c r="LZ97" s="13"/>
      <c r="MA97" s="13"/>
      <c r="MB97" s="13"/>
      <c r="MC97" s="13"/>
      <c r="MD97" s="13"/>
      <c r="ME97" s="13"/>
      <c r="MF97" s="13"/>
      <c r="MG97" s="13"/>
      <c r="MH97" s="13"/>
      <c r="MI97" s="13"/>
      <c r="MJ97" s="13"/>
      <c r="MK97" s="13"/>
      <c r="ML97" s="13"/>
      <c r="MM97" s="13"/>
      <c r="MN97" s="13"/>
      <c r="MO97" s="13"/>
      <c r="MP97" s="13"/>
      <c r="MQ97" s="13"/>
      <c r="MR97" s="13"/>
      <c r="MS97" s="13"/>
      <c r="MT97" s="13"/>
      <c r="MU97" s="13"/>
      <c r="MV97" s="13"/>
      <c r="MW97" s="13"/>
      <c r="MX97" s="13"/>
      <c r="MY97" s="13"/>
      <c r="MZ97" s="13"/>
      <c r="NA97" s="13"/>
      <c r="NB97" s="13"/>
      <c r="NC97" s="13"/>
      <c r="ND97" s="13"/>
      <c r="NE97" s="13"/>
      <c r="NF97" s="13"/>
      <c r="NG97" s="13"/>
      <c r="NH97" s="13"/>
      <c r="NI97" s="13"/>
      <c r="NJ97" s="13"/>
      <c r="NK97" s="13"/>
      <c r="NL97" s="13"/>
      <c r="NM97" s="13"/>
      <c r="NN97" s="13"/>
      <c r="NO97" s="13"/>
      <c r="NP97" s="13"/>
      <c r="NQ97" s="13"/>
      <c r="NR97" s="13"/>
      <c r="NS97" s="13"/>
      <c r="NT97" s="13"/>
      <c r="NU97" s="13"/>
      <c r="NV97" s="13"/>
      <c r="NW97" s="13"/>
      <c r="NX97" s="13"/>
      <c r="NY97" s="13"/>
      <c r="NZ97" s="13"/>
      <c r="OA97" s="13"/>
      <c r="OB97" s="13"/>
      <c r="OC97" s="13"/>
      <c r="OD97" s="13"/>
      <c r="OE97" s="13"/>
      <c r="OF97" s="13"/>
      <c r="OG97" s="13"/>
      <c r="OH97" s="13"/>
      <c r="OI97" s="13"/>
      <c r="OJ97" s="13"/>
      <c r="OK97" s="13"/>
      <c r="OL97" s="13"/>
      <c r="OM97" s="13"/>
      <c r="ON97" s="13"/>
      <c r="OO97" s="13"/>
      <c r="OP97" s="13"/>
      <c r="OQ97" s="13"/>
      <c r="OR97" s="13"/>
      <c r="OS97" s="13"/>
      <c r="OT97" s="13"/>
      <c r="OU97" s="13"/>
      <c r="OV97" s="13"/>
      <c r="OW97" s="13"/>
      <c r="OX97" s="13"/>
      <c r="OY97" s="13"/>
      <c r="OZ97" s="13"/>
      <c r="PA97" s="13"/>
      <c r="PB97" s="13"/>
      <c r="PC97" s="13"/>
      <c r="PD97" s="13"/>
      <c r="PE97" s="13"/>
      <c r="PF97" s="13"/>
      <c r="PG97" s="13"/>
      <c r="PH97" s="13"/>
      <c r="PI97" s="13"/>
      <c r="PJ97" s="13"/>
      <c r="PK97" s="13"/>
      <c r="PL97" s="13"/>
      <c r="PM97" s="13"/>
      <c r="PN97" s="13"/>
      <c r="PO97" s="13"/>
      <c r="PP97" s="13"/>
      <c r="PQ97" s="13"/>
      <c r="PR97" s="13"/>
      <c r="PS97" s="13"/>
      <c r="PT97" s="13"/>
      <c r="PU97" s="13"/>
      <c r="PV97" s="13"/>
      <c r="PW97" s="13"/>
      <c r="PX97" s="13"/>
      <c r="PY97" s="13"/>
      <c r="PZ97" s="13"/>
      <c r="QA97" s="13"/>
    </row>
    <row r="98" spans="2:443" x14ac:dyDescent="0.3"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6"/>
      <c r="R98" s="17" t="str">
        <f t="shared" si="6"/>
        <v/>
      </c>
      <c r="S98" s="17" t="str">
        <f t="shared" si="7"/>
        <v/>
      </c>
      <c r="T98" s="18" t="str">
        <f t="shared" si="8"/>
        <v/>
      </c>
      <c r="U98" s="15"/>
      <c r="V98" s="19" t="str">
        <f t="shared" si="9"/>
        <v/>
      </c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  <c r="JP98" s="13"/>
      <c r="JQ98" s="13"/>
      <c r="JR98" s="13"/>
      <c r="JS98" s="13"/>
      <c r="JT98" s="13"/>
      <c r="JU98" s="13"/>
      <c r="JV98" s="13"/>
      <c r="JW98" s="13"/>
      <c r="JX98" s="13"/>
      <c r="JY98" s="13"/>
      <c r="JZ98" s="13"/>
      <c r="KA98" s="13"/>
      <c r="KB98" s="13"/>
      <c r="KC98" s="13"/>
      <c r="KD98" s="13"/>
      <c r="KE98" s="13"/>
      <c r="KF98" s="13"/>
      <c r="KG98" s="13"/>
      <c r="KH98" s="13"/>
      <c r="KI98" s="13"/>
      <c r="KJ98" s="13"/>
      <c r="KK98" s="13"/>
      <c r="KL98" s="13"/>
      <c r="KM98" s="13"/>
      <c r="KN98" s="13"/>
      <c r="KO98" s="13"/>
      <c r="KP98" s="13"/>
      <c r="KQ98" s="13"/>
      <c r="KR98" s="13"/>
      <c r="KS98" s="13"/>
      <c r="KT98" s="13"/>
      <c r="KU98" s="13"/>
      <c r="KV98" s="13"/>
      <c r="KW98" s="13"/>
      <c r="KX98" s="13"/>
      <c r="KY98" s="13"/>
      <c r="KZ98" s="13"/>
      <c r="LA98" s="13"/>
      <c r="LB98" s="13"/>
      <c r="LC98" s="13"/>
      <c r="LD98" s="13"/>
      <c r="LE98" s="13"/>
      <c r="LF98" s="13"/>
      <c r="LG98" s="13"/>
      <c r="LH98" s="13"/>
      <c r="LI98" s="13"/>
      <c r="LJ98" s="13"/>
      <c r="LK98" s="13"/>
      <c r="LL98" s="13"/>
      <c r="LM98" s="13"/>
      <c r="LN98" s="13"/>
      <c r="LO98" s="13"/>
      <c r="LP98" s="13"/>
      <c r="LQ98" s="13"/>
      <c r="LR98" s="13"/>
      <c r="LS98" s="13"/>
      <c r="LT98" s="13"/>
      <c r="LU98" s="13"/>
      <c r="LV98" s="13"/>
      <c r="LW98" s="13"/>
      <c r="LX98" s="13"/>
      <c r="LY98" s="13"/>
      <c r="LZ98" s="13"/>
      <c r="MA98" s="13"/>
      <c r="MB98" s="13"/>
      <c r="MC98" s="13"/>
      <c r="MD98" s="13"/>
      <c r="ME98" s="13"/>
      <c r="MF98" s="13"/>
      <c r="MG98" s="13"/>
      <c r="MH98" s="13"/>
      <c r="MI98" s="13"/>
      <c r="MJ98" s="13"/>
      <c r="MK98" s="13"/>
      <c r="ML98" s="13"/>
      <c r="MM98" s="13"/>
      <c r="MN98" s="13"/>
      <c r="MO98" s="13"/>
      <c r="MP98" s="13"/>
      <c r="MQ98" s="13"/>
      <c r="MR98" s="13"/>
      <c r="MS98" s="13"/>
      <c r="MT98" s="13"/>
      <c r="MU98" s="13"/>
      <c r="MV98" s="13"/>
      <c r="MW98" s="13"/>
      <c r="MX98" s="13"/>
      <c r="MY98" s="13"/>
      <c r="MZ98" s="13"/>
      <c r="NA98" s="13"/>
      <c r="NB98" s="13"/>
      <c r="NC98" s="13"/>
      <c r="ND98" s="13"/>
      <c r="NE98" s="13"/>
      <c r="NF98" s="13"/>
      <c r="NG98" s="13"/>
      <c r="NH98" s="13"/>
      <c r="NI98" s="13"/>
      <c r="NJ98" s="13"/>
      <c r="NK98" s="13"/>
      <c r="NL98" s="13"/>
      <c r="NM98" s="13"/>
      <c r="NN98" s="13"/>
      <c r="NO98" s="13"/>
      <c r="NP98" s="13"/>
      <c r="NQ98" s="13"/>
      <c r="NR98" s="13"/>
      <c r="NS98" s="13"/>
      <c r="NT98" s="13"/>
      <c r="NU98" s="13"/>
      <c r="NV98" s="13"/>
      <c r="NW98" s="13"/>
      <c r="NX98" s="13"/>
      <c r="NY98" s="13"/>
      <c r="NZ98" s="13"/>
      <c r="OA98" s="13"/>
      <c r="OB98" s="13"/>
      <c r="OC98" s="13"/>
      <c r="OD98" s="13"/>
      <c r="OE98" s="13"/>
      <c r="OF98" s="13"/>
      <c r="OG98" s="13"/>
      <c r="OH98" s="13"/>
      <c r="OI98" s="13"/>
      <c r="OJ98" s="13"/>
      <c r="OK98" s="13"/>
      <c r="OL98" s="13"/>
      <c r="OM98" s="13"/>
      <c r="ON98" s="13"/>
      <c r="OO98" s="13"/>
      <c r="OP98" s="13"/>
      <c r="OQ98" s="13"/>
      <c r="OR98" s="13"/>
      <c r="OS98" s="13"/>
      <c r="OT98" s="13"/>
      <c r="OU98" s="13"/>
      <c r="OV98" s="13"/>
      <c r="OW98" s="13"/>
      <c r="OX98" s="13"/>
      <c r="OY98" s="13"/>
      <c r="OZ98" s="13"/>
      <c r="PA98" s="13"/>
      <c r="PB98" s="13"/>
      <c r="PC98" s="13"/>
      <c r="PD98" s="13"/>
      <c r="PE98" s="13"/>
      <c r="PF98" s="13"/>
      <c r="PG98" s="13"/>
      <c r="PH98" s="13"/>
      <c r="PI98" s="13"/>
      <c r="PJ98" s="13"/>
      <c r="PK98" s="13"/>
      <c r="PL98" s="13"/>
      <c r="PM98" s="13"/>
      <c r="PN98" s="13"/>
      <c r="PO98" s="13"/>
      <c r="PP98" s="13"/>
      <c r="PQ98" s="13"/>
      <c r="PR98" s="13"/>
      <c r="PS98" s="13"/>
      <c r="PT98" s="13"/>
      <c r="PU98" s="13"/>
      <c r="PV98" s="13"/>
      <c r="PW98" s="13"/>
      <c r="PX98" s="13"/>
      <c r="PY98" s="13"/>
      <c r="PZ98" s="13"/>
      <c r="QA98" s="13"/>
    </row>
    <row r="99" spans="2:443" x14ac:dyDescent="0.3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6"/>
      <c r="R99" s="17" t="str">
        <f t="shared" si="6"/>
        <v/>
      </c>
      <c r="S99" s="17" t="str">
        <f t="shared" si="7"/>
        <v/>
      </c>
      <c r="T99" s="18" t="str">
        <f t="shared" si="8"/>
        <v/>
      </c>
      <c r="U99" s="15"/>
      <c r="V99" s="19" t="str">
        <f t="shared" si="9"/>
        <v/>
      </c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  <c r="JP99" s="13"/>
      <c r="JQ99" s="13"/>
      <c r="JR99" s="13"/>
      <c r="JS99" s="13"/>
      <c r="JT99" s="13"/>
      <c r="JU99" s="13"/>
      <c r="JV99" s="13"/>
      <c r="JW99" s="13"/>
      <c r="JX99" s="13"/>
      <c r="JY99" s="13"/>
      <c r="JZ99" s="13"/>
      <c r="KA99" s="13"/>
      <c r="KB99" s="13"/>
      <c r="KC99" s="13"/>
      <c r="KD99" s="13"/>
      <c r="KE99" s="13"/>
      <c r="KF99" s="13"/>
      <c r="KG99" s="13"/>
      <c r="KH99" s="13"/>
      <c r="KI99" s="13"/>
      <c r="KJ99" s="13"/>
      <c r="KK99" s="13"/>
      <c r="KL99" s="13"/>
      <c r="KM99" s="13"/>
      <c r="KN99" s="13"/>
      <c r="KO99" s="13"/>
      <c r="KP99" s="13"/>
      <c r="KQ99" s="13"/>
      <c r="KR99" s="13"/>
      <c r="KS99" s="13"/>
      <c r="KT99" s="13"/>
      <c r="KU99" s="13"/>
      <c r="KV99" s="13"/>
      <c r="KW99" s="13"/>
      <c r="KX99" s="13"/>
      <c r="KY99" s="13"/>
      <c r="KZ99" s="13"/>
      <c r="LA99" s="13"/>
      <c r="LB99" s="13"/>
      <c r="LC99" s="13"/>
      <c r="LD99" s="13"/>
      <c r="LE99" s="13"/>
      <c r="LF99" s="13"/>
      <c r="LG99" s="13"/>
      <c r="LH99" s="13"/>
      <c r="LI99" s="13"/>
      <c r="LJ99" s="13"/>
      <c r="LK99" s="13"/>
      <c r="LL99" s="13"/>
      <c r="LM99" s="13"/>
      <c r="LN99" s="13"/>
      <c r="LO99" s="13"/>
      <c r="LP99" s="13"/>
      <c r="LQ99" s="13"/>
      <c r="LR99" s="13"/>
      <c r="LS99" s="13"/>
      <c r="LT99" s="13"/>
      <c r="LU99" s="13"/>
      <c r="LV99" s="13"/>
      <c r="LW99" s="13"/>
      <c r="LX99" s="13"/>
      <c r="LY99" s="13"/>
      <c r="LZ99" s="13"/>
      <c r="MA99" s="13"/>
      <c r="MB99" s="13"/>
      <c r="MC99" s="13"/>
      <c r="MD99" s="13"/>
      <c r="ME99" s="13"/>
      <c r="MF99" s="13"/>
      <c r="MG99" s="13"/>
      <c r="MH99" s="13"/>
      <c r="MI99" s="13"/>
      <c r="MJ99" s="13"/>
      <c r="MK99" s="13"/>
      <c r="ML99" s="13"/>
      <c r="MM99" s="13"/>
      <c r="MN99" s="13"/>
      <c r="MO99" s="13"/>
      <c r="MP99" s="13"/>
      <c r="MQ99" s="13"/>
      <c r="MR99" s="13"/>
      <c r="MS99" s="13"/>
      <c r="MT99" s="13"/>
      <c r="MU99" s="13"/>
      <c r="MV99" s="13"/>
      <c r="MW99" s="13"/>
      <c r="MX99" s="13"/>
      <c r="MY99" s="13"/>
      <c r="MZ99" s="13"/>
      <c r="NA99" s="13"/>
      <c r="NB99" s="13"/>
      <c r="NC99" s="13"/>
      <c r="ND99" s="13"/>
      <c r="NE99" s="13"/>
      <c r="NF99" s="13"/>
      <c r="NG99" s="13"/>
      <c r="NH99" s="13"/>
      <c r="NI99" s="13"/>
      <c r="NJ99" s="13"/>
      <c r="NK99" s="13"/>
      <c r="NL99" s="13"/>
      <c r="NM99" s="13"/>
      <c r="NN99" s="13"/>
      <c r="NO99" s="13"/>
      <c r="NP99" s="13"/>
      <c r="NQ99" s="13"/>
      <c r="NR99" s="13"/>
      <c r="NS99" s="13"/>
      <c r="NT99" s="13"/>
      <c r="NU99" s="13"/>
      <c r="NV99" s="13"/>
      <c r="NW99" s="13"/>
      <c r="NX99" s="13"/>
      <c r="NY99" s="13"/>
      <c r="NZ99" s="13"/>
      <c r="OA99" s="13"/>
      <c r="OB99" s="13"/>
      <c r="OC99" s="13"/>
      <c r="OD99" s="13"/>
      <c r="OE99" s="13"/>
      <c r="OF99" s="13"/>
      <c r="OG99" s="13"/>
      <c r="OH99" s="13"/>
      <c r="OI99" s="13"/>
      <c r="OJ99" s="13"/>
      <c r="OK99" s="13"/>
      <c r="OL99" s="13"/>
      <c r="OM99" s="13"/>
      <c r="ON99" s="13"/>
      <c r="OO99" s="13"/>
      <c r="OP99" s="13"/>
      <c r="OQ99" s="13"/>
      <c r="OR99" s="13"/>
      <c r="OS99" s="13"/>
      <c r="OT99" s="13"/>
      <c r="OU99" s="13"/>
      <c r="OV99" s="13"/>
      <c r="OW99" s="13"/>
      <c r="OX99" s="13"/>
      <c r="OY99" s="13"/>
      <c r="OZ99" s="13"/>
      <c r="PA99" s="13"/>
      <c r="PB99" s="13"/>
      <c r="PC99" s="13"/>
      <c r="PD99" s="13"/>
      <c r="PE99" s="13"/>
      <c r="PF99" s="13"/>
      <c r="PG99" s="13"/>
      <c r="PH99" s="13"/>
      <c r="PI99" s="13"/>
      <c r="PJ99" s="13"/>
      <c r="PK99" s="13"/>
      <c r="PL99" s="13"/>
      <c r="PM99" s="13"/>
      <c r="PN99" s="13"/>
      <c r="PO99" s="13"/>
      <c r="PP99" s="13"/>
      <c r="PQ99" s="13"/>
      <c r="PR99" s="13"/>
      <c r="PS99" s="13"/>
      <c r="PT99" s="13"/>
      <c r="PU99" s="13"/>
      <c r="PV99" s="13"/>
      <c r="PW99" s="13"/>
      <c r="PX99" s="13"/>
      <c r="PY99" s="13"/>
      <c r="PZ99" s="13"/>
      <c r="QA99" s="13"/>
    </row>
    <row r="100" spans="2:443" x14ac:dyDescent="0.3"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6"/>
      <c r="R100" s="17" t="str">
        <f t="shared" si="6"/>
        <v/>
      </c>
      <c r="S100" s="17" t="str">
        <f t="shared" si="7"/>
        <v/>
      </c>
      <c r="T100" s="18" t="str">
        <f t="shared" si="8"/>
        <v/>
      </c>
      <c r="U100" s="15"/>
      <c r="V100" s="19" t="str">
        <f t="shared" ref="V100:V131" si="10">IF(U100&lt;&gt;"",D100 - (SUM(E100:Q100)),"")</f>
        <v/>
      </c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  <c r="JP100" s="13"/>
      <c r="JQ100" s="13"/>
      <c r="JR100" s="13"/>
      <c r="JS100" s="13"/>
      <c r="JT100" s="13"/>
      <c r="JU100" s="13"/>
      <c r="JV100" s="13"/>
      <c r="JW100" s="13"/>
      <c r="JX100" s="13"/>
      <c r="JY100" s="13"/>
      <c r="JZ100" s="13"/>
      <c r="KA100" s="13"/>
      <c r="KB100" s="13"/>
      <c r="KC100" s="13"/>
      <c r="KD100" s="13"/>
      <c r="KE100" s="13"/>
      <c r="KF100" s="13"/>
      <c r="KG100" s="13"/>
      <c r="KH100" s="13"/>
      <c r="KI100" s="13"/>
      <c r="KJ100" s="13"/>
      <c r="KK100" s="13"/>
      <c r="KL100" s="13"/>
      <c r="KM100" s="13"/>
      <c r="KN100" s="13"/>
      <c r="KO100" s="13"/>
      <c r="KP100" s="13"/>
      <c r="KQ100" s="13"/>
      <c r="KR100" s="13"/>
      <c r="KS100" s="13"/>
      <c r="KT100" s="13"/>
      <c r="KU100" s="13"/>
      <c r="KV100" s="13"/>
      <c r="KW100" s="13"/>
      <c r="KX100" s="13"/>
      <c r="KY100" s="13"/>
      <c r="KZ100" s="13"/>
      <c r="LA100" s="13"/>
      <c r="LB100" s="13"/>
      <c r="LC100" s="13"/>
      <c r="LD100" s="13"/>
      <c r="LE100" s="13"/>
      <c r="LF100" s="13"/>
      <c r="LG100" s="13"/>
      <c r="LH100" s="13"/>
      <c r="LI100" s="13"/>
      <c r="LJ100" s="13"/>
      <c r="LK100" s="13"/>
      <c r="LL100" s="13"/>
      <c r="LM100" s="13"/>
      <c r="LN100" s="13"/>
      <c r="LO100" s="13"/>
      <c r="LP100" s="13"/>
      <c r="LQ100" s="13"/>
      <c r="LR100" s="13"/>
      <c r="LS100" s="13"/>
      <c r="LT100" s="13"/>
      <c r="LU100" s="13"/>
      <c r="LV100" s="13"/>
      <c r="LW100" s="13"/>
      <c r="LX100" s="13"/>
      <c r="LY100" s="13"/>
      <c r="LZ100" s="13"/>
      <c r="MA100" s="13"/>
      <c r="MB100" s="13"/>
      <c r="MC100" s="13"/>
      <c r="MD100" s="13"/>
      <c r="ME100" s="13"/>
      <c r="MF100" s="13"/>
      <c r="MG100" s="13"/>
      <c r="MH100" s="13"/>
      <c r="MI100" s="13"/>
      <c r="MJ100" s="13"/>
      <c r="MK100" s="13"/>
      <c r="ML100" s="13"/>
      <c r="MM100" s="13"/>
      <c r="MN100" s="13"/>
      <c r="MO100" s="13"/>
      <c r="MP100" s="13"/>
      <c r="MQ100" s="13"/>
      <c r="MR100" s="13"/>
      <c r="MS100" s="13"/>
      <c r="MT100" s="13"/>
      <c r="MU100" s="13"/>
      <c r="MV100" s="13"/>
      <c r="MW100" s="13"/>
      <c r="MX100" s="13"/>
      <c r="MY100" s="13"/>
      <c r="MZ100" s="13"/>
      <c r="NA100" s="13"/>
      <c r="NB100" s="13"/>
      <c r="NC100" s="13"/>
      <c r="ND100" s="13"/>
      <c r="NE100" s="13"/>
      <c r="NF100" s="13"/>
      <c r="NG100" s="13"/>
      <c r="NH100" s="13"/>
      <c r="NI100" s="13"/>
      <c r="NJ100" s="13"/>
      <c r="NK100" s="13"/>
      <c r="NL100" s="13"/>
      <c r="NM100" s="13"/>
      <c r="NN100" s="13"/>
      <c r="NO100" s="13"/>
      <c r="NP100" s="13"/>
      <c r="NQ100" s="13"/>
      <c r="NR100" s="13"/>
      <c r="NS100" s="13"/>
      <c r="NT100" s="13"/>
      <c r="NU100" s="13"/>
      <c r="NV100" s="13"/>
      <c r="NW100" s="13"/>
      <c r="NX100" s="13"/>
      <c r="NY100" s="13"/>
      <c r="NZ100" s="13"/>
      <c r="OA100" s="13"/>
      <c r="OB100" s="13"/>
      <c r="OC100" s="13"/>
      <c r="OD100" s="13"/>
      <c r="OE100" s="13"/>
      <c r="OF100" s="13"/>
      <c r="OG100" s="13"/>
      <c r="OH100" s="13"/>
      <c r="OI100" s="13"/>
      <c r="OJ100" s="13"/>
      <c r="OK100" s="13"/>
      <c r="OL100" s="13"/>
      <c r="OM100" s="13"/>
      <c r="ON100" s="13"/>
      <c r="OO100" s="13"/>
      <c r="OP100" s="13"/>
      <c r="OQ100" s="13"/>
      <c r="OR100" s="13"/>
      <c r="OS100" s="13"/>
      <c r="OT100" s="13"/>
      <c r="OU100" s="13"/>
      <c r="OV100" s="13"/>
      <c r="OW100" s="13"/>
      <c r="OX100" s="13"/>
      <c r="OY100" s="13"/>
      <c r="OZ100" s="13"/>
      <c r="PA100" s="13"/>
      <c r="PB100" s="13"/>
      <c r="PC100" s="13"/>
      <c r="PD100" s="13"/>
      <c r="PE100" s="13"/>
      <c r="PF100" s="13"/>
      <c r="PG100" s="13"/>
      <c r="PH100" s="13"/>
      <c r="PI100" s="13"/>
      <c r="PJ100" s="13"/>
      <c r="PK100" s="13"/>
      <c r="PL100" s="13"/>
      <c r="PM100" s="13"/>
      <c r="PN100" s="13"/>
      <c r="PO100" s="13"/>
      <c r="PP100" s="13"/>
      <c r="PQ100" s="13"/>
      <c r="PR100" s="13"/>
      <c r="PS100" s="13"/>
      <c r="PT100" s="13"/>
      <c r="PU100" s="13"/>
      <c r="PV100" s="13"/>
      <c r="PW100" s="13"/>
      <c r="PX100" s="13"/>
      <c r="PY100" s="13"/>
      <c r="PZ100" s="13"/>
      <c r="QA100" s="13"/>
    </row>
    <row r="101" spans="2:443" x14ac:dyDescent="0.3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6"/>
      <c r="R101" s="17" t="str">
        <f t="shared" si="6"/>
        <v/>
      </c>
      <c r="S101" s="17" t="str">
        <f t="shared" si="7"/>
        <v/>
      </c>
      <c r="T101" s="18" t="str">
        <f t="shared" si="8"/>
        <v/>
      </c>
      <c r="U101" s="15"/>
      <c r="V101" s="19" t="str">
        <f t="shared" si="10"/>
        <v/>
      </c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  <c r="JP101" s="13"/>
      <c r="JQ101" s="13"/>
      <c r="JR101" s="13"/>
      <c r="JS101" s="13"/>
      <c r="JT101" s="13"/>
      <c r="JU101" s="13"/>
      <c r="JV101" s="13"/>
      <c r="JW101" s="13"/>
      <c r="JX101" s="13"/>
      <c r="JY101" s="13"/>
      <c r="JZ101" s="13"/>
      <c r="KA101" s="13"/>
      <c r="KB101" s="13"/>
      <c r="KC101" s="13"/>
      <c r="KD101" s="13"/>
      <c r="KE101" s="13"/>
      <c r="KF101" s="13"/>
      <c r="KG101" s="13"/>
      <c r="KH101" s="13"/>
      <c r="KI101" s="13"/>
      <c r="KJ101" s="13"/>
      <c r="KK101" s="13"/>
      <c r="KL101" s="13"/>
      <c r="KM101" s="13"/>
      <c r="KN101" s="13"/>
      <c r="KO101" s="13"/>
      <c r="KP101" s="13"/>
      <c r="KQ101" s="13"/>
      <c r="KR101" s="13"/>
      <c r="KS101" s="13"/>
      <c r="KT101" s="13"/>
      <c r="KU101" s="13"/>
      <c r="KV101" s="13"/>
      <c r="KW101" s="13"/>
      <c r="KX101" s="13"/>
      <c r="KY101" s="13"/>
      <c r="KZ101" s="13"/>
      <c r="LA101" s="13"/>
      <c r="LB101" s="13"/>
      <c r="LC101" s="13"/>
      <c r="LD101" s="13"/>
      <c r="LE101" s="13"/>
      <c r="LF101" s="13"/>
      <c r="LG101" s="13"/>
      <c r="LH101" s="13"/>
      <c r="LI101" s="13"/>
      <c r="LJ101" s="13"/>
      <c r="LK101" s="13"/>
      <c r="LL101" s="13"/>
      <c r="LM101" s="13"/>
      <c r="LN101" s="13"/>
      <c r="LO101" s="13"/>
      <c r="LP101" s="13"/>
      <c r="LQ101" s="13"/>
      <c r="LR101" s="13"/>
      <c r="LS101" s="13"/>
      <c r="LT101" s="13"/>
      <c r="LU101" s="13"/>
      <c r="LV101" s="13"/>
      <c r="LW101" s="13"/>
      <c r="LX101" s="13"/>
      <c r="LY101" s="13"/>
      <c r="LZ101" s="13"/>
      <c r="MA101" s="13"/>
      <c r="MB101" s="13"/>
      <c r="MC101" s="13"/>
      <c r="MD101" s="13"/>
      <c r="ME101" s="13"/>
      <c r="MF101" s="13"/>
      <c r="MG101" s="13"/>
      <c r="MH101" s="13"/>
      <c r="MI101" s="13"/>
      <c r="MJ101" s="13"/>
      <c r="MK101" s="13"/>
      <c r="ML101" s="13"/>
      <c r="MM101" s="13"/>
      <c r="MN101" s="13"/>
      <c r="MO101" s="13"/>
      <c r="MP101" s="13"/>
      <c r="MQ101" s="13"/>
      <c r="MR101" s="13"/>
      <c r="MS101" s="13"/>
      <c r="MT101" s="13"/>
      <c r="MU101" s="13"/>
      <c r="MV101" s="13"/>
      <c r="MW101" s="13"/>
      <c r="MX101" s="13"/>
      <c r="MY101" s="13"/>
      <c r="MZ101" s="13"/>
      <c r="NA101" s="13"/>
      <c r="NB101" s="13"/>
      <c r="NC101" s="13"/>
      <c r="ND101" s="13"/>
      <c r="NE101" s="13"/>
      <c r="NF101" s="13"/>
      <c r="NG101" s="13"/>
      <c r="NH101" s="13"/>
      <c r="NI101" s="13"/>
      <c r="NJ101" s="13"/>
      <c r="NK101" s="13"/>
      <c r="NL101" s="13"/>
      <c r="NM101" s="13"/>
      <c r="NN101" s="13"/>
      <c r="NO101" s="13"/>
      <c r="NP101" s="13"/>
      <c r="NQ101" s="13"/>
      <c r="NR101" s="13"/>
      <c r="NS101" s="13"/>
      <c r="NT101" s="13"/>
      <c r="NU101" s="13"/>
      <c r="NV101" s="13"/>
      <c r="NW101" s="13"/>
      <c r="NX101" s="13"/>
      <c r="NY101" s="13"/>
      <c r="NZ101" s="13"/>
      <c r="OA101" s="13"/>
      <c r="OB101" s="13"/>
      <c r="OC101" s="13"/>
      <c r="OD101" s="13"/>
      <c r="OE101" s="13"/>
      <c r="OF101" s="13"/>
      <c r="OG101" s="13"/>
      <c r="OH101" s="13"/>
      <c r="OI101" s="13"/>
      <c r="OJ101" s="13"/>
      <c r="OK101" s="13"/>
      <c r="OL101" s="13"/>
      <c r="OM101" s="13"/>
      <c r="ON101" s="13"/>
      <c r="OO101" s="13"/>
      <c r="OP101" s="13"/>
      <c r="OQ101" s="13"/>
      <c r="OR101" s="13"/>
      <c r="OS101" s="13"/>
      <c r="OT101" s="13"/>
      <c r="OU101" s="13"/>
      <c r="OV101" s="13"/>
      <c r="OW101" s="13"/>
      <c r="OX101" s="13"/>
      <c r="OY101" s="13"/>
      <c r="OZ101" s="13"/>
      <c r="PA101" s="13"/>
      <c r="PB101" s="13"/>
      <c r="PC101" s="13"/>
      <c r="PD101" s="13"/>
      <c r="PE101" s="13"/>
      <c r="PF101" s="13"/>
      <c r="PG101" s="13"/>
      <c r="PH101" s="13"/>
      <c r="PI101" s="13"/>
      <c r="PJ101" s="13"/>
      <c r="PK101" s="13"/>
      <c r="PL101" s="13"/>
      <c r="PM101" s="13"/>
      <c r="PN101" s="13"/>
      <c r="PO101" s="13"/>
      <c r="PP101" s="13"/>
      <c r="PQ101" s="13"/>
      <c r="PR101" s="13"/>
      <c r="PS101" s="13"/>
      <c r="PT101" s="13"/>
      <c r="PU101" s="13"/>
      <c r="PV101" s="13"/>
      <c r="PW101" s="13"/>
      <c r="PX101" s="13"/>
      <c r="PY101" s="13"/>
      <c r="PZ101" s="13"/>
      <c r="QA101" s="13"/>
    </row>
    <row r="102" spans="2:443" x14ac:dyDescent="0.3"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6"/>
      <c r="R102" s="17" t="str">
        <f t="shared" si="6"/>
        <v/>
      </c>
      <c r="S102" s="17" t="str">
        <f t="shared" si="7"/>
        <v/>
      </c>
      <c r="T102" s="18" t="str">
        <f t="shared" si="8"/>
        <v/>
      </c>
      <c r="U102" s="15"/>
      <c r="V102" s="19" t="str">
        <f t="shared" si="10"/>
        <v/>
      </c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  <c r="JP102" s="13"/>
      <c r="JQ102" s="13"/>
      <c r="JR102" s="13"/>
      <c r="JS102" s="13"/>
      <c r="JT102" s="13"/>
      <c r="JU102" s="13"/>
      <c r="JV102" s="13"/>
      <c r="JW102" s="13"/>
      <c r="JX102" s="13"/>
      <c r="JY102" s="13"/>
      <c r="JZ102" s="13"/>
      <c r="KA102" s="13"/>
      <c r="KB102" s="13"/>
      <c r="KC102" s="13"/>
      <c r="KD102" s="13"/>
      <c r="KE102" s="13"/>
      <c r="KF102" s="13"/>
      <c r="KG102" s="13"/>
      <c r="KH102" s="13"/>
      <c r="KI102" s="13"/>
      <c r="KJ102" s="13"/>
      <c r="KK102" s="13"/>
      <c r="KL102" s="13"/>
      <c r="KM102" s="13"/>
      <c r="KN102" s="13"/>
      <c r="KO102" s="13"/>
      <c r="KP102" s="13"/>
      <c r="KQ102" s="13"/>
      <c r="KR102" s="13"/>
      <c r="KS102" s="13"/>
      <c r="KT102" s="13"/>
      <c r="KU102" s="13"/>
      <c r="KV102" s="13"/>
      <c r="KW102" s="13"/>
      <c r="KX102" s="13"/>
      <c r="KY102" s="13"/>
      <c r="KZ102" s="13"/>
      <c r="LA102" s="13"/>
      <c r="LB102" s="13"/>
      <c r="LC102" s="13"/>
      <c r="LD102" s="13"/>
      <c r="LE102" s="13"/>
      <c r="LF102" s="13"/>
      <c r="LG102" s="13"/>
      <c r="LH102" s="13"/>
      <c r="LI102" s="13"/>
      <c r="LJ102" s="13"/>
      <c r="LK102" s="13"/>
      <c r="LL102" s="13"/>
      <c r="LM102" s="13"/>
      <c r="LN102" s="13"/>
      <c r="LO102" s="13"/>
      <c r="LP102" s="13"/>
      <c r="LQ102" s="13"/>
      <c r="LR102" s="13"/>
      <c r="LS102" s="13"/>
      <c r="LT102" s="13"/>
      <c r="LU102" s="13"/>
      <c r="LV102" s="13"/>
      <c r="LW102" s="13"/>
      <c r="LX102" s="13"/>
      <c r="LY102" s="13"/>
      <c r="LZ102" s="13"/>
      <c r="MA102" s="13"/>
      <c r="MB102" s="13"/>
      <c r="MC102" s="13"/>
      <c r="MD102" s="13"/>
      <c r="ME102" s="13"/>
      <c r="MF102" s="13"/>
      <c r="MG102" s="13"/>
      <c r="MH102" s="13"/>
      <c r="MI102" s="13"/>
      <c r="MJ102" s="13"/>
      <c r="MK102" s="13"/>
      <c r="ML102" s="13"/>
      <c r="MM102" s="13"/>
      <c r="MN102" s="13"/>
      <c r="MO102" s="13"/>
      <c r="MP102" s="13"/>
      <c r="MQ102" s="13"/>
      <c r="MR102" s="13"/>
      <c r="MS102" s="13"/>
      <c r="MT102" s="13"/>
      <c r="MU102" s="13"/>
      <c r="MV102" s="13"/>
      <c r="MW102" s="13"/>
      <c r="MX102" s="13"/>
      <c r="MY102" s="13"/>
      <c r="MZ102" s="13"/>
      <c r="NA102" s="13"/>
      <c r="NB102" s="13"/>
      <c r="NC102" s="13"/>
      <c r="ND102" s="13"/>
      <c r="NE102" s="13"/>
      <c r="NF102" s="13"/>
      <c r="NG102" s="13"/>
      <c r="NH102" s="13"/>
      <c r="NI102" s="13"/>
      <c r="NJ102" s="13"/>
      <c r="NK102" s="13"/>
      <c r="NL102" s="13"/>
      <c r="NM102" s="13"/>
      <c r="NN102" s="13"/>
      <c r="NO102" s="13"/>
      <c r="NP102" s="13"/>
      <c r="NQ102" s="13"/>
      <c r="NR102" s="13"/>
      <c r="NS102" s="13"/>
      <c r="NT102" s="13"/>
      <c r="NU102" s="13"/>
      <c r="NV102" s="13"/>
      <c r="NW102" s="13"/>
      <c r="NX102" s="13"/>
      <c r="NY102" s="13"/>
      <c r="NZ102" s="13"/>
      <c r="OA102" s="13"/>
      <c r="OB102" s="13"/>
      <c r="OC102" s="13"/>
      <c r="OD102" s="13"/>
      <c r="OE102" s="13"/>
      <c r="OF102" s="13"/>
      <c r="OG102" s="13"/>
      <c r="OH102" s="13"/>
      <c r="OI102" s="13"/>
      <c r="OJ102" s="13"/>
      <c r="OK102" s="13"/>
      <c r="OL102" s="13"/>
      <c r="OM102" s="13"/>
      <c r="ON102" s="13"/>
      <c r="OO102" s="13"/>
      <c r="OP102" s="13"/>
      <c r="OQ102" s="13"/>
      <c r="OR102" s="13"/>
      <c r="OS102" s="13"/>
      <c r="OT102" s="13"/>
      <c r="OU102" s="13"/>
      <c r="OV102" s="13"/>
      <c r="OW102" s="13"/>
      <c r="OX102" s="13"/>
      <c r="OY102" s="13"/>
      <c r="OZ102" s="13"/>
      <c r="PA102" s="13"/>
      <c r="PB102" s="13"/>
      <c r="PC102" s="13"/>
      <c r="PD102" s="13"/>
      <c r="PE102" s="13"/>
      <c r="PF102" s="13"/>
      <c r="PG102" s="13"/>
      <c r="PH102" s="13"/>
      <c r="PI102" s="13"/>
      <c r="PJ102" s="13"/>
      <c r="PK102" s="13"/>
      <c r="PL102" s="13"/>
      <c r="PM102" s="13"/>
      <c r="PN102" s="13"/>
      <c r="PO102" s="13"/>
      <c r="PP102" s="13"/>
      <c r="PQ102" s="13"/>
      <c r="PR102" s="13"/>
      <c r="PS102" s="13"/>
      <c r="PT102" s="13"/>
      <c r="PU102" s="13"/>
      <c r="PV102" s="13"/>
      <c r="PW102" s="13"/>
      <c r="PX102" s="13"/>
      <c r="PY102" s="13"/>
      <c r="PZ102" s="13"/>
      <c r="QA102" s="13"/>
    </row>
    <row r="103" spans="2:443" x14ac:dyDescent="0.3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6"/>
      <c r="R103" s="17" t="str">
        <f t="shared" si="6"/>
        <v/>
      </c>
      <c r="S103" s="17" t="str">
        <f t="shared" si="7"/>
        <v/>
      </c>
      <c r="T103" s="18" t="str">
        <f t="shared" si="8"/>
        <v/>
      </c>
      <c r="U103" s="15"/>
      <c r="V103" s="19" t="str">
        <f t="shared" si="10"/>
        <v/>
      </c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  <c r="JP103" s="13"/>
      <c r="JQ103" s="13"/>
      <c r="JR103" s="13"/>
      <c r="JS103" s="13"/>
      <c r="JT103" s="13"/>
      <c r="JU103" s="13"/>
      <c r="JV103" s="13"/>
      <c r="JW103" s="13"/>
      <c r="JX103" s="13"/>
      <c r="JY103" s="13"/>
      <c r="JZ103" s="13"/>
      <c r="KA103" s="13"/>
      <c r="KB103" s="13"/>
      <c r="KC103" s="13"/>
      <c r="KD103" s="13"/>
      <c r="KE103" s="13"/>
      <c r="KF103" s="13"/>
      <c r="KG103" s="13"/>
      <c r="KH103" s="13"/>
      <c r="KI103" s="13"/>
      <c r="KJ103" s="13"/>
      <c r="KK103" s="13"/>
      <c r="KL103" s="13"/>
      <c r="KM103" s="13"/>
      <c r="KN103" s="13"/>
      <c r="KO103" s="13"/>
      <c r="KP103" s="13"/>
      <c r="KQ103" s="13"/>
      <c r="KR103" s="13"/>
      <c r="KS103" s="13"/>
      <c r="KT103" s="13"/>
      <c r="KU103" s="13"/>
      <c r="KV103" s="13"/>
      <c r="KW103" s="13"/>
      <c r="KX103" s="13"/>
      <c r="KY103" s="13"/>
      <c r="KZ103" s="13"/>
      <c r="LA103" s="13"/>
      <c r="LB103" s="13"/>
      <c r="LC103" s="13"/>
      <c r="LD103" s="13"/>
      <c r="LE103" s="13"/>
      <c r="LF103" s="13"/>
      <c r="LG103" s="13"/>
      <c r="LH103" s="13"/>
      <c r="LI103" s="13"/>
      <c r="LJ103" s="13"/>
      <c r="LK103" s="13"/>
      <c r="LL103" s="13"/>
      <c r="LM103" s="13"/>
      <c r="LN103" s="13"/>
      <c r="LO103" s="13"/>
      <c r="LP103" s="13"/>
      <c r="LQ103" s="13"/>
      <c r="LR103" s="13"/>
      <c r="LS103" s="13"/>
      <c r="LT103" s="13"/>
      <c r="LU103" s="13"/>
      <c r="LV103" s="13"/>
      <c r="LW103" s="13"/>
      <c r="LX103" s="13"/>
      <c r="LY103" s="13"/>
      <c r="LZ103" s="13"/>
      <c r="MA103" s="13"/>
      <c r="MB103" s="13"/>
      <c r="MC103" s="13"/>
      <c r="MD103" s="13"/>
      <c r="ME103" s="13"/>
      <c r="MF103" s="13"/>
      <c r="MG103" s="13"/>
      <c r="MH103" s="13"/>
      <c r="MI103" s="13"/>
      <c r="MJ103" s="13"/>
      <c r="MK103" s="13"/>
      <c r="ML103" s="13"/>
      <c r="MM103" s="13"/>
      <c r="MN103" s="13"/>
      <c r="MO103" s="13"/>
      <c r="MP103" s="13"/>
      <c r="MQ103" s="13"/>
      <c r="MR103" s="13"/>
      <c r="MS103" s="13"/>
      <c r="MT103" s="13"/>
      <c r="MU103" s="13"/>
      <c r="MV103" s="13"/>
      <c r="MW103" s="13"/>
      <c r="MX103" s="13"/>
      <c r="MY103" s="13"/>
      <c r="MZ103" s="13"/>
      <c r="NA103" s="13"/>
      <c r="NB103" s="13"/>
      <c r="NC103" s="13"/>
      <c r="ND103" s="13"/>
      <c r="NE103" s="13"/>
      <c r="NF103" s="13"/>
      <c r="NG103" s="13"/>
      <c r="NH103" s="13"/>
      <c r="NI103" s="13"/>
      <c r="NJ103" s="13"/>
      <c r="NK103" s="13"/>
      <c r="NL103" s="13"/>
      <c r="NM103" s="13"/>
      <c r="NN103" s="13"/>
      <c r="NO103" s="13"/>
      <c r="NP103" s="13"/>
      <c r="NQ103" s="13"/>
      <c r="NR103" s="13"/>
      <c r="NS103" s="13"/>
      <c r="NT103" s="13"/>
      <c r="NU103" s="13"/>
      <c r="NV103" s="13"/>
      <c r="NW103" s="13"/>
      <c r="NX103" s="13"/>
      <c r="NY103" s="13"/>
      <c r="NZ103" s="13"/>
      <c r="OA103" s="13"/>
      <c r="OB103" s="13"/>
      <c r="OC103" s="13"/>
      <c r="OD103" s="13"/>
      <c r="OE103" s="13"/>
      <c r="OF103" s="13"/>
      <c r="OG103" s="13"/>
      <c r="OH103" s="13"/>
      <c r="OI103" s="13"/>
      <c r="OJ103" s="13"/>
      <c r="OK103" s="13"/>
      <c r="OL103" s="13"/>
      <c r="OM103" s="13"/>
      <c r="ON103" s="13"/>
      <c r="OO103" s="13"/>
      <c r="OP103" s="13"/>
      <c r="OQ103" s="13"/>
      <c r="OR103" s="13"/>
      <c r="OS103" s="13"/>
      <c r="OT103" s="13"/>
      <c r="OU103" s="13"/>
      <c r="OV103" s="13"/>
      <c r="OW103" s="13"/>
      <c r="OX103" s="13"/>
      <c r="OY103" s="13"/>
      <c r="OZ103" s="13"/>
      <c r="PA103" s="13"/>
      <c r="PB103" s="13"/>
      <c r="PC103" s="13"/>
      <c r="PD103" s="13"/>
      <c r="PE103" s="13"/>
      <c r="PF103" s="13"/>
      <c r="PG103" s="13"/>
      <c r="PH103" s="13"/>
      <c r="PI103" s="13"/>
      <c r="PJ103" s="13"/>
      <c r="PK103" s="13"/>
      <c r="PL103" s="13"/>
      <c r="PM103" s="13"/>
      <c r="PN103" s="13"/>
      <c r="PO103" s="13"/>
      <c r="PP103" s="13"/>
      <c r="PQ103" s="13"/>
      <c r="PR103" s="13"/>
      <c r="PS103" s="13"/>
      <c r="PT103" s="13"/>
      <c r="PU103" s="13"/>
      <c r="PV103" s="13"/>
      <c r="PW103" s="13"/>
      <c r="PX103" s="13"/>
      <c r="PY103" s="13"/>
      <c r="PZ103" s="13"/>
      <c r="QA103" s="13"/>
    </row>
    <row r="104" spans="2:443" x14ac:dyDescent="0.3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6"/>
      <c r="R104" s="17" t="str">
        <f t="shared" si="6"/>
        <v/>
      </c>
      <c r="S104" s="17" t="str">
        <f t="shared" si="7"/>
        <v/>
      </c>
      <c r="T104" s="18" t="str">
        <f t="shared" si="8"/>
        <v/>
      </c>
      <c r="U104" s="15"/>
      <c r="V104" s="19" t="str">
        <f t="shared" si="10"/>
        <v/>
      </c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  <c r="JP104" s="13"/>
      <c r="JQ104" s="13"/>
      <c r="JR104" s="13"/>
      <c r="JS104" s="13"/>
      <c r="JT104" s="13"/>
      <c r="JU104" s="13"/>
      <c r="JV104" s="13"/>
      <c r="JW104" s="13"/>
      <c r="JX104" s="13"/>
      <c r="JY104" s="13"/>
      <c r="JZ104" s="13"/>
      <c r="KA104" s="13"/>
      <c r="KB104" s="13"/>
      <c r="KC104" s="13"/>
      <c r="KD104" s="13"/>
      <c r="KE104" s="13"/>
      <c r="KF104" s="13"/>
      <c r="KG104" s="13"/>
      <c r="KH104" s="13"/>
      <c r="KI104" s="13"/>
      <c r="KJ104" s="13"/>
      <c r="KK104" s="13"/>
      <c r="KL104" s="13"/>
      <c r="KM104" s="13"/>
      <c r="KN104" s="13"/>
      <c r="KO104" s="13"/>
      <c r="KP104" s="13"/>
      <c r="KQ104" s="13"/>
      <c r="KR104" s="13"/>
      <c r="KS104" s="13"/>
      <c r="KT104" s="13"/>
      <c r="KU104" s="13"/>
      <c r="KV104" s="13"/>
      <c r="KW104" s="13"/>
      <c r="KX104" s="13"/>
      <c r="KY104" s="13"/>
      <c r="KZ104" s="13"/>
      <c r="LA104" s="13"/>
      <c r="LB104" s="13"/>
      <c r="LC104" s="13"/>
      <c r="LD104" s="13"/>
      <c r="LE104" s="13"/>
      <c r="LF104" s="13"/>
      <c r="LG104" s="13"/>
      <c r="LH104" s="13"/>
      <c r="LI104" s="13"/>
      <c r="LJ104" s="13"/>
      <c r="LK104" s="13"/>
      <c r="LL104" s="13"/>
      <c r="LM104" s="13"/>
      <c r="LN104" s="13"/>
      <c r="LO104" s="13"/>
      <c r="LP104" s="13"/>
      <c r="LQ104" s="13"/>
      <c r="LR104" s="13"/>
      <c r="LS104" s="13"/>
      <c r="LT104" s="13"/>
      <c r="LU104" s="13"/>
      <c r="LV104" s="13"/>
      <c r="LW104" s="13"/>
      <c r="LX104" s="13"/>
      <c r="LY104" s="13"/>
      <c r="LZ104" s="13"/>
      <c r="MA104" s="13"/>
      <c r="MB104" s="13"/>
      <c r="MC104" s="13"/>
      <c r="MD104" s="13"/>
      <c r="ME104" s="13"/>
      <c r="MF104" s="13"/>
      <c r="MG104" s="13"/>
      <c r="MH104" s="13"/>
      <c r="MI104" s="13"/>
      <c r="MJ104" s="13"/>
      <c r="MK104" s="13"/>
      <c r="ML104" s="13"/>
      <c r="MM104" s="13"/>
      <c r="MN104" s="13"/>
      <c r="MO104" s="13"/>
      <c r="MP104" s="13"/>
      <c r="MQ104" s="13"/>
      <c r="MR104" s="13"/>
      <c r="MS104" s="13"/>
      <c r="MT104" s="13"/>
      <c r="MU104" s="13"/>
      <c r="MV104" s="13"/>
      <c r="MW104" s="13"/>
      <c r="MX104" s="13"/>
      <c r="MY104" s="13"/>
      <c r="MZ104" s="13"/>
      <c r="NA104" s="13"/>
      <c r="NB104" s="13"/>
      <c r="NC104" s="13"/>
      <c r="ND104" s="13"/>
      <c r="NE104" s="13"/>
      <c r="NF104" s="13"/>
      <c r="NG104" s="13"/>
      <c r="NH104" s="13"/>
      <c r="NI104" s="13"/>
      <c r="NJ104" s="13"/>
      <c r="NK104" s="13"/>
      <c r="NL104" s="13"/>
      <c r="NM104" s="13"/>
      <c r="NN104" s="13"/>
      <c r="NO104" s="13"/>
      <c r="NP104" s="13"/>
      <c r="NQ104" s="13"/>
      <c r="NR104" s="13"/>
      <c r="NS104" s="13"/>
      <c r="NT104" s="13"/>
      <c r="NU104" s="13"/>
      <c r="NV104" s="13"/>
      <c r="NW104" s="13"/>
      <c r="NX104" s="13"/>
      <c r="NY104" s="13"/>
      <c r="NZ104" s="13"/>
      <c r="OA104" s="13"/>
      <c r="OB104" s="13"/>
      <c r="OC104" s="13"/>
      <c r="OD104" s="13"/>
      <c r="OE104" s="13"/>
      <c r="OF104" s="13"/>
      <c r="OG104" s="13"/>
      <c r="OH104" s="13"/>
      <c r="OI104" s="13"/>
      <c r="OJ104" s="13"/>
      <c r="OK104" s="13"/>
      <c r="OL104" s="13"/>
      <c r="OM104" s="13"/>
      <c r="ON104" s="13"/>
      <c r="OO104" s="13"/>
      <c r="OP104" s="13"/>
      <c r="OQ104" s="13"/>
      <c r="OR104" s="13"/>
      <c r="OS104" s="13"/>
      <c r="OT104" s="13"/>
      <c r="OU104" s="13"/>
      <c r="OV104" s="13"/>
      <c r="OW104" s="13"/>
      <c r="OX104" s="13"/>
      <c r="OY104" s="13"/>
      <c r="OZ104" s="13"/>
      <c r="PA104" s="13"/>
      <c r="PB104" s="13"/>
      <c r="PC104" s="13"/>
      <c r="PD104" s="13"/>
      <c r="PE104" s="13"/>
      <c r="PF104" s="13"/>
      <c r="PG104" s="13"/>
      <c r="PH104" s="13"/>
      <c r="PI104" s="13"/>
      <c r="PJ104" s="13"/>
      <c r="PK104" s="13"/>
      <c r="PL104" s="13"/>
      <c r="PM104" s="13"/>
      <c r="PN104" s="13"/>
      <c r="PO104" s="13"/>
      <c r="PP104" s="13"/>
      <c r="PQ104" s="13"/>
      <c r="PR104" s="13"/>
      <c r="PS104" s="13"/>
      <c r="PT104" s="13"/>
      <c r="PU104" s="13"/>
      <c r="PV104" s="13"/>
      <c r="PW104" s="13"/>
      <c r="PX104" s="13"/>
      <c r="PY104" s="13"/>
      <c r="PZ104" s="13"/>
      <c r="QA104" s="13"/>
    </row>
    <row r="105" spans="2:443" x14ac:dyDescent="0.3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6"/>
      <c r="R105" s="17" t="str">
        <f t="shared" si="6"/>
        <v/>
      </c>
      <c r="S105" s="17" t="str">
        <f t="shared" si="7"/>
        <v/>
      </c>
      <c r="T105" s="18" t="str">
        <f t="shared" si="8"/>
        <v/>
      </c>
      <c r="U105" s="15"/>
      <c r="V105" s="19" t="str">
        <f t="shared" si="10"/>
        <v/>
      </c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  <c r="JP105" s="13"/>
      <c r="JQ105" s="13"/>
      <c r="JR105" s="13"/>
      <c r="JS105" s="13"/>
      <c r="JT105" s="13"/>
      <c r="JU105" s="13"/>
      <c r="JV105" s="13"/>
      <c r="JW105" s="13"/>
      <c r="JX105" s="13"/>
      <c r="JY105" s="13"/>
      <c r="JZ105" s="13"/>
      <c r="KA105" s="13"/>
      <c r="KB105" s="13"/>
      <c r="KC105" s="13"/>
      <c r="KD105" s="13"/>
      <c r="KE105" s="13"/>
      <c r="KF105" s="13"/>
      <c r="KG105" s="13"/>
      <c r="KH105" s="13"/>
      <c r="KI105" s="13"/>
      <c r="KJ105" s="13"/>
      <c r="KK105" s="13"/>
      <c r="KL105" s="13"/>
      <c r="KM105" s="13"/>
      <c r="KN105" s="13"/>
      <c r="KO105" s="13"/>
      <c r="KP105" s="13"/>
      <c r="KQ105" s="13"/>
      <c r="KR105" s="13"/>
      <c r="KS105" s="13"/>
      <c r="KT105" s="13"/>
      <c r="KU105" s="13"/>
      <c r="KV105" s="13"/>
      <c r="KW105" s="13"/>
      <c r="KX105" s="13"/>
      <c r="KY105" s="13"/>
      <c r="KZ105" s="13"/>
      <c r="LA105" s="13"/>
      <c r="LB105" s="13"/>
      <c r="LC105" s="13"/>
      <c r="LD105" s="13"/>
      <c r="LE105" s="13"/>
      <c r="LF105" s="13"/>
      <c r="LG105" s="13"/>
      <c r="LH105" s="13"/>
      <c r="LI105" s="13"/>
      <c r="LJ105" s="13"/>
      <c r="LK105" s="13"/>
      <c r="LL105" s="13"/>
      <c r="LM105" s="13"/>
      <c r="LN105" s="13"/>
      <c r="LO105" s="13"/>
      <c r="LP105" s="13"/>
      <c r="LQ105" s="13"/>
      <c r="LR105" s="13"/>
      <c r="LS105" s="13"/>
      <c r="LT105" s="13"/>
      <c r="LU105" s="13"/>
      <c r="LV105" s="13"/>
      <c r="LW105" s="13"/>
      <c r="LX105" s="13"/>
      <c r="LY105" s="13"/>
      <c r="LZ105" s="13"/>
      <c r="MA105" s="13"/>
      <c r="MB105" s="13"/>
      <c r="MC105" s="13"/>
      <c r="MD105" s="13"/>
      <c r="ME105" s="13"/>
      <c r="MF105" s="13"/>
      <c r="MG105" s="13"/>
      <c r="MH105" s="13"/>
      <c r="MI105" s="13"/>
      <c r="MJ105" s="13"/>
      <c r="MK105" s="13"/>
      <c r="ML105" s="13"/>
      <c r="MM105" s="13"/>
      <c r="MN105" s="13"/>
      <c r="MO105" s="13"/>
      <c r="MP105" s="13"/>
      <c r="MQ105" s="13"/>
      <c r="MR105" s="13"/>
      <c r="MS105" s="13"/>
      <c r="MT105" s="13"/>
      <c r="MU105" s="13"/>
      <c r="MV105" s="13"/>
      <c r="MW105" s="13"/>
      <c r="MX105" s="13"/>
      <c r="MY105" s="13"/>
      <c r="MZ105" s="13"/>
      <c r="NA105" s="13"/>
      <c r="NB105" s="13"/>
      <c r="NC105" s="13"/>
      <c r="ND105" s="13"/>
      <c r="NE105" s="13"/>
      <c r="NF105" s="13"/>
      <c r="NG105" s="13"/>
      <c r="NH105" s="13"/>
      <c r="NI105" s="13"/>
      <c r="NJ105" s="13"/>
      <c r="NK105" s="13"/>
      <c r="NL105" s="13"/>
      <c r="NM105" s="13"/>
      <c r="NN105" s="13"/>
      <c r="NO105" s="13"/>
      <c r="NP105" s="13"/>
      <c r="NQ105" s="13"/>
      <c r="NR105" s="13"/>
      <c r="NS105" s="13"/>
      <c r="NT105" s="13"/>
      <c r="NU105" s="13"/>
      <c r="NV105" s="13"/>
      <c r="NW105" s="13"/>
      <c r="NX105" s="13"/>
      <c r="NY105" s="13"/>
      <c r="NZ105" s="13"/>
      <c r="OA105" s="13"/>
      <c r="OB105" s="13"/>
      <c r="OC105" s="13"/>
      <c r="OD105" s="13"/>
      <c r="OE105" s="13"/>
      <c r="OF105" s="13"/>
      <c r="OG105" s="13"/>
      <c r="OH105" s="13"/>
      <c r="OI105" s="13"/>
      <c r="OJ105" s="13"/>
      <c r="OK105" s="13"/>
      <c r="OL105" s="13"/>
      <c r="OM105" s="13"/>
      <c r="ON105" s="13"/>
      <c r="OO105" s="13"/>
      <c r="OP105" s="13"/>
      <c r="OQ105" s="13"/>
      <c r="OR105" s="13"/>
      <c r="OS105" s="13"/>
      <c r="OT105" s="13"/>
      <c r="OU105" s="13"/>
      <c r="OV105" s="13"/>
      <c r="OW105" s="13"/>
      <c r="OX105" s="13"/>
      <c r="OY105" s="13"/>
      <c r="OZ105" s="13"/>
      <c r="PA105" s="13"/>
      <c r="PB105" s="13"/>
      <c r="PC105" s="13"/>
      <c r="PD105" s="13"/>
      <c r="PE105" s="13"/>
      <c r="PF105" s="13"/>
      <c r="PG105" s="13"/>
      <c r="PH105" s="13"/>
      <c r="PI105" s="13"/>
      <c r="PJ105" s="13"/>
      <c r="PK105" s="13"/>
      <c r="PL105" s="13"/>
      <c r="PM105" s="13"/>
      <c r="PN105" s="13"/>
      <c r="PO105" s="13"/>
      <c r="PP105" s="13"/>
      <c r="PQ105" s="13"/>
      <c r="PR105" s="13"/>
      <c r="PS105" s="13"/>
      <c r="PT105" s="13"/>
      <c r="PU105" s="13"/>
      <c r="PV105" s="13"/>
      <c r="PW105" s="13"/>
      <c r="PX105" s="13"/>
      <c r="PY105" s="13"/>
      <c r="PZ105" s="13"/>
      <c r="QA105" s="13"/>
    </row>
    <row r="106" spans="2:443" x14ac:dyDescent="0.3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6"/>
      <c r="R106" s="17" t="str">
        <f t="shared" si="6"/>
        <v/>
      </c>
      <c r="S106" s="17" t="str">
        <f t="shared" si="7"/>
        <v/>
      </c>
      <c r="T106" s="18" t="str">
        <f t="shared" si="8"/>
        <v/>
      </c>
      <c r="U106" s="15"/>
      <c r="V106" s="19" t="str">
        <f t="shared" si="10"/>
        <v/>
      </c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  <c r="JP106" s="13"/>
      <c r="JQ106" s="13"/>
      <c r="JR106" s="13"/>
      <c r="JS106" s="13"/>
      <c r="JT106" s="13"/>
      <c r="JU106" s="13"/>
      <c r="JV106" s="13"/>
      <c r="JW106" s="13"/>
      <c r="JX106" s="13"/>
      <c r="JY106" s="13"/>
      <c r="JZ106" s="13"/>
      <c r="KA106" s="13"/>
      <c r="KB106" s="13"/>
      <c r="KC106" s="13"/>
      <c r="KD106" s="13"/>
      <c r="KE106" s="13"/>
      <c r="KF106" s="13"/>
      <c r="KG106" s="13"/>
      <c r="KH106" s="13"/>
      <c r="KI106" s="13"/>
      <c r="KJ106" s="13"/>
      <c r="KK106" s="13"/>
      <c r="KL106" s="13"/>
      <c r="KM106" s="13"/>
      <c r="KN106" s="13"/>
      <c r="KO106" s="13"/>
      <c r="KP106" s="13"/>
      <c r="KQ106" s="13"/>
      <c r="KR106" s="13"/>
      <c r="KS106" s="13"/>
      <c r="KT106" s="13"/>
      <c r="KU106" s="13"/>
      <c r="KV106" s="13"/>
      <c r="KW106" s="13"/>
      <c r="KX106" s="13"/>
      <c r="KY106" s="13"/>
      <c r="KZ106" s="13"/>
      <c r="LA106" s="13"/>
      <c r="LB106" s="13"/>
      <c r="LC106" s="13"/>
      <c r="LD106" s="13"/>
      <c r="LE106" s="13"/>
      <c r="LF106" s="13"/>
      <c r="LG106" s="13"/>
      <c r="LH106" s="13"/>
      <c r="LI106" s="13"/>
      <c r="LJ106" s="13"/>
      <c r="LK106" s="13"/>
      <c r="LL106" s="13"/>
      <c r="LM106" s="13"/>
      <c r="LN106" s="13"/>
      <c r="LO106" s="13"/>
      <c r="LP106" s="13"/>
      <c r="LQ106" s="13"/>
      <c r="LR106" s="13"/>
      <c r="LS106" s="13"/>
      <c r="LT106" s="13"/>
      <c r="LU106" s="13"/>
      <c r="LV106" s="13"/>
      <c r="LW106" s="13"/>
      <c r="LX106" s="13"/>
      <c r="LY106" s="13"/>
      <c r="LZ106" s="13"/>
      <c r="MA106" s="13"/>
      <c r="MB106" s="13"/>
      <c r="MC106" s="13"/>
      <c r="MD106" s="13"/>
      <c r="ME106" s="13"/>
      <c r="MF106" s="13"/>
      <c r="MG106" s="13"/>
      <c r="MH106" s="13"/>
      <c r="MI106" s="13"/>
      <c r="MJ106" s="13"/>
      <c r="MK106" s="13"/>
      <c r="ML106" s="13"/>
      <c r="MM106" s="13"/>
      <c r="MN106" s="13"/>
      <c r="MO106" s="13"/>
      <c r="MP106" s="13"/>
      <c r="MQ106" s="13"/>
      <c r="MR106" s="13"/>
      <c r="MS106" s="13"/>
      <c r="MT106" s="13"/>
      <c r="MU106" s="13"/>
      <c r="MV106" s="13"/>
      <c r="MW106" s="13"/>
      <c r="MX106" s="13"/>
      <c r="MY106" s="13"/>
      <c r="MZ106" s="13"/>
      <c r="NA106" s="13"/>
      <c r="NB106" s="13"/>
      <c r="NC106" s="13"/>
      <c r="ND106" s="13"/>
      <c r="NE106" s="13"/>
      <c r="NF106" s="13"/>
      <c r="NG106" s="13"/>
      <c r="NH106" s="13"/>
      <c r="NI106" s="13"/>
      <c r="NJ106" s="13"/>
      <c r="NK106" s="13"/>
      <c r="NL106" s="13"/>
      <c r="NM106" s="13"/>
      <c r="NN106" s="13"/>
      <c r="NO106" s="13"/>
      <c r="NP106" s="13"/>
      <c r="NQ106" s="13"/>
      <c r="NR106" s="13"/>
      <c r="NS106" s="13"/>
      <c r="NT106" s="13"/>
      <c r="NU106" s="13"/>
      <c r="NV106" s="13"/>
      <c r="NW106" s="13"/>
      <c r="NX106" s="13"/>
      <c r="NY106" s="13"/>
      <c r="NZ106" s="13"/>
      <c r="OA106" s="13"/>
      <c r="OB106" s="13"/>
      <c r="OC106" s="13"/>
      <c r="OD106" s="13"/>
      <c r="OE106" s="13"/>
      <c r="OF106" s="13"/>
      <c r="OG106" s="13"/>
      <c r="OH106" s="13"/>
      <c r="OI106" s="13"/>
      <c r="OJ106" s="13"/>
      <c r="OK106" s="13"/>
      <c r="OL106" s="13"/>
      <c r="OM106" s="13"/>
      <c r="ON106" s="13"/>
      <c r="OO106" s="13"/>
      <c r="OP106" s="13"/>
      <c r="OQ106" s="13"/>
      <c r="OR106" s="13"/>
      <c r="OS106" s="13"/>
      <c r="OT106" s="13"/>
      <c r="OU106" s="13"/>
      <c r="OV106" s="13"/>
      <c r="OW106" s="13"/>
      <c r="OX106" s="13"/>
      <c r="OY106" s="13"/>
      <c r="OZ106" s="13"/>
      <c r="PA106" s="13"/>
      <c r="PB106" s="13"/>
      <c r="PC106" s="13"/>
      <c r="PD106" s="13"/>
      <c r="PE106" s="13"/>
      <c r="PF106" s="13"/>
      <c r="PG106" s="13"/>
      <c r="PH106" s="13"/>
      <c r="PI106" s="13"/>
      <c r="PJ106" s="13"/>
      <c r="PK106" s="13"/>
      <c r="PL106" s="13"/>
      <c r="PM106" s="13"/>
      <c r="PN106" s="13"/>
      <c r="PO106" s="13"/>
      <c r="PP106" s="13"/>
      <c r="PQ106" s="13"/>
      <c r="PR106" s="13"/>
      <c r="PS106" s="13"/>
      <c r="PT106" s="13"/>
      <c r="PU106" s="13"/>
      <c r="PV106" s="13"/>
      <c r="PW106" s="13"/>
      <c r="PX106" s="13"/>
      <c r="PY106" s="13"/>
      <c r="PZ106" s="13"/>
      <c r="QA106" s="13"/>
    </row>
    <row r="107" spans="2:443" x14ac:dyDescent="0.3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6"/>
      <c r="R107" s="17" t="str">
        <f t="shared" si="6"/>
        <v/>
      </c>
      <c r="S107" s="17" t="str">
        <f t="shared" si="7"/>
        <v/>
      </c>
      <c r="T107" s="18" t="str">
        <f t="shared" si="8"/>
        <v/>
      </c>
      <c r="U107" s="15"/>
      <c r="V107" s="19" t="str">
        <f t="shared" si="10"/>
        <v/>
      </c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  <c r="JP107" s="13"/>
      <c r="JQ107" s="13"/>
      <c r="JR107" s="13"/>
      <c r="JS107" s="13"/>
      <c r="JT107" s="13"/>
      <c r="JU107" s="13"/>
      <c r="JV107" s="13"/>
      <c r="JW107" s="13"/>
      <c r="JX107" s="13"/>
      <c r="JY107" s="13"/>
      <c r="JZ107" s="13"/>
      <c r="KA107" s="13"/>
      <c r="KB107" s="13"/>
      <c r="KC107" s="13"/>
      <c r="KD107" s="13"/>
      <c r="KE107" s="13"/>
      <c r="KF107" s="13"/>
      <c r="KG107" s="13"/>
      <c r="KH107" s="13"/>
      <c r="KI107" s="13"/>
      <c r="KJ107" s="13"/>
      <c r="KK107" s="13"/>
      <c r="KL107" s="13"/>
      <c r="KM107" s="13"/>
      <c r="KN107" s="13"/>
      <c r="KO107" s="13"/>
      <c r="KP107" s="13"/>
      <c r="KQ107" s="13"/>
      <c r="KR107" s="13"/>
      <c r="KS107" s="13"/>
      <c r="KT107" s="13"/>
      <c r="KU107" s="13"/>
      <c r="KV107" s="13"/>
      <c r="KW107" s="13"/>
      <c r="KX107" s="13"/>
      <c r="KY107" s="13"/>
      <c r="KZ107" s="13"/>
      <c r="LA107" s="13"/>
      <c r="LB107" s="13"/>
      <c r="LC107" s="13"/>
      <c r="LD107" s="13"/>
      <c r="LE107" s="13"/>
      <c r="LF107" s="13"/>
      <c r="LG107" s="13"/>
      <c r="LH107" s="13"/>
      <c r="LI107" s="13"/>
      <c r="LJ107" s="13"/>
      <c r="LK107" s="13"/>
      <c r="LL107" s="13"/>
      <c r="LM107" s="13"/>
      <c r="LN107" s="13"/>
      <c r="LO107" s="13"/>
      <c r="LP107" s="13"/>
      <c r="LQ107" s="13"/>
      <c r="LR107" s="13"/>
      <c r="LS107" s="13"/>
      <c r="LT107" s="13"/>
      <c r="LU107" s="13"/>
      <c r="LV107" s="13"/>
      <c r="LW107" s="13"/>
      <c r="LX107" s="13"/>
      <c r="LY107" s="13"/>
      <c r="LZ107" s="13"/>
      <c r="MA107" s="13"/>
      <c r="MB107" s="13"/>
      <c r="MC107" s="13"/>
      <c r="MD107" s="13"/>
      <c r="ME107" s="13"/>
      <c r="MF107" s="13"/>
      <c r="MG107" s="13"/>
      <c r="MH107" s="13"/>
      <c r="MI107" s="13"/>
      <c r="MJ107" s="13"/>
      <c r="MK107" s="13"/>
      <c r="ML107" s="13"/>
      <c r="MM107" s="13"/>
      <c r="MN107" s="13"/>
      <c r="MO107" s="13"/>
      <c r="MP107" s="13"/>
      <c r="MQ107" s="13"/>
      <c r="MR107" s="13"/>
      <c r="MS107" s="13"/>
      <c r="MT107" s="13"/>
      <c r="MU107" s="13"/>
      <c r="MV107" s="13"/>
      <c r="MW107" s="13"/>
      <c r="MX107" s="13"/>
      <c r="MY107" s="13"/>
      <c r="MZ107" s="13"/>
      <c r="NA107" s="13"/>
      <c r="NB107" s="13"/>
      <c r="NC107" s="13"/>
      <c r="ND107" s="13"/>
      <c r="NE107" s="13"/>
      <c r="NF107" s="13"/>
      <c r="NG107" s="13"/>
      <c r="NH107" s="13"/>
      <c r="NI107" s="13"/>
      <c r="NJ107" s="13"/>
      <c r="NK107" s="13"/>
      <c r="NL107" s="13"/>
      <c r="NM107" s="13"/>
      <c r="NN107" s="13"/>
      <c r="NO107" s="13"/>
      <c r="NP107" s="13"/>
      <c r="NQ107" s="13"/>
      <c r="NR107" s="13"/>
      <c r="NS107" s="13"/>
      <c r="NT107" s="13"/>
      <c r="NU107" s="13"/>
      <c r="NV107" s="13"/>
      <c r="NW107" s="13"/>
      <c r="NX107" s="13"/>
      <c r="NY107" s="13"/>
      <c r="NZ107" s="13"/>
      <c r="OA107" s="13"/>
      <c r="OB107" s="13"/>
      <c r="OC107" s="13"/>
      <c r="OD107" s="13"/>
      <c r="OE107" s="13"/>
      <c r="OF107" s="13"/>
      <c r="OG107" s="13"/>
      <c r="OH107" s="13"/>
      <c r="OI107" s="13"/>
      <c r="OJ107" s="13"/>
      <c r="OK107" s="13"/>
      <c r="OL107" s="13"/>
      <c r="OM107" s="13"/>
      <c r="ON107" s="13"/>
      <c r="OO107" s="13"/>
      <c r="OP107" s="13"/>
      <c r="OQ107" s="13"/>
      <c r="OR107" s="13"/>
      <c r="OS107" s="13"/>
      <c r="OT107" s="13"/>
      <c r="OU107" s="13"/>
      <c r="OV107" s="13"/>
      <c r="OW107" s="13"/>
      <c r="OX107" s="13"/>
      <c r="OY107" s="13"/>
      <c r="OZ107" s="13"/>
      <c r="PA107" s="13"/>
      <c r="PB107" s="13"/>
      <c r="PC107" s="13"/>
      <c r="PD107" s="13"/>
      <c r="PE107" s="13"/>
      <c r="PF107" s="13"/>
      <c r="PG107" s="13"/>
      <c r="PH107" s="13"/>
      <c r="PI107" s="13"/>
      <c r="PJ107" s="13"/>
      <c r="PK107" s="13"/>
      <c r="PL107" s="13"/>
      <c r="PM107" s="13"/>
      <c r="PN107" s="13"/>
      <c r="PO107" s="13"/>
      <c r="PP107" s="13"/>
      <c r="PQ107" s="13"/>
      <c r="PR107" s="13"/>
      <c r="PS107" s="13"/>
      <c r="PT107" s="13"/>
      <c r="PU107" s="13"/>
      <c r="PV107" s="13"/>
      <c r="PW107" s="13"/>
      <c r="PX107" s="13"/>
      <c r="PY107" s="13"/>
      <c r="PZ107" s="13"/>
      <c r="QA107" s="13"/>
    </row>
    <row r="108" spans="2:443" x14ac:dyDescent="0.3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6"/>
      <c r="R108" s="17" t="str">
        <f t="shared" si="6"/>
        <v/>
      </c>
      <c r="S108" s="17" t="str">
        <f t="shared" si="7"/>
        <v/>
      </c>
      <c r="T108" s="18" t="str">
        <f t="shared" si="8"/>
        <v/>
      </c>
      <c r="U108" s="15"/>
      <c r="V108" s="19" t="str">
        <f t="shared" si="10"/>
        <v/>
      </c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  <c r="JP108" s="13"/>
      <c r="JQ108" s="13"/>
      <c r="JR108" s="13"/>
      <c r="JS108" s="13"/>
      <c r="JT108" s="13"/>
      <c r="JU108" s="13"/>
      <c r="JV108" s="13"/>
      <c r="JW108" s="13"/>
      <c r="JX108" s="13"/>
      <c r="JY108" s="13"/>
      <c r="JZ108" s="13"/>
      <c r="KA108" s="13"/>
      <c r="KB108" s="13"/>
      <c r="KC108" s="13"/>
      <c r="KD108" s="13"/>
      <c r="KE108" s="13"/>
      <c r="KF108" s="13"/>
      <c r="KG108" s="13"/>
      <c r="KH108" s="13"/>
      <c r="KI108" s="13"/>
      <c r="KJ108" s="13"/>
      <c r="KK108" s="13"/>
      <c r="KL108" s="13"/>
      <c r="KM108" s="13"/>
      <c r="KN108" s="13"/>
      <c r="KO108" s="13"/>
      <c r="KP108" s="13"/>
      <c r="KQ108" s="13"/>
      <c r="KR108" s="13"/>
      <c r="KS108" s="13"/>
      <c r="KT108" s="13"/>
      <c r="KU108" s="13"/>
      <c r="KV108" s="13"/>
      <c r="KW108" s="13"/>
      <c r="KX108" s="13"/>
      <c r="KY108" s="13"/>
      <c r="KZ108" s="13"/>
      <c r="LA108" s="13"/>
      <c r="LB108" s="13"/>
      <c r="LC108" s="13"/>
      <c r="LD108" s="13"/>
      <c r="LE108" s="13"/>
      <c r="LF108" s="13"/>
      <c r="LG108" s="13"/>
      <c r="LH108" s="13"/>
      <c r="LI108" s="13"/>
      <c r="LJ108" s="13"/>
      <c r="LK108" s="13"/>
      <c r="LL108" s="13"/>
      <c r="LM108" s="13"/>
      <c r="LN108" s="13"/>
      <c r="LO108" s="13"/>
      <c r="LP108" s="13"/>
      <c r="LQ108" s="13"/>
      <c r="LR108" s="13"/>
      <c r="LS108" s="13"/>
      <c r="LT108" s="13"/>
      <c r="LU108" s="13"/>
      <c r="LV108" s="13"/>
      <c r="LW108" s="13"/>
      <c r="LX108" s="13"/>
      <c r="LY108" s="13"/>
      <c r="LZ108" s="13"/>
      <c r="MA108" s="13"/>
      <c r="MB108" s="13"/>
      <c r="MC108" s="13"/>
      <c r="MD108" s="13"/>
      <c r="ME108" s="13"/>
      <c r="MF108" s="13"/>
      <c r="MG108" s="13"/>
      <c r="MH108" s="13"/>
      <c r="MI108" s="13"/>
      <c r="MJ108" s="13"/>
      <c r="MK108" s="13"/>
      <c r="ML108" s="13"/>
      <c r="MM108" s="13"/>
      <c r="MN108" s="13"/>
      <c r="MO108" s="13"/>
      <c r="MP108" s="13"/>
      <c r="MQ108" s="13"/>
      <c r="MR108" s="13"/>
      <c r="MS108" s="13"/>
      <c r="MT108" s="13"/>
      <c r="MU108" s="13"/>
      <c r="MV108" s="13"/>
      <c r="MW108" s="13"/>
      <c r="MX108" s="13"/>
      <c r="MY108" s="13"/>
      <c r="MZ108" s="13"/>
      <c r="NA108" s="13"/>
      <c r="NB108" s="13"/>
      <c r="NC108" s="13"/>
      <c r="ND108" s="13"/>
      <c r="NE108" s="13"/>
      <c r="NF108" s="13"/>
      <c r="NG108" s="13"/>
      <c r="NH108" s="13"/>
      <c r="NI108" s="13"/>
      <c r="NJ108" s="13"/>
      <c r="NK108" s="13"/>
      <c r="NL108" s="13"/>
      <c r="NM108" s="13"/>
      <c r="NN108" s="13"/>
      <c r="NO108" s="13"/>
      <c r="NP108" s="13"/>
      <c r="NQ108" s="13"/>
      <c r="NR108" s="13"/>
      <c r="NS108" s="13"/>
      <c r="NT108" s="13"/>
      <c r="NU108" s="13"/>
      <c r="NV108" s="13"/>
      <c r="NW108" s="13"/>
      <c r="NX108" s="13"/>
      <c r="NY108" s="13"/>
      <c r="NZ108" s="13"/>
      <c r="OA108" s="13"/>
      <c r="OB108" s="13"/>
      <c r="OC108" s="13"/>
      <c r="OD108" s="13"/>
      <c r="OE108" s="13"/>
      <c r="OF108" s="13"/>
      <c r="OG108" s="13"/>
      <c r="OH108" s="13"/>
      <c r="OI108" s="13"/>
      <c r="OJ108" s="13"/>
      <c r="OK108" s="13"/>
      <c r="OL108" s="13"/>
      <c r="OM108" s="13"/>
      <c r="ON108" s="13"/>
      <c r="OO108" s="13"/>
      <c r="OP108" s="13"/>
      <c r="OQ108" s="13"/>
      <c r="OR108" s="13"/>
      <c r="OS108" s="13"/>
      <c r="OT108" s="13"/>
      <c r="OU108" s="13"/>
      <c r="OV108" s="13"/>
      <c r="OW108" s="13"/>
      <c r="OX108" s="13"/>
      <c r="OY108" s="13"/>
      <c r="OZ108" s="13"/>
      <c r="PA108" s="13"/>
      <c r="PB108" s="13"/>
      <c r="PC108" s="13"/>
      <c r="PD108" s="13"/>
      <c r="PE108" s="13"/>
      <c r="PF108" s="13"/>
      <c r="PG108" s="13"/>
      <c r="PH108" s="13"/>
      <c r="PI108" s="13"/>
      <c r="PJ108" s="13"/>
      <c r="PK108" s="13"/>
      <c r="PL108" s="13"/>
      <c r="PM108" s="13"/>
      <c r="PN108" s="13"/>
      <c r="PO108" s="13"/>
      <c r="PP108" s="13"/>
      <c r="PQ108" s="13"/>
      <c r="PR108" s="13"/>
      <c r="PS108" s="13"/>
      <c r="PT108" s="13"/>
      <c r="PU108" s="13"/>
      <c r="PV108" s="13"/>
      <c r="PW108" s="13"/>
      <c r="PX108" s="13"/>
      <c r="PY108" s="13"/>
      <c r="PZ108" s="13"/>
      <c r="QA108" s="13"/>
    </row>
    <row r="109" spans="2:443" x14ac:dyDescent="0.3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6"/>
      <c r="R109" s="17" t="str">
        <f t="shared" si="6"/>
        <v/>
      </c>
      <c r="S109" s="17" t="str">
        <f t="shared" si="7"/>
        <v/>
      </c>
      <c r="T109" s="18" t="str">
        <f t="shared" si="8"/>
        <v/>
      </c>
      <c r="U109" s="15"/>
      <c r="V109" s="19" t="str">
        <f t="shared" si="10"/>
        <v/>
      </c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  <c r="DX109" s="13"/>
      <c r="DY109" s="13"/>
      <c r="DZ109" s="13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  <c r="JP109" s="13"/>
      <c r="JQ109" s="13"/>
      <c r="JR109" s="13"/>
      <c r="JS109" s="13"/>
      <c r="JT109" s="13"/>
      <c r="JU109" s="13"/>
      <c r="JV109" s="13"/>
      <c r="JW109" s="13"/>
      <c r="JX109" s="13"/>
      <c r="JY109" s="13"/>
      <c r="JZ109" s="13"/>
      <c r="KA109" s="13"/>
      <c r="KB109" s="13"/>
      <c r="KC109" s="13"/>
      <c r="KD109" s="13"/>
      <c r="KE109" s="13"/>
      <c r="KF109" s="13"/>
      <c r="KG109" s="13"/>
      <c r="KH109" s="13"/>
      <c r="KI109" s="13"/>
      <c r="KJ109" s="13"/>
      <c r="KK109" s="13"/>
      <c r="KL109" s="13"/>
      <c r="KM109" s="13"/>
      <c r="KN109" s="13"/>
      <c r="KO109" s="13"/>
      <c r="KP109" s="13"/>
      <c r="KQ109" s="13"/>
      <c r="KR109" s="13"/>
      <c r="KS109" s="13"/>
      <c r="KT109" s="13"/>
      <c r="KU109" s="13"/>
      <c r="KV109" s="13"/>
      <c r="KW109" s="13"/>
      <c r="KX109" s="13"/>
      <c r="KY109" s="13"/>
      <c r="KZ109" s="13"/>
      <c r="LA109" s="13"/>
      <c r="LB109" s="13"/>
      <c r="LC109" s="13"/>
      <c r="LD109" s="13"/>
      <c r="LE109" s="13"/>
      <c r="LF109" s="13"/>
      <c r="LG109" s="13"/>
      <c r="LH109" s="13"/>
      <c r="LI109" s="13"/>
      <c r="LJ109" s="13"/>
      <c r="LK109" s="13"/>
      <c r="LL109" s="13"/>
      <c r="LM109" s="13"/>
      <c r="LN109" s="13"/>
      <c r="LO109" s="13"/>
      <c r="LP109" s="13"/>
      <c r="LQ109" s="13"/>
      <c r="LR109" s="13"/>
      <c r="LS109" s="13"/>
      <c r="LT109" s="13"/>
      <c r="LU109" s="13"/>
      <c r="LV109" s="13"/>
      <c r="LW109" s="13"/>
      <c r="LX109" s="13"/>
      <c r="LY109" s="13"/>
      <c r="LZ109" s="13"/>
      <c r="MA109" s="13"/>
      <c r="MB109" s="13"/>
      <c r="MC109" s="13"/>
      <c r="MD109" s="13"/>
      <c r="ME109" s="13"/>
      <c r="MF109" s="13"/>
      <c r="MG109" s="13"/>
      <c r="MH109" s="13"/>
      <c r="MI109" s="13"/>
      <c r="MJ109" s="13"/>
      <c r="MK109" s="13"/>
      <c r="ML109" s="13"/>
      <c r="MM109" s="13"/>
      <c r="MN109" s="13"/>
      <c r="MO109" s="13"/>
      <c r="MP109" s="13"/>
      <c r="MQ109" s="13"/>
      <c r="MR109" s="13"/>
      <c r="MS109" s="13"/>
      <c r="MT109" s="13"/>
      <c r="MU109" s="13"/>
      <c r="MV109" s="13"/>
      <c r="MW109" s="13"/>
      <c r="MX109" s="13"/>
      <c r="MY109" s="13"/>
      <c r="MZ109" s="13"/>
      <c r="NA109" s="13"/>
      <c r="NB109" s="13"/>
      <c r="NC109" s="13"/>
      <c r="ND109" s="13"/>
      <c r="NE109" s="13"/>
      <c r="NF109" s="13"/>
      <c r="NG109" s="13"/>
      <c r="NH109" s="13"/>
      <c r="NI109" s="13"/>
      <c r="NJ109" s="13"/>
      <c r="NK109" s="13"/>
      <c r="NL109" s="13"/>
      <c r="NM109" s="13"/>
      <c r="NN109" s="13"/>
      <c r="NO109" s="13"/>
      <c r="NP109" s="13"/>
      <c r="NQ109" s="13"/>
      <c r="NR109" s="13"/>
      <c r="NS109" s="13"/>
      <c r="NT109" s="13"/>
      <c r="NU109" s="13"/>
      <c r="NV109" s="13"/>
      <c r="NW109" s="13"/>
      <c r="NX109" s="13"/>
      <c r="NY109" s="13"/>
      <c r="NZ109" s="13"/>
      <c r="OA109" s="13"/>
      <c r="OB109" s="13"/>
      <c r="OC109" s="13"/>
      <c r="OD109" s="13"/>
      <c r="OE109" s="13"/>
      <c r="OF109" s="13"/>
      <c r="OG109" s="13"/>
      <c r="OH109" s="13"/>
      <c r="OI109" s="13"/>
      <c r="OJ109" s="13"/>
      <c r="OK109" s="13"/>
      <c r="OL109" s="13"/>
      <c r="OM109" s="13"/>
      <c r="ON109" s="13"/>
      <c r="OO109" s="13"/>
      <c r="OP109" s="13"/>
      <c r="OQ109" s="13"/>
      <c r="OR109" s="13"/>
      <c r="OS109" s="13"/>
      <c r="OT109" s="13"/>
      <c r="OU109" s="13"/>
      <c r="OV109" s="13"/>
      <c r="OW109" s="13"/>
      <c r="OX109" s="13"/>
      <c r="OY109" s="13"/>
      <c r="OZ109" s="13"/>
      <c r="PA109" s="13"/>
      <c r="PB109" s="13"/>
      <c r="PC109" s="13"/>
      <c r="PD109" s="13"/>
      <c r="PE109" s="13"/>
      <c r="PF109" s="13"/>
      <c r="PG109" s="13"/>
      <c r="PH109" s="13"/>
      <c r="PI109" s="13"/>
      <c r="PJ109" s="13"/>
      <c r="PK109" s="13"/>
      <c r="PL109" s="13"/>
      <c r="PM109" s="13"/>
      <c r="PN109" s="13"/>
      <c r="PO109" s="13"/>
      <c r="PP109" s="13"/>
      <c r="PQ109" s="13"/>
      <c r="PR109" s="13"/>
      <c r="PS109" s="13"/>
      <c r="PT109" s="13"/>
      <c r="PU109" s="13"/>
      <c r="PV109" s="13"/>
      <c r="PW109" s="13"/>
      <c r="PX109" s="13"/>
      <c r="PY109" s="13"/>
      <c r="PZ109" s="13"/>
      <c r="QA109" s="13"/>
    </row>
    <row r="110" spans="2:443" ht="15.6" customHeight="1" x14ac:dyDescent="0.3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6"/>
      <c r="R110" s="17" t="str">
        <f t="shared" si="6"/>
        <v/>
      </c>
      <c r="S110" s="17" t="str">
        <f t="shared" si="7"/>
        <v/>
      </c>
      <c r="T110" s="18" t="str">
        <f t="shared" si="8"/>
        <v/>
      </c>
      <c r="U110" s="15"/>
      <c r="V110" s="19" t="str">
        <f t="shared" si="10"/>
        <v/>
      </c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  <c r="DX110" s="13"/>
      <c r="DY110" s="13"/>
      <c r="DZ110" s="13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  <c r="JP110" s="13"/>
      <c r="JQ110" s="13"/>
      <c r="JR110" s="13"/>
      <c r="JS110" s="13"/>
      <c r="JT110" s="13"/>
      <c r="JU110" s="13"/>
      <c r="JV110" s="13"/>
      <c r="JW110" s="13"/>
      <c r="JX110" s="13"/>
      <c r="JY110" s="13"/>
      <c r="JZ110" s="13"/>
      <c r="KA110" s="13"/>
      <c r="KB110" s="13"/>
      <c r="KC110" s="13"/>
      <c r="KD110" s="13"/>
      <c r="KE110" s="13"/>
      <c r="KF110" s="13"/>
      <c r="KG110" s="13"/>
      <c r="KH110" s="13"/>
      <c r="KI110" s="13"/>
      <c r="KJ110" s="13"/>
      <c r="KK110" s="13"/>
      <c r="KL110" s="13"/>
      <c r="KM110" s="13"/>
      <c r="KN110" s="13"/>
      <c r="KO110" s="13"/>
      <c r="KP110" s="13"/>
      <c r="KQ110" s="13"/>
      <c r="KR110" s="13"/>
      <c r="KS110" s="13"/>
      <c r="KT110" s="13"/>
      <c r="KU110" s="13"/>
      <c r="KV110" s="13"/>
      <c r="KW110" s="13"/>
      <c r="KX110" s="13"/>
      <c r="KY110" s="13"/>
      <c r="KZ110" s="13"/>
      <c r="LA110" s="13"/>
      <c r="LB110" s="13"/>
      <c r="LC110" s="13"/>
      <c r="LD110" s="13"/>
      <c r="LE110" s="13"/>
      <c r="LF110" s="13"/>
      <c r="LG110" s="13"/>
      <c r="LH110" s="13"/>
      <c r="LI110" s="13"/>
      <c r="LJ110" s="13"/>
      <c r="LK110" s="13"/>
      <c r="LL110" s="13"/>
      <c r="LM110" s="13"/>
      <c r="LN110" s="13"/>
      <c r="LO110" s="13"/>
      <c r="LP110" s="13"/>
      <c r="LQ110" s="13"/>
      <c r="LR110" s="13"/>
      <c r="LS110" s="13"/>
      <c r="LT110" s="13"/>
      <c r="LU110" s="13"/>
      <c r="LV110" s="13"/>
      <c r="LW110" s="13"/>
      <c r="LX110" s="13"/>
      <c r="LY110" s="13"/>
      <c r="LZ110" s="13"/>
      <c r="MA110" s="13"/>
      <c r="MB110" s="13"/>
      <c r="MC110" s="13"/>
      <c r="MD110" s="13"/>
      <c r="ME110" s="13"/>
      <c r="MF110" s="13"/>
      <c r="MG110" s="13"/>
      <c r="MH110" s="13"/>
      <c r="MI110" s="13"/>
      <c r="MJ110" s="13"/>
      <c r="MK110" s="13"/>
      <c r="ML110" s="13"/>
      <c r="MM110" s="13"/>
      <c r="MN110" s="13"/>
      <c r="MO110" s="13"/>
      <c r="MP110" s="13"/>
      <c r="MQ110" s="13"/>
      <c r="MR110" s="13"/>
      <c r="MS110" s="13"/>
      <c r="MT110" s="13"/>
      <c r="MU110" s="13"/>
      <c r="MV110" s="13"/>
      <c r="MW110" s="13"/>
      <c r="MX110" s="13"/>
      <c r="MY110" s="13"/>
      <c r="MZ110" s="13"/>
      <c r="NA110" s="13"/>
      <c r="NB110" s="13"/>
      <c r="NC110" s="13"/>
      <c r="ND110" s="13"/>
      <c r="NE110" s="13"/>
      <c r="NF110" s="13"/>
      <c r="NG110" s="13"/>
      <c r="NH110" s="13"/>
      <c r="NI110" s="13"/>
      <c r="NJ110" s="13"/>
      <c r="NK110" s="13"/>
      <c r="NL110" s="13"/>
      <c r="NM110" s="13"/>
      <c r="NN110" s="13"/>
      <c r="NO110" s="13"/>
      <c r="NP110" s="13"/>
      <c r="NQ110" s="13"/>
      <c r="NR110" s="13"/>
      <c r="NS110" s="13"/>
      <c r="NT110" s="13"/>
      <c r="NU110" s="13"/>
      <c r="NV110" s="13"/>
      <c r="NW110" s="13"/>
      <c r="NX110" s="13"/>
      <c r="NY110" s="13"/>
      <c r="NZ110" s="13"/>
      <c r="OA110" s="13"/>
      <c r="OB110" s="13"/>
      <c r="OC110" s="13"/>
      <c r="OD110" s="13"/>
      <c r="OE110" s="13"/>
      <c r="OF110" s="13"/>
      <c r="OG110" s="13"/>
      <c r="OH110" s="13"/>
      <c r="OI110" s="13"/>
      <c r="OJ110" s="13"/>
      <c r="OK110" s="13"/>
      <c r="OL110" s="13"/>
      <c r="OM110" s="13"/>
      <c r="ON110" s="13"/>
      <c r="OO110" s="13"/>
      <c r="OP110" s="13"/>
      <c r="OQ110" s="13"/>
      <c r="OR110" s="13"/>
      <c r="OS110" s="13"/>
      <c r="OT110" s="13"/>
      <c r="OU110" s="13"/>
      <c r="OV110" s="13"/>
      <c r="OW110" s="13"/>
      <c r="OX110" s="13"/>
      <c r="OY110" s="13"/>
      <c r="OZ110" s="13"/>
      <c r="PA110" s="13"/>
      <c r="PB110" s="13"/>
      <c r="PC110" s="13"/>
      <c r="PD110" s="13"/>
      <c r="PE110" s="13"/>
      <c r="PF110" s="13"/>
      <c r="PG110" s="13"/>
      <c r="PH110" s="13"/>
      <c r="PI110" s="13"/>
      <c r="PJ110" s="13"/>
      <c r="PK110" s="13"/>
      <c r="PL110" s="13"/>
      <c r="PM110" s="13"/>
      <c r="PN110" s="13"/>
      <c r="PO110" s="13"/>
      <c r="PP110" s="13"/>
      <c r="PQ110" s="13"/>
      <c r="PR110" s="13"/>
      <c r="PS110" s="13"/>
      <c r="PT110" s="13"/>
      <c r="PU110" s="13"/>
      <c r="PV110" s="13"/>
      <c r="PW110" s="13"/>
      <c r="PX110" s="13"/>
      <c r="PY110" s="13"/>
      <c r="PZ110" s="13"/>
      <c r="QA110" s="13"/>
    </row>
    <row r="111" spans="2:443" x14ac:dyDescent="0.3">
      <c r="B111" s="15"/>
      <c r="C111" s="15"/>
      <c r="D111" s="15"/>
      <c r="E111" s="15"/>
      <c r="F111" s="15"/>
      <c r="G111" s="15"/>
      <c r="H111" s="15"/>
      <c r="J111" s="15"/>
      <c r="K111" s="15"/>
      <c r="L111" s="15"/>
      <c r="M111" s="15"/>
      <c r="N111" s="15"/>
      <c r="O111" s="15"/>
      <c r="P111" s="15"/>
      <c r="Q111" s="16"/>
      <c r="R111" s="17" t="str">
        <f t="shared" si="6"/>
        <v/>
      </c>
      <c r="S111" s="17" t="str">
        <f t="shared" si="7"/>
        <v/>
      </c>
      <c r="T111" s="18" t="str">
        <f t="shared" si="8"/>
        <v/>
      </c>
      <c r="U111" s="15"/>
      <c r="V111" s="19" t="str">
        <f t="shared" si="10"/>
        <v/>
      </c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  <c r="DX111" s="13"/>
      <c r="DY111" s="13"/>
      <c r="DZ111" s="13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  <c r="JP111" s="13"/>
      <c r="JQ111" s="13"/>
      <c r="JR111" s="13"/>
      <c r="JS111" s="13"/>
      <c r="JT111" s="13"/>
      <c r="JU111" s="13"/>
      <c r="JV111" s="13"/>
      <c r="JW111" s="13"/>
      <c r="JX111" s="13"/>
      <c r="JY111" s="13"/>
      <c r="JZ111" s="13"/>
      <c r="KA111" s="13"/>
      <c r="KB111" s="13"/>
      <c r="KC111" s="13"/>
      <c r="KD111" s="13"/>
      <c r="KE111" s="13"/>
      <c r="KF111" s="13"/>
      <c r="KG111" s="13"/>
      <c r="KH111" s="13"/>
      <c r="KI111" s="13"/>
      <c r="KJ111" s="13"/>
      <c r="KK111" s="13"/>
      <c r="KL111" s="13"/>
      <c r="KM111" s="13"/>
      <c r="KN111" s="13"/>
      <c r="KO111" s="13"/>
      <c r="KP111" s="13"/>
      <c r="KQ111" s="13"/>
      <c r="KR111" s="13"/>
      <c r="KS111" s="13"/>
      <c r="KT111" s="13"/>
      <c r="KU111" s="13"/>
      <c r="KV111" s="13"/>
      <c r="KW111" s="13"/>
      <c r="KX111" s="13"/>
      <c r="KY111" s="13"/>
      <c r="KZ111" s="13"/>
      <c r="LA111" s="13"/>
      <c r="LB111" s="13"/>
      <c r="LC111" s="13"/>
      <c r="LD111" s="13"/>
      <c r="LE111" s="13"/>
      <c r="LF111" s="13"/>
      <c r="LG111" s="13"/>
      <c r="LH111" s="13"/>
      <c r="LI111" s="13"/>
      <c r="LJ111" s="13"/>
      <c r="LK111" s="13"/>
      <c r="LL111" s="13"/>
      <c r="LM111" s="13"/>
      <c r="LN111" s="13"/>
      <c r="LO111" s="13"/>
      <c r="LP111" s="13"/>
      <c r="LQ111" s="13"/>
      <c r="LR111" s="13"/>
      <c r="LS111" s="13"/>
      <c r="LT111" s="13"/>
      <c r="LU111" s="13"/>
      <c r="LV111" s="13"/>
      <c r="LW111" s="13"/>
      <c r="LX111" s="13"/>
      <c r="LY111" s="13"/>
      <c r="LZ111" s="13"/>
      <c r="MA111" s="13"/>
      <c r="MB111" s="13"/>
      <c r="MC111" s="13"/>
      <c r="MD111" s="13"/>
      <c r="ME111" s="13"/>
      <c r="MF111" s="13"/>
      <c r="MG111" s="13"/>
      <c r="MH111" s="13"/>
      <c r="MI111" s="13"/>
      <c r="MJ111" s="13"/>
      <c r="MK111" s="13"/>
      <c r="ML111" s="13"/>
      <c r="MM111" s="13"/>
      <c r="MN111" s="13"/>
      <c r="MO111" s="13"/>
      <c r="MP111" s="13"/>
      <c r="MQ111" s="13"/>
      <c r="MR111" s="13"/>
      <c r="MS111" s="13"/>
      <c r="MT111" s="13"/>
      <c r="MU111" s="13"/>
      <c r="MV111" s="13"/>
      <c r="MW111" s="13"/>
      <c r="MX111" s="13"/>
      <c r="MY111" s="13"/>
      <c r="MZ111" s="13"/>
      <c r="NA111" s="13"/>
      <c r="NB111" s="13"/>
      <c r="NC111" s="13"/>
      <c r="ND111" s="13"/>
      <c r="NE111" s="13"/>
      <c r="NF111" s="13"/>
      <c r="NG111" s="13"/>
      <c r="NH111" s="13"/>
      <c r="NI111" s="13"/>
      <c r="NJ111" s="13"/>
      <c r="NK111" s="13"/>
      <c r="NL111" s="13"/>
      <c r="NM111" s="13"/>
      <c r="NN111" s="13"/>
      <c r="NO111" s="13"/>
      <c r="NP111" s="13"/>
      <c r="NQ111" s="13"/>
      <c r="NR111" s="13"/>
      <c r="NS111" s="13"/>
      <c r="NT111" s="13"/>
      <c r="NU111" s="13"/>
      <c r="NV111" s="13"/>
      <c r="NW111" s="13"/>
      <c r="NX111" s="13"/>
      <c r="NY111" s="13"/>
      <c r="NZ111" s="13"/>
      <c r="OA111" s="13"/>
      <c r="OB111" s="13"/>
      <c r="OC111" s="13"/>
      <c r="OD111" s="13"/>
      <c r="OE111" s="13"/>
      <c r="OF111" s="13"/>
      <c r="OG111" s="13"/>
      <c r="OH111" s="13"/>
      <c r="OI111" s="13"/>
      <c r="OJ111" s="13"/>
      <c r="OK111" s="13"/>
      <c r="OL111" s="13"/>
      <c r="OM111" s="13"/>
      <c r="ON111" s="13"/>
      <c r="OO111" s="13"/>
      <c r="OP111" s="13"/>
      <c r="OQ111" s="13"/>
      <c r="OR111" s="13"/>
      <c r="OS111" s="13"/>
      <c r="OT111" s="13"/>
      <c r="OU111" s="13"/>
      <c r="OV111" s="13"/>
      <c r="OW111" s="13"/>
      <c r="OX111" s="13"/>
      <c r="OY111" s="13"/>
      <c r="OZ111" s="13"/>
      <c r="PA111" s="13"/>
      <c r="PB111" s="13"/>
      <c r="PC111" s="13"/>
      <c r="PD111" s="13"/>
      <c r="PE111" s="13"/>
      <c r="PF111" s="13"/>
      <c r="PG111" s="13"/>
      <c r="PH111" s="13"/>
      <c r="PI111" s="13"/>
      <c r="PJ111" s="13"/>
      <c r="PK111" s="13"/>
      <c r="PL111" s="13"/>
      <c r="PM111" s="13"/>
      <c r="PN111" s="13"/>
      <c r="PO111" s="13"/>
      <c r="PP111" s="13"/>
      <c r="PQ111" s="13"/>
      <c r="PR111" s="13"/>
      <c r="PS111" s="13"/>
      <c r="PT111" s="13"/>
      <c r="PU111" s="13"/>
      <c r="PV111" s="13"/>
      <c r="PW111" s="13"/>
      <c r="PX111" s="13"/>
      <c r="PY111" s="13"/>
      <c r="PZ111" s="13"/>
      <c r="QA111" s="13"/>
    </row>
    <row r="112" spans="2:443" x14ac:dyDescent="0.3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6"/>
      <c r="R112" s="17" t="str">
        <f t="shared" si="6"/>
        <v/>
      </c>
      <c r="S112" s="17" t="str">
        <f t="shared" si="7"/>
        <v/>
      </c>
      <c r="T112" s="18" t="str">
        <f t="shared" si="8"/>
        <v/>
      </c>
      <c r="U112" s="15"/>
      <c r="V112" s="19" t="str">
        <f t="shared" si="10"/>
        <v/>
      </c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  <c r="DX112" s="13"/>
      <c r="DY112" s="13"/>
      <c r="DZ112" s="13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  <c r="JP112" s="13"/>
      <c r="JQ112" s="13"/>
      <c r="JR112" s="13"/>
      <c r="JS112" s="13"/>
      <c r="JT112" s="13"/>
      <c r="JU112" s="13"/>
      <c r="JV112" s="13"/>
      <c r="JW112" s="13"/>
      <c r="JX112" s="13"/>
      <c r="JY112" s="13"/>
      <c r="JZ112" s="13"/>
      <c r="KA112" s="13"/>
      <c r="KB112" s="13"/>
      <c r="KC112" s="13"/>
      <c r="KD112" s="13"/>
      <c r="KE112" s="13"/>
      <c r="KF112" s="13"/>
      <c r="KG112" s="13"/>
      <c r="KH112" s="13"/>
      <c r="KI112" s="13"/>
      <c r="KJ112" s="13"/>
      <c r="KK112" s="13"/>
      <c r="KL112" s="13"/>
      <c r="KM112" s="13"/>
      <c r="KN112" s="13"/>
      <c r="KO112" s="13"/>
      <c r="KP112" s="13"/>
      <c r="KQ112" s="13"/>
      <c r="KR112" s="13"/>
      <c r="KS112" s="13"/>
      <c r="KT112" s="13"/>
      <c r="KU112" s="13"/>
      <c r="KV112" s="13"/>
      <c r="KW112" s="13"/>
      <c r="KX112" s="13"/>
      <c r="KY112" s="13"/>
      <c r="KZ112" s="13"/>
      <c r="LA112" s="13"/>
      <c r="LB112" s="13"/>
      <c r="LC112" s="13"/>
      <c r="LD112" s="13"/>
      <c r="LE112" s="13"/>
      <c r="LF112" s="13"/>
      <c r="LG112" s="13"/>
      <c r="LH112" s="13"/>
      <c r="LI112" s="13"/>
      <c r="LJ112" s="13"/>
      <c r="LK112" s="13"/>
      <c r="LL112" s="13"/>
      <c r="LM112" s="13"/>
      <c r="LN112" s="13"/>
      <c r="LO112" s="13"/>
      <c r="LP112" s="13"/>
      <c r="LQ112" s="13"/>
      <c r="LR112" s="13"/>
      <c r="LS112" s="13"/>
      <c r="LT112" s="13"/>
      <c r="LU112" s="13"/>
      <c r="LV112" s="13"/>
      <c r="LW112" s="13"/>
      <c r="LX112" s="13"/>
      <c r="LY112" s="13"/>
      <c r="LZ112" s="13"/>
      <c r="MA112" s="13"/>
      <c r="MB112" s="13"/>
      <c r="MC112" s="13"/>
      <c r="MD112" s="13"/>
      <c r="ME112" s="13"/>
      <c r="MF112" s="13"/>
      <c r="MG112" s="13"/>
      <c r="MH112" s="13"/>
      <c r="MI112" s="13"/>
      <c r="MJ112" s="13"/>
      <c r="MK112" s="13"/>
      <c r="ML112" s="13"/>
      <c r="MM112" s="13"/>
      <c r="MN112" s="13"/>
      <c r="MO112" s="13"/>
      <c r="MP112" s="13"/>
      <c r="MQ112" s="13"/>
      <c r="MR112" s="13"/>
      <c r="MS112" s="13"/>
      <c r="MT112" s="13"/>
      <c r="MU112" s="13"/>
      <c r="MV112" s="13"/>
      <c r="MW112" s="13"/>
      <c r="MX112" s="13"/>
      <c r="MY112" s="13"/>
      <c r="MZ112" s="13"/>
      <c r="NA112" s="13"/>
      <c r="NB112" s="13"/>
      <c r="NC112" s="13"/>
      <c r="ND112" s="13"/>
      <c r="NE112" s="13"/>
      <c r="NF112" s="13"/>
      <c r="NG112" s="13"/>
      <c r="NH112" s="13"/>
      <c r="NI112" s="13"/>
      <c r="NJ112" s="13"/>
      <c r="NK112" s="13"/>
      <c r="NL112" s="13"/>
      <c r="NM112" s="13"/>
      <c r="NN112" s="13"/>
      <c r="NO112" s="13"/>
      <c r="NP112" s="13"/>
      <c r="NQ112" s="13"/>
      <c r="NR112" s="13"/>
      <c r="NS112" s="13"/>
      <c r="NT112" s="13"/>
      <c r="NU112" s="13"/>
      <c r="NV112" s="13"/>
      <c r="NW112" s="13"/>
      <c r="NX112" s="13"/>
      <c r="NY112" s="13"/>
      <c r="NZ112" s="13"/>
      <c r="OA112" s="13"/>
      <c r="OB112" s="13"/>
      <c r="OC112" s="13"/>
      <c r="OD112" s="13"/>
      <c r="OE112" s="13"/>
      <c r="OF112" s="13"/>
      <c r="OG112" s="13"/>
      <c r="OH112" s="13"/>
      <c r="OI112" s="13"/>
      <c r="OJ112" s="13"/>
      <c r="OK112" s="13"/>
      <c r="OL112" s="13"/>
      <c r="OM112" s="13"/>
      <c r="ON112" s="13"/>
      <c r="OO112" s="13"/>
      <c r="OP112" s="13"/>
      <c r="OQ112" s="13"/>
      <c r="OR112" s="13"/>
      <c r="OS112" s="13"/>
      <c r="OT112" s="13"/>
      <c r="OU112" s="13"/>
      <c r="OV112" s="13"/>
      <c r="OW112" s="13"/>
      <c r="OX112" s="13"/>
      <c r="OY112" s="13"/>
      <c r="OZ112" s="13"/>
      <c r="PA112" s="13"/>
      <c r="PB112" s="13"/>
      <c r="PC112" s="13"/>
      <c r="PD112" s="13"/>
      <c r="PE112" s="13"/>
      <c r="PF112" s="13"/>
      <c r="PG112" s="13"/>
      <c r="PH112" s="13"/>
      <c r="PI112" s="13"/>
      <c r="PJ112" s="13"/>
      <c r="PK112" s="13"/>
      <c r="PL112" s="13"/>
      <c r="PM112" s="13"/>
      <c r="PN112" s="13"/>
      <c r="PO112" s="13"/>
      <c r="PP112" s="13"/>
      <c r="PQ112" s="13"/>
      <c r="PR112" s="13"/>
      <c r="PS112" s="13"/>
      <c r="PT112" s="13"/>
      <c r="PU112" s="13"/>
      <c r="PV112" s="13"/>
      <c r="PW112" s="13"/>
      <c r="PX112" s="13"/>
      <c r="PY112" s="13"/>
      <c r="PZ112" s="13"/>
      <c r="QA112" s="13"/>
    </row>
    <row r="113" spans="1:443" x14ac:dyDescent="0.3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6"/>
      <c r="R113" s="17" t="str">
        <f t="shared" si="6"/>
        <v/>
      </c>
      <c r="S113" s="17" t="str">
        <f t="shared" si="7"/>
        <v/>
      </c>
      <c r="T113" s="18" t="str">
        <f t="shared" si="8"/>
        <v/>
      </c>
      <c r="U113" s="15"/>
      <c r="V113" s="19" t="str">
        <f t="shared" si="10"/>
        <v/>
      </c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  <c r="DX113" s="13"/>
      <c r="DY113" s="13"/>
      <c r="DZ113" s="13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  <c r="JP113" s="13"/>
      <c r="JQ113" s="13"/>
      <c r="JR113" s="13"/>
      <c r="JS113" s="13"/>
      <c r="JT113" s="13"/>
      <c r="JU113" s="13"/>
      <c r="JV113" s="13"/>
      <c r="JW113" s="13"/>
      <c r="JX113" s="13"/>
      <c r="JY113" s="13"/>
      <c r="JZ113" s="13"/>
      <c r="KA113" s="13"/>
      <c r="KB113" s="13"/>
      <c r="KC113" s="13"/>
      <c r="KD113" s="13"/>
      <c r="KE113" s="13"/>
      <c r="KF113" s="13"/>
      <c r="KG113" s="13"/>
      <c r="KH113" s="13"/>
      <c r="KI113" s="13"/>
      <c r="KJ113" s="13"/>
      <c r="KK113" s="13"/>
      <c r="KL113" s="13"/>
      <c r="KM113" s="13"/>
      <c r="KN113" s="13"/>
      <c r="KO113" s="13"/>
      <c r="KP113" s="13"/>
      <c r="KQ113" s="13"/>
      <c r="KR113" s="13"/>
      <c r="KS113" s="13"/>
      <c r="KT113" s="13"/>
      <c r="KU113" s="13"/>
      <c r="KV113" s="13"/>
      <c r="KW113" s="13"/>
      <c r="KX113" s="13"/>
      <c r="KY113" s="13"/>
      <c r="KZ113" s="13"/>
      <c r="LA113" s="13"/>
      <c r="LB113" s="13"/>
      <c r="LC113" s="13"/>
      <c r="LD113" s="13"/>
      <c r="LE113" s="13"/>
      <c r="LF113" s="13"/>
      <c r="LG113" s="13"/>
      <c r="LH113" s="13"/>
      <c r="LI113" s="13"/>
      <c r="LJ113" s="13"/>
      <c r="LK113" s="13"/>
      <c r="LL113" s="13"/>
      <c r="LM113" s="13"/>
      <c r="LN113" s="13"/>
      <c r="LO113" s="13"/>
      <c r="LP113" s="13"/>
      <c r="LQ113" s="13"/>
      <c r="LR113" s="13"/>
      <c r="LS113" s="13"/>
      <c r="LT113" s="13"/>
      <c r="LU113" s="13"/>
      <c r="LV113" s="13"/>
      <c r="LW113" s="13"/>
      <c r="LX113" s="13"/>
      <c r="LY113" s="13"/>
      <c r="LZ113" s="13"/>
      <c r="MA113" s="13"/>
      <c r="MB113" s="13"/>
      <c r="MC113" s="13"/>
      <c r="MD113" s="13"/>
      <c r="ME113" s="13"/>
      <c r="MF113" s="13"/>
      <c r="MG113" s="13"/>
      <c r="MH113" s="13"/>
      <c r="MI113" s="13"/>
      <c r="MJ113" s="13"/>
      <c r="MK113" s="13"/>
      <c r="ML113" s="13"/>
      <c r="MM113" s="13"/>
      <c r="MN113" s="13"/>
      <c r="MO113" s="13"/>
      <c r="MP113" s="13"/>
      <c r="MQ113" s="13"/>
      <c r="MR113" s="13"/>
      <c r="MS113" s="13"/>
      <c r="MT113" s="13"/>
      <c r="MU113" s="13"/>
      <c r="MV113" s="13"/>
      <c r="MW113" s="13"/>
      <c r="MX113" s="13"/>
      <c r="MY113" s="13"/>
      <c r="MZ113" s="13"/>
      <c r="NA113" s="13"/>
      <c r="NB113" s="13"/>
      <c r="NC113" s="13"/>
      <c r="ND113" s="13"/>
      <c r="NE113" s="13"/>
      <c r="NF113" s="13"/>
      <c r="NG113" s="13"/>
      <c r="NH113" s="13"/>
      <c r="NI113" s="13"/>
      <c r="NJ113" s="13"/>
      <c r="NK113" s="13"/>
      <c r="NL113" s="13"/>
      <c r="NM113" s="13"/>
      <c r="NN113" s="13"/>
      <c r="NO113" s="13"/>
      <c r="NP113" s="13"/>
      <c r="NQ113" s="13"/>
      <c r="NR113" s="13"/>
      <c r="NS113" s="13"/>
      <c r="NT113" s="13"/>
      <c r="NU113" s="13"/>
      <c r="NV113" s="13"/>
      <c r="NW113" s="13"/>
      <c r="NX113" s="13"/>
      <c r="NY113" s="13"/>
      <c r="NZ113" s="13"/>
      <c r="OA113" s="13"/>
      <c r="OB113" s="13"/>
      <c r="OC113" s="13"/>
      <c r="OD113" s="13"/>
      <c r="OE113" s="13"/>
      <c r="OF113" s="13"/>
      <c r="OG113" s="13"/>
      <c r="OH113" s="13"/>
      <c r="OI113" s="13"/>
      <c r="OJ113" s="13"/>
      <c r="OK113" s="13"/>
      <c r="OL113" s="13"/>
      <c r="OM113" s="13"/>
      <c r="ON113" s="13"/>
      <c r="OO113" s="13"/>
      <c r="OP113" s="13"/>
      <c r="OQ113" s="13"/>
      <c r="OR113" s="13"/>
      <c r="OS113" s="13"/>
      <c r="OT113" s="13"/>
      <c r="OU113" s="13"/>
      <c r="OV113" s="13"/>
      <c r="OW113" s="13"/>
      <c r="OX113" s="13"/>
      <c r="OY113" s="13"/>
      <c r="OZ113" s="13"/>
      <c r="PA113" s="13"/>
      <c r="PB113" s="13"/>
      <c r="PC113" s="13"/>
      <c r="PD113" s="13"/>
      <c r="PE113" s="13"/>
      <c r="PF113" s="13"/>
      <c r="PG113" s="13"/>
      <c r="PH113" s="13"/>
      <c r="PI113" s="13"/>
      <c r="PJ113" s="13"/>
      <c r="PK113" s="13"/>
      <c r="PL113" s="13"/>
      <c r="PM113" s="13"/>
      <c r="PN113" s="13"/>
      <c r="PO113" s="13"/>
      <c r="PP113" s="13"/>
      <c r="PQ113" s="13"/>
      <c r="PR113" s="13"/>
      <c r="PS113" s="13"/>
      <c r="PT113" s="13"/>
      <c r="PU113" s="13"/>
      <c r="PV113" s="13"/>
      <c r="PW113" s="13"/>
      <c r="PX113" s="13"/>
      <c r="PY113" s="13"/>
      <c r="PZ113" s="13"/>
      <c r="QA113" s="13"/>
    </row>
    <row r="114" spans="1:443" x14ac:dyDescent="0.3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6"/>
      <c r="R114" s="17" t="str">
        <f t="shared" si="6"/>
        <v/>
      </c>
      <c r="S114" s="17" t="str">
        <f t="shared" si="7"/>
        <v/>
      </c>
      <c r="T114" s="18" t="str">
        <f t="shared" si="8"/>
        <v/>
      </c>
      <c r="U114" s="15"/>
      <c r="V114" s="19" t="str">
        <f t="shared" si="10"/>
        <v/>
      </c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  <c r="JP114" s="13"/>
      <c r="JQ114" s="13"/>
      <c r="JR114" s="13"/>
      <c r="JS114" s="13"/>
      <c r="JT114" s="13"/>
      <c r="JU114" s="13"/>
      <c r="JV114" s="13"/>
      <c r="JW114" s="13"/>
      <c r="JX114" s="13"/>
      <c r="JY114" s="13"/>
      <c r="JZ114" s="13"/>
      <c r="KA114" s="13"/>
      <c r="KB114" s="13"/>
      <c r="KC114" s="13"/>
      <c r="KD114" s="13"/>
      <c r="KE114" s="13"/>
      <c r="KF114" s="13"/>
      <c r="KG114" s="13"/>
      <c r="KH114" s="13"/>
      <c r="KI114" s="13"/>
      <c r="KJ114" s="13"/>
      <c r="KK114" s="13"/>
      <c r="KL114" s="13"/>
      <c r="KM114" s="13"/>
      <c r="KN114" s="13"/>
      <c r="KO114" s="13"/>
      <c r="KP114" s="13"/>
      <c r="KQ114" s="13"/>
      <c r="KR114" s="13"/>
      <c r="KS114" s="13"/>
      <c r="KT114" s="13"/>
      <c r="KU114" s="13"/>
      <c r="KV114" s="13"/>
      <c r="KW114" s="13"/>
      <c r="KX114" s="13"/>
      <c r="KY114" s="13"/>
      <c r="KZ114" s="13"/>
      <c r="LA114" s="13"/>
      <c r="LB114" s="13"/>
      <c r="LC114" s="13"/>
      <c r="LD114" s="13"/>
      <c r="LE114" s="13"/>
      <c r="LF114" s="13"/>
      <c r="LG114" s="13"/>
      <c r="LH114" s="13"/>
      <c r="LI114" s="13"/>
      <c r="LJ114" s="13"/>
      <c r="LK114" s="13"/>
      <c r="LL114" s="13"/>
      <c r="LM114" s="13"/>
      <c r="LN114" s="13"/>
      <c r="LO114" s="13"/>
      <c r="LP114" s="13"/>
      <c r="LQ114" s="13"/>
      <c r="LR114" s="13"/>
      <c r="LS114" s="13"/>
      <c r="LT114" s="13"/>
      <c r="LU114" s="13"/>
      <c r="LV114" s="13"/>
      <c r="LW114" s="13"/>
      <c r="LX114" s="13"/>
      <c r="LY114" s="13"/>
      <c r="LZ114" s="13"/>
      <c r="MA114" s="13"/>
      <c r="MB114" s="13"/>
      <c r="MC114" s="13"/>
      <c r="MD114" s="13"/>
      <c r="ME114" s="13"/>
      <c r="MF114" s="13"/>
      <c r="MG114" s="13"/>
      <c r="MH114" s="13"/>
      <c r="MI114" s="13"/>
      <c r="MJ114" s="13"/>
      <c r="MK114" s="13"/>
      <c r="ML114" s="13"/>
      <c r="MM114" s="13"/>
      <c r="MN114" s="13"/>
      <c r="MO114" s="13"/>
      <c r="MP114" s="13"/>
      <c r="MQ114" s="13"/>
      <c r="MR114" s="13"/>
      <c r="MS114" s="13"/>
      <c r="MT114" s="13"/>
      <c r="MU114" s="13"/>
      <c r="MV114" s="13"/>
      <c r="MW114" s="13"/>
      <c r="MX114" s="13"/>
      <c r="MY114" s="13"/>
      <c r="MZ114" s="13"/>
      <c r="NA114" s="13"/>
      <c r="NB114" s="13"/>
      <c r="NC114" s="13"/>
      <c r="ND114" s="13"/>
      <c r="NE114" s="13"/>
      <c r="NF114" s="13"/>
      <c r="NG114" s="13"/>
      <c r="NH114" s="13"/>
      <c r="NI114" s="13"/>
      <c r="NJ114" s="13"/>
      <c r="NK114" s="13"/>
      <c r="NL114" s="13"/>
      <c r="NM114" s="13"/>
      <c r="NN114" s="13"/>
      <c r="NO114" s="13"/>
      <c r="NP114" s="13"/>
      <c r="NQ114" s="13"/>
      <c r="NR114" s="13"/>
      <c r="NS114" s="13"/>
      <c r="NT114" s="13"/>
      <c r="NU114" s="13"/>
      <c r="NV114" s="13"/>
      <c r="NW114" s="13"/>
      <c r="NX114" s="13"/>
      <c r="NY114" s="13"/>
      <c r="NZ114" s="13"/>
      <c r="OA114" s="13"/>
      <c r="OB114" s="13"/>
      <c r="OC114" s="13"/>
      <c r="OD114" s="13"/>
      <c r="OE114" s="13"/>
      <c r="OF114" s="13"/>
      <c r="OG114" s="13"/>
      <c r="OH114" s="13"/>
      <c r="OI114" s="13"/>
      <c r="OJ114" s="13"/>
      <c r="OK114" s="13"/>
      <c r="OL114" s="13"/>
      <c r="OM114" s="13"/>
      <c r="ON114" s="13"/>
      <c r="OO114" s="13"/>
      <c r="OP114" s="13"/>
      <c r="OQ114" s="13"/>
      <c r="OR114" s="13"/>
      <c r="OS114" s="13"/>
      <c r="OT114" s="13"/>
      <c r="OU114" s="13"/>
      <c r="OV114" s="13"/>
      <c r="OW114" s="13"/>
      <c r="OX114" s="13"/>
      <c r="OY114" s="13"/>
      <c r="OZ114" s="13"/>
      <c r="PA114" s="13"/>
      <c r="PB114" s="13"/>
      <c r="PC114" s="13"/>
      <c r="PD114" s="13"/>
      <c r="PE114" s="13"/>
      <c r="PF114" s="13"/>
      <c r="PG114" s="13"/>
      <c r="PH114" s="13"/>
      <c r="PI114" s="13"/>
      <c r="PJ114" s="13"/>
      <c r="PK114" s="13"/>
      <c r="PL114" s="13"/>
      <c r="PM114" s="13"/>
      <c r="PN114" s="13"/>
      <c r="PO114" s="13"/>
      <c r="PP114" s="13"/>
      <c r="PQ114" s="13"/>
      <c r="PR114" s="13"/>
      <c r="PS114" s="13"/>
      <c r="PT114" s="13"/>
      <c r="PU114" s="13"/>
      <c r="PV114" s="13"/>
      <c r="PW114" s="13"/>
      <c r="PX114" s="13"/>
      <c r="PY114" s="13"/>
      <c r="PZ114" s="13"/>
      <c r="QA114" s="13"/>
    </row>
    <row r="115" spans="1:443" x14ac:dyDescent="0.3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6"/>
      <c r="R115" s="17" t="str">
        <f t="shared" si="6"/>
        <v/>
      </c>
      <c r="S115" s="17" t="str">
        <f t="shared" si="7"/>
        <v/>
      </c>
      <c r="T115" s="18" t="str">
        <f t="shared" si="8"/>
        <v/>
      </c>
      <c r="U115" s="15"/>
      <c r="V115" s="19" t="str">
        <f t="shared" si="10"/>
        <v/>
      </c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  <c r="DX115" s="13"/>
      <c r="DY115" s="13"/>
      <c r="DZ115" s="13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  <c r="JP115" s="13"/>
      <c r="JQ115" s="13"/>
      <c r="JR115" s="13"/>
      <c r="JS115" s="13"/>
      <c r="JT115" s="13"/>
      <c r="JU115" s="13"/>
      <c r="JV115" s="13"/>
      <c r="JW115" s="13"/>
      <c r="JX115" s="13"/>
      <c r="JY115" s="13"/>
      <c r="JZ115" s="13"/>
      <c r="KA115" s="13"/>
      <c r="KB115" s="13"/>
      <c r="KC115" s="13"/>
      <c r="KD115" s="13"/>
      <c r="KE115" s="13"/>
      <c r="KF115" s="13"/>
      <c r="KG115" s="13"/>
      <c r="KH115" s="13"/>
      <c r="KI115" s="13"/>
      <c r="KJ115" s="13"/>
      <c r="KK115" s="13"/>
      <c r="KL115" s="13"/>
      <c r="KM115" s="13"/>
      <c r="KN115" s="13"/>
      <c r="KO115" s="13"/>
      <c r="KP115" s="13"/>
      <c r="KQ115" s="13"/>
      <c r="KR115" s="13"/>
      <c r="KS115" s="13"/>
      <c r="KT115" s="13"/>
      <c r="KU115" s="13"/>
      <c r="KV115" s="13"/>
      <c r="KW115" s="13"/>
      <c r="KX115" s="13"/>
      <c r="KY115" s="13"/>
      <c r="KZ115" s="13"/>
      <c r="LA115" s="13"/>
      <c r="LB115" s="13"/>
      <c r="LC115" s="13"/>
      <c r="LD115" s="13"/>
      <c r="LE115" s="13"/>
      <c r="LF115" s="13"/>
      <c r="LG115" s="13"/>
      <c r="LH115" s="13"/>
      <c r="LI115" s="13"/>
      <c r="LJ115" s="13"/>
      <c r="LK115" s="13"/>
      <c r="LL115" s="13"/>
      <c r="LM115" s="13"/>
      <c r="LN115" s="13"/>
      <c r="LO115" s="13"/>
      <c r="LP115" s="13"/>
      <c r="LQ115" s="13"/>
      <c r="LR115" s="13"/>
      <c r="LS115" s="13"/>
      <c r="LT115" s="13"/>
      <c r="LU115" s="13"/>
      <c r="LV115" s="13"/>
      <c r="LW115" s="13"/>
      <c r="LX115" s="13"/>
      <c r="LY115" s="13"/>
      <c r="LZ115" s="13"/>
      <c r="MA115" s="13"/>
      <c r="MB115" s="13"/>
      <c r="MC115" s="13"/>
      <c r="MD115" s="13"/>
      <c r="ME115" s="13"/>
      <c r="MF115" s="13"/>
      <c r="MG115" s="13"/>
      <c r="MH115" s="13"/>
      <c r="MI115" s="13"/>
      <c r="MJ115" s="13"/>
      <c r="MK115" s="13"/>
      <c r="ML115" s="13"/>
      <c r="MM115" s="13"/>
      <c r="MN115" s="13"/>
      <c r="MO115" s="13"/>
      <c r="MP115" s="13"/>
      <c r="MQ115" s="13"/>
      <c r="MR115" s="13"/>
      <c r="MS115" s="13"/>
      <c r="MT115" s="13"/>
      <c r="MU115" s="13"/>
      <c r="MV115" s="13"/>
      <c r="MW115" s="13"/>
      <c r="MX115" s="13"/>
      <c r="MY115" s="13"/>
      <c r="MZ115" s="13"/>
      <c r="NA115" s="13"/>
      <c r="NB115" s="13"/>
      <c r="NC115" s="13"/>
      <c r="ND115" s="13"/>
      <c r="NE115" s="13"/>
      <c r="NF115" s="13"/>
      <c r="NG115" s="13"/>
      <c r="NH115" s="13"/>
      <c r="NI115" s="13"/>
      <c r="NJ115" s="13"/>
      <c r="NK115" s="13"/>
      <c r="NL115" s="13"/>
      <c r="NM115" s="13"/>
      <c r="NN115" s="13"/>
      <c r="NO115" s="13"/>
      <c r="NP115" s="13"/>
      <c r="NQ115" s="13"/>
      <c r="NR115" s="13"/>
      <c r="NS115" s="13"/>
      <c r="NT115" s="13"/>
      <c r="NU115" s="13"/>
      <c r="NV115" s="13"/>
      <c r="NW115" s="13"/>
      <c r="NX115" s="13"/>
      <c r="NY115" s="13"/>
      <c r="NZ115" s="13"/>
      <c r="OA115" s="13"/>
      <c r="OB115" s="13"/>
      <c r="OC115" s="13"/>
      <c r="OD115" s="13"/>
      <c r="OE115" s="13"/>
      <c r="OF115" s="13"/>
      <c r="OG115" s="13"/>
      <c r="OH115" s="13"/>
      <c r="OI115" s="13"/>
      <c r="OJ115" s="13"/>
      <c r="OK115" s="13"/>
      <c r="OL115" s="13"/>
      <c r="OM115" s="13"/>
      <c r="ON115" s="13"/>
      <c r="OO115" s="13"/>
      <c r="OP115" s="13"/>
      <c r="OQ115" s="13"/>
      <c r="OR115" s="13"/>
      <c r="OS115" s="13"/>
      <c r="OT115" s="13"/>
      <c r="OU115" s="13"/>
      <c r="OV115" s="13"/>
      <c r="OW115" s="13"/>
      <c r="OX115" s="13"/>
      <c r="OY115" s="13"/>
      <c r="OZ115" s="13"/>
      <c r="PA115" s="13"/>
      <c r="PB115" s="13"/>
      <c r="PC115" s="13"/>
      <c r="PD115" s="13"/>
      <c r="PE115" s="13"/>
      <c r="PF115" s="13"/>
      <c r="PG115" s="13"/>
      <c r="PH115" s="13"/>
      <c r="PI115" s="13"/>
      <c r="PJ115" s="13"/>
      <c r="PK115" s="13"/>
      <c r="PL115" s="13"/>
      <c r="PM115" s="13"/>
      <c r="PN115" s="13"/>
      <c r="PO115" s="13"/>
      <c r="PP115" s="13"/>
      <c r="PQ115" s="13"/>
      <c r="PR115" s="13"/>
      <c r="PS115" s="13"/>
      <c r="PT115" s="13"/>
      <c r="PU115" s="13"/>
      <c r="PV115" s="13"/>
      <c r="PW115" s="13"/>
      <c r="PX115" s="13"/>
      <c r="PY115" s="13"/>
      <c r="PZ115" s="13"/>
      <c r="QA115" s="13"/>
    </row>
    <row r="116" spans="1:443" x14ac:dyDescent="0.3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6"/>
      <c r="R116" s="17" t="str">
        <f t="shared" si="6"/>
        <v/>
      </c>
      <c r="S116" s="17" t="str">
        <f t="shared" si="7"/>
        <v/>
      </c>
      <c r="T116" s="18" t="str">
        <f t="shared" si="8"/>
        <v/>
      </c>
      <c r="U116" s="15"/>
      <c r="V116" s="19" t="str">
        <f t="shared" si="10"/>
        <v/>
      </c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  <c r="DX116" s="13"/>
      <c r="DY116" s="13"/>
      <c r="DZ116" s="13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  <c r="JP116" s="13"/>
      <c r="JQ116" s="13"/>
      <c r="JR116" s="13"/>
      <c r="JS116" s="13"/>
      <c r="JT116" s="13"/>
      <c r="JU116" s="13"/>
      <c r="JV116" s="13"/>
      <c r="JW116" s="13"/>
      <c r="JX116" s="13"/>
      <c r="JY116" s="13"/>
      <c r="JZ116" s="13"/>
      <c r="KA116" s="13"/>
      <c r="KB116" s="13"/>
      <c r="KC116" s="13"/>
      <c r="KD116" s="13"/>
      <c r="KE116" s="13"/>
      <c r="KF116" s="13"/>
      <c r="KG116" s="13"/>
      <c r="KH116" s="13"/>
      <c r="KI116" s="13"/>
      <c r="KJ116" s="13"/>
      <c r="KK116" s="13"/>
      <c r="KL116" s="13"/>
      <c r="KM116" s="13"/>
      <c r="KN116" s="13"/>
      <c r="KO116" s="13"/>
      <c r="KP116" s="13"/>
      <c r="KQ116" s="13"/>
      <c r="KR116" s="13"/>
      <c r="KS116" s="13"/>
      <c r="KT116" s="13"/>
      <c r="KU116" s="13"/>
      <c r="KV116" s="13"/>
      <c r="KW116" s="13"/>
      <c r="KX116" s="13"/>
      <c r="KY116" s="13"/>
      <c r="KZ116" s="13"/>
      <c r="LA116" s="13"/>
      <c r="LB116" s="13"/>
      <c r="LC116" s="13"/>
      <c r="LD116" s="13"/>
      <c r="LE116" s="13"/>
      <c r="LF116" s="13"/>
      <c r="LG116" s="13"/>
      <c r="LH116" s="13"/>
      <c r="LI116" s="13"/>
      <c r="LJ116" s="13"/>
      <c r="LK116" s="13"/>
      <c r="LL116" s="13"/>
      <c r="LM116" s="13"/>
      <c r="LN116" s="13"/>
      <c r="LO116" s="13"/>
      <c r="LP116" s="13"/>
      <c r="LQ116" s="13"/>
      <c r="LR116" s="13"/>
      <c r="LS116" s="13"/>
      <c r="LT116" s="13"/>
      <c r="LU116" s="13"/>
      <c r="LV116" s="13"/>
      <c r="LW116" s="13"/>
      <c r="LX116" s="13"/>
      <c r="LY116" s="13"/>
      <c r="LZ116" s="13"/>
      <c r="MA116" s="13"/>
      <c r="MB116" s="13"/>
      <c r="MC116" s="13"/>
      <c r="MD116" s="13"/>
      <c r="ME116" s="13"/>
      <c r="MF116" s="13"/>
      <c r="MG116" s="13"/>
      <c r="MH116" s="13"/>
      <c r="MI116" s="13"/>
      <c r="MJ116" s="13"/>
      <c r="MK116" s="13"/>
      <c r="ML116" s="13"/>
      <c r="MM116" s="13"/>
      <c r="MN116" s="13"/>
      <c r="MO116" s="13"/>
      <c r="MP116" s="13"/>
      <c r="MQ116" s="13"/>
      <c r="MR116" s="13"/>
      <c r="MS116" s="13"/>
      <c r="MT116" s="13"/>
      <c r="MU116" s="13"/>
      <c r="MV116" s="13"/>
      <c r="MW116" s="13"/>
      <c r="MX116" s="13"/>
      <c r="MY116" s="13"/>
      <c r="MZ116" s="13"/>
      <c r="NA116" s="13"/>
      <c r="NB116" s="13"/>
      <c r="NC116" s="13"/>
      <c r="ND116" s="13"/>
      <c r="NE116" s="13"/>
      <c r="NF116" s="13"/>
      <c r="NG116" s="13"/>
      <c r="NH116" s="13"/>
      <c r="NI116" s="13"/>
      <c r="NJ116" s="13"/>
      <c r="NK116" s="13"/>
      <c r="NL116" s="13"/>
      <c r="NM116" s="13"/>
      <c r="NN116" s="13"/>
      <c r="NO116" s="13"/>
      <c r="NP116" s="13"/>
      <c r="NQ116" s="13"/>
      <c r="NR116" s="13"/>
      <c r="NS116" s="13"/>
      <c r="NT116" s="13"/>
      <c r="NU116" s="13"/>
      <c r="NV116" s="13"/>
      <c r="NW116" s="13"/>
      <c r="NX116" s="13"/>
      <c r="NY116" s="13"/>
      <c r="NZ116" s="13"/>
      <c r="OA116" s="13"/>
      <c r="OB116" s="13"/>
      <c r="OC116" s="13"/>
      <c r="OD116" s="13"/>
      <c r="OE116" s="13"/>
      <c r="OF116" s="13"/>
      <c r="OG116" s="13"/>
      <c r="OH116" s="13"/>
      <c r="OI116" s="13"/>
      <c r="OJ116" s="13"/>
      <c r="OK116" s="13"/>
      <c r="OL116" s="13"/>
      <c r="OM116" s="13"/>
      <c r="ON116" s="13"/>
      <c r="OO116" s="13"/>
      <c r="OP116" s="13"/>
      <c r="OQ116" s="13"/>
      <c r="OR116" s="13"/>
      <c r="OS116" s="13"/>
      <c r="OT116" s="13"/>
      <c r="OU116" s="13"/>
      <c r="OV116" s="13"/>
      <c r="OW116" s="13"/>
      <c r="OX116" s="13"/>
      <c r="OY116" s="13"/>
      <c r="OZ116" s="13"/>
      <c r="PA116" s="13"/>
      <c r="PB116" s="13"/>
      <c r="PC116" s="13"/>
      <c r="PD116" s="13"/>
      <c r="PE116" s="13"/>
      <c r="PF116" s="13"/>
      <c r="PG116" s="13"/>
      <c r="PH116" s="13"/>
      <c r="PI116" s="13"/>
      <c r="PJ116" s="13"/>
      <c r="PK116" s="13"/>
      <c r="PL116" s="13"/>
      <c r="PM116" s="13"/>
      <c r="PN116" s="13"/>
      <c r="PO116" s="13"/>
      <c r="PP116" s="13"/>
      <c r="PQ116" s="13"/>
      <c r="PR116" s="13"/>
      <c r="PS116" s="13"/>
      <c r="PT116" s="13"/>
      <c r="PU116" s="13"/>
      <c r="PV116" s="13"/>
      <c r="PW116" s="13"/>
      <c r="PX116" s="13"/>
      <c r="PY116" s="13"/>
      <c r="PZ116" s="13"/>
      <c r="QA116" s="13"/>
    </row>
    <row r="117" spans="1:443" s="23" customFormat="1" x14ac:dyDescent="0.3">
      <c r="A117" s="14"/>
      <c r="B117" s="15"/>
      <c r="C117" s="15"/>
      <c r="D117" s="15"/>
      <c r="E117" s="15"/>
      <c r="F117" s="15"/>
      <c r="G117" s="15"/>
      <c r="H117" s="15"/>
      <c r="I117" s="32"/>
      <c r="J117" s="15"/>
      <c r="K117" s="15"/>
      <c r="L117" s="15"/>
      <c r="M117" s="15"/>
      <c r="N117" s="15"/>
      <c r="O117" s="15"/>
      <c r="P117" s="15"/>
      <c r="Q117" s="16"/>
      <c r="R117" s="17" t="str">
        <f t="shared" si="6"/>
        <v/>
      </c>
      <c r="S117" s="17" t="str">
        <f t="shared" si="7"/>
        <v/>
      </c>
      <c r="T117" s="18" t="str">
        <f t="shared" si="8"/>
        <v/>
      </c>
      <c r="U117" s="15"/>
      <c r="V117" s="19" t="str">
        <f t="shared" si="10"/>
        <v/>
      </c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  <c r="JP117" s="13"/>
      <c r="JQ117" s="13"/>
      <c r="JR117" s="13"/>
      <c r="JS117" s="13"/>
      <c r="JT117" s="13"/>
      <c r="JU117" s="13"/>
      <c r="JV117" s="13"/>
      <c r="JW117" s="13"/>
      <c r="JX117" s="13"/>
      <c r="JY117" s="13"/>
      <c r="JZ117" s="13"/>
      <c r="KA117" s="13"/>
      <c r="KB117" s="13"/>
      <c r="KC117" s="13"/>
      <c r="KD117" s="13"/>
      <c r="KE117" s="13"/>
      <c r="KF117" s="13"/>
      <c r="KG117" s="13"/>
      <c r="KH117" s="13"/>
      <c r="KI117" s="13"/>
      <c r="KJ117" s="13"/>
      <c r="KK117" s="13"/>
      <c r="KL117" s="13"/>
      <c r="KM117" s="13"/>
      <c r="KN117" s="13"/>
      <c r="KO117" s="13"/>
      <c r="KP117" s="13"/>
      <c r="KQ117" s="13"/>
      <c r="KR117" s="13"/>
      <c r="KS117" s="13"/>
      <c r="KT117" s="13"/>
      <c r="KU117" s="13"/>
      <c r="KV117" s="13"/>
      <c r="KW117" s="13"/>
      <c r="KX117" s="13"/>
      <c r="KY117" s="13"/>
      <c r="KZ117" s="13"/>
      <c r="LA117" s="13"/>
      <c r="LB117" s="13"/>
      <c r="LC117" s="13"/>
      <c r="LD117" s="13"/>
      <c r="LE117" s="13"/>
      <c r="LF117" s="13"/>
      <c r="LG117" s="13"/>
      <c r="LH117" s="13"/>
      <c r="LI117" s="13"/>
      <c r="LJ117" s="13"/>
      <c r="LK117" s="13"/>
      <c r="LL117" s="13"/>
      <c r="LM117" s="13"/>
      <c r="LN117" s="13"/>
      <c r="LO117" s="13"/>
      <c r="LP117" s="13"/>
      <c r="LQ117" s="13"/>
      <c r="LR117" s="13"/>
      <c r="LS117" s="13"/>
      <c r="LT117" s="13"/>
      <c r="LU117" s="13"/>
      <c r="LV117" s="13"/>
      <c r="LW117" s="13"/>
      <c r="LX117" s="13"/>
      <c r="LY117" s="13"/>
      <c r="LZ117" s="13"/>
      <c r="MA117" s="13"/>
      <c r="MB117" s="13"/>
      <c r="MC117" s="13"/>
      <c r="MD117" s="13"/>
      <c r="ME117" s="13"/>
      <c r="MF117" s="13"/>
      <c r="MG117" s="13"/>
      <c r="MH117" s="13"/>
      <c r="MI117" s="13"/>
      <c r="MJ117" s="13"/>
      <c r="MK117" s="13"/>
      <c r="ML117" s="13"/>
      <c r="MM117" s="13"/>
      <c r="MN117" s="13"/>
      <c r="MO117" s="13"/>
      <c r="MP117" s="13"/>
      <c r="MQ117" s="13"/>
      <c r="MR117" s="13"/>
      <c r="MS117" s="13"/>
      <c r="MT117" s="13"/>
      <c r="MU117" s="13"/>
      <c r="MV117" s="13"/>
      <c r="MW117" s="13"/>
      <c r="MX117" s="13"/>
      <c r="MY117" s="13"/>
      <c r="MZ117" s="13"/>
      <c r="NA117" s="13"/>
      <c r="NB117" s="13"/>
      <c r="NC117" s="13"/>
      <c r="ND117" s="13"/>
      <c r="NE117" s="13"/>
      <c r="NF117" s="13"/>
      <c r="NG117" s="13"/>
      <c r="NH117" s="13"/>
      <c r="NI117" s="13"/>
      <c r="NJ117" s="13"/>
      <c r="NK117" s="13"/>
      <c r="NL117" s="13"/>
      <c r="NM117" s="13"/>
      <c r="NN117" s="13"/>
      <c r="NO117" s="13"/>
      <c r="NP117" s="13"/>
      <c r="NQ117" s="13"/>
      <c r="NR117" s="13"/>
      <c r="NS117" s="13"/>
      <c r="NT117" s="13"/>
      <c r="NU117" s="13"/>
      <c r="NV117" s="13"/>
      <c r="NW117" s="13"/>
      <c r="NX117" s="13"/>
      <c r="NY117" s="13"/>
      <c r="NZ117" s="13"/>
      <c r="OA117" s="13"/>
      <c r="OB117" s="13"/>
      <c r="OC117" s="13"/>
      <c r="OD117" s="13"/>
      <c r="OE117" s="13"/>
      <c r="OF117" s="13"/>
      <c r="OG117" s="13"/>
      <c r="OH117" s="13"/>
      <c r="OI117" s="13"/>
      <c r="OJ117" s="13"/>
      <c r="OK117" s="13"/>
      <c r="OL117" s="13"/>
      <c r="OM117" s="13"/>
      <c r="ON117" s="13"/>
      <c r="OO117" s="13"/>
      <c r="OP117" s="13"/>
      <c r="OQ117" s="13"/>
      <c r="OR117" s="13"/>
      <c r="OS117" s="13"/>
      <c r="OT117" s="13"/>
      <c r="OU117" s="13"/>
      <c r="OV117" s="13"/>
      <c r="OW117" s="13"/>
      <c r="OX117" s="13"/>
      <c r="OY117" s="13"/>
      <c r="OZ117" s="13"/>
      <c r="PA117" s="13"/>
      <c r="PB117" s="13"/>
      <c r="PC117" s="13"/>
      <c r="PD117" s="13"/>
      <c r="PE117" s="13"/>
      <c r="PF117" s="13"/>
      <c r="PG117" s="13"/>
      <c r="PH117" s="13"/>
      <c r="PI117" s="13"/>
      <c r="PJ117" s="13"/>
      <c r="PK117" s="13"/>
      <c r="PL117" s="13"/>
      <c r="PM117" s="13"/>
      <c r="PN117" s="13"/>
      <c r="PO117" s="13"/>
      <c r="PP117" s="13"/>
      <c r="PQ117" s="13"/>
      <c r="PR117" s="13"/>
      <c r="PS117" s="13"/>
      <c r="PT117" s="13"/>
      <c r="PU117" s="13"/>
      <c r="PV117" s="13"/>
      <c r="PW117" s="13"/>
      <c r="PX117" s="13"/>
      <c r="PY117" s="13"/>
      <c r="PZ117" s="13"/>
      <c r="QA117" s="13"/>
    </row>
    <row r="118" spans="1:443" x14ac:dyDescent="0.3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6"/>
      <c r="R118" s="17" t="str">
        <f t="shared" si="6"/>
        <v/>
      </c>
      <c r="S118" s="17" t="str">
        <f t="shared" si="7"/>
        <v/>
      </c>
      <c r="T118" s="18" t="str">
        <f t="shared" si="8"/>
        <v/>
      </c>
      <c r="V118" s="19" t="str">
        <f t="shared" si="10"/>
        <v/>
      </c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  <c r="DX118" s="13"/>
      <c r="DY118" s="13"/>
      <c r="DZ118" s="13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  <c r="JP118" s="13"/>
      <c r="JQ118" s="13"/>
      <c r="JR118" s="13"/>
      <c r="JS118" s="13"/>
      <c r="JT118" s="13"/>
      <c r="JU118" s="13"/>
      <c r="JV118" s="13"/>
      <c r="JW118" s="13"/>
      <c r="JX118" s="13"/>
      <c r="JY118" s="13"/>
      <c r="JZ118" s="13"/>
      <c r="KA118" s="13"/>
      <c r="KB118" s="13"/>
      <c r="KC118" s="13"/>
      <c r="KD118" s="13"/>
      <c r="KE118" s="13"/>
      <c r="KF118" s="13"/>
      <c r="KG118" s="13"/>
      <c r="KH118" s="13"/>
      <c r="KI118" s="13"/>
      <c r="KJ118" s="13"/>
      <c r="KK118" s="13"/>
      <c r="KL118" s="13"/>
      <c r="KM118" s="13"/>
      <c r="KN118" s="13"/>
      <c r="KO118" s="13"/>
      <c r="KP118" s="13"/>
      <c r="KQ118" s="13"/>
      <c r="KR118" s="13"/>
      <c r="KS118" s="13"/>
      <c r="KT118" s="13"/>
      <c r="KU118" s="13"/>
      <c r="KV118" s="13"/>
      <c r="KW118" s="13"/>
      <c r="KX118" s="13"/>
      <c r="KY118" s="13"/>
      <c r="KZ118" s="13"/>
      <c r="LA118" s="13"/>
      <c r="LB118" s="13"/>
      <c r="LC118" s="13"/>
      <c r="LD118" s="13"/>
      <c r="LE118" s="13"/>
      <c r="LF118" s="13"/>
      <c r="LG118" s="13"/>
      <c r="LH118" s="13"/>
      <c r="LI118" s="13"/>
      <c r="LJ118" s="13"/>
      <c r="LK118" s="13"/>
      <c r="LL118" s="13"/>
      <c r="LM118" s="13"/>
      <c r="LN118" s="13"/>
      <c r="LO118" s="13"/>
      <c r="LP118" s="13"/>
      <c r="LQ118" s="13"/>
      <c r="LR118" s="13"/>
      <c r="LS118" s="13"/>
      <c r="LT118" s="13"/>
      <c r="LU118" s="13"/>
      <c r="LV118" s="13"/>
      <c r="LW118" s="13"/>
      <c r="LX118" s="13"/>
      <c r="LY118" s="13"/>
      <c r="LZ118" s="13"/>
      <c r="MA118" s="13"/>
      <c r="MB118" s="13"/>
      <c r="MC118" s="13"/>
      <c r="MD118" s="13"/>
      <c r="ME118" s="13"/>
      <c r="MF118" s="13"/>
      <c r="MG118" s="13"/>
      <c r="MH118" s="13"/>
      <c r="MI118" s="13"/>
      <c r="MJ118" s="13"/>
      <c r="MK118" s="13"/>
      <c r="ML118" s="13"/>
      <c r="MM118" s="13"/>
      <c r="MN118" s="13"/>
      <c r="MO118" s="13"/>
      <c r="MP118" s="13"/>
      <c r="MQ118" s="13"/>
      <c r="MR118" s="13"/>
      <c r="MS118" s="13"/>
      <c r="MT118" s="13"/>
      <c r="MU118" s="13"/>
      <c r="MV118" s="13"/>
      <c r="MW118" s="13"/>
      <c r="MX118" s="13"/>
      <c r="MY118" s="13"/>
      <c r="MZ118" s="13"/>
      <c r="NA118" s="13"/>
      <c r="NB118" s="13"/>
      <c r="NC118" s="13"/>
      <c r="ND118" s="13"/>
      <c r="NE118" s="13"/>
      <c r="NF118" s="13"/>
      <c r="NG118" s="13"/>
      <c r="NH118" s="13"/>
      <c r="NI118" s="13"/>
      <c r="NJ118" s="13"/>
      <c r="NK118" s="13"/>
      <c r="NL118" s="13"/>
      <c r="NM118" s="13"/>
      <c r="NN118" s="13"/>
      <c r="NO118" s="13"/>
      <c r="NP118" s="13"/>
      <c r="NQ118" s="13"/>
      <c r="NR118" s="13"/>
      <c r="NS118" s="13"/>
      <c r="NT118" s="13"/>
      <c r="NU118" s="13"/>
      <c r="NV118" s="13"/>
      <c r="NW118" s="13"/>
      <c r="NX118" s="13"/>
      <c r="NY118" s="13"/>
      <c r="NZ118" s="13"/>
      <c r="OA118" s="13"/>
      <c r="OB118" s="13"/>
      <c r="OC118" s="13"/>
      <c r="OD118" s="13"/>
      <c r="OE118" s="13"/>
      <c r="OF118" s="13"/>
      <c r="OG118" s="13"/>
      <c r="OH118" s="13"/>
      <c r="OI118" s="13"/>
      <c r="OJ118" s="13"/>
      <c r="OK118" s="13"/>
      <c r="OL118" s="13"/>
      <c r="OM118" s="13"/>
      <c r="ON118" s="13"/>
      <c r="OO118" s="13"/>
      <c r="OP118" s="13"/>
      <c r="OQ118" s="13"/>
      <c r="OR118" s="13"/>
      <c r="OS118" s="13"/>
      <c r="OT118" s="13"/>
      <c r="OU118" s="13"/>
      <c r="OV118" s="13"/>
      <c r="OW118" s="13"/>
      <c r="OX118" s="13"/>
      <c r="OY118" s="13"/>
      <c r="OZ118" s="13"/>
      <c r="PA118" s="13"/>
      <c r="PB118" s="13"/>
      <c r="PC118" s="13"/>
      <c r="PD118" s="13"/>
      <c r="PE118" s="13"/>
      <c r="PF118" s="13"/>
      <c r="PG118" s="13"/>
      <c r="PH118" s="13"/>
      <c r="PI118" s="13"/>
      <c r="PJ118" s="13"/>
      <c r="PK118" s="13"/>
      <c r="PL118" s="13"/>
      <c r="PM118" s="13"/>
      <c r="PN118" s="13"/>
      <c r="PO118" s="13"/>
      <c r="PP118" s="13"/>
      <c r="PQ118" s="13"/>
      <c r="PR118" s="13"/>
      <c r="PS118" s="13"/>
      <c r="PT118" s="13"/>
      <c r="PU118" s="13"/>
      <c r="PV118" s="13"/>
      <c r="PW118" s="13"/>
      <c r="PX118" s="13"/>
      <c r="PY118" s="13"/>
      <c r="PZ118" s="13"/>
      <c r="QA118" s="13"/>
    </row>
    <row r="119" spans="1:443" x14ac:dyDescent="0.3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6"/>
      <c r="R119" s="17" t="str">
        <f t="shared" si="6"/>
        <v/>
      </c>
      <c r="S119" s="17" t="str">
        <f t="shared" si="7"/>
        <v/>
      </c>
      <c r="T119" s="18" t="str">
        <f t="shared" si="8"/>
        <v/>
      </c>
      <c r="U119" s="15"/>
      <c r="V119" s="19" t="str">
        <f t="shared" si="10"/>
        <v/>
      </c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  <c r="DX119" s="13"/>
      <c r="DY119" s="13"/>
      <c r="DZ119" s="13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  <c r="JP119" s="13"/>
      <c r="JQ119" s="13"/>
      <c r="JR119" s="13"/>
      <c r="JS119" s="13"/>
      <c r="JT119" s="13"/>
      <c r="JU119" s="13"/>
      <c r="JV119" s="13"/>
      <c r="JW119" s="13"/>
      <c r="JX119" s="13"/>
      <c r="JY119" s="13"/>
      <c r="JZ119" s="13"/>
      <c r="KA119" s="13"/>
      <c r="KB119" s="13"/>
      <c r="KC119" s="13"/>
      <c r="KD119" s="13"/>
      <c r="KE119" s="13"/>
      <c r="KF119" s="13"/>
      <c r="KG119" s="13"/>
      <c r="KH119" s="13"/>
      <c r="KI119" s="13"/>
      <c r="KJ119" s="13"/>
      <c r="KK119" s="13"/>
      <c r="KL119" s="13"/>
      <c r="KM119" s="13"/>
      <c r="KN119" s="13"/>
      <c r="KO119" s="13"/>
      <c r="KP119" s="13"/>
      <c r="KQ119" s="13"/>
      <c r="KR119" s="13"/>
      <c r="KS119" s="13"/>
      <c r="KT119" s="13"/>
      <c r="KU119" s="13"/>
      <c r="KV119" s="13"/>
      <c r="KW119" s="13"/>
      <c r="KX119" s="13"/>
      <c r="KY119" s="13"/>
      <c r="KZ119" s="13"/>
      <c r="LA119" s="13"/>
      <c r="LB119" s="13"/>
      <c r="LC119" s="13"/>
      <c r="LD119" s="13"/>
      <c r="LE119" s="13"/>
      <c r="LF119" s="13"/>
      <c r="LG119" s="13"/>
      <c r="LH119" s="13"/>
      <c r="LI119" s="13"/>
      <c r="LJ119" s="13"/>
      <c r="LK119" s="13"/>
      <c r="LL119" s="13"/>
      <c r="LM119" s="13"/>
      <c r="LN119" s="13"/>
      <c r="LO119" s="13"/>
      <c r="LP119" s="13"/>
      <c r="LQ119" s="13"/>
      <c r="LR119" s="13"/>
      <c r="LS119" s="13"/>
      <c r="LT119" s="13"/>
      <c r="LU119" s="13"/>
      <c r="LV119" s="13"/>
      <c r="LW119" s="13"/>
      <c r="LX119" s="13"/>
      <c r="LY119" s="13"/>
      <c r="LZ119" s="13"/>
      <c r="MA119" s="13"/>
      <c r="MB119" s="13"/>
      <c r="MC119" s="13"/>
      <c r="MD119" s="13"/>
      <c r="ME119" s="13"/>
      <c r="MF119" s="13"/>
      <c r="MG119" s="13"/>
      <c r="MH119" s="13"/>
      <c r="MI119" s="13"/>
      <c r="MJ119" s="13"/>
      <c r="MK119" s="13"/>
      <c r="ML119" s="13"/>
      <c r="MM119" s="13"/>
      <c r="MN119" s="13"/>
      <c r="MO119" s="13"/>
      <c r="MP119" s="13"/>
      <c r="MQ119" s="13"/>
      <c r="MR119" s="13"/>
      <c r="MS119" s="13"/>
      <c r="MT119" s="13"/>
      <c r="MU119" s="13"/>
      <c r="MV119" s="13"/>
      <c r="MW119" s="13"/>
      <c r="MX119" s="13"/>
      <c r="MY119" s="13"/>
      <c r="MZ119" s="13"/>
      <c r="NA119" s="13"/>
      <c r="NB119" s="13"/>
      <c r="NC119" s="13"/>
      <c r="ND119" s="13"/>
      <c r="NE119" s="13"/>
      <c r="NF119" s="13"/>
      <c r="NG119" s="13"/>
      <c r="NH119" s="13"/>
      <c r="NI119" s="13"/>
      <c r="NJ119" s="13"/>
      <c r="NK119" s="13"/>
      <c r="NL119" s="13"/>
      <c r="NM119" s="13"/>
      <c r="NN119" s="13"/>
      <c r="NO119" s="13"/>
      <c r="NP119" s="13"/>
      <c r="NQ119" s="13"/>
      <c r="NR119" s="13"/>
      <c r="NS119" s="13"/>
      <c r="NT119" s="13"/>
      <c r="NU119" s="13"/>
      <c r="NV119" s="13"/>
      <c r="NW119" s="13"/>
      <c r="NX119" s="13"/>
      <c r="NY119" s="13"/>
      <c r="NZ119" s="13"/>
      <c r="OA119" s="13"/>
      <c r="OB119" s="13"/>
      <c r="OC119" s="13"/>
      <c r="OD119" s="13"/>
      <c r="OE119" s="13"/>
      <c r="OF119" s="13"/>
      <c r="OG119" s="13"/>
      <c r="OH119" s="13"/>
      <c r="OI119" s="13"/>
      <c r="OJ119" s="13"/>
      <c r="OK119" s="13"/>
      <c r="OL119" s="13"/>
      <c r="OM119" s="13"/>
      <c r="ON119" s="13"/>
      <c r="OO119" s="13"/>
      <c r="OP119" s="13"/>
      <c r="OQ119" s="13"/>
      <c r="OR119" s="13"/>
      <c r="OS119" s="13"/>
      <c r="OT119" s="13"/>
      <c r="OU119" s="13"/>
      <c r="OV119" s="13"/>
      <c r="OW119" s="13"/>
      <c r="OX119" s="13"/>
      <c r="OY119" s="13"/>
      <c r="OZ119" s="13"/>
      <c r="PA119" s="13"/>
      <c r="PB119" s="13"/>
      <c r="PC119" s="13"/>
      <c r="PD119" s="13"/>
      <c r="PE119" s="13"/>
      <c r="PF119" s="13"/>
      <c r="PG119" s="13"/>
      <c r="PH119" s="13"/>
      <c r="PI119" s="13"/>
      <c r="PJ119" s="13"/>
      <c r="PK119" s="13"/>
      <c r="PL119" s="13"/>
      <c r="PM119" s="13"/>
      <c r="PN119" s="13"/>
      <c r="PO119" s="13"/>
      <c r="PP119" s="13"/>
      <c r="PQ119" s="13"/>
      <c r="PR119" s="13"/>
      <c r="PS119" s="13"/>
      <c r="PT119" s="13"/>
      <c r="PU119" s="13"/>
      <c r="PV119" s="13"/>
      <c r="PW119" s="13"/>
      <c r="PX119" s="13"/>
      <c r="PY119" s="13"/>
      <c r="PZ119" s="13"/>
      <c r="QA119" s="13"/>
    </row>
    <row r="120" spans="1:443" x14ac:dyDescent="0.3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6"/>
      <c r="R120" s="17" t="str">
        <f t="shared" si="6"/>
        <v/>
      </c>
      <c r="S120" s="17" t="str">
        <f t="shared" si="7"/>
        <v/>
      </c>
      <c r="T120" s="18" t="str">
        <f t="shared" si="8"/>
        <v/>
      </c>
      <c r="U120" s="15"/>
      <c r="V120" s="19" t="str">
        <f t="shared" si="10"/>
        <v/>
      </c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  <c r="DX120" s="13"/>
      <c r="DY120" s="13"/>
      <c r="DZ120" s="13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  <c r="JP120" s="13"/>
      <c r="JQ120" s="13"/>
      <c r="JR120" s="13"/>
      <c r="JS120" s="13"/>
      <c r="JT120" s="13"/>
      <c r="JU120" s="13"/>
      <c r="JV120" s="13"/>
      <c r="JW120" s="13"/>
      <c r="JX120" s="13"/>
      <c r="JY120" s="13"/>
      <c r="JZ120" s="13"/>
      <c r="KA120" s="13"/>
      <c r="KB120" s="13"/>
      <c r="KC120" s="13"/>
      <c r="KD120" s="13"/>
      <c r="KE120" s="13"/>
      <c r="KF120" s="13"/>
      <c r="KG120" s="13"/>
      <c r="KH120" s="13"/>
      <c r="KI120" s="13"/>
      <c r="KJ120" s="13"/>
      <c r="KK120" s="13"/>
      <c r="KL120" s="13"/>
      <c r="KM120" s="13"/>
      <c r="KN120" s="13"/>
      <c r="KO120" s="13"/>
      <c r="KP120" s="13"/>
      <c r="KQ120" s="13"/>
      <c r="KR120" s="13"/>
      <c r="KS120" s="13"/>
      <c r="KT120" s="13"/>
      <c r="KU120" s="13"/>
      <c r="KV120" s="13"/>
      <c r="KW120" s="13"/>
      <c r="KX120" s="13"/>
      <c r="KY120" s="13"/>
      <c r="KZ120" s="13"/>
      <c r="LA120" s="13"/>
      <c r="LB120" s="13"/>
      <c r="LC120" s="13"/>
      <c r="LD120" s="13"/>
      <c r="LE120" s="13"/>
      <c r="LF120" s="13"/>
      <c r="LG120" s="13"/>
      <c r="LH120" s="13"/>
      <c r="LI120" s="13"/>
      <c r="LJ120" s="13"/>
      <c r="LK120" s="13"/>
      <c r="LL120" s="13"/>
      <c r="LM120" s="13"/>
      <c r="LN120" s="13"/>
      <c r="LO120" s="13"/>
      <c r="LP120" s="13"/>
      <c r="LQ120" s="13"/>
      <c r="LR120" s="13"/>
      <c r="LS120" s="13"/>
      <c r="LT120" s="13"/>
      <c r="LU120" s="13"/>
      <c r="LV120" s="13"/>
      <c r="LW120" s="13"/>
      <c r="LX120" s="13"/>
      <c r="LY120" s="13"/>
      <c r="LZ120" s="13"/>
      <c r="MA120" s="13"/>
      <c r="MB120" s="13"/>
      <c r="MC120" s="13"/>
      <c r="MD120" s="13"/>
      <c r="ME120" s="13"/>
      <c r="MF120" s="13"/>
      <c r="MG120" s="13"/>
      <c r="MH120" s="13"/>
      <c r="MI120" s="13"/>
      <c r="MJ120" s="13"/>
      <c r="MK120" s="13"/>
      <c r="ML120" s="13"/>
      <c r="MM120" s="13"/>
      <c r="MN120" s="13"/>
      <c r="MO120" s="13"/>
      <c r="MP120" s="13"/>
      <c r="MQ120" s="13"/>
      <c r="MR120" s="13"/>
      <c r="MS120" s="13"/>
      <c r="MT120" s="13"/>
      <c r="MU120" s="13"/>
      <c r="MV120" s="13"/>
      <c r="MW120" s="13"/>
      <c r="MX120" s="13"/>
      <c r="MY120" s="13"/>
      <c r="MZ120" s="13"/>
      <c r="NA120" s="13"/>
      <c r="NB120" s="13"/>
      <c r="NC120" s="13"/>
      <c r="ND120" s="13"/>
      <c r="NE120" s="13"/>
      <c r="NF120" s="13"/>
      <c r="NG120" s="13"/>
      <c r="NH120" s="13"/>
      <c r="NI120" s="13"/>
      <c r="NJ120" s="13"/>
      <c r="NK120" s="13"/>
      <c r="NL120" s="13"/>
      <c r="NM120" s="13"/>
      <c r="NN120" s="13"/>
      <c r="NO120" s="13"/>
      <c r="NP120" s="13"/>
      <c r="NQ120" s="13"/>
      <c r="NR120" s="13"/>
      <c r="NS120" s="13"/>
      <c r="NT120" s="13"/>
      <c r="NU120" s="13"/>
      <c r="NV120" s="13"/>
      <c r="NW120" s="13"/>
      <c r="NX120" s="13"/>
      <c r="NY120" s="13"/>
      <c r="NZ120" s="13"/>
      <c r="OA120" s="13"/>
      <c r="OB120" s="13"/>
      <c r="OC120" s="13"/>
      <c r="OD120" s="13"/>
      <c r="OE120" s="13"/>
      <c r="OF120" s="13"/>
      <c r="OG120" s="13"/>
      <c r="OH120" s="13"/>
      <c r="OI120" s="13"/>
      <c r="OJ120" s="13"/>
      <c r="OK120" s="13"/>
      <c r="OL120" s="13"/>
      <c r="OM120" s="13"/>
      <c r="ON120" s="13"/>
      <c r="OO120" s="13"/>
      <c r="OP120" s="13"/>
      <c r="OQ120" s="13"/>
      <c r="OR120" s="13"/>
      <c r="OS120" s="13"/>
      <c r="OT120" s="13"/>
      <c r="OU120" s="13"/>
      <c r="OV120" s="13"/>
      <c r="OW120" s="13"/>
      <c r="OX120" s="13"/>
      <c r="OY120" s="13"/>
      <c r="OZ120" s="13"/>
      <c r="PA120" s="13"/>
      <c r="PB120" s="13"/>
      <c r="PC120" s="13"/>
      <c r="PD120" s="13"/>
      <c r="PE120" s="13"/>
      <c r="PF120" s="13"/>
      <c r="PG120" s="13"/>
      <c r="PH120" s="13"/>
      <c r="PI120" s="13"/>
      <c r="PJ120" s="13"/>
      <c r="PK120" s="13"/>
      <c r="PL120" s="13"/>
      <c r="PM120" s="13"/>
      <c r="PN120" s="13"/>
      <c r="PO120" s="13"/>
      <c r="PP120" s="13"/>
      <c r="PQ120" s="13"/>
      <c r="PR120" s="13"/>
      <c r="PS120" s="13"/>
      <c r="PT120" s="13"/>
      <c r="PU120" s="13"/>
      <c r="PV120" s="13"/>
      <c r="PW120" s="13"/>
      <c r="PX120" s="13"/>
      <c r="PY120" s="13"/>
      <c r="PZ120" s="13"/>
      <c r="QA120" s="13"/>
    </row>
    <row r="121" spans="1:443" x14ac:dyDescent="0.3">
      <c r="B121" s="15"/>
      <c r="C121" s="15"/>
      <c r="D121" s="15"/>
      <c r="E121" s="15"/>
      <c r="F121" s="31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6"/>
      <c r="R121" s="17" t="str">
        <f t="shared" si="6"/>
        <v/>
      </c>
      <c r="S121" s="17" t="str">
        <f t="shared" si="7"/>
        <v/>
      </c>
      <c r="T121" s="18" t="str">
        <f t="shared" si="8"/>
        <v/>
      </c>
      <c r="V121" s="19" t="str">
        <f t="shared" si="10"/>
        <v/>
      </c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  <c r="DX121" s="13"/>
      <c r="DY121" s="13"/>
      <c r="DZ121" s="13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  <c r="JP121" s="13"/>
      <c r="JQ121" s="13"/>
      <c r="JR121" s="13"/>
      <c r="JS121" s="13"/>
      <c r="JT121" s="13"/>
      <c r="JU121" s="13"/>
      <c r="JV121" s="13"/>
      <c r="JW121" s="13"/>
      <c r="JX121" s="13"/>
      <c r="JY121" s="13"/>
      <c r="JZ121" s="13"/>
      <c r="KA121" s="13"/>
      <c r="KB121" s="13"/>
      <c r="KC121" s="13"/>
      <c r="KD121" s="13"/>
      <c r="KE121" s="13"/>
      <c r="KF121" s="13"/>
      <c r="KG121" s="13"/>
      <c r="KH121" s="13"/>
      <c r="KI121" s="13"/>
      <c r="KJ121" s="13"/>
      <c r="KK121" s="13"/>
      <c r="KL121" s="13"/>
      <c r="KM121" s="13"/>
      <c r="KN121" s="13"/>
      <c r="KO121" s="13"/>
      <c r="KP121" s="13"/>
      <c r="KQ121" s="13"/>
      <c r="KR121" s="13"/>
      <c r="KS121" s="13"/>
      <c r="KT121" s="13"/>
      <c r="KU121" s="13"/>
      <c r="KV121" s="13"/>
      <c r="KW121" s="13"/>
      <c r="KX121" s="13"/>
      <c r="KY121" s="13"/>
      <c r="KZ121" s="13"/>
      <c r="LA121" s="13"/>
      <c r="LB121" s="13"/>
      <c r="LC121" s="13"/>
      <c r="LD121" s="13"/>
      <c r="LE121" s="13"/>
      <c r="LF121" s="13"/>
      <c r="LG121" s="13"/>
      <c r="LH121" s="13"/>
      <c r="LI121" s="13"/>
      <c r="LJ121" s="13"/>
      <c r="LK121" s="13"/>
      <c r="LL121" s="13"/>
      <c r="LM121" s="13"/>
      <c r="LN121" s="13"/>
      <c r="LO121" s="13"/>
      <c r="LP121" s="13"/>
      <c r="LQ121" s="13"/>
      <c r="LR121" s="13"/>
      <c r="LS121" s="13"/>
      <c r="LT121" s="13"/>
      <c r="LU121" s="13"/>
      <c r="LV121" s="13"/>
      <c r="LW121" s="13"/>
      <c r="LX121" s="13"/>
      <c r="LY121" s="13"/>
      <c r="LZ121" s="13"/>
      <c r="MA121" s="13"/>
      <c r="MB121" s="13"/>
      <c r="MC121" s="13"/>
      <c r="MD121" s="13"/>
      <c r="ME121" s="13"/>
      <c r="MF121" s="13"/>
      <c r="MG121" s="13"/>
      <c r="MH121" s="13"/>
      <c r="MI121" s="13"/>
      <c r="MJ121" s="13"/>
      <c r="MK121" s="13"/>
      <c r="ML121" s="13"/>
      <c r="MM121" s="13"/>
      <c r="MN121" s="13"/>
      <c r="MO121" s="13"/>
      <c r="MP121" s="13"/>
      <c r="MQ121" s="13"/>
      <c r="MR121" s="13"/>
      <c r="MS121" s="13"/>
      <c r="MT121" s="13"/>
      <c r="MU121" s="13"/>
      <c r="MV121" s="13"/>
      <c r="MW121" s="13"/>
      <c r="MX121" s="13"/>
      <c r="MY121" s="13"/>
      <c r="MZ121" s="13"/>
      <c r="NA121" s="13"/>
      <c r="NB121" s="13"/>
      <c r="NC121" s="13"/>
      <c r="ND121" s="13"/>
      <c r="NE121" s="13"/>
      <c r="NF121" s="13"/>
      <c r="NG121" s="13"/>
      <c r="NH121" s="13"/>
      <c r="NI121" s="13"/>
      <c r="NJ121" s="13"/>
      <c r="NK121" s="13"/>
      <c r="NL121" s="13"/>
      <c r="NM121" s="13"/>
      <c r="NN121" s="13"/>
      <c r="NO121" s="13"/>
      <c r="NP121" s="13"/>
      <c r="NQ121" s="13"/>
      <c r="NR121" s="13"/>
      <c r="NS121" s="13"/>
      <c r="NT121" s="13"/>
      <c r="NU121" s="13"/>
      <c r="NV121" s="13"/>
      <c r="NW121" s="13"/>
      <c r="NX121" s="13"/>
      <c r="NY121" s="13"/>
      <c r="NZ121" s="13"/>
      <c r="OA121" s="13"/>
      <c r="OB121" s="13"/>
      <c r="OC121" s="13"/>
      <c r="OD121" s="13"/>
      <c r="OE121" s="13"/>
      <c r="OF121" s="13"/>
      <c r="OG121" s="13"/>
      <c r="OH121" s="13"/>
      <c r="OI121" s="13"/>
      <c r="OJ121" s="13"/>
      <c r="OK121" s="13"/>
      <c r="OL121" s="13"/>
      <c r="OM121" s="13"/>
      <c r="ON121" s="13"/>
      <c r="OO121" s="13"/>
      <c r="OP121" s="13"/>
      <c r="OQ121" s="13"/>
      <c r="OR121" s="13"/>
      <c r="OS121" s="13"/>
      <c r="OT121" s="13"/>
      <c r="OU121" s="13"/>
      <c r="OV121" s="13"/>
      <c r="OW121" s="13"/>
      <c r="OX121" s="13"/>
      <c r="OY121" s="13"/>
      <c r="OZ121" s="13"/>
      <c r="PA121" s="13"/>
      <c r="PB121" s="13"/>
      <c r="PC121" s="13"/>
      <c r="PD121" s="13"/>
      <c r="PE121" s="13"/>
      <c r="PF121" s="13"/>
      <c r="PG121" s="13"/>
      <c r="PH121" s="13"/>
      <c r="PI121" s="13"/>
      <c r="PJ121" s="13"/>
      <c r="PK121" s="13"/>
      <c r="PL121" s="13"/>
      <c r="PM121" s="13"/>
      <c r="PN121" s="13"/>
      <c r="PO121" s="13"/>
      <c r="PP121" s="13"/>
      <c r="PQ121" s="13"/>
      <c r="PR121" s="13"/>
      <c r="PS121" s="13"/>
      <c r="PT121" s="13"/>
      <c r="PU121" s="13"/>
      <c r="PV121" s="13"/>
      <c r="PW121" s="13"/>
      <c r="PX121" s="13"/>
      <c r="PY121" s="13"/>
      <c r="PZ121" s="13"/>
      <c r="QA121" s="13"/>
    </row>
    <row r="122" spans="1:443" x14ac:dyDescent="0.3"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6"/>
      <c r="R122" s="17" t="str">
        <f t="shared" si="6"/>
        <v/>
      </c>
      <c r="S122" s="17" t="str">
        <f t="shared" si="7"/>
        <v/>
      </c>
      <c r="T122" s="18" t="str">
        <f t="shared" si="8"/>
        <v/>
      </c>
      <c r="U122" s="15"/>
      <c r="V122" s="19" t="str">
        <f t="shared" si="10"/>
        <v/>
      </c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  <c r="DX122" s="13"/>
      <c r="DY122" s="13"/>
      <c r="DZ122" s="13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  <c r="JP122" s="13"/>
      <c r="JQ122" s="13"/>
      <c r="JR122" s="13"/>
      <c r="JS122" s="13"/>
      <c r="JT122" s="13"/>
      <c r="JU122" s="13"/>
      <c r="JV122" s="13"/>
      <c r="JW122" s="13"/>
      <c r="JX122" s="13"/>
      <c r="JY122" s="13"/>
      <c r="JZ122" s="13"/>
      <c r="KA122" s="13"/>
      <c r="KB122" s="13"/>
      <c r="KC122" s="13"/>
      <c r="KD122" s="13"/>
      <c r="KE122" s="13"/>
      <c r="KF122" s="13"/>
      <c r="KG122" s="13"/>
      <c r="KH122" s="13"/>
      <c r="KI122" s="13"/>
      <c r="KJ122" s="13"/>
      <c r="KK122" s="13"/>
      <c r="KL122" s="13"/>
      <c r="KM122" s="13"/>
      <c r="KN122" s="13"/>
      <c r="KO122" s="13"/>
      <c r="KP122" s="13"/>
      <c r="KQ122" s="13"/>
      <c r="KR122" s="13"/>
      <c r="KS122" s="13"/>
      <c r="KT122" s="13"/>
      <c r="KU122" s="13"/>
      <c r="KV122" s="13"/>
      <c r="KW122" s="13"/>
      <c r="KX122" s="13"/>
      <c r="KY122" s="13"/>
      <c r="KZ122" s="13"/>
      <c r="LA122" s="13"/>
      <c r="LB122" s="13"/>
      <c r="LC122" s="13"/>
      <c r="LD122" s="13"/>
      <c r="LE122" s="13"/>
      <c r="LF122" s="13"/>
      <c r="LG122" s="13"/>
      <c r="LH122" s="13"/>
      <c r="LI122" s="13"/>
      <c r="LJ122" s="13"/>
      <c r="LK122" s="13"/>
      <c r="LL122" s="13"/>
      <c r="LM122" s="13"/>
      <c r="LN122" s="13"/>
      <c r="LO122" s="13"/>
      <c r="LP122" s="13"/>
      <c r="LQ122" s="13"/>
      <c r="LR122" s="13"/>
      <c r="LS122" s="13"/>
      <c r="LT122" s="13"/>
      <c r="LU122" s="13"/>
      <c r="LV122" s="13"/>
      <c r="LW122" s="13"/>
      <c r="LX122" s="13"/>
      <c r="LY122" s="13"/>
      <c r="LZ122" s="13"/>
      <c r="MA122" s="13"/>
      <c r="MB122" s="13"/>
      <c r="MC122" s="13"/>
      <c r="MD122" s="13"/>
      <c r="ME122" s="13"/>
      <c r="MF122" s="13"/>
      <c r="MG122" s="13"/>
      <c r="MH122" s="13"/>
      <c r="MI122" s="13"/>
      <c r="MJ122" s="13"/>
      <c r="MK122" s="13"/>
      <c r="ML122" s="13"/>
      <c r="MM122" s="13"/>
      <c r="MN122" s="13"/>
      <c r="MO122" s="13"/>
      <c r="MP122" s="13"/>
      <c r="MQ122" s="13"/>
      <c r="MR122" s="13"/>
      <c r="MS122" s="13"/>
      <c r="MT122" s="13"/>
      <c r="MU122" s="13"/>
      <c r="MV122" s="13"/>
      <c r="MW122" s="13"/>
      <c r="MX122" s="13"/>
      <c r="MY122" s="13"/>
      <c r="MZ122" s="13"/>
      <c r="NA122" s="13"/>
      <c r="NB122" s="13"/>
      <c r="NC122" s="13"/>
      <c r="ND122" s="13"/>
      <c r="NE122" s="13"/>
      <c r="NF122" s="13"/>
      <c r="NG122" s="13"/>
      <c r="NH122" s="13"/>
      <c r="NI122" s="13"/>
      <c r="NJ122" s="13"/>
      <c r="NK122" s="13"/>
      <c r="NL122" s="13"/>
      <c r="NM122" s="13"/>
      <c r="NN122" s="13"/>
      <c r="NO122" s="13"/>
      <c r="NP122" s="13"/>
      <c r="NQ122" s="13"/>
      <c r="NR122" s="13"/>
      <c r="NS122" s="13"/>
      <c r="NT122" s="13"/>
      <c r="NU122" s="13"/>
      <c r="NV122" s="13"/>
      <c r="NW122" s="13"/>
      <c r="NX122" s="13"/>
      <c r="NY122" s="13"/>
      <c r="NZ122" s="13"/>
      <c r="OA122" s="13"/>
      <c r="OB122" s="13"/>
      <c r="OC122" s="13"/>
      <c r="OD122" s="13"/>
      <c r="OE122" s="13"/>
      <c r="OF122" s="13"/>
      <c r="OG122" s="13"/>
      <c r="OH122" s="13"/>
      <c r="OI122" s="13"/>
      <c r="OJ122" s="13"/>
      <c r="OK122" s="13"/>
      <c r="OL122" s="13"/>
      <c r="OM122" s="13"/>
      <c r="ON122" s="13"/>
      <c r="OO122" s="13"/>
      <c r="OP122" s="13"/>
      <c r="OQ122" s="13"/>
      <c r="OR122" s="13"/>
      <c r="OS122" s="13"/>
      <c r="OT122" s="13"/>
      <c r="OU122" s="13"/>
      <c r="OV122" s="13"/>
      <c r="OW122" s="13"/>
      <c r="OX122" s="13"/>
      <c r="OY122" s="13"/>
      <c r="OZ122" s="13"/>
      <c r="PA122" s="13"/>
      <c r="PB122" s="13"/>
      <c r="PC122" s="13"/>
      <c r="PD122" s="13"/>
      <c r="PE122" s="13"/>
      <c r="PF122" s="13"/>
      <c r="PG122" s="13"/>
      <c r="PH122" s="13"/>
      <c r="PI122" s="13"/>
      <c r="PJ122" s="13"/>
      <c r="PK122" s="13"/>
      <c r="PL122" s="13"/>
      <c r="PM122" s="13"/>
      <c r="PN122" s="13"/>
      <c r="PO122" s="13"/>
      <c r="PP122" s="13"/>
      <c r="PQ122" s="13"/>
      <c r="PR122" s="13"/>
      <c r="PS122" s="13"/>
      <c r="PT122" s="13"/>
      <c r="PU122" s="13"/>
      <c r="PV122" s="13"/>
      <c r="PW122" s="13"/>
      <c r="PX122" s="13"/>
      <c r="PY122" s="13"/>
      <c r="PZ122" s="13"/>
      <c r="QA122" s="13"/>
    </row>
    <row r="123" spans="1:443" x14ac:dyDescent="0.3"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6"/>
      <c r="R123" s="17" t="str">
        <f t="shared" si="6"/>
        <v/>
      </c>
      <c r="S123" s="17" t="str">
        <f t="shared" si="7"/>
        <v/>
      </c>
      <c r="T123" s="18" t="str">
        <f t="shared" si="8"/>
        <v/>
      </c>
      <c r="U123" s="15"/>
      <c r="V123" s="19" t="str">
        <f t="shared" si="10"/>
        <v/>
      </c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  <c r="DX123" s="13"/>
      <c r="DY123" s="13"/>
      <c r="DZ123" s="13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  <c r="JP123" s="13"/>
      <c r="JQ123" s="13"/>
      <c r="JR123" s="13"/>
      <c r="JS123" s="13"/>
      <c r="JT123" s="13"/>
      <c r="JU123" s="13"/>
      <c r="JV123" s="13"/>
      <c r="JW123" s="13"/>
      <c r="JX123" s="13"/>
      <c r="JY123" s="13"/>
      <c r="JZ123" s="13"/>
      <c r="KA123" s="13"/>
      <c r="KB123" s="13"/>
      <c r="KC123" s="13"/>
      <c r="KD123" s="13"/>
      <c r="KE123" s="13"/>
      <c r="KF123" s="13"/>
      <c r="KG123" s="13"/>
      <c r="KH123" s="13"/>
      <c r="KI123" s="13"/>
      <c r="KJ123" s="13"/>
      <c r="KK123" s="13"/>
      <c r="KL123" s="13"/>
      <c r="KM123" s="13"/>
      <c r="KN123" s="13"/>
      <c r="KO123" s="13"/>
      <c r="KP123" s="13"/>
      <c r="KQ123" s="13"/>
      <c r="KR123" s="13"/>
      <c r="KS123" s="13"/>
      <c r="KT123" s="13"/>
      <c r="KU123" s="13"/>
      <c r="KV123" s="13"/>
      <c r="KW123" s="13"/>
      <c r="KX123" s="13"/>
      <c r="KY123" s="13"/>
      <c r="KZ123" s="13"/>
      <c r="LA123" s="13"/>
      <c r="LB123" s="13"/>
      <c r="LC123" s="13"/>
      <c r="LD123" s="13"/>
      <c r="LE123" s="13"/>
      <c r="LF123" s="13"/>
      <c r="LG123" s="13"/>
      <c r="LH123" s="13"/>
      <c r="LI123" s="13"/>
      <c r="LJ123" s="13"/>
      <c r="LK123" s="13"/>
      <c r="LL123" s="13"/>
      <c r="LM123" s="13"/>
      <c r="LN123" s="13"/>
      <c r="LO123" s="13"/>
      <c r="LP123" s="13"/>
      <c r="LQ123" s="13"/>
      <c r="LR123" s="13"/>
      <c r="LS123" s="13"/>
      <c r="LT123" s="13"/>
      <c r="LU123" s="13"/>
      <c r="LV123" s="13"/>
      <c r="LW123" s="13"/>
      <c r="LX123" s="13"/>
      <c r="LY123" s="13"/>
      <c r="LZ123" s="13"/>
      <c r="MA123" s="13"/>
      <c r="MB123" s="13"/>
      <c r="MC123" s="13"/>
      <c r="MD123" s="13"/>
      <c r="ME123" s="13"/>
      <c r="MF123" s="13"/>
      <c r="MG123" s="13"/>
      <c r="MH123" s="13"/>
      <c r="MI123" s="13"/>
      <c r="MJ123" s="13"/>
      <c r="MK123" s="13"/>
      <c r="ML123" s="13"/>
      <c r="MM123" s="13"/>
      <c r="MN123" s="13"/>
      <c r="MO123" s="13"/>
      <c r="MP123" s="13"/>
      <c r="MQ123" s="13"/>
      <c r="MR123" s="13"/>
      <c r="MS123" s="13"/>
      <c r="MT123" s="13"/>
      <c r="MU123" s="13"/>
      <c r="MV123" s="13"/>
      <c r="MW123" s="13"/>
      <c r="MX123" s="13"/>
      <c r="MY123" s="13"/>
      <c r="MZ123" s="13"/>
      <c r="NA123" s="13"/>
      <c r="NB123" s="13"/>
      <c r="NC123" s="13"/>
      <c r="ND123" s="13"/>
      <c r="NE123" s="13"/>
      <c r="NF123" s="13"/>
      <c r="NG123" s="13"/>
      <c r="NH123" s="13"/>
      <c r="NI123" s="13"/>
      <c r="NJ123" s="13"/>
      <c r="NK123" s="13"/>
      <c r="NL123" s="13"/>
      <c r="NM123" s="13"/>
      <c r="NN123" s="13"/>
      <c r="NO123" s="13"/>
      <c r="NP123" s="13"/>
      <c r="NQ123" s="13"/>
      <c r="NR123" s="13"/>
      <c r="NS123" s="13"/>
      <c r="NT123" s="13"/>
      <c r="NU123" s="13"/>
      <c r="NV123" s="13"/>
      <c r="NW123" s="13"/>
      <c r="NX123" s="13"/>
      <c r="NY123" s="13"/>
      <c r="NZ123" s="13"/>
      <c r="OA123" s="13"/>
      <c r="OB123" s="13"/>
      <c r="OC123" s="13"/>
      <c r="OD123" s="13"/>
      <c r="OE123" s="13"/>
      <c r="OF123" s="13"/>
      <c r="OG123" s="13"/>
      <c r="OH123" s="13"/>
      <c r="OI123" s="13"/>
      <c r="OJ123" s="13"/>
      <c r="OK123" s="13"/>
      <c r="OL123" s="13"/>
      <c r="OM123" s="13"/>
      <c r="ON123" s="13"/>
      <c r="OO123" s="13"/>
      <c r="OP123" s="13"/>
      <c r="OQ123" s="13"/>
      <c r="OR123" s="13"/>
      <c r="OS123" s="13"/>
      <c r="OT123" s="13"/>
      <c r="OU123" s="13"/>
      <c r="OV123" s="13"/>
      <c r="OW123" s="13"/>
      <c r="OX123" s="13"/>
      <c r="OY123" s="13"/>
      <c r="OZ123" s="13"/>
      <c r="PA123" s="13"/>
      <c r="PB123" s="13"/>
      <c r="PC123" s="13"/>
      <c r="PD123" s="13"/>
      <c r="PE123" s="13"/>
      <c r="PF123" s="13"/>
      <c r="PG123" s="13"/>
      <c r="PH123" s="13"/>
      <c r="PI123" s="13"/>
      <c r="PJ123" s="13"/>
      <c r="PK123" s="13"/>
      <c r="PL123" s="13"/>
      <c r="PM123" s="13"/>
      <c r="PN123" s="13"/>
      <c r="PO123" s="13"/>
      <c r="PP123" s="13"/>
      <c r="PQ123" s="13"/>
      <c r="PR123" s="13"/>
      <c r="PS123" s="13"/>
      <c r="PT123" s="13"/>
      <c r="PU123" s="13"/>
      <c r="PV123" s="13"/>
      <c r="PW123" s="13"/>
      <c r="PX123" s="13"/>
      <c r="PY123" s="13"/>
      <c r="PZ123" s="13"/>
      <c r="QA123" s="13"/>
    </row>
    <row r="124" spans="1:443" x14ac:dyDescent="0.3"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6"/>
      <c r="R124" s="17" t="str">
        <f t="shared" si="6"/>
        <v/>
      </c>
      <c r="S124" s="17" t="str">
        <f t="shared" si="7"/>
        <v/>
      </c>
      <c r="T124" s="18" t="str">
        <f t="shared" si="8"/>
        <v/>
      </c>
      <c r="U124" s="15"/>
      <c r="V124" s="19" t="str">
        <f t="shared" si="10"/>
        <v/>
      </c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3"/>
      <c r="DI124" s="13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3"/>
      <c r="DU124" s="13"/>
      <c r="DV124" s="13"/>
      <c r="DW124" s="13"/>
      <c r="DX124" s="13"/>
      <c r="DY124" s="13"/>
      <c r="DZ124" s="13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  <c r="JP124" s="13"/>
      <c r="JQ124" s="13"/>
      <c r="JR124" s="13"/>
      <c r="JS124" s="13"/>
      <c r="JT124" s="13"/>
      <c r="JU124" s="13"/>
      <c r="JV124" s="13"/>
      <c r="JW124" s="13"/>
      <c r="JX124" s="13"/>
      <c r="JY124" s="13"/>
      <c r="JZ124" s="13"/>
      <c r="KA124" s="13"/>
      <c r="KB124" s="13"/>
      <c r="KC124" s="13"/>
      <c r="KD124" s="13"/>
      <c r="KE124" s="13"/>
      <c r="KF124" s="13"/>
      <c r="KG124" s="13"/>
      <c r="KH124" s="13"/>
      <c r="KI124" s="13"/>
      <c r="KJ124" s="13"/>
      <c r="KK124" s="13"/>
      <c r="KL124" s="13"/>
      <c r="KM124" s="13"/>
      <c r="KN124" s="13"/>
      <c r="KO124" s="13"/>
      <c r="KP124" s="13"/>
      <c r="KQ124" s="13"/>
      <c r="KR124" s="13"/>
      <c r="KS124" s="13"/>
      <c r="KT124" s="13"/>
      <c r="KU124" s="13"/>
      <c r="KV124" s="13"/>
      <c r="KW124" s="13"/>
      <c r="KX124" s="13"/>
      <c r="KY124" s="13"/>
      <c r="KZ124" s="13"/>
      <c r="LA124" s="13"/>
      <c r="LB124" s="13"/>
      <c r="LC124" s="13"/>
      <c r="LD124" s="13"/>
      <c r="LE124" s="13"/>
      <c r="LF124" s="13"/>
      <c r="LG124" s="13"/>
      <c r="LH124" s="13"/>
      <c r="LI124" s="13"/>
      <c r="LJ124" s="13"/>
      <c r="LK124" s="13"/>
      <c r="LL124" s="13"/>
      <c r="LM124" s="13"/>
      <c r="LN124" s="13"/>
      <c r="LO124" s="13"/>
      <c r="LP124" s="13"/>
      <c r="LQ124" s="13"/>
      <c r="LR124" s="13"/>
      <c r="LS124" s="13"/>
      <c r="LT124" s="13"/>
      <c r="LU124" s="13"/>
      <c r="LV124" s="13"/>
      <c r="LW124" s="13"/>
      <c r="LX124" s="13"/>
      <c r="LY124" s="13"/>
      <c r="LZ124" s="13"/>
      <c r="MA124" s="13"/>
      <c r="MB124" s="13"/>
      <c r="MC124" s="13"/>
      <c r="MD124" s="13"/>
      <c r="ME124" s="13"/>
      <c r="MF124" s="13"/>
      <c r="MG124" s="13"/>
      <c r="MH124" s="13"/>
      <c r="MI124" s="13"/>
      <c r="MJ124" s="13"/>
      <c r="MK124" s="13"/>
      <c r="ML124" s="13"/>
      <c r="MM124" s="13"/>
      <c r="MN124" s="13"/>
      <c r="MO124" s="13"/>
      <c r="MP124" s="13"/>
      <c r="MQ124" s="13"/>
      <c r="MR124" s="13"/>
      <c r="MS124" s="13"/>
      <c r="MT124" s="13"/>
      <c r="MU124" s="13"/>
      <c r="MV124" s="13"/>
      <c r="MW124" s="13"/>
      <c r="MX124" s="13"/>
      <c r="MY124" s="13"/>
      <c r="MZ124" s="13"/>
      <c r="NA124" s="13"/>
      <c r="NB124" s="13"/>
      <c r="NC124" s="13"/>
      <c r="ND124" s="13"/>
      <c r="NE124" s="13"/>
      <c r="NF124" s="13"/>
      <c r="NG124" s="13"/>
      <c r="NH124" s="13"/>
      <c r="NI124" s="13"/>
      <c r="NJ124" s="13"/>
      <c r="NK124" s="13"/>
      <c r="NL124" s="13"/>
      <c r="NM124" s="13"/>
      <c r="NN124" s="13"/>
      <c r="NO124" s="13"/>
      <c r="NP124" s="13"/>
      <c r="NQ124" s="13"/>
      <c r="NR124" s="13"/>
      <c r="NS124" s="13"/>
      <c r="NT124" s="13"/>
      <c r="NU124" s="13"/>
      <c r="NV124" s="13"/>
      <c r="NW124" s="13"/>
      <c r="NX124" s="13"/>
      <c r="NY124" s="13"/>
      <c r="NZ124" s="13"/>
      <c r="OA124" s="13"/>
      <c r="OB124" s="13"/>
      <c r="OC124" s="13"/>
      <c r="OD124" s="13"/>
      <c r="OE124" s="13"/>
      <c r="OF124" s="13"/>
      <c r="OG124" s="13"/>
      <c r="OH124" s="13"/>
      <c r="OI124" s="13"/>
      <c r="OJ124" s="13"/>
      <c r="OK124" s="13"/>
      <c r="OL124" s="13"/>
      <c r="OM124" s="13"/>
      <c r="ON124" s="13"/>
      <c r="OO124" s="13"/>
      <c r="OP124" s="13"/>
      <c r="OQ124" s="13"/>
      <c r="OR124" s="13"/>
      <c r="OS124" s="13"/>
      <c r="OT124" s="13"/>
      <c r="OU124" s="13"/>
      <c r="OV124" s="13"/>
      <c r="OW124" s="13"/>
      <c r="OX124" s="13"/>
      <c r="OY124" s="13"/>
      <c r="OZ124" s="13"/>
      <c r="PA124" s="13"/>
      <c r="PB124" s="13"/>
      <c r="PC124" s="13"/>
      <c r="PD124" s="13"/>
      <c r="PE124" s="13"/>
      <c r="PF124" s="13"/>
      <c r="PG124" s="13"/>
      <c r="PH124" s="13"/>
      <c r="PI124" s="13"/>
      <c r="PJ124" s="13"/>
      <c r="PK124" s="13"/>
      <c r="PL124" s="13"/>
      <c r="PM124" s="13"/>
      <c r="PN124" s="13"/>
      <c r="PO124" s="13"/>
      <c r="PP124" s="13"/>
      <c r="PQ124" s="13"/>
      <c r="PR124" s="13"/>
      <c r="PS124" s="13"/>
      <c r="PT124" s="13"/>
      <c r="PU124" s="13"/>
      <c r="PV124" s="13"/>
      <c r="PW124" s="13"/>
      <c r="PX124" s="13"/>
      <c r="PY124" s="13"/>
      <c r="PZ124" s="13"/>
      <c r="QA124" s="13"/>
    </row>
    <row r="125" spans="1:443" x14ac:dyDescent="0.3"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6"/>
      <c r="R125" s="17" t="str">
        <f t="shared" si="6"/>
        <v/>
      </c>
      <c r="S125" s="17" t="str">
        <f t="shared" si="7"/>
        <v/>
      </c>
      <c r="T125" s="18" t="str">
        <f t="shared" si="8"/>
        <v/>
      </c>
      <c r="U125" s="15"/>
      <c r="V125" s="19" t="str">
        <f t="shared" si="10"/>
        <v/>
      </c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3"/>
      <c r="DU125" s="13"/>
      <c r="DV125" s="13"/>
      <c r="DW125" s="13"/>
      <c r="DX125" s="13"/>
      <c r="DY125" s="13"/>
      <c r="DZ125" s="13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  <c r="JP125" s="13"/>
      <c r="JQ125" s="13"/>
      <c r="JR125" s="13"/>
      <c r="JS125" s="13"/>
      <c r="JT125" s="13"/>
      <c r="JU125" s="13"/>
      <c r="JV125" s="13"/>
      <c r="JW125" s="13"/>
      <c r="JX125" s="13"/>
      <c r="JY125" s="13"/>
      <c r="JZ125" s="13"/>
      <c r="KA125" s="13"/>
      <c r="KB125" s="13"/>
      <c r="KC125" s="13"/>
      <c r="KD125" s="13"/>
      <c r="KE125" s="13"/>
      <c r="KF125" s="13"/>
      <c r="KG125" s="13"/>
      <c r="KH125" s="13"/>
      <c r="KI125" s="13"/>
      <c r="KJ125" s="13"/>
      <c r="KK125" s="13"/>
      <c r="KL125" s="13"/>
      <c r="KM125" s="13"/>
      <c r="KN125" s="13"/>
      <c r="KO125" s="13"/>
      <c r="KP125" s="13"/>
      <c r="KQ125" s="13"/>
      <c r="KR125" s="13"/>
      <c r="KS125" s="13"/>
      <c r="KT125" s="13"/>
      <c r="KU125" s="13"/>
      <c r="KV125" s="13"/>
      <c r="KW125" s="13"/>
      <c r="KX125" s="13"/>
      <c r="KY125" s="13"/>
      <c r="KZ125" s="13"/>
      <c r="LA125" s="13"/>
      <c r="LB125" s="13"/>
      <c r="LC125" s="13"/>
      <c r="LD125" s="13"/>
      <c r="LE125" s="13"/>
      <c r="LF125" s="13"/>
      <c r="LG125" s="13"/>
      <c r="LH125" s="13"/>
      <c r="LI125" s="13"/>
      <c r="LJ125" s="13"/>
      <c r="LK125" s="13"/>
      <c r="LL125" s="13"/>
      <c r="LM125" s="13"/>
      <c r="LN125" s="13"/>
      <c r="LO125" s="13"/>
      <c r="LP125" s="13"/>
      <c r="LQ125" s="13"/>
      <c r="LR125" s="13"/>
      <c r="LS125" s="13"/>
      <c r="LT125" s="13"/>
      <c r="LU125" s="13"/>
      <c r="LV125" s="13"/>
      <c r="LW125" s="13"/>
      <c r="LX125" s="13"/>
      <c r="LY125" s="13"/>
      <c r="LZ125" s="13"/>
      <c r="MA125" s="13"/>
      <c r="MB125" s="13"/>
      <c r="MC125" s="13"/>
      <c r="MD125" s="13"/>
      <c r="ME125" s="13"/>
      <c r="MF125" s="13"/>
      <c r="MG125" s="13"/>
      <c r="MH125" s="13"/>
      <c r="MI125" s="13"/>
      <c r="MJ125" s="13"/>
      <c r="MK125" s="13"/>
      <c r="ML125" s="13"/>
      <c r="MM125" s="13"/>
      <c r="MN125" s="13"/>
      <c r="MO125" s="13"/>
      <c r="MP125" s="13"/>
      <c r="MQ125" s="13"/>
      <c r="MR125" s="13"/>
      <c r="MS125" s="13"/>
      <c r="MT125" s="13"/>
      <c r="MU125" s="13"/>
      <c r="MV125" s="13"/>
      <c r="MW125" s="13"/>
      <c r="MX125" s="13"/>
      <c r="MY125" s="13"/>
      <c r="MZ125" s="13"/>
      <c r="NA125" s="13"/>
      <c r="NB125" s="13"/>
      <c r="NC125" s="13"/>
      <c r="ND125" s="13"/>
      <c r="NE125" s="13"/>
      <c r="NF125" s="13"/>
      <c r="NG125" s="13"/>
      <c r="NH125" s="13"/>
      <c r="NI125" s="13"/>
      <c r="NJ125" s="13"/>
      <c r="NK125" s="13"/>
      <c r="NL125" s="13"/>
      <c r="NM125" s="13"/>
      <c r="NN125" s="13"/>
      <c r="NO125" s="13"/>
      <c r="NP125" s="13"/>
      <c r="NQ125" s="13"/>
      <c r="NR125" s="13"/>
      <c r="NS125" s="13"/>
      <c r="NT125" s="13"/>
      <c r="NU125" s="13"/>
      <c r="NV125" s="13"/>
      <c r="NW125" s="13"/>
      <c r="NX125" s="13"/>
      <c r="NY125" s="13"/>
      <c r="NZ125" s="13"/>
      <c r="OA125" s="13"/>
      <c r="OB125" s="13"/>
      <c r="OC125" s="13"/>
      <c r="OD125" s="13"/>
      <c r="OE125" s="13"/>
      <c r="OF125" s="13"/>
      <c r="OG125" s="13"/>
      <c r="OH125" s="13"/>
      <c r="OI125" s="13"/>
      <c r="OJ125" s="13"/>
      <c r="OK125" s="13"/>
      <c r="OL125" s="13"/>
      <c r="OM125" s="13"/>
      <c r="ON125" s="13"/>
      <c r="OO125" s="13"/>
      <c r="OP125" s="13"/>
      <c r="OQ125" s="13"/>
      <c r="OR125" s="13"/>
      <c r="OS125" s="13"/>
      <c r="OT125" s="13"/>
      <c r="OU125" s="13"/>
      <c r="OV125" s="13"/>
      <c r="OW125" s="13"/>
      <c r="OX125" s="13"/>
      <c r="OY125" s="13"/>
      <c r="OZ125" s="13"/>
      <c r="PA125" s="13"/>
      <c r="PB125" s="13"/>
      <c r="PC125" s="13"/>
      <c r="PD125" s="13"/>
      <c r="PE125" s="13"/>
      <c r="PF125" s="13"/>
      <c r="PG125" s="13"/>
      <c r="PH125" s="13"/>
      <c r="PI125" s="13"/>
      <c r="PJ125" s="13"/>
      <c r="PK125" s="13"/>
      <c r="PL125" s="13"/>
      <c r="PM125" s="13"/>
      <c r="PN125" s="13"/>
      <c r="PO125" s="13"/>
      <c r="PP125" s="13"/>
      <c r="PQ125" s="13"/>
      <c r="PR125" s="13"/>
      <c r="PS125" s="13"/>
      <c r="PT125" s="13"/>
      <c r="PU125" s="13"/>
      <c r="PV125" s="13"/>
      <c r="PW125" s="13"/>
      <c r="PX125" s="13"/>
      <c r="PY125" s="13"/>
      <c r="PZ125" s="13"/>
      <c r="QA125" s="13"/>
    </row>
    <row r="126" spans="1:443" s="23" customFormat="1" x14ac:dyDescent="0.3">
      <c r="A126" s="14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6"/>
      <c r="R126" s="17" t="str">
        <f t="shared" si="6"/>
        <v/>
      </c>
      <c r="S126" s="17" t="str">
        <f t="shared" si="7"/>
        <v/>
      </c>
      <c r="T126" s="18" t="str">
        <f t="shared" si="8"/>
        <v/>
      </c>
      <c r="U126" s="15"/>
      <c r="V126" s="19" t="str">
        <f t="shared" si="10"/>
        <v/>
      </c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3"/>
      <c r="DU126" s="13"/>
      <c r="DV126" s="13"/>
      <c r="DW126" s="13"/>
      <c r="DX126" s="13"/>
      <c r="DY126" s="13"/>
      <c r="DZ126" s="13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  <c r="JP126" s="13"/>
      <c r="JQ126" s="13"/>
      <c r="JR126" s="13"/>
      <c r="JS126" s="13"/>
      <c r="JT126" s="13"/>
      <c r="JU126" s="13"/>
      <c r="JV126" s="13"/>
      <c r="JW126" s="13"/>
      <c r="JX126" s="13"/>
      <c r="JY126" s="13"/>
      <c r="JZ126" s="13"/>
      <c r="KA126" s="13"/>
      <c r="KB126" s="13"/>
      <c r="KC126" s="13"/>
      <c r="KD126" s="13"/>
      <c r="KE126" s="13"/>
      <c r="KF126" s="13"/>
      <c r="KG126" s="13"/>
      <c r="KH126" s="13"/>
      <c r="KI126" s="13"/>
      <c r="KJ126" s="13"/>
      <c r="KK126" s="13"/>
      <c r="KL126" s="13"/>
      <c r="KM126" s="13"/>
      <c r="KN126" s="13"/>
      <c r="KO126" s="13"/>
      <c r="KP126" s="13"/>
      <c r="KQ126" s="13"/>
      <c r="KR126" s="13"/>
      <c r="KS126" s="13"/>
      <c r="KT126" s="13"/>
      <c r="KU126" s="13"/>
      <c r="KV126" s="13"/>
      <c r="KW126" s="13"/>
      <c r="KX126" s="13"/>
      <c r="KY126" s="13"/>
      <c r="KZ126" s="13"/>
      <c r="LA126" s="13"/>
      <c r="LB126" s="13"/>
      <c r="LC126" s="13"/>
      <c r="LD126" s="13"/>
      <c r="LE126" s="13"/>
      <c r="LF126" s="13"/>
      <c r="LG126" s="13"/>
      <c r="LH126" s="13"/>
      <c r="LI126" s="13"/>
      <c r="LJ126" s="13"/>
      <c r="LK126" s="13"/>
      <c r="LL126" s="13"/>
      <c r="LM126" s="13"/>
      <c r="LN126" s="13"/>
      <c r="LO126" s="13"/>
      <c r="LP126" s="13"/>
      <c r="LQ126" s="13"/>
      <c r="LR126" s="13"/>
      <c r="LS126" s="13"/>
      <c r="LT126" s="13"/>
      <c r="LU126" s="13"/>
      <c r="LV126" s="13"/>
      <c r="LW126" s="13"/>
      <c r="LX126" s="13"/>
      <c r="LY126" s="13"/>
      <c r="LZ126" s="13"/>
      <c r="MA126" s="13"/>
      <c r="MB126" s="13"/>
      <c r="MC126" s="13"/>
      <c r="MD126" s="13"/>
      <c r="ME126" s="13"/>
      <c r="MF126" s="13"/>
      <c r="MG126" s="13"/>
      <c r="MH126" s="13"/>
      <c r="MI126" s="13"/>
      <c r="MJ126" s="13"/>
      <c r="MK126" s="13"/>
      <c r="ML126" s="13"/>
      <c r="MM126" s="13"/>
      <c r="MN126" s="13"/>
      <c r="MO126" s="13"/>
      <c r="MP126" s="13"/>
      <c r="MQ126" s="13"/>
      <c r="MR126" s="13"/>
      <c r="MS126" s="13"/>
      <c r="MT126" s="13"/>
      <c r="MU126" s="13"/>
      <c r="MV126" s="13"/>
      <c r="MW126" s="13"/>
      <c r="MX126" s="13"/>
      <c r="MY126" s="13"/>
      <c r="MZ126" s="13"/>
      <c r="NA126" s="13"/>
      <c r="NB126" s="13"/>
      <c r="NC126" s="13"/>
      <c r="ND126" s="13"/>
      <c r="NE126" s="13"/>
      <c r="NF126" s="13"/>
      <c r="NG126" s="13"/>
      <c r="NH126" s="13"/>
      <c r="NI126" s="13"/>
      <c r="NJ126" s="13"/>
      <c r="NK126" s="13"/>
      <c r="NL126" s="13"/>
      <c r="NM126" s="13"/>
      <c r="NN126" s="13"/>
      <c r="NO126" s="13"/>
      <c r="NP126" s="13"/>
      <c r="NQ126" s="13"/>
      <c r="NR126" s="13"/>
      <c r="NS126" s="13"/>
      <c r="NT126" s="13"/>
      <c r="NU126" s="13"/>
      <c r="NV126" s="13"/>
      <c r="NW126" s="13"/>
      <c r="NX126" s="13"/>
      <c r="NY126" s="13"/>
      <c r="NZ126" s="13"/>
      <c r="OA126" s="13"/>
      <c r="OB126" s="13"/>
      <c r="OC126" s="13"/>
      <c r="OD126" s="13"/>
      <c r="OE126" s="13"/>
      <c r="OF126" s="13"/>
      <c r="OG126" s="13"/>
      <c r="OH126" s="13"/>
      <c r="OI126" s="13"/>
      <c r="OJ126" s="13"/>
      <c r="OK126" s="13"/>
      <c r="OL126" s="13"/>
      <c r="OM126" s="13"/>
      <c r="ON126" s="13"/>
      <c r="OO126" s="13"/>
      <c r="OP126" s="13"/>
      <c r="OQ126" s="13"/>
      <c r="OR126" s="13"/>
      <c r="OS126" s="13"/>
      <c r="OT126" s="13"/>
      <c r="OU126" s="13"/>
      <c r="OV126" s="13"/>
      <c r="OW126" s="13"/>
      <c r="OX126" s="13"/>
      <c r="OY126" s="13"/>
      <c r="OZ126" s="13"/>
      <c r="PA126" s="13"/>
      <c r="PB126" s="13"/>
      <c r="PC126" s="13"/>
      <c r="PD126" s="13"/>
      <c r="PE126" s="13"/>
      <c r="PF126" s="13"/>
      <c r="PG126" s="13"/>
      <c r="PH126" s="13"/>
      <c r="PI126" s="13"/>
      <c r="PJ126" s="13"/>
      <c r="PK126" s="13"/>
      <c r="PL126" s="13"/>
      <c r="PM126" s="13"/>
      <c r="PN126" s="13"/>
      <c r="PO126" s="13"/>
      <c r="PP126" s="13"/>
      <c r="PQ126" s="13"/>
      <c r="PR126" s="13"/>
      <c r="PS126" s="13"/>
      <c r="PT126" s="13"/>
      <c r="PU126" s="13"/>
      <c r="PV126" s="13"/>
      <c r="PW126" s="13"/>
      <c r="PX126" s="13"/>
      <c r="PY126" s="13"/>
      <c r="PZ126" s="13"/>
      <c r="QA126" s="13"/>
    </row>
    <row r="127" spans="1:443" s="23" customFormat="1" x14ac:dyDescent="0.3">
      <c r="A127" s="14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6"/>
      <c r="R127" s="17" t="str">
        <f t="shared" si="6"/>
        <v/>
      </c>
      <c r="S127" s="17" t="str">
        <f t="shared" si="7"/>
        <v/>
      </c>
      <c r="T127" s="18" t="str">
        <f t="shared" si="8"/>
        <v/>
      </c>
      <c r="U127" s="15"/>
      <c r="V127" s="19" t="str">
        <f t="shared" si="10"/>
        <v/>
      </c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3"/>
      <c r="DI127" s="13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3"/>
      <c r="DU127" s="13"/>
      <c r="DV127" s="13"/>
      <c r="DW127" s="13"/>
      <c r="DX127" s="13"/>
      <c r="DY127" s="13"/>
      <c r="DZ127" s="13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  <c r="JP127" s="13"/>
      <c r="JQ127" s="13"/>
      <c r="JR127" s="13"/>
      <c r="JS127" s="13"/>
      <c r="JT127" s="13"/>
      <c r="JU127" s="13"/>
      <c r="JV127" s="13"/>
      <c r="JW127" s="13"/>
      <c r="JX127" s="13"/>
      <c r="JY127" s="13"/>
      <c r="JZ127" s="13"/>
      <c r="KA127" s="13"/>
      <c r="KB127" s="13"/>
      <c r="KC127" s="13"/>
      <c r="KD127" s="13"/>
      <c r="KE127" s="13"/>
      <c r="KF127" s="13"/>
      <c r="KG127" s="13"/>
      <c r="KH127" s="13"/>
      <c r="KI127" s="13"/>
      <c r="KJ127" s="13"/>
      <c r="KK127" s="13"/>
      <c r="KL127" s="13"/>
      <c r="KM127" s="13"/>
      <c r="KN127" s="13"/>
      <c r="KO127" s="13"/>
      <c r="KP127" s="13"/>
      <c r="KQ127" s="13"/>
      <c r="KR127" s="13"/>
      <c r="KS127" s="13"/>
      <c r="KT127" s="13"/>
      <c r="KU127" s="13"/>
      <c r="KV127" s="13"/>
      <c r="KW127" s="13"/>
      <c r="KX127" s="13"/>
      <c r="KY127" s="13"/>
      <c r="KZ127" s="13"/>
      <c r="LA127" s="13"/>
      <c r="LB127" s="13"/>
      <c r="LC127" s="13"/>
      <c r="LD127" s="13"/>
      <c r="LE127" s="13"/>
      <c r="LF127" s="13"/>
      <c r="LG127" s="13"/>
      <c r="LH127" s="13"/>
      <c r="LI127" s="13"/>
      <c r="LJ127" s="13"/>
      <c r="LK127" s="13"/>
      <c r="LL127" s="13"/>
      <c r="LM127" s="13"/>
      <c r="LN127" s="13"/>
      <c r="LO127" s="13"/>
      <c r="LP127" s="13"/>
      <c r="LQ127" s="13"/>
      <c r="LR127" s="13"/>
      <c r="LS127" s="13"/>
      <c r="LT127" s="13"/>
      <c r="LU127" s="13"/>
      <c r="LV127" s="13"/>
      <c r="LW127" s="13"/>
      <c r="LX127" s="13"/>
      <c r="LY127" s="13"/>
      <c r="LZ127" s="13"/>
      <c r="MA127" s="13"/>
      <c r="MB127" s="13"/>
      <c r="MC127" s="13"/>
      <c r="MD127" s="13"/>
      <c r="ME127" s="13"/>
      <c r="MF127" s="13"/>
      <c r="MG127" s="13"/>
      <c r="MH127" s="13"/>
      <c r="MI127" s="13"/>
      <c r="MJ127" s="13"/>
      <c r="MK127" s="13"/>
      <c r="ML127" s="13"/>
      <c r="MM127" s="13"/>
      <c r="MN127" s="13"/>
      <c r="MO127" s="13"/>
      <c r="MP127" s="13"/>
      <c r="MQ127" s="13"/>
      <c r="MR127" s="13"/>
      <c r="MS127" s="13"/>
      <c r="MT127" s="13"/>
      <c r="MU127" s="13"/>
      <c r="MV127" s="13"/>
      <c r="MW127" s="13"/>
      <c r="MX127" s="13"/>
      <c r="MY127" s="13"/>
      <c r="MZ127" s="13"/>
      <c r="NA127" s="13"/>
      <c r="NB127" s="13"/>
      <c r="NC127" s="13"/>
      <c r="ND127" s="13"/>
      <c r="NE127" s="13"/>
      <c r="NF127" s="13"/>
      <c r="NG127" s="13"/>
      <c r="NH127" s="13"/>
      <c r="NI127" s="13"/>
      <c r="NJ127" s="13"/>
      <c r="NK127" s="13"/>
      <c r="NL127" s="13"/>
      <c r="NM127" s="13"/>
      <c r="NN127" s="13"/>
      <c r="NO127" s="13"/>
      <c r="NP127" s="13"/>
      <c r="NQ127" s="13"/>
      <c r="NR127" s="13"/>
      <c r="NS127" s="13"/>
      <c r="NT127" s="13"/>
      <c r="NU127" s="13"/>
      <c r="NV127" s="13"/>
      <c r="NW127" s="13"/>
      <c r="NX127" s="13"/>
      <c r="NY127" s="13"/>
      <c r="NZ127" s="13"/>
      <c r="OA127" s="13"/>
      <c r="OB127" s="13"/>
      <c r="OC127" s="13"/>
      <c r="OD127" s="13"/>
      <c r="OE127" s="13"/>
      <c r="OF127" s="13"/>
      <c r="OG127" s="13"/>
      <c r="OH127" s="13"/>
      <c r="OI127" s="13"/>
      <c r="OJ127" s="13"/>
      <c r="OK127" s="13"/>
      <c r="OL127" s="13"/>
      <c r="OM127" s="13"/>
      <c r="ON127" s="13"/>
      <c r="OO127" s="13"/>
      <c r="OP127" s="13"/>
      <c r="OQ127" s="13"/>
      <c r="OR127" s="13"/>
      <c r="OS127" s="13"/>
      <c r="OT127" s="13"/>
      <c r="OU127" s="13"/>
      <c r="OV127" s="13"/>
      <c r="OW127" s="13"/>
      <c r="OX127" s="13"/>
      <c r="OY127" s="13"/>
      <c r="OZ127" s="13"/>
      <c r="PA127" s="13"/>
      <c r="PB127" s="13"/>
      <c r="PC127" s="13"/>
      <c r="PD127" s="13"/>
      <c r="PE127" s="13"/>
      <c r="PF127" s="13"/>
      <c r="PG127" s="13"/>
      <c r="PH127" s="13"/>
      <c r="PI127" s="13"/>
      <c r="PJ127" s="13"/>
      <c r="PK127" s="13"/>
      <c r="PL127" s="13"/>
      <c r="PM127" s="13"/>
      <c r="PN127" s="13"/>
      <c r="PO127" s="13"/>
      <c r="PP127" s="13"/>
      <c r="PQ127" s="13"/>
      <c r="PR127" s="13"/>
      <c r="PS127" s="13"/>
      <c r="PT127" s="13"/>
      <c r="PU127" s="13"/>
      <c r="PV127" s="13"/>
      <c r="PW127" s="13"/>
      <c r="PX127" s="13"/>
      <c r="PY127" s="13"/>
      <c r="PZ127" s="13"/>
      <c r="QA127" s="13"/>
    </row>
    <row r="128" spans="1:443" x14ac:dyDescent="0.3"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6"/>
      <c r="R128" s="17" t="str">
        <f t="shared" si="6"/>
        <v/>
      </c>
      <c r="S128" s="17" t="str">
        <f t="shared" si="7"/>
        <v/>
      </c>
      <c r="T128" s="18" t="str">
        <f t="shared" si="8"/>
        <v/>
      </c>
      <c r="U128" s="15"/>
      <c r="V128" s="19" t="str">
        <f t="shared" si="10"/>
        <v/>
      </c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3"/>
      <c r="DI128" s="13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3"/>
      <c r="DU128" s="13"/>
      <c r="DV128" s="13"/>
      <c r="DW128" s="13"/>
      <c r="DX128" s="13"/>
      <c r="DY128" s="13"/>
      <c r="DZ128" s="13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  <c r="JP128" s="13"/>
      <c r="JQ128" s="13"/>
      <c r="JR128" s="13"/>
      <c r="JS128" s="13"/>
      <c r="JT128" s="13"/>
      <c r="JU128" s="13"/>
      <c r="JV128" s="13"/>
      <c r="JW128" s="13"/>
      <c r="JX128" s="13"/>
      <c r="JY128" s="13"/>
      <c r="JZ128" s="13"/>
      <c r="KA128" s="13"/>
      <c r="KB128" s="13"/>
      <c r="KC128" s="13"/>
      <c r="KD128" s="13"/>
      <c r="KE128" s="13"/>
      <c r="KF128" s="13"/>
      <c r="KG128" s="13"/>
      <c r="KH128" s="13"/>
      <c r="KI128" s="13"/>
      <c r="KJ128" s="13"/>
      <c r="KK128" s="13"/>
      <c r="KL128" s="13"/>
      <c r="KM128" s="13"/>
      <c r="KN128" s="13"/>
      <c r="KO128" s="13"/>
      <c r="KP128" s="13"/>
      <c r="KQ128" s="13"/>
      <c r="KR128" s="13"/>
      <c r="KS128" s="13"/>
      <c r="KT128" s="13"/>
      <c r="KU128" s="13"/>
      <c r="KV128" s="13"/>
      <c r="KW128" s="13"/>
      <c r="KX128" s="13"/>
      <c r="KY128" s="13"/>
      <c r="KZ128" s="13"/>
      <c r="LA128" s="13"/>
      <c r="LB128" s="13"/>
      <c r="LC128" s="13"/>
      <c r="LD128" s="13"/>
      <c r="LE128" s="13"/>
      <c r="LF128" s="13"/>
      <c r="LG128" s="13"/>
      <c r="LH128" s="13"/>
      <c r="LI128" s="13"/>
      <c r="LJ128" s="13"/>
      <c r="LK128" s="13"/>
      <c r="LL128" s="13"/>
      <c r="LM128" s="13"/>
      <c r="LN128" s="13"/>
      <c r="LO128" s="13"/>
      <c r="LP128" s="13"/>
      <c r="LQ128" s="13"/>
      <c r="LR128" s="13"/>
      <c r="LS128" s="13"/>
      <c r="LT128" s="13"/>
      <c r="LU128" s="13"/>
      <c r="LV128" s="13"/>
      <c r="LW128" s="13"/>
      <c r="LX128" s="13"/>
      <c r="LY128" s="13"/>
      <c r="LZ128" s="13"/>
      <c r="MA128" s="13"/>
      <c r="MB128" s="13"/>
      <c r="MC128" s="13"/>
      <c r="MD128" s="13"/>
      <c r="ME128" s="13"/>
      <c r="MF128" s="13"/>
      <c r="MG128" s="13"/>
      <c r="MH128" s="13"/>
      <c r="MI128" s="13"/>
      <c r="MJ128" s="13"/>
      <c r="MK128" s="13"/>
      <c r="ML128" s="13"/>
      <c r="MM128" s="13"/>
      <c r="MN128" s="13"/>
      <c r="MO128" s="13"/>
      <c r="MP128" s="13"/>
      <c r="MQ128" s="13"/>
      <c r="MR128" s="13"/>
      <c r="MS128" s="13"/>
      <c r="MT128" s="13"/>
      <c r="MU128" s="13"/>
      <c r="MV128" s="13"/>
      <c r="MW128" s="13"/>
      <c r="MX128" s="13"/>
      <c r="MY128" s="13"/>
      <c r="MZ128" s="13"/>
      <c r="NA128" s="13"/>
      <c r="NB128" s="13"/>
      <c r="NC128" s="13"/>
      <c r="ND128" s="13"/>
      <c r="NE128" s="13"/>
      <c r="NF128" s="13"/>
      <c r="NG128" s="13"/>
      <c r="NH128" s="13"/>
      <c r="NI128" s="13"/>
      <c r="NJ128" s="13"/>
      <c r="NK128" s="13"/>
      <c r="NL128" s="13"/>
      <c r="NM128" s="13"/>
      <c r="NN128" s="13"/>
      <c r="NO128" s="13"/>
      <c r="NP128" s="13"/>
      <c r="NQ128" s="13"/>
      <c r="NR128" s="13"/>
      <c r="NS128" s="13"/>
      <c r="NT128" s="13"/>
      <c r="NU128" s="13"/>
      <c r="NV128" s="13"/>
      <c r="NW128" s="13"/>
      <c r="NX128" s="13"/>
      <c r="NY128" s="13"/>
      <c r="NZ128" s="13"/>
      <c r="OA128" s="13"/>
      <c r="OB128" s="13"/>
      <c r="OC128" s="13"/>
      <c r="OD128" s="13"/>
      <c r="OE128" s="13"/>
      <c r="OF128" s="13"/>
      <c r="OG128" s="13"/>
      <c r="OH128" s="13"/>
      <c r="OI128" s="13"/>
      <c r="OJ128" s="13"/>
      <c r="OK128" s="13"/>
      <c r="OL128" s="13"/>
      <c r="OM128" s="13"/>
      <c r="ON128" s="13"/>
      <c r="OO128" s="13"/>
      <c r="OP128" s="13"/>
      <c r="OQ128" s="13"/>
      <c r="OR128" s="13"/>
      <c r="OS128" s="13"/>
      <c r="OT128" s="13"/>
      <c r="OU128" s="13"/>
      <c r="OV128" s="13"/>
      <c r="OW128" s="13"/>
      <c r="OX128" s="13"/>
      <c r="OY128" s="13"/>
      <c r="OZ128" s="13"/>
      <c r="PA128" s="13"/>
      <c r="PB128" s="13"/>
      <c r="PC128" s="13"/>
      <c r="PD128" s="13"/>
      <c r="PE128" s="13"/>
      <c r="PF128" s="13"/>
      <c r="PG128" s="13"/>
      <c r="PH128" s="13"/>
      <c r="PI128" s="13"/>
      <c r="PJ128" s="13"/>
      <c r="PK128" s="13"/>
      <c r="PL128" s="13"/>
      <c r="PM128" s="13"/>
      <c r="PN128" s="13"/>
      <c r="PO128" s="13"/>
      <c r="PP128" s="13"/>
      <c r="PQ128" s="13"/>
      <c r="PR128" s="13"/>
      <c r="PS128" s="13"/>
      <c r="PT128" s="13"/>
      <c r="PU128" s="13"/>
      <c r="PV128" s="13"/>
      <c r="PW128" s="13"/>
      <c r="PX128" s="13"/>
      <c r="PY128" s="13"/>
      <c r="PZ128" s="13"/>
      <c r="QA128" s="13"/>
    </row>
    <row r="129" spans="1:443" x14ac:dyDescent="0.3"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6"/>
      <c r="R129" s="17" t="str">
        <f t="shared" si="6"/>
        <v/>
      </c>
      <c r="S129" s="17" t="str">
        <f t="shared" si="7"/>
        <v/>
      </c>
      <c r="T129" s="18" t="str">
        <f t="shared" si="8"/>
        <v/>
      </c>
      <c r="U129" s="15"/>
      <c r="V129" s="19" t="str">
        <f t="shared" si="10"/>
        <v/>
      </c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3"/>
      <c r="DI129" s="13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3"/>
      <c r="DU129" s="13"/>
      <c r="DV129" s="13"/>
      <c r="DW129" s="13"/>
      <c r="DX129" s="13"/>
      <c r="DY129" s="13"/>
      <c r="DZ129" s="13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  <c r="JP129" s="13"/>
      <c r="JQ129" s="13"/>
      <c r="JR129" s="13"/>
      <c r="JS129" s="13"/>
      <c r="JT129" s="13"/>
      <c r="JU129" s="13"/>
      <c r="JV129" s="13"/>
      <c r="JW129" s="13"/>
      <c r="JX129" s="13"/>
      <c r="JY129" s="13"/>
      <c r="JZ129" s="13"/>
      <c r="KA129" s="13"/>
      <c r="KB129" s="13"/>
      <c r="KC129" s="13"/>
      <c r="KD129" s="13"/>
      <c r="KE129" s="13"/>
      <c r="KF129" s="13"/>
      <c r="KG129" s="13"/>
      <c r="KH129" s="13"/>
      <c r="KI129" s="13"/>
      <c r="KJ129" s="13"/>
      <c r="KK129" s="13"/>
      <c r="KL129" s="13"/>
      <c r="KM129" s="13"/>
      <c r="KN129" s="13"/>
      <c r="KO129" s="13"/>
      <c r="KP129" s="13"/>
      <c r="KQ129" s="13"/>
      <c r="KR129" s="13"/>
      <c r="KS129" s="13"/>
      <c r="KT129" s="13"/>
      <c r="KU129" s="13"/>
      <c r="KV129" s="13"/>
      <c r="KW129" s="13"/>
      <c r="KX129" s="13"/>
      <c r="KY129" s="13"/>
      <c r="KZ129" s="13"/>
      <c r="LA129" s="13"/>
      <c r="LB129" s="13"/>
      <c r="LC129" s="13"/>
      <c r="LD129" s="13"/>
      <c r="LE129" s="13"/>
      <c r="LF129" s="13"/>
      <c r="LG129" s="13"/>
      <c r="LH129" s="13"/>
      <c r="LI129" s="13"/>
      <c r="LJ129" s="13"/>
      <c r="LK129" s="13"/>
      <c r="LL129" s="13"/>
      <c r="LM129" s="13"/>
      <c r="LN129" s="13"/>
      <c r="LO129" s="13"/>
      <c r="LP129" s="13"/>
      <c r="LQ129" s="13"/>
      <c r="LR129" s="13"/>
      <c r="LS129" s="13"/>
      <c r="LT129" s="13"/>
      <c r="LU129" s="13"/>
      <c r="LV129" s="13"/>
      <c r="LW129" s="13"/>
      <c r="LX129" s="13"/>
      <c r="LY129" s="13"/>
      <c r="LZ129" s="13"/>
      <c r="MA129" s="13"/>
      <c r="MB129" s="13"/>
      <c r="MC129" s="13"/>
      <c r="MD129" s="13"/>
      <c r="ME129" s="13"/>
      <c r="MF129" s="13"/>
      <c r="MG129" s="13"/>
      <c r="MH129" s="13"/>
      <c r="MI129" s="13"/>
      <c r="MJ129" s="13"/>
      <c r="MK129" s="13"/>
      <c r="ML129" s="13"/>
      <c r="MM129" s="13"/>
      <c r="MN129" s="13"/>
      <c r="MO129" s="13"/>
      <c r="MP129" s="13"/>
      <c r="MQ129" s="13"/>
      <c r="MR129" s="13"/>
      <c r="MS129" s="13"/>
      <c r="MT129" s="13"/>
      <c r="MU129" s="13"/>
      <c r="MV129" s="13"/>
      <c r="MW129" s="13"/>
      <c r="MX129" s="13"/>
      <c r="MY129" s="13"/>
      <c r="MZ129" s="13"/>
      <c r="NA129" s="13"/>
      <c r="NB129" s="13"/>
      <c r="NC129" s="13"/>
      <c r="ND129" s="13"/>
      <c r="NE129" s="13"/>
      <c r="NF129" s="13"/>
      <c r="NG129" s="13"/>
      <c r="NH129" s="13"/>
      <c r="NI129" s="13"/>
      <c r="NJ129" s="13"/>
      <c r="NK129" s="13"/>
      <c r="NL129" s="13"/>
      <c r="NM129" s="13"/>
      <c r="NN129" s="13"/>
      <c r="NO129" s="13"/>
      <c r="NP129" s="13"/>
      <c r="NQ129" s="13"/>
      <c r="NR129" s="13"/>
      <c r="NS129" s="13"/>
      <c r="NT129" s="13"/>
      <c r="NU129" s="13"/>
      <c r="NV129" s="13"/>
      <c r="NW129" s="13"/>
      <c r="NX129" s="13"/>
      <c r="NY129" s="13"/>
      <c r="NZ129" s="13"/>
      <c r="OA129" s="13"/>
      <c r="OB129" s="13"/>
      <c r="OC129" s="13"/>
      <c r="OD129" s="13"/>
      <c r="OE129" s="13"/>
      <c r="OF129" s="13"/>
      <c r="OG129" s="13"/>
      <c r="OH129" s="13"/>
      <c r="OI129" s="13"/>
      <c r="OJ129" s="13"/>
      <c r="OK129" s="13"/>
      <c r="OL129" s="13"/>
      <c r="OM129" s="13"/>
      <c r="ON129" s="13"/>
      <c r="OO129" s="13"/>
      <c r="OP129" s="13"/>
      <c r="OQ129" s="13"/>
      <c r="OR129" s="13"/>
      <c r="OS129" s="13"/>
      <c r="OT129" s="13"/>
      <c r="OU129" s="13"/>
      <c r="OV129" s="13"/>
      <c r="OW129" s="13"/>
      <c r="OX129" s="13"/>
      <c r="OY129" s="13"/>
      <c r="OZ129" s="13"/>
      <c r="PA129" s="13"/>
      <c r="PB129" s="13"/>
      <c r="PC129" s="13"/>
      <c r="PD129" s="13"/>
      <c r="PE129" s="13"/>
      <c r="PF129" s="13"/>
      <c r="PG129" s="13"/>
      <c r="PH129" s="13"/>
      <c r="PI129" s="13"/>
      <c r="PJ129" s="13"/>
      <c r="PK129" s="13"/>
      <c r="PL129" s="13"/>
      <c r="PM129" s="13"/>
      <c r="PN129" s="13"/>
      <c r="PO129" s="13"/>
      <c r="PP129" s="13"/>
      <c r="PQ129" s="13"/>
      <c r="PR129" s="13"/>
      <c r="PS129" s="13"/>
      <c r="PT129" s="13"/>
      <c r="PU129" s="13"/>
      <c r="PV129" s="13"/>
      <c r="PW129" s="13"/>
      <c r="PX129" s="13"/>
      <c r="PY129" s="13"/>
      <c r="PZ129" s="13"/>
      <c r="QA129" s="13"/>
    </row>
    <row r="130" spans="1:443" x14ac:dyDescent="0.3">
      <c r="B130" s="15"/>
      <c r="C130" s="15"/>
      <c r="D130" s="15"/>
      <c r="E130" s="30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6"/>
      <c r="R130" s="17" t="str">
        <f t="shared" si="6"/>
        <v/>
      </c>
      <c r="S130" s="17" t="str">
        <f t="shared" si="7"/>
        <v/>
      </c>
      <c r="T130" s="18" t="str">
        <f t="shared" si="8"/>
        <v/>
      </c>
      <c r="U130" s="15"/>
      <c r="V130" s="19" t="str">
        <f t="shared" si="10"/>
        <v/>
      </c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3"/>
      <c r="DB130" s="13"/>
      <c r="DC130" s="13"/>
      <c r="DD130" s="13"/>
      <c r="DE130" s="13"/>
      <c r="DF130" s="13"/>
      <c r="DG130" s="13"/>
      <c r="DH130" s="13"/>
      <c r="DI130" s="13"/>
      <c r="DJ130" s="13"/>
      <c r="DK130" s="13"/>
      <c r="DL130" s="13"/>
      <c r="DM130" s="13"/>
      <c r="DN130" s="13"/>
      <c r="DO130" s="13"/>
      <c r="DP130" s="13"/>
      <c r="DQ130" s="13"/>
      <c r="DR130" s="13"/>
      <c r="DS130" s="13"/>
      <c r="DT130" s="13"/>
      <c r="DU130" s="13"/>
      <c r="DV130" s="13"/>
      <c r="DW130" s="13"/>
      <c r="DX130" s="13"/>
      <c r="DY130" s="13"/>
      <c r="DZ130" s="13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  <c r="JP130" s="13"/>
      <c r="JQ130" s="13"/>
      <c r="JR130" s="13"/>
      <c r="JS130" s="13"/>
      <c r="JT130" s="13"/>
      <c r="JU130" s="13"/>
      <c r="JV130" s="13"/>
      <c r="JW130" s="13"/>
      <c r="JX130" s="13"/>
      <c r="JY130" s="13"/>
      <c r="JZ130" s="13"/>
      <c r="KA130" s="13"/>
      <c r="KB130" s="13"/>
      <c r="KC130" s="13"/>
      <c r="KD130" s="13"/>
      <c r="KE130" s="13"/>
      <c r="KF130" s="13"/>
      <c r="KG130" s="13"/>
      <c r="KH130" s="13"/>
      <c r="KI130" s="13"/>
      <c r="KJ130" s="13"/>
      <c r="KK130" s="13"/>
      <c r="KL130" s="13"/>
      <c r="KM130" s="13"/>
      <c r="KN130" s="13"/>
      <c r="KO130" s="13"/>
      <c r="KP130" s="13"/>
      <c r="KQ130" s="13"/>
      <c r="KR130" s="13"/>
      <c r="KS130" s="13"/>
      <c r="KT130" s="13"/>
      <c r="KU130" s="13"/>
      <c r="KV130" s="13"/>
      <c r="KW130" s="13"/>
      <c r="KX130" s="13"/>
      <c r="KY130" s="13"/>
      <c r="KZ130" s="13"/>
      <c r="LA130" s="13"/>
      <c r="LB130" s="13"/>
      <c r="LC130" s="13"/>
      <c r="LD130" s="13"/>
      <c r="LE130" s="13"/>
      <c r="LF130" s="13"/>
      <c r="LG130" s="13"/>
      <c r="LH130" s="13"/>
      <c r="LI130" s="13"/>
      <c r="LJ130" s="13"/>
      <c r="LK130" s="13"/>
      <c r="LL130" s="13"/>
      <c r="LM130" s="13"/>
      <c r="LN130" s="13"/>
      <c r="LO130" s="13"/>
      <c r="LP130" s="13"/>
      <c r="LQ130" s="13"/>
      <c r="LR130" s="13"/>
      <c r="LS130" s="13"/>
      <c r="LT130" s="13"/>
      <c r="LU130" s="13"/>
      <c r="LV130" s="13"/>
      <c r="LW130" s="13"/>
      <c r="LX130" s="13"/>
      <c r="LY130" s="13"/>
      <c r="LZ130" s="13"/>
      <c r="MA130" s="13"/>
      <c r="MB130" s="13"/>
      <c r="MC130" s="13"/>
      <c r="MD130" s="13"/>
      <c r="ME130" s="13"/>
      <c r="MF130" s="13"/>
      <c r="MG130" s="13"/>
      <c r="MH130" s="13"/>
      <c r="MI130" s="13"/>
      <c r="MJ130" s="13"/>
      <c r="MK130" s="13"/>
      <c r="ML130" s="13"/>
      <c r="MM130" s="13"/>
      <c r="MN130" s="13"/>
      <c r="MO130" s="13"/>
      <c r="MP130" s="13"/>
      <c r="MQ130" s="13"/>
      <c r="MR130" s="13"/>
      <c r="MS130" s="13"/>
      <c r="MT130" s="13"/>
      <c r="MU130" s="13"/>
      <c r="MV130" s="13"/>
      <c r="MW130" s="13"/>
      <c r="MX130" s="13"/>
      <c r="MY130" s="13"/>
      <c r="MZ130" s="13"/>
      <c r="NA130" s="13"/>
      <c r="NB130" s="13"/>
      <c r="NC130" s="13"/>
      <c r="ND130" s="13"/>
      <c r="NE130" s="13"/>
      <c r="NF130" s="13"/>
      <c r="NG130" s="13"/>
      <c r="NH130" s="13"/>
      <c r="NI130" s="13"/>
      <c r="NJ130" s="13"/>
      <c r="NK130" s="13"/>
      <c r="NL130" s="13"/>
      <c r="NM130" s="13"/>
      <c r="NN130" s="13"/>
      <c r="NO130" s="13"/>
      <c r="NP130" s="13"/>
      <c r="NQ130" s="13"/>
      <c r="NR130" s="13"/>
      <c r="NS130" s="13"/>
      <c r="NT130" s="13"/>
      <c r="NU130" s="13"/>
      <c r="NV130" s="13"/>
      <c r="NW130" s="13"/>
      <c r="NX130" s="13"/>
      <c r="NY130" s="13"/>
      <c r="NZ130" s="13"/>
      <c r="OA130" s="13"/>
      <c r="OB130" s="13"/>
      <c r="OC130" s="13"/>
      <c r="OD130" s="13"/>
      <c r="OE130" s="13"/>
      <c r="OF130" s="13"/>
      <c r="OG130" s="13"/>
      <c r="OH130" s="13"/>
      <c r="OI130" s="13"/>
      <c r="OJ130" s="13"/>
      <c r="OK130" s="13"/>
      <c r="OL130" s="13"/>
      <c r="OM130" s="13"/>
      <c r="ON130" s="13"/>
      <c r="OO130" s="13"/>
      <c r="OP130" s="13"/>
      <c r="OQ130" s="13"/>
      <c r="OR130" s="13"/>
      <c r="OS130" s="13"/>
      <c r="OT130" s="13"/>
      <c r="OU130" s="13"/>
      <c r="OV130" s="13"/>
      <c r="OW130" s="13"/>
      <c r="OX130" s="13"/>
      <c r="OY130" s="13"/>
      <c r="OZ130" s="13"/>
      <c r="PA130" s="13"/>
      <c r="PB130" s="13"/>
      <c r="PC130" s="13"/>
      <c r="PD130" s="13"/>
      <c r="PE130" s="13"/>
      <c r="PF130" s="13"/>
      <c r="PG130" s="13"/>
      <c r="PH130" s="13"/>
      <c r="PI130" s="13"/>
      <c r="PJ130" s="13"/>
      <c r="PK130" s="13"/>
      <c r="PL130" s="13"/>
      <c r="PM130" s="13"/>
      <c r="PN130" s="13"/>
      <c r="PO130" s="13"/>
      <c r="PP130" s="13"/>
      <c r="PQ130" s="13"/>
      <c r="PR130" s="13"/>
      <c r="PS130" s="13"/>
      <c r="PT130" s="13"/>
      <c r="PU130" s="13"/>
      <c r="PV130" s="13"/>
      <c r="PW130" s="13"/>
      <c r="PX130" s="13"/>
      <c r="PY130" s="13"/>
      <c r="PZ130" s="13"/>
      <c r="QA130" s="13"/>
    </row>
    <row r="131" spans="1:443" x14ac:dyDescent="0.3"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6"/>
      <c r="R131" s="17" t="str">
        <f t="shared" si="6"/>
        <v/>
      </c>
      <c r="S131" s="17" t="str">
        <f t="shared" si="7"/>
        <v/>
      </c>
      <c r="T131" s="18" t="str">
        <f t="shared" si="8"/>
        <v/>
      </c>
      <c r="U131" s="15"/>
      <c r="V131" s="19" t="str">
        <f t="shared" si="10"/>
        <v/>
      </c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3"/>
      <c r="DB131" s="13"/>
      <c r="DC131" s="13"/>
      <c r="DD131" s="13"/>
      <c r="DE131" s="13"/>
      <c r="DF131" s="13"/>
      <c r="DG131" s="13"/>
      <c r="DH131" s="13"/>
      <c r="DI131" s="13"/>
      <c r="DJ131" s="13"/>
      <c r="DK131" s="13"/>
      <c r="DL131" s="13"/>
      <c r="DM131" s="13"/>
      <c r="DN131" s="13"/>
      <c r="DO131" s="13"/>
      <c r="DP131" s="13"/>
      <c r="DQ131" s="13"/>
      <c r="DR131" s="13"/>
      <c r="DS131" s="13"/>
      <c r="DT131" s="13"/>
      <c r="DU131" s="13"/>
      <c r="DV131" s="13"/>
      <c r="DW131" s="13"/>
      <c r="DX131" s="13"/>
      <c r="DY131" s="13"/>
      <c r="DZ131" s="13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  <c r="JP131" s="13"/>
      <c r="JQ131" s="13"/>
      <c r="JR131" s="13"/>
      <c r="JS131" s="13"/>
      <c r="JT131" s="13"/>
      <c r="JU131" s="13"/>
      <c r="JV131" s="13"/>
      <c r="JW131" s="13"/>
      <c r="JX131" s="13"/>
      <c r="JY131" s="13"/>
      <c r="JZ131" s="13"/>
      <c r="KA131" s="13"/>
      <c r="KB131" s="13"/>
      <c r="KC131" s="13"/>
      <c r="KD131" s="13"/>
      <c r="KE131" s="13"/>
      <c r="KF131" s="13"/>
      <c r="KG131" s="13"/>
      <c r="KH131" s="13"/>
      <c r="KI131" s="13"/>
      <c r="KJ131" s="13"/>
      <c r="KK131" s="13"/>
      <c r="KL131" s="13"/>
      <c r="KM131" s="13"/>
      <c r="KN131" s="13"/>
      <c r="KO131" s="13"/>
      <c r="KP131" s="13"/>
      <c r="KQ131" s="13"/>
      <c r="KR131" s="13"/>
      <c r="KS131" s="13"/>
      <c r="KT131" s="13"/>
      <c r="KU131" s="13"/>
      <c r="KV131" s="13"/>
      <c r="KW131" s="13"/>
      <c r="KX131" s="13"/>
      <c r="KY131" s="13"/>
      <c r="KZ131" s="13"/>
      <c r="LA131" s="13"/>
      <c r="LB131" s="13"/>
      <c r="LC131" s="13"/>
      <c r="LD131" s="13"/>
      <c r="LE131" s="13"/>
      <c r="LF131" s="13"/>
      <c r="LG131" s="13"/>
      <c r="LH131" s="13"/>
      <c r="LI131" s="13"/>
      <c r="LJ131" s="13"/>
      <c r="LK131" s="13"/>
      <c r="LL131" s="13"/>
      <c r="LM131" s="13"/>
      <c r="LN131" s="13"/>
      <c r="LO131" s="13"/>
      <c r="LP131" s="13"/>
      <c r="LQ131" s="13"/>
      <c r="LR131" s="13"/>
      <c r="LS131" s="13"/>
      <c r="LT131" s="13"/>
      <c r="LU131" s="13"/>
      <c r="LV131" s="13"/>
      <c r="LW131" s="13"/>
      <c r="LX131" s="13"/>
      <c r="LY131" s="13"/>
      <c r="LZ131" s="13"/>
      <c r="MA131" s="13"/>
      <c r="MB131" s="13"/>
      <c r="MC131" s="13"/>
      <c r="MD131" s="13"/>
      <c r="ME131" s="13"/>
      <c r="MF131" s="13"/>
      <c r="MG131" s="13"/>
      <c r="MH131" s="13"/>
      <c r="MI131" s="13"/>
      <c r="MJ131" s="13"/>
      <c r="MK131" s="13"/>
      <c r="ML131" s="13"/>
      <c r="MM131" s="13"/>
      <c r="MN131" s="13"/>
      <c r="MO131" s="13"/>
      <c r="MP131" s="13"/>
      <c r="MQ131" s="13"/>
      <c r="MR131" s="13"/>
      <c r="MS131" s="13"/>
      <c r="MT131" s="13"/>
      <c r="MU131" s="13"/>
      <c r="MV131" s="13"/>
      <c r="MW131" s="13"/>
      <c r="MX131" s="13"/>
      <c r="MY131" s="13"/>
      <c r="MZ131" s="13"/>
      <c r="NA131" s="13"/>
      <c r="NB131" s="13"/>
      <c r="NC131" s="13"/>
      <c r="ND131" s="13"/>
      <c r="NE131" s="13"/>
      <c r="NF131" s="13"/>
      <c r="NG131" s="13"/>
      <c r="NH131" s="13"/>
      <c r="NI131" s="13"/>
      <c r="NJ131" s="13"/>
      <c r="NK131" s="13"/>
      <c r="NL131" s="13"/>
      <c r="NM131" s="13"/>
      <c r="NN131" s="13"/>
      <c r="NO131" s="13"/>
      <c r="NP131" s="13"/>
      <c r="NQ131" s="13"/>
      <c r="NR131" s="13"/>
      <c r="NS131" s="13"/>
      <c r="NT131" s="13"/>
      <c r="NU131" s="13"/>
      <c r="NV131" s="13"/>
      <c r="NW131" s="13"/>
      <c r="NX131" s="13"/>
      <c r="NY131" s="13"/>
      <c r="NZ131" s="13"/>
      <c r="OA131" s="13"/>
      <c r="OB131" s="13"/>
      <c r="OC131" s="13"/>
      <c r="OD131" s="13"/>
      <c r="OE131" s="13"/>
      <c r="OF131" s="13"/>
      <c r="OG131" s="13"/>
      <c r="OH131" s="13"/>
      <c r="OI131" s="13"/>
      <c r="OJ131" s="13"/>
      <c r="OK131" s="13"/>
      <c r="OL131" s="13"/>
      <c r="OM131" s="13"/>
      <c r="ON131" s="13"/>
      <c r="OO131" s="13"/>
      <c r="OP131" s="13"/>
      <c r="OQ131" s="13"/>
      <c r="OR131" s="13"/>
      <c r="OS131" s="13"/>
      <c r="OT131" s="13"/>
      <c r="OU131" s="13"/>
      <c r="OV131" s="13"/>
      <c r="OW131" s="13"/>
      <c r="OX131" s="13"/>
      <c r="OY131" s="13"/>
      <c r="OZ131" s="13"/>
      <c r="PA131" s="13"/>
      <c r="PB131" s="13"/>
      <c r="PC131" s="13"/>
      <c r="PD131" s="13"/>
      <c r="PE131" s="13"/>
      <c r="PF131" s="13"/>
      <c r="PG131" s="13"/>
      <c r="PH131" s="13"/>
      <c r="PI131" s="13"/>
      <c r="PJ131" s="13"/>
      <c r="PK131" s="13"/>
      <c r="PL131" s="13"/>
      <c r="PM131" s="13"/>
      <c r="PN131" s="13"/>
      <c r="PO131" s="13"/>
      <c r="PP131" s="13"/>
      <c r="PQ131" s="13"/>
      <c r="PR131" s="13"/>
      <c r="PS131" s="13"/>
      <c r="PT131" s="13"/>
      <c r="PU131" s="13"/>
      <c r="PV131" s="13"/>
      <c r="PW131" s="13"/>
      <c r="PX131" s="13"/>
      <c r="PY131" s="13"/>
      <c r="PZ131" s="13"/>
      <c r="QA131" s="13"/>
    </row>
    <row r="132" spans="1:443" x14ac:dyDescent="0.3"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6"/>
      <c r="R132" s="17" t="str">
        <f t="shared" ref="R132:R195" si="11">IF(AND(ISBLANK(D132),ISBLANK(E132),ISBLANK(F132),ISBLANK(G132),ISBLANK(H132),ISBLANK(I132), ISBLANK(J132), ISBLANK(K132), ISBLANK(L132), ISBLANK(M132), ISBLANK(N132), ISBLANK(O132), ISBLANK(P132), ISBLANK(Q132)),"",SUM(E132:P132))</f>
        <v/>
      </c>
      <c r="S132" s="17" t="str">
        <f t="shared" ref="S132:S195" si="12">IF(U132&lt;&gt;0,0,IF(AND(ISBLANK(D132),ISBLANK(E132),ISBLANK(F132),ISBLANK(G132),ISBLANK(H132),ISBLANK(I132), ISBLANK(J132), ISBLANK(K132), ISBLANK(L132), ISBLANK(M132), ISBLANK(N132), ISBLANK(O132), ISBLANK(P132), ISBLANK(Q132)),"", (D132+E132)-R132))</f>
        <v/>
      </c>
      <c r="T132" s="18" t="str">
        <f t="shared" ref="T132:T195" si="13">IF(U132&lt;&gt;0,1,IF(AND(ISBLANK(D132),ISBLANK(E132),ISBLANK(F132),ISBLANK(G132),ISBLANK(H132),ISBLANK(I132),ISBLANK(J132),ISBLANK(K132),ISBLANK(L132),ISBLANK(M132),ISBLANK(N132),ISBLANK(O132),ISBLANK(P132),ISBLANK(Q132)),"",IFERROR((D132-S132)/D132,"")))</f>
        <v/>
      </c>
      <c r="U132" s="15"/>
      <c r="V132" s="19" t="str">
        <f t="shared" ref="V132:V138" si="14">IF(U132&lt;&gt;"",D132 - (SUM(E132:Q132)),"")</f>
        <v/>
      </c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3"/>
      <c r="DB132" s="13"/>
      <c r="DC132" s="13"/>
      <c r="DD132" s="13"/>
      <c r="DE132" s="13"/>
      <c r="DF132" s="13"/>
      <c r="DG132" s="13"/>
      <c r="DH132" s="13"/>
      <c r="DI132" s="13"/>
      <c r="DJ132" s="13"/>
      <c r="DK132" s="13"/>
      <c r="DL132" s="13"/>
      <c r="DM132" s="13"/>
      <c r="DN132" s="13"/>
      <c r="DO132" s="13"/>
      <c r="DP132" s="13"/>
      <c r="DQ132" s="13"/>
      <c r="DR132" s="13"/>
      <c r="DS132" s="13"/>
      <c r="DT132" s="13"/>
      <c r="DU132" s="13"/>
      <c r="DV132" s="13"/>
      <c r="DW132" s="13"/>
      <c r="DX132" s="13"/>
      <c r="DY132" s="13"/>
      <c r="DZ132" s="13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  <c r="JP132" s="13"/>
      <c r="JQ132" s="13"/>
      <c r="JR132" s="13"/>
      <c r="JS132" s="13"/>
      <c r="JT132" s="13"/>
      <c r="JU132" s="13"/>
      <c r="JV132" s="13"/>
      <c r="JW132" s="13"/>
      <c r="JX132" s="13"/>
      <c r="JY132" s="13"/>
      <c r="JZ132" s="13"/>
      <c r="KA132" s="13"/>
      <c r="KB132" s="13"/>
      <c r="KC132" s="13"/>
      <c r="KD132" s="13"/>
      <c r="KE132" s="13"/>
      <c r="KF132" s="13"/>
      <c r="KG132" s="13"/>
      <c r="KH132" s="13"/>
      <c r="KI132" s="13"/>
      <c r="KJ132" s="13"/>
      <c r="KK132" s="13"/>
      <c r="KL132" s="13"/>
      <c r="KM132" s="13"/>
      <c r="KN132" s="13"/>
      <c r="KO132" s="13"/>
      <c r="KP132" s="13"/>
      <c r="KQ132" s="13"/>
      <c r="KR132" s="13"/>
      <c r="KS132" s="13"/>
      <c r="KT132" s="13"/>
      <c r="KU132" s="13"/>
      <c r="KV132" s="13"/>
      <c r="KW132" s="13"/>
      <c r="KX132" s="13"/>
      <c r="KY132" s="13"/>
      <c r="KZ132" s="13"/>
      <c r="LA132" s="13"/>
      <c r="LB132" s="13"/>
      <c r="LC132" s="13"/>
      <c r="LD132" s="13"/>
      <c r="LE132" s="13"/>
      <c r="LF132" s="13"/>
      <c r="LG132" s="13"/>
      <c r="LH132" s="13"/>
      <c r="LI132" s="13"/>
      <c r="LJ132" s="13"/>
      <c r="LK132" s="13"/>
      <c r="LL132" s="13"/>
      <c r="LM132" s="13"/>
      <c r="LN132" s="13"/>
      <c r="LO132" s="13"/>
      <c r="LP132" s="13"/>
      <c r="LQ132" s="13"/>
      <c r="LR132" s="13"/>
      <c r="LS132" s="13"/>
      <c r="LT132" s="13"/>
      <c r="LU132" s="13"/>
      <c r="LV132" s="13"/>
      <c r="LW132" s="13"/>
      <c r="LX132" s="13"/>
      <c r="LY132" s="13"/>
      <c r="LZ132" s="13"/>
      <c r="MA132" s="13"/>
      <c r="MB132" s="13"/>
      <c r="MC132" s="13"/>
      <c r="MD132" s="13"/>
      <c r="ME132" s="13"/>
      <c r="MF132" s="13"/>
      <c r="MG132" s="13"/>
      <c r="MH132" s="13"/>
      <c r="MI132" s="13"/>
      <c r="MJ132" s="13"/>
      <c r="MK132" s="13"/>
      <c r="ML132" s="13"/>
      <c r="MM132" s="13"/>
      <c r="MN132" s="13"/>
      <c r="MO132" s="13"/>
      <c r="MP132" s="13"/>
      <c r="MQ132" s="13"/>
      <c r="MR132" s="13"/>
      <c r="MS132" s="13"/>
      <c r="MT132" s="13"/>
      <c r="MU132" s="13"/>
      <c r="MV132" s="13"/>
      <c r="MW132" s="13"/>
      <c r="MX132" s="13"/>
      <c r="MY132" s="13"/>
      <c r="MZ132" s="13"/>
      <c r="NA132" s="13"/>
      <c r="NB132" s="13"/>
      <c r="NC132" s="13"/>
      <c r="ND132" s="13"/>
      <c r="NE132" s="13"/>
      <c r="NF132" s="13"/>
      <c r="NG132" s="13"/>
      <c r="NH132" s="13"/>
      <c r="NI132" s="13"/>
      <c r="NJ132" s="13"/>
      <c r="NK132" s="13"/>
      <c r="NL132" s="13"/>
      <c r="NM132" s="13"/>
      <c r="NN132" s="13"/>
      <c r="NO132" s="13"/>
      <c r="NP132" s="13"/>
      <c r="NQ132" s="13"/>
      <c r="NR132" s="13"/>
      <c r="NS132" s="13"/>
      <c r="NT132" s="13"/>
      <c r="NU132" s="13"/>
      <c r="NV132" s="13"/>
      <c r="NW132" s="13"/>
      <c r="NX132" s="13"/>
      <c r="NY132" s="13"/>
      <c r="NZ132" s="13"/>
      <c r="OA132" s="13"/>
      <c r="OB132" s="13"/>
      <c r="OC132" s="13"/>
      <c r="OD132" s="13"/>
      <c r="OE132" s="13"/>
      <c r="OF132" s="13"/>
      <c r="OG132" s="13"/>
      <c r="OH132" s="13"/>
      <c r="OI132" s="13"/>
      <c r="OJ132" s="13"/>
      <c r="OK132" s="13"/>
      <c r="OL132" s="13"/>
      <c r="OM132" s="13"/>
      <c r="ON132" s="13"/>
      <c r="OO132" s="13"/>
      <c r="OP132" s="13"/>
      <c r="OQ132" s="13"/>
      <c r="OR132" s="13"/>
      <c r="OS132" s="13"/>
      <c r="OT132" s="13"/>
      <c r="OU132" s="13"/>
      <c r="OV132" s="13"/>
      <c r="OW132" s="13"/>
      <c r="OX132" s="13"/>
      <c r="OY132" s="13"/>
      <c r="OZ132" s="13"/>
      <c r="PA132" s="13"/>
      <c r="PB132" s="13"/>
      <c r="PC132" s="13"/>
      <c r="PD132" s="13"/>
      <c r="PE132" s="13"/>
      <c r="PF132" s="13"/>
      <c r="PG132" s="13"/>
      <c r="PH132" s="13"/>
      <c r="PI132" s="13"/>
      <c r="PJ132" s="13"/>
      <c r="PK132" s="13"/>
      <c r="PL132" s="13"/>
      <c r="PM132" s="13"/>
      <c r="PN132" s="13"/>
      <c r="PO132" s="13"/>
      <c r="PP132" s="13"/>
      <c r="PQ132" s="13"/>
      <c r="PR132" s="13"/>
      <c r="PS132" s="13"/>
      <c r="PT132" s="13"/>
      <c r="PU132" s="13"/>
      <c r="PV132" s="13"/>
      <c r="PW132" s="13"/>
      <c r="PX132" s="13"/>
      <c r="PY132" s="13"/>
      <c r="PZ132" s="13"/>
      <c r="QA132" s="13"/>
    </row>
    <row r="133" spans="1:443" x14ac:dyDescent="0.3"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6"/>
      <c r="R133" s="17" t="str">
        <f t="shared" si="11"/>
        <v/>
      </c>
      <c r="S133" s="17" t="str">
        <f t="shared" si="12"/>
        <v/>
      </c>
      <c r="T133" s="18" t="str">
        <f t="shared" si="13"/>
        <v/>
      </c>
      <c r="U133" s="15"/>
      <c r="V133" s="19" t="str">
        <f t="shared" si="14"/>
        <v/>
      </c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3"/>
      <c r="DB133" s="13"/>
      <c r="DC133" s="13"/>
      <c r="DD133" s="13"/>
      <c r="DE133" s="13"/>
      <c r="DF133" s="13"/>
      <c r="DG133" s="13"/>
      <c r="DH133" s="13"/>
      <c r="DI133" s="13"/>
      <c r="DJ133" s="13"/>
      <c r="DK133" s="13"/>
      <c r="DL133" s="13"/>
      <c r="DM133" s="13"/>
      <c r="DN133" s="13"/>
      <c r="DO133" s="13"/>
      <c r="DP133" s="13"/>
      <c r="DQ133" s="13"/>
      <c r="DR133" s="13"/>
      <c r="DS133" s="13"/>
      <c r="DT133" s="13"/>
      <c r="DU133" s="13"/>
      <c r="DV133" s="13"/>
      <c r="DW133" s="13"/>
      <c r="DX133" s="13"/>
      <c r="DY133" s="13"/>
      <c r="DZ133" s="13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  <c r="JP133" s="13"/>
      <c r="JQ133" s="13"/>
      <c r="JR133" s="13"/>
      <c r="JS133" s="13"/>
      <c r="JT133" s="13"/>
      <c r="JU133" s="13"/>
      <c r="JV133" s="13"/>
      <c r="JW133" s="13"/>
      <c r="JX133" s="13"/>
      <c r="JY133" s="13"/>
      <c r="JZ133" s="13"/>
      <c r="KA133" s="13"/>
      <c r="KB133" s="13"/>
      <c r="KC133" s="13"/>
      <c r="KD133" s="13"/>
      <c r="KE133" s="13"/>
      <c r="KF133" s="13"/>
      <c r="KG133" s="13"/>
      <c r="KH133" s="13"/>
      <c r="KI133" s="13"/>
      <c r="KJ133" s="13"/>
      <c r="KK133" s="13"/>
      <c r="KL133" s="13"/>
      <c r="KM133" s="13"/>
      <c r="KN133" s="13"/>
      <c r="KO133" s="13"/>
      <c r="KP133" s="13"/>
      <c r="KQ133" s="13"/>
      <c r="KR133" s="13"/>
      <c r="KS133" s="13"/>
      <c r="KT133" s="13"/>
      <c r="KU133" s="13"/>
      <c r="KV133" s="13"/>
      <c r="KW133" s="13"/>
      <c r="KX133" s="13"/>
      <c r="KY133" s="13"/>
      <c r="KZ133" s="13"/>
      <c r="LA133" s="13"/>
      <c r="LB133" s="13"/>
      <c r="LC133" s="13"/>
      <c r="LD133" s="13"/>
      <c r="LE133" s="13"/>
      <c r="LF133" s="13"/>
      <c r="LG133" s="13"/>
      <c r="LH133" s="13"/>
      <c r="LI133" s="13"/>
      <c r="LJ133" s="13"/>
      <c r="LK133" s="13"/>
      <c r="LL133" s="13"/>
      <c r="LM133" s="13"/>
      <c r="LN133" s="13"/>
      <c r="LO133" s="13"/>
      <c r="LP133" s="13"/>
      <c r="LQ133" s="13"/>
      <c r="LR133" s="13"/>
      <c r="LS133" s="13"/>
      <c r="LT133" s="13"/>
      <c r="LU133" s="13"/>
      <c r="LV133" s="13"/>
      <c r="LW133" s="13"/>
      <c r="LX133" s="13"/>
      <c r="LY133" s="13"/>
      <c r="LZ133" s="13"/>
      <c r="MA133" s="13"/>
      <c r="MB133" s="13"/>
      <c r="MC133" s="13"/>
      <c r="MD133" s="13"/>
      <c r="ME133" s="13"/>
      <c r="MF133" s="13"/>
      <c r="MG133" s="13"/>
      <c r="MH133" s="13"/>
      <c r="MI133" s="13"/>
      <c r="MJ133" s="13"/>
      <c r="MK133" s="13"/>
      <c r="ML133" s="13"/>
      <c r="MM133" s="13"/>
      <c r="MN133" s="13"/>
      <c r="MO133" s="13"/>
      <c r="MP133" s="13"/>
      <c r="MQ133" s="13"/>
      <c r="MR133" s="13"/>
      <c r="MS133" s="13"/>
      <c r="MT133" s="13"/>
      <c r="MU133" s="13"/>
      <c r="MV133" s="13"/>
      <c r="MW133" s="13"/>
      <c r="MX133" s="13"/>
      <c r="MY133" s="13"/>
      <c r="MZ133" s="13"/>
      <c r="NA133" s="13"/>
      <c r="NB133" s="13"/>
      <c r="NC133" s="13"/>
      <c r="ND133" s="13"/>
      <c r="NE133" s="13"/>
      <c r="NF133" s="13"/>
      <c r="NG133" s="13"/>
      <c r="NH133" s="13"/>
      <c r="NI133" s="13"/>
      <c r="NJ133" s="13"/>
      <c r="NK133" s="13"/>
      <c r="NL133" s="13"/>
      <c r="NM133" s="13"/>
      <c r="NN133" s="13"/>
      <c r="NO133" s="13"/>
      <c r="NP133" s="13"/>
      <c r="NQ133" s="13"/>
      <c r="NR133" s="13"/>
      <c r="NS133" s="13"/>
      <c r="NT133" s="13"/>
      <c r="NU133" s="13"/>
      <c r="NV133" s="13"/>
      <c r="NW133" s="13"/>
      <c r="NX133" s="13"/>
      <c r="NY133" s="13"/>
      <c r="NZ133" s="13"/>
      <c r="OA133" s="13"/>
      <c r="OB133" s="13"/>
      <c r="OC133" s="13"/>
      <c r="OD133" s="13"/>
      <c r="OE133" s="13"/>
      <c r="OF133" s="13"/>
      <c r="OG133" s="13"/>
      <c r="OH133" s="13"/>
      <c r="OI133" s="13"/>
      <c r="OJ133" s="13"/>
      <c r="OK133" s="13"/>
      <c r="OL133" s="13"/>
      <c r="OM133" s="13"/>
      <c r="ON133" s="13"/>
      <c r="OO133" s="13"/>
      <c r="OP133" s="13"/>
      <c r="OQ133" s="13"/>
      <c r="OR133" s="13"/>
      <c r="OS133" s="13"/>
      <c r="OT133" s="13"/>
      <c r="OU133" s="13"/>
      <c r="OV133" s="13"/>
      <c r="OW133" s="13"/>
      <c r="OX133" s="13"/>
      <c r="OY133" s="13"/>
      <c r="OZ133" s="13"/>
      <c r="PA133" s="13"/>
      <c r="PB133" s="13"/>
      <c r="PC133" s="13"/>
      <c r="PD133" s="13"/>
      <c r="PE133" s="13"/>
      <c r="PF133" s="13"/>
      <c r="PG133" s="13"/>
      <c r="PH133" s="13"/>
      <c r="PI133" s="13"/>
      <c r="PJ133" s="13"/>
      <c r="PK133" s="13"/>
      <c r="PL133" s="13"/>
      <c r="PM133" s="13"/>
      <c r="PN133" s="13"/>
      <c r="PO133" s="13"/>
      <c r="PP133" s="13"/>
      <c r="PQ133" s="13"/>
      <c r="PR133" s="13"/>
      <c r="PS133" s="13"/>
      <c r="PT133" s="13"/>
      <c r="PU133" s="13"/>
      <c r="PV133" s="13"/>
      <c r="PW133" s="13"/>
      <c r="PX133" s="13"/>
      <c r="PY133" s="13"/>
      <c r="PZ133" s="13"/>
      <c r="QA133" s="13"/>
    </row>
    <row r="134" spans="1:443" x14ac:dyDescent="0.3"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6"/>
      <c r="R134" s="17" t="str">
        <f t="shared" si="11"/>
        <v/>
      </c>
      <c r="S134" s="17" t="str">
        <f t="shared" si="12"/>
        <v/>
      </c>
      <c r="T134" s="18" t="str">
        <f t="shared" si="13"/>
        <v/>
      </c>
      <c r="U134" s="15"/>
      <c r="V134" s="19" t="str">
        <f t="shared" si="14"/>
        <v/>
      </c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3"/>
      <c r="DB134" s="13"/>
      <c r="DC134" s="13"/>
      <c r="DD134" s="13"/>
      <c r="DE134" s="13"/>
      <c r="DF134" s="13"/>
      <c r="DG134" s="13"/>
      <c r="DH134" s="13"/>
      <c r="DI134" s="13"/>
      <c r="DJ134" s="13"/>
      <c r="DK134" s="13"/>
      <c r="DL134" s="13"/>
      <c r="DM134" s="13"/>
      <c r="DN134" s="13"/>
      <c r="DO134" s="13"/>
      <c r="DP134" s="13"/>
      <c r="DQ134" s="13"/>
      <c r="DR134" s="13"/>
      <c r="DS134" s="13"/>
      <c r="DT134" s="13"/>
      <c r="DU134" s="13"/>
      <c r="DV134" s="13"/>
      <c r="DW134" s="13"/>
      <c r="DX134" s="13"/>
      <c r="DY134" s="13"/>
      <c r="DZ134" s="13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  <c r="JP134" s="13"/>
      <c r="JQ134" s="13"/>
      <c r="JR134" s="13"/>
      <c r="JS134" s="13"/>
      <c r="JT134" s="13"/>
      <c r="JU134" s="13"/>
      <c r="JV134" s="13"/>
      <c r="JW134" s="13"/>
      <c r="JX134" s="13"/>
      <c r="JY134" s="13"/>
      <c r="JZ134" s="13"/>
      <c r="KA134" s="13"/>
      <c r="KB134" s="13"/>
      <c r="KC134" s="13"/>
      <c r="KD134" s="13"/>
      <c r="KE134" s="13"/>
      <c r="KF134" s="13"/>
      <c r="KG134" s="13"/>
      <c r="KH134" s="13"/>
      <c r="KI134" s="13"/>
      <c r="KJ134" s="13"/>
      <c r="KK134" s="13"/>
      <c r="KL134" s="13"/>
      <c r="KM134" s="13"/>
      <c r="KN134" s="13"/>
      <c r="KO134" s="13"/>
      <c r="KP134" s="13"/>
      <c r="KQ134" s="13"/>
      <c r="KR134" s="13"/>
      <c r="KS134" s="13"/>
      <c r="KT134" s="13"/>
      <c r="KU134" s="13"/>
      <c r="KV134" s="13"/>
      <c r="KW134" s="13"/>
      <c r="KX134" s="13"/>
      <c r="KY134" s="13"/>
      <c r="KZ134" s="13"/>
      <c r="LA134" s="13"/>
      <c r="LB134" s="13"/>
      <c r="LC134" s="13"/>
      <c r="LD134" s="13"/>
      <c r="LE134" s="13"/>
      <c r="LF134" s="13"/>
      <c r="LG134" s="13"/>
      <c r="LH134" s="13"/>
      <c r="LI134" s="13"/>
      <c r="LJ134" s="13"/>
      <c r="LK134" s="13"/>
      <c r="LL134" s="13"/>
      <c r="LM134" s="13"/>
      <c r="LN134" s="13"/>
      <c r="LO134" s="13"/>
      <c r="LP134" s="13"/>
      <c r="LQ134" s="13"/>
      <c r="LR134" s="13"/>
      <c r="LS134" s="13"/>
      <c r="LT134" s="13"/>
      <c r="LU134" s="13"/>
      <c r="LV134" s="13"/>
      <c r="LW134" s="13"/>
      <c r="LX134" s="13"/>
      <c r="LY134" s="13"/>
      <c r="LZ134" s="13"/>
      <c r="MA134" s="13"/>
      <c r="MB134" s="13"/>
      <c r="MC134" s="13"/>
      <c r="MD134" s="13"/>
      <c r="ME134" s="13"/>
      <c r="MF134" s="13"/>
      <c r="MG134" s="13"/>
      <c r="MH134" s="13"/>
      <c r="MI134" s="13"/>
      <c r="MJ134" s="13"/>
      <c r="MK134" s="13"/>
      <c r="ML134" s="13"/>
      <c r="MM134" s="13"/>
      <c r="MN134" s="13"/>
      <c r="MO134" s="13"/>
      <c r="MP134" s="13"/>
      <c r="MQ134" s="13"/>
      <c r="MR134" s="13"/>
      <c r="MS134" s="13"/>
      <c r="MT134" s="13"/>
      <c r="MU134" s="13"/>
      <c r="MV134" s="13"/>
      <c r="MW134" s="13"/>
      <c r="MX134" s="13"/>
      <c r="MY134" s="13"/>
      <c r="MZ134" s="13"/>
      <c r="NA134" s="13"/>
      <c r="NB134" s="13"/>
      <c r="NC134" s="13"/>
      <c r="ND134" s="13"/>
      <c r="NE134" s="13"/>
      <c r="NF134" s="13"/>
      <c r="NG134" s="13"/>
      <c r="NH134" s="13"/>
      <c r="NI134" s="13"/>
      <c r="NJ134" s="13"/>
      <c r="NK134" s="13"/>
      <c r="NL134" s="13"/>
      <c r="NM134" s="13"/>
      <c r="NN134" s="13"/>
      <c r="NO134" s="13"/>
      <c r="NP134" s="13"/>
      <c r="NQ134" s="13"/>
      <c r="NR134" s="13"/>
      <c r="NS134" s="13"/>
      <c r="NT134" s="13"/>
      <c r="NU134" s="13"/>
      <c r="NV134" s="13"/>
      <c r="NW134" s="13"/>
      <c r="NX134" s="13"/>
      <c r="NY134" s="13"/>
      <c r="NZ134" s="13"/>
      <c r="OA134" s="13"/>
      <c r="OB134" s="13"/>
      <c r="OC134" s="13"/>
      <c r="OD134" s="13"/>
      <c r="OE134" s="13"/>
      <c r="OF134" s="13"/>
      <c r="OG134" s="13"/>
      <c r="OH134" s="13"/>
      <c r="OI134" s="13"/>
      <c r="OJ134" s="13"/>
      <c r="OK134" s="13"/>
      <c r="OL134" s="13"/>
      <c r="OM134" s="13"/>
      <c r="ON134" s="13"/>
      <c r="OO134" s="13"/>
      <c r="OP134" s="13"/>
      <c r="OQ134" s="13"/>
      <c r="OR134" s="13"/>
      <c r="OS134" s="13"/>
      <c r="OT134" s="13"/>
      <c r="OU134" s="13"/>
      <c r="OV134" s="13"/>
      <c r="OW134" s="13"/>
      <c r="OX134" s="13"/>
      <c r="OY134" s="13"/>
      <c r="OZ134" s="13"/>
      <c r="PA134" s="13"/>
      <c r="PB134" s="13"/>
      <c r="PC134" s="13"/>
      <c r="PD134" s="13"/>
      <c r="PE134" s="13"/>
      <c r="PF134" s="13"/>
      <c r="PG134" s="13"/>
      <c r="PH134" s="13"/>
      <c r="PI134" s="13"/>
      <c r="PJ134" s="13"/>
      <c r="PK134" s="13"/>
      <c r="PL134" s="13"/>
      <c r="PM134" s="13"/>
      <c r="PN134" s="13"/>
      <c r="PO134" s="13"/>
      <c r="PP134" s="13"/>
      <c r="PQ134" s="13"/>
      <c r="PR134" s="13"/>
      <c r="PS134" s="13"/>
      <c r="PT134" s="13"/>
      <c r="PU134" s="13"/>
      <c r="PV134" s="13"/>
      <c r="PW134" s="13"/>
      <c r="PX134" s="13"/>
      <c r="PY134" s="13"/>
      <c r="PZ134" s="13"/>
      <c r="QA134" s="13"/>
    </row>
    <row r="135" spans="1:443" x14ac:dyDescent="0.3"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6"/>
      <c r="R135" s="17" t="str">
        <f t="shared" si="11"/>
        <v/>
      </c>
      <c r="S135" s="17" t="str">
        <f t="shared" si="12"/>
        <v/>
      </c>
      <c r="T135" s="18" t="str">
        <f t="shared" si="13"/>
        <v/>
      </c>
      <c r="U135" s="15"/>
      <c r="V135" s="19" t="str">
        <f t="shared" si="14"/>
        <v/>
      </c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3"/>
      <c r="DB135" s="13"/>
      <c r="DC135" s="13"/>
      <c r="DD135" s="13"/>
      <c r="DE135" s="13"/>
      <c r="DF135" s="13"/>
      <c r="DG135" s="13"/>
      <c r="DH135" s="13"/>
      <c r="DI135" s="13"/>
      <c r="DJ135" s="13"/>
      <c r="DK135" s="13"/>
      <c r="DL135" s="13"/>
      <c r="DM135" s="13"/>
      <c r="DN135" s="13"/>
      <c r="DO135" s="13"/>
      <c r="DP135" s="13"/>
      <c r="DQ135" s="13"/>
      <c r="DR135" s="13"/>
      <c r="DS135" s="13"/>
      <c r="DT135" s="13"/>
      <c r="DU135" s="13"/>
      <c r="DV135" s="13"/>
      <c r="DW135" s="13"/>
      <c r="DX135" s="13"/>
      <c r="DY135" s="13"/>
      <c r="DZ135" s="13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  <c r="JP135" s="13"/>
      <c r="JQ135" s="13"/>
      <c r="JR135" s="13"/>
      <c r="JS135" s="13"/>
      <c r="JT135" s="13"/>
      <c r="JU135" s="13"/>
      <c r="JV135" s="13"/>
      <c r="JW135" s="13"/>
      <c r="JX135" s="13"/>
      <c r="JY135" s="13"/>
      <c r="JZ135" s="13"/>
      <c r="KA135" s="13"/>
      <c r="KB135" s="13"/>
      <c r="KC135" s="13"/>
      <c r="KD135" s="13"/>
      <c r="KE135" s="13"/>
      <c r="KF135" s="13"/>
      <c r="KG135" s="13"/>
      <c r="KH135" s="13"/>
      <c r="KI135" s="13"/>
      <c r="KJ135" s="13"/>
      <c r="KK135" s="13"/>
      <c r="KL135" s="13"/>
      <c r="KM135" s="13"/>
      <c r="KN135" s="13"/>
      <c r="KO135" s="13"/>
      <c r="KP135" s="13"/>
      <c r="KQ135" s="13"/>
      <c r="KR135" s="13"/>
      <c r="KS135" s="13"/>
      <c r="KT135" s="13"/>
      <c r="KU135" s="13"/>
      <c r="KV135" s="13"/>
      <c r="KW135" s="13"/>
      <c r="KX135" s="13"/>
      <c r="KY135" s="13"/>
      <c r="KZ135" s="13"/>
      <c r="LA135" s="13"/>
      <c r="LB135" s="13"/>
      <c r="LC135" s="13"/>
      <c r="LD135" s="13"/>
      <c r="LE135" s="13"/>
      <c r="LF135" s="13"/>
      <c r="LG135" s="13"/>
      <c r="LH135" s="13"/>
      <c r="LI135" s="13"/>
      <c r="LJ135" s="13"/>
      <c r="LK135" s="13"/>
      <c r="LL135" s="13"/>
      <c r="LM135" s="13"/>
      <c r="LN135" s="13"/>
      <c r="LO135" s="13"/>
      <c r="LP135" s="13"/>
      <c r="LQ135" s="13"/>
      <c r="LR135" s="13"/>
      <c r="LS135" s="13"/>
      <c r="LT135" s="13"/>
      <c r="LU135" s="13"/>
      <c r="LV135" s="13"/>
      <c r="LW135" s="13"/>
      <c r="LX135" s="13"/>
      <c r="LY135" s="13"/>
      <c r="LZ135" s="13"/>
      <c r="MA135" s="13"/>
      <c r="MB135" s="13"/>
      <c r="MC135" s="13"/>
      <c r="MD135" s="13"/>
      <c r="ME135" s="13"/>
      <c r="MF135" s="13"/>
      <c r="MG135" s="13"/>
      <c r="MH135" s="13"/>
      <c r="MI135" s="13"/>
      <c r="MJ135" s="13"/>
      <c r="MK135" s="13"/>
      <c r="ML135" s="13"/>
      <c r="MM135" s="13"/>
      <c r="MN135" s="13"/>
      <c r="MO135" s="13"/>
      <c r="MP135" s="13"/>
      <c r="MQ135" s="13"/>
      <c r="MR135" s="13"/>
      <c r="MS135" s="13"/>
      <c r="MT135" s="13"/>
      <c r="MU135" s="13"/>
      <c r="MV135" s="13"/>
      <c r="MW135" s="13"/>
      <c r="MX135" s="13"/>
      <c r="MY135" s="13"/>
      <c r="MZ135" s="13"/>
      <c r="NA135" s="13"/>
      <c r="NB135" s="13"/>
      <c r="NC135" s="13"/>
      <c r="ND135" s="13"/>
      <c r="NE135" s="13"/>
      <c r="NF135" s="13"/>
      <c r="NG135" s="13"/>
      <c r="NH135" s="13"/>
      <c r="NI135" s="13"/>
      <c r="NJ135" s="13"/>
      <c r="NK135" s="13"/>
      <c r="NL135" s="13"/>
      <c r="NM135" s="13"/>
      <c r="NN135" s="13"/>
      <c r="NO135" s="13"/>
      <c r="NP135" s="13"/>
      <c r="NQ135" s="13"/>
      <c r="NR135" s="13"/>
      <c r="NS135" s="13"/>
      <c r="NT135" s="13"/>
      <c r="NU135" s="13"/>
      <c r="NV135" s="13"/>
      <c r="NW135" s="13"/>
      <c r="NX135" s="13"/>
      <c r="NY135" s="13"/>
      <c r="NZ135" s="13"/>
      <c r="OA135" s="13"/>
      <c r="OB135" s="13"/>
      <c r="OC135" s="13"/>
      <c r="OD135" s="13"/>
      <c r="OE135" s="13"/>
      <c r="OF135" s="13"/>
      <c r="OG135" s="13"/>
      <c r="OH135" s="13"/>
      <c r="OI135" s="13"/>
      <c r="OJ135" s="13"/>
      <c r="OK135" s="13"/>
      <c r="OL135" s="13"/>
      <c r="OM135" s="13"/>
      <c r="ON135" s="13"/>
      <c r="OO135" s="13"/>
      <c r="OP135" s="13"/>
      <c r="OQ135" s="13"/>
      <c r="OR135" s="13"/>
      <c r="OS135" s="13"/>
      <c r="OT135" s="13"/>
      <c r="OU135" s="13"/>
      <c r="OV135" s="13"/>
      <c r="OW135" s="13"/>
      <c r="OX135" s="13"/>
      <c r="OY135" s="13"/>
      <c r="OZ135" s="13"/>
      <c r="PA135" s="13"/>
      <c r="PB135" s="13"/>
      <c r="PC135" s="13"/>
      <c r="PD135" s="13"/>
      <c r="PE135" s="13"/>
      <c r="PF135" s="13"/>
      <c r="PG135" s="13"/>
      <c r="PH135" s="13"/>
      <c r="PI135" s="13"/>
      <c r="PJ135" s="13"/>
      <c r="PK135" s="13"/>
      <c r="PL135" s="13"/>
      <c r="PM135" s="13"/>
      <c r="PN135" s="13"/>
      <c r="PO135" s="13"/>
      <c r="PP135" s="13"/>
      <c r="PQ135" s="13"/>
      <c r="PR135" s="13"/>
      <c r="PS135" s="13"/>
      <c r="PT135" s="13"/>
      <c r="PU135" s="13"/>
      <c r="PV135" s="13"/>
      <c r="PW135" s="13"/>
      <c r="PX135" s="13"/>
      <c r="PY135" s="13"/>
      <c r="PZ135" s="13"/>
      <c r="QA135" s="13"/>
    </row>
    <row r="136" spans="1:443" x14ac:dyDescent="0.3"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6"/>
      <c r="R136" s="17" t="str">
        <f t="shared" si="11"/>
        <v/>
      </c>
      <c r="S136" s="17" t="str">
        <f t="shared" si="12"/>
        <v/>
      </c>
      <c r="T136" s="18" t="str">
        <f t="shared" si="13"/>
        <v/>
      </c>
      <c r="U136" s="15"/>
      <c r="V136" s="19" t="str">
        <f t="shared" si="14"/>
        <v/>
      </c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3"/>
      <c r="DB136" s="13"/>
      <c r="DC136" s="13"/>
      <c r="DD136" s="13"/>
      <c r="DE136" s="13"/>
      <c r="DF136" s="13"/>
      <c r="DG136" s="13"/>
      <c r="DH136" s="13"/>
      <c r="DI136" s="13"/>
      <c r="DJ136" s="13"/>
      <c r="DK136" s="13"/>
      <c r="DL136" s="13"/>
      <c r="DM136" s="13"/>
      <c r="DN136" s="13"/>
      <c r="DO136" s="13"/>
      <c r="DP136" s="13"/>
      <c r="DQ136" s="13"/>
      <c r="DR136" s="13"/>
      <c r="DS136" s="13"/>
      <c r="DT136" s="13"/>
      <c r="DU136" s="13"/>
      <c r="DV136" s="13"/>
      <c r="DW136" s="13"/>
      <c r="DX136" s="13"/>
      <c r="DY136" s="13"/>
      <c r="DZ136" s="13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  <c r="JP136" s="13"/>
      <c r="JQ136" s="13"/>
      <c r="JR136" s="13"/>
      <c r="JS136" s="13"/>
      <c r="JT136" s="13"/>
      <c r="JU136" s="13"/>
      <c r="JV136" s="13"/>
      <c r="JW136" s="13"/>
      <c r="JX136" s="13"/>
      <c r="JY136" s="13"/>
      <c r="JZ136" s="13"/>
      <c r="KA136" s="13"/>
      <c r="KB136" s="13"/>
      <c r="KC136" s="13"/>
      <c r="KD136" s="13"/>
      <c r="KE136" s="13"/>
      <c r="KF136" s="13"/>
      <c r="KG136" s="13"/>
      <c r="KH136" s="13"/>
      <c r="KI136" s="13"/>
      <c r="KJ136" s="13"/>
      <c r="KK136" s="13"/>
      <c r="KL136" s="13"/>
      <c r="KM136" s="13"/>
      <c r="KN136" s="13"/>
      <c r="KO136" s="13"/>
      <c r="KP136" s="13"/>
      <c r="KQ136" s="13"/>
      <c r="KR136" s="13"/>
      <c r="KS136" s="13"/>
      <c r="KT136" s="13"/>
      <c r="KU136" s="13"/>
      <c r="KV136" s="13"/>
      <c r="KW136" s="13"/>
      <c r="KX136" s="13"/>
      <c r="KY136" s="13"/>
      <c r="KZ136" s="13"/>
      <c r="LA136" s="13"/>
      <c r="LB136" s="13"/>
      <c r="LC136" s="13"/>
      <c r="LD136" s="13"/>
      <c r="LE136" s="13"/>
      <c r="LF136" s="13"/>
      <c r="LG136" s="13"/>
      <c r="LH136" s="13"/>
      <c r="LI136" s="13"/>
      <c r="LJ136" s="13"/>
      <c r="LK136" s="13"/>
      <c r="LL136" s="13"/>
      <c r="LM136" s="13"/>
      <c r="LN136" s="13"/>
      <c r="LO136" s="13"/>
      <c r="LP136" s="13"/>
      <c r="LQ136" s="13"/>
      <c r="LR136" s="13"/>
      <c r="LS136" s="13"/>
      <c r="LT136" s="13"/>
      <c r="LU136" s="13"/>
      <c r="LV136" s="13"/>
      <c r="LW136" s="13"/>
      <c r="LX136" s="13"/>
      <c r="LY136" s="13"/>
      <c r="LZ136" s="13"/>
      <c r="MA136" s="13"/>
      <c r="MB136" s="13"/>
      <c r="MC136" s="13"/>
      <c r="MD136" s="13"/>
      <c r="ME136" s="13"/>
      <c r="MF136" s="13"/>
      <c r="MG136" s="13"/>
      <c r="MH136" s="13"/>
      <c r="MI136" s="13"/>
      <c r="MJ136" s="13"/>
      <c r="MK136" s="13"/>
      <c r="ML136" s="13"/>
      <c r="MM136" s="13"/>
      <c r="MN136" s="13"/>
      <c r="MO136" s="13"/>
      <c r="MP136" s="13"/>
      <c r="MQ136" s="13"/>
      <c r="MR136" s="13"/>
      <c r="MS136" s="13"/>
      <c r="MT136" s="13"/>
      <c r="MU136" s="13"/>
      <c r="MV136" s="13"/>
      <c r="MW136" s="13"/>
      <c r="MX136" s="13"/>
      <c r="MY136" s="13"/>
      <c r="MZ136" s="13"/>
      <c r="NA136" s="13"/>
      <c r="NB136" s="13"/>
      <c r="NC136" s="13"/>
      <c r="ND136" s="13"/>
      <c r="NE136" s="13"/>
      <c r="NF136" s="13"/>
      <c r="NG136" s="13"/>
      <c r="NH136" s="13"/>
      <c r="NI136" s="13"/>
      <c r="NJ136" s="13"/>
      <c r="NK136" s="13"/>
      <c r="NL136" s="13"/>
      <c r="NM136" s="13"/>
      <c r="NN136" s="13"/>
      <c r="NO136" s="13"/>
      <c r="NP136" s="13"/>
      <c r="NQ136" s="13"/>
      <c r="NR136" s="13"/>
      <c r="NS136" s="13"/>
      <c r="NT136" s="13"/>
      <c r="NU136" s="13"/>
      <c r="NV136" s="13"/>
      <c r="NW136" s="13"/>
      <c r="NX136" s="13"/>
      <c r="NY136" s="13"/>
      <c r="NZ136" s="13"/>
      <c r="OA136" s="13"/>
      <c r="OB136" s="13"/>
      <c r="OC136" s="13"/>
      <c r="OD136" s="13"/>
      <c r="OE136" s="13"/>
      <c r="OF136" s="13"/>
      <c r="OG136" s="13"/>
      <c r="OH136" s="13"/>
      <c r="OI136" s="13"/>
      <c r="OJ136" s="13"/>
      <c r="OK136" s="13"/>
      <c r="OL136" s="13"/>
      <c r="OM136" s="13"/>
      <c r="ON136" s="13"/>
      <c r="OO136" s="13"/>
      <c r="OP136" s="13"/>
      <c r="OQ136" s="13"/>
      <c r="OR136" s="13"/>
      <c r="OS136" s="13"/>
      <c r="OT136" s="13"/>
      <c r="OU136" s="13"/>
      <c r="OV136" s="13"/>
      <c r="OW136" s="13"/>
      <c r="OX136" s="13"/>
      <c r="OY136" s="13"/>
      <c r="OZ136" s="13"/>
      <c r="PA136" s="13"/>
      <c r="PB136" s="13"/>
      <c r="PC136" s="13"/>
      <c r="PD136" s="13"/>
      <c r="PE136" s="13"/>
      <c r="PF136" s="13"/>
      <c r="PG136" s="13"/>
      <c r="PH136" s="13"/>
      <c r="PI136" s="13"/>
      <c r="PJ136" s="13"/>
      <c r="PK136" s="13"/>
      <c r="PL136" s="13"/>
      <c r="PM136" s="13"/>
      <c r="PN136" s="13"/>
      <c r="PO136" s="13"/>
      <c r="PP136" s="13"/>
      <c r="PQ136" s="13"/>
      <c r="PR136" s="13"/>
      <c r="PS136" s="13"/>
      <c r="PT136" s="13"/>
      <c r="PU136" s="13"/>
      <c r="PV136" s="13"/>
      <c r="PW136" s="13"/>
      <c r="PX136" s="13"/>
      <c r="PY136" s="13"/>
      <c r="PZ136" s="13"/>
      <c r="QA136" s="13"/>
    </row>
    <row r="137" spans="1:443" x14ac:dyDescent="0.3"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6"/>
      <c r="R137" s="17" t="str">
        <f t="shared" si="11"/>
        <v/>
      </c>
      <c r="S137" s="17" t="str">
        <f t="shared" si="12"/>
        <v/>
      </c>
      <c r="T137" s="18" t="str">
        <f t="shared" si="13"/>
        <v/>
      </c>
      <c r="U137" s="15"/>
      <c r="V137" s="19" t="str">
        <f t="shared" si="14"/>
        <v/>
      </c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3"/>
      <c r="DB137" s="13"/>
      <c r="DC137" s="13"/>
      <c r="DD137" s="13"/>
      <c r="DE137" s="13"/>
      <c r="DF137" s="13"/>
      <c r="DG137" s="13"/>
      <c r="DH137" s="13"/>
      <c r="DI137" s="13"/>
      <c r="DJ137" s="13"/>
      <c r="DK137" s="13"/>
      <c r="DL137" s="13"/>
      <c r="DM137" s="13"/>
      <c r="DN137" s="13"/>
      <c r="DO137" s="13"/>
      <c r="DP137" s="13"/>
      <c r="DQ137" s="13"/>
      <c r="DR137" s="13"/>
      <c r="DS137" s="13"/>
      <c r="DT137" s="13"/>
      <c r="DU137" s="13"/>
      <c r="DV137" s="13"/>
      <c r="DW137" s="13"/>
      <c r="DX137" s="13"/>
      <c r="DY137" s="13"/>
      <c r="DZ137" s="13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  <c r="JP137" s="13"/>
      <c r="JQ137" s="13"/>
      <c r="JR137" s="13"/>
      <c r="JS137" s="13"/>
      <c r="JT137" s="13"/>
      <c r="JU137" s="13"/>
      <c r="JV137" s="13"/>
      <c r="JW137" s="13"/>
      <c r="JX137" s="13"/>
      <c r="JY137" s="13"/>
      <c r="JZ137" s="13"/>
      <c r="KA137" s="13"/>
      <c r="KB137" s="13"/>
      <c r="KC137" s="13"/>
      <c r="KD137" s="13"/>
      <c r="KE137" s="13"/>
      <c r="KF137" s="13"/>
      <c r="KG137" s="13"/>
      <c r="KH137" s="13"/>
      <c r="KI137" s="13"/>
      <c r="KJ137" s="13"/>
      <c r="KK137" s="13"/>
      <c r="KL137" s="13"/>
      <c r="KM137" s="13"/>
      <c r="KN137" s="13"/>
      <c r="KO137" s="13"/>
      <c r="KP137" s="13"/>
      <c r="KQ137" s="13"/>
      <c r="KR137" s="13"/>
      <c r="KS137" s="13"/>
      <c r="KT137" s="13"/>
      <c r="KU137" s="13"/>
      <c r="KV137" s="13"/>
      <c r="KW137" s="13"/>
      <c r="KX137" s="13"/>
      <c r="KY137" s="13"/>
      <c r="KZ137" s="13"/>
      <c r="LA137" s="13"/>
      <c r="LB137" s="13"/>
      <c r="LC137" s="13"/>
      <c r="LD137" s="13"/>
      <c r="LE137" s="13"/>
      <c r="LF137" s="13"/>
      <c r="LG137" s="13"/>
      <c r="LH137" s="13"/>
      <c r="LI137" s="13"/>
      <c r="LJ137" s="13"/>
      <c r="LK137" s="13"/>
      <c r="LL137" s="13"/>
      <c r="LM137" s="13"/>
      <c r="LN137" s="13"/>
      <c r="LO137" s="13"/>
      <c r="LP137" s="13"/>
      <c r="LQ137" s="13"/>
      <c r="LR137" s="13"/>
      <c r="LS137" s="13"/>
      <c r="LT137" s="13"/>
      <c r="LU137" s="13"/>
      <c r="LV137" s="13"/>
      <c r="LW137" s="13"/>
      <c r="LX137" s="13"/>
      <c r="LY137" s="13"/>
      <c r="LZ137" s="13"/>
      <c r="MA137" s="13"/>
      <c r="MB137" s="13"/>
      <c r="MC137" s="13"/>
      <c r="MD137" s="13"/>
      <c r="ME137" s="13"/>
      <c r="MF137" s="13"/>
      <c r="MG137" s="13"/>
      <c r="MH137" s="13"/>
      <c r="MI137" s="13"/>
      <c r="MJ137" s="13"/>
      <c r="MK137" s="13"/>
      <c r="ML137" s="13"/>
      <c r="MM137" s="13"/>
      <c r="MN137" s="13"/>
      <c r="MO137" s="13"/>
      <c r="MP137" s="13"/>
      <c r="MQ137" s="13"/>
      <c r="MR137" s="13"/>
      <c r="MS137" s="13"/>
      <c r="MT137" s="13"/>
      <c r="MU137" s="13"/>
      <c r="MV137" s="13"/>
      <c r="MW137" s="13"/>
      <c r="MX137" s="13"/>
      <c r="MY137" s="13"/>
      <c r="MZ137" s="13"/>
      <c r="NA137" s="13"/>
      <c r="NB137" s="13"/>
      <c r="NC137" s="13"/>
      <c r="ND137" s="13"/>
      <c r="NE137" s="13"/>
      <c r="NF137" s="13"/>
      <c r="NG137" s="13"/>
      <c r="NH137" s="13"/>
      <c r="NI137" s="13"/>
      <c r="NJ137" s="13"/>
      <c r="NK137" s="13"/>
      <c r="NL137" s="13"/>
      <c r="NM137" s="13"/>
      <c r="NN137" s="13"/>
      <c r="NO137" s="13"/>
      <c r="NP137" s="13"/>
      <c r="NQ137" s="13"/>
      <c r="NR137" s="13"/>
      <c r="NS137" s="13"/>
      <c r="NT137" s="13"/>
      <c r="NU137" s="13"/>
      <c r="NV137" s="13"/>
      <c r="NW137" s="13"/>
      <c r="NX137" s="13"/>
      <c r="NY137" s="13"/>
      <c r="NZ137" s="13"/>
      <c r="OA137" s="13"/>
      <c r="OB137" s="13"/>
      <c r="OC137" s="13"/>
      <c r="OD137" s="13"/>
      <c r="OE137" s="13"/>
      <c r="OF137" s="13"/>
      <c r="OG137" s="13"/>
      <c r="OH137" s="13"/>
      <c r="OI137" s="13"/>
      <c r="OJ137" s="13"/>
      <c r="OK137" s="13"/>
      <c r="OL137" s="13"/>
      <c r="OM137" s="13"/>
      <c r="ON137" s="13"/>
      <c r="OO137" s="13"/>
      <c r="OP137" s="13"/>
      <c r="OQ137" s="13"/>
      <c r="OR137" s="13"/>
      <c r="OS137" s="13"/>
      <c r="OT137" s="13"/>
      <c r="OU137" s="13"/>
      <c r="OV137" s="13"/>
      <c r="OW137" s="13"/>
      <c r="OX137" s="13"/>
      <c r="OY137" s="13"/>
      <c r="OZ137" s="13"/>
      <c r="PA137" s="13"/>
      <c r="PB137" s="13"/>
      <c r="PC137" s="13"/>
      <c r="PD137" s="13"/>
      <c r="PE137" s="13"/>
      <c r="PF137" s="13"/>
      <c r="PG137" s="13"/>
      <c r="PH137" s="13"/>
      <c r="PI137" s="13"/>
      <c r="PJ137" s="13"/>
      <c r="PK137" s="13"/>
      <c r="PL137" s="13"/>
      <c r="PM137" s="13"/>
      <c r="PN137" s="13"/>
      <c r="PO137" s="13"/>
      <c r="PP137" s="13"/>
      <c r="PQ137" s="13"/>
      <c r="PR137" s="13"/>
      <c r="PS137" s="13"/>
      <c r="PT137" s="13"/>
      <c r="PU137" s="13"/>
      <c r="PV137" s="13"/>
      <c r="PW137" s="13"/>
      <c r="PX137" s="13"/>
      <c r="PY137" s="13"/>
      <c r="PZ137" s="13"/>
      <c r="QA137" s="13"/>
    </row>
    <row r="138" spans="1:443" x14ac:dyDescent="0.3">
      <c r="B138" s="15"/>
      <c r="C138" s="15"/>
      <c r="D138" s="15"/>
      <c r="E138" s="15"/>
      <c r="F138" s="31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6"/>
      <c r="R138" s="17" t="str">
        <f t="shared" si="11"/>
        <v/>
      </c>
      <c r="S138" s="17" t="str">
        <f t="shared" si="12"/>
        <v/>
      </c>
      <c r="T138" s="18" t="str">
        <f t="shared" si="13"/>
        <v/>
      </c>
      <c r="V138" s="19" t="str">
        <f t="shared" si="14"/>
        <v/>
      </c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3"/>
      <c r="DB138" s="13"/>
      <c r="DC138" s="13"/>
      <c r="DD138" s="13"/>
      <c r="DE138" s="13"/>
      <c r="DF138" s="13"/>
      <c r="DG138" s="13"/>
      <c r="DH138" s="13"/>
      <c r="DI138" s="13"/>
      <c r="DJ138" s="13"/>
      <c r="DK138" s="13"/>
      <c r="DL138" s="13"/>
      <c r="DM138" s="13"/>
      <c r="DN138" s="13"/>
      <c r="DO138" s="13"/>
      <c r="DP138" s="13"/>
      <c r="DQ138" s="13"/>
      <c r="DR138" s="13"/>
      <c r="DS138" s="13"/>
      <c r="DT138" s="13"/>
      <c r="DU138" s="13"/>
      <c r="DV138" s="13"/>
      <c r="DW138" s="13"/>
      <c r="DX138" s="13"/>
      <c r="DY138" s="13"/>
      <c r="DZ138" s="13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  <c r="JP138" s="13"/>
      <c r="JQ138" s="13"/>
      <c r="JR138" s="13"/>
      <c r="JS138" s="13"/>
      <c r="JT138" s="13"/>
      <c r="JU138" s="13"/>
      <c r="JV138" s="13"/>
      <c r="JW138" s="13"/>
      <c r="JX138" s="13"/>
      <c r="JY138" s="13"/>
      <c r="JZ138" s="13"/>
      <c r="KA138" s="13"/>
      <c r="KB138" s="13"/>
      <c r="KC138" s="13"/>
      <c r="KD138" s="13"/>
      <c r="KE138" s="13"/>
      <c r="KF138" s="13"/>
      <c r="KG138" s="13"/>
      <c r="KH138" s="13"/>
      <c r="KI138" s="13"/>
      <c r="KJ138" s="13"/>
      <c r="KK138" s="13"/>
      <c r="KL138" s="13"/>
      <c r="KM138" s="13"/>
      <c r="KN138" s="13"/>
      <c r="KO138" s="13"/>
      <c r="KP138" s="13"/>
      <c r="KQ138" s="13"/>
      <c r="KR138" s="13"/>
      <c r="KS138" s="13"/>
      <c r="KT138" s="13"/>
      <c r="KU138" s="13"/>
      <c r="KV138" s="13"/>
      <c r="KW138" s="13"/>
      <c r="KX138" s="13"/>
      <c r="KY138" s="13"/>
      <c r="KZ138" s="13"/>
      <c r="LA138" s="13"/>
      <c r="LB138" s="13"/>
      <c r="LC138" s="13"/>
      <c r="LD138" s="13"/>
      <c r="LE138" s="13"/>
      <c r="LF138" s="13"/>
      <c r="LG138" s="13"/>
      <c r="LH138" s="13"/>
      <c r="LI138" s="13"/>
      <c r="LJ138" s="13"/>
      <c r="LK138" s="13"/>
      <c r="LL138" s="13"/>
      <c r="LM138" s="13"/>
      <c r="LN138" s="13"/>
      <c r="LO138" s="13"/>
      <c r="LP138" s="13"/>
      <c r="LQ138" s="13"/>
      <c r="LR138" s="13"/>
      <c r="LS138" s="13"/>
      <c r="LT138" s="13"/>
      <c r="LU138" s="13"/>
      <c r="LV138" s="13"/>
      <c r="LW138" s="13"/>
      <c r="LX138" s="13"/>
      <c r="LY138" s="13"/>
      <c r="LZ138" s="13"/>
      <c r="MA138" s="13"/>
      <c r="MB138" s="13"/>
      <c r="MC138" s="13"/>
      <c r="MD138" s="13"/>
      <c r="ME138" s="13"/>
      <c r="MF138" s="13"/>
      <c r="MG138" s="13"/>
      <c r="MH138" s="13"/>
      <c r="MI138" s="13"/>
      <c r="MJ138" s="13"/>
      <c r="MK138" s="13"/>
      <c r="ML138" s="13"/>
      <c r="MM138" s="13"/>
      <c r="MN138" s="13"/>
      <c r="MO138" s="13"/>
      <c r="MP138" s="13"/>
      <c r="MQ138" s="13"/>
      <c r="MR138" s="13"/>
      <c r="MS138" s="13"/>
      <c r="MT138" s="13"/>
      <c r="MU138" s="13"/>
      <c r="MV138" s="13"/>
      <c r="MW138" s="13"/>
      <c r="MX138" s="13"/>
      <c r="MY138" s="13"/>
      <c r="MZ138" s="13"/>
      <c r="NA138" s="13"/>
      <c r="NB138" s="13"/>
      <c r="NC138" s="13"/>
      <c r="ND138" s="13"/>
      <c r="NE138" s="13"/>
      <c r="NF138" s="13"/>
      <c r="NG138" s="13"/>
      <c r="NH138" s="13"/>
      <c r="NI138" s="13"/>
      <c r="NJ138" s="13"/>
      <c r="NK138" s="13"/>
      <c r="NL138" s="13"/>
      <c r="NM138" s="13"/>
      <c r="NN138" s="13"/>
      <c r="NO138" s="13"/>
      <c r="NP138" s="13"/>
      <c r="NQ138" s="13"/>
      <c r="NR138" s="13"/>
      <c r="NS138" s="13"/>
      <c r="NT138" s="13"/>
      <c r="NU138" s="13"/>
      <c r="NV138" s="13"/>
      <c r="NW138" s="13"/>
      <c r="NX138" s="13"/>
      <c r="NY138" s="13"/>
      <c r="NZ138" s="13"/>
      <c r="OA138" s="13"/>
      <c r="OB138" s="13"/>
      <c r="OC138" s="13"/>
      <c r="OD138" s="13"/>
      <c r="OE138" s="13"/>
      <c r="OF138" s="13"/>
      <c r="OG138" s="13"/>
      <c r="OH138" s="13"/>
      <c r="OI138" s="13"/>
      <c r="OJ138" s="13"/>
      <c r="OK138" s="13"/>
      <c r="OL138" s="13"/>
      <c r="OM138" s="13"/>
      <c r="ON138" s="13"/>
      <c r="OO138" s="13"/>
      <c r="OP138" s="13"/>
      <c r="OQ138" s="13"/>
      <c r="OR138" s="13"/>
      <c r="OS138" s="13"/>
      <c r="OT138" s="13"/>
      <c r="OU138" s="13"/>
      <c r="OV138" s="13"/>
      <c r="OW138" s="13"/>
      <c r="OX138" s="13"/>
      <c r="OY138" s="13"/>
      <c r="OZ138" s="13"/>
      <c r="PA138" s="13"/>
      <c r="PB138" s="13"/>
      <c r="PC138" s="13"/>
      <c r="PD138" s="13"/>
      <c r="PE138" s="13"/>
      <c r="PF138" s="13"/>
      <c r="PG138" s="13"/>
      <c r="PH138" s="13"/>
      <c r="PI138" s="13"/>
      <c r="PJ138" s="13"/>
      <c r="PK138" s="13"/>
      <c r="PL138" s="13"/>
      <c r="PM138" s="13"/>
      <c r="PN138" s="13"/>
      <c r="PO138" s="13"/>
      <c r="PP138" s="13"/>
      <c r="PQ138" s="13"/>
      <c r="PR138" s="13"/>
      <c r="PS138" s="13"/>
      <c r="PT138" s="13"/>
      <c r="PU138" s="13"/>
      <c r="PV138" s="13"/>
      <c r="PW138" s="13"/>
      <c r="PX138" s="13"/>
      <c r="PY138" s="13"/>
      <c r="PZ138" s="13"/>
      <c r="QA138" s="13"/>
    </row>
    <row r="139" spans="1:443" x14ac:dyDescent="0.3"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6"/>
      <c r="R139" s="17" t="str">
        <f t="shared" si="11"/>
        <v/>
      </c>
      <c r="S139" s="17" t="str">
        <f t="shared" si="12"/>
        <v/>
      </c>
      <c r="T139" s="18" t="str">
        <f t="shared" si="13"/>
        <v/>
      </c>
      <c r="U139" s="15"/>
      <c r="V139" s="19" t="str">
        <f>IF(U139&lt;&gt;"",#REF! - (SUM(E139:Q139)),"")</f>
        <v/>
      </c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13"/>
      <c r="DB139" s="13"/>
      <c r="DC139" s="13"/>
      <c r="DD139" s="13"/>
      <c r="DE139" s="13"/>
      <c r="DF139" s="13"/>
      <c r="DG139" s="13"/>
      <c r="DH139" s="13"/>
      <c r="DI139" s="13"/>
      <c r="DJ139" s="13"/>
      <c r="DK139" s="13"/>
      <c r="DL139" s="13"/>
      <c r="DM139" s="13"/>
      <c r="DN139" s="13"/>
      <c r="DO139" s="13"/>
      <c r="DP139" s="13"/>
      <c r="DQ139" s="13"/>
      <c r="DR139" s="13"/>
      <c r="DS139" s="13"/>
      <c r="DT139" s="13"/>
      <c r="DU139" s="13"/>
      <c r="DV139" s="13"/>
      <c r="DW139" s="13"/>
      <c r="DX139" s="13"/>
      <c r="DY139" s="13"/>
      <c r="DZ139" s="13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  <c r="JP139" s="13"/>
      <c r="JQ139" s="13"/>
      <c r="JR139" s="13"/>
      <c r="JS139" s="13"/>
      <c r="JT139" s="13"/>
      <c r="JU139" s="13"/>
      <c r="JV139" s="13"/>
      <c r="JW139" s="13"/>
      <c r="JX139" s="13"/>
      <c r="JY139" s="13"/>
      <c r="JZ139" s="13"/>
      <c r="KA139" s="13"/>
      <c r="KB139" s="13"/>
      <c r="KC139" s="13"/>
      <c r="KD139" s="13"/>
      <c r="KE139" s="13"/>
      <c r="KF139" s="13"/>
      <c r="KG139" s="13"/>
      <c r="KH139" s="13"/>
      <c r="KI139" s="13"/>
      <c r="KJ139" s="13"/>
      <c r="KK139" s="13"/>
      <c r="KL139" s="13"/>
      <c r="KM139" s="13"/>
      <c r="KN139" s="13"/>
      <c r="KO139" s="13"/>
      <c r="KP139" s="13"/>
      <c r="KQ139" s="13"/>
      <c r="KR139" s="13"/>
      <c r="KS139" s="13"/>
      <c r="KT139" s="13"/>
      <c r="KU139" s="13"/>
      <c r="KV139" s="13"/>
      <c r="KW139" s="13"/>
      <c r="KX139" s="13"/>
      <c r="KY139" s="13"/>
      <c r="KZ139" s="13"/>
      <c r="LA139" s="13"/>
      <c r="LB139" s="13"/>
      <c r="LC139" s="13"/>
      <c r="LD139" s="13"/>
      <c r="LE139" s="13"/>
      <c r="LF139" s="13"/>
      <c r="LG139" s="13"/>
      <c r="LH139" s="13"/>
      <c r="LI139" s="13"/>
      <c r="LJ139" s="13"/>
      <c r="LK139" s="13"/>
      <c r="LL139" s="13"/>
      <c r="LM139" s="13"/>
      <c r="LN139" s="13"/>
      <c r="LO139" s="13"/>
      <c r="LP139" s="13"/>
      <c r="LQ139" s="13"/>
      <c r="LR139" s="13"/>
      <c r="LS139" s="13"/>
      <c r="LT139" s="13"/>
      <c r="LU139" s="13"/>
      <c r="LV139" s="13"/>
      <c r="LW139" s="13"/>
      <c r="LX139" s="13"/>
      <c r="LY139" s="13"/>
      <c r="LZ139" s="13"/>
      <c r="MA139" s="13"/>
      <c r="MB139" s="13"/>
      <c r="MC139" s="13"/>
      <c r="MD139" s="13"/>
      <c r="ME139" s="13"/>
      <c r="MF139" s="13"/>
      <c r="MG139" s="13"/>
      <c r="MH139" s="13"/>
      <c r="MI139" s="13"/>
      <c r="MJ139" s="13"/>
      <c r="MK139" s="13"/>
      <c r="ML139" s="13"/>
      <c r="MM139" s="13"/>
      <c r="MN139" s="13"/>
      <c r="MO139" s="13"/>
      <c r="MP139" s="13"/>
      <c r="MQ139" s="13"/>
      <c r="MR139" s="13"/>
      <c r="MS139" s="13"/>
      <c r="MT139" s="13"/>
      <c r="MU139" s="13"/>
      <c r="MV139" s="13"/>
      <c r="MW139" s="13"/>
      <c r="MX139" s="13"/>
      <c r="MY139" s="13"/>
      <c r="MZ139" s="13"/>
      <c r="NA139" s="13"/>
      <c r="NB139" s="13"/>
      <c r="NC139" s="13"/>
      <c r="ND139" s="13"/>
      <c r="NE139" s="13"/>
      <c r="NF139" s="13"/>
      <c r="NG139" s="13"/>
      <c r="NH139" s="13"/>
      <c r="NI139" s="13"/>
      <c r="NJ139" s="13"/>
      <c r="NK139" s="13"/>
      <c r="NL139" s="13"/>
      <c r="NM139" s="13"/>
      <c r="NN139" s="13"/>
      <c r="NO139" s="13"/>
      <c r="NP139" s="13"/>
      <c r="NQ139" s="13"/>
      <c r="NR139" s="13"/>
      <c r="NS139" s="13"/>
      <c r="NT139" s="13"/>
      <c r="NU139" s="13"/>
      <c r="NV139" s="13"/>
      <c r="NW139" s="13"/>
      <c r="NX139" s="13"/>
      <c r="NY139" s="13"/>
      <c r="NZ139" s="13"/>
      <c r="OA139" s="13"/>
      <c r="OB139" s="13"/>
      <c r="OC139" s="13"/>
      <c r="OD139" s="13"/>
      <c r="OE139" s="13"/>
      <c r="OF139" s="13"/>
      <c r="OG139" s="13"/>
      <c r="OH139" s="13"/>
      <c r="OI139" s="13"/>
      <c r="OJ139" s="13"/>
      <c r="OK139" s="13"/>
      <c r="OL139" s="13"/>
      <c r="OM139" s="13"/>
      <c r="ON139" s="13"/>
      <c r="OO139" s="13"/>
      <c r="OP139" s="13"/>
      <c r="OQ139" s="13"/>
      <c r="OR139" s="13"/>
      <c r="OS139" s="13"/>
      <c r="OT139" s="13"/>
      <c r="OU139" s="13"/>
      <c r="OV139" s="13"/>
      <c r="OW139" s="13"/>
      <c r="OX139" s="13"/>
      <c r="OY139" s="13"/>
      <c r="OZ139" s="13"/>
      <c r="PA139" s="13"/>
      <c r="PB139" s="13"/>
      <c r="PC139" s="13"/>
      <c r="PD139" s="13"/>
      <c r="PE139" s="13"/>
      <c r="PF139" s="13"/>
      <c r="PG139" s="13"/>
      <c r="PH139" s="13"/>
      <c r="PI139" s="13"/>
      <c r="PJ139" s="13"/>
      <c r="PK139" s="13"/>
      <c r="PL139" s="13"/>
      <c r="PM139" s="13"/>
      <c r="PN139" s="13"/>
      <c r="PO139" s="13"/>
      <c r="PP139" s="13"/>
      <c r="PQ139" s="13"/>
      <c r="PR139" s="13"/>
      <c r="PS139" s="13"/>
      <c r="PT139" s="13"/>
      <c r="PU139" s="13"/>
      <c r="PV139" s="13"/>
      <c r="PW139" s="13"/>
      <c r="PX139" s="13"/>
      <c r="PY139" s="13"/>
      <c r="PZ139" s="13"/>
      <c r="QA139" s="13"/>
    </row>
    <row r="140" spans="1:443" s="13" customFormat="1" ht="15.75" customHeight="1" x14ac:dyDescent="0.25">
      <c r="A140" s="14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6"/>
      <c r="R140" s="17" t="str">
        <f t="shared" si="11"/>
        <v/>
      </c>
      <c r="S140" s="17" t="str">
        <f t="shared" si="12"/>
        <v/>
      </c>
      <c r="T140" s="18" t="str">
        <f t="shared" si="13"/>
        <v/>
      </c>
      <c r="U140" s="15"/>
      <c r="V140" s="19" t="str">
        <f t="shared" ref="V140:V160" si="15">IF(U140&lt;&gt;"",D140 - (SUM(E140:Q140)),"")</f>
        <v/>
      </c>
    </row>
    <row r="141" spans="1:443" x14ac:dyDescent="0.3"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6"/>
      <c r="R141" s="17" t="str">
        <f t="shared" si="11"/>
        <v/>
      </c>
      <c r="S141" s="17" t="str">
        <f t="shared" si="12"/>
        <v/>
      </c>
      <c r="T141" s="18" t="str">
        <f t="shared" si="13"/>
        <v/>
      </c>
      <c r="U141" s="15"/>
      <c r="V141" s="19" t="str">
        <f t="shared" si="15"/>
        <v/>
      </c>
    </row>
    <row r="142" spans="1:443" x14ac:dyDescent="0.3"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6"/>
      <c r="R142" s="17" t="str">
        <f t="shared" si="11"/>
        <v/>
      </c>
      <c r="S142" s="17" t="str">
        <f t="shared" si="12"/>
        <v/>
      </c>
      <c r="T142" s="18" t="str">
        <f t="shared" si="13"/>
        <v/>
      </c>
      <c r="U142" s="15"/>
      <c r="V142" s="19" t="str">
        <f t="shared" si="15"/>
        <v/>
      </c>
    </row>
    <row r="143" spans="1:443" x14ac:dyDescent="0.3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6"/>
      <c r="R143" s="17" t="str">
        <f t="shared" si="11"/>
        <v/>
      </c>
      <c r="S143" s="17" t="str">
        <f t="shared" si="12"/>
        <v/>
      </c>
      <c r="T143" s="18" t="str">
        <f t="shared" si="13"/>
        <v/>
      </c>
      <c r="U143" s="15"/>
      <c r="V143" s="19" t="str">
        <f t="shared" si="15"/>
        <v/>
      </c>
    </row>
    <row r="144" spans="1:443" x14ac:dyDescent="0.3"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6"/>
      <c r="R144" s="17" t="str">
        <f t="shared" si="11"/>
        <v/>
      </c>
      <c r="S144" s="17" t="str">
        <f t="shared" si="12"/>
        <v/>
      </c>
      <c r="T144" s="18" t="str">
        <f t="shared" si="13"/>
        <v/>
      </c>
      <c r="U144" s="15"/>
      <c r="V144" s="19" t="str">
        <f t="shared" si="15"/>
        <v/>
      </c>
    </row>
    <row r="145" spans="1:22" s="20" customFormat="1" x14ac:dyDescent="0.3">
      <c r="A145" s="14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6"/>
      <c r="R145" s="17" t="str">
        <f t="shared" si="11"/>
        <v/>
      </c>
      <c r="S145" s="17" t="str">
        <f t="shared" si="12"/>
        <v/>
      </c>
      <c r="T145" s="18" t="str">
        <f t="shared" si="13"/>
        <v/>
      </c>
      <c r="U145" s="15"/>
      <c r="V145" s="19" t="str">
        <f t="shared" si="15"/>
        <v/>
      </c>
    </row>
    <row r="146" spans="1:22" s="20" customFormat="1" x14ac:dyDescent="0.3">
      <c r="A146" s="14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6"/>
      <c r="R146" s="17" t="str">
        <f t="shared" si="11"/>
        <v/>
      </c>
      <c r="S146" s="17" t="str">
        <f t="shared" si="12"/>
        <v/>
      </c>
      <c r="T146" s="18" t="str">
        <f t="shared" si="13"/>
        <v/>
      </c>
      <c r="U146" s="15"/>
      <c r="V146" s="19" t="str">
        <f t="shared" si="15"/>
        <v/>
      </c>
    </row>
    <row r="147" spans="1:22" s="20" customFormat="1" x14ac:dyDescent="0.3">
      <c r="A147" s="14"/>
      <c r="B147" s="15"/>
      <c r="C147" s="15"/>
      <c r="D147" s="15"/>
      <c r="E147" s="15"/>
      <c r="F147" s="31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6"/>
      <c r="R147" s="17" t="str">
        <f t="shared" si="11"/>
        <v/>
      </c>
      <c r="S147" s="17" t="str">
        <f t="shared" si="12"/>
        <v/>
      </c>
      <c r="T147" s="18" t="str">
        <f t="shared" si="13"/>
        <v/>
      </c>
      <c r="V147" s="19" t="str">
        <f t="shared" si="15"/>
        <v/>
      </c>
    </row>
    <row r="148" spans="1:22" s="20" customFormat="1" x14ac:dyDescent="0.3">
      <c r="A148" s="14"/>
      <c r="B148" s="15"/>
      <c r="C148" s="15"/>
      <c r="D148" s="15"/>
      <c r="E148" s="15"/>
      <c r="F148" s="31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6"/>
      <c r="R148" s="17" t="str">
        <f t="shared" si="11"/>
        <v/>
      </c>
      <c r="S148" s="17" t="str">
        <f t="shared" si="12"/>
        <v/>
      </c>
      <c r="T148" s="18" t="str">
        <f t="shared" si="13"/>
        <v/>
      </c>
      <c r="V148" s="19" t="str">
        <f t="shared" si="15"/>
        <v/>
      </c>
    </row>
    <row r="149" spans="1:22" s="20" customFormat="1" x14ac:dyDescent="0.3">
      <c r="A149" s="14"/>
      <c r="B149" s="15"/>
      <c r="C149" s="15"/>
      <c r="D149" s="15"/>
      <c r="E149" s="15"/>
      <c r="F149" s="31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6"/>
      <c r="R149" s="17" t="str">
        <f t="shared" si="11"/>
        <v/>
      </c>
      <c r="S149" s="17" t="str">
        <f t="shared" si="12"/>
        <v/>
      </c>
      <c r="T149" s="18" t="str">
        <f t="shared" si="13"/>
        <v/>
      </c>
      <c r="V149" s="19" t="str">
        <f t="shared" si="15"/>
        <v/>
      </c>
    </row>
    <row r="150" spans="1:22" s="20" customFormat="1" x14ac:dyDescent="0.3">
      <c r="A150" s="14"/>
      <c r="B150" s="15"/>
      <c r="C150" s="15"/>
      <c r="D150" s="15"/>
      <c r="E150" s="15"/>
      <c r="F150" s="31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6"/>
      <c r="R150" s="17" t="str">
        <f t="shared" si="11"/>
        <v/>
      </c>
      <c r="S150" s="17" t="str">
        <f t="shared" si="12"/>
        <v/>
      </c>
      <c r="T150" s="18" t="str">
        <f t="shared" si="13"/>
        <v/>
      </c>
      <c r="V150" s="19" t="str">
        <f t="shared" si="15"/>
        <v/>
      </c>
    </row>
    <row r="151" spans="1:22" s="20" customFormat="1" x14ac:dyDescent="0.3">
      <c r="A151" s="14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6"/>
      <c r="R151" s="17" t="str">
        <f t="shared" si="11"/>
        <v/>
      </c>
      <c r="S151" s="17" t="str">
        <f t="shared" si="12"/>
        <v/>
      </c>
      <c r="T151" s="18" t="str">
        <f t="shared" si="13"/>
        <v/>
      </c>
      <c r="U151" s="15"/>
      <c r="V151" s="19" t="str">
        <f t="shared" si="15"/>
        <v/>
      </c>
    </row>
    <row r="152" spans="1:22" s="20" customFormat="1" x14ac:dyDescent="0.3">
      <c r="A152" s="14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6"/>
      <c r="R152" s="17" t="str">
        <f t="shared" si="11"/>
        <v/>
      </c>
      <c r="S152" s="17" t="str">
        <f t="shared" si="12"/>
        <v/>
      </c>
      <c r="T152" s="18" t="str">
        <f t="shared" si="13"/>
        <v/>
      </c>
      <c r="U152" s="15"/>
      <c r="V152" s="19" t="str">
        <f t="shared" si="15"/>
        <v/>
      </c>
    </row>
    <row r="153" spans="1:22" s="20" customFormat="1" ht="15.75" customHeight="1" x14ac:dyDescent="0.3">
      <c r="A153" s="14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6"/>
      <c r="R153" s="17" t="str">
        <f t="shared" si="11"/>
        <v/>
      </c>
      <c r="S153" s="17" t="str">
        <f t="shared" si="12"/>
        <v/>
      </c>
      <c r="T153" s="18" t="str">
        <f t="shared" si="13"/>
        <v/>
      </c>
      <c r="U153" s="15"/>
      <c r="V153" s="19" t="str">
        <f t="shared" si="15"/>
        <v/>
      </c>
    </row>
    <row r="154" spans="1:22" s="20" customFormat="1" ht="18" customHeight="1" x14ac:dyDescent="0.3">
      <c r="A154" s="14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6"/>
      <c r="R154" s="17" t="str">
        <f t="shared" si="11"/>
        <v/>
      </c>
      <c r="S154" s="17" t="str">
        <f t="shared" si="12"/>
        <v/>
      </c>
      <c r="T154" s="18" t="str">
        <f t="shared" si="13"/>
        <v/>
      </c>
      <c r="U154" s="15"/>
      <c r="V154" s="19" t="str">
        <f t="shared" si="15"/>
        <v/>
      </c>
    </row>
    <row r="155" spans="1:22" s="20" customFormat="1" x14ac:dyDescent="0.3">
      <c r="A155" s="14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6"/>
      <c r="R155" s="17" t="str">
        <f t="shared" si="11"/>
        <v/>
      </c>
      <c r="S155" s="17" t="str">
        <f t="shared" si="12"/>
        <v/>
      </c>
      <c r="T155" s="18" t="str">
        <f t="shared" si="13"/>
        <v/>
      </c>
      <c r="U155" s="15"/>
      <c r="V155" s="19" t="str">
        <f t="shared" si="15"/>
        <v/>
      </c>
    </row>
    <row r="156" spans="1:22" s="20" customFormat="1" x14ac:dyDescent="0.3">
      <c r="A156" s="14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6"/>
      <c r="R156" s="17" t="str">
        <f t="shared" si="11"/>
        <v/>
      </c>
      <c r="S156" s="17" t="str">
        <f t="shared" si="12"/>
        <v/>
      </c>
      <c r="T156" s="18" t="str">
        <f t="shared" si="13"/>
        <v/>
      </c>
      <c r="U156" s="15"/>
      <c r="V156" s="19" t="str">
        <f t="shared" si="15"/>
        <v/>
      </c>
    </row>
    <row r="157" spans="1:22" s="20" customFormat="1" x14ac:dyDescent="0.3">
      <c r="A157" s="14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6"/>
      <c r="R157" s="17" t="str">
        <f t="shared" si="11"/>
        <v/>
      </c>
      <c r="S157" s="17" t="str">
        <f t="shared" si="12"/>
        <v/>
      </c>
      <c r="T157" s="18" t="str">
        <f t="shared" si="13"/>
        <v/>
      </c>
      <c r="U157" s="15"/>
      <c r="V157" s="19" t="str">
        <f t="shared" si="15"/>
        <v/>
      </c>
    </row>
    <row r="158" spans="1:22" s="20" customFormat="1" ht="19.5" customHeight="1" x14ac:dyDescent="0.3">
      <c r="A158" s="14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6"/>
      <c r="R158" s="17" t="str">
        <f t="shared" si="11"/>
        <v/>
      </c>
      <c r="S158" s="17" t="str">
        <f t="shared" si="12"/>
        <v/>
      </c>
      <c r="T158" s="18" t="str">
        <f t="shared" si="13"/>
        <v/>
      </c>
      <c r="U158" s="15"/>
      <c r="V158" s="19" t="str">
        <f t="shared" si="15"/>
        <v/>
      </c>
    </row>
    <row r="159" spans="1:22" s="20" customFormat="1" x14ac:dyDescent="0.3">
      <c r="A159" s="14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6"/>
      <c r="R159" s="17" t="str">
        <f t="shared" si="11"/>
        <v/>
      </c>
      <c r="S159" s="17" t="str">
        <f t="shared" si="12"/>
        <v/>
      </c>
      <c r="T159" s="18" t="str">
        <f t="shared" si="13"/>
        <v/>
      </c>
      <c r="U159" s="15"/>
      <c r="V159" s="19" t="str">
        <f t="shared" si="15"/>
        <v/>
      </c>
    </row>
    <row r="160" spans="1:22" s="20" customFormat="1" x14ac:dyDescent="0.3">
      <c r="A160" s="14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6"/>
      <c r="R160" s="17" t="str">
        <f t="shared" si="11"/>
        <v/>
      </c>
      <c r="S160" s="17" t="str">
        <f t="shared" si="12"/>
        <v/>
      </c>
      <c r="T160" s="18" t="str">
        <f t="shared" si="13"/>
        <v/>
      </c>
      <c r="U160" s="15"/>
      <c r="V160" s="19" t="str">
        <f t="shared" si="15"/>
        <v/>
      </c>
    </row>
    <row r="161" spans="1:22" s="20" customFormat="1" x14ac:dyDescent="0.3">
      <c r="A161" s="14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6"/>
      <c r="R161" s="17" t="str">
        <f t="shared" si="11"/>
        <v/>
      </c>
      <c r="S161" s="17" t="str">
        <f t="shared" si="12"/>
        <v/>
      </c>
      <c r="T161" s="18" t="str">
        <f t="shared" si="13"/>
        <v/>
      </c>
      <c r="U161" s="15"/>
      <c r="V161" s="19" t="str">
        <f>IF(U161&lt;&gt;"",D162 - (SUM(E161:Q161)),"")</f>
        <v/>
      </c>
    </row>
    <row r="162" spans="1:22" s="20" customFormat="1" x14ac:dyDescent="0.3">
      <c r="A162" s="14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6"/>
      <c r="R162" s="17" t="str">
        <f t="shared" si="11"/>
        <v/>
      </c>
      <c r="S162" s="17" t="str">
        <f t="shared" si="12"/>
        <v/>
      </c>
      <c r="T162" s="18" t="str">
        <f t="shared" si="13"/>
        <v/>
      </c>
      <c r="U162" s="15"/>
      <c r="V162" s="19" t="str">
        <f t="shared" ref="V162:V193" si="16">IF(U162&lt;&gt;"",D162 - (SUM(E162:Q162)),"")</f>
        <v/>
      </c>
    </row>
    <row r="163" spans="1:22" s="20" customFormat="1" x14ac:dyDescent="0.3">
      <c r="A163" s="14"/>
      <c r="F163" s="22"/>
      <c r="Q163" s="21"/>
      <c r="R163" s="17" t="str">
        <f t="shared" si="11"/>
        <v/>
      </c>
      <c r="S163" s="17" t="str">
        <f t="shared" si="12"/>
        <v/>
      </c>
      <c r="T163" s="18" t="str">
        <f t="shared" si="13"/>
        <v/>
      </c>
      <c r="V163" s="19" t="str">
        <f t="shared" si="16"/>
        <v/>
      </c>
    </row>
    <row r="164" spans="1:22" s="20" customFormat="1" x14ac:dyDescent="0.3">
      <c r="A164" s="14"/>
      <c r="F164" s="22"/>
      <c r="Q164" s="21"/>
      <c r="R164" s="17" t="str">
        <f t="shared" si="11"/>
        <v/>
      </c>
      <c r="S164" s="17" t="str">
        <f t="shared" si="12"/>
        <v/>
      </c>
      <c r="T164" s="18" t="str">
        <f t="shared" si="13"/>
        <v/>
      </c>
      <c r="V164" s="19" t="str">
        <f t="shared" si="16"/>
        <v/>
      </c>
    </row>
    <row r="165" spans="1:22" s="20" customFormat="1" x14ac:dyDescent="0.3">
      <c r="A165" s="14"/>
      <c r="F165" s="22"/>
      <c r="Q165" s="21"/>
      <c r="R165" s="17" t="str">
        <f t="shared" si="11"/>
        <v/>
      </c>
      <c r="S165" s="17" t="str">
        <f t="shared" si="12"/>
        <v/>
      </c>
      <c r="T165" s="18" t="str">
        <f t="shared" si="13"/>
        <v/>
      </c>
      <c r="V165" s="19" t="str">
        <f t="shared" si="16"/>
        <v/>
      </c>
    </row>
    <row r="166" spans="1:22" s="20" customFormat="1" x14ac:dyDescent="0.3">
      <c r="A166" s="14"/>
      <c r="F166" s="22"/>
      <c r="Q166" s="21"/>
      <c r="R166" s="17" t="str">
        <f t="shared" si="11"/>
        <v/>
      </c>
      <c r="S166" s="17" t="str">
        <f t="shared" si="12"/>
        <v/>
      </c>
      <c r="T166" s="18" t="str">
        <f t="shared" si="13"/>
        <v/>
      </c>
      <c r="V166" s="19" t="str">
        <f t="shared" si="16"/>
        <v/>
      </c>
    </row>
    <row r="167" spans="1:22" s="20" customFormat="1" x14ac:dyDescent="0.3">
      <c r="A167" s="14"/>
      <c r="F167" s="22"/>
      <c r="Q167" s="21"/>
      <c r="R167" s="17" t="str">
        <f t="shared" si="11"/>
        <v/>
      </c>
      <c r="S167" s="17" t="str">
        <f t="shared" si="12"/>
        <v/>
      </c>
      <c r="T167" s="18" t="str">
        <f t="shared" si="13"/>
        <v/>
      </c>
      <c r="V167" s="19" t="str">
        <f t="shared" si="16"/>
        <v/>
      </c>
    </row>
    <row r="168" spans="1:22" s="20" customFormat="1" x14ac:dyDescent="0.3">
      <c r="A168" s="14"/>
      <c r="F168" s="22"/>
      <c r="Q168" s="21"/>
      <c r="R168" s="17" t="str">
        <f t="shared" si="11"/>
        <v/>
      </c>
      <c r="S168" s="17" t="str">
        <f t="shared" si="12"/>
        <v/>
      </c>
      <c r="T168" s="18" t="str">
        <f t="shared" si="13"/>
        <v/>
      </c>
      <c r="V168" s="19" t="str">
        <f t="shared" si="16"/>
        <v/>
      </c>
    </row>
    <row r="169" spans="1:22" s="20" customFormat="1" x14ac:dyDescent="0.3">
      <c r="A169" s="14"/>
      <c r="F169" s="22"/>
      <c r="Q169" s="21"/>
      <c r="R169" s="17" t="str">
        <f t="shared" si="11"/>
        <v/>
      </c>
      <c r="S169" s="17" t="str">
        <f t="shared" si="12"/>
        <v/>
      </c>
      <c r="T169" s="18" t="str">
        <f t="shared" si="13"/>
        <v/>
      </c>
      <c r="V169" s="19" t="str">
        <f t="shared" si="16"/>
        <v/>
      </c>
    </row>
    <row r="170" spans="1:22" s="20" customFormat="1" x14ac:dyDescent="0.3">
      <c r="A170" s="14"/>
      <c r="F170" s="22"/>
      <c r="Q170" s="21"/>
      <c r="R170" s="17" t="str">
        <f t="shared" si="11"/>
        <v/>
      </c>
      <c r="S170" s="17" t="str">
        <f t="shared" si="12"/>
        <v/>
      </c>
      <c r="T170" s="18" t="str">
        <f t="shared" si="13"/>
        <v/>
      </c>
      <c r="V170" s="19" t="str">
        <f t="shared" si="16"/>
        <v/>
      </c>
    </row>
    <row r="171" spans="1:22" s="20" customFormat="1" x14ac:dyDescent="0.3">
      <c r="A171" s="14"/>
      <c r="F171" s="22"/>
      <c r="Q171" s="21"/>
      <c r="R171" s="17" t="str">
        <f t="shared" si="11"/>
        <v/>
      </c>
      <c r="S171" s="17" t="str">
        <f t="shared" si="12"/>
        <v/>
      </c>
      <c r="T171" s="18" t="str">
        <f t="shared" si="13"/>
        <v/>
      </c>
      <c r="V171" s="19" t="str">
        <f t="shared" si="16"/>
        <v/>
      </c>
    </row>
    <row r="172" spans="1:22" s="20" customFormat="1" x14ac:dyDescent="0.3">
      <c r="A172" s="14"/>
      <c r="F172" s="22"/>
      <c r="Q172" s="21"/>
      <c r="R172" s="17" t="str">
        <f t="shared" si="11"/>
        <v/>
      </c>
      <c r="S172" s="17" t="str">
        <f t="shared" si="12"/>
        <v/>
      </c>
      <c r="T172" s="18" t="str">
        <f t="shared" si="13"/>
        <v/>
      </c>
      <c r="V172" s="19" t="str">
        <f t="shared" si="16"/>
        <v/>
      </c>
    </row>
    <row r="173" spans="1:22" s="20" customFormat="1" x14ac:dyDescent="0.3">
      <c r="A173" s="14"/>
      <c r="F173" s="22"/>
      <c r="Q173" s="21"/>
      <c r="R173" s="17" t="str">
        <f t="shared" si="11"/>
        <v/>
      </c>
      <c r="S173" s="17" t="str">
        <f t="shared" si="12"/>
        <v/>
      </c>
      <c r="T173" s="18" t="str">
        <f t="shared" si="13"/>
        <v/>
      </c>
      <c r="V173" s="19" t="str">
        <f t="shared" si="16"/>
        <v/>
      </c>
    </row>
    <row r="174" spans="1:22" s="20" customFormat="1" x14ac:dyDescent="0.3">
      <c r="A174" s="14"/>
      <c r="F174" s="22"/>
      <c r="Q174" s="21"/>
      <c r="R174" s="17" t="str">
        <f t="shared" si="11"/>
        <v/>
      </c>
      <c r="S174" s="17" t="str">
        <f t="shared" si="12"/>
        <v/>
      </c>
      <c r="T174" s="18" t="str">
        <f t="shared" si="13"/>
        <v/>
      </c>
      <c r="V174" s="19" t="str">
        <f t="shared" si="16"/>
        <v/>
      </c>
    </row>
    <row r="175" spans="1:22" s="20" customFormat="1" x14ac:dyDescent="0.3">
      <c r="A175" s="14"/>
      <c r="F175" s="22"/>
      <c r="Q175" s="21"/>
      <c r="R175" s="17" t="str">
        <f t="shared" si="11"/>
        <v/>
      </c>
      <c r="S175" s="17" t="str">
        <f t="shared" si="12"/>
        <v/>
      </c>
      <c r="T175" s="18" t="str">
        <f t="shared" si="13"/>
        <v/>
      </c>
      <c r="V175" s="19" t="str">
        <f t="shared" si="16"/>
        <v/>
      </c>
    </row>
    <row r="176" spans="1:22" s="20" customFormat="1" x14ac:dyDescent="0.3">
      <c r="A176" s="14"/>
      <c r="F176" s="22"/>
      <c r="Q176" s="21"/>
      <c r="R176" s="17" t="str">
        <f t="shared" si="11"/>
        <v/>
      </c>
      <c r="S176" s="17" t="str">
        <f t="shared" si="12"/>
        <v/>
      </c>
      <c r="T176" s="18" t="str">
        <f t="shared" si="13"/>
        <v/>
      </c>
      <c r="V176" s="19" t="str">
        <f t="shared" si="16"/>
        <v/>
      </c>
    </row>
    <row r="177" spans="1:22" s="20" customFormat="1" x14ac:dyDescent="0.3">
      <c r="A177" s="14"/>
      <c r="F177" s="22"/>
      <c r="Q177" s="21"/>
      <c r="R177" s="17" t="str">
        <f t="shared" si="11"/>
        <v/>
      </c>
      <c r="S177" s="17" t="str">
        <f t="shared" si="12"/>
        <v/>
      </c>
      <c r="T177" s="18" t="str">
        <f t="shared" si="13"/>
        <v/>
      </c>
      <c r="V177" s="19" t="str">
        <f t="shared" si="16"/>
        <v/>
      </c>
    </row>
    <row r="178" spans="1:22" s="20" customFormat="1" x14ac:dyDescent="0.3">
      <c r="A178" s="14"/>
      <c r="F178" s="22"/>
      <c r="Q178" s="21"/>
      <c r="R178" s="17" t="str">
        <f t="shared" si="11"/>
        <v/>
      </c>
      <c r="S178" s="17" t="str">
        <f t="shared" si="12"/>
        <v/>
      </c>
      <c r="T178" s="18" t="str">
        <f t="shared" si="13"/>
        <v/>
      </c>
      <c r="V178" s="19" t="str">
        <f t="shared" si="16"/>
        <v/>
      </c>
    </row>
    <row r="179" spans="1:22" s="20" customFormat="1" x14ac:dyDescent="0.3">
      <c r="A179" s="14"/>
      <c r="F179" s="22"/>
      <c r="Q179" s="21"/>
      <c r="R179" s="17" t="str">
        <f t="shared" si="11"/>
        <v/>
      </c>
      <c r="S179" s="17" t="str">
        <f t="shared" si="12"/>
        <v/>
      </c>
      <c r="T179" s="18" t="str">
        <f t="shared" si="13"/>
        <v/>
      </c>
      <c r="V179" s="19" t="str">
        <f t="shared" si="16"/>
        <v/>
      </c>
    </row>
    <row r="180" spans="1:22" s="20" customFormat="1" x14ac:dyDescent="0.3">
      <c r="A180" s="14"/>
      <c r="F180" s="22"/>
      <c r="Q180" s="21"/>
      <c r="R180" s="17" t="str">
        <f t="shared" si="11"/>
        <v/>
      </c>
      <c r="S180" s="17" t="str">
        <f t="shared" si="12"/>
        <v/>
      </c>
      <c r="T180" s="18" t="str">
        <f t="shared" si="13"/>
        <v/>
      </c>
      <c r="V180" s="19" t="str">
        <f t="shared" si="16"/>
        <v/>
      </c>
    </row>
    <row r="181" spans="1:22" s="20" customFormat="1" x14ac:dyDescent="0.3">
      <c r="A181" s="14"/>
      <c r="F181" s="22"/>
      <c r="Q181" s="21"/>
      <c r="R181" s="17" t="str">
        <f t="shared" si="11"/>
        <v/>
      </c>
      <c r="S181" s="17" t="str">
        <f t="shared" si="12"/>
        <v/>
      </c>
      <c r="T181" s="18" t="str">
        <f t="shared" si="13"/>
        <v/>
      </c>
      <c r="V181" s="19" t="str">
        <f t="shared" si="16"/>
        <v/>
      </c>
    </row>
    <row r="182" spans="1:22" s="20" customFormat="1" x14ac:dyDescent="0.3">
      <c r="A182" s="14"/>
      <c r="F182" s="22"/>
      <c r="Q182" s="21"/>
      <c r="R182" s="17" t="str">
        <f t="shared" si="11"/>
        <v/>
      </c>
      <c r="S182" s="17" t="str">
        <f t="shared" si="12"/>
        <v/>
      </c>
      <c r="T182" s="18" t="str">
        <f t="shared" si="13"/>
        <v/>
      </c>
      <c r="V182" s="19" t="str">
        <f t="shared" si="16"/>
        <v/>
      </c>
    </row>
    <row r="183" spans="1:22" s="20" customFormat="1" x14ac:dyDescent="0.3">
      <c r="A183" s="14"/>
      <c r="F183" s="22"/>
      <c r="Q183" s="21"/>
      <c r="R183" s="17" t="str">
        <f t="shared" si="11"/>
        <v/>
      </c>
      <c r="S183" s="17" t="str">
        <f t="shared" si="12"/>
        <v/>
      </c>
      <c r="T183" s="18" t="str">
        <f t="shared" si="13"/>
        <v/>
      </c>
      <c r="V183" s="19" t="str">
        <f t="shared" si="16"/>
        <v/>
      </c>
    </row>
    <row r="184" spans="1:22" s="20" customFormat="1" x14ac:dyDescent="0.3">
      <c r="A184" s="14"/>
      <c r="F184" s="22"/>
      <c r="Q184" s="21"/>
      <c r="R184" s="17" t="str">
        <f t="shared" si="11"/>
        <v/>
      </c>
      <c r="S184" s="17" t="str">
        <f t="shared" si="12"/>
        <v/>
      </c>
      <c r="T184" s="18" t="str">
        <f t="shared" si="13"/>
        <v/>
      </c>
      <c r="V184" s="19" t="str">
        <f t="shared" si="16"/>
        <v/>
      </c>
    </row>
    <row r="185" spans="1:22" s="20" customFormat="1" x14ac:dyDescent="0.3">
      <c r="A185" s="14"/>
      <c r="F185" s="22"/>
      <c r="Q185" s="21"/>
      <c r="R185" s="17" t="str">
        <f t="shared" si="11"/>
        <v/>
      </c>
      <c r="S185" s="17" t="str">
        <f t="shared" si="12"/>
        <v/>
      </c>
      <c r="T185" s="18" t="str">
        <f t="shared" si="13"/>
        <v/>
      </c>
      <c r="V185" s="19" t="str">
        <f t="shared" si="16"/>
        <v/>
      </c>
    </row>
    <row r="186" spans="1:22" s="20" customFormat="1" x14ac:dyDescent="0.3">
      <c r="A186" s="14"/>
      <c r="F186" s="22"/>
      <c r="Q186" s="21"/>
      <c r="R186" s="17" t="str">
        <f t="shared" si="11"/>
        <v/>
      </c>
      <c r="S186" s="17" t="str">
        <f t="shared" si="12"/>
        <v/>
      </c>
      <c r="T186" s="18" t="str">
        <f t="shared" si="13"/>
        <v/>
      </c>
      <c r="V186" s="19" t="str">
        <f t="shared" si="16"/>
        <v/>
      </c>
    </row>
    <row r="187" spans="1:22" s="20" customFormat="1" x14ac:dyDescent="0.3">
      <c r="A187" s="14"/>
      <c r="F187" s="22"/>
      <c r="Q187" s="21"/>
      <c r="R187" s="17" t="str">
        <f t="shared" si="11"/>
        <v/>
      </c>
      <c r="S187" s="17" t="str">
        <f t="shared" si="12"/>
        <v/>
      </c>
      <c r="T187" s="18" t="str">
        <f t="shared" si="13"/>
        <v/>
      </c>
      <c r="V187" s="19" t="str">
        <f t="shared" si="16"/>
        <v/>
      </c>
    </row>
    <row r="188" spans="1:22" s="20" customFormat="1" x14ac:dyDescent="0.3">
      <c r="A188" s="14"/>
      <c r="F188" s="22"/>
      <c r="R188" s="17" t="str">
        <f t="shared" si="11"/>
        <v/>
      </c>
      <c r="S188" s="17" t="str">
        <f t="shared" si="12"/>
        <v/>
      </c>
      <c r="T188" s="18" t="str">
        <f t="shared" si="13"/>
        <v/>
      </c>
      <c r="V188" s="19" t="str">
        <f t="shared" si="16"/>
        <v/>
      </c>
    </row>
    <row r="189" spans="1:22" s="20" customFormat="1" x14ac:dyDescent="0.3">
      <c r="A189" s="14"/>
      <c r="F189" s="22"/>
      <c r="R189" s="17" t="str">
        <f t="shared" si="11"/>
        <v/>
      </c>
      <c r="S189" s="17" t="str">
        <f t="shared" si="12"/>
        <v/>
      </c>
      <c r="T189" s="18" t="str">
        <f t="shared" si="13"/>
        <v/>
      </c>
      <c r="V189" s="19" t="str">
        <f t="shared" si="16"/>
        <v/>
      </c>
    </row>
    <row r="190" spans="1:22" s="20" customFormat="1" x14ac:dyDescent="0.3">
      <c r="A190" s="14"/>
      <c r="F190" s="22"/>
      <c r="R190" s="17" t="str">
        <f t="shared" si="11"/>
        <v/>
      </c>
      <c r="S190" s="17" t="str">
        <f t="shared" si="12"/>
        <v/>
      </c>
      <c r="T190" s="18" t="str">
        <f t="shared" si="13"/>
        <v/>
      </c>
      <c r="V190" s="19" t="str">
        <f t="shared" si="16"/>
        <v/>
      </c>
    </row>
    <row r="191" spans="1:22" s="20" customFormat="1" x14ac:dyDescent="0.3">
      <c r="A191" s="14"/>
      <c r="F191" s="22"/>
      <c r="R191" s="17" t="str">
        <f t="shared" si="11"/>
        <v/>
      </c>
      <c r="S191" s="17" t="str">
        <f t="shared" si="12"/>
        <v/>
      </c>
      <c r="T191" s="18" t="str">
        <f t="shared" si="13"/>
        <v/>
      </c>
      <c r="V191" s="19" t="str">
        <f t="shared" si="16"/>
        <v/>
      </c>
    </row>
    <row r="192" spans="1:22" s="20" customFormat="1" x14ac:dyDescent="0.3">
      <c r="A192" s="14"/>
      <c r="F192" s="22"/>
      <c r="R192" s="17" t="str">
        <f t="shared" si="11"/>
        <v/>
      </c>
      <c r="S192" s="17" t="str">
        <f t="shared" si="12"/>
        <v/>
      </c>
      <c r="T192" s="18" t="str">
        <f t="shared" si="13"/>
        <v/>
      </c>
      <c r="V192" s="19" t="str">
        <f t="shared" si="16"/>
        <v/>
      </c>
    </row>
    <row r="193" spans="1:22" s="20" customFormat="1" x14ac:dyDescent="0.3">
      <c r="A193" s="14"/>
      <c r="F193" s="22"/>
      <c r="R193" s="17" t="str">
        <f t="shared" si="11"/>
        <v/>
      </c>
      <c r="S193" s="17" t="str">
        <f t="shared" si="12"/>
        <v/>
      </c>
      <c r="T193" s="18" t="str">
        <f t="shared" si="13"/>
        <v/>
      </c>
      <c r="V193" s="19" t="str">
        <f t="shared" si="16"/>
        <v/>
      </c>
    </row>
    <row r="194" spans="1:22" s="20" customFormat="1" x14ac:dyDescent="0.3">
      <c r="A194" s="14"/>
      <c r="F194" s="22"/>
      <c r="R194" s="17" t="str">
        <f t="shared" si="11"/>
        <v/>
      </c>
      <c r="S194" s="17" t="str">
        <f t="shared" si="12"/>
        <v/>
      </c>
      <c r="T194" s="18" t="str">
        <f t="shared" si="13"/>
        <v/>
      </c>
      <c r="V194" s="19" t="str">
        <f t="shared" ref="V194:V225" si="17">IF(U194&lt;&gt;"",D194 - (SUM(E194:Q194)),"")</f>
        <v/>
      </c>
    </row>
    <row r="195" spans="1:22" s="20" customFormat="1" x14ac:dyDescent="0.3">
      <c r="A195" s="14"/>
      <c r="F195" s="22"/>
      <c r="R195" s="17" t="str">
        <f t="shared" si="11"/>
        <v/>
      </c>
      <c r="S195" s="17" t="str">
        <f t="shared" si="12"/>
        <v/>
      </c>
      <c r="T195" s="18" t="str">
        <f t="shared" si="13"/>
        <v/>
      </c>
      <c r="V195" s="19" t="str">
        <f t="shared" si="17"/>
        <v/>
      </c>
    </row>
    <row r="196" spans="1:22" s="20" customFormat="1" x14ac:dyDescent="0.3">
      <c r="A196" s="14"/>
      <c r="F196" s="22"/>
      <c r="R196" s="17" t="str">
        <f t="shared" ref="R196:R259" si="18">IF(AND(ISBLANK(D196),ISBLANK(E196),ISBLANK(F196),ISBLANK(G196),ISBLANK(H196),ISBLANK(I196), ISBLANK(J196), ISBLANK(K196), ISBLANK(L196), ISBLANK(M196), ISBLANK(N196), ISBLANK(O196), ISBLANK(P196), ISBLANK(Q196)),"",SUM(E196:P196))</f>
        <v/>
      </c>
      <c r="S196" s="17" t="str">
        <f t="shared" ref="S196:S259" si="19">IF(U196&lt;&gt;0,0,IF(AND(ISBLANK(D196),ISBLANK(E196),ISBLANK(F196),ISBLANK(G196),ISBLANK(H196),ISBLANK(I196), ISBLANK(J196), ISBLANK(K196), ISBLANK(L196), ISBLANK(M196), ISBLANK(N196), ISBLANK(O196), ISBLANK(P196), ISBLANK(Q196)),"", (D196+E196)-R196))</f>
        <v/>
      </c>
      <c r="T196" s="18" t="str">
        <f t="shared" ref="T196:T259" si="20">IF(U196&lt;&gt;0,1,IF(AND(ISBLANK(D196),ISBLANK(E196),ISBLANK(F196),ISBLANK(G196),ISBLANK(H196),ISBLANK(I196),ISBLANK(J196),ISBLANK(K196),ISBLANK(L196),ISBLANK(M196),ISBLANK(N196),ISBLANK(O196),ISBLANK(P196),ISBLANK(Q196)),"",IFERROR((D196-S196)/D196,"")))</f>
        <v/>
      </c>
      <c r="V196" s="19" t="str">
        <f t="shared" si="17"/>
        <v/>
      </c>
    </row>
    <row r="197" spans="1:22" s="20" customFormat="1" x14ac:dyDescent="0.3">
      <c r="A197" s="14"/>
      <c r="F197" s="22"/>
      <c r="R197" s="17" t="str">
        <f t="shared" si="18"/>
        <v/>
      </c>
      <c r="S197" s="17" t="str">
        <f t="shared" si="19"/>
        <v/>
      </c>
      <c r="T197" s="18" t="str">
        <f t="shared" si="20"/>
        <v/>
      </c>
      <c r="V197" s="19" t="str">
        <f t="shared" si="17"/>
        <v/>
      </c>
    </row>
    <row r="198" spans="1:22" s="20" customFormat="1" x14ac:dyDescent="0.3">
      <c r="A198" s="14"/>
      <c r="F198" s="22"/>
      <c r="R198" s="17" t="str">
        <f t="shared" si="18"/>
        <v/>
      </c>
      <c r="S198" s="17" t="str">
        <f t="shared" si="19"/>
        <v/>
      </c>
      <c r="T198" s="18" t="str">
        <f t="shared" si="20"/>
        <v/>
      </c>
      <c r="V198" s="19" t="str">
        <f t="shared" si="17"/>
        <v/>
      </c>
    </row>
    <row r="199" spans="1:22" s="20" customFormat="1" x14ac:dyDescent="0.3">
      <c r="A199" s="14"/>
      <c r="F199" s="22"/>
      <c r="R199" s="17" t="str">
        <f t="shared" si="18"/>
        <v/>
      </c>
      <c r="S199" s="17" t="str">
        <f t="shared" si="19"/>
        <v/>
      </c>
      <c r="T199" s="18" t="str">
        <f t="shared" si="20"/>
        <v/>
      </c>
      <c r="V199" s="19" t="str">
        <f t="shared" si="17"/>
        <v/>
      </c>
    </row>
    <row r="200" spans="1:22" s="20" customFormat="1" x14ac:dyDescent="0.3">
      <c r="A200" s="14"/>
      <c r="F200" s="22"/>
      <c r="R200" s="17" t="str">
        <f t="shared" si="18"/>
        <v/>
      </c>
      <c r="S200" s="17" t="str">
        <f t="shared" si="19"/>
        <v/>
      </c>
      <c r="T200" s="18" t="str">
        <f t="shared" si="20"/>
        <v/>
      </c>
      <c r="V200" s="19" t="str">
        <f t="shared" si="17"/>
        <v/>
      </c>
    </row>
    <row r="201" spans="1:22" s="20" customFormat="1" x14ac:dyDescent="0.3">
      <c r="A201" s="14"/>
      <c r="F201" s="22"/>
      <c r="R201" s="17" t="str">
        <f t="shared" si="18"/>
        <v/>
      </c>
      <c r="S201" s="17" t="str">
        <f t="shared" si="19"/>
        <v/>
      </c>
      <c r="T201" s="18" t="str">
        <f t="shared" si="20"/>
        <v/>
      </c>
      <c r="V201" s="19" t="str">
        <f t="shared" si="17"/>
        <v/>
      </c>
    </row>
    <row r="202" spans="1:22" x14ac:dyDescent="0.3">
      <c r="R202" s="17" t="str">
        <f t="shared" si="18"/>
        <v/>
      </c>
      <c r="S202" s="17" t="str">
        <f t="shared" si="19"/>
        <v/>
      </c>
      <c r="T202" s="18" t="str">
        <f t="shared" si="20"/>
        <v/>
      </c>
      <c r="V202" s="19" t="str">
        <f t="shared" si="17"/>
        <v/>
      </c>
    </row>
    <row r="203" spans="1:22" x14ac:dyDescent="0.3">
      <c r="R203" s="17" t="str">
        <f t="shared" si="18"/>
        <v/>
      </c>
      <c r="S203" s="17" t="str">
        <f t="shared" si="19"/>
        <v/>
      </c>
      <c r="T203" s="18" t="str">
        <f t="shared" si="20"/>
        <v/>
      </c>
      <c r="V203" s="19" t="str">
        <f t="shared" si="17"/>
        <v/>
      </c>
    </row>
    <row r="204" spans="1:22" x14ac:dyDescent="0.3">
      <c r="R204" s="17" t="str">
        <f t="shared" si="18"/>
        <v/>
      </c>
      <c r="S204" s="17" t="str">
        <f t="shared" si="19"/>
        <v/>
      </c>
      <c r="T204" s="18" t="str">
        <f t="shared" si="20"/>
        <v/>
      </c>
      <c r="V204" s="19" t="str">
        <f t="shared" si="17"/>
        <v/>
      </c>
    </row>
    <row r="205" spans="1:22" x14ac:dyDescent="0.3">
      <c r="R205" s="17" t="str">
        <f t="shared" si="18"/>
        <v/>
      </c>
      <c r="S205" s="17" t="str">
        <f t="shared" si="19"/>
        <v/>
      </c>
      <c r="T205" s="18" t="str">
        <f t="shared" si="20"/>
        <v/>
      </c>
      <c r="V205" s="19" t="str">
        <f t="shared" si="17"/>
        <v/>
      </c>
    </row>
    <row r="206" spans="1:22" x14ac:dyDescent="0.3">
      <c r="R206" s="17" t="str">
        <f t="shared" si="18"/>
        <v/>
      </c>
      <c r="S206" s="17" t="str">
        <f t="shared" si="19"/>
        <v/>
      </c>
      <c r="T206" s="18" t="str">
        <f t="shared" si="20"/>
        <v/>
      </c>
      <c r="V206" s="19" t="str">
        <f t="shared" si="17"/>
        <v/>
      </c>
    </row>
    <row r="207" spans="1:22" x14ac:dyDescent="0.3">
      <c r="R207" s="17" t="str">
        <f t="shared" si="18"/>
        <v/>
      </c>
      <c r="S207" s="17" t="str">
        <f t="shared" si="19"/>
        <v/>
      </c>
      <c r="T207" s="18" t="str">
        <f t="shared" si="20"/>
        <v/>
      </c>
      <c r="V207" s="19" t="str">
        <f t="shared" si="17"/>
        <v/>
      </c>
    </row>
    <row r="208" spans="1:22" x14ac:dyDescent="0.3">
      <c r="R208" s="17" t="str">
        <f t="shared" si="18"/>
        <v/>
      </c>
      <c r="S208" s="17" t="str">
        <f t="shared" si="19"/>
        <v/>
      </c>
      <c r="T208" s="18" t="str">
        <f t="shared" si="20"/>
        <v/>
      </c>
      <c r="V208" s="19" t="str">
        <f t="shared" si="17"/>
        <v/>
      </c>
    </row>
    <row r="209" spans="18:22" x14ac:dyDescent="0.3">
      <c r="R209" s="17" t="str">
        <f t="shared" si="18"/>
        <v/>
      </c>
      <c r="S209" s="17" t="str">
        <f t="shared" si="19"/>
        <v/>
      </c>
      <c r="T209" s="18" t="str">
        <f t="shared" si="20"/>
        <v/>
      </c>
      <c r="V209" s="19" t="str">
        <f t="shared" si="17"/>
        <v/>
      </c>
    </row>
    <row r="210" spans="18:22" x14ac:dyDescent="0.3">
      <c r="R210" s="17" t="str">
        <f t="shared" si="18"/>
        <v/>
      </c>
      <c r="S210" s="17" t="str">
        <f t="shared" si="19"/>
        <v/>
      </c>
      <c r="T210" s="18" t="str">
        <f t="shared" si="20"/>
        <v/>
      </c>
      <c r="V210" s="19" t="str">
        <f t="shared" si="17"/>
        <v/>
      </c>
    </row>
    <row r="211" spans="18:22" x14ac:dyDescent="0.3">
      <c r="R211" s="17" t="str">
        <f t="shared" si="18"/>
        <v/>
      </c>
      <c r="S211" s="17" t="str">
        <f t="shared" si="19"/>
        <v/>
      </c>
      <c r="T211" s="18" t="str">
        <f t="shared" si="20"/>
        <v/>
      </c>
      <c r="V211" s="19" t="str">
        <f t="shared" si="17"/>
        <v/>
      </c>
    </row>
    <row r="212" spans="18:22" x14ac:dyDescent="0.3">
      <c r="R212" s="17" t="str">
        <f t="shared" si="18"/>
        <v/>
      </c>
      <c r="S212" s="17" t="str">
        <f t="shared" si="19"/>
        <v/>
      </c>
      <c r="T212" s="18" t="str">
        <f t="shared" si="20"/>
        <v/>
      </c>
      <c r="V212" s="19" t="str">
        <f t="shared" si="17"/>
        <v/>
      </c>
    </row>
    <row r="213" spans="18:22" x14ac:dyDescent="0.3">
      <c r="R213" s="17" t="str">
        <f t="shared" si="18"/>
        <v/>
      </c>
      <c r="S213" s="17" t="str">
        <f t="shared" si="19"/>
        <v/>
      </c>
      <c r="T213" s="18" t="str">
        <f t="shared" si="20"/>
        <v/>
      </c>
      <c r="V213" s="19" t="str">
        <f t="shared" si="17"/>
        <v/>
      </c>
    </row>
    <row r="214" spans="18:22" x14ac:dyDescent="0.3">
      <c r="R214" s="17" t="str">
        <f t="shared" si="18"/>
        <v/>
      </c>
      <c r="S214" s="17" t="str">
        <f t="shared" si="19"/>
        <v/>
      </c>
      <c r="T214" s="18" t="str">
        <f t="shared" si="20"/>
        <v/>
      </c>
      <c r="V214" s="19" t="str">
        <f t="shared" si="17"/>
        <v/>
      </c>
    </row>
    <row r="215" spans="18:22" x14ac:dyDescent="0.3">
      <c r="R215" s="17" t="str">
        <f t="shared" si="18"/>
        <v/>
      </c>
      <c r="S215" s="17" t="str">
        <f t="shared" si="19"/>
        <v/>
      </c>
      <c r="T215" s="18" t="str">
        <f t="shared" si="20"/>
        <v/>
      </c>
      <c r="V215" s="19" t="str">
        <f t="shared" si="17"/>
        <v/>
      </c>
    </row>
    <row r="216" spans="18:22" x14ac:dyDescent="0.3">
      <c r="R216" s="17" t="str">
        <f t="shared" si="18"/>
        <v/>
      </c>
      <c r="S216" s="17" t="str">
        <f t="shared" si="19"/>
        <v/>
      </c>
      <c r="T216" s="18" t="str">
        <f t="shared" si="20"/>
        <v/>
      </c>
      <c r="V216" s="19" t="str">
        <f t="shared" si="17"/>
        <v/>
      </c>
    </row>
    <row r="217" spans="18:22" x14ac:dyDescent="0.3">
      <c r="R217" s="17" t="str">
        <f t="shared" si="18"/>
        <v/>
      </c>
      <c r="S217" s="17" t="str">
        <f t="shared" si="19"/>
        <v/>
      </c>
      <c r="T217" s="18" t="str">
        <f t="shared" si="20"/>
        <v/>
      </c>
      <c r="V217" s="19" t="str">
        <f t="shared" si="17"/>
        <v/>
      </c>
    </row>
    <row r="218" spans="18:22" x14ac:dyDescent="0.3">
      <c r="R218" s="17" t="str">
        <f t="shared" si="18"/>
        <v/>
      </c>
      <c r="S218" s="17" t="str">
        <f t="shared" si="19"/>
        <v/>
      </c>
      <c r="T218" s="18" t="str">
        <f t="shared" si="20"/>
        <v/>
      </c>
      <c r="V218" s="19" t="str">
        <f t="shared" si="17"/>
        <v/>
      </c>
    </row>
    <row r="219" spans="18:22" x14ac:dyDescent="0.3">
      <c r="R219" s="17" t="str">
        <f t="shared" si="18"/>
        <v/>
      </c>
      <c r="S219" s="17" t="str">
        <f t="shared" si="19"/>
        <v/>
      </c>
      <c r="T219" s="18" t="str">
        <f t="shared" si="20"/>
        <v/>
      </c>
      <c r="V219" s="19" t="str">
        <f t="shared" si="17"/>
        <v/>
      </c>
    </row>
    <row r="220" spans="18:22" x14ac:dyDescent="0.3">
      <c r="R220" s="17" t="str">
        <f t="shared" si="18"/>
        <v/>
      </c>
      <c r="S220" s="17" t="str">
        <f t="shared" si="19"/>
        <v/>
      </c>
      <c r="T220" s="18" t="str">
        <f t="shared" si="20"/>
        <v/>
      </c>
      <c r="V220" s="19" t="str">
        <f t="shared" si="17"/>
        <v/>
      </c>
    </row>
    <row r="221" spans="18:22" x14ac:dyDescent="0.3">
      <c r="R221" s="17" t="str">
        <f t="shared" si="18"/>
        <v/>
      </c>
      <c r="S221" s="17" t="str">
        <f t="shared" si="19"/>
        <v/>
      </c>
      <c r="T221" s="18" t="str">
        <f t="shared" si="20"/>
        <v/>
      </c>
      <c r="V221" s="19" t="str">
        <f t="shared" si="17"/>
        <v/>
      </c>
    </row>
    <row r="222" spans="18:22" x14ac:dyDescent="0.3">
      <c r="R222" s="17" t="str">
        <f t="shared" si="18"/>
        <v/>
      </c>
      <c r="S222" s="17" t="str">
        <f t="shared" si="19"/>
        <v/>
      </c>
      <c r="T222" s="18" t="str">
        <f t="shared" si="20"/>
        <v/>
      </c>
      <c r="V222" s="19" t="str">
        <f t="shared" si="17"/>
        <v/>
      </c>
    </row>
    <row r="223" spans="18:22" x14ac:dyDescent="0.3">
      <c r="R223" s="17" t="str">
        <f t="shared" si="18"/>
        <v/>
      </c>
      <c r="S223" s="17" t="str">
        <f t="shared" si="19"/>
        <v/>
      </c>
      <c r="T223" s="18" t="str">
        <f t="shared" si="20"/>
        <v/>
      </c>
      <c r="V223" s="19" t="str">
        <f t="shared" si="17"/>
        <v/>
      </c>
    </row>
    <row r="224" spans="18:22" x14ac:dyDescent="0.3">
      <c r="R224" s="17" t="str">
        <f t="shared" si="18"/>
        <v/>
      </c>
      <c r="S224" s="17" t="str">
        <f t="shared" si="19"/>
        <v/>
      </c>
      <c r="T224" s="18" t="str">
        <f t="shared" si="20"/>
        <v/>
      </c>
      <c r="V224" s="19" t="str">
        <f t="shared" si="17"/>
        <v/>
      </c>
    </row>
    <row r="225" spans="18:22" x14ac:dyDescent="0.3">
      <c r="R225" s="17" t="str">
        <f t="shared" si="18"/>
        <v/>
      </c>
      <c r="S225" s="17" t="str">
        <f t="shared" si="19"/>
        <v/>
      </c>
      <c r="T225" s="18" t="str">
        <f t="shared" si="20"/>
        <v/>
      </c>
      <c r="V225" s="19" t="str">
        <f t="shared" si="17"/>
        <v/>
      </c>
    </row>
    <row r="226" spans="18:22" x14ac:dyDescent="0.3">
      <c r="R226" s="17" t="str">
        <f t="shared" si="18"/>
        <v/>
      </c>
      <c r="S226" s="17" t="str">
        <f t="shared" si="19"/>
        <v/>
      </c>
      <c r="T226" s="18" t="str">
        <f t="shared" si="20"/>
        <v/>
      </c>
      <c r="V226" s="19" t="str">
        <f t="shared" ref="V226:V257" si="21">IF(U226&lt;&gt;"",D226 - (SUM(E226:Q226)),"")</f>
        <v/>
      </c>
    </row>
    <row r="227" spans="18:22" x14ac:dyDescent="0.3">
      <c r="R227" s="17" t="str">
        <f t="shared" si="18"/>
        <v/>
      </c>
      <c r="S227" s="17" t="str">
        <f t="shared" si="19"/>
        <v/>
      </c>
      <c r="T227" s="18" t="str">
        <f t="shared" si="20"/>
        <v/>
      </c>
      <c r="V227" s="19" t="str">
        <f t="shared" si="21"/>
        <v/>
      </c>
    </row>
    <row r="228" spans="18:22" x14ac:dyDescent="0.3">
      <c r="R228" s="17" t="str">
        <f t="shared" si="18"/>
        <v/>
      </c>
      <c r="S228" s="17" t="str">
        <f t="shared" si="19"/>
        <v/>
      </c>
      <c r="T228" s="18" t="str">
        <f t="shared" si="20"/>
        <v/>
      </c>
      <c r="V228" s="19" t="str">
        <f t="shared" si="21"/>
        <v/>
      </c>
    </row>
    <row r="229" spans="18:22" x14ac:dyDescent="0.3">
      <c r="R229" s="17" t="str">
        <f t="shared" si="18"/>
        <v/>
      </c>
      <c r="S229" s="17" t="str">
        <f t="shared" si="19"/>
        <v/>
      </c>
      <c r="T229" s="18" t="str">
        <f t="shared" si="20"/>
        <v/>
      </c>
      <c r="V229" s="19" t="str">
        <f t="shared" si="21"/>
        <v/>
      </c>
    </row>
    <row r="230" spans="18:22" x14ac:dyDescent="0.3">
      <c r="R230" s="17" t="str">
        <f t="shared" si="18"/>
        <v/>
      </c>
      <c r="S230" s="17" t="str">
        <f t="shared" si="19"/>
        <v/>
      </c>
      <c r="T230" s="18" t="str">
        <f t="shared" si="20"/>
        <v/>
      </c>
      <c r="V230" s="19" t="str">
        <f t="shared" si="21"/>
        <v/>
      </c>
    </row>
    <row r="231" spans="18:22" x14ac:dyDescent="0.3">
      <c r="R231" s="17" t="str">
        <f t="shared" si="18"/>
        <v/>
      </c>
      <c r="S231" s="17" t="str">
        <f t="shared" si="19"/>
        <v/>
      </c>
      <c r="T231" s="18" t="str">
        <f t="shared" si="20"/>
        <v/>
      </c>
      <c r="V231" s="19" t="str">
        <f t="shared" si="21"/>
        <v/>
      </c>
    </row>
    <row r="232" spans="18:22" x14ac:dyDescent="0.3">
      <c r="R232" s="17" t="str">
        <f t="shared" si="18"/>
        <v/>
      </c>
      <c r="S232" s="17" t="str">
        <f t="shared" si="19"/>
        <v/>
      </c>
      <c r="T232" s="18" t="str">
        <f t="shared" si="20"/>
        <v/>
      </c>
      <c r="V232" s="19" t="str">
        <f t="shared" si="21"/>
        <v/>
      </c>
    </row>
    <row r="233" spans="18:22" x14ac:dyDescent="0.3">
      <c r="R233" s="17" t="str">
        <f t="shared" si="18"/>
        <v/>
      </c>
      <c r="S233" s="17" t="str">
        <f t="shared" si="19"/>
        <v/>
      </c>
      <c r="T233" s="18" t="str">
        <f t="shared" si="20"/>
        <v/>
      </c>
      <c r="V233" s="19" t="str">
        <f t="shared" si="21"/>
        <v/>
      </c>
    </row>
    <row r="234" spans="18:22" x14ac:dyDescent="0.3">
      <c r="R234" s="17" t="str">
        <f t="shared" si="18"/>
        <v/>
      </c>
      <c r="S234" s="17" t="str">
        <f t="shared" si="19"/>
        <v/>
      </c>
      <c r="T234" s="18" t="str">
        <f t="shared" si="20"/>
        <v/>
      </c>
      <c r="V234" s="19" t="str">
        <f t="shared" si="21"/>
        <v/>
      </c>
    </row>
    <row r="235" spans="18:22" x14ac:dyDescent="0.3">
      <c r="R235" s="17" t="str">
        <f t="shared" si="18"/>
        <v/>
      </c>
      <c r="S235" s="17" t="str">
        <f t="shared" si="19"/>
        <v/>
      </c>
      <c r="T235" s="18" t="str">
        <f t="shared" si="20"/>
        <v/>
      </c>
      <c r="V235" s="19" t="str">
        <f t="shared" si="21"/>
        <v/>
      </c>
    </row>
    <row r="236" spans="18:22" x14ac:dyDescent="0.3">
      <c r="R236" s="17" t="str">
        <f t="shared" si="18"/>
        <v/>
      </c>
      <c r="S236" s="17" t="str">
        <f t="shared" si="19"/>
        <v/>
      </c>
      <c r="T236" s="18" t="str">
        <f t="shared" si="20"/>
        <v/>
      </c>
      <c r="V236" s="19" t="str">
        <f t="shared" si="21"/>
        <v/>
      </c>
    </row>
    <row r="237" spans="18:22" x14ac:dyDescent="0.3">
      <c r="R237" s="17" t="str">
        <f t="shared" si="18"/>
        <v/>
      </c>
      <c r="S237" s="17" t="str">
        <f t="shared" si="19"/>
        <v/>
      </c>
      <c r="T237" s="18" t="str">
        <f t="shared" si="20"/>
        <v/>
      </c>
      <c r="V237" s="19" t="str">
        <f t="shared" si="21"/>
        <v/>
      </c>
    </row>
    <row r="238" spans="18:22" x14ac:dyDescent="0.3">
      <c r="R238" s="17" t="str">
        <f t="shared" si="18"/>
        <v/>
      </c>
      <c r="S238" s="17" t="str">
        <f t="shared" si="19"/>
        <v/>
      </c>
      <c r="T238" s="18" t="str">
        <f t="shared" si="20"/>
        <v/>
      </c>
      <c r="V238" s="19" t="str">
        <f t="shared" si="21"/>
        <v/>
      </c>
    </row>
    <row r="239" spans="18:22" x14ac:dyDescent="0.3">
      <c r="R239" s="17" t="str">
        <f t="shared" si="18"/>
        <v/>
      </c>
      <c r="S239" s="17" t="str">
        <f t="shared" si="19"/>
        <v/>
      </c>
      <c r="T239" s="18" t="str">
        <f t="shared" si="20"/>
        <v/>
      </c>
      <c r="V239" s="19" t="str">
        <f t="shared" si="21"/>
        <v/>
      </c>
    </row>
    <row r="240" spans="18:22" x14ac:dyDescent="0.3">
      <c r="R240" s="17" t="str">
        <f t="shared" si="18"/>
        <v/>
      </c>
      <c r="S240" s="17" t="str">
        <f t="shared" si="19"/>
        <v/>
      </c>
      <c r="T240" s="18" t="str">
        <f t="shared" si="20"/>
        <v/>
      </c>
      <c r="V240" s="19" t="str">
        <f t="shared" si="21"/>
        <v/>
      </c>
    </row>
    <row r="241" spans="18:22" x14ac:dyDescent="0.3">
      <c r="R241" s="17" t="str">
        <f t="shared" si="18"/>
        <v/>
      </c>
      <c r="S241" s="17" t="str">
        <f t="shared" si="19"/>
        <v/>
      </c>
      <c r="T241" s="18" t="str">
        <f t="shared" si="20"/>
        <v/>
      </c>
      <c r="V241" s="19" t="str">
        <f t="shared" si="21"/>
        <v/>
      </c>
    </row>
    <row r="242" spans="18:22" x14ac:dyDescent="0.3">
      <c r="R242" s="17" t="str">
        <f t="shared" si="18"/>
        <v/>
      </c>
      <c r="S242" s="17" t="str">
        <f t="shared" si="19"/>
        <v/>
      </c>
      <c r="T242" s="18" t="str">
        <f t="shared" si="20"/>
        <v/>
      </c>
      <c r="V242" s="19" t="str">
        <f t="shared" si="21"/>
        <v/>
      </c>
    </row>
    <row r="243" spans="18:22" x14ac:dyDescent="0.3">
      <c r="R243" s="17" t="str">
        <f t="shared" si="18"/>
        <v/>
      </c>
      <c r="S243" s="17" t="str">
        <f t="shared" si="19"/>
        <v/>
      </c>
      <c r="T243" s="18" t="str">
        <f t="shared" si="20"/>
        <v/>
      </c>
      <c r="V243" s="19" t="str">
        <f t="shared" si="21"/>
        <v/>
      </c>
    </row>
    <row r="244" spans="18:22" x14ac:dyDescent="0.3">
      <c r="R244" s="17" t="str">
        <f t="shared" si="18"/>
        <v/>
      </c>
      <c r="S244" s="17" t="str">
        <f t="shared" si="19"/>
        <v/>
      </c>
      <c r="T244" s="18" t="str">
        <f t="shared" si="20"/>
        <v/>
      </c>
      <c r="V244" s="19" t="str">
        <f t="shared" si="21"/>
        <v/>
      </c>
    </row>
    <row r="245" spans="18:22" x14ac:dyDescent="0.3">
      <c r="R245" s="17" t="str">
        <f t="shared" si="18"/>
        <v/>
      </c>
      <c r="S245" s="17" t="str">
        <f t="shared" si="19"/>
        <v/>
      </c>
      <c r="T245" s="18" t="str">
        <f t="shared" si="20"/>
        <v/>
      </c>
      <c r="V245" s="19" t="str">
        <f t="shared" si="21"/>
        <v/>
      </c>
    </row>
    <row r="246" spans="18:22" x14ac:dyDescent="0.3">
      <c r="R246" s="17" t="str">
        <f t="shared" si="18"/>
        <v/>
      </c>
      <c r="S246" s="17" t="str">
        <f t="shared" si="19"/>
        <v/>
      </c>
      <c r="T246" s="18" t="str">
        <f t="shared" si="20"/>
        <v/>
      </c>
      <c r="V246" s="19" t="str">
        <f t="shared" si="21"/>
        <v/>
      </c>
    </row>
    <row r="247" spans="18:22" x14ac:dyDescent="0.3">
      <c r="R247" s="17" t="str">
        <f t="shared" si="18"/>
        <v/>
      </c>
      <c r="S247" s="17" t="str">
        <f t="shared" si="19"/>
        <v/>
      </c>
      <c r="T247" s="18" t="str">
        <f t="shared" si="20"/>
        <v/>
      </c>
      <c r="V247" s="19" t="str">
        <f t="shared" si="21"/>
        <v/>
      </c>
    </row>
    <row r="248" spans="18:22" x14ac:dyDescent="0.3">
      <c r="R248" s="17" t="str">
        <f t="shared" si="18"/>
        <v/>
      </c>
      <c r="S248" s="17" t="str">
        <f t="shared" si="19"/>
        <v/>
      </c>
      <c r="T248" s="18" t="str">
        <f t="shared" si="20"/>
        <v/>
      </c>
      <c r="V248" s="19" t="str">
        <f t="shared" si="21"/>
        <v/>
      </c>
    </row>
    <row r="249" spans="18:22" x14ac:dyDescent="0.3">
      <c r="R249" s="17" t="str">
        <f t="shared" si="18"/>
        <v/>
      </c>
      <c r="S249" s="17" t="str">
        <f t="shared" si="19"/>
        <v/>
      </c>
      <c r="T249" s="18" t="str">
        <f t="shared" si="20"/>
        <v/>
      </c>
      <c r="V249" s="19" t="str">
        <f t="shared" si="21"/>
        <v/>
      </c>
    </row>
    <row r="250" spans="18:22" x14ac:dyDescent="0.3">
      <c r="R250" s="17" t="str">
        <f t="shared" si="18"/>
        <v/>
      </c>
      <c r="S250" s="17" t="str">
        <f t="shared" si="19"/>
        <v/>
      </c>
      <c r="T250" s="18" t="str">
        <f t="shared" si="20"/>
        <v/>
      </c>
      <c r="V250" s="19" t="str">
        <f t="shared" si="21"/>
        <v/>
      </c>
    </row>
    <row r="251" spans="18:22" x14ac:dyDescent="0.3">
      <c r="R251" s="17" t="str">
        <f t="shared" si="18"/>
        <v/>
      </c>
      <c r="S251" s="17" t="str">
        <f t="shared" si="19"/>
        <v/>
      </c>
      <c r="T251" s="18" t="str">
        <f t="shared" si="20"/>
        <v/>
      </c>
      <c r="V251" s="19" t="str">
        <f t="shared" si="21"/>
        <v/>
      </c>
    </row>
    <row r="252" spans="18:22" x14ac:dyDescent="0.3">
      <c r="R252" s="17" t="str">
        <f t="shared" si="18"/>
        <v/>
      </c>
      <c r="S252" s="17" t="str">
        <f t="shared" si="19"/>
        <v/>
      </c>
      <c r="T252" s="18" t="str">
        <f t="shared" si="20"/>
        <v/>
      </c>
      <c r="V252" s="19" t="str">
        <f t="shared" si="21"/>
        <v/>
      </c>
    </row>
    <row r="253" spans="18:22" x14ac:dyDescent="0.3">
      <c r="R253" s="17" t="str">
        <f t="shared" si="18"/>
        <v/>
      </c>
      <c r="S253" s="17" t="str">
        <f t="shared" si="19"/>
        <v/>
      </c>
      <c r="T253" s="18" t="str">
        <f t="shared" si="20"/>
        <v/>
      </c>
      <c r="V253" s="19" t="str">
        <f t="shared" si="21"/>
        <v/>
      </c>
    </row>
    <row r="254" spans="18:22" x14ac:dyDescent="0.3">
      <c r="R254" s="17" t="str">
        <f t="shared" si="18"/>
        <v/>
      </c>
      <c r="S254" s="17" t="str">
        <f t="shared" si="19"/>
        <v/>
      </c>
      <c r="T254" s="18" t="str">
        <f t="shared" si="20"/>
        <v/>
      </c>
      <c r="V254" s="19" t="str">
        <f t="shared" si="21"/>
        <v/>
      </c>
    </row>
    <row r="255" spans="18:22" x14ac:dyDescent="0.3">
      <c r="R255" s="17" t="str">
        <f t="shared" si="18"/>
        <v/>
      </c>
      <c r="S255" s="17" t="str">
        <f t="shared" si="19"/>
        <v/>
      </c>
      <c r="T255" s="18" t="str">
        <f t="shared" si="20"/>
        <v/>
      </c>
      <c r="V255" s="19" t="str">
        <f t="shared" si="21"/>
        <v/>
      </c>
    </row>
    <row r="256" spans="18:22" x14ac:dyDescent="0.3">
      <c r="R256" s="17" t="str">
        <f t="shared" si="18"/>
        <v/>
      </c>
      <c r="S256" s="17" t="str">
        <f t="shared" si="19"/>
        <v/>
      </c>
      <c r="T256" s="18" t="str">
        <f t="shared" si="20"/>
        <v/>
      </c>
      <c r="V256" s="19" t="str">
        <f t="shared" si="21"/>
        <v/>
      </c>
    </row>
    <row r="257" spans="18:22" x14ac:dyDescent="0.3">
      <c r="R257" s="17" t="str">
        <f t="shared" si="18"/>
        <v/>
      </c>
      <c r="S257" s="17" t="str">
        <f t="shared" si="19"/>
        <v/>
      </c>
      <c r="T257" s="18" t="str">
        <f t="shared" si="20"/>
        <v/>
      </c>
      <c r="V257" s="19" t="str">
        <f t="shared" si="21"/>
        <v/>
      </c>
    </row>
    <row r="258" spans="18:22" x14ac:dyDescent="0.3">
      <c r="R258" s="17" t="str">
        <f t="shared" si="18"/>
        <v/>
      </c>
      <c r="S258" s="17" t="str">
        <f t="shared" si="19"/>
        <v/>
      </c>
      <c r="T258" s="18" t="str">
        <f t="shared" si="20"/>
        <v/>
      </c>
      <c r="V258" s="19" t="str">
        <f t="shared" ref="V258:V289" si="22">IF(U258&lt;&gt;"",D258 - (SUM(E258:Q258)),"")</f>
        <v/>
      </c>
    </row>
    <row r="259" spans="18:22" x14ac:dyDescent="0.3">
      <c r="R259" s="17" t="str">
        <f t="shared" si="18"/>
        <v/>
      </c>
      <c r="S259" s="17" t="str">
        <f t="shared" si="19"/>
        <v/>
      </c>
      <c r="T259" s="18" t="str">
        <f t="shared" si="20"/>
        <v/>
      </c>
      <c r="V259" s="19" t="str">
        <f t="shared" si="22"/>
        <v/>
      </c>
    </row>
    <row r="260" spans="18:22" x14ac:dyDescent="0.3">
      <c r="R260" s="17" t="str">
        <f t="shared" ref="R260:R300" si="23">IF(AND(ISBLANK(D260),ISBLANK(E260),ISBLANK(F260),ISBLANK(G260),ISBLANK(H260),ISBLANK(I260), ISBLANK(J260), ISBLANK(K260), ISBLANK(L260), ISBLANK(M260), ISBLANK(N260), ISBLANK(O260), ISBLANK(P260), ISBLANK(Q260)),"",SUM(E260:P260))</f>
        <v/>
      </c>
      <c r="S260" s="17" t="str">
        <f t="shared" ref="S260:S300" si="24">IF(U260&lt;&gt;0,0,IF(AND(ISBLANK(D260),ISBLANK(E260),ISBLANK(F260),ISBLANK(G260),ISBLANK(H260),ISBLANK(I260), ISBLANK(J260), ISBLANK(K260), ISBLANK(L260), ISBLANK(M260), ISBLANK(N260), ISBLANK(O260), ISBLANK(P260), ISBLANK(Q260)),"", (D260+E260)-R260))</f>
        <v/>
      </c>
      <c r="T260" s="18" t="str">
        <f t="shared" ref="T260:T300" si="25">IF(U260&lt;&gt;0,1,IF(AND(ISBLANK(D260),ISBLANK(E260),ISBLANK(F260),ISBLANK(G260),ISBLANK(H260),ISBLANK(I260),ISBLANK(J260),ISBLANK(K260),ISBLANK(L260),ISBLANK(M260),ISBLANK(N260),ISBLANK(O260),ISBLANK(P260),ISBLANK(Q260)),"",IFERROR((D260-S260)/D260,"")))</f>
        <v/>
      </c>
      <c r="V260" s="19" t="str">
        <f t="shared" si="22"/>
        <v/>
      </c>
    </row>
    <row r="261" spans="18:22" x14ac:dyDescent="0.3">
      <c r="R261" s="17" t="str">
        <f t="shared" si="23"/>
        <v/>
      </c>
      <c r="S261" s="17" t="str">
        <f t="shared" si="24"/>
        <v/>
      </c>
      <c r="T261" s="18" t="str">
        <f t="shared" si="25"/>
        <v/>
      </c>
      <c r="V261" s="19" t="str">
        <f t="shared" si="22"/>
        <v/>
      </c>
    </row>
    <row r="262" spans="18:22" x14ac:dyDescent="0.3">
      <c r="R262" s="17" t="str">
        <f t="shared" si="23"/>
        <v/>
      </c>
      <c r="S262" s="17" t="str">
        <f t="shared" si="24"/>
        <v/>
      </c>
      <c r="T262" s="18" t="str">
        <f t="shared" si="25"/>
        <v/>
      </c>
      <c r="V262" s="19" t="str">
        <f t="shared" si="22"/>
        <v/>
      </c>
    </row>
    <row r="263" spans="18:22" x14ac:dyDescent="0.3">
      <c r="R263" s="17" t="str">
        <f t="shared" si="23"/>
        <v/>
      </c>
      <c r="S263" s="17" t="str">
        <f t="shared" si="24"/>
        <v/>
      </c>
      <c r="T263" s="18" t="str">
        <f t="shared" si="25"/>
        <v/>
      </c>
      <c r="V263" s="19" t="str">
        <f t="shared" si="22"/>
        <v/>
      </c>
    </row>
    <row r="264" spans="18:22" x14ac:dyDescent="0.3">
      <c r="R264" s="17" t="str">
        <f t="shared" si="23"/>
        <v/>
      </c>
      <c r="S264" s="17" t="str">
        <f t="shared" si="24"/>
        <v/>
      </c>
      <c r="T264" s="18" t="str">
        <f t="shared" si="25"/>
        <v/>
      </c>
      <c r="V264" s="19" t="str">
        <f t="shared" si="22"/>
        <v/>
      </c>
    </row>
    <row r="265" spans="18:22" x14ac:dyDescent="0.3">
      <c r="R265" s="17" t="str">
        <f t="shared" si="23"/>
        <v/>
      </c>
      <c r="S265" s="17" t="str">
        <f t="shared" si="24"/>
        <v/>
      </c>
      <c r="T265" s="18" t="str">
        <f t="shared" si="25"/>
        <v/>
      </c>
      <c r="V265" s="19" t="str">
        <f t="shared" si="22"/>
        <v/>
      </c>
    </row>
    <row r="266" spans="18:22" x14ac:dyDescent="0.3">
      <c r="R266" s="17" t="str">
        <f t="shared" si="23"/>
        <v/>
      </c>
      <c r="S266" s="17" t="str">
        <f t="shared" si="24"/>
        <v/>
      </c>
      <c r="T266" s="18" t="str">
        <f t="shared" si="25"/>
        <v/>
      </c>
      <c r="V266" s="19" t="str">
        <f t="shared" si="22"/>
        <v/>
      </c>
    </row>
    <row r="267" spans="18:22" x14ac:dyDescent="0.3">
      <c r="R267" s="17" t="str">
        <f t="shared" si="23"/>
        <v/>
      </c>
      <c r="S267" s="17" t="str">
        <f t="shared" si="24"/>
        <v/>
      </c>
      <c r="T267" s="18" t="str">
        <f t="shared" si="25"/>
        <v/>
      </c>
      <c r="V267" s="19" t="str">
        <f t="shared" si="22"/>
        <v/>
      </c>
    </row>
    <row r="268" spans="18:22" x14ac:dyDescent="0.3">
      <c r="R268" s="17" t="str">
        <f t="shared" si="23"/>
        <v/>
      </c>
      <c r="S268" s="17" t="str">
        <f t="shared" si="24"/>
        <v/>
      </c>
      <c r="T268" s="18" t="str">
        <f t="shared" si="25"/>
        <v/>
      </c>
      <c r="V268" s="19" t="str">
        <f t="shared" si="22"/>
        <v/>
      </c>
    </row>
    <row r="269" spans="18:22" x14ac:dyDescent="0.3">
      <c r="R269" s="17" t="str">
        <f t="shared" si="23"/>
        <v/>
      </c>
      <c r="S269" s="17" t="str">
        <f t="shared" si="24"/>
        <v/>
      </c>
      <c r="T269" s="18" t="str">
        <f t="shared" si="25"/>
        <v/>
      </c>
      <c r="V269" s="19" t="str">
        <f t="shared" si="22"/>
        <v/>
      </c>
    </row>
    <row r="270" spans="18:22" x14ac:dyDescent="0.3">
      <c r="R270" s="17" t="str">
        <f t="shared" si="23"/>
        <v/>
      </c>
      <c r="S270" s="17" t="str">
        <f t="shared" si="24"/>
        <v/>
      </c>
      <c r="T270" s="18" t="str">
        <f t="shared" si="25"/>
        <v/>
      </c>
      <c r="V270" s="19" t="str">
        <f t="shared" si="22"/>
        <v/>
      </c>
    </row>
    <row r="271" spans="18:22" x14ac:dyDescent="0.3">
      <c r="R271" s="17" t="str">
        <f t="shared" si="23"/>
        <v/>
      </c>
      <c r="S271" s="17" t="str">
        <f t="shared" si="24"/>
        <v/>
      </c>
      <c r="T271" s="18" t="str">
        <f t="shared" si="25"/>
        <v/>
      </c>
      <c r="V271" s="19" t="str">
        <f t="shared" si="22"/>
        <v/>
      </c>
    </row>
    <row r="272" spans="18:22" x14ac:dyDescent="0.3">
      <c r="R272" s="17" t="str">
        <f t="shared" si="23"/>
        <v/>
      </c>
      <c r="S272" s="17" t="str">
        <f t="shared" si="24"/>
        <v/>
      </c>
      <c r="T272" s="18" t="str">
        <f t="shared" si="25"/>
        <v/>
      </c>
      <c r="V272" s="19" t="str">
        <f t="shared" si="22"/>
        <v/>
      </c>
    </row>
    <row r="273" spans="18:22" x14ac:dyDescent="0.3">
      <c r="R273" s="17" t="str">
        <f t="shared" si="23"/>
        <v/>
      </c>
      <c r="S273" s="17" t="str">
        <f t="shared" si="24"/>
        <v/>
      </c>
      <c r="T273" s="18" t="str">
        <f t="shared" si="25"/>
        <v/>
      </c>
      <c r="V273" s="19" t="str">
        <f t="shared" si="22"/>
        <v/>
      </c>
    </row>
    <row r="274" spans="18:22" x14ac:dyDescent="0.3">
      <c r="R274" s="17" t="str">
        <f t="shared" si="23"/>
        <v/>
      </c>
      <c r="S274" s="17" t="str">
        <f t="shared" si="24"/>
        <v/>
      </c>
      <c r="T274" s="18" t="str">
        <f t="shared" si="25"/>
        <v/>
      </c>
      <c r="V274" s="19" t="str">
        <f t="shared" si="22"/>
        <v/>
      </c>
    </row>
    <row r="275" spans="18:22" x14ac:dyDescent="0.3">
      <c r="R275" s="17" t="str">
        <f t="shared" si="23"/>
        <v/>
      </c>
      <c r="S275" s="17" t="str">
        <f t="shared" si="24"/>
        <v/>
      </c>
      <c r="T275" s="18" t="str">
        <f t="shared" si="25"/>
        <v/>
      </c>
      <c r="V275" s="19" t="str">
        <f t="shared" si="22"/>
        <v/>
      </c>
    </row>
    <row r="276" spans="18:22" x14ac:dyDescent="0.3">
      <c r="R276" s="17" t="str">
        <f t="shared" si="23"/>
        <v/>
      </c>
      <c r="S276" s="17" t="str">
        <f t="shared" si="24"/>
        <v/>
      </c>
      <c r="T276" s="18" t="str">
        <f t="shared" si="25"/>
        <v/>
      </c>
      <c r="V276" s="19" t="str">
        <f t="shared" si="22"/>
        <v/>
      </c>
    </row>
    <row r="277" spans="18:22" x14ac:dyDescent="0.3">
      <c r="R277" s="17" t="str">
        <f t="shared" si="23"/>
        <v/>
      </c>
      <c r="S277" s="17" t="str">
        <f t="shared" si="24"/>
        <v/>
      </c>
      <c r="T277" s="18" t="str">
        <f t="shared" si="25"/>
        <v/>
      </c>
      <c r="V277" s="19" t="str">
        <f t="shared" si="22"/>
        <v/>
      </c>
    </row>
    <row r="278" spans="18:22" x14ac:dyDescent="0.3">
      <c r="R278" s="17" t="str">
        <f t="shared" si="23"/>
        <v/>
      </c>
      <c r="S278" s="17" t="str">
        <f t="shared" si="24"/>
        <v/>
      </c>
      <c r="T278" s="18" t="str">
        <f t="shared" si="25"/>
        <v/>
      </c>
      <c r="V278" s="19" t="str">
        <f t="shared" si="22"/>
        <v/>
      </c>
    </row>
    <row r="279" spans="18:22" x14ac:dyDescent="0.3">
      <c r="R279" s="17" t="str">
        <f t="shared" si="23"/>
        <v/>
      </c>
      <c r="S279" s="17" t="str">
        <f t="shared" si="24"/>
        <v/>
      </c>
      <c r="T279" s="18" t="str">
        <f t="shared" si="25"/>
        <v/>
      </c>
      <c r="V279" s="19" t="str">
        <f t="shared" si="22"/>
        <v/>
      </c>
    </row>
    <row r="280" spans="18:22" x14ac:dyDescent="0.3">
      <c r="R280" s="17" t="str">
        <f t="shared" si="23"/>
        <v/>
      </c>
      <c r="S280" s="17" t="str">
        <f t="shared" si="24"/>
        <v/>
      </c>
      <c r="T280" s="18" t="str">
        <f t="shared" si="25"/>
        <v/>
      </c>
      <c r="V280" s="19" t="str">
        <f t="shared" si="22"/>
        <v/>
      </c>
    </row>
    <row r="281" spans="18:22" x14ac:dyDescent="0.3">
      <c r="R281" s="17" t="str">
        <f t="shared" si="23"/>
        <v/>
      </c>
      <c r="S281" s="17" t="str">
        <f t="shared" si="24"/>
        <v/>
      </c>
      <c r="T281" s="18" t="str">
        <f t="shared" si="25"/>
        <v/>
      </c>
      <c r="V281" s="19" t="str">
        <f t="shared" si="22"/>
        <v/>
      </c>
    </row>
    <row r="282" spans="18:22" x14ac:dyDescent="0.3">
      <c r="R282" s="17" t="str">
        <f t="shared" si="23"/>
        <v/>
      </c>
      <c r="S282" s="17" t="str">
        <f t="shared" si="24"/>
        <v/>
      </c>
      <c r="T282" s="18" t="str">
        <f t="shared" si="25"/>
        <v/>
      </c>
      <c r="V282" s="19" t="str">
        <f t="shared" si="22"/>
        <v/>
      </c>
    </row>
    <row r="283" spans="18:22" x14ac:dyDescent="0.3">
      <c r="R283" s="17" t="str">
        <f t="shared" si="23"/>
        <v/>
      </c>
      <c r="S283" s="17" t="str">
        <f t="shared" si="24"/>
        <v/>
      </c>
      <c r="T283" s="18" t="str">
        <f t="shared" si="25"/>
        <v/>
      </c>
      <c r="V283" s="19" t="str">
        <f t="shared" si="22"/>
        <v/>
      </c>
    </row>
    <row r="284" spans="18:22" x14ac:dyDescent="0.3">
      <c r="R284" s="17" t="str">
        <f t="shared" si="23"/>
        <v/>
      </c>
      <c r="S284" s="17" t="str">
        <f t="shared" si="24"/>
        <v/>
      </c>
      <c r="T284" s="18" t="str">
        <f t="shared" si="25"/>
        <v/>
      </c>
      <c r="V284" s="19" t="str">
        <f t="shared" si="22"/>
        <v/>
      </c>
    </row>
    <row r="285" spans="18:22" x14ac:dyDescent="0.3">
      <c r="R285" s="17" t="str">
        <f t="shared" si="23"/>
        <v/>
      </c>
      <c r="S285" s="17" t="str">
        <f t="shared" si="24"/>
        <v/>
      </c>
      <c r="T285" s="18" t="str">
        <f t="shared" si="25"/>
        <v/>
      </c>
      <c r="V285" s="19" t="str">
        <f t="shared" si="22"/>
        <v/>
      </c>
    </row>
    <row r="286" spans="18:22" x14ac:dyDescent="0.3">
      <c r="R286" s="17" t="str">
        <f t="shared" si="23"/>
        <v/>
      </c>
      <c r="S286" s="17" t="str">
        <f t="shared" si="24"/>
        <v/>
      </c>
      <c r="T286" s="18" t="str">
        <f t="shared" si="25"/>
        <v/>
      </c>
      <c r="V286" s="19" t="str">
        <f t="shared" si="22"/>
        <v/>
      </c>
    </row>
    <row r="287" spans="18:22" x14ac:dyDescent="0.3">
      <c r="R287" s="17" t="str">
        <f t="shared" si="23"/>
        <v/>
      </c>
      <c r="S287" s="17" t="str">
        <f t="shared" si="24"/>
        <v/>
      </c>
      <c r="T287" s="18" t="str">
        <f t="shared" si="25"/>
        <v/>
      </c>
      <c r="V287" s="19" t="str">
        <f t="shared" si="22"/>
        <v/>
      </c>
    </row>
    <row r="288" spans="18:22" x14ac:dyDescent="0.3">
      <c r="R288" s="17" t="str">
        <f t="shared" si="23"/>
        <v/>
      </c>
      <c r="S288" s="17" t="str">
        <f t="shared" si="24"/>
        <v/>
      </c>
      <c r="T288" s="18" t="str">
        <f t="shared" si="25"/>
        <v/>
      </c>
      <c r="V288" s="19" t="str">
        <f t="shared" si="22"/>
        <v/>
      </c>
    </row>
    <row r="289" spans="18:22" x14ac:dyDescent="0.3">
      <c r="R289" s="17" t="str">
        <f t="shared" si="23"/>
        <v/>
      </c>
      <c r="S289" s="17" t="str">
        <f t="shared" si="24"/>
        <v/>
      </c>
      <c r="T289" s="18" t="str">
        <f t="shared" si="25"/>
        <v/>
      </c>
      <c r="V289" s="19" t="str">
        <f t="shared" si="22"/>
        <v/>
      </c>
    </row>
    <row r="290" spans="18:22" x14ac:dyDescent="0.3">
      <c r="R290" s="17" t="str">
        <f t="shared" si="23"/>
        <v/>
      </c>
      <c r="S290" s="17" t="str">
        <f t="shared" si="24"/>
        <v/>
      </c>
      <c r="T290" s="18" t="str">
        <f t="shared" si="25"/>
        <v/>
      </c>
      <c r="V290" s="19" t="str">
        <f t="shared" ref="V290:V300" si="26">IF(U290&lt;&gt;"",D290 - (SUM(E290:Q290)),"")</f>
        <v/>
      </c>
    </row>
    <row r="291" spans="18:22" x14ac:dyDescent="0.3">
      <c r="R291" s="17" t="str">
        <f t="shared" si="23"/>
        <v/>
      </c>
      <c r="S291" s="17" t="str">
        <f t="shared" si="24"/>
        <v/>
      </c>
      <c r="T291" s="18" t="str">
        <f t="shared" si="25"/>
        <v/>
      </c>
      <c r="V291" s="19" t="str">
        <f t="shared" si="26"/>
        <v/>
      </c>
    </row>
    <row r="292" spans="18:22" x14ac:dyDescent="0.3">
      <c r="R292" s="17" t="str">
        <f t="shared" si="23"/>
        <v/>
      </c>
      <c r="S292" s="17" t="str">
        <f t="shared" si="24"/>
        <v/>
      </c>
      <c r="T292" s="18" t="str">
        <f t="shared" si="25"/>
        <v/>
      </c>
      <c r="V292" s="19" t="str">
        <f t="shared" si="26"/>
        <v/>
      </c>
    </row>
    <row r="293" spans="18:22" x14ac:dyDescent="0.3">
      <c r="R293" s="17" t="str">
        <f t="shared" si="23"/>
        <v/>
      </c>
      <c r="S293" s="17" t="str">
        <f t="shared" si="24"/>
        <v/>
      </c>
      <c r="T293" s="18" t="str">
        <f t="shared" si="25"/>
        <v/>
      </c>
      <c r="V293" s="19" t="str">
        <f t="shared" si="26"/>
        <v/>
      </c>
    </row>
    <row r="294" spans="18:22" x14ac:dyDescent="0.3">
      <c r="R294" s="17" t="str">
        <f t="shared" si="23"/>
        <v/>
      </c>
      <c r="S294" s="17" t="str">
        <f t="shared" si="24"/>
        <v/>
      </c>
      <c r="T294" s="18" t="str">
        <f t="shared" si="25"/>
        <v/>
      </c>
      <c r="V294" s="19" t="str">
        <f t="shared" si="26"/>
        <v/>
      </c>
    </row>
    <row r="295" spans="18:22" x14ac:dyDescent="0.3">
      <c r="R295" s="17" t="str">
        <f t="shared" si="23"/>
        <v/>
      </c>
      <c r="S295" s="17" t="str">
        <f t="shared" si="24"/>
        <v/>
      </c>
      <c r="T295" s="18" t="str">
        <f t="shared" si="25"/>
        <v/>
      </c>
      <c r="V295" s="19" t="str">
        <f t="shared" si="26"/>
        <v/>
      </c>
    </row>
    <row r="296" spans="18:22" x14ac:dyDescent="0.3">
      <c r="R296" s="17" t="str">
        <f t="shared" si="23"/>
        <v/>
      </c>
      <c r="S296" s="17" t="str">
        <f t="shared" si="24"/>
        <v/>
      </c>
      <c r="T296" s="18" t="str">
        <f t="shared" si="25"/>
        <v/>
      </c>
      <c r="V296" s="19" t="str">
        <f t="shared" si="26"/>
        <v/>
      </c>
    </row>
    <row r="297" spans="18:22" x14ac:dyDescent="0.3">
      <c r="R297" s="17" t="str">
        <f t="shared" si="23"/>
        <v/>
      </c>
      <c r="S297" s="17" t="str">
        <f t="shared" si="24"/>
        <v/>
      </c>
      <c r="T297" s="18" t="str">
        <f t="shared" si="25"/>
        <v/>
      </c>
      <c r="V297" s="19" t="str">
        <f t="shared" si="26"/>
        <v/>
      </c>
    </row>
    <row r="298" spans="18:22" x14ac:dyDescent="0.3">
      <c r="R298" s="17" t="str">
        <f t="shared" si="23"/>
        <v/>
      </c>
      <c r="S298" s="17" t="str">
        <f t="shared" si="24"/>
        <v/>
      </c>
      <c r="T298" s="18" t="str">
        <f t="shared" si="25"/>
        <v/>
      </c>
      <c r="V298" s="19" t="str">
        <f t="shared" si="26"/>
        <v/>
      </c>
    </row>
    <row r="299" spans="18:22" x14ac:dyDescent="0.3">
      <c r="R299" s="17" t="str">
        <f t="shared" si="23"/>
        <v/>
      </c>
      <c r="S299" s="17" t="str">
        <f t="shared" si="24"/>
        <v/>
      </c>
      <c r="T299" s="18" t="str">
        <f t="shared" si="25"/>
        <v/>
      </c>
      <c r="V299" s="19" t="str">
        <f t="shared" si="26"/>
        <v/>
      </c>
    </row>
    <row r="300" spans="18:22" x14ac:dyDescent="0.3">
      <c r="R300" s="17" t="str">
        <f t="shared" si="23"/>
        <v/>
      </c>
      <c r="S300" s="17" t="str">
        <f t="shared" si="24"/>
        <v/>
      </c>
      <c r="T300" s="18" t="str">
        <f t="shared" si="25"/>
        <v/>
      </c>
      <c r="V300" s="19" t="str">
        <f t="shared" si="26"/>
        <v/>
      </c>
    </row>
    <row r="301" spans="18:22" x14ac:dyDescent="0.3">
      <c r="T301" s="18"/>
    </row>
  </sheetData>
  <sheetProtection sheet="1" formatColumns="0" formatRows="0" insertHyperlinks="0" sort="0" autoFilter="0" pivotTables="0"/>
  <protectedRanges>
    <protectedRange sqref="L14 A1:K1048576 N1:V1048576 L1:M13 L15:M1048576" name="AllowSortRange" securityDescriptor="O:WDG:WDD:(A;;CC;;;S-1-5-21-174321777-3188805601-2139889369-1000)"/>
  </protectedRanges>
  <autoFilter ref="A3:V300" xr:uid="{00000000-0009-0000-0000-000002000000}">
    <sortState xmlns:xlrd2="http://schemas.microsoft.com/office/spreadsheetml/2017/richdata2" ref="A4:V300">
      <sortCondition ref="A3:A300"/>
    </sortState>
  </autoFilter>
  <mergeCells count="1">
    <mergeCell ref="A1:V1"/>
  </mergeCells>
  <conditionalFormatting sqref="M4:M13 A4:L1048576 N4:S1048576 M15:M1048576">
    <cfRule type="expression" dxfId="3" priority="66" stopIfTrue="1">
      <formula>$U4&lt;&gt;""</formula>
    </cfRule>
    <cfRule type="expression" dxfId="2" priority="67" stopIfTrue="1">
      <formula>$S4&lt;0</formula>
    </cfRule>
    <cfRule type="expression" dxfId="1" priority="68">
      <formula>AND($S4&gt;0, $S4&lt;&gt;"")</formula>
    </cfRule>
    <cfRule type="expression" dxfId="0" priority="69">
      <formula>AND($S4=0, $S4&lt;&gt;"")</formula>
    </cfRule>
  </conditionalFormatting>
  <conditionalFormatting sqref="T2:T1048576">
    <cfRule type="dataBar" priority="1">
      <dataBar>
        <cfvo type="num" val="0"/>
        <cfvo type="num" val="1"/>
        <color theme="9"/>
      </dataBar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5</vt:i4>
      </vt:variant>
    </vt:vector>
  </HeadingPairs>
  <TitlesOfParts>
    <vt:vector size="5" baseType="lpstr">
      <vt:lpstr>Φύλλο1</vt:lpstr>
      <vt:lpstr>2025-2026</vt:lpstr>
      <vt:lpstr>2024-2025</vt:lpstr>
      <vt:lpstr>2023-2024</vt:lpstr>
      <vt:lpstr>2022-2023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Gramateia</dc:creator>
  <cp:lastModifiedBy>Gramateia New</cp:lastModifiedBy>
  <cp:revision/>
  <cp:lastPrinted>2025-09-12T11:24:44Z</cp:lastPrinted>
  <dcterms:created xsi:type="dcterms:W3CDTF">2015-05-12T16:40:09Z</dcterms:created>
  <dcterms:modified xsi:type="dcterms:W3CDTF">2026-02-17T18:34:03Z</dcterms:modified>
</cp:coreProperties>
</file>